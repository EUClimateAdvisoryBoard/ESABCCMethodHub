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1.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Overview" sheetId="2" state="visible" r:id="rId2"/>
    <sheet name="Emissions" sheetId="3" state="visible" r:id="rId3"/>
    <sheet name="Energy supply" sheetId="4" state="visible" r:id="rId4"/>
    <sheet name="Energy demand" sheetId="5" state="visible" r:id="rId5"/>
    <sheet name="Industry" sheetId="6" state="visible" r:id="rId6"/>
    <sheet name="Transport" sheetId="7" state="visible" r:id="rId7"/>
    <sheet name="Buildings" sheetId="8" state="visible" r:id="rId8"/>
    <sheet name="Agriculture" sheetId="9" state="visible" r:id="rId9"/>
    <sheet name="LULUCF" sheetId="10" state="visible" r:id="rId10"/>
    <sheet name="Finance &amp; innovation" sheetId="11" state="visible" r:id="rId11"/>
    <sheet name="Data (long)" sheetId="12" state="visible" r:id="rId12"/>
    <sheet name="Where the data comes from" sheetId="13" state="visible" r:id="rId13"/>
    <sheet name="New data" sheetId="14" state="visible" r:id="rId14"/>
    <sheet name="Old vs new" sheetId="15" state="visible" r:id="rId15"/>
    <sheet name="Derivations" sheetId="16" state="visible" r:id="rId16"/>
    <sheet name="Sources" sheetId="17" state="visible" r:id="rId17"/>
  </sheets>
  <definedNames>
    <definedName name="_xlnm._FilterDatabase" localSheetId="1" hidden="1">'Overview'!$A$4:$M$101</definedName>
    <definedName name="_xlnm._FilterDatabase" localSheetId="11" hidden="1">'Data (long)'!$A$1:$I$1487</definedName>
    <definedName name="_xlnm._FilterDatabase" localSheetId="12" hidden="1">'Where the data comes from'!$A$5:$J$433</definedName>
    <definedName name="_xlnm._FilterDatabase" localSheetId="13" hidden="1">'New data'!$A$5:$K$60</definedName>
    <definedName name="_xlnm._FilterDatabase" localSheetId="14" hidden="1">'Old vs new'!$A$4:$M$101</definedName>
    <definedName name="_xlnm._FilterDatabase" localSheetId="16" hidden="1">'Sources'!$A$1:$E$294</definedName>
  </definedNames>
  <calcPr calcId="124519" fullCalcOnLoad="1"/>
</workbook>
</file>

<file path=xl/styles.xml><?xml version="1.0" encoding="utf-8"?>
<styleSheet xmlns="http://schemas.openxmlformats.org/spreadsheetml/2006/main">
  <numFmts count="2">
    <numFmt numFmtId="164" formatCode="+0.0%;-0.0%;0.0%"/>
    <numFmt numFmtId="165" formatCode="#,##0.000"/>
  </numFmts>
  <fonts count="42">
    <font>
      <name val="Calibri"/>
      <family val="2"/>
      <color theme="1"/>
      <sz val="11"/>
      <scheme val="minor"/>
    </font>
    <font>
      <name val="Segoe UI Semibold"/>
      <b val="1"/>
      <color rgb="004D7E83"/>
      <sz val="18"/>
    </font>
    <font>
      <name val="Segoe UI Semilight"/>
      <color rgb="004D7E83"/>
      <sz val="11"/>
    </font>
    <font>
      <name val="Segoe UI Semilight"/>
      <color rgb="006E7A7B"/>
      <sz val="8"/>
    </font>
    <font>
      <name val="Segoe UI Semibold"/>
      <b val="1"/>
      <color rgb="004D7E83"/>
      <sz val="12"/>
    </font>
    <font>
      <name val="Segoe UI Semibold"/>
      <color rgb="00FFFFFF"/>
      <sz val="9"/>
    </font>
    <font>
      <name val="Segoe UI Semibold"/>
      <color rgb="004D7E83"/>
      <sz val="9"/>
    </font>
    <font>
      <name val="Segoe UI"/>
      <color rgb="002C2D2D"/>
      <sz val="9"/>
    </font>
    <font>
      <name val="Segoe UI Semibold"/>
      <color rgb="004D7E83"/>
      <sz val="8.5"/>
    </font>
    <font>
      <name val="Segoe UI"/>
      <color rgb="000563C1"/>
      <sz val="9"/>
      <u val="single"/>
    </font>
    <font>
      <name val="Segoe UI Semibold"/>
      <color rgb="00648ECA"/>
      <sz val="9"/>
    </font>
    <font>
      <name val="Segoe UI Semibold"/>
      <color rgb="006E7A7B"/>
      <sz val="8.5"/>
    </font>
    <font>
      <name val="Segoe UI Semibold"/>
      <color rgb="003A6165"/>
      <sz val="9"/>
    </font>
    <font>
      <name val="Segoe UI Semibold"/>
      <color rgb="00F59E2D"/>
      <sz val="8.5"/>
    </font>
    <font>
      <name val="Segoe UI Semibold"/>
      <color rgb="00B04545"/>
      <sz val="9"/>
    </font>
    <font>
      <name val="Segoe UI Semibold"/>
      <color rgb="00B487C7"/>
      <sz val="9"/>
    </font>
    <font>
      <name val="Segoe UI Semibold"/>
      <color rgb="0000928F"/>
      <sz val="9"/>
    </font>
    <font>
      <name val="Segoe UI Semibold"/>
      <color rgb="006E8B1F"/>
      <sz val="9"/>
    </font>
    <font>
      <name val="Segoe UI Semibold"/>
      <color rgb="00007B6C"/>
      <sz val="9"/>
    </font>
    <font>
      <name val="Segoe UI Semibold"/>
      <color rgb="00A530B8"/>
      <sz val="9"/>
    </font>
    <font>
      <name val="Segoe UI Semilight"/>
      <color rgb="004D7E83"/>
      <sz val="8.5"/>
    </font>
    <font>
      <name val="Segoe UI Semibold"/>
      <color rgb="004D7E83"/>
      <sz val="10"/>
    </font>
    <font>
      <name val="Segoe UI Semibold"/>
      <color rgb="003A6165"/>
      <sz val="10"/>
    </font>
    <font>
      <name val="Segoe UI Semibold"/>
      <color rgb="00648ECA"/>
      <sz val="10"/>
    </font>
    <font>
      <name val="Segoe UI Semibold"/>
      <color rgb="00B04545"/>
      <sz val="10"/>
    </font>
    <font>
      <name val="Segoe UI Semibold"/>
      <color rgb="00B487C7"/>
      <sz val="10"/>
    </font>
    <font>
      <name val="Segoe UI Semibold"/>
      <color rgb="0000928F"/>
      <sz val="10"/>
    </font>
    <font>
      <name val="Segoe UI Semibold"/>
      <color rgb="006E8B1F"/>
      <sz val="10"/>
    </font>
    <font>
      <name val="Segoe UI Semibold"/>
      <color rgb="00007B6C"/>
      <sz val="10"/>
    </font>
    <font>
      <name val="Segoe UI Semibold"/>
      <color rgb="00A530B8"/>
      <sz val="10"/>
    </font>
    <font>
      <name val="Segoe UI Semibold"/>
      <color rgb="00F59E2D"/>
      <sz val="9"/>
    </font>
    <font>
      <name val="Segoe UI Semilight"/>
      <color rgb="002C2D2D"/>
      <sz val="9"/>
    </font>
    <font>
      <name val="Segoe UI Semibold"/>
      <color rgb="004D7E83"/>
      <sz val="11"/>
    </font>
    <font>
      <name val="Segoe UI"/>
      <b val="1"/>
      <color rgb="002C2D2D"/>
      <sz val="9"/>
    </font>
    <font>
      <name val="Segoe UI Semibold"/>
      <color rgb="003A6165"/>
      <sz val="11"/>
    </font>
    <font>
      <name val="Segoe UI Semibold"/>
      <color rgb="00648ECA"/>
      <sz val="11"/>
    </font>
    <font>
      <name val="Segoe UI Semibold"/>
      <color rgb="00B04545"/>
      <sz val="11"/>
    </font>
    <font>
      <name val="Segoe UI Semibold"/>
      <color rgb="00B487C7"/>
      <sz val="11"/>
    </font>
    <font>
      <name val="Segoe UI Semibold"/>
      <color rgb="0000928F"/>
      <sz val="11"/>
    </font>
    <font>
      <name val="Segoe UI Semibold"/>
      <color rgb="006E8B1F"/>
      <sz val="11"/>
    </font>
    <font>
      <name val="Segoe UI Semibold"/>
      <color rgb="00007B6C"/>
      <sz val="11"/>
    </font>
    <font>
      <name val="Segoe UI Semibold"/>
      <color rgb="00A530B8"/>
      <sz val="11"/>
    </font>
  </fonts>
  <fills count="5">
    <fill>
      <patternFill/>
    </fill>
    <fill>
      <patternFill patternType="gray125"/>
    </fill>
    <fill>
      <patternFill patternType="solid">
        <fgColor rgb="004D7E83"/>
      </patternFill>
    </fill>
    <fill>
      <patternFill patternType="solid">
        <fgColor rgb="00D8E7E8"/>
      </patternFill>
    </fill>
    <fill>
      <patternFill patternType="solid">
        <fgColor rgb="00EFF6F6"/>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9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left" vertical="center" wrapText="1"/>
    </xf>
    <xf numFmtId="0" fontId="6" fillId="3" borderId="0" applyAlignment="1" pivotButton="0" quotePrefix="0" xfId="0">
      <alignment vertical="top" wrapText="1"/>
    </xf>
    <xf numFmtId="0" fontId="7" fillId="3" borderId="0" applyAlignment="1" pivotButton="0" quotePrefix="0" xfId="0">
      <alignment vertical="top" wrapText="1"/>
    </xf>
    <xf numFmtId="0" fontId="0" fillId="3" borderId="0" pivotButton="0" quotePrefix="0" xfId="0"/>
    <xf numFmtId="0" fontId="6" fillId="4" borderId="0" applyAlignment="1" pivotButton="0" quotePrefix="0" xfId="0">
      <alignment vertical="top" wrapText="1"/>
    </xf>
    <xf numFmtId="0" fontId="7" fillId="4" borderId="0" applyAlignment="1" pivotButton="0" quotePrefix="0" xfId="0">
      <alignment vertical="top" wrapText="1"/>
    </xf>
    <xf numFmtId="0" fontId="0" fillId="4" borderId="0" pivotButton="0" quotePrefix="0" xfId="0"/>
    <xf numFmtId="0" fontId="7" fillId="0" borderId="0" applyAlignment="1" pivotButton="0" quotePrefix="0" xfId="0">
      <alignment vertical="top" wrapText="1"/>
    </xf>
    <xf numFmtId="0" fontId="6" fillId="0" borderId="0" pivotButton="0" quotePrefix="0" xfId="0"/>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1" fontId="7" fillId="3" borderId="1" applyAlignment="1" pivotButton="0" quotePrefix="0" xfId="0">
      <alignment horizontal="center" vertical="center"/>
    </xf>
    <xf numFmtId="4" fontId="7" fillId="3" borderId="1" applyAlignment="1" pivotButton="0" quotePrefix="0" xfId="0">
      <alignment horizontal="right" vertical="center"/>
    </xf>
    <xf numFmtId="164" fontId="7" fillId="3" borderId="1" applyAlignment="1" pivotButton="0" quotePrefix="0" xfId="0">
      <alignment horizontal="right" vertical="center"/>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10" fillId="4" borderId="1" applyAlignment="1" pivotButton="0" quotePrefix="0" xfId="0">
      <alignment horizontal="left" vertical="top" wrapText="1"/>
    </xf>
    <xf numFmtId="0" fontId="7" fillId="4" borderId="1" applyAlignment="1" pivotButton="0" quotePrefix="0" xfId="0">
      <alignment horizontal="left" vertical="top" wrapText="1"/>
    </xf>
    <xf numFmtId="1" fontId="7" fillId="4" borderId="1" applyAlignment="1" pivotButton="0" quotePrefix="0" xfId="0">
      <alignment horizontal="center" vertical="center"/>
    </xf>
    <xf numFmtId="4" fontId="7" fillId="4" borderId="1" applyAlignment="1" pivotButton="0" quotePrefix="0" xfId="0">
      <alignment horizontal="right" vertical="center"/>
    </xf>
    <xf numFmtId="164" fontId="7" fillId="4" borderId="1" applyAlignment="1" pivotButton="0" quotePrefix="0" xfId="0">
      <alignment horizontal="right" vertical="center"/>
    </xf>
    <xf numFmtId="0" fontId="8" fillId="4" borderId="1" applyAlignment="1" pivotButton="0" quotePrefix="0" xfId="0">
      <alignment horizontal="left" vertical="top" wrapText="1"/>
    </xf>
    <xf numFmtId="0" fontId="9" fillId="4" borderId="1" applyAlignment="1" pivotButton="0" quotePrefix="0" xfId="0">
      <alignment horizontal="left" vertical="top" wrapText="1"/>
    </xf>
    <xf numFmtId="0" fontId="10" fillId="3" borderId="1" applyAlignment="1" pivotButton="0" quotePrefix="0" xfId="0">
      <alignment horizontal="left" vertical="top" wrapText="1"/>
    </xf>
    <xf numFmtId="0" fontId="11" fillId="4" borderId="1" applyAlignment="1" pivotButton="0" quotePrefix="0" xfId="0">
      <alignment horizontal="left" vertical="top" wrapText="1"/>
    </xf>
    <xf numFmtId="0" fontId="12" fillId="3" borderId="1" applyAlignment="1" pivotButton="0" quotePrefix="0" xfId="0">
      <alignment horizontal="left" vertical="top" wrapText="1"/>
    </xf>
    <xf numFmtId="0" fontId="12" fillId="4" borderId="1" applyAlignment="1" pivotButton="0" quotePrefix="0" xfId="0">
      <alignment horizontal="left" vertical="top" wrapText="1"/>
    </xf>
    <xf numFmtId="0" fontId="13" fillId="3" borderId="1" applyAlignment="1" pivotButton="0" quotePrefix="0" xfId="0">
      <alignment horizontal="left" vertical="top" wrapText="1"/>
    </xf>
    <xf numFmtId="0" fontId="11" fillId="3"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14" fillId="3" borderId="1" applyAlignment="1" pivotButton="0" quotePrefix="0" xfId="0">
      <alignment horizontal="left" vertical="top" wrapText="1"/>
    </xf>
    <xf numFmtId="0" fontId="14" fillId="4" borderId="1" applyAlignment="1" pivotButton="0" quotePrefix="0" xfId="0">
      <alignment horizontal="left" vertical="top" wrapText="1"/>
    </xf>
    <xf numFmtId="0" fontId="15" fillId="4" borderId="1" applyAlignment="1" pivotButton="0" quotePrefix="0" xfId="0">
      <alignment horizontal="left" vertical="top" wrapText="1"/>
    </xf>
    <xf numFmtId="0" fontId="15" fillId="3" borderId="1" applyAlignment="1" pivotButton="0" quotePrefix="0" xfId="0">
      <alignment horizontal="left" vertical="top" wrapText="1"/>
    </xf>
    <xf numFmtId="0" fontId="16" fillId="4" borderId="1" applyAlignment="1" pivotButton="0" quotePrefix="0" xfId="0">
      <alignment horizontal="left" vertical="top" wrapText="1"/>
    </xf>
    <xf numFmtId="0" fontId="16" fillId="3" borderId="1" applyAlignment="1" pivotButton="0" quotePrefix="0" xfId="0">
      <alignment horizontal="left" vertical="top" wrapText="1"/>
    </xf>
    <xf numFmtId="0" fontId="17" fillId="3" borderId="1" applyAlignment="1" pivotButton="0" quotePrefix="0" xfId="0">
      <alignment horizontal="left" vertical="top" wrapText="1"/>
    </xf>
    <xf numFmtId="0" fontId="17" fillId="4" borderId="1" applyAlignment="1" pivotButton="0" quotePrefix="0" xfId="0">
      <alignment horizontal="left" vertical="top" wrapText="1"/>
    </xf>
    <xf numFmtId="0" fontId="18" fillId="3" borderId="1" applyAlignment="1" pivotButton="0" quotePrefix="0" xfId="0">
      <alignment horizontal="left" vertical="top" wrapText="1"/>
    </xf>
    <xf numFmtId="0" fontId="18" fillId="4" borderId="1" applyAlignment="1" pivotButton="0" quotePrefix="0" xfId="0">
      <alignment horizontal="left" vertical="top" wrapText="1"/>
    </xf>
    <xf numFmtId="0" fontId="19" fillId="4" borderId="1" applyAlignment="1" pivotButton="0" quotePrefix="0" xfId="0">
      <alignment horizontal="left" vertical="top" wrapText="1"/>
    </xf>
    <xf numFmtId="0" fontId="19" fillId="3" borderId="1" applyAlignment="1" pivotButton="0" quotePrefix="0" xfId="0">
      <alignment horizontal="left" vertical="top" wrapText="1"/>
    </xf>
    <xf numFmtId="0" fontId="13" fillId="4" borderId="1" applyAlignment="1" pivotButton="0" quotePrefix="0" xfId="0">
      <alignment horizontal="left" vertical="top" wrapText="1"/>
    </xf>
    <xf numFmtId="0" fontId="7" fillId="3" borderId="1" applyAlignment="1" pivotButton="0" quotePrefix="0" xfId="0">
      <alignment horizontal="center" vertical="center"/>
    </xf>
    <xf numFmtId="0" fontId="7" fillId="4" borderId="1" applyAlignment="1" pivotButton="0" quotePrefix="0" xfId="0">
      <alignment horizontal="center" vertical="center"/>
    </xf>
    <xf numFmtId="0" fontId="20" fillId="0" borderId="0" applyAlignment="1" pivotButton="0" quotePrefix="0" xfId="0">
      <alignment vertical="top" wrapText="1"/>
    </xf>
    <xf numFmtId="0" fontId="21" fillId="0" borderId="0" pivotButton="0" quotePrefix="0" xfId="0"/>
    <xf numFmtId="1" fontId="7" fillId="3" borderId="1" applyAlignment="1" pivotButton="0" quotePrefix="0" xfId="0">
      <alignment horizontal="right" vertical="center"/>
    </xf>
    <xf numFmtId="1" fontId="7" fillId="4" borderId="1" applyAlignment="1" pivotButton="0" quotePrefix="0" xfId="0">
      <alignment horizontal="right" vertical="center"/>
    </xf>
    <xf numFmtId="0" fontId="22" fillId="0" borderId="0" pivotButton="0" quotePrefix="0" xfId="0"/>
    <xf numFmtId="0" fontId="23" fillId="0" borderId="0" pivotButton="0" quotePrefix="0" xfId="0"/>
    <xf numFmtId="0" fontId="24" fillId="0" borderId="0" pivotButton="0" quotePrefix="0" xfId="0"/>
    <xf numFmtId="0" fontId="25" fillId="0" borderId="0" pivotButton="0" quotePrefix="0" xfId="0"/>
    <xf numFmtId="0" fontId="26" fillId="0" borderId="0" pivotButton="0" quotePrefix="0" xfId="0"/>
    <xf numFmtId="0" fontId="27" fillId="0" borderId="0" pivotButton="0" quotePrefix="0" xfId="0"/>
    <xf numFmtId="0" fontId="28" fillId="0" borderId="0" pivotButton="0" quotePrefix="0" xfId="0"/>
    <xf numFmtId="0" fontId="29" fillId="0" borderId="0" pivotButton="0" quotePrefix="0" xfId="0"/>
    <xf numFmtId="1" fontId="7" fillId="3" borderId="1" applyAlignment="1" pivotButton="0" quotePrefix="0" xfId="0">
      <alignment horizontal="left" vertical="top" wrapText="1"/>
    </xf>
    <xf numFmtId="165" fontId="7" fillId="3" borderId="1" applyAlignment="1" pivotButton="0" quotePrefix="0" xfId="0">
      <alignment horizontal="left" vertical="top" wrapText="1"/>
    </xf>
    <xf numFmtId="1" fontId="7" fillId="4" borderId="1" applyAlignment="1" pivotButton="0" quotePrefix="0" xfId="0">
      <alignment horizontal="left" vertical="top" wrapText="1"/>
    </xf>
    <xf numFmtId="165" fontId="7" fillId="4" borderId="1" applyAlignment="1" pivotButton="0" quotePrefix="0" xfId="0">
      <alignment horizontal="left" vertical="top" wrapText="1"/>
    </xf>
    <xf numFmtId="0" fontId="6" fillId="4" borderId="1" applyAlignment="1" pivotButton="0" quotePrefix="0" xfId="0">
      <alignment horizontal="left" vertical="top" wrapText="1"/>
    </xf>
    <xf numFmtId="0" fontId="30" fillId="3" borderId="1" applyAlignment="1" pivotButton="0" quotePrefix="0" xfId="0">
      <alignment horizontal="left" vertical="top" wrapText="1"/>
    </xf>
    <xf numFmtId="0" fontId="30" fillId="4" borderId="1" applyAlignment="1" pivotButton="0" quotePrefix="0" xfId="0">
      <alignment horizontal="left" vertical="top" wrapText="1"/>
    </xf>
    <xf numFmtId="0" fontId="31" fillId="3" borderId="1" applyAlignment="1" pivotButton="0" quotePrefix="0" xfId="0">
      <alignment horizontal="left" vertical="top" wrapText="1"/>
    </xf>
    <xf numFmtId="165" fontId="7" fillId="3" borderId="1" applyAlignment="1" pivotButton="0" quotePrefix="0" xfId="0">
      <alignment horizontal="right" vertical="top"/>
    </xf>
    <xf numFmtId="0" fontId="9" fillId="0" borderId="0" pivotButton="0" quotePrefix="0" xfId="0"/>
    <xf numFmtId="0" fontId="31" fillId="4" borderId="1" applyAlignment="1" pivotButton="0" quotePrefix="0" xfId="0">
      <alignment horizontal="left" vertical="top" wrapText="1"/>
    </xf>
    <xf numFmtId="165" fontId="7" fillId="4" borderId="1" applyAlignment="1" pivotButton="0" quotePrefix="0" xfId="0">
      <alignment horizontal="right" vertical="top"/>
    </xf>
    <xf numFmtId="0" fontId="32" fillId="0" borderId="0" pivotButton="0" quotePrefix="0" xfId="0"/>
    <xf numFmtId="0" fontId="8" fillId="0" borderId="0" applyAlignment="1" pivotButton="0" quotePrefix="0" xfId="0">
      <alignment vertical="top" wrapText="1"/>
    </xf>
    <xf numFmtId="0" fontId="5" fillId="2" borderId="1" applyAlignment="1" pivotButton="0" quotePrefix="0" xfId="0">
      <alignment horizontal="left" vertical="top" wrapText="1"/>
    </xf>
    <xf numFmtId="165" fontId="33" fillId="3" borderId="1" applyAlignment="1" pivotButton="0" quotePrefix="0" xfId="0">
      <alignment horizontal="right" vertical="center"/>
    </xf>
    <xf numFmtId="165" fontId="7" fillId="3" borderId="1" applyAlignment="1" pivotButton="0" quotePrefix="0" xfId="0">
      <alignment horizontal="right" vertical="center"/>
    </xf>
    <xf numFmtId="165" fontId="33" fillId="4" borderId="1" applyAlignment="1" pivotButton="0" quotePrefix="0" xfId="0">
      <alignment horizontal="right" vertical="center"/>
    </xf>
    <xf numFmtId="165" fontId="7" fillId="4" borderId="1" applyAlignment="1" pivotButton="0" quotePrefix="0" xfId="0">
      <alignment horizontal="right" vertical="center"/>
    </xf>
    <xf numFmtId="0" fontId="34" fillId="0" borderId="0" pivotButton="0" quotePrefix="0" xfId="0"/>
    <xf numFmtId="0" fontId="13" fillId="0" borderId="0" applyAlignment="1" pivotButton="0" quotePrefix="0" xfId="0">
      <alignment vertical="top" wrapText="1"/>
    </xf>
    <xf numFmtId="0" fontId="35" fillId="0" borderId="0" pivotButton="0" quotePrefix="0" xfId="0"/>
    <xf numFmtId="0" fontId="36" fillId="0" borderId="0" pivotButton="0" quotePrefix="0" xfId="0"/>
    <xf numFmtId="0" fontId="37" fillId="0" borderId="0" pivotButton="0" quotePrefix="0" xfId="0"/>
    <xf numFmtId="0" fontId="38" fillId="0" borderId="0" pivotButton="0" quotePrefix="0" xfId="0"/>
    <xf numFmtId="0" fontId="39" fillId="0" borderId="0" pivotButton="0" quotePrefix="0" xfId="0"/>
    <xf numFmtId="0" fontId="40" fillId="0" borderId="0" pivotButton="0" quotePrefix="0" xfId="0"/>
    <xf numFmtId="0" fontId="4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The largest moves since the report baseline</a:t>
            </a:r>
          </a:p>
        </rich>
      </tx>
    </title>
    <plotArea>
      <barChart>
        <barDir val="bar"/>
        <grouping val="clustered"/>
        <ser>
          <idx val="0"/>
          <order val="0"/>
          <tx>
            <strRef>
              <f>'Overview'!C105</f>
            </strRef>
          </tx>
          <spPr>
            <a:ln>
              <a:prstDash val="solid"/>
            </a:ln>
          </spPr>
          <dPt>
            <idx val="0"/>
            <spPr>
              <a:solidFill>
                <a:srgbClr val="4D7E83"/>
              </a:solidFill>
              <a:ln>
                <a:noFill/>
                <a:prstDash val="solid"/>
              </a:ln>
            </spPr>
          </dPt>
          <dPt>
            <idx val="1"/>
            <spPr>
              <a:solidFill>
                <a:srgbClr val="4D7E83"/>
              </a:solidFill>
              <a:ln>
                <a:noFill/>
                <a:prstDash val="solid"/>
              </a:ln>
            </spPr>
          </dPt>
          <dPt>
            <idx val="2"/>
            <spPr>
              <a:solidFill>
                <a:srgbClr val="4D7E83"/>
              </a:solidFill>
              <a:ln>
                <a:noFill/>
                <a:prstDash val="solid"/>
              </a:ln>
            </spPr>
          </dPt>
          <dPt>
            <idx val="3"/>
            <spPr>
              <a:solidFill>
                <a:srgbClr val="4D7E83"/>
              </a:solidFill>
              <a:ln>
                <a:noFill/>
                <a:prstDash val="solid"/>
              </a:ln>
            </spPr>
          </dPt>
          <dPt>
            <idx val="4"/>
            <spPr>
              <a:solidFill>
                <a:srgbClr val="4D7E83"/>
              </a:solidFill>
              <a:ln>
                <a:noFill/>
                <a:prstDash val="solid"/>
              </a:ln>
            </spPr>
          </dPt>
          <dPt>
            <idx val="5"/>
            <spPr>
              <a:solidFill>
                <a:srgbClr val="4D7E83"/>
              </a:solidFill>
              <a:ln>
                <a:noFill/>
                <a:prstDash val="solid"/>
              </a:ln>
            </spPr>
          </dPt>
          <dPt>
            <idx val="6"/>
            <spPr>
              <a:solidFill>
                <a:srgbClr val="F59E2D"/>
              </a:solidFill>
              <a:ln>
                <a:noFill/>
                <a:prstDash val="solid"/>
              </a:ln>
            </spPr>
          </dPt>
          <dPt>
            <idx val="7"/>
            <spPr>
              <a:solidFill>
                <a:srgbClr val="4D7E83"/>
              </a:solidFill>
              <a:ln>
                <a:noFill/>
                <a:prstDash val="solid"/>
              </a:ln>
            </spPr>
          </dPt>
          <dPt>
            <idx val="8"/>
            <spPr>
              <a:solidFill>
                <a:srgbClr val="F59E2D"/>
              </a:solidFill>
              <a:ln>
                <a:noFill/>
                <a:prstDash val="solid"/>
              </a:ln>
            </spPr>
          </dPt>
          <dPt>
            <idx val="9"/>
            <spPr>
              <a:solidFill>
                <a:srgbClr val="F59E2D"/>
              </a:solidFill>
              <a:ln>
                <a:noFill/>
                <a:prstDash val="solid"/>
              </a:ln>
            </spPr>
          </dPt>
          <dPt>
            <idx val="10"/>
            <spPr>
              <a:solidFill>
                <a:srgbClr val="F59E2D"/>
              </a:solidFill>
              <a:ln>
                <a:noFill/>
                <a:prstDash val="solid"/>
              </a:ln>
            </spPr>
          </dPt>
          <dPt>
            <idx val="11"/>
            <spPr>
              <a:solidFill>
                <a:srgbClr val="4D7E83"/>
              </a:solidFill>
              <a:ln>
                <a:noFill/>
                <a:prstDash val="solid"/>
              </a:ln>
            </spPr>
          </dPt>
          <dPt>
            <idx val="12"/>
            <spPr>
              <a:solidFill>
                <a:srgbClr val="4D7E83"/>
              </a:solidFill>
              <a:ln>
                <a:noFill/>
                <a:prstDash val="solid"/>
              </a:ln>
            </spPr>
          </dPt>
          <dPt>
            <idx val="13"/>
            <spPr>
              <a:solidFill>
                <a:srgbClr val="F59E2D"/>
              </a:solidFill>
              <a:ln>
                <a:noFill/>
                <a:prstDash val="solid"/>
              </a:ln>
            </spPr>
          </dPt>
          <dPt>
            <idx val="14"/>
            <spPr>
              <a:solidFill>
                <a:srgbClr val="F59E2D"/>
              </a:solidFill>
              <a:ln>
                <a:noFill/>
                <a:prstDash val="solid"/>
              </a:ln>
            </spPr>
          </dPt>
          <dPt>
            <idx val="15"/>
            <spPr>
              <a:solidFill>
                <a:srgbClr val="F59E2D"/>
              </a:solidFill>
              <a:ln>
                <a:noFill/>
                <a:prstDash val="solid"/>
              </a:ln>
            </spPr>
          </dPt>
          <dPt>
            <idx val="16"/>
            <spPr>
              <a:solidFill>
                <a:srgbClr val="F59E2D"/>
              </a:solidFill>
              <a:ln>
                <a:noFill/>
                <a:prstDash val="solid"/>
              </a:ln>
            </spPr>
          </dPt>
          <dPt>
            <idx val="17"/>
            <spPr>
              <a:solidFill>
                <a:srgbClr val="F59E2D"/>
              </a:solidFill>
              <a:ln>
                <a:noFill/>
                <a:prstDash val="solid"/>
              </a:ln>
            </spPr>
          </dPt>
          <cat>
            <strRef>
              <f>'Overview'!$B$106:$B$123</f>
            </strRef>
          </cat>
          <val>
            <numRef>
              <f>'Overview'!$C$106:$C$123</f>
            </numRef>
          </val>
        </ser>
        <gapWidth val="150"/>
        <axId val="10"/>
        <axId val="100"/>
      </barChart>
      <catAx>
        <axId val="10"/>
        <scaling>
          <orientation val="minMax"/>
        </scaling>
        <delete val="0"/>
        <axPos val="l"/>
        <title>
          <tx>
            <rich>
              <a:bodyPr/>
              <a:p>
                <a:pPr>
                  <a:defRPr/>
                </a:pPr>
                <a:r>
                  <a:t>Change vs the report's last figure (%)</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How much of each chapter has moved on since the report</a:t>
            </a:r>
          </a:p>
        </rich>
      </tx>
    </title>
    <plotArea>
      <barChart>
        <barDir val="col"/>
        <grouping val="stacked"/>
        <ser>
          <idx val="0"/>
          <order val="0"/>
          <tx>
            <strRef>
              <f>'Overview'!C126</f>
            </strRef>
          </tx>
          <spPr>
            <a:solidFill>
              <a:srgbClr val="4D7E83"/>
            </a:solidFill>
            <a:ln>
              <a:noFill/>
              <a:prstDash val="solid"/>
            </a:ln>
          </spPr>
          <cat>
            <strRef>
              <f>'Overview'!$B$127:$B$135</f>
            </strRef>
          </cat>
          <val>
            <numRef>
              <f>'Overview'!$C$127:$C$135</f>
            </numRef>
          </val>
        </ser>
        <ser>
          <idx val="1"/>
          <order val="1"/>
          <tx>
            <strRef>
              <f>'Overview'!D126</f>
            </strRef>
          </tx>
          <spPr>
            <a:solidFill>
              <a:srgbClr val="D8E7E8"/>
            </a:solidFill>
            <a:ln>
              <a:noFill/>
              <a:prstDash val="solid"/>
            </a:ln>
          </spPr>
          <cat>
            <strRef>
              <f>'Overview'!$B$127:$B$135</f>
            </strRef>
          </cat>
          <val>
            <numRef>
              <f>'Overview'!$D$127:$D$135</f>
            </numRef>
          </val>
        </ser>
        <gapWidth val="150"/>
        <overlap val="100"/>
        <axId val="10"/>
        <axId val="100"/>
      </bar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Indicators</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O1 — Total EU GHG emissions (European Climate Law scope)</a:t>
            </a:r>
          </a:p>
        </rich>
      </tx>
    </title>
    <plotArea>
      <lineChart>
        <grouping val="standard"/>
        <ser>
          <idx val="0"/>
          <order val="0"/>
          <tx>
            <strRef>
              <f>'Emissions'!B10</f>
            </strRef>
          </tx>
          <spPr>
            <a:ln w="22000">
              <a:solidFill>
                <a:srgbClr val="4D7E83"/>
              </a:solidFill>
              <a:prstDash val="solid"/>
            </a:ln>
          </spPr>
          <marker>
            <symbol val="none"/>
            <spPr>
              <a:ln>
                <a:prstDash val="solid"/>
              </a:ln>
            </spPr>
          </marker>
          <cat>
            <numRef>
              <f>'Emissions'!$A$11:$A$30</f>
            </numRef>
          </cat>
          <val>
            <numRef>
              <f>'Emissions'!$B$11:$B$30</f>
            </numRef>
          </val>
          <smooth val="0"/>
        </ser>
        <ser>
          <idx val="1"/>
          <order val="1"/>
          <tx>
            <strRef>
              <f>'Emissions'!C10</f>
            </strRef>
          </tx>
          <spPr>
            <a:ln w="22000">
              <a:solidFill>
                <a:srgbClr val="F59E2D"/>
              </a:solidFill>
              <a:prstDash val="dash"/>
            </a:ln>
          </spPr>
          <marker>
            <symbol val="circle"/>
            <size val="5"/>
            <spPr>
              <a:ln>
                <a:prstDash val="solid"/>
              </a:ln>
            </spPr>
          </marker>
          <cat>
            <numRef>
              <f>'Emissions'!$A$11:$A$30</f>
            </numRef>
          </cat>
          <val>
            <numRef>
              <f>'Emissions'!$C$11:$C$30</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E1 — Energy supply GHG emissions</a:t>
            </a:r>
          </a:p>
        </rich>
      </tx>
    </title>
    <plotArea>
      <lineChart>
        <grouping val="standard"/>
        <ser>
          <idx val="0"/>
          <order val="0"/>
          <tx>
            <strRef>
              <f>'Energy supply'!B16</f>
            </strRef>
          </tx>
          <spPr>
            <a:ln w="22000">
              <a:solidFill>
                <a:srgbClr val="3A6165"/>
              </a:solidFill>
              <a:prstDash val="solid"/>
            </a:ln>
          </spPr>
          <marker>
            <symbol val="none"/>
            <spPr>
              <a:ln>
                <a:prstDash val="solid"/>
              </a:ln>
            </spPr>
          </marker>
          <cat>
            <numRef>
              <f>'Energy supply'!$A$17:$A$36</f>
            </numRef>
          </cat>
          <val>
            <numRef>
              <f>'Energy supply'!$B$17:$B$36</f>
            </numRef>
          </val>
          <smooth val="0"/>
        </ser>
        <ser>
          <idx val="1"/>
          <order val="1"/>
          <tx>
            <strRef>
              <f>'Energy supply'!C16</f>
            </strRef>
          </tx>
          <spPr>
            <a:ln w="22000">
              <a:solidFill>
                <a:srgbClr val="F59E2D"/>
              </a:solidFill>
              <a:prstDash val="dash"/>
            </a:ln>
          </spPr>
          <marker>
            <symbol val="circle"/>
            <size val="5"/>
            <spPr>
              <a:ln>
                <a:prstDash val="solid"/>
              </a:ln>
            </spPr>
          </marker>
          <cat>
            <numRef>
              <f>'Energy supply'!$A$17:$A$36</f>
            </numRef>
          </cat>
          <val>
            <numRef>
              <f>'Energy supply'!$C$17:$C$36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E2 (fossil) — Fossil share of EU electricity mix</a:t>
            </a:r>
          </a:p>
        </rich>
      </tx>
    </title>
    <plotArea>
      <lineChart>
        <grouping val="standard"/>
        <ser>
          <idx val="0"/>
          <order val="0"/>
          <tx>
            <strRef>
              <f>'Energy supply'!B40</f>
            </strRef>
          </tx>
          <spPr>
            <a:ln w="22000">
              <a:solidFill>
                <a:srgbClr val="3A6165"/>
              </a:solidFill>
              <a:prstDash val="solid"/>
            </a:ln>
          </spPr>
          <marker>
            <symbol val="none"/>
            <spPr>
              <a:ln>
                <a:prstDash val="solid"/>
              </a:ln>
            </spPr>
          </marker>
          <cat>
            <numRef>
              <f>'Energy supply'!$A$41:$A$60</f>
            </numRef>
          </cat>
          <val>
            <numRef>
              <f>'Energy supply'!$B$41:$B$60</f>
            </numRef>
          </val>
          <smooth val="0"/>
        </ser>
        <ser>
          <idx val="1"/>
          <order val="1"/>
          <tx>
            <strRef>
              <f>'Energy supply'!C40</f>
            </strRef>
          </tx>
          <spPr>
            <a:ln w="22000">
              <a:solidFill>
                <a:srgbClr val="F59E2D"/>
              </a:solidFill>
              <a:prstDash val="dash"/>
            </a:ln>
          </spPr>
          <marker>
            <symbol val="circle"/>
            <size val="5"/>
            <spPr>
              <a:ln>
                <a:prstDash val="solid"/>
              </a:ln>
            </spPr>
          </marker>
          <cat>
            <numRef>
              <f>'Energy supply'!$A$41:$A$60</f>
            </numRef>
          </cat>
          <val>
            <numRef>
              <f>'Energy supply'!$C$41:$C$60</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E2 (RES) — Non-biomass renewable share of EU electricity mix</a:t>
            </a:r>
          </a:p>
        </rich>
      </tx>
    </title>
    <plotArea>
      <lineChart>
        <grouping val="standard"/>
        <ser>
          <idx val="0"/>
          <order val="0"/>
          <tx>
            <strRef>
              <f>'Energy supply'!B64</f>
            </strRef>
          </tx>
          <spPr>
            <a:ln w="22000">
              <a:solidFill>
                <a:srgbClr val="3A6165"/>
              </a:solidFill>
              <a:prstDash val="solid"/>
            </a:ln>
          </spPr>
          <marker>
            <symbol val="none"/>
            <spPr>
              <a:ln>
                <a:prstDash val="solid"/>
              </a:ln>
            </spPr>
          </marker>
          <cat>
            <numRef>
              <f>'Energy supply'!$A$65:$A$84</f>
            </numRef>
          </cat>
          <val>
            <numRef>
              <f>'Energy supply'!$B$65:$B$84</f>
            </numRef>
          </val>
          <smooth val="0"/>
        </ser>
        <ser>
          <idx val="1"/>
          <order val="1"/>
          <tx>
            <strRef>
              <f>'Energy supply'!C64</f>
            </strRef>
          </tx>
          <spPr>
            <a:ln w="22000">
              <a:solidFill>
                <a:srgbClr val="F59E2D"/>
              </a:solidFill>
              <a:prstDash val="dash"/>
            </a:ln>
          </spPr>
          <marker>
            <symbol val="circle"/>
            <size val="5"/>
            <spPr>
              <a:ln>
                <a:prstDash val="solid"/>
              </a:ln>
            </spPr>
          </marker>
          <cat>
            <numRef>
              <f>'Energy supply'!$A$65:$A$84</f>
            </numRef>
          </cat>
          <val>
            <numRef>
              <f>'Energy supply'!$C$65:$C$84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E3 — Average GHG intensity of EU electricity</a:t>
            </a:r>
          </a:p>
        </rich>
      </tx>
    </title>
    <plotArea>
      <lineChart>
        <grouping val="standard"/>
        <ser>
          <idx val="0"/>
          <order val="0"/>
          <tx>
            <strRef>
              <f>'Energy supply'!B88</f>
            </strRef>
          </tx>
          <spPr>
            <a:ln w="22000">
              <a:solidFill>
                <a:srgbClr val="3A6165"/>
              </a:solidFill>
              <a:prstDash val="solid"/>
            </a:ln>
          </spPr>
          <marker>
            <symbol val="none"/>
            <spPr>
              <a:ln>
                <a:prstDash val="solid"/>
              </a:ln>
            </spPr>
          </marker>
          <cat>
            <numRef>
              <f>'Energy supply'!$A$89:$A$108</f>
            </numRef>
          </cat>
          <val>
            <numRef>
              <f>'Energy supply'!$B$89:$B$108</f>
            </numRef>
          </val>
          <smooth val="0"/>
        </ser>
        <ser>
          <idx val="1"/>
          <order val="1"/>
          <tx>
            <strRef>
              <f>'Energy supply'!C88</f>
            </strRef>
          </tx>
          <spPr>
            <a:ln w="22000">
              <a:solidFill>
                <a:srgbClr val="F59E2D"/>
              </a:solidFill>
              <a:prstDash val="dash"/>
            </a:ln>
          </spPr>
          <marker>
            <symbol val="circle"/>
            <size val="5"/>
            <spPr>
              <a:ln>
                <a:prstDash val="solid"/>
              </a:ln>
            </spPr>
          </marker>
          <cat>
            <numRef>
              <f>'Energy supply'!$A$89:$A$108</f>
            </numRef>
          </cat>
          <val>
            <numRef>
              <f>'Energy supply'!$C$89:$C$108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g CO₂eq/kWh</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E4a — Annual solar PV capacity additions (EU)</a:t>
            </a:r>
          </a:p>
        </rich>
      </tx>
    </title>
    <plotArea>
      <lineChart>
        <grouping val="standard"/>
        <ser>
          <idx val="0"/>
          <order val="0"/>
          <tx>
            <strRef>
              <f>'Energy supply'!B112</f>
            </strRef>
          </tx>
          <spPr>
            <a:ln w="22000">
              <a:solidFill>
                <a:srgbClr val="3A6165"/>
              </a:solidFill>
              <a:prstDash val="solid"/>
            </a:ln>
          </spPr>
          <marker>
            <symbol val="none"/>
            <spPr>
              <a:ln>
                <a:prstDash val="solid"/>
              </a:ln>
            </spPr>
          </marker>
          <cat>
            <numRef>
              <f>'Energy supply'!$A$113:$A$131</f>
            </numRef>
          </cat>
          <val>
            <numRef>
              <f>'Energy supply'!$B$113:$B$131</f>
            </numRef>
          </val>
          <smooth val="0"/>
        </ser>
        <ser>
          <idx val="1"/>
          <order val="1"/>
          <tx>
            <strRef>
              <f>'Energy supply'!C112</f>
            </strRef>
          </tx>
          <spPr>
            <a:ln w="22000">
              <a:solidFill>
                <a:srgbClr val="F59E2D"/>
              </a:solidFill>
              <a:prstDash val="dash"/>
            </a:ln>
          </spPr>
          <marker>
            <symbol val="circle"/>
            <size val="5"/>
            <spPr>
              <a:ln>
                <a:prstDash val="solid"/>
              </a:ln>
            </spPr>
          </marker>
          <cat>
            <numRef>
              <f>'Energy supply'!$A$113:$A$131</f>
            </numRef>
          </cat>
          <val>
            <numRef>
              <f>'Energy supply'!$C$113:$C$131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GW/yr</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E4b/c — Annual wind capacity additions (EU)</a:t>
            </a:r>
          </a:p>
        </rich>
      </tx>
    </title>
    <plotArea>
      <lineChart>
        <grouping val="standard"/>
        <ser>
          <idx val="0"/>
          <order val="0"/>
          <tx>
            <strRef>
              <f>'Energy supply'!B135</f>
            </strRef>
          </tx>
          <spPr>
            <a:ln w="22000">
              <a:solidFill>
                <a:srgbClr val="3A6165"/>
              </a:solidFill>
              <a:prstDash val="solid"/>
            </a:ln>
          </spPr>
          <marker>
            <symbol val="none"/>
            <spPr>
              <a:ln>
                <a:prstDash val="solid"/>
              </a:ln>
            </spPr>
          </marker>
          <cat>
            <numRef>
              <f>'Energy supply'!$A$136:$A$154</f>
            </numRef>
          </cat>
          <val>
            <numRef>
              <f>'Energy supply'!$B$136:$B$154</f>
            </numRef>
          </val>
          <smooth val="0"/>
        </ser>
        <ser>
          <idx val="1"/>
          <order val="1"/>
          <tx>
            <strRef>
              <f>'Energy supply'!C135</f>
            </strRef>
          </tx>
          <spPr>
            <a:ln w="22000">
              <a:solidFill>
                <a:srgbClr val="F59E2D"/>
              </a:solidFill>
              <a:prstDash val="dash"/>
            </a:ln>
          </spPr>
          <marker>
            <symbol val="circle"/>
            <size val="5"/>
            <spPr>
              <a:ln>
                <a:prstDash val="solid"/>
              </a:ln>
            </spPr>
          </marker>
          <cat>
            <numRef>
              <f>'Energy supply'!$A$136:$A$154</f>
            </numRef>
          </cat>
          <val>
            <numRef>
              <f>'Energy supply'!$C$136:$C$154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GW/yr</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E6 — Energy-related methane emissions (EU-27)</a:t>
            </a:r>
          </a:p>
        </rich>
      </tx>
    </title>
    <plotArea>
      <lineChart>
        <grouping val="standard"/>
        <ser>
          <idx val="0"/>
          <order val="0"/>
          <tx>
            <strRef>
              <f>'Energy supply'!B158</f>
            </strRef>
          </tx>
          <spPr>
            <a:ln w="22000">
              <a:solidFill>
                <a:srgbClr val="3A6165"/>
              </a:solidFill>
              <a:prstDash val="solid"/>
            </a:ln>
          </spPr>
          <marker>
            <symbol val="none"/>
            <spPr>
              <a:ln>
                <a:prstDash val="solid"/>
              </a:ln>
            </spPr>
          </marker>
          <cat>
            <numRef>
              <f>'Energy supply'!$A$159:$A$178</f>
            </numRef>
          </cat>
          <val>
            <numRef>
              <f>'Energy supply'!$B$159:$B$178</f>
            </numRef>
          </val>
          <smooth val="0"/>
        </ser>
        <ser>
          <idx val="1"/>
          <order val="1"/>
          <tx>
            <strRef>
              <f>'Energy supply'!C158</f>
            </strRef>
          </tx>
          <spPr>
            <a:ln w="22000">
              <a:solidFill>
                <a:srgbClr val="F59E2D"/>
              </a:solidFill>
              <a:prstDash val="dash"/>
            </a:ln>
          </spPr>
          <marker>
            <symbol val="circle"/>
            <size val="5"/>
            <spPr>
              <a:ln>
                <a:prstDash val="solid"/>
              </a:ln>
            </spPr>
          </marker>
          <cat>
            <numRef>
              <f>'Energy supply'!$A$159:$A$178</f>
            </numRef>
          </cat>
          <val>
            <numRef>
              <f>'Energy supply'!$C$159:$C$178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O2 (PEC) — Primary energy consumption (EU-27)</a:t>
            </a:r>
          </a:p>
        </rich>
      </tx>
    </title>
    <plotArea>
      <lineChart>
        <grouping val="standard"/>
        <ser>
          <idx val="0"/>
          <order val="0"/>
          <tx>
            <strRef>
              <f>'Energy demand'!B13</f>
            </strRef>
          </tx>
          <spPr>
            <a:ln w="22000">
              <a:solidFill>
                <a:srgbClr val="648ECA"/>
              </a:solidFill>
              <a:prstDash val="solid"/>
            </a:ln>
          </spPr>
          <marker>
            <symbol val="none"/>
            <spPr>
              <a:ln>
                <a:prstDash val="solid"/>
              </a:ln>
            </spPr>
          </marker>
          <cat>
            <numRef>
              <f>'Energy demand'!$A$14:$A$33</f>
            </numRef>
          </cat>
          <val>
            <numRef>
              <f>'Energy demand'!$B$14:$B$33</f>
            </numRef>
          </val>
          <smooth val="0"/>
        </ser>
        <ser>
          <idx val="1"/>
          <order val="1"/>
          <tx>
            <strRef>
              <f>'Energy demand'!C13</f>
            </strRef>
          </tx>
          <spPr>
            <a:ln w="22000">
              <a:solidFill>
                <a:srgbClr val="F59E2D"/>
              </a:solidFill>
              <a:prstDash val="dash"/>
            </a:ln>
          </spPr>
          <marker>
            <symbol val="circle"/>
            <size val="5"/>
            <spPr>
              <a:ln>
                <a:prstDash val="solid"/>
              </a:ln>
            </spPr>
          </marker>
          <cat>
            <numRef>
              <f>'Energy demand'!$A$14:$A$33</f>
            </numRef>
          </cat>
          <val>
            <numRef>
              <f>'Energy demand'!$C$14:$C$33</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TWh</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O2 (FEC) — Final energy consumption (EU-27)</a:t>
            </a:r>
          </a:p>
        </rich>
      </tx>
    </title>
    <plotArea>
      <lineChart>
        <grouping val="standard"/>
        <ser>
          <idx val="0"/>
          <order val="0"/>
          <tx>
            <strRef>
              <f>'Energy demand'!B37</f>
            </strRef>
          </tx>
          <spPr>
            <a:ln w="22000">
              <a:solidFill>
                <a:srgbClr val="648ECA"/>
              </a:solidFill>
              <a:prstDash val="solid"/>
            </a:ln>
          </spPr>
          <marker>
            <symbol val="none"/>
            <spPr>
              <a:ln>
                <a:prstDash val="solid"/>
              </a:ln>
            </spPr>
          </marker>
          <cat>
            <numRef>
              <f>'Energy demand'!$A$38:$A$57</f>
            </numRef>
          </cat>
          <val>
            <numRef>
              <f>'Energy demand'!$B$38:$B$57</f>
            </numRef>
          </val>
          <smooth val="0"/>
        </ser>
        <ser>
          <idx val="1"/>
          <order val="1"/>
          <tx>
            <strRef>
              <f>'Energy demand'!C37</f>
            </strRef>
          </tx>
          <spPr>
            <a:ln w="22000">
              <a:solidFill>
                <a:srgbClr val="F59E2D"/>
              </a:solidFill>
              <a:prstDash val="dash"/>
            </a:ln>
          </spPr>
          <marker>
            <symbol val="circle"/>
            <size val="5"/>
            <spPr>
              <a:ln>
                <a:prstDash val="solid"/>
              </a:ln>
            </spPr>
          </marker>
          <cat>
            <numRef>
              <f>'Energy demand'!$A$38:$A$57</f>
            </numRef>
          </cat>
          <val>
            <numRef>
              <f>'Energy demand'!$C$38:$C$57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TWh</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O3 — Gross inland energy consumption (EU-27)</a:t>
            </a:r>
          </a:p>
        </rich>
      </tx>
    </title>
    <plotArea>
      <lineChart>
        <grouping val="standard"/>
        <ser>
          <idx val="0"/>
          <order val="0"/>
          <tx>
            <strRef>
              <f>'Energy demand'!B61</f>
            </strRef>
          </tx>
          <spPr>
            <a:ln w="22000">
              <a:solidFill>
                <a:srgbClr val="648ECA"/>
              </a:solidFill>
              <a:prstDash val="solid"/>
            </a:ln>
          </spPr>
          <marker>
            <symbol val="none"/>
            <spPr>
              <a:ln>
                <a:prstDash val="solid"/>
              </a:ln>
            </spPr>
          </marker>
          <cat>
            <numRef>
              <f>'Energy demand'!$A$62:$A$81</f>
            </numRef>
          </cat>
          <val>
            <numRef>
              <f>'Energy demand'!$B$62:$B$81</f>
            </numRef>
          </val>
          <smooth val="0"/>
        </ser>
        <ser>
          <idx val="1"/>
          <order val="1"/>
          <tx>
            <strRef>
              <f>'Energy demand'!C61</f>
            </strRef>
          </tx>
          <spPr>
            <a:ln w="22000">
              <a:solidFill>
                <a:srgbClr val="F59E2D"/>
              </a:solidFill>
              <a:prstDash val="dash"/>
            </a:ln>
          </spPr>
          <marker>
            <symbol val="circle"/>
            <size val="5"/>
            <spPr>
              <a:ln>
                <a:prstDash val="solid"/>
              </a:ln>
            </spPr>
          </marker>
          <cat>
            <numRef>
              <f>'Energy demand'!$A$62:$A$81</f>
            </numRef>
          </cat>
          <val>
            <numRef>
              <f>'Energy demand'!$C$62:$C$81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TWh</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E5 — Electrification rate of final energy use</a:t>
            </a:r>
          </a:p>
        </rich>
      </tx>
    </title>
    <plotArea>
      <lineChart>
        <grouping val="standard"/>
        <ser>
          <idx val="0"/>
          <order val="0"/>
          <tx>
            <strRef>
              <f>'Energy demand'!B85</f>
            </strRef>
          </tx>
          <spPr>
            <a:ln w="22000">
              <a:solidFill>
                <a:srgbClr val="648ECA"/>
              </a:solidFill>
              <a:prstDash val="solid"/>
            </a:ln>
          </spPr>
          <marker>
            <symbol val="none"/>
            <spPr>
              <a:ln>
                <a:prstDash val="solid"/>
              </a:ln>
            </spPr>
          </marker>
          <cat>
            <numRef>
              <f>'Energy demand'!$A$86:$A$105</f>
            </numRef>
          </cat>
          <val>
            <numRef>
              <f>'Energy demand'!$B$86:$B$105</f>
            </numRef>
          </val>
          <smooth val="0"/>
        </ser>
        <ser>
          <idx val="1"/>
          <order val="1"/>
          <tx>
            <strRef>
              <f>'Energy demand'!C85</f>
            </strRef>
          </tx>
          <spPr>
            <a:ln w="22000">
              <a:solidFill>
                <a:srgbClr val="F59E2D"/>
              </a:solidFill>
              <a:prstDash val="dash"/>
            </a:ln>
          </spPr>
          <marker>
            <symbol val="circle"/>
            <size val="5"/>
            <spPr>
              <a:ln>
                <a:prstDash val="solid"/>
              </a:ln>
            </spPr>
          </marker>
          <cat>
            <numRef>
              <f>'Energy demand'!$A$86:$A$105</f>
            </numRef>
          </cat>
          <val>
            <numRef>
              <f>'Energy demand'!$C$86:$C$105</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I1 — Industrial GHG emissions</a:t>
            </a:r>
          </a:p>
        </rich>
      </tx>
    </title>
    <plotArea>
      <lineChart>
        <grouping val="standard"/>
        <ser>
          <idx val="0"/>
          <order val="0"/>
          <tx>
            <strRef>
              <f>'Industry'!B27</f>
            </strRef>
          </tx>
          <spPr>
            <a:ln w="22000">
              <a:solidFill>
                <a:srgbClr val="B04545"/>
              </a:solidFill>
              <a:prstDash val="solid"/>
            </a:ln>
          </spPr>
          <marker>
            <symbol val="none"/>
            <spPr>
              <a:ln>
                <a:prstDash val="solid"/>
              </a:ln>
            </spPr>
          </marker>
          <cat>
            <numRef>
              <f>'Industry'!$A$28:$A$47</f>
            </numRef>
          </cat>
          <val>
            <numRef>
              <f>'Industry'!$B$28:$B$47</f>
            </numRef>
          </val>
          <smooth val="0"/>
        </ser>
        <ser>
          <idx val="1"/>
          <order val="1"/>
          <tx>
            <strRef>
              <f>'Industry'!C27</f>
            </strRef>
          </tx>
          <spPr>
            <a:ln w="22000">
              <a:solidFill>
                <a:srgbClr val="F59E2D"/>
              </a:solidFill>
              <a:prstDash val="dash"/>
            </a:ln>
          </spPr>
          <marker>
            <symbol val="circle"/>
            <size val="5"/>
            <spPr>
              <a:ln>
                <a:prstDash val="solid"/>
              </a:ln>
            </spPr>
          </marker>
          <cat>
            <numRef>
              <f>'Industry'!$A$28:$A$47</f>
            </numRef>
          </cat>
          <val>
            <numRef>
              <f>'Industry'!$C$28:$C$47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I3 — Circular material use rate (EU)</a:t>
            </a:r>
          </a:p>
        </rich>
      </tx>
    </title>
    <plotArea>
      <lineChart>
        <grouping val="standard"/>
        <ser>
          <idx val="0"/>
          <order val="0"/>
          <tx>
            <strRef>
              <f>'Industry'!B51</f>
            </strRef>
          </tx>
          <spPr>
            <a:ln w="22000">
              <a:solidFill>
                <a:srgbClr val="B04545"/>
              </a:solidFill>
              <a:prstDash val="solid"/>
            </a:ln>
          </spPr>
          <marker>
            <symbol val="none"/>
            <spPr>
              <a:ln>
                <a:prstDash val="solid"/>
              </a:ln>
            </spPr>
          </marker>
          <cat>
            <numRef>
              <f>'Industry'!$A$52:$A$66</f>
            </numRef>
          </cat>
          <val>
            <numRef>
              <f>'Industry'!$B$52:$B$66</f>
            </numRef>
          </val>
          <smooth val="0"/>
        </ser>
        <ser>
          <idx val="1"/>
          <order val="1"/>
          <tx>
            <strRef>
              <f>'Industry'!C51</f>
            </strRef>
          </tx>
          <spPr>
            <a:ln w="22000">
              <a:solidFill>
                <a:srgbClr val="F59E2D"/>
              </a:solidFill>
              <a:prstDash val="dash"/>
            </a:ln>
          </spPr>
          <marker>
            <symbol val="circle"/>
            <size val="5"/>
            <spPr>
              <a:ln>
                <a:prstDash val="solid"/>
              </a:ln>
            </spPr>
          </marker>
          <cat>
            <numRef>
              <f>'Industry'!$A$52:$A$66</f>
            </numRef>
          </cat>
          <val>
            <numRef>
              <f>'Industry'!$C$52:$C$66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I4 (steel) — GHG intensity of EU steel production</a:t>
            </a:r>
          </a:p>
        </rich>
      </tx>
    </title>
    <plotArea>
      <lineChart>
        <grouping val="standard"/>
        <ser>
          <idx val="0"/>
          <order val="0"/>
          <tx>
            <strRef>
              <f>'Industry'!B70</f>
            </strRef>
          </tx>
          <spPr>
            <a:ln w="22000">
              <a:solidFill>
                <a:srgbClr val="B04545"/>
              </a:solidFill>
              <a:prstDash val="solid"/>
            </a:ln>
          </spPr>
          <marker>
            <symbol val="none"/>
            <spPr>
              <a:ln>
                <a:prstDash val="solid"/>
              </a:ln>
            </spPr>
          </marker>
          <cat>
            <numRef>
              <f>'Industry'!$A$71:$A$84</f>
            </numRef>
          </cat>
          <val>
            <numRef>
              <f>'Industry'!$B$71:$B$84</f>
            </numRef>
          </val>
          <smooth val="0"/>
        </ser>
        <ser>
          <idx val="1"/>
          <order val="1"/>
          <tx>
            <strRef>
              <f>'Industry'!C70</f>
            </strRef>
          </tx>
          <spPr>
            <a:ln w="22000">
              <a:solidFill>
                <a:srgbClr val="F59E2D"/>
              </a:solidFill>
              <a:prstDash val="dash"/>
            </a:ln>
          </spPr>
          <marker>
            <symbol val="circle"/>
            <size val="5"/>
            <spPr>
              <a:ln>
                <a:prstDash val="solid"/>
              </a:ln>
            </spPr>
          </marker>
          <cat>
            <numRef>
              <f>'Industry'!$A$71:$A$84</f>
            </numRef>
          </cat>
          <val>
            <numRef>
              <f>'Industry'!$C$71:$C$84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 CO₂eq/t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I4 (cement) — GHG intensity of EU cement production</a:t>
            </a:r>
          </a:p>
        </rich>
      </tx>
    </title>
    <plotArea>
      <lineChart>
        <grouping val="standard"/>
        <ser>
          <idx val="0"/>
          <order val="0"/>
          <tx>
            <strRef>
              <f>'Industry'!B88</f>
            </strRef>
          </tx>
          <spPr>
            <a:ln w="22000">
              <a:solidFill>
                <a:srgbClr val="B04545"/>
              </a:solidFill>
              <a:prstDash val="solid"/>
            </a:ln>
          </spPr>
          <marker>
            <symbol val="none"/>
            <spPr>
              <a:ln>
                <a:prstDash val="solid"/>
              </a:ln>
            </spPr>
          </marker>
          <cat>
            <numRef>
              <f>'Industry'!$A$89:$A$105</f>
            </numRef>
          </cat>
          <val>
            <numRef>
              <f>'Industry'!$B$89:$B$105</f>
            </numRef>
          </val>
          <smooth val="0"/>
        </ser>
        <ser>
          <idx val="1"/>
          <order val="1"/>
          <tx>
            <strRef>
              <f>'Industry'!C88</f>
            </strRef>
          </tx>
          <spPr>
            <a:ln w="22000">
              <a:solidFill>
                <a:srgbClr val="F59E2D"/>
              </a:solidFill>
              <a:prstDash val="dash"/>
            </a:ln>
          </spPr>
          <marker>
            <symbol val="circle"/>
            <size val="5"/>
            <spPr>
              <a:ln>
                <a:prstDash val="solid"/>
              </a:ln>
            </spPr>
          </marker>
          <cat>
            <numRef>
              <f>'Industry'!$A$89:$A$105</f>
            </numRef>
          </cat>
          <val>
            <numRef>
              <f>'Industry'!$C$89:$C$105</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 CO₂eq/t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1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I4 (chemicals) — GHG intensity of EU base organic chemicals</a:t>
            </a:r>
          </a:p>
        </rich>
      </tx>
    </title>
    <plotArea>
      <lineChart>
        <grouping val="standard"/>
        <ser>
          <idx val="0"/>
          <order val="0"/>
          <tx>
            <strRef>
              <f>'Industry'!B109</f>
            </strRef>
          </tx>
          <spPr>
            <a:ln w="22000">
              <a:solidFill>
                <a:srgbClr val="B04545"/>
              </a:solidFill>
              <a:prstDash val="solid"/>
            </a:ln>
          </spPr>
          <marker>
            <symbol val="none"/>
            <spPr>
              <a:ln>
                <a:prstDash val="solid"/>
              </a:ln>
            </spPr>
          </marker>
          <cat>
            <numRef>
              <f>'Industry'!$A$110:$A$119</f>
            </numRef>
          </cat>
          <val>
            <numRef>
              <f>'Industry'!$B$110:$B$119</f>
            </numRef>
          </val>
          <smooth val="0"/>
        </ser>
        <ser>
          <idx val="1"/>
          <order val="1"/>
          <tx>
            <strRef>
              <f>'Industry'!C109</f>
            </strRef>
          </tx>
          <spPr>
            <a:ln w="22000">
              <a:solidFill>
                <a:srgbClr val="F59E2D"/>
              </a:solidFill>
              <a:prstDash val="dash"/>
            </a:ln>
          </spPr>
          <marker>
            <symbol val="circle"/>
            <size val="5"/>
            <spPr>
              <a:ln>
                <a:prstDash val="solid"/>
              </a:ln>
            </spPr>
          </marker>
          <cat>
            <numRef>
              <f>'Industry'!$A$110:$A$119</f>
            </numRef>
          </cat>
          <val>
            <numRef>
              <f>'Industry'!$C$110:$C$119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 CO₂eq/t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I5 — Industrial final energy consumption (EU)</a:t>
            </a:r>
          </a:p>
        </rich>
      </tx>
    </title>
    <plotArea>
      <lineChart>
        <grouping val="standard"/>
        <ser>
          <idx val="0"/>
          <order val="0"/>
          <tx>
            <strRef>
              <f>'Industry'!B125</f>
            </strRef>
          </tx>
          <spPr>
            <a:ln w="22000">
              <a:solidFill>
                <a:srgbClr val="B04545"/>
              </a:solidFill>
              <a:prstDash val="solid"/>
            </a:ln>
          </spPr>
          <marker>
            <symbol val="none"/>
            <spPr>
              <a:ln>
                <a:prstDash val="solid"/>
              </a:ln>
            </spPr>
          </marker>
          <cat>
            <numRef>
              <f>'Industry'!$A$126:$A$144</f>
            </numRef>
          </cat>
          <val>
            <numRef>
              <f>'Industry'!$B$126:$B$144</f>
            </numRef>
          </val>
          <smooth val="0"/>
        </ser>
        <ser>
          <idx val="1"/>
          <order val="1"/>
          <tx>
            <strRef>
              <f>'Industry'!C125</f>
            </strRef>
          </tx>
          <spPr>
            <a:ln w="22000">
              <a:solidFill>
                <a:srgbClr val="F59E2D"/>
              </a:solidFill>
              <a:prstDash val="dash"/>
            </a:ln>
          </spPr>
          <marker>
            <symbol val="circle"/>
            <size val="5"/>
            <spPr>
              <a:ln>
                <a:prstDash val="solid"/>
              </a:ln>
            </spPr>
          </marker>
          <cat>
            <numRef>
              <f>'Industry'!$A$126:$A$144</f>
            </numRef>
          </cat>
          <val>
            <numRef>
              <f>'Industry'!$C$126:$C$144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TWh</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I6 — Electricity share of industrial final energy use</a:t>
            </a:r>
          </a:p>
        </rich>
      </tx>
    </title>
    <plotArea>
      <lineChart>
        <grouping val="standard"/>
        <ser>
          <idx val="0"/>
          <order val="0"/>
          <tx>
            <strRef>
              <f>'Industry'!B148</f>
            </strRef>
          </tx>
          <spPr>
            <a:ln w="22000">
              <a:solidFill>
                <a:srgbClr val="B04545"/>
              </a:solidFill>
              <a:prstDash val="solid"/>
            </a:ln>
          </spPr>
          <marker>
            <symbol val="none"/>
            <spPr>
              <a:ln>
                <a:prstDash val="solid"/>
              </a:ln>
            </spPr>
          </marker>
          <cat>
            <numRef>
              <f>'Industry'!$A$149:$A$168</f>
            </numRef>
          </cat>
          <val>
            <numRef>
              <f>'Industry'!$B$149:$B$168</f>
            </numRef>
          </val>
          <smooth val="0"/>
        </ser>
        <ser>
          <idx val="1"/>
          <order val="1"/>
          <tx>
            <strRef>
              <f>'Industry'!C148</f>
            </strRef>
          </tx>
          <spPr>
            <a:ln w="22000">
              <a:solidFill>
                <a:srgbClr val="F59E2D"/>
              </a:solidFill>
              <a:prstDash val="dash"/>
            </a:ln>
          </spPr>
          <marker>
            <symbol val="circle"/>
            <size val="5"/>
            <spPr>
              <a:ln>
                <a:prstDash val="solid"/>
              </a:ln>
            </spPr>
          </marker>
          <cat>
            <numRef>
              <f>'Industry'!$A$149:$A$168</f>
            </numRef>
          </cat>
          <val>
            <numRef>
              <f>'Industry'!$C$149:$C$168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I2 (steel, production) — Steel production (EU)</a:t>
            </a:r>
          </a:p>
        </rich>
      </tx>
    </title>
    <plotArea>
      <lineChart>
        <grouping val="standard"/>
        <ser>
          <idx val="0"/>
          <order val="0"/>
          <tx>
            <strRef>
              <f>'Industry'!B172</f>
            </strRef>
          </tx>
          <spPr>
            <a:ln w="22000">
              <a:solidFill>
                <a:srgbClr val="B04545"/>
              </a:solidFill>
              <a:prstDash val="solid"/>
            </a:ln>
          </spPr>
          <marker>
            <symbol val="none"/>
            <spPr>
              <a:ln>
                <a:prstDash val="solid"/>
              </a:ln>
            </spPr>
          </marker>
          <cat>
            <numRef>
              <f>'Industry'!$A$173:$A$190</f>
            </numRef>
          </cat>
          <val>
            <numRef>
              <f>'Industry'!$B$173:$B$190</f>
            </numRef>
          </val>
          <smooth val="0"/>
        </ser>
        <ser>
          <idx val="1"/>
          <order val="1"/>
          <tx>
            <strRef>
              <f>'Industry'!C172</f>
            </strRef>
          </tx>
          <spPr>
            <a:ln w="22000">
              <a:solidFill>
                <a:srgbClr val="F59E2D"/>
              </a:solidFill>
              <a:prstDash val="dash"/>
            </a:ln>
          </spPr>
          <marker>
            <symbol val="circle"/>
            <size val="5"/>
            <spPr>
              <a:ln>
                <a:prstDash val="solid"/>
              </a:ln>
            </spPr>
          </marker>
          <cat>
            <numRef>
              <f>'Industry'!$A$173:$A$190</f>
            </numRef>
          </cat>
          <val>
            <numRef>
              <f>'Industry'!$C$173:$C$190</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I2 (steel, use) — Steel apparent use (consumption) (EU)</a:t>
            </a:r>
          </a:p>
        </rich>
      </tx>
    </title>
    <plotArea>
      <lineChart>
        <grouping val="standard"/>
        <ser>
          <idx val="0"/>
          <order val="0"/>
          <tx>
            <strRef>
              <f>'Industry'!B194</f>
            </strRef>
          </tx>
          <spPr>
            <a:ln w="22000">
              <a:solidFill>
                <a:srgbClr val="B04545"/>
              </a:solidFill>
              <a:prstDash val="solid"/>
            </a:ln>
          </spPr>
          <marker>
            <symbol val="none"/>
            <spPr>
              <a:ln>
                <a:prstDash val="solid"/>
              </a:ln>
            </spPr>
          </marker>
          <cat>
            <numRef>
              <f>'Industry'!$A$195:$A$208</f>
            </numRef>
          </cat>
          <val>
            <numRef>
              <f>'Industry'!$B$195:$B$208</f>
            </numRef>
          </val>
          <smooth val="0"/>
        </ser>
        <ser>
          <idx val="1"/>
          <order val="1"/>
          <tx>
            <strRef>
              <f>'Industry'!C194</f>
            </strRef>
          </tx>
          <spPr>
            <a:ln w="22000">
              <a:solidFill>
                <a:srgbClr val="F59E2D"/>
              </a:solidFill>
              <a:prstDash val="dash"/>
            </a:ln>
          </spPr>
          <marker>
            <symbol val="circle"/>
            <size val="5"/>
            <spPr>
              <a:ln>
                <a:prstDash val="solid"/>
              </a:ln>
            </spPr>
          </marker>
          <cat>
            <numRef>
              <f>'Industry'!$A$195:$A$208</f>
            </numRef>
          </cat>
          <val>
            <numRef>
              <f>'Industry'!$C$195:$C$208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I2 (steel, trade) — Steel net trade balance (EU)</a:t>
            </a:r>
          </a:p>
        </rich>
      </tx>
    </title>
    <plotArea>
      <lineChart>
        <grouping val="standard"/>
        <ser>
          <idx val="0"/>
          <order val="0"/>
          <tx>
            <strRef>
              <f>'Industry'!B212</f>
            </strRef>
          </tx>
          <spPr>
            <a:ln w="22000">
              <a:solidFill>
                <a:srgbClr val="B04545"/>
              </a:solidFill>
              <a:prstDash val="solid"/>
            </a:ln>
          </spPr>
          <marker>
            <symbol val="none"/>
            <spPr>
              <a:ln>
                <a:prstDash val="solid"/>
              </a:ln>
            </spPr>
          </marker>
          <cat>
            <numRef>
              <f>'Industry'!$A$213:$A$226</f>
            </numRef>
          </cat>
          <val>
            <numRef>
              <f>'Industry'!$B$213:$B$226</f>
            </numRef>
          </val>
          <smooth val="0"/>
        </ser>
        <ser>
          <idx val="1"/>
          <order val="1"/>
          <tx>
            <strRef>
              <f>'Industry'!C212</f>
            </strRef>
          </tx>
          <spPr>
            <a:ln w="22000">
              <a:solidFill>
                <a:srgbClr val="F59E2D"/>
              </a:solidFill>
              <a:prstDash val="dash"/>
            </a:ln>
          </spPr>
          <marker>
            <symbol val="circle"/>
            <size val="5"/>
            <spPr>
              <a:ln>
                <a:prstDash val="solid"/>
              </a:ln>
            </spPr>
          </marker>
          <cat>
            <numRef>
              <f>'Industry'!$A$213:$A$226</f>
            </numRef>
          </cat>
          <val>
            <numRef>
              <f>'Industry'!$C$213:$C$226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I2 (cement, production) — Cement production (EU)</a:t>
            </a:r>
          </a:p>
        </rich>
      </tx>
    </title>
    <plotArea>
      <lineChart>
        <grouping val="standard"/>
        <ser>
          <idx val="0"/>
          <order val="0"/>
          <tx>
            <strRef>
              <f>'Industry'!B230</f>
            </strRef>
          </tx>
          <spPr>
            <a:ln w="22000">
              <a:solidFill>
                <a:srgbClr val="B04545"/>
              </a:solidFill>
              <a:prstDash val="solid"/>
            </a:ln>
          </spPr>
          <marker>
            <symbol val="none"/>
            <spPr>
              <a:ln>
                <a:prstDash val="solid"/>
              </a:ln>
            </spPr>
          </marker>
          <cat>
            <numRef>
              <f>'Industry'!$A$231:$A$251</f>
            </numRef>
          </cat>
          <val>
            <numRef>
              <f>'Industry'!$B$231:$B$251</f>
            </numRef>
          </val>
          <smooth val="0"/>
        </ser>
        <ser>
          <idx val="1"/>
          <order val="1"/>
          <tx>
            <strRef>
              <f>'Industry'!C230</f>
            </strRef>
          </tx>
          <spPr>
            <a:ln w="22000">
              <a:solidFill>
                <a:srgbClr val="F59E2D"/>
              </a:solidFill>
              <a:prstDash val="dash"/>
            </a:ln>
          </spPr>
          <marker>
            <symbol val="circle"/>
            <size val="5"/>
            <spPr>
              <a:ln>
                <a:prstDash val="solid"/>
              </a:ln>
            </spPr>
          </marker>
          <cat>
            <numRef>
              <f>'Industry'!$A$231:$A$251</f>
            </numRef>
          </cat>
          <val>
            <numRef>
              <f>'Industry'!$C$231:$C$251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I2 (cement, use) — Cement apparent use (consumption) (EU)</a:t>
            </a:r>
          </a:p>
        </rich>
      </tx>
    </title>
    <plotArea>
      <lineChart>
        <grouping val="standard"/>
        <ser>
          <idx val="0"/>
          <order val="0"/>
          <tx>
            <strRef>
              <f>'Industry'!B255</f>
            </strRef>
          </tx>
          <spPr>
            <a:ln w="22000">
              <a:solidFill>
                <a:srgbClr val="B04545"/>
              </a:solidFill>
              <a:prstDash val="solid"/>
            </a:ln>
          </spPr>
          <marker>
            <symbol val="none"/>
            <spPr>
              <a:ln>
                <a:prstDash val="solid"/>
              </a:ln>
            </spPr>
          </marker>
          <cat>
            <numRef>
              <f>'Industry'!$A$256:$A$272</f>
            </numRef>
          </cat>
          <val>
            <numRef>
              <f>'Industry'!$B$256:$B$272</f>
            </numRef>
          </val>
          <smooth val="0"/>
        </ser>
        <ser>
          <idx val="1"/>
          <order val="1"/>
          <tx>
            <strRef>
              <f>'Industry'!C255</f>
            </strRef>
          </tx>
          <spPr>
            <a:ln w="22000">
              <a:solidFill>
                <a:srgbClr val="F59E2D"/>
              </a:solidFill>
              <a:prstDash val="dash"/>
            </a:ln>
          </spPr>
          <marker>
            <symbol val="circle"/>
            <size val="5"/>
            <spPr>
              <a:ln>
                <a:prstDash val="solid"/>
              </a:ln>
            </spPr>
          </marker>
          <cat>
            <numRef>
              <f>'Industry'!$A$256:$A$272</f>
            </numRef>
          </cat>
          <val>
            <numRef>
              <f>'Industry'!$C$256:$C$272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I2 (chemicals, production) — Chemicals production (EU)</a:t>
            </a:r>
          </a:p>
        </rich>
      </tx>
    </title>
    <plotArea>
      <lineChart>
        <grouping val="standard"/>
        <ser>
          <idx val="0"/>
          <order val="0"/>
          <tx>
            <strRef>
              <f>'Industry'!B276</f>
            </strRef>
          </tx>
          <spPr>
            <a:ln w="22000">
              <a:solidFill>
                <a:srgbClr val="B04545"/>
              </a:solidFill>
              <a:prstDash val="solid"/>
            </a:ln>
          </spPr>
          <marker>
            <symbol val="none"/>
            <spPr>
              <a:ln>
                <a:prstDash val="solid"/>
              </a:ln>
            </spPr>
          </marker>
          <cat>
            <numRef>
              <f>'Industry'!$A$277:$A$297</f>
            </numRef>
          </cat>
          <val>
            <numRef>
              <f>'Industry'!$B$277:$B$297</f>
            </numRef>
          </val>
          <smooth val="0"/>
        </ser>
        <ser>
          <idx val="1"/>
          <order val="1"/>
          <tx>
            <strRef>
              <f>'Industry'!C276</f>
            </strRef>
          </tx>
          <spPr>
            <a:ln w="22000">
              <a:solidFill>
                <a:srgbClr val="F59E2D"/>
              </a:solidFill>
              <a:prstDash val="dash"/>
            </a:ln>
          </spPr>
          <marker>
            <symbol val="circle"/>
            <size val="5"/>
            <spPr>
              <a:ln>
                <a:prstDash val="solid"/>
              </a:ln>
            </spPr>
          </marker>
          <cat>
            <numRef>
              <f>'Industry'!$A$277:$A$297</f>
            </numRef>
          </cat>
          <val>
            <numRef>
              <f>'Industry'!$C$277:$C$297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I2 (chemicals, use) — Chemicals apparent use (consumption) (EU)</a:t>
            </a:r>
          </a:p>
        </rich>
      </tx>
    </title>
    <plotArea>
      <lineChart>
        <grouping val="standard"/>
        <ser>
          <idx val="0"/>
          <order val="0"/>
          <tx>
            <strRef>
              <f>'Industry'!B301</f>
            </strRef>
          </tx>
          <spPr>
            <a:ln w="22000">
              <a:solidFill>
                <a:srgbClr val="B04545"/>
              </a:solidFill>
              <a:prstDash val="solid"/>
            </a:ln>
          </spPr>
          <marker>
            <symbol val="none"/>
            <spPr>
              <a:ln>
                <a:prstDash val="solid"/>
              </a:ln>
            </spPr>
          </marker>
          <cat>
            <numRef>
              <f>'Industry'!$A$302:$A$318</f>
            </numRef>
          </cat>
          <val>
            <numRef>
              <f>'Industry'!$B$302:$B$318</f>
            </numRef>
          </val>
          <smooth val="0"/>
        </ser>
        <ser>
          <idx val="1"/>
          <order val="1"/>
          <tx>
            <strRef>
              <f>'Industry'!C301</f>
            </strRef>
          </tx>
          <spPr>
            <a:ln w="22000">
              <a:solidFill>
                <a:srgbClr val="F59E2D"/>
              </a:solidFill>
              <a:prstDash val="dash"/>
            </a:ln>
          </spPr>
          <marker>
            <symbol val="circle"/>
            <size val="5"/>
            <spPr>
              <a:ln>
                <a:prstDash val="solid"/>
              </a:ln>
            </spPr>
          </marker>
          <cat>
            <numRef>
              <f>'Industry'!$A$302:$A$318</f>
            </numRef>
          </cat>
          <val>
            <numRef>
              <f>'Industry'!$C$302:$C$318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2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I2 (chemicals, trade) — Chemicals net trade balance (EU)</a:t>
            </a:r>
          </a:p>
        </rich>
      </tx>
    </title>
    <plotArea>
      <lineChart>
        <grouping val="standard"/>
        <ser>
          <idx val="0"/>
          <order val="0"/>
          <tx>
            <strRef>
              <f>'Industry'!B322</f>
            </strRef>
          </tx>
          <spPr>
            <a:ln w="22000">
              <a:solidFill>
                <a:srgbClr val="B04545"/>
              </a:solidFill>
              <a:prstDash val="solid"/>
            </a:ln>
          </spPr>
          <marker>
            <symbol val="none"/>
            <spPr>
              <a:ln>
                <a:prstDash val="solid"/>
              </a:ln>
            </spPr>
          </marker>
          <cat>
            <numRef>
              <f>'Industry'!$A$323:$A$339</f>
            </numRef>
          </cat>
          <val>
            <numRef>
              <f>'Industry'!$B$323:$B$339</f>
            </numRef>
          </val>
          <smooth val="0"/>
        </ser>
        <ser>
          <idx val="1"/>
          <order val="1"/>
          <tx>
            <strRef>
              <f>'Industry'!C322</f>
            </strRef>
          </tx>
          <spPr>
            <a:ln w="22000">
              <a:solidFill>
                <a:srgbClr val="F59E2D"/>
              </a:solidFill>
              <a:prstDash val="dash"/>
            </a:ln>
          </spPr>
          <marker>
            <symbol val="circle"/>
            <size val="5"/>
            <spPr>
              <a:ln>
                <a:prstDash val="solid"/>
              </a:ln>
            </spPr>
          </marker>
          <cat>
            <numRef>
              <f>'Industry'!$A$323:$A$339</f>
            </numRef>
          </cat>
          <val>
            <numRef>
              <f>'Industry'!$C$323:$C$339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T1 — Transport GHG emissions (EU)</a:t>
            </a:r>
          </a:p>
        </rich>
      </tx>
    </title>
    <plotArea>
      <lineChart>
        <grouping val="standard"/>
        <ser>
          <idx val="0"/>
          <order val="0"/>
          <tx>
            <strRef>
              <f>'Transport'!B19</f>
            </strRef>
          </tx>
          <spPr>
            <a:ln w="22000">
              <a:solidFill>
                <a:srgbClr val="B487C7"/>
              </a:solidFill>
              <a:prstDash val="solid"/>
            </a:ln>
          </spPr>
          <marker>
            <symbol val="none"/>
            <spPr>
              <a:ln>
                <a:prstDash val="solid"/>
              </a:ln>
            </spPr>
          </marker>
          <cat>
            <numRef>
              <f>'Transport'!$A$20:$A$39</f>
            </numRef>
          </cat>
          <val>
            <numRef>
              <f>'Transport'!$B$20:$B$39</f>
            </numRef>
          </val>
          <smooth val="0"/>
        </ser>
        <ser>
          <idx val="1"/>
          <order val="1"/>
          <tx>
            <strRef>
              <f>'Transport'!C19</f>
            </strRef>
          </tx>
          <spPr>
            <a:ln w="22000">
              <a:solidFill>
                <a:srgbClr val="F59E2D"/>
              </a:solidFill>
              <a:prstDash val="dash"/>
            </a:ln>
          </spPr>
          <marker>
            <symbol val="circle"/>
            <size val="5"/>
            <spPr>
              <a:ln>
                <a:prstDash val="solid"/>
              </a:ln>
            </spPr>
          </marker>
          <cat>
            <numRef>
              <f>'Transport'!$A$20:$A$39</f>
            </numRef>
          </cat>
          <val>
            <numRef>
              <f>'Transport'!$C$20:$C$39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T2a — Total passenger transport demand</a:t>
            </a:r>
          </a:p>
        </rich>
      </tx>
    </title>
    <plotArea>
      <lineChart>
        <grouping val="standard"/>
        <ser>
          <idx val="0"/>
          <order val="0"/>
          <tx>
            <strRef>
              <f>'Transport'!B43</f>
            </strRef>
          </tx>
          <spPr>
            <a:ln w="22000">
              <a:solidFill>
                <a:srgbClr val="B487C7"/>
              </a:solidFill>
              <a:prstDash val="solid"/>
            </a:ln>
          </spPr>
          <marker>
            <symbol val="none"/>
            <spPr>
              <a:ln>
                <a:prstDash val="solid"/>
              </a:ln>
            </spPr>
          </marker>
          <cat>
            <numRef>
              <f>'Transport'!$A$44:$A$61</f>
            </numRef>
          </cat>
          <val>
            <numRef>
              <f>'Transport'!$B$44:$B$61</f>
            </numRef>
          </val>
          <smooth val="0"/>
        </ser>
        <ser>
          <idx val="1"/>
          <order val="1"/>
          <tx>
            <strRef>
              <f>'Transport'!C43</f>
            </strRef>
          </tx>
          <spPr>
            <a:ln w="22000">
              <a:solidFill>
                <a:srgbClr val="F59E2D"/>
              </a:solidFill>
              <a:prstDash val="dash"/>
            </a:ln>
          </spPr>
          <marker>
            <symbol val="circle"/>
            <size val="5"/>
            <spPr>
              <a:ln>
                <a:prstDash val="solid"/>
              </a:ln>
            </spPr>
          </marker>
          <cat>
            <numRef>
              <f>'Transport'!$A$44:$A$61</f>
            </numRef>
          </cat>
          <val>
            <numRef>
              <f>'Transport'!$C$44:$C$61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Gpkm</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T2b — Total freight transport demand</a:t>
            </a:r>
          </a:p>
        </rich>
      </tx>
    </title>
    <plotArea>
      <lineChart>
        <grouping val="standard"/>
        <ser>
          <idx val="0"/>
          <order val="0"/>
          <tx>
            <strRef>
              <f>'Transport'!B65</f>
            </strRef>
          </tx>
          <spPr>
            <a:ln w="22000">
              <a:solidFill>
                <a:srgbClr val="B487C7"/>
              </a:solidFill>
              <a:prstDash val="solid"/>
            </a:ln>
          </spPr>
          <marker>
            <symbol val="none"/>
            <spPr>
              <a:ln>
                <a:prstDash val="solid"/>
              </a:ln>
            </spPr>
          </marker>
          <cat>
            <numRef>
              <f>'Transport'!$A$66:$A$82</f>
            </numRef>
          </cat>
          <val>
            <numRef>
              <f>'Transport'!$B$66:$B$82</f>
            </numRef>
          </val>
          <smooth val="0"/>
        </ser>
        <ser>
          <idx val="1"/>
          <order val="1"/>
          <tx>
            <strRef>
              <f>'Transport'!C65</f>
            </strRef>
          </tx>
          <spPr>
            <a:ln w="22000">
              <a:solidFill>
                <a:srgbClr val="F59E2D"/>
              </a:solidFill>
              <a:prstDash val="dash"/>
            </a:ln>
          </spPr>
          <marker>
            <symbol val="circle"/>
            <size val="5"/>
            <spPr>
              <a:ln>
                <a:prstDash val="solid"/>
              </a:ln>
            </spPr>
          </marker>
          <cat>
            <numRef>
              <f>'Transport'!$A$66:$A$82</f>
            </numRef>
          </cat>
          <val>
            <numRef>
              <f>'Transport'!$C$66:$C$82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Gtkm</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T3a — Road share of motorised inland passenger transport</a:t>
            </a:r>
          </a:p>
        </rich>
      </tx>
    </title>
    <plotArea>
      <lineChart>
        <grouping val="standard"/>
        <ser>
          <idx val="0"/>
          <order val="0"/>
          <tx>
            <strRef>
              <f>'Transport'!B86</f>
            </strRef>
          </tx>
          <spPr>
            <a:ln w="22000">
              <a:solidFill>
                <a:srgbClr val="B487C7"/>
              </a:solidFill>
              <a:prstDash val="solid"/>
            </a:ln>
          </spPr>
          <marker>
            <symbol val="none"/>
            <spPr>
              <a:ln>
                <a:prstDash val="solid"/>
              </a:ln>
            </spPr>
          </marker>
          <cat>
            <numRef>
              <f>'Transport'!$A$87:$A$106</f>
            </numRef>
          </cat>
          <val>
            <numRef>
              <f>'Transport'!$B$87:$B$106</f>
            </numRef>
          </val>
          <smooth val="0"/>
        </ser>
        <ser>
          <idx val="1"/>
          <order val="1"/>
          <tx>
            <strRef>
              <f>'Transport'!C86</f>
            </strRef>
          </tx>
          <spPr>
            <a:ln w="22000">
              <a:solidFill>
                <a:srgbClr val="F59E2D"/>
              </a:solidFill>
              <a:prstDash val="dash"/>
            </a:ln>
          </spPr>
          <marker>
            <symbol val="circle"/>
            <size val="5"/>
            <spPr>
              <a:ln>
                <a:prstDash val="solid"/>
              </a:ln>
            </spPr>
          </marker>
          <cat>
            <numRef>
              <f>'Transport'!$A$87:$A$106</f>
            </numRef>
          </cat>
          <val>
            <numRef>
              <f>'Transport'!$C$87:$C$106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T3b — Intra-EU air passenger transport</a:t>
            </a:r>
          </a:p>
        </rich>
      </tx>
    </title>
    <plotArea>
      <lineChart>
        <grouping val="standard"/>
        <ser>
          <idx val="0"/>
          <order val="0"/>
          <tx>
            <strRef>
              <f>'Transport'!B110</f>
            </strRef>
          </tx>
          <spPr>
            <a:ln w="22000">
              <a:solidFill>
                <a:srgbClr val="B487C7"/>
              </a:solidFill>
              <a:prstDash val="solid"/>
            </a:ln>
          </spPr>
          <marker>
            <symbol val="none"/>
            <spPr>
              <a:ln>
                <a:prstDash val="solid"/>
              </a:ln>
            </spPr>
          </marker>
          <cat>
            <numRef>
              <f>'Transport'!$A$111:$A$128</f>
            </numRef>
          </cat>
          <val>
            <numRef>
              <f>'Transport'!$B$111:$B$128</f>
            </numRef>
          </val>
          <smooth val="0"/>
        </ser>
        <ser>
          <idx val="1"/>
          <order val="1"/>
          <tx>
            <strRef>
              <f>'Transport'!C110</f>
            </strRef>
          </tx>
          <spPr>
            <a:ln w="22000">
              <a:solidFill>
                <a:srgbClr val="F59E2D"/>
              </a:solidFill>
              <a:prstDash val="dash"/>
            </a:ln>
          </spPr>
          <marker>
            <symbol val="circle"/>
            <size val="5"/>
            <spPr>
              <a:ln>
                <a:prstDash val="solid"/>
              </a:ln>
            </spPr>
          </marker>
          <cat>
            <numRef>
              <f>'Transport'!$A$111:$A$128</f>
            </numRef>
          </cat>
          <val>
            <numRef>
              <f>'Transport'!$C$111:$C$128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Gpkm</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T4 — Average CO₂ intensity of new passenger cars (WLTP)</a:t>
            </a:r>
          </a:p>
        </rich>
      </tx>
    </title>
    <plotArea>
      <lineChart>
        <grouping val="standard"/>
        <ser>
          <idx val="0"/>
          <order val="0"/>
          <tx>
            <strRef>
              <f>'Transport'!B132</f>
            </strRef>
          </tx>
          <spPr>
            <a:ln w="22000">
              <a:solidFill>
                <a:srgbClr val="B487C7"/>
              </a:solidFill>
              <a:prstDash val="solid"/>
            </a:ln>
          </spPr>
          <marker>
            <symbol val="none"/>
            <spPr>
              <a:ln>
                <a:prstDash val="solid"/>
              </a:ln>
            </spPr>
          </marker>
          <cat>
            <numRef>
              <f>'Transport'!$A$133:$A$138</f>
            </numRef>
          </cat>
          <val>
            <numRef>
              <f>'Transport'!$B$133:$B$138</f>
            </numRef>
          </val>
          <smooth val="0"/>
        </ser>
        <ser>
          <idx val="1"/>
          <order val="1"/>
          <tx>
            <strRef>
              <f>'Transport'!C132</f>
            </strRef>
          </tx>
          <spPr>
            <a:ln w="22000">
              <a:solidFill>
                <a:srgbClr val="F59E2D"/>
              </a:solidFill>
              <a:prstDash val="dash"/>
            </a:ln>
          </spPr>
          <marker>
            <symbol val="circle"/>
            <size val="5"/>
            <spPr>
              <a:ln>
                <a:prstDash val="solid"/>
              </a:ln>
            </spPr>
          </marker>
          <cat>
            <numRef>
              <f>'Transport'!$A$133:$A$138</f>
            </numRef>
          </cat>
          <val>
            <numRef>
              <f>'Transport'!$C$133:$C$138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g CO₂/km</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T5a — ZEV share of new passenger car registrations</a:t>
            </a:r>
          </a:p>
        </rich>
      </tx>
    </title>
    <plotArea>
      <lineChart>
        <grouping val="standard"/>
        <ser>
          <idx val="0"/>
          <order val="0"/>
          <tx>
            <strRef>
              <f>'Transport'!B148</f>
            </strRef>
          </tx>
          <spPr>
            <a:ln w="22000">
              <a:solidFill>
                <a:srgbClr val="B487C7"/>
              </a:solidFill>
              <a:prstDash val="solid"/>
            </a:ln>
          </spPr>
          <marker>
            <symbol val="none"/>
            <spPr>
              <a:ln>
                <a:prstDash val="solid"/>
              </a:ln>
            </spPr>
          </marker>
          <cat>
            <numRef>
              <f>'Transport'!$A$149:$A$164</f>
            </numRef>
          </cat>
          <val>
            <numRef>
              <f>'Transport'!$B$149:$B$164</f>
            </numRef>
          </val>
          <smooth val="0"/>
        </ser>
        <ser>
          <idx val="1"/>
          <order val="1"/>
          <tx>
            <strRef>
              <f>'Transport'!C148</f>
            </strRef>
          </tx>
          <spPr>
            <a:ln w="22000">
              <a:solidFill>
                <a:srgbClr val="F59E2D"/>
              </a:solidFill>
              <a:prstDash val="dash"/>
            </a:ln>
          </spPr>
          <marker>
            <symbol val="circle"/>
            <size val="5"/>
            <spPr>
              <a:ln>
                <a:prstDash val="solid"/>
              </a:ln>
            </spPr>
          </marker>
          <cat>
            <numRef>
              <f>'Transport'!$A$149:$A$164</f>
            </numRef>
          </cat>
          <val>
            <numRef>
              <f>'Transport'!$C$149:$C$164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T5b — Zero-emission lorries in the EU fleet</a:t>
            </a:r>
          </a:p>
        </rich>
      </tx>
    </title>
    <plotArea>
      <lineChart>
        <grouping val="standard"/>
        <ser>
          <idx val="0"/>
          <order val="0"/>
          <tx>
            <strRef>
              <f>'Transport'!B168</f>
            </strRef>
          </tx>
          <spPr>
            <a:ln w="22000">
              <a:solidFill>
                <a:srgbClr val="B487C7"/>
              </a:solidFill>
              <a:prstDash val="solid"/>
            </a:ln>
          </spPr>
          <marker>
            <symbol val="none"/>
            <spPr>
              <a:ln>
                <a:prstDash val="solid"/>
              </a:ln>
            </spPr>
          </marker>
          <cat>
            <numRef>
              <f>'Transport'!$A$169:$A$178</f>
            </numRef>
          </cat>
          <val>
            <numRef>
              <f>'Transport'!$B$169:$B$178</f>
            </numRef>
          </val>
          <smooth val="0"/>
        </ser>
        <ser>
          <idx val="1"/>
          <order val="1"/>
          <tx>
            <strRef>
              <f>'Transport'!C168</f>
            </strRef>
          </tx>
          <spPr>
            <a:ln w="22000">
              <a:solidFill>
                <a:srgbClr val="F59E2D"/>
              </a:solidFill>
              <a:prstDash val="dash"/>
            </a:ln>
          </spPr>
          <marker>
            <symbol val="circle"/>
            <size val="5"/>
            <spPr>
              <a:ln>
                <a:prstDash val="solid"/>
              </a:ln>
            </spPr>
          </marker>
          <cat>
            <numRef>
              <f>'Transport'!$A$169:$A$178</f>
            </numRef>
          </cat>
          <val>
            <numRef>
              <f>'Transport'!$C$169:$C$178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vehicles</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T6a — Fossil share of transport energy use</a:t>
            </a:r>
          </a:p>
        </rich>
      </tx>
    </title>
    <plotArea>
      <lineChart>
        <grouping val="standard"/>
        <ser>
          <idx val="0"/>
          <order val="0"/>
          <tx>
            <strRef>
              <f>'Transport'!B184</f>
            </strRef>
          </tx>
          <spPr>
            <a:ln w="22000">
              <a:solidFill>
                <a:srgbClr val="B487C7"/>
              </a:solidFill>
              <a:prstDash val="solid"/>
            </a:ln>
          </spPr>
          <marker>
            <symbol val="none"/>
            <spPr>
              <a:ln>
                <a:prstDash val="solid"/>
              </a:ln>
            </spPr>
          </marker>
          <cat>
            <numRef>
              <f>'Transport'!$A$185:$A$204</f>
            </numRef>
          </cat>
          <val>
            <numRef>
              <f>'Transport'!$B$185:$B$204</f>
            </numRef>
          </val>
          <smooth val="0"/>
        </ser>
        <ser>
          <idx val="1"/>
          <order val="1"/>
          <tx>
            <strRef>
              <f>'Transport'!C184</f>
            </strRef>
          </tx>
          <spPr>
            <a:ln w="22000">
              <a:solidFill>
                <a:srgbClr val="F59E2D"/>
              </a:solidFill>
              <a:prstDash val="dash"/>
            </a:ln>
          </spPr>
          <marker>
            <symbol val="circle"/>
            <size val="5"/>
            <spPr>
              <a:ln>
                <a:prstDash val="solid"/>
              </a:ln>
            </spPr>
          </marker>
          <cat>
            <numRef>
              <f>'Transport'!$A$185:$A$204</f>
            </numRef>
          </cat>
          <val>
            <numRef>
              <f>'Transport'!$C$185:$C$204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3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T6b — Use of first-generation (food-crop) biofuels in transport</a:t>
            </a:r>
          </a:p>
        </rich>
      </tx>
    </title>
    <plotArea>
      <lineChart>
        <grouping val="standard"/>
        <ser>
          <idx val="0"/>
          <order val="0"/>
          <tx>
            <strRef>
              <f>'Transport'!B208</f>
            </strRef>
          </tx>
          <spPr>
            <a:ln w="22000">
              <a:solidFill>
                <a:srgbClr val="B487C7"/>
              </a:solidFill>
              <a:prstDash val="solid"/>
            </a:ln>
          </spPr>
          <marker>
            <symbol val="none"/>
            <spPr>
              <a:ln>
                <a:prstDash val="solid"/>
              </a:ln>
            </spPr>
          </marker>
          <cat>
            <numRef>
              <f>'Transport'!$A$209:$A$219</f>
            </numRef>
          </cat>
          <val>
            <numRef>
              <f>'Transport'!$B$209:$B$219</f>
            </numRef>
          </val>
          <smooth val="0"/>
        </ser>
        <ser>
          <idx val="1"/>
          <order val="1"/>
          <tx>
            <strRef>
              <f>'Transport'!C208</f>
            </strRef>
          </tx>
          <spPr>
            <a:ln w="22000">
              <a:solidFill>
                <a:srgbClr val="F59E2D"/>
              </a:solidFill>
              <a:prstDash val="dash"/>
            </a:ln>
          </spPr>
          <marker>
            <symbol val="circle"/>
            <size val="5"/>
            <spPr>
              <a:ln>
                <a:prstDash val="solid"/>
              </a:ln>
            </spPr>
          </marker>
          <cat>
            <numRef>
              <f>'Transport'!$A$209:$A$219</f>
            </numRef>
          </cat>
          <val>
            <numRef>
              <f>'Transport'!$C$209:$C$219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TWh</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B1 — Residential + tertiary building GHG emissions</a:t>
            </a:r>
          </a:p>
        </rich>
      </tx>
    </title>
    <plotArea>
      <lineChart>
        <grouping val="standard"/>
        <ser>
          <idx val="0"/>
          <order val="0"/>
          <tx>
            <strRef>
              <f>'Buildings'!B21</f>
            </strRef>
          </tx>
          <spPr>
            <a:ln w="22000">
              <a:solidFill>
                <a:srgbClr val="00928F"/>
              </a:solidFill>
              <a:prstDash val="solid"/>
            </a:ln>
          </spPr>
          <marker>
            <symbol val="none"/>
            <spPr>
              <a:ln>
                <a:prstDash val="solid"/>
              </a:ln>
            </spPr>
          </marker>
          <cat>
            <numRef>
              <f>'Buildings'!$A$22:$A$41</f>
            </numRef>
          </cat>
          <val>
            <numRef>
              <f>'Buildings'!$B$22:$B$41</f>
            </numRef>
          </val>
          <smooth val="0"/>
        </ser>
        <ser>
          <idx val="1"/>
          <order val="1"/>
          <tx>
            <strRef>
              <f>'Buildings'!C21</f>
            </strRef>
          </tx>
          <spPr>
            <a:ln w="22000">
              <a:solidFill>
                <a:srgbClr val="F59E2D"/>
              </a:solidFill>
              <a:prstDash val="dash"/>
            </a:ln>
          </spPr>
          <marker>
            <symbol val="circle"/>
            <size val="5"/>
            <spPr>
              <a:ln>
                <a:prstDash val="solid"/>
              </a:ln>
            </spPr>
          </marker>
          <cat>
            <numRef>
              <f>'Buildings'!$A$22:$A$41</f>
            </numRef>
          </cat>
          <val>
            <numRef>
              <f>'Buildings'!$C$22:$C$41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B2 — Final energy consumption in buildings</a:t>
            </a:r>
          </a:p>
        </rich>
      </tx>
    </title>
    <plotArea>
      <lineChart>
        <grouping val="standard"/>
        <ser>
          <idx val="0"/>
          <order val="0"/>
          <tx>
            <strRef>
              <f>'Buildings'!B45</f>
            </strRef>
          </tx>
          <spPr>
            <a:ln w="22000">
              <a:solidFill>
                <a:srgbClr val="00928F"/>
              </a:solidFill>
              <a:prstDash val="solid"/>
            </a:ln>
          </spPr>
          <marker>
            <symbol val="none"/>
            <spPr>
              <a:ln>
                <a:prstDash val="solid"/>
              </a:ln>
            </spPr>
          </marker>
          <cat>
            <numRef>
              <f>'Buildings'!$A$46:$A$64</f>
            </numRef>
          </cat>
          <val>
            <numRef>
              <f>'Buildings'!$B$46:$B$64</f>
            </numRef>
          </val>
          <smooth val="0"/>
        </ser>
        <ser>
          <idx val="1"/>
          <order val="1"/>
          <tx>
            <strRef>
              <f>'Buildings'!C45</f>
            </strRef>
          </tx>
          <spPr>
            <a:ln w="22000">
              <a:solidFill>
                <a:srgbClr val="F59E2D"/>
              </a:solidFill>
              <a:prstDash val="dash"/>
            </a:ln>
          </spPr>
          <marker>
            <symbol val="circle"/>
            <size val="5"/>
            <spPr>
              <a:ln>
                <a:prstDash val="solid"/>
              </a:ln>
            </spPr>
          </marker>
          <cat>
            <numRef>
              <f>'Buildings'!$A$46:$A$64</f>
            </numRef>
          </cat>
          <val>
            <numRef>
              <f>'Buildings'!$C$46:$C$64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TWh</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B5a — Fossil share of residential energy mix</a:t>
            </a:r>
          </a:p>
        </rich>
      </tx>
    </title>
    <plotArea>
      <lineChart>
        <grouping val="standard"/>
        <ser>
          <idx val="0"/>
          <order val="0"/>
          <tx>
            <strRef>
              <f>'Buildings'!B68</f>
            </strRef>
          </tx>
          <spPr>
            <a:ln w="22000">
              <a:solidFill>
                <a:srgbClr val="00928F"/>
              </a:solidFill>
              <a:prstDash val="solid"/>
            </a:ln>
          </spPr>
          <marker>
            <symbol val="none"/>
            <spPr>
              <a:ln>
                <a:prstDash val="solid"/>
              </a:ln>
            </spPr>
          </marker>
          <cat>
            <numRef>
              <f>'Buildings'!$A$69:$A$86</f>
            </numRef>
          </cat>
          <val>
            <numRef>
              <f>'Buildings'!$B$69:$B$86</f>
            </numRef>
          </val>
          <smooth val="0"/>
        </ser>
        <ser>
          <idx val="1"/>
          <order val="1"/>
          <tx>
            <strRef>
              <f>'Buildings'!C68</f>
            </strRef>
          </tx>
          <spPr>
            <a:ln w="22000">
              <a:solidFill>
                <a:srgbClr val="F59E2D"/>
              </a:solidFill>
              <a:prstDash val="dash"/>
            </a:ln>
          </spPr>
          <marker>
            <symbol val="circle"/>
            <size val="5"/>
            <spPr>
              <a:ln>
                <a:prstDash val="solid"/>
              </a:ln>
            </spPr>
          </marker>
          <cat>
            <numRef>
              <f>'Buildings'!$A$69:$A$86</f>
            </numRef>
          </cat>
          <val>
            <numRef>
              <f>'Buildings'!$C$69:$C$86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B5b — Fossil share of tertiary energy mix</a:t>
            </a:r>
          </a:p>
        </rich>
      </tx>
    </title>
    <plotArea>
      <lineChart>
        <grouping val="standard"/>
        <ser>
          <idx val="0"/>
          <order val="0"/>
          <tx>
            <strRef>
              <f>'Buildings'!B90</f>
            </strRef>
          </tx>
          <spPr>
            <a:ln w="22000">
              <a:solidFill>
                <a:srgbClr val="00928F"/>
              </a:solidFill>
              <a:prstDash val="solid"/>
            </a:ln>
          </spPr>
          <marker>
            <symbol val="none"/>
            <spPr>
              <a:ln>
                <a:prstDash val="solid"/>
              </a:ln>
            </spPr>
          </marker>
          <cat>
            <numRef>
              <f>'Buildings'!$A$91:$A$108</f>
            </numRef>
          </cat>
          <val>
            <numRef>
              <f>'Buildings'!$B$91:$B$108</f>
            </numRef>
          </val>
          <smooth val="0"/>
        </ser>
        <ser>
          <idx val="1"/>
          <order val="1"/>
          <tx>
            <strRef>
              <f>'Buildings'!C90</f>
            </strRef>
          </tx>
          <spPr>
            <a:ln w="22000">
              <a:solidFill>
                <a:srgbClr val="F59E2D"/>
              </a:solidFill>
              <a:prstDash val="dash"/>
            </a:ln>
          </spPr>
          <marker>
            <symbol val="circle"/>
            <size val="5"/>
            <spPr>
              <a:ln>
                <a:prstDash val="solid"/>
              </a:ln>
            </spPr>
          </marker>
          <cat>
            <numRef>
              <f>'Buildings'!$A$91:$A$108</f>
            </numRef>
          </cat>
          <val>
            <numRef>
              <f>'Buildings'!$C$91:$C$108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B6 — EU stock of installed heat pumps</a:t>
            </a:r>
          </a:p>
        </rich>
      </tx>
    </title>
    <plotArea>
      <lineChart>
        <grouping val="standard"/>
        <ser>
          <idx val="0"/>
          <order val="0"/>
          <tx>
            <strRef>
              <f>'Buildings'!B112</f>
            </strRef>
          </tx>
          <spPr>
            <a:ln w="22000">
              <a:solidFill>
                <a:srgbClr val="00928F"/>
              </a:solidFill>
              <a:prstDash val="solid"/>
            </a:ln>
          </spPr>
          <marker>
            <symbol val="none"/>
            <spPr>
              <a:ln>
                <a:prstDash val="solid"/>
              </a:ln>
            </spPr>
          </marker>
          <cat>
            <numRef>
              <f>'Buildings'!$A$113:$A$132</f>
            </numRef>
          </cat>
          <val>
            <numRef>
              <f>'Buildings'!$B$113:$B$132</f>
            </numRef>
          </val>
          <smooth val="0"/>
        </ser>
        <ser>
          <idx val="1"/>
          <order val="1"/>
          <tx>
            <strRef>
              <f>'Buildings'!C112</f>
            </strRef>
          </tx>
          <spPr>
            <a:ln w="22000">
              <a:solidFill>
                <a:srgbClr val="F59E2D"/>
              </a:solidFill>
              <a:prstDash val="dash"/>
            </a:ln>
          </spPr>
          <marker>
            <symbol val="circle"/>
            <size val="5"/>
            <spPr>
              <a:ln>
                <a:prstDash val="solid"/>
              </a:ln>
            </spPr>
          </marker>
          <cat>
            <numRef>
              <f>'Buildings'!$A$113:$A$132</f>
            </numRef>
          </cat>
          <val>
            <numRef>
              <f>'Buildings'!$C$113:$C$132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units</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B4 (dwellings) — Total number of dwellings (index, 2005 = 1.0)</a:t>
            </a:r>
          </a:p>
        </rich>
      </tx>
    </title>
    <plotArea>
      <lineChart>
        <grouping val="standard"/>
        <ser>
          <idx val="0"/>
          <order val="0"/>
          <tx>
            <strRef>
              <f>'Buildings'!B136</f>
            </strRef>
          </tx>
          <spPr>
            <a:ln w="22000">
              <a:solidFill>
                <a:srgbClr val="00928F"/>
              </a:solidFill>
              <a:prstDash val="solid"/>
            </a:ln>
          </spPr>
          <marker>
            <symbol val="none"/>
            <spPr>
              <a:ln>
                <a:prstDash val="solid"/>
              </a:ln>
            </spPr>
          </marker>
          <cat>
            <numRef>
              <f>'Buildings'!$A$137:$A$148</f>
            </numRef>
          </cat>
          <val>
            <numRef>
              <f>'Buildings'!$B$137:$B$148</f>
            </numRef>
          </val>
          <smooth val="0"/>
        </ser>
        <ser>
          <idx val="1"/>
          <order val="1"/>
          <tx>
            <strRef>
              <f>'Buildings'!C136</f>
            </strRef>
          </tx>
          <spPr>
            <a:ln w="22000">
              <a:solidFill>
                <a:srgbClr val="F59E2D"/>
              </a:solidFill>
              <a:prstDash val="dash"/>
            </a:ln>
          </spPr>
          <marker>
            <symbol val="circle"/>
            <size val="5"/>
            <spPr>
              <a:ln>
                <a:prstDash val="solid"/>
              </a:ln>
            </spPr>
          </marker>
          <cat>
            <numRef>
              <f>'Buildings'!$A$137:$A$148</f>
            </numRef>
          </cat>
          <val>
            <numRef>
              <f>'Buildings'!$C$137:$C$148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index (2005 = 1.0)</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B4 (floor area) — Average floor area per dwelling (index, 2005 = 1.0)</a:t>
            </a:r>
          </a:p>
        </rich>
      </tx>
    </title>
    <plotArea>
      <lineChart>
        <grouping val="standard"/>
        <ser>
          <idx val="0"/>
          <order val="0"/>
          <tx>
            <strRef>
              <f>'Buildings'!B152</f>
            </strRef>
          </tx>
          <spPr>
            <a:ln w="22000">
              <a:solidFill>
                <a:srgbClr val="00928F"/>
              </a:solidFill>
              <a:prstDash val="solid"/>
            </a:ln>
          </spPr>
          <marker>
            <symbol val="none"/>
            <spPr>
              <a:ln>
                <a:prstDash val="solid"/>
              </a:ln>
            </spPr>
          </marker>
          <cat>
            <numRef>
              <f>'Buildings'!$A$153:$A$168</f>
            </numRef>
          </cat>
          <val>
            <numRef>
              <f>'Buildings'!$B$153:$B$168</f>
            </numRef>
          </val>
          <smooth val="0"/>
        </ser>
        <ser>
          <idx val="1"/>
          <order val="1"/>
          <tx>
            <strRef>
              <f>'Buildings'!C152</f>
            </strRef>
          </tx>
          <spPr>
            <a:ln w="22000">
              <a:solidFill>
                <a:srgbClr val="F59E2D"/>
              </a:solidFill>
              <a:prstDash val="dash"/>
            </a:ln>
          </spPr>
          <marker>
            <symbol val="circle"/>
            <size val="5"/>
            <spPr>
              <a:ln>
                <a:prstDash val="solid"/>
              </a:ln>
            </spPr>
          </marker>
          <cat>
            <numRef>
              <f>'Buildings'!$A$153:$A$168</f>
            </numRef>
          </cat>
          <val>
            <numRef>
              <f>'Buildings'!$C$153:$C$168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index (2005 = 1.0)</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B4 (surface residential) — Total residential floor surface (index, 2005 = 1.0)</a:t>
            </a:r>
          </a:p>
        </rich>
      </tx>
    </title>
    <plotArea>
      <lineChart>
        <grouping val="standard"/>
        <ser>
          <idx val="0"/>
          <order val="0"/>
          <tx>
            <strRef>
              <f>'Buildings'!B172</f>
            </strRef>
          </tx>
          <spPr>
            <a:ln w="22000">
              <a:solidFill>
                <a:srgbClr val="00928F"/>
              </a:solidFill>
              <a:prstDash val="solid"/>
            </a:ln>
          </spPr>
          <marker>
            <symbol val="none"/>
            <spPr>
              <a:ln>
                <a:prstDash val="solid"/>
              </a:ln>
            </spPr>
          </marker>
          <cat>
            <numRef>
              <f>'Buildings'!$A$173:$A$184</f>
            </numRef>
          </cat>
          <val>
            <numRef>
              <f>'Buildings'!$B$173:$B$184</f>
            </numRef>
          </val>
          <smooth val="0"/>
        </ser>
        <ser>
          <idx val="1"/>
          <order val="1"/>
          <tx>
            <strRef>
              <f>'Buildings'!C172</f>
            </strRef>
          </tx>
          <spPr>
            <a:ln w="22000">
              <a:solidFill>
                <a:srgbClr val="F59E2D"/>
              </a:solidFill>
              <a:prstDash val="dash"/>
            </a:ln>
          </spPr>
          <marker>
            <symbol val="circle"/>
            <size val="5"/>
            <spPr>
              <a:ln>
                <a:prstDash val="solid"/>
              </a:ln>
            </spPr>
          </marker>
          <cat>
            <numRef>
              <f>'Buildings'!$A$173:$A$184</f>
            </numRef>
          </cat>
          <val>
            <numRef>
              <f>'Buildings'!$C$173:$C$184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index (2005 = 1.0)</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B4 (population) — EU population (index, 2005 = 1.0)</a:t>
            </a:r>
          </a:p>
        </rich>
      </tx>
    </title>
    <plotArea>
      <lineChart>
        <grouping val="standard"/>
        <ser>
          <idx val="0"/>
          <order val="0"/>
          <tx>
            <strRef>
              <f>'Buildings'!B188</f>
            </strRef>
          </tx>
          <spPr>
            <a:ln w="22000">
              <a:solidFill>
                <a:srgbClr val="00928F"/>
              </a:solidFill>
              <a:prstDash val="solid"/>
            </a:ln>
          </spPr>
          <marker>
            <symbol val="none"/>
            <spPr>
              <a:ln>
                <a:prstDash val="solid"/>
              </a:ln>
            </spPr>
          </marker>
          <cat>
            <numRef>
              <f>'Buildings'!$A$189:$A$209</f>
            </numRef>
          </cat>
          <val>
            <numRef>
              <f>'Buildings'!$B$189:$B$209</f>
            </numRef>
          </val>
          <smooth val="0"/>
        </ser>
        <ser>
          <idx val="1"/>
          <order val="1"/>
          <tx>
            <strRef>
              <f>'Buildings'!C188</f>
            </strRef>
          </tx>
          <spPr>
            <a:ln w="22000">
              <a:solidFill>
                <a:srgbClr val="F59E2D"/>
              </a:solidFill>
              <a:prstDash val="dash"/>
            </a:ln>
          </spPr>
          <marker>
            <symbol val="circle"/>
            <size val="5"/>
            <spPr>
              <a:ln>
                <a:prstDash val="solid"/>
              </a:ln>
            </spPr>
          </marker>
          <cat>
            <numRef>
              <f>'Buildings'!$A$189:$A$209</f>
            </numRef>
          </cat>
          <val>
            <numRef>
              <f>'Buildings'!$C$189:$C$209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index (2005 = 1.0)</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4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B4 (surface tertiary) — Total tertiary floor surface (index, 2005 = 1.0)</a:t>
            </a:r>
          </a:p>
        </rich>
      </tx>
    </title>
    <plotArea>
      <lineChart>
        <grouping val="standard"/>
        <ser>
          <idx val="0"/>
          <order val="0"/>
          <tx>
            <strRef>
              <f>'Buildings'!B213</f>
            </strRef>
          </tx>
          <spPr>
            <a:ln w="22000">
              <a:solidFill>
                <a:srgbClr val="00928F"/>
              </a:solidFill>
              <a:prstDash val="solid"/>
            </a:ln>
          </spPr>
          <marker>
            <symbol val="none"/>
            <spPr>
              <a:ln>
                <a:prstDash val="solid"/>
              </a:ln>
            </spPr>
          </marker>
          <cat>
            <numRef>
              <f>'Buildings'!$A$214:$A$228</f>
            </numRef>
          </cat>
          <val>
            <numRef>
              <f>'Buildings'!$B$214:$B$228</f>
            </numRef>
          </val>
          <smooth val="0"/>
        </ser>
        <ser>
          <idx val="1"/>
          <order val="1"/>
          <tx>
            <strRef>
              <f>'Buildings'!C213</f>
            </strRef>
          </tx>
          <spPr>
            <a:ln w="22000">
              <a:solidFill>
                <a:srgbClr val="F59E2D"/>
              </a:solidFill>
              <a:prstDash val="dash"/>
            </a:ln>
          </spPr>
          <marker>
            <symbol val="circle"/>
            <size val="5"/>
            <spPr>
              <a:ln>
                <a:prstDash val="solid"/>
              </a:ln>
            </spPr>
          </marker>
          <cat>
            <numRef>
              <f>'Buildings'!$A$214:$A$228</f>
            </numRef>
          </cat>
          <val>
            <numRef>
              <f>'Buildings'!$C$214:$C$228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index (2005 = 1.0)</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A1 — Agricultural non-CO₂ emissions</a:t>
            </a:r>
          </a:p>
        </rich>
      </tx>
    </title>
    <plotArea>
      <lineChart>
        <grouping val="standard"/>
        <ser>
          <idx val="0"/>
          <order val="0"/>
          <tx>
            <strRef>
              <f>'Agriculture'!B35</f>
            </strRef>
          </tx>
          <spPr>
            <a:ln w="22000">
              <a:solidFill>
                <a:srgbClr val="6E8B1F"/>
              </a:solidFill>
              <a:prstDash val="solid"/>
            </a:ln>
          </spPr>
          <marker>
            <symbol val="none"/>
            <spPr>
              <a:ln>
                <a:prstDash val="solid"/>
              </a:ln>
            </spPr>
          </marker>
          <cat>
            <numRef>
              <f>'Agriculture'!$A$36:$A$55</f>
            </numRef>
          </cat>
          <val>
            <numRef>
              <f>'Agriculture'!$B$36:$B$55</f>
            </numRef>
          </val>
          <smooth val="0"/>
        </ser>
        <ser>
          <idx val="1"/>
          <order val="1"/>
          <tx>
            <strRef>
              <f>'Agriculture'!C35</f>
            </strRef>
          </tx>
          <spPr>
            <a:ln w="22000">
              <a:solidFill>
                <a:srgbClr val="F59E2D"/>
              </a:solidFill>
              <a:prstDash val="dash"/>
            </a:ln>
          </spPr>
          <marker>
            <symbol val="circle"/>
            <size val="5"/>
            <spPr>
              <a:ln>
                <a:prstDash val="solid"/>
              </a:ln>
            </spPr>
          </marker>
          <cat>
            <numRef>
              <f>'Agriculture'!$A$36:$A$55</f>
            </numRef>
          </cat>
          <val>
            <numRef>
              <f>'Agriculture'!$C$36:$C$55</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A3 (use) — Total fertiliser nitrogen use (EU)</a:t>
            </a:r>
          </a:p>
        </rich>
      </tx>
    </title>
    <plotArea>
      <lineChart>
        <grouping val="standard"/>
        <ser>
          <idx val="0"/>
          <order val="0"/>
          <tx>
            <strRef>
              <f>'Agriculture'!B59</f>
            </strRef>
          </tx>
          <spPr>
            <a:ln w="22000">
              <a:solidFill>
                <a:srgbClr val="6E8B1F"/>
              </a:solidFill>
              <a:prstDash val="solid"/>
            </a:ln>
          </spPr>
          <marker>
            <symbol val="none"/>
            <spPr>
              <a:ln>
                <a:prstDash val="solid"/>
              </a:ln>
            </spPr>
          </marker>
          <cat>
            <numRef>
              <f>'Agriculture'!$A$60:$A$76</f>
            </numRef>
          </cat>
          <val>
            <numRef>
              <f>'Agriculture'!$B$60:$B$76</f>
            </numRef>
          </val>
          <smooth val="0"/>
        </ser>
        <ser>
          <idx val="1"/>
          <order val="1"/>
          <tx>
            <strRef>
              <f>'Agriculture'!C59</f>
            </strRef>
          </tx>
          <spPr>
            <a:ln w="22000">
              <a:solidFill>
                <a:srgbClr val="F59E2D"/>
              </a:solidFill>
              <a:prstDash val="dash"/>
            </a:ln>
          </spPr>
          <marker>
            <symbol val="circle"/>
            <size val="5"/>
            <spPr>
              <a:ln>
                <a:prstDash val="solid"/>
              </a:ln>
            </spPr>
          </marker>
          <cat>
            <numRef>
              <f>'Agriculture'!$A$60:$A$76</f>
            </numRef>
          </cat>
          <val>
            <numRef>
              <f>'Agriculture'!$C$60:$C$76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N</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A3 (NUE) — Nitrogen use efficiency in EU agriculture</a:t>
            </a:r>
          </a:p>
        </rich>
      </tx>
    </title>
    <plotArea>
      <lineChart>
        <grouping val="standard"/>
        <ser>
          <idx val="0"/>
          <order val="0"/>
          <tx>
            <strRef>
              <f>'Agriculture'!B80</f>
            </strRef>
          </tx>
          <spPr>
            <a:ln w="22000">
              <a:solidFill>
                <a:srgbClr val="6E8B1F"/>
              </a:solidFill>
              <a:prstDash val="solid"/>
            </a:ln>
          </spPr>
          <marker>
            <symbol val="none"/>
            <spPr>
              <a:ln>
                <a:prstDash val="solid"/>
              </a:ln>
            </spPr>
          </marker>
          <cat>
            <numRef>
              <f>'Agriculture'!$A$81:$A$96</f>
            </numRef>
          </cat>
          <val>
            <numRef>
              <f>'Agriculture'!$B$81:$B$96</f>
            </numRef>
          </val>
          <smooth val="0"/>
        </ser>
        <ser>
          <idx val="1"/>
          <order val="1"/>
          <tx>
            <strRef>
              <f>'Agriculture'!C80</f>
            </strRef>
          </tx>
          <spPr>
            <a:ln w="22000">
              <a:solidFill>
                <a:srgbClr val="F59E2D"/>
              </a:solidFill>
              <a:prstDash val="dash"/>
            </a:ln>
          </spPr>
          <marker>
            <symbol val="circle"/>
            <size val="5"/>
            <spPr>
              <a:ln>
                <a:prstDash val="solid"/>
              </a:ln>
            </spPr>
          </marker>
          <cat>
            <numRef>
              <f>'Agriculture'!$A$81:$A$96</f>
            </numRef>
          </cat>
          <val>
            <numRef>
              <f>'Agriculture'!$C$81:$C$96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A7 — Agricultural products used as bioenergy feedstock</a:t>
            </a:r>
          </a:p>
        </rich>
      </tx>
    </title>
    <plotArea>
      <lineChart>
        <grouping val="standard"/>
        <ser>
          <idx val="0"/>
          <order val="0"/>
          <tx>
            <strRef>
              <f>'Agriculture'!B100</f>
            </strRef>
          </tx>
          <spPr>
            <a:ln w="22000">
              <a:solidFill>
                <a:srgbClr val="6E8B1F"/>
              </a:solidFill>
              <a:prstDash val="solid"/>
            </a:ln>
          </spPr>
          <marker>
            <symbol val="none"/>
            <spPr>
              <a:ln>
                <a:prstDash val="solid"/>
              </a:ln>
            </spPr>
          </marker>
          <cat>
            <numRef>
              <f>'Agriculture'!$A$101:$A$117</f>
            </numRef>
          </cat>
          <val>
            <numRef>
              <f>'Agriculture'!$B$101:$B$117</f>
            </numRef>
          </val>
          <smooth val="0"/>
        </ser>
        <ser>
          <idx val="1"/>
          <order val="1"/>
          <tx>
            <strRef>
              <f>'Agriculture'!C100</f>
            </strRef>
          </tx>
          <spPr>
            <a:ln w="22000">
              <a:solidFill>
                <a:srgbClr val="F59E2D"/>
              </a:solidFill>
              <a:prstDash val="dash"/>
            </a:ln>
          </spPr>
          <marker>
            <symbol val="circle"/>
            <size val="5"/>
            <spPr>
              <a:ln>
                <a:prstDash val="solid"/>
              </a:ln>
            </spPr>
          </marker>
          <cat>
            <numRef>
              <f>'Agriculture'!$A$101:$A$117</f>
            </numRef>
          </cat>
          <val>
            <numRef>
              <f>'Agriculture'!$C$101:$C$117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fresh</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(bovine, GHG) — Bovine meat: GHG emissions (EU)</a:t>
            </a:r>
          </a:p>
        </rich>
      </tx>
    </title>
    <plotArea>
      <lineChart>
        <grouping val="standard"/>
        <ser>
          <idx val="0"/>
          <order val="0"/>
          <tx>
            <strRef>
              <f>'Agriculture'!B121</f>
            </strRef>
          </tx>
          <spPr>
            <a:ln w="22000">
              <a:solidFill>
                <a:srgbClr val="6E8B1F"/>
              </a:solidFill>
              <a:prstDash val="solid"/>
            </a:ln>
          </spPr>
          <marker>
            <symbol val="none"/>
            <spPr>
              <a:ln>
                <a:prstDash val="solid"/>
              </a:ln>
            </spPr>
          </marker>
          <cat>
            <numRef>
              <f>'Agriculture'!$A$122:$A$133</f>
            </numRef>
          </cat>
          <val>
            <numRef>
              <f>'Agriculture'!$B$122:$B$133</f>
            </numRef>
          </val>
          <smooth val="0"/>
        </ser>
        <ser>
          <idx val="1"/>
          <order val="1"/>
          <tx>
            <strRef>
              <f>'Agriculture'!C121</f>
            </strRef>
          </tx>
          <spPr>
            <a:ln w="22000">
              <a:solidFill>
                <a:srgbClr val="F59E2D"/>
              </a:solidFill>
              <a:prstDash val="dash"/>
            </a:ln>
          </spPr>
          <marker>
            <symbol val="circle"/>
            <size val="5"/>
            <spPr>
              <a:ln>
                <a:prstDash val="solid"/>
              </a:ln>
            </spPr>
          </marker>
          <cat>
            <numRef>
              <f>'Agriculture'!$A$122:$A$133</f>
            </numRef>
          </cat>
          <val>
            <numRef>
              <f>'Agriculture'!$C$122:$C$133</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(bovine, production) — Bovine meat: production (EU)</a:t>
            </a:r>
          </a:p>
        </rich>
      </tx>
    </title>
    <plotArea>
      <lineChart>
        <grouping val="standard"/>
        <ser>
          <idx val="0"/>
          <order val="0"/>
          <tx>
            <strRef>
              <f>'Agriculture'!B137</f>
            </strRef>
          </tx>
          <spPr>
            <a:ln w="22000">
              <a:solidFill>
                <a:srgbClr val="6E8B1F"/>
              </a:solidFill>
              <a:prstDash val="solid"/>
            </a:ln>
          </spPr>
          <marker>
            <symbol val="none"/>
            <spPr>
              <a:ln>
                <a:prstDash val="solid"/>
              </a:ln>
            </spPr>
          </marker>
          <cat>
            <numRef>
              <f>'Agriculture'!$A$138:$A$153</f>
            </numRef>
          </cat>
          <val>
            <numRef>
              <f>'Agriculture'!$B$138:$B$153</f>
            </numRef>
          </val>
          <smooth val="0"/>
        </ser>
        <ser>
          <idx val="1"/>
          <order val="1"/>
          <tx>
            <strRef>
              <f>'Agriculture'!C137</f>
            </strRef>
          </tx>
          <spPr>
            <a:ln w="22000">
              <a:solidFill>
                <a:srgbClr val="F59E2D"/>
              </a:solidFill>
              <a:prstDash val="dash"/>
            </a:ln>
          </spPr>
          <marker>
            <symbol val="circle"/>
            <size val="5"/>
            <spPr>
              <a:ln>
                <a:prstDash val="solid"/>
              </a:ln>
            </spPr>
          </marker>
          <cat>
            <numRef>
              <f>'Agriculture'!$A$138:$A$153</f>
            </numRef>
          </cat>
          <val>
            <numRef>
              <f>'Agriculture'!$C$138:$C$153</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(bovine, intensity) — Bovine meat: GHG intensity (EU)</a:t>
            </a:r>
          </a:p>
        </rich>
      </tx>
    </title>
    <plotArea>
      <lineChart>
        <grouping val="standard"/>
        <ser>
          <idx val="0"/>
          <order val="0"/>
          <tx>
            <strRef>
              <f>'Agriculture'!B157</f>
            </strRef>
          </tx>
          <spPr>
            <a:ln w="22000">
              <a:solidFill>
                <a:srgbClr val="6E8B1F"/>
              </a:solidFill>
              <a:prstDash val="solid"/>
            </a:ln>
          </spPr>
          <marker>
            <symbol val="none"/>
            <spPr>
              <a:ln>
                <a:prstDash val="solid"/>
              </a:ln>
            </spPr>
          </marker>
          <cat>
            <numRef>
              <f>'Agriculture'!$A$158:$A$168</f>
            </numRef>
          </cat>
          <val>
            <numRef>
              <f>'Agriculture'!$B$158:$B$168</f>
            </numRef>
          </val>
          <smooth val="0"/>
        </ser>
        <ser>
          <idx val="1"/>
          <order val="1"/>
          <tx>
            <strRef>
              <f>'Agriculture'!C157</f>
            </strRef>
          </tx>
          <spPr>
            <a:ln w="22000">
              <a:solidFill>
                <a:srgbClr val="F59E2D"/>
              </a:solidFill>
              <a:prstDash val="dash"/>
            </a:ln>
          </spPr>
          <marker>
            <symbol val="circle"/>
            <size val="5"/>
            <spPr>
              <a:ln>
                <a:prstDash val="solid"/>
              </a:ln>
            </spPr>
          </marker>
          <cat>
            <numRef>
              <f>'Agriculture'!$A$158:$A$168</f>
            </numRef>
          </cat>
          <val>
            <numRef>
              <f>'Agriculture'!$C$158:$C$168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 CO₂eq/t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(dairy, GHG) — Dairy products: GHG emissions (EU)</a:t>
            </a:r>
          </a:p>
        </rich>
      </tx>
    </title>
    <plotArea>
      <lineChart>
        <grouping val="standard"/>
        <ser>
          <idx val="0"/>
          <order val="0"/>
          <tx>
            <strRef>
              <f>'Agriculture'!B173</f>
            </strRef>
          </tx>
          <spPr>
            <a:ln w="22000">
              <a:solidFill>
                <a:srgbClr val="6E8B1F"/>
              </a:solidFill>
              <a:prstDash val="solid"/>
            </a:ln>
          </spPr>
          <marker>
            <symbol val="none"/>
            <spPr>
              <a:ln>
                <a:prstDash val="solid"/>
              </a:ln>
            </spPr>
          </marker>
          <cat>
            <numRef>
              <f>'Agriculture'!$A$174:$A$185</f>
            </numRef>
          </cat>
          <val>
            <numRef>
              <f>'Agriculture'!$B$174:$B$185</f>
            </numRef>
          </val>
          <smooth val="0"/>
        </ser>
        <ser>
          <idx val="1"/>
          <order val="1"/>
          <tx>
            <strRef>
              <f>'Agriculture'!C173</f>
            </strRef>
          </tx>
          <spPr>
            <a:ln w="22000">
              <a:solidFill>
                <a:srgbClr val="F59E2D"/>
              </a:solidFill>
              <a:prstDash val="dash"/>
            </a:ln>
          </spPr>
          <marker>
            <symbol val="circle"/>
            <size val="5"/>
            <spPr>
              <a:ln>
                <a:prstDash val="solid"/>
              </a:ln>
            </spPr>
          </marker>
          <cat>
            <numRef>
              <f>'Agriculture'!$A$174:$A$185</f>
            </numRef>
          </cat>
          <val>
            <numRef>
              <f>'Agriculture'!$C$174:$C$185</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(dairy, production) — Dairy products: production (EU)</a:t>
            </a:r>
          </a:p>
        </rich>
      </tx>
    </title>
    <plotArea>
      <lineChart>
        <grouping val="standard"/>
        <ser>
          <idx val="0"/>
          <order val="0"/>
          <tx>
            <strRef>
              <f>'Agriculture'!B189</f>
            </strRef>
          </tx>
          <spPr>
            <a:ln w="22000">
              <a:solidFill>
                <a:srgbClr val="6E8B1F"/>
              </a:solidFill>
              <a:prstDash val="solid"/>
            </a:ln>
          </spPr>
          <marker>
            <symbol val="none"/>
            <spPr>
              <a:ln>
                <a:prstDash val="solid"/>
              </a:ln>
            </spPr>
          </marker>
          <cat>
            <numRef>
              <f>'Agriculture'!$A$190:$A$204</f>
            </numRef>
          </cat>
          <val>
            <numRef>
              <f>'Agriculture'!$B$190:$B$204</f>
            </numRef>
          </val>
          <smooth val="0"/>
        </ser>
        <ser>
          <idx val="1"/>
          <order val="1"/>
          <tx>
            <strRef>
              <f>'Agriculture'!C189</f>
            </strRef>
          </tx>
          <spPr>
            <a:ln w="22000">
              <a:solidFill>
                <a:srgbClr val="F59E2D"/>
              </a:solidFill>
              <a:prstDash val="dash"/>
            </a:ln>
          </spPr>
          <marker>
            <symbol val="circle"/>
            <size val="5"/>
            <spPr>
              <a:ln>
                <a:prstDash val="solid"/>
              </a:ln>
            </spPr>
          </marker>
          <cat>
            <numRef>
              <f>'Agriculture'!$A$190:$A$204</f>
            </numRef>
          </cat>
          <val>
            <numRef>
              <f>'Agriculture'!$C$190:$C$204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5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(dairy, intensity) — Dairy products: GHG intensity (EU)</a:t>
            </a:r>
          </a:p>
        </rich>
      </tx>
    </title>
    <plotArea>
      <lineChart>
        <grouping val="standard"/>
        <ser>
          <idx val="0"/>
          <order val="0"/>
          <tx>
            <strRef>
              <f>'Agriculture'!B208</f>
            </strRef>
          </tx>
          <spPr>
            <a:ln w="22000">
              <a:solidFill>
                <a:srgbClr val="6E8B1F"/>
              </a:solidFill>
              <a:prstDash val="solid"/>
            </a:ln>
          </spPr>
          <marker>
            <symbol val="none"/>
            <spPr>
              <a:ln>
                <a:prstDash val="solid"/>
              </a:ln>
            </spPr>
          </marker>
          <cat>
            <numRef>
              <f>'Agriculture'!$A$209:$A$219</f>
            </numRef>
          </cat>
          <val>
            <numRef>
              <f>'Agriculture'!$B$209:$B$219</f>
            </numRef>
          </val>
          <smooth val="0"/>
        </ser>
        <ser>
          <idx val="1"/>
          <order val="1"/>
          <tx>
            <strRef>
              <f>'Agriculture'!C208</f>
            </strRef>
          </tx>
          <spPr>
            <a:ln w="22000">
              <a:solidFill>
                <a:srgbClr val="F59E2D"/>
              </a:solidFill>
              <a:prstDash val="dash"/>
            </a:ln>
          </spPr>
          <marker>
            <symbol val="circle"/>
            <size val="5"/>
            <spPr>
              <a:ln>
                <a:prstDash val="solid"/>
              </a:ln>
            </spPr>
          </marker>
          <cat>
            <numRef>
              <f>'Agriculture'!$A$209:$A$219</f>
            </numRef>
          </cat>
          <val>
            <numRef>
              <f>'Agriculture'!$C$209:$C$219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 CO₂eq/t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(pig, GHG) — Pig meat: GHG emissions (EU)</a:t>
            </a:r>
          </a:p>
        </rich>
      </tx>
    </title>
    <plotArea>
      <lineChart>
        <grouping val="standard"/>
        <ser>
          <idx val="0"/>
          <order val="0"/>
          <tx>
            <strRef>
              <f>'Agriculture'!B224</f>
            </strRef>
          </tx>
          <spPr>
            <a:ln w="22000">
              <a:solidFill>
                <a:srgbClr val="6E8B1F"/>
              </a:solidFill>
              <a:prstDash val="solid"/>
            </a:ln>
          </spPr>
          <marker>
            <symbol val="none"/>
            <spPr>
              <a:ln>
                <a:prstDash val="solid"/>
              </a:ln>
            </spPr>
          </marker>
          <cat>
            <numRef>
              <f>'Agriculture'!$A$225:$A$239</f>
            </numRef>
          </cat>
          <val>
            <numRef>
              <f>'Agriculture'!$B$225:$B$239</f>
            </numRef>
          </val>
          <smooth val="0"/>
        </ser>
        <ser>
          <idx val="1"/>
          <order val="1"/>
          <tx>
            <strRef>
              <f>'Agriculture'!C224</f>
            </strRef>
          </tx>
          <spPr>
            <a:ln w="22000">
              <a:solidFill>
                <a:srgbClr val="F59E2D"/>
              </a:solidFill>
              <a:prstDash val="dash"/>
            </a:ln>
          </spPr>
          <marker>
            <symbol val="circle"/>
            <size val="5"/>
            <spPr>
              <a:ln>
                <a:prstDash val="solid"/>
              </a:ln>
            </spPr>
          </marker>
          <cat>
            <numRef>
              <f>'Agriculture'!$A$225:$A$239</f>
            </numRef>
          </cat>
          <val>
            <numRef>
              <f>'Agriculture'!$C$225:$C$239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(pig, production) — Pig meat: production (EU)</a:t>
            </a:r>
          </a:p>
        </rich>
      </tx>
    </title>
    <plotArea>
      <lineChart>
        <grouping val="standard"/>
        <ser>
          <idx val="0"/>
          <order val="0"/>
          <tx>
            <strRef>
              <f>'Agriculture'!B243</f>
            </strRef>
          </tx>
          <spPr>
            <a:ln w="22000">
              <a:solidFill>
                <a:srgbClr val="6E8B1F"/>
              </a:solidFill>
              <a:prstDash val="solid"/>
            </a:ln>
          </spPr>
          <marker>
            <symbol val="none"/>
            <spPr>
              <a:ln>
                <a:prstDash val="solid"/>
              </a:ln>
            </spPr>
          </marker>
          <cat>
            <numRef>
              <f>'Agriculture'!$A$244:$A$259</f>
            </numRef>
          </cat>
          <val>
            <numRef>
              <f>'Agriculture'!$B$244:$B$259</f>
            </numRef>
          </val>
          <smooth val="0"/>
        </ser>
        <ser>
          <idx val="1"/>
          <order val="1"/>
          <tx>
            <strRef>
              <f>'Agriculture'!C243</f>
            </strRef>
          </tx>
          <spPr>
            <a:ln w="22000">
              <a:solidFill>
                <a:srgbClr val="F59E2D"/>
              </a:solidFill>
              <a:prstDash val="dash"/>
            </a:ln>
          </spPr>
          <marker>
            <symbol val="circle"/>
            <size val="5"/>
            <spPr>
              <a:ln>
                <a:prstDash val="solid"/>
              </a:ln>
            </spPr>
          </marker>
          <cat>
            <numRef>
              <f>'Agriculture'!$A$244:$A$259</f>
            </numRef>
          </cat>
          <val>
            <numRef>
              <f>'Agriculture'!$C$244:$C$259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A2 (pig, intensity) — Pig meat: GHG intensity (EU)</a:t>
            </a:r>
          </a:p>
        </rich>
      </tx>
    </title>
    <plotArea>
      <lineChart>
        <grouping val="standard"/>
        <ser>
          <idx val="0"/>
          <order val="0"/>
          <tx>
            <strRef>
              <f>'Agriculture'!B263</f>
            </strRef>
          </tx>
          <spPr>
            <a:ln w="22000">
              <a:solidFill>
                <a:srgbClr val="6E8B1F"/>
              </a:solidFill>
              <a:prstDash val="solid"/>
            </a:ln>
          </spPr>
          <marker>
            <symbol val="none"/>
            <spPr>
              <a:ln>
                <a:prstDash val="solid"/>
              </a:ln>
            </spPr>
          </marker>
          <cat>
            <numRef>
              <f>'Agriculture'!$A$264:$A$278</f>
            </numRef>
          </cat>
          <val>
            <numRef>
              <f>'Agriculture'!$B$264:$B$278</f>
            </numRef>
          </val>
          <smooth val="0"/>
        </ser>
        <ser>
          <idx val="1"/>
          <order val="1"/>
          <tx>
            <strRef>
              <f>'Agriculture'!C263</f>
            </strRef>
          </tx>
          <spPr>
            <a:ln w="22000">
              <a:solidFill>
                <a:srgbClr val="F59E2D"/>
              </a:solidFill>
              <a:prstDash val="dash"/>
            </a:ln>
          </spPr>
          <marker>
            <symbol val="circle"/>
            <size val="5"/>
            <spPr>
              <a:ln>
                <a:prstDash val="solid"/>
              </a:ln>
            </spPr>
          </marker>
          <cat>
            <numRef>
              <f>'Agriculture'!$A$264:$A$278</f>
            </numRef>
          </cat>
          <val>
            <numRef>
              <f>'Agriculture'!$C$264:$C$278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 CO₂eq/t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(bovine, consumption) — Bovine meat: consumption (EU)</a:t>
            </a:r>
          </a:p>
        </rich>
      </tx>
    </title>
    <plotArea>
      <lineChart>
        <grouping val="standard"/>
        <ser>
          <idx val="0"/>
          <order val="0"/>
          <tx>
            <strRef>
              <f>'Agriculture'!B282</f>
            </strRef>
          </tx>
          <spPr>
            <a:ln w="22000">
              <a:solidFill>
                <a:srgbClr val="6E8B1F"/>
              </a:solidFill>
              <a:prstDash val="solid"/>
            </a:ln>
          </spPr>
          <marker>
            <symbol val="none"/>
            <spPr>
              <a:ln>
                <a:prstDash val="solid"/>
              </a:ln>
            </spPr>
          </marker>
          <cat>
            <numRef>
              <f>'Agriculture'!$A$283:$A$293</f>
            </numRef>
          </cat>
          <val>
            <numRef>
              <f>'Agriculture'!$B$283:$B$293</f>
            </numRef>
          </val>
          <smooth val="0"/>
        </ser>
        <ser>
          <idx val="1"/>
          <order val="1"/>
          <tx>
            <strRef>
              <f>'Agriculture'!C282</f>
            </strRef>
          </tx>
          <spPr>
            <a:ln w="22000">
              <a:solidFill>
                <a:srgbClr val="F59E2D"/>
              </a:solidFill>
              <a:prstDash val="dash"/>
            </a:ln>
          </spPr>
          <marker>
            <symbol val="circle"/>
            <size val="5"/>
            <spPr>
              <a:ln>
                <a:prstDash val="solid"/>
              </a:ln>
            </spPr>
          </marker>
          <cat>
            <numRef>
              <f>'Agriculture'!$A$283:$A$293</f>
            </numRef>
          </cat>
          <val>
            <numRef>
              <f>'Agriculture'!$C$283:$C$293</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(bovine, production) — Bovine meat: production (EU)</a:t>
            </a:r>
          </a:p>
        </rich>
      </tx>
    </title>
    <plotArea>
      <lineChart>
        <grouping val="standard"/>
        <ser>
          <idx val="0"/>
          <order val="0"/>
          <tx>
            <strRef>
              <f>'Agriculture'!B298</f>
            </strRef>
          </tx>
          <spPr>
            <a:ln w="22000">
              <a:solidFill>
                <a:srgbClr val="6E8B1F"/>
              </a:solidFill>
              <a:prstDash val="solid"/>
            </a:ln>
          </spPr>
          <marker>
            <symbol val="none"/>
            <spPr>
              <a:ln>
                <a:prstDash val="solid"/>
              </a:ln>
            </spPr>
          </marker>
          <cat>
            <numRef>
              <f>'Agriculture'!$A$299:$A$314</f>
            </numRef>
          </cat>
          <val>
            <numRef>
              <f>'Agriculture'!$B$299:$B$314</f>
            </numRef>
          </val>
          <smooth val="0"/>
        </ser>
        <ser>
          <idx val="1"/>
          <order val="1"/>
          <tx>
            <strRef>
              <f>'Agriculture'!C298</f>
            </strRef>
          </tx>
          <spPr>
            <a:ln w="22000">
              <a:solidFill>
                <a:srgbClr val="F59E2D"/>
              </a:solidFill>
              <a:prstDash val="dash"/>
            </a:ln>
          </spPr>
          <marker>
            <symbol val="circle"/>
            <size val="5"/>
            <spPr>
              <a:ln>
                <a:prstDash val="solid"/>
              </a:ln>
            </spPr>
          </marker>
          <cat>
            <numRef>
              <f>'Agriculture'!$A$299:$A$314</f>
            </numRef>
          </cat>
          <val>
            <numRef>
              <f>'Agriculture'!$C$299:$C$314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(bovine, herd) — Bovine meat: herd size (EU)</a:t>
            </a:r>
          </a:p>
        </rich>
      </tx>
    </title>
    <plotArea>
      <lineChart>
        <grouping val="standard"/>
        <ser>
          <idx val="0"/>
          <order val="0"/>
          <tx>
            <strRef>
              <f>'Agriculture'!B318</f>
            </strRef>
          </tx>
          <spPr>
            <a:ln w="22000">
              <a:solidFill>
                <a:srgbClr val="6E8B1F"/>
              </a:solidFill>
              <a:prstDash val="solid"/>
            </a:ln>
          </spPr>
          <marker>
            <symbol val="none"/>
            <spPr>
              <a:ln>
                <a:prstDash val="solid"/>
              </a:ln>
            </spPr>
          </marker>
          <cat>
            <numRef>
              <f>'Agriculture'!$A$319:$A$334</f>
            </numRef>
          </cat>
          <val>
            <numRef>
              <f>'Agriculture'!$B$319:$B$334</f>
            </numRef>
          </val>
          <smooth val="0"/>
        </ser>
        <ser>
          <idx val="1"/>
          <order val="1"/>
          <tx>
            <strRef>
              <f>'Agriculture'!C318</f>
            </strRef>
          </tx>
          <spPr>
            <a:ln w="22000">
              <a:solidFill>
                <a:srgbClr val="F59E2D"/>
              </a:solidFill>
              <a:prstDash val="dash"/>
            </a:ln>
          </spPr>
          <marker>
            <symbol val="circle"/>
            <size val="5"/>
            <spPr>
              <a:ln>
                <a:prstDash val="solid"/>
              </a:ln>
            </spPr>
          </marker>
          <cat>
            <numRef>
              <f>'Agriculture'!$A$319:$A$334</f>
            </numRef>
          </cat>
          <val>
            <numRef>
              <f>'Agriculture'!$C$319:$C$334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heads</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(dairy, consumption) — Dairy products: consumption (EU)</a:t>
            </a:r>
          </a:p>
        </rich>
      </tx>
    </title>
    <plotArea>
      <lineChart>
        <grouping val="standard"/>
        <ser>
          <idx val="0"/>
          <order val="0"/>
          <tx>
            <strRef>
              <f>'Agriculture'!B338</f>
            </strRef>
          </tx>
          <spPr>
            <a:ln w="22000">
              <a:solidFill>
                <a:srgbClr val="6E8B1F"/>
              </a:solidFill>
              <a:prstDash val="solid"/>
            </a:ln>
          </spPr>
          <marker>
            <symbol val="none"/>
            <spPr>
              <a:ln>
                <a:prstDash val="solid"/>
              </a:ln>
            </spPr>
          </marker>
          <cat>
            <numRef>
              <f>'Agriculture'!$A$339:$A$349</f>
            </numRef>
          </cat>
          <val>
            <numRef>
              <f>'Agriculture'!$B$339:$B$349</f>
            </numRef>
          </val>
          <smooth val="0"/>
        </ser>
        <ser>
          <idx val="1"/>
          <order val="1"/>
          <tx>
            <strRef>
              <f>'Agriculture'!C338</f>
            </strRef>
          </tx>
          <spPr>
            <a:ln w="22000">
              <a:solidFill>
                <a:srgbClr val="F59E2D"/>
              </a:solidFill>
              <a:prstDash val="dash"/>
            </a:ln>
          </spPr>
          <marker>
            <symbol val="circle"/>
            <size val="5"/>
            <spPr>
              <a:ln>
                <a:prstDash val="solid"/>
              </a:ln>
            </spPr>
          </marker>
          <cat>
            <numRef>
              <f>'Agriculture'!$A$339:$A$349</f>
            </numRef>
          </cat>
          <val>
            <numRef>
              <f>'Agriculture'!$C$339:$C$349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(dairy, production) — Dairy products: production (EU)</a:t>
            </a:r>
          </a:p>
        </rich>
      </tx>
    </title>
    <plotArea>
      <lineChart>
        <grouping val="standard"/>
        <ser>
          <idx val="0"/>
          <order val="0"/>
          <tx>
            <strRef>
              <f>'Agriculture'!B354</f>
            </strRef>
          </tx>
          <spPr>
            <a:ln w="22000">
              <a:solidFill>
                <a:srgbClr val="6E8B1F"/>
              </a:solidFill>
              <a:prstDash val="solid"/>
            </a:ln>
          </spPr>
          <marker>
            <symbol val="none"/>
            <spPr>
              <a:ln>
                <a:prstDash val="solid"/>
              </a:ln>
            </spPr>
          </marker>
          <cat>
            <numRef>
              <f>'Agriculture'!$A$355:$A$369</f>
            </numRef>
          </cat>
          <val>
            <numRef>
              <f>'Agriculture'!$B$355:$B$369</f>
            </numRef>
          </val>
          <smooth val="0"/>
        </ser>
        <ser>
          <idx val="1"/>
          <order val="1"/>
          <tx>
            <strRef>
              <f>'Agriculture'!C354</f>
            </strRef>
          </tx>
          <spPr>
            <a:ln w="22000">
              <a:solidFill>
                <a:srgbClr val="F59E2D"/>
              </a:solidFill>
              <a:prstDash val="dash"/>
            </a:ln>
          </spPr>
          <marker>
            <symbol val="circle"/>
            <size val="5"/>
            <spPr>
              <a:ln>
                <a:prstDash val="solid"/>
              </a:ln>
            </spPr>
          </marker>
          <cat>
            <numRef>
              <f>'Agriculture'!$A$355:$A$369</f>
            </numRef>
          </cat>
          <val>
            <numRef>
              <f>'Agriculture'!$C$355:$C$369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(dairy, herd) — Dairy products: herd size (EU)</a:t>
            </a:r>
          </a:p>
        </rich>
      </tx>
    </title>
    <plotArea>
      <lineChart>
        <grouping val="standard"/>
        <ser>
          <idx val="0"/>
          <order val="0"/>
          <tx>
            <strRef>
              <f>'Agriculture'!B373</f>
            </strRef>
          </tx>
          <spPr>
            <a:ln w="22000">
              <a:solidFill>
                <a:srgbClr val="6E8B1F"/>
              </a:solidFill>
              <a:prstDash val="solid"/>
            </a:ln>
          </spPr>
          <marker>
            <symbol val="none"/>
            <spPr>
              <a:ln>
                <a:prstDash val="solid"/>
              </a:ln>
            </spPr>
          </marker>
          <cat>
            <numRef>
              <f>'Agriculture'!$A$374:$A$389</f>
            </numRef>
          </cat>
          <val>
            <numRef>
              <f>'Agriculture'!$B$374:$B$389</f>
            </numRef>
          </val>
          <smooth val="0"/>
        </ser>
        <ser>
          <idx val="1"/>
          <order val="1"/>
          <tx>
            <strRef>
              <f>'Agriculture'!C373</f>
            </strRef>
          </tx>
          <spPr>
            <a:ln w="22000">
              <a:solidFill>
                <a:srgbClr val="F59E2D"/>
              </a:solidFill>
              <a:prstDash val="dash"/>
            </a:ln>
          </spPr>
          <marker>
            <symbol val="circle"/>
            <size val="5"/>
            <spPr>
              <a:ln>
                <a:prstDash val="solid"/>
              </a:ln>
            </spPr>
          </marker>
          <cat>
            <numRef>
              <f>'Agriculture'!$A$374:$A$389</f>
            </numRef>
          </cat>
          <val>
            <numRef>
              <f>'Agriculture'!$C$374:$C$389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heads</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6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(pig, consumption) — Pig meat: consumption (EU)</a:t>
            </a:r>
          </a:p>
        </rich>
      </tx>
    </title>
    <plotArea>
      <lineChart>
        <grouping val="standard"/>
        <ser>
          <idx val="0"/>
          <order val="0"/>
          <tx>
            <strRef>
              <f>'Agriculture'!B393</f>
            </strRef>
          </tx>
          <spPr>
            <a:ln w="22000">
              <a:solidFill>
                <a:srgbClr val="6E8B1F"/>
              </a:solidFill>
              <a:prstDash val="solid"/>
            </a:ln>
          </spPr>
          <marker>
            <symbol val="none"/>
            <spPr>
              <a:ln>
                <a:prstDash val="solid"/>
              </a:ln>
            </spPr>
          </marker>
          <cat>
            <numRef>
              <f>'Agriculture'!$A$394:$A$404</f>
            </numRef>
          </cat>
          <val>
            <numRef>
              <f>'Agriculture'!$B$394:$B$404</f>
            </numRef>
          </val>
          <smooth val="0"/>
        </ser>
        <ser>
          <idx val="1"/>
          <order val="1"/>
          <tx>
            <strRef>
              <f>'Agriculture'!C393</f>
            </strRef>
          </tx>
          <spPr>
            <a:ln w="22000">
              <a:solidFill>
                <a:srgbClr val="F59E2D"/>
              </a:solidFill>
              <a:prstDash val="dash"/>
            </a:ln>
          </spPr>
          <marker>
            <symbol val="circle"/>
            <size val="5"/>
            <spPr>
              <a:ln>
                <a:prstDash val="solid"/>
              </a:ln>
            </spPr>
          </marker>
          <cat>
            <numRef>
              <f>'Agriculture'!$A$394:$A$404</f>
            </numRef>
          </cat>
          <val>
            <numRef>
              <f>'Agriculture'!$C$394:$C$404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(pig, production) — Pig meat: production (EU)</a:t>
            </a:r>
          </a:p>
        </rich>
      </tx>
    </title>
    <plotArea>
      <lineChart>
        <grouping val="standard"/>
        <ser>
          <idx val="0"/>
          <order val="0"/>
          <tx>
            <strRef>
              <f>'Agriculture'!B409</f>
            </strRef>
          </tx>
          <spPr>
            <a:ln w="22000">
              <a:solidFill>
                <a:srgbClr val="6E8B1F"/>
              </a:solidFill>
              <a:prstDash val="solid"/>
            </a:ln>
          </spPr>
          <marker>
            <symbol val="none"/>
            <spPr>
              <a:ln>
                <a:prstDash val="solid"/>
              </a:ln>
            </spPr>
          </marker>
          <cat>
            <numRef>
              <f>'Agriculture'!$A$410:$A$425</f>
            </numRef>
          </cat>
          <val>
            <numRef>
              <f>'Agriculture'!$B$410:$B$425</f>
            </numRef>
          </val>
          <smooth val="0"/>
        </ser>
        <ser>
          <idx val="1"/>
          <order val="1"/>
          <tx>
            <strRef>
              <f>'Agriculture'!C409</f>
            </strRef>
          </tx>
          <spPr>
            <a:ln w="22000">
              <a:solidFill>
                <a:srgbClr val="F59E2D"/>
              </a:solidFill>
              <a:prstDash val="dash"/>
            </a:ln>
          </spPr>
          <marker>
            <symbol val="circle"/>
            <size val="5"/>
            <spPr>
              <a:ln>
                <a:prstDash val="solid"/>
              </a:ln>
            </spPr>
          </marker>
          <cat>
            <numRef>
              <f>'Agriculture'!$A$410:$A$425</f>
            </numRef>
          </cat>
          <val>
            <numRef>
              <f>'Agriculture'!$C$410:$C$425</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A4 (pig, herd) — Pig meat: herd size (EU)</a:t>
            </a:r>
          </a:p>
        </rich>
      </tx>
    </title>
    <plotArea>
      <lineChart>
        <grouping val="standard"/>
        <ser>
          <idx val="0"/>
          <order val="0"/>
          <tx>
            <strRef>
              <f>'Agriculture'!B429</f>
            </strRef>
          </tx>
          <spPr>
            <a:ln w="22000">
              <a:solidFill>
                <a:srgbClr val="6E8B1F"/>
              </a:solidFill>
              <a:prstDash val="solid"/>
            </a:ln>
          </spPr>
          <marker>
            <symbol val="none"/>
            <spPr>
              <a:ln>
                <a:prstDash val="solid"/>
              </a:ln>
            </spPr>
          </marker>
          <cat>
            <numRef>
              <f>'Agriculture'!$A$430:$A$445</f>
            </numRef>
          </cat>
          <val>
            <numRef>
              <f>'Agriculture'!$B$430:$B$445</f>
            </numRef>
          </val>
          <smooth val="0"/>
        </ser>
        <ser>
          <idx val="1"/>
          <order val="1"/>
          <tx>
            <strRef>
              <f>'Agriculture'!C429</f>
            </strRef>
          </tx>
          <spPr>
            <a:ln w="22000">
              <a:solidFill>
                <a:srgbClr val="F59E2D"/>
              </a:solidFill>
              <a:prstDash val="dash"/>
            </a:ln>
          </spPr>
          <marker>
            <symbol val="circle"/>
            <size val="5"/>
            <spPr>
              <a:ln>
                <a:prstDash val="solid"/>
              </a:ln>
            </spPr>
          </marker>
          <cat>
            <numRef>
              <f>'Agriculture'!$A$430:$A$445</f>
            </numRef>
          </cat>
          <val>
            <numRef>
              <f>'Agriculture'!$C$430:$C$445</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heads</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A5 (bovine) — Average bovine meat consumption (EU)</a:t>
            </a:r>
          </a:p>
        </rich>
      </tx>
    </title>
    <plotArea>
      <lineChart>
        <grouping val="standard"/>
        <ser>
          <idx val="0"/>
          <order val="0"/>
          <tx>
            <strRef>
              <f>'Agriculture'!B449</f>
            </strRef>
          </tx>
          <spPr>
            <a:ln w="22000">
              <a:solidFill>
                <a:srgbClr val="6E8B1F"/>
              </a:solidFill>
              <a:prstDash val="solid"/>
            </a:ln>
          </spPr>
          <marker>
            <symbol val="none"/>
            <spPr>
              <a:ln>
                <a:prstDash val="solid"/>
              </a:ln>
            </spPr>
          </marker>
          <cat>
            <numRef>
              <f>'Agriculture'!$A$450:$A$460</f>
            </numRef>
          </cat>
          <val>
            <numRef>
              <f>'Agriculture'!$B$450:$B$460</f>
            </numRef>
          </val>
          <smooth val="0"/>
        </ser>
        <ser>
          <idx val="1"/>
          <order val="1"/>
          <tx>
            <strRef>
              <f>'Agriculture'!C449</f>
            </strRef>
          </tx>
          <spPr>
            <a:ln w="22000">
              <a:solidFill>
                <a:srgbClr val="F59E2D"/>
              </a:solidFill>
              <a:prstDash val="dash"/>
            </a:ln>
          </spPr>
          <marker>
            <symbol val="circle"/>
            <size val="5"/>
            <spPr>
              <a:ln>
                <a:prstDash val="solid"/>
              </a:ln>
            </spPr>
          </marker>
          <cat>
            <numRef>
              <f>'Agriculture'!$A$450:$A$460</f>
            </numRef>
          </cat>
          <val>
            <numRef>
              <f>'Agriculture'!$C$450:$C$460</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kcal/cap/day</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A5 (dairy) — Average dairy products consumption (EU)</a:t>
            </a:r>
          </a:p>
        </rich>
      </tx>
    </title>
    <plotArea>
      <lineChart>
        <grouping val="standard"/>
        <ser>
          <idx val="0"/>
          <order val="0"/>
          <tx>
            <strRef>
              <f>'Agriculture'!B465</f>
            </strRef>
          </tx>
          <spPr>
            <a:ln w="22000">
              <a:solidFill>
                <a:srgbClr val="6E8B1F"/>
              </a:solidFill>
              <a:prstDash val="solid"/>
            </a:ln>
          </spPr>
          <marker>
            <symbol val="none"/>
            <spPr>
              <a:ln>
                <a:prstDash val="solid"/>
              </a:ln>
            </spPr>
          </marker>
          <cat>
            <numRef>
              <f>'Agriculture'!$A$466:$A$477</f>
            </numRef>
          </cat>
          <val>
            <numRef>
              <f>'Agriculture'!$B$466:$B$477</f>
            </numRef>
          </val>
          <smooth val="0"/>
        </ser>
        <ser>
          <idx val="1"/>
          <order val="1"/>
          <tx>
            <strRef>
              <f>'Agriculture'!C465</f>
            </strRef>
          </tx>
          <spPr>
            <a:ln w="22000">
              <a:solidFill>
                <a:srgbClr val="F59E2D"/>
              </a:solidFill>
              <a:prstDash val="dash"/>
            </a:ln>
          </spPr>
          <marker>
            <symbol val="circle"/>
            <size val="5"/>
            <spPr>
              <a:ln>
                <a:prstDash val="solid"/>
              </a:ln>
            </spPr>
          </marker>
          <cat>
            <numRef>
              <f>'Agriculture'!$A$466:$A$477</f>
            </numRef>
          </cat>
          <val>
            <numRef>
              <f>'Agriculture'!$C$466:$C$477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kcal/cap/day</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A5 (pig) — Average pig meat consumption (EU)</a:t>
            </a:r>
          </a:p>
        </rich>
      </tx>
    </title>
    <plotArea>
      <lineChart>
        <grouping val="standard"/>
        <ser>
          <idx val="0"/>
          <order val="0"/>
          <tx>
            <strRef>
              <f>'Agriculture'!B481</f>
            </strRef>
          </tx>
          <spPr>
            <a:ln w="22000">
              <a:solidFill>
                <a:srgbClr val="6E8B1F"/>
              </a:solidFill>
              <a:prstDash val="solid"/>
            </a:ln>
          </spPr>
          <marker>
            <symbol val="none"/>
            <spPr>
              <a:ln>
                <a:prstDash val="solid"/>
              </a:ln>
            </spPr>
          </marker>
          <cat>
            <numRef>
              <f>'Agriculture'!$A$482:$A$492</f>
            </numRef>
          </cat>
          <val>
            <numRef>
              <f>'Agriculture'!$B$482:$B$492</f>
            </numRef>
          </val>
          <smooth val="0"/>
        </ser>
        <ser>
          <idx val="1"/>
          <order val="1"/>
          <tx>
            <strRef>
              <f>'Agriculture'!C481</f>
            </strRef>
          </tx>
          <spPr>
            <a:ln w="22000">
              <a:solidFill>
                <a:srgbClr val="F59E2D"/>
              </a:solidFill>
              <a:prstDash val="dash"/>
            </a:ln>
          </spPr>
          <marker>
            <symbol val="circle"/>
            <size val="5"/>
            <spPr>
              <a:ln>
                <a:prstDash val="solid"/>
              </a:ln>
            </spPr>
          </marker>
          <cat>
            <numRef>
              <f>'Agriculture'!$A$482:$A$492</f>
            </numRef>
          </cat>
          <val>
            <numRef>
              <f>'Agriculture'!$C$482:$C$492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kcal/cap/day</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A6 — Food waste per capita (EU)</a:t>
            </a:r>
          </a:p>
        </rich>
      </tx>
    </title>
    <plotArea>
      <lineChart>
        <grouping val="standard"/>
        <ser>
          <idx val="0"/>
          <order val="0"/>
          <tx>
            <strRef>
              <f>'Agriculture'!B497</f>
            </strRef>
          </tx>
          <spPr>
            <a:ln w="22000">
              <a:solidFill>
                <a:srgbClr val="6E8B1F"/>
              </a:solidFill>
              <a:prstDash val="solid"/>
            </a:ln>
          </spPr>
          <marker>
            <symbol val="none"/>
            <spPr>
              <a:ln>
                <a:prstDash val="solid"/>
              </a:ln>
            </spPr>
          </marker>
          <cat>
            <numRef>
              <f>'Agriculture'!$A$498:$A$501</f>
            </numRef>
          </cat>
          <val>
            <numRef>
              <f>'Agriculture'!$B$498:$B$501</f>
            </numRef>
          </val>
          <smooth val="0"/>
        </ser>
        <ser>
          <idx val="1"/>
          <order val="1"/>
          <tx>
            <strRef>
              <f>'Agriculture'!C497</f>
            </strRef>
          </tx>
          <spPr>
            <a:ln w="22000">
              <a:solidFill>
                <a:srgbClr val="F59E2D"/>
              </a:solidFill>
              <a:prstDash val="dash"/>
            </a:ln>
          </spPr>
          <marker>
            <symbol val="circle"/>
            <size val="5"/>
            <spPr>
              <a:ln>
                <a:prstDash val="solid"/>
              </a:ln>
            </spPr>
          </marker>
          <cat>
            <numRef>
              <f>'Agriculture'!$A$498:$A$501</f>
            </numRef>
          </cat>
          <val>
            <numRef>
              <f>'Agriculture'!$C$498:$C$501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kg/cap/year</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L1 — LULUCF net GHG balance</a:t>
            </a:r>
          </a:p>
        </rich>
      </tx>
    </title>
    <plotArea>
      <lineChart>
        <grouping val="standard"/>
        <ser>
          <idx val="0"/>
          <order val="0"/>
          <tx>
            <strRef>
              <f>'LULUCF'!B22</f>
            </strRef>
          </tx>
          <spPr>
            <a:ln w="22000">
              <a:solidFill>
                <a:srgbClr val="007B6C"/>
              </a:solidFill>
              <a:prstDash val="solid"/>
            </a:ln>
          </spPr>
          <marker>
            <symbol val="none"/>
            <spPr>
              <a:ln>
                <a:prstDash val="solid"/>
              </a:ln>
            </spPr>
          </marker>
          <cat>
            <numRef>
              <f>'LULUCF'!$A$23:$A$42</f>
            </numRef>
          </cat>
          <val>
            <numRef>
              <f>'LULUCF'!$B$23:$B$42</f>
            </numRef>
          </val>
          <smooth val="0"/>
        </ser>
        <ser>
          <idx val="1"/>
          <order val="1"/>
          <tx>
            <strRef>
              <f>'LULUCF'!C22</f>
            </strRef>
          </tx>
          <spPr>
            <a:ln w="22000">
              <a:solidFill>
                <a:srgbClr val="F59E2D"/>
              </a:solidFill>
              <a:prstDash val="dash"/>
            </a:ln>
          </spPr>
          <marker>
            <symbol val="circle"/>
            <size val="5"/>
            <spPr>
              <a:ln>
                <a:prstDash val="solid"/>
              </a:ln>
            </spPr>
          </marker>
          <cat>
            <numRef>
              <f>'LULUCF'!$A$23:$A$42</f>
            </numRef>
          </cat>
          <val>
            <numRef>
              <f>'LULUCF'!$C$23:$C$42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L3 — Annual afforested area</a:t>
            </a:r>
          </a:p>
        </rich>
      </tx>
    </title>
    <plotArea>
      <lineChart>
        <grouping val="standard"/>
        <ser>
          <idx val="0"/>
          <order val="0"/>
          <tx>
            <strRef>
              <f>'LULUCF'!B46</f>
            </strRef>
          </tx>
          <spPr>
            <a:ln w="22000">
              <a:solidFill>
                <a:srgbClr val="007B6C"/>
              </a:solidFill>
              <a:prstDash val="solid"/>
            </a:ln>
          </spPr>
          <marker>
            <symbol val="none"/>
            <spPr>
              <a:ln>
                <a:prstDash val="solid"/>
              </a:ln>
            </spPr>
          </marker>
          <cat>
            <numRef>
              <f>'LULUCF'!$A$47:$A$63</f>
            </numRef>
          </cat>
          <val>
            <numRef>
              <f>'LULUCF'!$B$47:$B$63</f>
            </numRef>
          </val>
          <smooth val="0"/>
        </ser>
        <ser>
          <idx val="1"/>
          <order val="1"/>
          <tx>
            <strRef>
              <f>'LULUCF'!C46</f>
            </strRef>
          </tx>
          <spPr>
            <a:ln w="22000">
              <a:solidFill>
                <a:srgbClr val="F59E2D"/>
              </a:solidFill>
              <a:prstDash val="dash"/>
            </a:ln>
          </spPr>
          <marker>
            <symbol val="circle"/>
            <size val="5"/>
            <spPr>
              <a:ln>
                <a:prstDash val="solid"/>
              </a:ln>
            </spPr>
          </marker>
          <cat>
            <numRef>
              <f>'LULUCF'!$A$47:$A$63</f>
            </numRef>
          </cat>
          <val>
            <numRef>
              <f>'LULUCF'!$C$47:$C$63</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thousand ha/yr</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L4 — Annual deforested area</a:t>
            </a:r>
          </a:p>
        </rich>
      </tx>
    </title>
    <plotArea>
      <lineChart>
        <grouping val="standard"/>
        <ser>
          <idx val="0"/>
          <order val="0"/>
          <tx>
            <strRef>
              <f>'LULUCF'!B67</f>
            </strRef>
          </tx>
          <spPr>
            <a:ln w="22000">
              <a:solidFill>
                <a:srgbClr val="007B6C"/>
              </a:solidFill>
              <a:prstDash val="solid"/>
            </a:ln>
          </spPr>
          <marker>
            <symbol val="none"/>
            <spPr>
              <a:ln>
                <a:prstDash val="solid"/>
              </a:ln>
            </spPr>
          </marker>
          <cat>
            <numRef>
              <f>'LULUCF'!$A$68:$A$84</f>
            </numRef>
          </cat>
          <val>
            <numRef>
              <f>'LULUCF'!$B$68:$B$84</f>
            </numRef>
          </val>
          <smooth val="0"/>
        </ser>
        <ser>
          <idx val="1"/>
          <order val="1"/>
          <tx>
            <strRef>
              <f>'LULUCF'!C67</f>
            </strRef>
          </tx>
          <spPr>
            <a:ln w="22000">
              <a:solidFill>
                <a:srgbClr val="F59E2D"/>
              </a:solidFill>
              <a:prstDash val="dash"/>
            </a:ln>
          </spPr>
          <marker>
            <symbol val="circle"/>
            <size val="5"/>
            <spPr>
              <a:ln>
                <a:prstDash val="solid"/>
              </a:ln>
            </spPr>
          </marker>
          <cat>
            <numRef>
              <f>'LULUCF'!$A$68:$A$84</f>
            </numRef>
          </cat>
          <val>
            <numRef>
              <f>'LULUCF'!$C$68:$C$84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thousand ha/yr</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7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L5 — Annual settlement area increase (net land take proxy)</a:t>
            </a:r>
          </a:p>
        </rich>
      </tx>
    </title>
    <plotArea>
      <lineChart>
        <grouping val="standard"/>
        <ser>
          <idx val="0"/>
          <order val="0"/>
          <tx>
            <strRef>
              <f>'LULUCF'!B88</f>
            </strRef>
          </tx>
          <spPr>
            <a:ln w="22000">
              <a:solidFill>
                <a:srgbClr val="007B6C"/>
              </a:solidFill>
              <a:prstDash val="solid"/>
            </a:ln>
          </spPr>
          <marker>
            <symbol val="none"/>
            <spPr>
              <a:ln>
                <a:prstDash val="solid"/>
              </a:ln>
            </spPr>
          </marker>
          <cat>
            <numRef>
              <f>'LULUCF'!$A$89:$A$104</f>
            </numRef>
          </cat>
          <val>
            <numRef>
              <f>'LULUCF'!$B$89:$B$104</f>
            </numRef>
          </val>
          <smooth val="0"/>
        </ser>
        <ser>
          <idx val="1"/>
          <order val="1"/>
          <tx>
            <strRef>
              <f>'LULUCF'!C88</f>
            </strRef>
          </tx>
          <spPr>
            <a:ln w="22000">
              <a:solidFill>
                <a:srgbClr val="F59E2D"/>
              </a:solidFill>
              <a:prstDash val="dash"/>
            </a:ln>
          </spPr>
          <marker>
            <symbol val="circle"/>
            <size val="5"/>
            <spPr>
              <a:ln>
                <a:prstDash val="solid"/>
              </a:ln>
            </spPr>
          </marker>
          <cat>
            <numRef>
              <f>'LULUCF'!$A$89:$A$104</f>
            </numRef>
          </cat>
          <val>
            <numRef>
              <f>'LULUCF'!$C$89:$C$104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thousand ha/yr</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L6 — Forest land living-biomass carbon sink</a:t>
            </a:r>
          </a:p>
        </rich>
      </tx>
    </title>
    <plotArea>
      <lineChart>
        <grouping val="standard"/>
        <ser>
          <idx val="0"/>
          <order val="0"/>
          <tx>
            <strRef>
              <f>'LULUCF'!B108</f>
            </strRef>
          </tx>
          <spPr>
            <a:ln w="22000">
              <a:solidFill>
                <a:srgbClr val="007B6C"/>
              </a:solidFill>
              <a:prstDash val="solid"/>
            </a:ln>
          </spPr>
          <marker>
            <symbol val="none"/>
            <spPr>
              <a:ln>
                <a:prstDash val="solid"/>
              </a:ln>
            </spPr>
          </marker>
          <cat>
            <numRef>
              <f>'LULUCF'!$A$109:$A$128</f>
            </numRef>
          </cat>
          <val>
            <numRef>
              <f>'LULUCF'!$B$109:$B$128</f>
            </numRef>
          </val>
          <smooth val="0"/>
        </ser>
        <ser>
          <idx val="1"/>
          <order val="1"/>
          <tx>
            <strRef>
              <f>'LULUCF'!C108</f>
            </strRef>
          </tx>
          <spPr>
            <a:ln w="22000">
              <a:solidFill>
                <a:srgbClr val="F59E2D"/>
              </a:solidFill>
              <a:prstDash val="dash"/>
            </a:ln>
          </spPr>
          <marker>
            <symbol val="circle"/>
            <size val="5"/>
            <spPr>
              <a:ln>
                <a:prstDash val="solid"/>
              </a:ln>
            </spPr>
          </marker>
          <cat>
            <numRef>
              <f>'LULUCF'!$A$109:$A$128</f>
            </numRef>
          </cat>
          <val>
            <numRef>
              <f>'LULUCF'!$C$109:$C$128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L7 — Non-forest LULUCF net GHG emissions</a:t>
            </a:r>
          </a:p>
        </rich>
      </tx>
    </title>
    <plotArea>
      <lineChart>
        <grouping val="standard"/>
        <ser>
          <idx val="0"/>
          <order val="0"/>
          <tx>
            <strRef>
              <f>'LULUCF'!B132</f>
            </strRef>
          </tx>
          <spPr>
            <a:ln w="22000">
              <a:solidFill>
                <a:srgbClr val="007B6C"/>
              </a:solidFill>
              <a:prstDash val="solid"/>
            </a:ln>
          </spPr>
          <marker>
            <symbol val="none"/>
            <spPr>
              <a:ln>
                <a:prstDash val="solid"/>
              </a:ln>
            </spPr>
          </marker>
          <cat>
            <numRef>
              <f>'LULUCF'!$A$133:$A$152</f>
            </numRef>
          </cat>
          <val>
            <numRef>
              <f>'LULUCF'!$B$133:$B$152</f>
            </numRef>
          </val>
          <smooth val="0"/>
        </ser>
        <ser>
          <idx val="1"/>
          <order val="1"/>
          <tx>
            <strRef>
              <f>'LULUCF'!C132</f>
            </strRef>
          </tx>
          <spPr>
            <a:ln w="22000">
              <a:solidFill>
                <a:srgbClr val="F59E2D"/>
              </a:solidFill>
              <a:prstDash val="dash"/>
            </a:ln>
          </spPr>
          <marker>
            <symbol val="circle"/>
            <size val="5"/>
            <spPr>
              <a:ln>
                <a:prstDash val="solid"/>
              </a:ln>
            </spPr>
          </marker>
          <cat>
            <numRef>
              <f>'LULUCF'!$A$133:$A$152</f>
            </numRef>
          </cat>
          <val>
            <numRef>
              <f>'LULUCF'!$C$133:$C$152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Mt CO₂eq</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L8 — Total bioenergy use (EU-27)</a:t>
            </a:r>
          </a:p>
        </rich>
      </tx>
    </title>
    <plotArea>
      <lineChart>
        <grouping val="standard"/>
        <ser>
          <idx val="0"/>
          <order val="0"/>
          <tx>
            <strRef>
              <f>'LULUCF'!B156</f>
            </strRef>
          </tx>
          <spPr>
            <a:ln w="22000">
              <a:solidFill>
                <a:srgbClr val="007B6C"/>
              </a:solidFill>
              <a:prstDash val="solid"/>
            </a:ln>
          </spPr>
          <marker>
            <symbol val="none"/>
            <spPr>
              <a:ln>
                <a:prstDash val="solid"/>
              </a:ln>
            </spPr>
          </marker>
          <cat>
            <numRef>
              <f>'LULUCF'!$A$157:$A$176</f>
            </numRef>
          </cat>
          <val>
            <numRef>
              <f>'LULUCF'!$B$157:$B$176</f>
            </numRef>
          </val>
          <smooth val="0"/>
        </ser>
        <ser>
          <idx val="1"/>
          <order val="1"/>
          <tx>
            <strRef>
              <f>'LULUCF'!C156</f>
            </strRef>
          </tx>
          <spPr>
            <a:ln w="22000">
              <a:solidFill>
                <a:srgbClr val="F59E2D"/>
              </a:solidFill>
              <a:prstDash val="dash"/>
            </a:ln>
          </spPr>
          <marker>
            <symbol val="circle"/>
            <size val="5"/>
            <spPr>
              <a:ln>
                <a:prstDash val="solid"/>
              </a:ln>
            </spPr>
          </marker>
          <cat>
            <numRef>
              <f>'LULUCF'!$A$157:$A$176</f>
            </numRef>
          </cat>
          <val>
            <numRef>
              <f>'LULUCF'!$C$157:$C$176</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TWh</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L2 (cropland) — Cropland surface area (EU)</a:t>
            </a:r>
          </a:p>
        </rich>
      </tx>
    </title>
    <plotArea>
      <lineChart>
        <grouping val="standard"/>
        <ser>
          <idx val="0"/>
          <order val="0"/>
          <tx>
            <strRef>
              <f>'LULUCF'!B180</f>
            </strRef>
          </tx>
          <spPr>
            <a:ln w="22000">
              <a:solidFill>
                <a:srgbClr val="007B6C"/>
              </a:solidFill>
              <a:prstDash val="solid"/>
            </a:ln>
          </spPr>
          <marker>
            <symbol val="none"/>
            <spPr>
              <a:ln>
                <a:prstDash val="solid"/>
              </a:ln>
            </spPr>
          </marker>
          <cat>
            <numRef>
              <f>'LULUCF'!$A$181:$A$197</f>
            </numRef>
          </cat>
          <val>
            <numRef>
              <f>'LULUCF'!$B$181:$B$197</f>
            </numRef>
          </val>
          <smooth val="0"/>
        </ser>
        <ser>
          <idx val="1"/>
          <order val="1"/>
          <tx>
            <strRef>
              <f>'LULUCF'!C180</f>
            </strRef>
          </tx>
          <spPr>
            <a:ln w="22000">
              <a:solidFill>
                <a:srgbClr val="F59E2D"/>
              </a:solidFill>
              <a:prstDash val="dash"/>
            </a:ln>
          </spPr>
          <marker>
            <symbol val="circle"/>
            <size val="5"/>
            <spPr>
              <a:ln>
                <a:prstDash val="solid"/>
              </a:ln>
            </spPr>
          </marker>
          <cat>
            <numRef>
              <f>'LULUCF'!$A$181:$A$197</f>
            </numRef>
          </cat>
          <val>
            <numRef>
              <f>'LULUCF'!$C$181:$C$197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ha</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L2 (grassland) — Grassland surface area (EU)</a:t>
            </a:r>
          </a:p>
        </rich>
      </tx>
    </title>
    <plotArea>
      <lineChart>
        <grouping val="standard"/>
        <ser>
          <idx val="0"/>
          <order val="0"/>
          <tx>
            <strRef>
              <f>'LULUCF'!B201</f>
            </strRef>
          </tx>
          <spPr>
            <a:ln w="22000">
              <a:solidFill>
                <a:srgbClr val="007B6C"/>
              </a:solidFill>
              <a:prstDash val="solid"/>
            </a:ln>
          </spPr>
          <marker>
            <symbol val="none"/>
            <spPr>
              <a:ln>
                <a:prstDash val="solid"/>
              </a:ln>
            </spPr>
          </marker>
          <cat>
            <numRef>
              <f>'LULUCF'!$A$202:$A$218</f>
            </numRef>
          </cat>
          <val>
            <numRef>
              <f>'LULUCF'!$B$202:$B$218</f>
            </numRef>
          </val>
          <smooth val="0"/>
        </ser>
        <ser>
          <idx val="1"/>
          <order val="1"/>
          <tx>
            <strRef>
              <f>'LULUCF'!C201</f>
            </strRef>
          </tx>
          <spPr>
            <a:ln w="22000">
              <a:solidFill>
                <a:srgbClr val="F59E2D"/>
              </a:solidFill>
              <a:prstDash val="dash"/>
            </a:ln>
          </spPr>
          <marker>
            <symbol val="circle"/>
            <size val="5"/>
            <spPr>
              <a:ln>
                <a:prstDash val="solid"/>
              </a:ln>
            </spPr>
          </marker>
          <cat>
            <numRef>
              <f>'LULUCF'!$A$202:$A$218</f>
            </numRef>
          </cat>
          <val>
            <numRef>
              <f>'LULUCF'!$C$202:$C$218</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ha</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L2 (wetland) — Wetland surface area (EU)</a:t>
            </a:r>
          </a:p>
        </rich>
      </tx>
    </title>
    <plotArea>
      <lineChart>
        <grouping val="standard"/>
        <ser>
          <idx val="0"/>
          <order val="0"/>
          <tx>
            <strRef>
              <f>'LULUCF'!B222</f>
            </strRef>
          </tx>
          <spPr>
            <a:ln w="22000">
              <a:solidFill>
                <a:srgbClr val="007B6C"/>
              </a:solidFill>
              <a:prstDash val="solid"/>
            </a:ln>
          </spPr>
          <marker>
            <symbol val="none"/>
            <spPr>
              <a:ln>
                <a:prstDash val="solid"/>
              </a:ln>
            </spPr>
          </marker>
          <cat>
            <numRef>
              <f>'LULUCF'!$A$223:$A$239</f>
            </numRef>
          </cat>
          <val>
            <numRef>
              <f>'LULUCF'!$B$223:$B$239</f>
            </numRef>
          </val>
          <smooth val="0"/>
        </ser>
        <ser>
          <idx val="1"/>
          <order val="1"/>
          <tx>
            <strRef>
              <f>'LULUCF'!C222</f>
            </strRef>
          </tx>
          <spPr>
            <a:ln w="22000">
              <a:solidFill>
                <a:srgbClr val="F59E2D"/>
              </a:solidFill>
              <a:prstDash val="dash"/>
            </a:ln>
          </spPr>
          <marker>
            <symbol val="circle"/>
            <size val="5"/>
            <spPr>
              <a:ln>
                <a:prstDash val="solid"/>
              </a:ln>
            </spPr>
          </marker>
          <cat>
            <numRef>
              <f>'LULUCF'!$A$223:$A$239</f>
            </numRef>
          </cat>
          <val>
            <numRef>
              <f>'LULUCF'!$C$223:$C$239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ha</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L2 (settlements) — Settlements surface area (EU)</a:t>
            </a:r>
          </a:p>
        </rich>
      </tx>
    </title>
    <plotArea>
      <lineChart>
        <grouping val="standard"/>
        <ser>
          <idx val="0"/>
          <order val="0"/>
          <tx>
            <strRef>
              <f>'LULUCF'!B243</f>
            </strRef>
          </tx>
          <spPr>
            <a:ln w="22000">
              <a:solidFill>
                <a:srgbClr val="007B6C"/>
              </a:solidFill>
              <a:prstDash val="solid"/>
            </a:ln>
          </spPr>
          <marker>
            <symbol val="none"/>
            <spPr>
              <a:ln>
                <a:prstDash val="solid"/>
              </a:ln>
            </spPr>
          </marker>
          <cat>
            <numRef>
              <f>'LULUCF'!$A$244:$A$260</f>
            </numRef>
          </cat>
          <val>
            <numRef>
              <f>'LULUCF'!$B$244:$B$260</f>
            </numRef>
          </val>
          <smooth val="0"/>
        </ser>
        <ser>
          <idx val="1"/>
          <order val="1"/>
          <tx>
            <strRef>
              <f>'LULUCF'!C243</f>
            </strRef>
          </tx>
          <spPr>
            <a:ln w="22000">
              <a:solidFill>
                <a:srgbClr val="F59E2D"/>
              </a:solidFill>
              <a:prstDash val="dash"/>
            </a:ln>
          </spPr>
          <marker>
            <symbol val="circle"/>
            <size val="5"/>
            <spPr>
              <a:ln>
                <a:prstDash val="solid"/>
              </a:ln>
            </spPr>
          </marker>
          <cat>
            <numRef>
              <f>'LULUCF'!$A$244:$A$260</f>
            </numRef>
          </cat>
          <val>
            <numRef>
              <f>'LULUCF'!$C$244:$C$260</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ha</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7.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L2 (forest) — Forest land surface area (EU)</a:t>
            </a:r>
          </a:p>
        </rich>
      </tx>
    </title>
    <plotArea>
      <lineChart>
        <grouping val="standard"/>
        <ser>
          <idx val="0"/>
          <order val="0"/>
          <tx>
            <strRef>
              <f>'LULUCF'!B264</f>
            </strRef>
          </tx>
          <spPr>
            <a:ln w="22000">
              <a:solidFill>
                <a:srgbClr val="007B6C"/>
              </a:solidFill>
              <a:prstDash val="solid"/>
            </a:ln>
          </spPr>
          <marker>
            <symbol val="none"/>
            <spPr>
              <a:ln>
                <a:prstDash val="solid"/>
              </a:ln>
            </spPr>
          </marker>
          <cat>
            <numRef>
              <f>'LULUCF'!$A$265:$A$281</f>
            </numRef>
          </cat>
          <val>
            <numRef>
              <f>'LULUCF'!$B$265:$B$281</f>
            </numRef>
          </val>
          <smooth val="0"/>
        </ser>
        <ser>
          <idx val="1"/>
          <order val="1"/>
          <tx>
            <strRef>
              <f>'LULUCF'!C264</f>
            </strRef>
          </tx>
          <spPr>
            <a:ln w="22000">
              <a:solidFill>
                <a:srgbClr val="F59E2D"/>
              </a:solidFill>
              <a:prstDash val="dash"/>
            </a:ln>
          </spPr>
          <marker>
            <symbol val="circle"/>
            <size val="5"/>
            <spPr>
              <a:ln>
                <a:prstDash val="solid"/>
              </a:ln>
            </spPr>
          </marker>
          <cat>
            <numRef>
              <f>'LULUCF'!$A$265:$A$281</f>
            </numRef>
          </cat>
          <val>
            <numRef>
              <f>'LULUCF'!$C$265:$C$281</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ha</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8.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L2 (other) — Other surface area (EU)</a:t>
            </a:r>
          </a:p>
        </rich>
      </tx>
    </title>
    <plotArea>
      <lineChart>
        <grouping val="standard"/>
        <ser>
          <idx val="0"/>
          <order val="0"/>
          <tx>
            <strRef>
              <f>'LULUCF'!B285</f>
            </strRef>
          </tx>
          <spPr>
            <a:ln w="22000">
              <a:solidFill>
                <a:srgbClr val="007B6C"/>
              </a:solidFill>
              <a:prstDash val="solid"/>
            </a:ln>
          </spPr>
          <marker>
            <symbol val="none"/>
            <spPr>
              <a:ln>
                <a:prstDash val="solid"/>
              </a:ln>
            </spPr>
          </marker>
          <cat>
            <numRef>
              <f>'LULUCF'!$A$286:$A$302</f>
            </numRef>
          </cat>
          <val>
            <numRef>
              <f>'LULUCF'!$B$286:$B$302</f>
            </numRef>
          </val>
          <smooth val="0"/>
        </ser>
        <ser>
          <idx val="1"/>
          <order val="1"/>
          <tx>
            <strRef>
              <f>'LULUCF'!C285</f>
            </strRef>
          </tx>
          <spPr>
            <a:ln w="22000">
              <a:solidFill>
                <a:srgbClr val="F59E2D"/>
              </a:solidFill>
              <a:prstDash val="dash"/>
            </a:ln>
          </spPr>
          <marker>
            <symbol val="circle"/>
            <size val="5"/>
            <spPr>
              <a:ln>
                <a:prstDash val="solid"/>
              </a:ln>
            </spPr>
          </marker>
          <cat>
            <numRef>
              <f>'LULUCF'!$A$286:$A$302</f>
            </numRef>
          </cat>
          <val>
            <numRef>
              <f>'LULUCF'!$C$286:$C$302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million ha</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89.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F1 — EU fossil-fuel subsidies (FFST)</a:t>
            </a:r>
          </a:p>
        </rich>
      </tx>
    </title>
    <plotArea>
      <lineChart>
        <grouping val="standard"/>
        <ser>
          <idx val="0"/>
          <order val="0"/>
          <tx>
            <strRef>
              <f>'Finance &amp; innovation'!B15</f>
            </strRef>
          </tx>
          <spPr>
            <a:ln w="22000">
              <a:solidFill>
                <a:srgbClr val="A530B8"/>
              </a:solidFill>
              <a:prstDash val="solid"/>
            </a:ln>
          </spPr>
          <marker>
            <symbol val="none"/>
            <spPr>
              <a:ln>
                <a:prstDash val="solid"/>
              </a:ln>
            </spPr>
          </marker>
          <cat>
            <numRef>
              <f>'Finance &amp; innovation'!$A$16:$A$29</f>
            </numRef>
          </cat>
          <val>
            <numRef>
              <f>'Finance &amp; innovation'!$B$16:$B$29</f>
            </numRef>
          </val>
          <smooth val="0"/>
        </ser>
        <ser>
          <idx val="1"/>
          <order val="1"/>
          <tx>
            <strRef>
              <f>'Finance &amp; innovation'!C15</f>
            </strRef>
          </tx>
          <spPr>
            <a:ln w="22000">
              <a:solidFill>
                <a:srgbClr val="F59E2D"/>
              </a:solidFill>
              <a:prstDash val="dash"/>
            </a:ln>
          </spPr>
          <marker>
            <symbol val="circle"/>
            <size val="5"/>
            <spPr>
              <a:ln>
                <a:prstDash val="solid"/>
              </a:ln>
            </spPr>
          </marker>
          <cat>
            <numRef>
              <f>'Finance &amp; innovation'!$A$16:$A$29</f>
            </numRef>
          </cat>
          <val>
            <numRef>
              <f>'Finance &amp; innovation'!$C$16:$C$29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billion EUR</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90.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F2 — EU green bond issuance</a:t>
            </a:r>
          </a:p>
        </rich>
      </tx>
    </title>
    <plotArea>
      <lineChart>
        <grouping val="standard"/>
        <ser>
          <idx val="0"/>
          <order val="0"/>
          <tx>
            <strRef>
              <f>'Finance &amp; innovation'!B33</f>
            </strRef>
          </tx>
          <spPr>
            <a:ln w="22000">
              <a:solidFill>
                <a:srgbClr val="A530B8"/>
              </a:solidFill>
              <a:prstDash val="solid"/>
            </a:ln>
          </spPr>
          <marker>
            <symbol val="none"/>
            <spPr>
              <a:ln>
                <a:prstDash val="solid"/>
              </a:ln>
            </spPr>
          </marker>
          <cat>
            <numRef>
              <f>'Finance &amp; innovation'!$A$34:$A$44</f>
            </numRef>
          </cat>
          <val>
            <numRef>
              <f>'Finance &amp; innovation'!$B$34:$B$44</f>
            </numRef>
          </val>
          <smooth val="0"/>
        </ser>
        <ser>
          <idx val="1"/>
          <order val="1"/>
          <tx>
            <strRef>
              <f>'Finance &amp; innovation'!C33</f>
            </strRef>
          </tx>
          <spPr>
            <a:ln w="22000">
              <a:solidFill>
                <a:srgbClr val="F59E2D"/>
              </a:solidFill>
              <a:prstDash val="dash"/>
            </a:ln>
          </spPr>
          <marker>
            <symbol val="circle"/>
            <size val="5"/>
            <spPr>
              <a:ln>
                <a:prstDash val="solid"/>
              </a:ln>
            </spPr>
          </marker>
          <cat>
            <numRef>
              <f>'Finance &amp; innovation'!$A$34:$A$44</f>
            </numRef>
          </cat>
          <val>
            <numRef>
              <f>'Finance &amp; innovation'!$C$34:$C$44</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billion EUR</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91.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F2 (share) — Green share of EU bond issuance</a:t>
            </a:r>
          </a:p>
        </rich>
      </tx>
    </title>
    <plotArea>
      <lineChart>
        <grouping val="standard"/>
        <ser>
          <idx val="0"/>
          <order val="0"/>
          <tx>
            <strRef>
              <f>'Finance &amp; innovation'!B49</f>
            </strRef>
          </tx>
          <spPr>
            <a:ln w="22000">
              <a:solidFill>
                <a:srgbClr val="A530B8"/>
              </a:solidFill>
              <a:prstDash val="solid"/>
            </a:ln>
          </spPr>
          <marker>
            <symbol val="none"/>
            <spPr>
              <a:ln>
                <a:prstDash val="solid"/>
              </a:ln>
            </spPr>
          </marker>
          <cat>
            <numRef>
              <f>'Finance &amp; innovation'!$A$50:$A$62</f>
            </numRef>
          </cat>
          <val>
            <numRef>
              <f>'Finance &amp; innovation'!$B$50:$B$62</f>
            </numRef>
          </val>
          <smooth val="0"/>
        </ser>
        <ser>
          <idx val="1"/>
          <order val="1"/>
          <tx>
            <strRef>
              <f>'Finance &amp; innovation'!C49</f>
            </strRef>
          </tx>
          <spPr>
            <a:ln w="22000">
              <a:solidFill>
                <a:srgbClr val="F59E2D"/>
              </a:solidFill>
              <a:prstDash val="dash"/>
            </a:ln>
          </spPr>
          <marker>
            <symbol val="circle"/>
            <size val="5"/>
            <spPr>
              <a:ln>
                <a:prstDash val="solid"/>
              </a:ln>
            </spPr>
          </marker>
          <cat>
            <numRef>
              <f>'Finance &amp; innovation'!$A$50:$A$62</f>
            </numRef>
          </cat>
          <val>
            <numRef>
              <f>'Finance &amp; innovation'!$C$50:$C$62</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92.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F3 — EU R&amp;D expenditure (GERD)</a:t>
            </a:r>
          </a:p>
        </rich>
      </tx>
    </title>
    <plotArea>
      <lineChart>
        <grouping val="standard"/>
        <ser>
          <idx val="0"/>
          <order val="0"/>
          <tx>
            <strRef>
              <f>'Finance &amp; innovation'!B66</f>
            </strRef>
          </tx>
          <spPr>
            <a:ln w="22000">
              <a:solidFill>
                <a:srgbClr val="A530B8"/>
              </a:solidFill>
              <a:prstDash val="solid"/>
            </a:ln>
          </spPr>
          <marker>
            <symbol val="none"/>
            <spPr>
              <a:ln>
                <a:prstDash val="solid"/>
              </a:ln>
            </spPr>
          </marker>
          <cat>
            <numRef>
              <f>'Finance &amp; innovation'!$A$67:$A$79</f>
            </numRef>
          </cat>
          <val>
            <numRef>
              <f>'Finance &amp; innovation'!$B$67:$B$79</f>
            </numRef>
          </val>
          <smooth val="0"/>
        </ser>
        <ser>
          <idx val="1"/>
          <order val="1"/>
          <tx>
            <strRef>
              <f>'Finance &amp; innovation'!C66</f>
            </strRef>
          </tx>
          <spPr>
            <a:ln w="22000">
              <a:solidFill>
                <a:srgbClr val="F59E2D"/>
              </a:solidFill>
              <a:prstDash val="dash"/>
            </a:ln>
          </spPr>
          <marker>
            <symbol val="circle"/>
            <size val="5"/>
            <spPr>
              <a:ln>
                <a:prstDash val="solid"/>
              </a:ln>
            </spPr>
          </marker>
          <cat>
            <numRef>
              <f>'Finance &amp; innovation'!$A$67:$A$79</f>
            </numRef>
          </cat>
          <val>
            <numRef>
              <f>'Finance &amp; innovation'!$C$67:$C$79</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 of GDP</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93.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F4 — Climate-related share of EU patent filings</a:t>
            </a:r>
          </a:p>
        </rich>
      </tx>
    </title>
    <plotArea>
      <lineChart>
        <grouping val="standard"/>
        <ser>
          <idx val="0"/>
          <order val="0"/>
          <tx>
            <strRef>
              <f>'Finance &amp; innovation'!B83</f>
            </strRef>
          </tx>
          <spPr>
            <a:ln w="22000">
              <a:solidFill>
                <a:srgbClr val="A530B8"/>
              </a:solidFill>
              <a:prstDash val="solid"/>
            </a:ln>
          </spPr>
          <marker>
            <symbol val="none"/>
            <spPr>
              <a:ln>
                <a:prstDash val="solid"/>
              </a:ln>
            </spPr>
          </marker>
          <cat>
            <numRef>
              <f>'Finance &amp; innovation'!$A$84:$A$95</f>
            </numRef>
          </cat>
          <val>
            <numRef>
              <f>'Finance &amp; innovation'!$B$84:$B$95</f>
            </numRef>
          </val>
          <smooth val="0"/>
        </ser>
        <ser>
          <idx val="1"/>
          <order val="1"/>
          <tx>
            <strRef>
              <f>'Finance &amp; innovation'!C83</f>
            </strRef>
          </tx>
          <spPr>
            <a:ln w="22000">
              <a:solidFill>
                <a:srgbClr val="F59E2D"/>
              </a:solidFill>
              <a:prstDash val="dash"/>
            </a:ln>
          </spPr>
          <marker>
            <symbol val="circle"/>
            <size val="5"/>
            <spPr>
              <a:ln>
                <a:prstDash val="solid"/>
              </a:ln>
            </spPr>
          </marker>
          <cat>
            <numRef>
              <f>'Finance &amp; innovation'!$A$84:$A$95</f>
            </numRef>
          </cat>
          <val>
            <numRef>
              <f>'Finance &amp; innovation'!$C$84:$C$95</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94.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F5 — Cleantech venture &amp; growth investment in the EU</a:t>
            </a:r>
          </a:p>
        </rich>
      </tx>
    </title>
    <plotArea>
      <lineChart>
        <grouping val="standard"/>
        <ser>
          <idx val="0"/>
          <order val="0"/>
          <tx>
            <strRef>
              <f>'Finance &amp; innovation'!B99</f>
            </strRef>
          </tx>
          <spPr>
            <a:ln w="22000">
              <a:solidFill>
                <a:srgbClr val="A530B8"/>
              </a:solidFill>
              <a:prstDash val="solid"/>
            </a:ln>
          </spPr>
          <marker>
            <symbol val="none"/>
            <spPr>
              <a:ln>
                <a:prstDash val="solid"/>
              </a:ln>
            </spPr>
          </marker>
          <cat>
            <numRef>
              <f>'Finance &amp; innovation'!$A$100:$A$107</f>
            </numRef>
          </cat>
          <val>
            <numRef>
              <f>'Finance &amp; innovation'!$B$100:$B$107</f>
            </numRef>
          </val>
          <smooth val="0"/>
        </ser>
        <ser>
          <idx val="1"/>
          <order val="1"/>
          <tx>
            <strRef>
              <f>'Finance &amp; innovation'!C99</f>
            </strRef>
          </tx>
          <spPr>
            <a:ln w="22000">
              <a:solidFill>
                <a:srgbClr val="F59E2D"/>
              </a:solidFill>
              <a:prstDash val="dash"/>
            </a:ln>
          </spPr>
          <marker>
            <symbol val="circle"/>
            <size val="5"/>
            <spPr>
              <a:ln>
                <a:prstDash val="solid"/>
              </a:ln>
            </spPr>
          </marker>
          <cat>
            <numRef>
              <f>'Finance &amp; innovation'!$A$100:$A$107</f>
            </numRef>
          </cat>
          <val>
            <numRef>
              <f>'Finance &amp; innovation'!$C$100:$C$107</f>
            </numRef>
          </val>
          <smooth val="0"/>
        </ser>
        <axId val="10"/>
        <axId val="100"/>
      </line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 of GDP</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charts/chart95.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Change since the report baseline — every indicator with new data</a:t>
            </a:r>
          </a:p>
        </rich>
      </tx>
    </title>
    <plotArea>
      <barChart>
        <barDir val="bar"/>
        <grouping val="clustered"/>
        <ser>
          <idx val="0"/>
          <order val="0"/>
          <tx>
            <strRef>
              <f>'New data'!J5</f>
            </strRef>
          </tx>
          <spPr>
            <a:ln>
              <a:prstDash val="solid"/>
            </a:ln>
          </spPr>
          <dPt>
            <idx val="0"/>
            <spPr>
              <a:solidFill>
                <a:srgbClr val="A530B8"/>
              </a:solidFill>
              <a:ln>
                <a:noFill/>
                <a:prstDash val="solid"/>
              </a:ln>
            </spPr>
          </dPt>
          <dPt>
            <idx val="1"/>
            <spPr>
              <a:solidFill>
                <a:srgbClr val="B04545"/>
              </a:solidFill>
              <a:ln>
                <a:noFill/>
                <a:prstDash val="solid"/>
              </a:ln>
            </spPr>
          </dPt>
          <dPt>
            <idx val="2"/>
            <spPr>
              <a:solidFill>
                <a:srgbClr val="3A6165"/>
              </a:solidFill>
              <a:ln>
                <a:noFill/>
                <a:prstDash val="solid"/>
              </a:ln>
            </spPr>
          </dPt>
          <dPt>
            <idx val="3"/>
            <spPr>
              <a:solidFill>
                <a:srgbClr val="3A6165"/>
              </a:solidFill>
              <a:ln>
                <a:noFill/>
                <a:prstDash val="solid"/>
              </a:ln>
            </spPr>
          </dPt>
          <dPt>
            <idx val="4"/>
            <spPr>
              <a:solidFill>
                <a:srgbClr val="3A6165"/>
              </a:solidFill>
              <a:ln>
                <a:noFill/>
                <a:prstDash val="solid"/>
              </a:ln>
            </spPr>
          </dPt>
          <dPt>
            <idx val="5"/>
            <spPr>
              <a:solidFill>
                <a:srgbClr val="3A6165"/>
              </a:solidFill>
              <a:ln>
                <a:noFill/>
                <a:prstDash val="solid"/>
              </a:ln>
            </spPr>
          </dPt>
          <dPt>
            <idx val="6"/>
            <spPr>
              <a:solidFill>
                <a:srgbClr val="00928F"/>
              </a:solidFill>
              <a:ln>
                <a:noFill/>
                <a:prstDash val="solid"/>
              </a:ln>
            </spPr>
          </dPt>
          <dPt>
            <idx val="7"/>
            <spPr>
              <a:solidFill>
                <a:srgbClr val="B04545"/>
              </a:solidFill>
              <a:ln>
                <a:noFill/>
                <a:prstDash val="solid"/>
              </a:ln>
            </spPr>
          </dPt>
          <dPt>
            <idx val="8"/>
            <spPr>
              <a:solidFill>
                <a:srgbClr val="B04545"/>
              </a:solidFill>
              <a:ln>
                <a:noFill/>
                <a:prstDash val="solid"/>
              </a:ln>
            </spPr>
          </dPt>
          <dPt>
            <idx val="9"/>
            <spPr>
              <a:solidFill>
                <a:srgbClr val="B04545"/>
              </a:solidFill>
              <a:ln>
                <a:noFill/>
                <a:prstDash val="solid"/>
              </a:ln>
            </spPr>
          </dPt>
          <dPt>
            <idx val="10"/>
            <spPr>
              <a:solidFill>
                <a:srgbClr val="00928F"/>
              </a:solidFill>
              <a:ln>
                <a:noFill/>
                <a:prstDash val="solid"/>
              </a:ln>
            </spPr>
          </dPt>
          <dPt>
            <idx val="11"/>
            <spPr>
              <a:solidFill>
                <a:srgbClr val="B487C7"/>
              </a:solidFill>
              <a:ln>
                <a:noFill/>
                <a:prstDash val="solid"/>
              </a:ln>
            </spPr>
          </dPt>
          <dPt>
            <idx val="12"/>
            <spPr>
              <a:solidFill>
                <a:srgbClr val="00928F"/>
              </a:solidFill>
              <a:ln>
                <a:noFill/>
                <a:prstDash val="solid"/>
              </a:ln>
            </spPr>
          </dPt>
          <dPt>
            <idx val="13"/>
            <spPr>
              <a:solidFill>
                <a:srgbClr val="B04545"/>
              </a:solidFill>
              <a:ln>
                <a:noFill/>
                <a:prstDash val="solid"/>
              </a:ln>
            </spPr>
          </dPt>
          <dPt>
            <idx val="14"/>
            <spPr>
              <a:solidFill>
                <a:srgbClr val="6E8B1F"/>
              </a:solidFill>
              <a:ln>
                <a:noFill/>
                <a:prstDash val="solid"/>
              </a:ln>
            </spPr>
          </dPt>
          <dPt>
            <idx val="15"/>
            <spPr>
              <a:solidFill>
                <a:srgbClr val="648ECA"/>
              </a:solidFill>
              <a:ln>
                <a:noFill/>
                <a:prstDash val="solid"/>
              </a:ln>
            </spPr>
          </dPt>
          <dPt>
            <idx val="16"/>
            <spPr>
              <a:solidFill>
                <a:srgbClr val="A530B8"/>
              </a:solidFill>
              <a:ln>
                <a:noFill/>
                <a:prstDash val="solid"/>
              </a:ln>
            </spPr>
          </dPt>
          <dPt>
            <idx val="17"/>
            <spPr>
              <a:solidFill>
                <a:srgbClr val="648ECA"/>
              </a:solidFill>
              <a:ln>
                <a:noFill/>
                <a:prstDash val="solid"/>
              </a:ln>
            </spPr>
          </dPt>
          <dPt>
            <idx val="18"/>
            <spPr>
              <a:solidFill>
                <a:srgbClr val="6E8B1F"/>
              </a:solidFill>
              <a:ln>
                <a:noFill/>
                <a:prstDash val="solid"/>
              </a:ln>
            </spPr>
          </dPt>
          <dPt>
            <idx val="19"/>
            <spPr>
              <a:solidFill>
                <a:srgbClr val="6E8B1F"/>
              </a:solidFill>
              <a:ln>
                <a:noFill/>
                <a:prstDash val="solid"/>
              </a:ln>
            </spPr>
          </dPt>
          <dPt>
            <idx val="20"/>
            <spPr>
              <a:solidFill>
                <a:srgbClr val="4D7E83"/>
              </a:solidFill>
              <a:ln>
                <a:noFill/>
                <a:prstDash val="solid"/>
              </a:ln>
            </spPr>
          </dPt>
          <dPt>
            <idx val="21"/>
            <spPr>
              <a:solidFill>
                <a:srgbClr val="6E8B1F"/>
              </a:solidFill>
              <a:ln>
                <a:noFill/>
                <a:prstDash val="solid"/>
              </a:ln>
            </spPr>
          </dPt>
          <dPt>
            <idx val="22"/>
            <spPr>
              <a:solidFill>
                <a:srgbClr val="00928F"/>
              </a:solidFill>
              <a:ln>
                <a:noFill/>
                <a:prstDash val="solid"/>
              </a:ln>
            </spPr>
          </dPt>
          <dPt>
            <idx val="23"/>
            <spPr>
              <a:solidFill>
                <a:srgbClr val="6E8B1F"/>
              </a:solidFill>
              <a:ln>
                <a:noFill/>
                <a:prstDash val="solid"/>
              </a:ln>
            </spPr>
          </dPt>
          <dPt>
            <idx val="24"/>
            <spPr>
              <a:solidFill>
                <a:srgbClr val="648ECA"/>
              </a:solidFill>
              <a:ln>
                <a:noFill/>
                <a:prstDash val="solid"/>
              </a:ln>
            </spPr>
          </dPt>
          <dPt>
            <idx val="25"/>
            <spPr>
              <a:solidFill>
                <a:srgbClr val="6E8B1F"/>
              </a:solidFill>
              <a:ln>
                <a:noFill/>
                <a:prstDash val="solid"/>
              </a:ln>
            </spPr>
          </dPt>
          <dPt>
            <idx val="26"/>
            <spPr>
              <a:solidFill>
                <a:srgbClr val="6E8B1F"/>
              </a:solidFill>
              <a:ln>
                <a:noFill/>
                <a:prstDash val="solid"/>
              </a:ln>
            </spPr>
          </dPt>
          <dPt>
            <idx val="27"/>
            <spPr>
              <a:solidFill>
                <a:srgbClr val="6E8B1F"/>
              </a:solidFill>
              <a:ln>
                <a:noFill/>
                <a:prstDash val="solid"/>
              </a:ln>
            </spPr>
          </dPt>
          <dPt>
            <idx val="28"/>
            <spPr>
              <a:solidFill>
                <a:srgbClr val="B487C7"/>
              </a:solidFill>
              <a:ln>
                <a:noFill/>
                <a:prstDash val="solid"/>
              </a:ln>
            </spPr>
          </dPt>
          <dPt>
            <idx val="29"/>
            <spPr>
              <a:solidFill>
                <a:srgbClr val="6E8B1F"/>
              </a:solidFill>
              <a:ln>
                <a:noFill/>
                <a:prstDash val="solid"/>
              </a:ln>
            </spPr>
          </dPt>
          <dPt>
            <idx val="30"/>
            <spPr>
              <a:solidFill>
                <a:srgbClr val="007B6C"/>
              </a:solidFill>
              <a:ln>
                <a:noFill/>
                <a:prstDash val="solid"/>
              </a:ln>
            </spPr>
          </dPt>
          <dPt>
            <idx val="31"/>
            <spPr>
              <a:solidFill>
                <a:srgbClr val="6E8B1F"/>
              </a:solidFill>
              <a:ln>
                <a:noFill/>
                <a:prstDash val="solid"/>
              </a:ln>
            </spPr>
          </dPt>
          <dPt>
            <idx val="32"/>
            <spPr>
              <a:solidFill>
                <a:srgbClr val="6E8B1F"/>
              </a:solidFill>
              <a:ln>
                <a:noFill/>
                <a:prstDash val="solid"/>
              </a:ln>
            </spPr>
          </dPt>
          <dPt>
            <idx val="33"/>
            <spPr>
              <a:solidFill>
                <a:srgbClr val="A530B8"/>
              </a:solidFill>
              <a:ln>
                <a:noFill/>
                <a:prstDash val="solid"/>
              </a:ln>
            </spPr>
          </dPt>
          <dPt>
            <idx val="34"/>
            <spPr>
              <a:solidFill>
                <a:srgbClr val="B487C7"/>
              </a:solidFill>
              <a:ln>
                <a:noFill/>
                <a:prstDash val="solid"/>
              </a:ln>
            </spPr>
          </dPt>
          <dPt>
            <idx val="35"/>
            <spPr>
              <a:solidFill>
                <a:srgbClr val="6E8B1F"/>
              </a:solidFill>
              <a:ln>
                <a:noFill/>
                <a:prstDash val="solid"/>
              </a:ln>
            </spPr>
          </dPt>
          <dPt>
            <idx val="36"/>
            <spPr>
              <a:solidFill>
                <a:srgbClr val="6E8B1F"/>
              </a:solidFill>
              <a:ln>
                <a:noFill/>
                <a:prstDash val="solid"/>
              </a:ln>
            </spPr>
          </dPt>
          <dPt>
            <idx val="37"/>
            <spPr>
              <a:solidFill>
                <a:srgbClr val="00928F"/>
              </a:solidFill>
              <a:ln>
                <a:noFill/>
                <a:prstDash val="solid"/>
              </a:ln>
            </spPr>
          </dPt>
          <dPt>
            <idx val="38"/>
            <spPr>
              <a:solidFill>
                <a:srgbClr val="B487C7"/>
              </a:solidFill>
              <a:ln>
                <a:noFill/>
                <a:prstDash val="solid"/>
              </a:ln>
            </spPr>
          </dPt>
          <dPt>
            <idx val="39"/>
            <spPr>
              <a:solidFill>
                <a:srgbClr val="A530B8"/>
              </a:solidFill>
              <a:ln>
                <a:noFill/>
                <a:prstDash val="solid"/>
              </a:ln>
            </spPr>
          </dPt>
          <dPt>
            <idx val="40"/>
            <spPr>
              <a:solidFill>
                <a:srgbClr val="B04545"/>
              </a:solidFill>
              <a:ln>
                <a:noFill/>
                <a:prstDash val="solid"/>
              </a:ln>
            </spPr>
          </dPt>
          <dPt>
            <idx val="41"/>
            <spPr>
              <a:solidFill>
                <a:srgbClr val="B487C7"/>
              </a:solidFill>
              <a:ln>
                <a:noFill/>
                <a:prstDash val="solid"/>
              </a:ln>
            </spPr>
          </dPt>
          <dPt>
            <idx val="42"/>
            <spPr>
              <a:solidFill>
                <a:srgbClr val="648ECA"/>
              </a:solidFill>
              <a:ln>
                <a:noFill/>
                <a:prstDash val="solid"/>
              </a:ln>
            </spPr>
          </dPt>
          <dPt>
            <idx val="43"/>
            <spPr>
              <a:solidFill>
                <a:srgbClr val="B04545"/>
              </a:solidFill>
              <a:ln>
                <a:noFill/>
                <a:prstDash val="solid"/>
              </a:ln>
            </spPr>
          </dPt>
          <dPt>
            <idx val="44"/>
            <spPr>
              <a:solidFill>
                <a:srgbClr val="007B6C"/>
              </a:solidFill>
              <a:ln>
                <a:noFill/>
                <a:prstDash val="solid"/>
              </a:ln>
            </spPr>
          </dPt>
          <dPt>
            <idx val="45"/>
            <spPr>
              <a:solidFill>
                <a:srgbClr val="007B6C"/>
              </a:solidFill>
              <a:ln>
                <a:noFill/>
                <a:prstDash val="solid"/>
              </a:ln>
            </spPr>
          </dPt>
          <dPt>
            <idx val="46"/>
            <spPr>
              <a:solidFill>
                <a:srgbClr val="007B6C"/>
              </a:solidFill>
              <a:ln>
                <a:noFill/>
                <a:prstDash val="solid"/>
              </a:ln>
            </spPr>
          </dPt>
          <dPt>
            <idx val="47"/>
            <spPr>
              <a:solidFill>
                <a:srgbClr val="3A6165"/>
              </a:solidFill>
              <a:ln>
                <a:noFill/>
                <a:prstDash val="solid"/>
              </a:ln>
            </spPr>
          </dPt>
          <dPt>
            <idx val="48"/>
            <spPr>
              <a:solidFill>
                <a:srgbClr val="00928F"/>
              </a:solidFill>
              <a:ln>
                <a:noFill/>
                <a:prstDash val="solid"/>
              </a:ln>
            </spPr>
          </dPt>
          <dPt>
            <idx val="49"/>
            <spPr>
              <a:solidFill>
                <a:srgbClr val="B487C7"/>
              </a:solidFill>
              <a:ln>
                <a:noFill/>
                <a:prstDash val="solid"/>
              </a:ln>
            </spPr>
          </dPt>
          <dPt>
            <idx val="50"/>
            <spPr>
              <a:solidFill>
                <a:srgbClr val="B487C7"/>
              </a:solidFill>
              <a:ln>
                <a:noFill/>
                <a:prstDash val="solid"/>
              </a:ln>
            </spPr>
          </dPt>
          <dPt>
            <idx val="51"/>
            <spPr>
              <a:solidFill>
                <a:srgbClr val="3A6165"/>
              </a:solidFill>
              <a:ln>
                <a:noFill/>
                <a:prstDash val="solid"/>
              </a:ln>
            </spPr>
          </dPt>
          <dPt>
            <idx val="52"/>
            <spPr>
              <a:solidFill>
                <a:srgbClr val="3A6165"/>
              </a:solidFill>
              <a:ln>
                <a:noFill/>
                <a:prstDash val="solid"/>
              </a:ln>
            </spPr>
          </dPt>
          <dPt>
            <idx val="53"/>
            <spPr>
              <a:solidFill>
                <a:srgbClr val="B487C7"/>
              </a:solidFill>
              <a:ln>
                <a:noFill/>
                <a:prstDash val="solid"/>
              </a:ln>
            </spPr>
          </dPt>
          <dPt>
            <idx val="54"/>
            <spPr>
              <a:solidFill>
                <a:srgbClr val="B487C7"/>
              </a:solidFill>
              <a:ln>
                <a:noFill/>
                <a:prstDash val="solid"/>
              </a:ln>
            </spPr>
          </dPt>
          <cat>
            <strRef>
              <f>'New data'!$B$6:$B$60</f>
            </strRef>
          </cat>
          <val>
            <numRef>
              <f>'New data'!$J$6:$J$60</f>
            </numRef>
          </val>
        </ser>
        <gapWidth val="150"/>
        <axId val="10"/>
        <axId val="100"/>
      </barChart>
      <catAx>
        <axId val="10"/>
        <scaling>
          <orientation val="minMax"/>
        </scaling>
        <delete val="0"/>
        <axPos val="l"/>
        <title>
          <tx>
            <rich>
              <a:bodyPr/>
              <a:p>
                <a:pPr>
                  <a:defRPr/>
                </a:pPr>
                <a:r>
                  <a:t>Change vs the report's last figure (%)</a:t>
                </a:r>
              </a:p>
            </rich>
          </tx>
        </title>
        <numFmt formatCode="0%" sourceLinked="0"/>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plotVisOnly val="1"/>
    <dispBlanksAs val="gap"/>
  </chart>
  <spPr>
    <a:ln>
      <a:noFill/>
      <a:prstDash val="solid"/>
    </a:ln>
  </spPr>
</chartSpace>
</file>

<file path=xl/charts/chart96.xml><?xml version="1.0" encoding="utf-8"?>
<chartSpace xmlns:a="http://schemas.openxmlformats.org/drawingml/2006/main" xmlns="http://schemas.openxmlformats.org/drawingml/2006/chart">
  <chart>
    <title>
      <tx>
        <rich>
          <a:bodyPr/>
          <a:p>
            <a:pPr>
              <a:defRPr sz="1100" b="0">
                <a:solidFill>
                  <a:srgbClr val="4D7E83"/>
                </a:solidFill>
                <a:latin typeface="Segoe UI Semibold"/>
              </a:defRPr>
            </a:pPr>
            <a:r>
              <a:rPr sz="1100" b="0">
                <a:solidFill>
                  <a:srgbClr val="4D7E83"/>
                </a:solidFill>
                <a:latin typeface="Segoe UI Semibold"/>
              </a:rPr>
              <a:t>Indicators with new data since the report, by chapter</a:t>
            </a:r>
          </a:p>
        </rich>
      </tx>
    </title>
    <plotArea>
      <barChart>
        <barDir val="col"/>
        <grouping val="stacked"/>
        <ser>
          <idx val="0"/>
          <order val="0"/>
          <tx>
            <strRef>
              <f>'New data'!C66</f>
            </strRef>
          </tx>
          <spPr>
            <a:solidFill>
              <a:srgbClr val="4D7E83"/>
            </a:solidFill>
            <a:ln>
              <a:noFill/>
              <a:prstDash val="solid"/>
            </a:ln>
          </spPr>
          <cat>
            <strRef>
              <f>'New data'!$B$67:$B$75</f>
            </strRef>
          </cat>
          <val>
            <numRef>
              <f>'New data'!$C$67:$C$75</f>
            </numRef>
          </val>
        </ser>
        <ser>
          <idx val="1"/>
          <order val="1"/>
          <tx>
            <strRef>
              <f>'New data'!D66</f>
            </strRef>
          </tx>
          <spPr>
            <a:solidFill>
              <a:srgbClr val="D8E7E8"/>
            </a:solidFill>
            <a:ln>
              <a:noFill/>
              <a:prstDash val="solid"/>
            </a:ln>
          </spPr>
          <cat>
            <strRef>
              <f>'New data'!$B$67:$B$75</f>
            </strRef>
          </cat>
          <val>
            <numRef>
              <f>'New data'!$D$67:$D$75</f>
            </numRef>
          </val>
        </ser>
        <gapWidth val="150"/>
        <overlap val="100"/>
        <axId val="10"/>
        <axId val="100"/>
      </barChart>
      <catAx>
        <axId val="10"/>
        <scaling>
          <orientation val="minMax"/>
        </scaling>
        <delete val="0"/>
        <axPos val="l"/>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title>
          <tx>
            <rich>
              <a:bodyPr/>
              <a:p>
                <a:pPr>
                  <a:defRPr/>
                </a:pPr>
                <a:r>
                  <a:t>Indicators</a:t>
                </a:r>
              </a:p>
            </rich>
          </tx>
        </title>
        <majorTickMark val="none"/>
        <minorTickMark val="none"/>
        <tickLblPos val="nextTo"/>
        <spPr>
          <a:ln>
            <a:solidFill>
              <a:srgbClr val="B9CFD1"/>
            </a:solidFill>
            <a:prstDash val="solid"/>
          </a:ln>
        </spPr>
        <txPr>
          <a:bodyPr/>
          <a:p>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a:p>
          <a:pPr>
            <a:defRPr sz="800">
              <a:solidFill>
                <a:srgbClr val="2C2D2D"/>
              </a:solidFill>
              <a:latin typeface="Segoe UI"/>
            </a:defRPr>
          </a:pPr>
          <a:r>
            <a:t/>
          </a:r>
          <a:endParaRPr sz="800">
            <a:solidFill>
              <a:srgbClr val="2C2D2D"/>
            </a:solidFill>
            <a:latin typeface="Segoe UI"/>
          </a:endParaRPr>
        </a:p>
      </txPr>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_rels/drawing3.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 Type="http://schemas.openxmlformats.org/officeDocument/2006/relationships/chart" Target="/xl/charts/chart7.xml" Id="rId4" /><Relationship Type="http://schemas.openxmlformats.org/officeDocument/2006/relationships/chart" Target="/xl/charts/chart8.xml" Id="rId5" /><Relationship Type="http://schemas.openxmlformats.org/officeDocument/2006/relationships/chart" Target="/xl/charts/chart9.xml" Id="rId6" /><Relationship Type="http://schemas.openxmlformats.org/officeDocument/2006/relationships/chart" Target="/xl/charts/chart10.xml" Id="rId7" /></Relationships>
</file>

<file path=xl/drawings/_rels/drawing4.xml.rels><Relationships xmlns="http://schemas.openxmlformats.org/package/2006/relationships"><Relationship Type="http://schemas.openxmlformats.org/officeDocument/2006/relationships/chart" Target="/xl/charts/chart11.xml" Id="rId1" /><Relationship Type="http://schemas.openxmlformats.org/officeDocument/2006/relationships/chart" Target="/xl/charts/chart12.xml" Id="rId2" /><Relationship Type="http://schemas.openxmlformats.org/officeDocument/2006/relationships/chart" Target="/xl/charts/chart13.xml" Id="rId3" /><Relationship Type="http://schemas.openxmlformats.org/officeDocument/2006/relationships/chart" Target="/xl/charts/chart14.xml" Id="rId4" /></Relationships>
</file>

<file path=xl/drawings/_rels/drawing5.xml.rels><Relationships xmlns="http://schemas.openxmlformats.org/package/2006/relationships"><Relationship Type="http://schemas.openxmlformats.org/officeDocument/2006/relationships/chart" Target="/xl/charts/chart15.xml" Id="rId1" /><Relationship Type="http://schemas.openxmlformats.org/officeDocument/2006/relationships/chart" Target="/xl/charts/chart16.xml" Id="rId2" /><Relationship Type="http://schemas.openxmlformats.org/officeDocument/2006/relationships/chart" Target="/xl/charts/chart17.xml" Id="rId3" /><Relationship Type="http://schemas.openxmlformats.org/officeDocument/2006/relationships/chart" Target="/xl/charts/chart18.xml" Id="rId4" /><Relationship Type="http://schemas.openxmlformats.org/officeDocument/2006/relationships/chart" Target="/xl/charts/chart19.xml" Id="rId5" /><Relationship Type="http://schemas.openxmlformats.org/officeDocument/2006/relationships/chart" Target="/xl/charts/chart20.xml" Id="rId6" /><Relationship Type="http://schemas.openxmlformats.org/officeDocument/2006/relationships/chart" Target="/xl/charts/chart21.xml" Id="rId7" /><Relationship Type="http://schemas.openxmlformats.org/officeDocument/2006/relationships/chart" Target="/xl/charts/chart22.xml" Id="rId8" /><Relationship Type="http://schemas.openxmlformats.org/officeDocument/2006/relationships/chart" Target="/xl/charts/chart23.xml" Id="rId9" /><Relationship Type="http://schemas.openxmlformats.org/officeDocument/2006/relationships/chart" Target="/xl/charts/chart24.xml" Id="rId10" /><Relationship Type="http://schemas.openxmlformats.org/officeDocument/2006/relationships/chart" Target="/xl/charts/chart25.xml" Id="rId11" /><Relationship Type="http://schemas.openxmlformats.org/officeDocument/2006/relationships/chart" Target="/xl/charts/chart26.xml" Id="rId12" /><Relationship Type="http://schemas.openxmlformats.org/officeDocument/2006/relationships/chart" Target="/xl/charts/chart27.xml" Id="rId13" /><Relationship Type="http://schemas.openxmlformats.org/officeDocument/2006/relationships/chart" Target="/xl/charts/chart28.xml" Id="rId14" /><Relationship Type="http://schemas.openxmlformats.org/officeDocument/2006/relationships/chart" Target="/xl/charts/chart29.xml" Id="rId15" /></Relationships>
</file>

<file path=xl/drawings/_rels/drawing6.xml.rels><Relationships xmlns="http://schemas.openxmlformats.org/package/2006/relationships"><Relationship Type="http://schemas.openxmlformats.org/officeDocument/2006/relationships/chart" Target="/xl/charts/chart30.xml" Id="rId1" /><Relationship Type="http://schemas.openxmlformats.org/officeDocument/2006/relationships/chart" Target="/xl/charts/chart31.xml" Id="rId2" /><Relationship Type="http://schemas.openxmlformats.org/officeDocument/2006/relationships/chart" Target="/xl/charts/chart32.xml" Id="rId3" /><Relationship Type="http://schemas.openxmlformats.org/officeDocument/2006/relationships/chart" Target="/xl/charts/chart33.xml" Id="rId4" /><Relationship Type="http://schemas.openxmlformats.org/officeDocument/2006/relationships/chart" Target="/xl/charts/chart34.xml" Id="rId5" /><Relationship Type="http://schemas.openxmlformats.org/officeDocument/2006/relationships/chart" Target="/xl/charts/chart35.xml" Id="rId6" /><Relationship Type="http://schemas.openxmlformats.org/officeDocument/2006/relationships/chart" Target="/xl/charts/chart36.xml" Id="rId7" /><Relationship Type="http://schemas.openxmlformats.org/officeDocument/2006/relationships/chart" Target="/xl/charts/chart37.xml" Id="rId8" /><Relationship Type="http://schemas.openxmlformats.org/officeDocument/2006/relationships/chart" Target="/xl/charts/chart38.xml" Id="rId9" /><Relationship Type="http://schemas.openxmlformats.org/officeDocument/2006/relationships/chart" Target="/xl/charts/chart39.xml" Id="rId10" /></Relationships>
</file>

<file path=xl/drawings/_rels/drawing7.xml.rels><Relationships xmlns="http://schemas.openxmlformats.org/package/2006/relationships"><Relationship Type="http://schemas.openxmlformats.org/officeDocument/2006/relationships/chart" Target="/xl/charts/chart40.xml" Id="rId1" /><Relationship Type="http://schemas.openxmlformats.org/officeDocument/2006/relationships/chart" Target="/xl/charts/chart41.xml" Id="rId2" /><Relationship Type="http://schemas.openxmlformats.org/officeDocument/2006/relationships/chart" Target="/xl/charts/chart42.xml" Id="rId3" /><Relationship Type="http://schemas.openxmlformats.org/officeDocument/2006/relationships/chart" Target="/xl/charts/chart43.xml" Id="rId4" /><Relationship Type="http://schemas.openxmlformats.org/officeDocument/2006/relationships/chart" Target="/xl/charts/chart44.xml" Id="rId5" /><Relationship Type="http://schemas.openxmlformats.org/officeDocument/2006/relationships/chart" Target="/xl/charts/chart45.xml" Id="rId6" /><Relationship Type="http://schemas.openxmlformats.org/officeDocument/2006/relationships/chart" Target="/xl/charts/chart46.xml" Id="rId7" /><Relationship Type="http://schemas.openxmlformats.org/officeDocument/2006/relationships/chart" Target="/xl/charts/chart47.xml" Id="rId8" /><Relationship Type="http://schemas.openxmlformats.org/officeDocument/2006/relationships/chart" Target="/xl/charts/chart48.xml" Id="rId9" /><Relationship Type="http://schemas.openxmlformats.org/officeDocument/2006/relationships/chart" Target="/xl/charts/chart49.xml" Id="rId10" /></Relationships>
</file>

<file path=xl/drawings/_rels/drawing8.xml.rels><Relationships xmlns="http://schemas.openxmlformats.org/package/2006/relationships"><Relationship Type="http://schemas.openxmlformats.org/officeDocument/2006/relationships/chart" Target="/xl/charts/chart50.xml" Id="rId1" /><Relationship Type="http://schemas.openxmlformats.org/officeDocument/2006/relationships/chart" Target="/xl/charts/chart51.xml" Id="rId2" /><Relationship Type="http://schemas.openxmlformats.org/officeDocument/2006/relationships/chart" Target="/xl/charts/chart52.xml" Id="rId3" /><Relationship Type="http://schemas.openxmlformats.org/officeDocument/2006/relationships/chart" Target="/xl/charts/chart53.xml" Id="rId4" /><Relationship Type="http://schemas.openxmlformats.org/officeDocument/2006/relationships/chart" Target="/xl/charts/chart54.xml" Id="rId5" /><Relationship Type="http://schemas.openxmlformats.org/officeDocument/2006/relationships/chart" Target="/xl/charts/chart55.xml" Id="rId6" /><Relationship Type="http://schemas.openxmlformats.org/officeDocument/2006/relationships/chart" Target="/xl/charts/chart56.xml" Id="rId7" /><Relationship Type="http://schemas.openxmlformats.org/officeDocument/2006/relationships/chart" Target="/xl/charts/chart57.xml" Id="rId8" /><Relationship Type="http://schemas.openxmlformats.org/officeDocument/2006/relationships/chart" Target="/xl/charts/chart58.xml" Id="rId9" /><Relationship Type="http://schemas.openxmlformats.org/officeDocument/2006/relationships/chart" Target="/xl/charts/chart59.xml" Id="rId10" /><Relationship Type="http://schemas.openxmlformats.org/officeDocument/2006/relationships/chart" Target="/xl/charts/chart60.xml" Id="rId11" /><Relationship Type="http://schemas.openxmlformats.org/officeDocument/2006/relationships/chart" Target="/xl/charts/chart61.xml" Id="rId12" /><Relationship Type="http://schemas.openxmlformats.org/officeDocument/2006/relationships/chart" Target="/xl/charts/chart62.xml" Id="rId13" /><Relationship Type="http://schemas.openxmlformats.org/officeDocument/2006/relationships/chart" Target="/xl/charts/chart63.xml" Id="rId14" /><Relationship Type="http://schemas.openxmlformats.org/officeDocument/2006/relationships/chart" Target="/xl/charts/chart64.xml" Id="rId15" /><Relationship Type="http://schemas.openxmlformats.org/officeDocument/2006/relationships/chart" Target="/xl/charts/chart65.xml" Id="rId16" /><Relationship Type="http://schemas.openxmlformats.org/officeDocument/2006/relationships/chart" Target="/xl/charts/chart66.xml" Id="rId17" /><Relationship Type="http://schemas.openxmlformats.org/officeDocument/2006/relationships/chart" Target="/xl/charts/chart67.xml" Id="rId18" /><Relationship Type="http://schemas.openxmlformats.org/officeDocument/2006/relationships/chart" Target="/xl/charts/chart68.xml" Id="rId19" /><Relationship Type="http://schemas.openxmlformats.org/officeDocument/2006/relationships/chart" Target="/xl/charts/chart69.xml" Id="rId20" /><Relationship Type="http://schemas.openxmlformats.org/officeDocument/2006/relationships/chart" Target="/xl/charts/chart70.xml" Id="rId21" /><Relationship Type="http://schemas.openxmlformats.org/officeDocument/2006/relationships/chart" Target="/xl/charts/chart71.xml" Id="rId22" /><Relationship Type="http://schemas.openxmlformats.org/officeDocument/2006/relationships/chart" Target="/xl/charts/chart72.xml" Id="rId23" /><Relationship Type="http://schemas.openxmlformats.org/officeDocument/2006/relationships/chart" Target="/xl/charts/chart73.xml" Id="rId24" /><Relationship Type="http://schemas.openxmlformats.org/officeDocument/2006/relationships/chart" Target="/xl/charts/chart74.xml" Id="rId25" /><Relationship Type="http://schemas.openxmlformats.org/officeDocument/2006/relationships/chart" Target="/xl/charts/chart75.xml" Id="rId26" /></Relationships>
</file>

<file path=xl/drawings/_rels/drawing9.xml.rels><Relationships xmlns="http://schemas.openxmlformats.org/package/2006/relationships"><Relationship Type="http://schemas.openxmlformats.org/officeDocument/2006/relationships/chart" Target="/xl/charts/chart76.xml" Id="rId1" /><Relationship Type="http://schemas.openxmlformats.org/officeDocument/2006/relationships/chart" Target="/xl/charts/chart77.xml" Id="rId2" /><Relationship Type="http://schemas.openxmlformats.org/officeDocument/2006/relationships/chart" Target="/xl/charts/chart78.xml" Id="rId3" /><Relationship Type="http://schemas.openxmlformats.org/officeDocument/2006/relationships/chart" Target="/xl/charts/chart79.xml" Id="rId4" /><Relationship Type="http://schemas.openxmlformats.org/officeDocument/2006/relationships/chart" Target="/xl/charts/chart80.xml" Id="rId5" /><Relationship Type="http://schemas.openxmlformats.org/officeDocument/2006/relationships/chart" Target="/xl/charts/chart81.xml" Id="rId6" /><Relationship Type="http://schemas.openxmlformats.org/officeDocument/2006/relationships/chart" Target="/xl/charts/chart82.xml" Id="rId7" /><Relationship Type="http://schemas.openxmlformats.org/officeDocument/2006/relationships/chart" Target="/xl/charts/chart83.xml" Id="rId8" /><Relationship Type="http://schemas.openxmlformats.org/officeDocument/2006/relationships/chart" Target="/xl/charts/chart84.xml" Id="rId9" /><Relationship Type="http://schemas.openxmlformats.org/officeDocument/2006/relationships/chart" Target="/xl/charts/chart85.xml" Id="rId10" /><Relationship Type="http://schemas.openxmlformats.org/officeDocument/2006/relationships/chart" Target="/xl/charts/chart86.xml" Id="rId11" /><Relationship Type="http://schemas.openxmlformats.org/officeDocument/2006/relationships/chart" Target="/xl/charts/chart87.xml" Id="rId12" /><Relationship Type="http://schemas.openxmlformats.org/officeDocument/2006/relationships/chart" Target="/xl/charts/chart88.xml" Id="rId13" /></Relationships>
</file>

<file path=xl/drawings/_rels/drawing10.xml.rels><Relationships xmlns="http://schemas.openxmlformats.org/package/2006/relationships"><Relationship Type="http://schemas.openxmlformats.org/officeDocument/2006/relationships/chart" Target="/xl/charts/chart89.xml" Id="rId1" /><Relationship Type="http://schemas.openxmlformats.org/officeDocument/2006/relationships/chart" Target="/xl/charts/chart90.xml" Id="rId2" /><Relationship Type="http://schemas.openxmlformats.org/officeDocument/2006/relationships/chart" Target="/xl/charts/chart91.xml" Id="rId3" /><Relationship Type="http://schemas.openxmlformats.org/officeDocument/2006/relationships/chart" Target="/xl/charts/chart92.xml" Id="rId4" /><Relationship Type="http://schemas.openxmlformats.org/officeDocument/2006/relationships/chart" Target="/xl/charts/chart93.xml" Id="rId5" /><Relationship Type="http://schemas.openxmlformats.org/officeDocument/2006/relationships/chart" Target="/xl/charts/chart94.xml" Id="rId6" /></Relationships>
</file>

<file path=xl/drawings/_rels/drawing11.xml.rels><Relationships xmlns="http://schemas.openxmlformats.org/package/2006/relationships"><Relationship Type="http://schemas.openxmlformats.org/officeDocument/2006/relationships/chart" Target="/xl/charts/chart95.xml" Id="rId1" /><Relationship Type="http://schemas.openxmlformats.org/officeDocument/2006/relationships/chart" Target="/xl/charts/chart96.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104</row>
      <rowOff>0</rowOff>
    </from>
    <ext cx="7200000" cy="414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125</row>
      <rowOff>0</rowOff>
    </from>
    <ext cx="720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9</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15</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39</row>
      <rowOff>0</rowOff>
    </from>
    <ext cx="4860000" cy="237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63</row>
      <rowOff>0</rowOff>
    </from>
    <ext cx="4860000" cy="2376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87</row>
      <rowOff>0</rowOff>
    </from>
    <ext cx="4860000" cy="2376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111</row>
      <rowOff>0</rowOff>
    </from>
    <ext cx="4860000" cy="2376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134</row>
      <rowOff>0</rowOff>
    </from>
    <ext cx="4860000" cy="2376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157</row>
      <rowOff>0</rowOff>
    </from>
    <ext cx="4860000" cy="2376000"/>
    <graphicFrame>
      <nvGraphicFramePr>
        <cNvPr id="7" name="Chart 7"/>
        <cNvGraphicFramePr/>
      </nvGraphicFramePr>
      <xfrm/>
      <a:graphic>
        <a:graphicData uri="http://schemas.openxmlformats.org/drawingml/2006/chart">
          <c:chart r:id="rId7"/>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12</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36</row>
      <rowOff>0</rowOff>
    </from>
    <ext cx="4860000" cy="237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60</row>
      <rowOff>0</rowOff>
    </from>
    <ext cx="4860000" cy="2376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84</row>
      <rowOff>0</rowOff>
    </from>
    <ext cx="4860000" cy="2376000"/>
    <graphicFrame>
      <nvGraphicFramePr>
        <cNvPr id="4" name="Chart 4"/>
        <cNvGraphicFramePr/>
      </nvGraphicFramePr>
      <xfrm/>
      <a:graphic>
        <a:graphicData uri="http://schemas.openxmlformats.org/drawingml/2006/chart">
          <c:chart r:id="rId4"/>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26</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50</row>
      <rowOff>0</rowOff>
    </from>
    <ext cx="4860000" cy="237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69</row>
      <rowOff>0</rowOff>
    </from>
    <ext cx="4860000" cy="2376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87</row>
      <rowOff>0</rowOff>
    </from>
    <ext cx="4860000" cy="2376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108</row>
      <rowOff>0</rowOff>
    </from>
    <ext cx="4860000" cy="2376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124</row>
      <rowOff>0</rowOff>
    </from>
    <ext cx="4860000" cy="2376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147</row>
      <rowOff>0</rowOff>
    </from>
    <ext cx="4860000" cy="2376000"/>
    <graphicFrame>
      <nvGraphicFramePr>
        <cNvPr id="7" name="Chart 7"/>
        <cNvGraphicFramePr/>
      </nvGraphicFramePr>
      <xfrm/>
      <a:graphic>
        <a:graphicData uri="http://schemas.openxmlformats.org/drawingml/2006/chart">
          <c:chart r:id="rId7"/>
        </a:graphicData>
      </a:graphic>
    </graphicFrame>
    <clientData/>
  </oneCellAnchor>
  <oneCellAnchor>
    <from>
      <col>4</col>
      <colOff>0</colOff>
      <row>171</row>
      <rowOff>0</rowOff>
    </from>
    <ext cx="4860000" cy="2376000"/>
    <graphicFrame>
      <nvGraphicFramePr>
        <cNvPr id="8" name="Chart 8"/>
        <cNvGraphicFramePr/>
      </nvGraphicFramePr>
      <xfrm/>
      <a:graphic>
        <a:graphicData uri="http://schemas.openxmlformats.org/drawingml/2006/chart">
          <c:chart r:id="rId8"/>
        </a:graphicData>
      </a:graphic>
    </graphicFrame>
    <clientData/>
  </oneCellAnchor>
  <oneCellAnchor>
    <from>
      <col>4</col>
      <colOff>0</colOff>
      <row>193</row>
      <rowOff>0</rowOff>
    </from>
    <ext cx="4860000" cy="2376000"/>
    <graphicFrame>
      <nvGraphicFramePr>
        <cNvPr id="9" name="Chart 9"/>
        <cNvGraphicFramePr/>
      </nvGraphicFramePr>
      <xfrm/>
      <a:graphic>
        <a:graphicData uri="http://schemas.openxmlformats.org/drawingml/2006/chart">
          <c:chart r:id="rId9"/>
        </a:graphicData>
      </a:graphic>
    </graphicFrame>
    <clientData/>
  </oneCellAnchor>
  <oneCellAnchor>
    <from>
      <col>4</col>
      <colOff>0</colOff>
      <row>211</row>
      <rowOff>0</rowOff>
    </from>
    <ext cx="4860000" cy="2376000"/>
    <graphicFrame>
      <nvGraphicFramePr>
        <cNvPr id="10" name="Chart 10"/>
        <cNvGraphicFramePr/>
      </nvGraphicFramePr>
      <xfrm/>
      <a:graphic>
        <a:graphicData uri="http://schemas.openxmlformats.org/drawingml/2006/chart">
          <c:chart r:id="rId10"/>
        </a:graphicData>
      </a:graphic>
    </graphicFrame>
    <clientData/>
  </oneCellAnchor>
  <oneCellAnchor>
    <from>
      <col>4</col>
      <colOff>0</colOff>
      <row>229</row>
      <rowOff>0</rowOff>
    </from>
    <ext cx="4860000" cy="2376000"/>
    <graphicFrame>
      <nvGraphicFramePr>
        <cNvPr id="11" name="Chart 11"/>
        <cNvGraphicFramePr/>
      </nvGraphicFramePr>
      <xfrm/>
      <a:graphic>
        <a:graphicData uri="http://schemas.openxmlformats.org/drawingml/2006/chart">
          <c:chart r:id="rId11"/>
        </a:graphicData>
      </a:graphic>
    </graphicFrame>
    <clientData/>
  </oneCellAnchor>
  <oneCellAnchor>
    <from>
      <col>4</col>
      <colOff>0</colOff>
      <row>254</row>
      <rowOff>0</rowOff>
    </from>
    <ext cx="4860000" cy="2376000"/>
    <graphicFrame>
      <nvGraphicFramePr>
        <cNvPr id="12" name="Chart 12"/>
        <cNvGraphicFramePr/>
      </nvGraphicFramePr>
      <xfrm/>
      <a:graphic>
        <a:graphicData uri="http://schemas.openxmlformats.org/drawingml/2006/chart">
          <c:chart r:id="rId12"/>
        </a:graphicData>
      </a:graphic>
    </graphicFrame>
    <clientData/>
  </oneCellAnchor>
  <oneCellAnchor>
    <from>
      <col>4</col>
      <colOff>0</colOff>
      <row>275</row>
      <rowOff>0</rowOff>
    </from>
    <ext cx="4860000" cy="2376000"/>
    <graphicFrame>
      <nvGraphicFramePr>
        <cNvPr id="13" name="Chart 13"/>
        <cNvGraphicFramePr/>
      </nvGraphicFramePr>
      <xfrm/>
      <a:graphic>
        <a:graphicData uri="http://schemas.openxmlformats.org/drawingml/2006/chart">
          <c:chart r:id="rId13"/>
        </a:graphicData>
      </a:graphic>
    </graphicFrame>
    <clientData/>
  </oneCellAnchor>
  <oneCellAnchor>
    <from>
      <col>4</col>
      <colOff>0</colOff>
      <row>300</row>
      <rowOff>0</rowOff>
    </from>
    <ext cx="4860000" cy="2376000"/>
    <graphicFrame>
      <nvGraphicFramePr>
        <cNvPr id="14" name="Chart 14"/>
        <cNvGraphicFramePr/>
      </nvGraphicFramePr>
      <xfrm/>
      <a:graphic>
        <a:graphicData uri="http://schemas.openxmlformats.org/drawingml/2006/chart">
          <c:chart r:id="rId14"/>
        </a:graphicData>
      </a:graphic>
    </graphicFrame>
    <clientData/>
  </oneCellAnchor>
  <oneCellAnchor>
    <from>
      <col>4</col>
      <colOff>0</colOff>
      <row>321</row>
      <rowOff>0</rowOff>
    </from>
    <ext cx="4860000" cy="2376000"/>
    <graphicFrame>
      <nvGraphicFramePr>
        <cNvPr id="15" name="Chart 15"/>
        <cNvGraphicFramePr/>
      </nvGraphicFramePr>
      <xfrm/>
      <a:graphic>
        <a:graphicData uri="http://schemas.openxmlformats.org/drawingml/2006/chart">
          <c:chart r:id="rId15"/>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18</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42</row>
      <rowOff>0</rowOff>
    </from>
    <ext cx="4860000" cy="237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64</row>
      <rowOff>0</rowOff>
    </from>
    <ext cx="4860000" cy="2376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85</row>
      <rowOff>0</rowOff>
    </from>
    <ext cx="4860000" cy="2376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109</row>
      <rowOff>0</rowOff>
    </from>
    <ext cx="4860000" cy="2376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131</row>
      <rowOff>0</rowOff>
    </from>
    <ext cx="4860000" cy="2376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147</row>
      <rowOff>0</rowOff>
    </from>
    <ext cx="4860000" cy="2376000"/>
    <graphicFrame>
      <nvGraphicFramePr>
        <cNvPr id="7" name="Chart 7"/>
        <cNvGraphicFramePr/>
      </nvGraphicFramePr>
      <xfrm/>
      <a:graphic>
        <a:graphicData uri="http://schemas.openxmlformats.org/drawingml/2006/chart">
          <c:chart r:id="rId7"/>
        </a:graphicData>
      </a:graphic>
    </graphicFrame>
    <clientData/>
  </oneCellAnchor>
  <oneCellAnchor>
    <from>
      <col>4</col>
      <colOff>0</colOff>
      <row>167</row>
      <rowOff>0</rowOff>
    </from>
    <ext cx="4860000" cy="2376000"/>
    <graphicFrame>
      <nvGraphicFramePr>
        <cNvPr id="8" name="Chart 8"/>
        <cNvGraphicFramePr/>
      </nvGraphicFramePr>
      <xfrm/>
      <a:graphic>
        <a:graphicData uri="http://schemas.openxmlformats.org/drawingml/2006/chart">
          <c:chart r:id="rId8"/>
        </a:graphicData>
      </a:graphic>
    </graphicFrame>
    <clientData/>
  </oneCellAnchor>
  <oneCellAnchor>
    <from>
      <col>4</col>
      <colOff>0</colOff>
      <row>183</row>
      <rowOff>0</rowOff>
    </from>
    <ext cx="4860000" cy="2376000"/>
    <graphicFrame>
      <nvGraphicFramePr>
        <cNvPr id="9" name="Chart 9"/>
        <cNvGraphicFramePr/>
      </nvGraphicFramePr>
      <xfrm/>
      <a:graphic>
        <a:graphicData uri="http://schemas.openxmlformats.org/drawingml/2006/chart">
          <c:chart r:id="rId9"/>
        </a:graphicData>
      </a:graphic>
    </graphicFrame>
    <clientData/>
  </oneCellAnchor>
  <oneCellAnchor>
    <from>
      <col>4</col>
      <colOff>0</colOff>
      <row>207</row>
      <rowOff>0</rowOff>
    </from>
    <ext cx="4860000" cy="2376000"/>
    <graphicFrame>
      <nvGraphicFramePr>
        <cNvPr id="10" name="Chart 10"/>
        <cNvGraphicFramePr/>
      </nvGraphicFramePr>
      <xfrm/>
      <a:graphic>
        <a:graphicData uri="http://schemas.openxmlformats.org/drawingml/2006/chart">
          <c:chart r:id="rId10"/>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20</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44</row>
      <rowOff>0</rowOff>
    </from>
    <ext cx="4860000" cy="237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67</row>
      <rowOff>0</rowOff>
    </from>
    <ext cx="4860000" cy="2376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89</row>
      <rowOff>0</rowOff>
    </from>
    <ext cx="4860000" cy="2376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111</row>
      <rowOff>0</rowOff>
    </from>
    <ext cx="4860000" cy="2376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135</row>
      <rowOff>0</rowOff>
    </from>
    <ext cx="4860000" cy="2376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151</row>
      <rowOff>0</rowOff>
    </from>
    <ext cx="4860000" cy="2376000"/>
    <graphicFrame>
      <nvGraphicFramePr>
        <cNvPr id="7" name="Chart 7"/>
        <cNvGraphicFramePr/>
      </nvGraphicFramePr>
      <xfrm/>
      <a:graphic>
        <a:graphicData uri="http://schemas.openxmlformats.org/drawingml/2006/chart">
          <c:chart r:id="rId7"/>
        </a:graphicData>
      </a:graphic>
    </graphicFrame>
    <clientData/>
  </oneCellAnchor>
  <oneCellAnchor>
    <from>
      <col>4</col>
      <colOff>0</colOff>
      <row>171</row>
      <rowOff>0</rowOff>
    </from>
    <ext cx="4860000" cy="2376000"/>
    <graphicFrame>
      <nvGraphicFramePr>
        <cNvPr id="8" name="Chart 8"/>
        <cNvGraphicFramePr/>
      </nvGraphicFramePr>
      <xfrm/>
      <a:graphic>
        <a:graphicData uri="http://schemas.openxmlformats.org/drawingml/2006/chart">
          <c:chart r:id="rId8"/>
        </a:graphicData>
      </a:graphic>
    </graphicFrame>
    <clientData/>
  </oneCellAnchor>
  <oneCellAnchor>
    <from>
      <col>4</col>
      <colOff>0</colOff>
      <row>187</row>
      <rowOff>0</rowOff>
    </from>
    <ext cx="4860000" cy="2376000"/>
    <graphicFrame>
      <nvGraphicFramePr>
        <cNvPr id="9" name="Chart 9"/>
        <cNvGraphicFramePr/>
      </nvGraphicFramePr>
      <xfrm/>
      <a:graphic>
        <a:graphicData uri="http://schemas.openxmlformats.org/drawingml/2006/chart">
          <c:chart r:id="rId9"/>
        </a:graphicData>
      </a:graphic>
    </graphicFrame>
    <clientData/>
  </oneCellAnchor>
  <oneCellAnchor>
    <from>
      <col>4</col>
      <colOff>0</colOff>
      <row>212</row>
      <rowOff>0</rowOff>
    </from>
    <ext cx="4860000" cy="2376000"/>
    <graphicFrame>
      <nvGraphicFramePr>
        <cNvPr id="10" name="Chart 10"/>
        <cNvGraphicFramePr/>
      </nvGraphicFramePr>
      <xfrm/>
      <a:graphic>
        <a:graphicData uri="http://schemas.openxmlformats.org/drawingml/2006/chart">
          <c:chart r:id="rId10"/>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34</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58</row>
      <rowOff>0</rowOff>
    </from>
    <ext cx="4860000" cy="237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79</row>
      <rowOff>0</rowOff>
    </from>
    <ext cx="4860000" cy="2376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99</row>
      <rowOff>0</rowOff>
    </from>
    <ext cx="4860000" cy="2376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120</row>
      <rowOff>0</rowOff>
    </from>
    <ext cx="4860000" cy="2376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136</row>
      <rowOff>0</rowOff>
    </from>
    <ext cx="4860000" cy="2376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156</row>
      <rowOff>0</rowOff>
    </from>
    <ext cx="4860000" cy="2376000"/>
    <graphicFrame>
      <nvGraphicFramePr>
        <cNvPr id="7" name="Chart 7"/>
        <cNvGraphicFramePr/>
      </nvGraphicFramePr>
      <xfrm/>
      <a:graphic>
        <a:graphicData uri="http://schemas.openxmlformats.org/drawingml/2006/chart">
          <c:chart r:id="rId7"/>
        </a:graphicData>
      </a:graphic>
    </graphicFrame>
    <clientData/>
  </oneCellAnchor>
  <oneCellAnchor>
    <from>
      <col>4</col>
      <colOff>0</colOff>
      <row>172</row>
      <rowOff>0</rowOff>
    </from>
    <ext cx="4860000" cy="2376000"/>
    <graphicFrame>
      <nvGraphicFramePr>
        <cNvPr id="8" name="Chart 8"/>
        <cNvGraphicFramePr/>
      </nvGraphicFramePr>
      <xfrm/>
      <a:graphic>
        <a:graphicData uri="http://schemas.openxmlformats.org/drawingml/2006/chart">
          <c:chart r:id="rId8"/>
        </a:graphicData>
      </a:graphic>
    </graphicFrame>
    <clientData/>
  </oneCellAnchor>
  <oneCellAnchor>
    <from>
      <col>4</col>
      <colOff>0</colOff>
      <row>188</row>
      <rowOff>0</rowOff>
    </from>
    <ext cx="4860000" cy="2376000"/>
    <graphicFrame>
      <nvGraphicFramePr>
        <cNvPr id="9" name="Chart 9"/>
        <cNvGraphicFramePr/>
      </nvGraphicFramePr>
      <xfrm/>
      <a:graphic>
        <a:graphicData uri="http://schemas.openxmlformats.org/drawingml/2006/chart">
          <c:chart r:id="rId9"/>
        </a:graphicData>
      </a:graphic>
    </graphicFrame>
    <clientData/>
  </oneCellAnchor>
  <oneCellAnchor>
    <from>
      <col>4</col>
      <colOff>0</colOff>
      <row>207</row>
      <rowOff>0</rowOff>
    </from>
    <ext cx="4860000" cy="2376000"/>
    <graphicFrame>
      <nvGraphicFramePr>
        <cNvPr id="10" name="Chart 10"/>
        <cNvGraphicFramePr/>
      </nvGraphicFramePr>
      <xfrm/>
      <a:graphic>
        <a:graphicData uri="http://schemas.openxmlformats.org/drawingml/2006/chart">
          <c:chart r:id="rId10"/>
        </a:graphicData>
      </a:graphic>
    </graphicFrame>
    <clientData/>
  </oneCellAnchor>
  <oneCellAnchor>
    <from>
      <col>4</col>
      <colOff>0</colOff>
      <row>223</row>
      <rowOff>0</rowOff>
    </from>
    <ext cx="4860000" cy="2376000"/>
    <graphicFrame>
      <nvGraphicFramePr>
        <cNvPr id="11" name="Chart 11"/>
        <cNvGraphicFramePr/>
      </nvGraphicFramePr>
      <xfrm/>
      <a:graphic>
        <a:graphicData uri="http://schemas.openxmlformats.org/drawingml/2006/chart">
          <c:chart r:id="rId11"/>
        </a:graphicData>
      </a:graphic>
    </graphicFrame>
    <clientData/>
  </oneCellAnchor>
  <oneCellAnchor>
    <from>
      <col>4</col>
      <colOff>0</colOff>
      <row>242</row>
      <rowOff>0</rowOff>
    </from>
    <ext cx="4860000" cy="2376000"/>
    <graphicFrame>
      <nvGraphicFramePr>
        <cNvPr id="12" name="Chart 12"/>
        <cNvGraphicFramePr/>
      </nvGraphicFramePr>
      <xfrm/>
      <a:graphic>
        <a:graphicData uri="http://schemas.openxmlformats.org/drawingml/2006/chart">
          <c:chart r:id="rId12"/>
        </a:graphicData>
      </a:graphic>
    </graphicFrame>
    <clientData/>
  </oneCellAnchor>
  <oneCellAnchor>
    <from>
      <col>4</col>
      <colOff>0</colOff>
      <row>262</row>
      <rowOff>0</rowOff>
    </from>
    <ext cx="4860000" cy="2376000"/>
    <graphicFrame>
      <nvGraphicFramePr>
        <cNvPr id="13" name="Chart 13"/>
        <cNvGraphicFramePr/>
      </nvGraphicFramePr>
      <xfrm/>
      <a:graphic>
        <a:graphicData uri="http://schemas.openxmlformats.org/drawingml/2006/chart">
          <c:chart r:id="rId13"/>
        </a:graphicData>
      </a:graphic>
    </graphicFrame>
    <clientData/>
  </oneCellAnchor>
  <oneCellAnchor>
    <from>
      <col>4</col>
      <colOff>0</colOff>
      <row>281</row>
      <rowOff>0</rowOff>
    </from>
    <ext cx="4860000" cy="2376000"/>
    <graphicFrame>
      <nvGraphicFramePr>
        <cNvPr id="14" name="Chart 14"/>
        <cNvGraphicFramePr/>
      </nvGraphicFramePr>
      <xfrm/>
      <a:graphic>
        <a:graphicData uri="http://schemas.openxmlformats.org/drawingml/2006/chart">
          <c:chart r:id="rId14"/>
        </a:graphicData>
      </a:graphic>
    </graphicFrame>
    <clientData/>
  </oneCellAnchor>
  <oneCellAnchor>
    <from>
      <col>4</col>
      <colOff>0</colOff>
      <row>297</row>
      <rowOff>0</rowOff>
    </from>
    <ext cx="4860000" cy="2376000"/>
    <graphicFrame>
      <nvGraphicFramePr>
        <cNvPr id="15" name="Chart 15"/>
        <cNvGraphicFramePr/>
      </nvGraphicFramePr>
      <xfrm/>
      <a:graphic>
        <a:graphicData uri="http://schemas.openxmlformats.org/drawingml/2006/chart">
          <c:chart r:id="rId15"/>
        </a:graphicData>
      </a:graphic>
    </graphicFrame>
    <clientData/>
  </oneCellAnchor>
  <oneCellAnchor>
    <from>
      <col>4</col>
      <colOff>0</colOff>
      <row>317</row>
      <rowOff>0</rowOff>
    </from>
    <ext cx="4860000" cy="2376000"/>
    <graphicFrame>
      <nvGraphicFramePr>
        <cNvPr id="16" name="Chart 16"/>
        <cNvGraphicFramePr/>
      </nvGraphicFramePr>
      <xfrm/>
      <a:graphic>
        <a:graphicData uri="http://schemas.openxmlformats.org/drawingml/2006/chart">
          <c:chart r:id="rId16"/>
        </a:graphicData>
      </a:graphic>
    </graphicFrame>
    <clientData/>
  </oneCellAnchor>
  <oneCellAnchor>
    <from>
      <col>4</col>
      <colOff>0</colOff>
      <row>337</row>
      <rowOff>0</rowOff>
    </from>
    <ext cx="4860000" cy="2376000"/>
    <graphicFrame>
      <nvGraphicFramePr>
        <cNvPr id="17" name="Chart 17"/>
        <cNvGraphicFramePr/>
      </nvGraphicFramePr>
      <xfrm/>
      <a:graphic>
        <a:graphicData uri="http://schemas.openxmlformats.org/drawingml/2006/chart">
          <c:chart r:id="rId17"/>
        </a:graphicData>
      </a:graphic>
    </graphicFrame>
    <clientData/>
  </oneCellAnchor>
  <oneCellAnchor>
    <from>
      <col>4</col>
      <colOff>0</colOff>
      <row>353</row>
      <rowOff>0</rowOff>
    </from>
    <ext cx="4860000" cy="2376000"/>
    <graphicFrame>
      <nvGraphicFramePr>
        <cNvPr id="18" name="Chart 18"/>
        <cNvGraphicFramePr/>
      </nvGraphicFramePr>
      <xfrm/>
      <a:graphic>
        <a:graphicData uri="http://schemas.openxmlformats.org/drawingml/2006/chart">
          <c:chart r:id="rId18"/>
        </a:graphicData>
      </a:graphic>
    </graphicFrame>
    <clientData/>
  </oneCellAnchor>
  <oneCellAnchor>
    <from>
      <col>4</col>
      <colOff>0</colOff>
      <row>372</row>
      <rowOff>0</rowOff>
    </from>
    <ext cx="4860000" cy="2376000"/>
    <graphicFrame>
      <nvGraphicFramePr>
        <cNvPr id="19" name="Chart 19"/>
        <cNvGraphicFramePr/>
      </nvGraphicFramePr>
      <xfrm/>
      <a:graphic>
        <a:graphicData uri="http://schemas.openxmlformats.org/drawingml/2006/chart">
          <c:chart r:id="rId19"/>
        </a:graphicData>
      </a:graphic>
    </graphicFrame>
    <clientData/>
  </oneCellAnchor>
  <oneCellAnchor>
    <from>
      <col>4</col>
      <colOff>0</colOff>
      <row>392</row>
      <rowOff>0</rowOff>
    </from>
    <ext cx="4860000" cy="2376000"/>
    <graphicFrame>
      <nvGraphicFramePr>
        <cNvPr id="20" name="Chart 20"/>
        <cNvGraphicFramePr/>
      </nvGraphicFramePr>
      <xfrm/>
      <a:graphic>
        <a:graphicData uri="http://schemas.openxmlformats.org/drawingml/2006/chart">
          <c:chart r:id="rId20"/>
        </a:graphicData>
      </a:graphic>
    </graphicFrame>
    <clientData/>
  </oneCellAnchor>
  <oneCellAnchor>
    <from>
      <col>4</col>
      <colOff>0</colOff>
      <row>408</row>
      <rowOff>0</rowOff>
    </from>
    <ext cx="4860000" cy="2376000"/>
    <graphicFrame>
      <nvGraphicFramePr>
        <cNvPr id="21" name="Chart 21"/>
        <cNvGraphicFramePr/>
      </nvGraphicFramePr>
      <xfrm/>
      <a:graphic>
        <a:graphicData uri="http://schemas.openxmlformats.org/drawingml/2006/chart">
          <c:chart r:id="rId21"/>
        </a:graphicData>
      </a:graphic>
    </graphicFrame>
    <clientData/>
  </oneCellAnchor>
  <oneCellAnchor>
    <from>
      <col>4</col>
      <colOff>0</colOff>
      <row>428</row>
      <rowOff>0</rowOff>
    </from>
    <ext cx="4860000" cy="2376000"/>
    <graphicFrame>
      <nvGraphicFramePr>
        <cNvPr id="22" name="Chart 22"/>
        <cNvGraphicFramePr/>
      </nvGraphicFramePr>
      <xfrm/>
      <a:graphic>
        <a:graphicData uri="http://schemas.openxmlformats.org/drawingml/2006/chart">
          <c:chart r:id="rId22"/>
        </a:graphicData>
      </a:graphic>
    </graphicFrame>
    <clientData/>
  </oneCellAnchor>
  <oneCellAnchor>
    <from>
      <col>4</col>
      <colOff>0</colOff>
      <row>448</row>
      <rowOff>0</rowOff>
    </from>
    <ext cx="4860000" cy="2376000"/>
    <graphicFrame>
      <nvGraphicFramePr>
        <cNvPr id="23" name="Chart 23"/>
        <cNvGraphicFramePr/>
      </nvGraphicFramePr>
      <xfrm/>
      <a:graphic>
        <a:graphicData uri="http://schemas.openxmlformats.org/drawingml/2006/chart">
          <c:chart r:id="rId23"/>
        </a:graphicData>
      </a:graphic>
    </graphicFrame>
    <clientData/>
  </oneCellAnchor>
  <oneCellAnchor>
    <from>
      <col>4</col>
      <colOff>0</colOff>
      <row>464</row>
      <rowOff>0</rowOff>
    </from>
    <ext cx="4860000" cy="2376000"/>
    <graphicFrame>
      <nvGraphicFramePr>
        <cNvPr id="24" name="Chart 24"/>
        <cNvGraphicFramePr/>
      </nvGraphicFramePr>
      <xfrm/>
      <a:graphic>
        <a:graphicData uri="http://schemas.openxmlformats.org/drawingml/2006/chart">
          <c:chart r:id="rId24"/>
        </a:graphicData>
      </a:graphic>
    </graphicFrame>
    <clientData/>
  </oneCellAnchor>
  <oneCellAnchor>
    <from>
      <col>4</col>
      <colOff>0</colOff>
      <row>480</row>
      <rowOff>0</rowOff>
    </from>
    <ext cx="4860000" cy="2376000"/>
    <graphicFrame>
      <nvGraphicFramePr>
        <cNvPr id="25" name="Chart 25"/>
        <cNvGraphicFramePr/>
      </nvGraphicFramePr>
      <xfrm/>
      <a:graphic>
        <a:graphicData uri="http://schemas.openxmlformats.org/drawingml/2006/chart">
          <c:chart r:id="rId25"/>
        </a:graphicData>
      </a:graphic>
    </graphicFrame>
    <clientData/>
  </oneCellAnchor>
  <oneCellAnchor>
    <from>
      <col>4</col>
      <colOff>0</colOff>
      <row>496</row>
      <rowOff>0</rowOff>
    </from>
    <ext cx="4860000" cy="2376000"/>
    <graphicFrame>
      <nvGraphicFramePr>
        <cNvPr id="26" name="Chart 26"/>
        <cNvGraphicFramePr/>
      </nvGraphicFramePr>
      <xfrm/>
      <a:graphic>
        <a:graphicData uri="http://schemas.openxmlformats.org/drawingml/2006/chart">
          <c:chart r:id="rId26"/>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21</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45</row>
      <rowOff>0</rowOff>
    </from>
    <ext cx="4860000" cy="237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66</row>
      <rowOff>0</rowOff>
    </from>
    <ext cx="4860000" cy="2376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87</row>
      <rowOff>0</rowOff>
    </from>
    <ext cx="4860000" cy="2376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107</row>
      <rowOff>0</rowOff>
    </from>
    <ext cx="4860000" cy="2376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131</row>
      <rowOff>0</rowOff>
    </from>
    <ext cx="4860000" cy="2376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155</row>
      <rowOff>0</rowOff>
    </from>
    <ext cx="4860000" cy="2376000"/>
    <graphicFrame>
      <nvGraphicFramePr>
        <cNvPr id="7" name="Chart 7"/>
        <cNvGraphicFramePr/>
      </nvGraphicFramePr>
      <xfrm/>
      <a:graphic>
        <a:graphicData uri="http://schemas.openxmlformats.org/drawingml/2006/chart">
          <c:chart r:id="rId7"/>
        </a:graphicData>
      </a:graphic>
    </graphicFrame>
    <clientData/>
  </oneCellAnchor>
  <oneCellAnchor>
    <from>
      <col>4</col>
      <colOff>0</colOff>
      <row>179</row>
      <rowOff>0</rowOff>
    </from>
    <ext cx="4860000" cy="2376000"/>
    <graphicFrame>
      <nvGraphicFramePr>
        <cNvPr id="8" name="Chart 8"/>
        <cNvGraphicFramePr/>
      </nvGraphicFramePr>
      <xfrm/>
      <a:graphic>
        <a:graphicData uri="http://schemas.openxmlformats.org/drawingml/2006/chart">
          <c:chart r:id="rId8"/>
        </a:graphicData>
      </a:graphic>
    </graphicFrame>
    <clientData/>
  </oneCellAnchor>
  <oneCellAnchor>
    <from>
      <col>4</col>
      <colOff>0</colOff>
      <row>200</row>
      <rowOff>0</rowOff>
    </from>
    <ext cx="4860000" cy="2376000"/>
    <graphicFrame>
      <nvGraphicFramePr>
        <cNvPr id="9" name="Chart 9"/>
        <cNvGraphicFramePr/>
      </nvGraphicFramePr>
      <xfrm/>
      <a:graphic>
        <a:graphicData uri="http://schemas.openxmlformats.org/drawingml/2006/chart">
          <c:chart r:id="rId9"/>
        </a:graphicData>
      </a:graphic>
    </graphicFrame>
    <clientData/>
  </oneCellAnchor>
  <oneCellAnchor>
    <from>
      <col>4</col>
      <colOff>0</colOff>
      <row>221</row>
      <rowOff>0</rowOff>
    </from>
    <ext cx="4860000" cy="2376000"/>
    <graphicFrame>
      <nvGraphicFramePr>
        <cNvPr id="10" name="Chart 10"/>
        <cNvGraphicFramePr/>
      </nvGraphicFramePr>
      <xfrm/>
      <a:graphic>
        <a:graphicData uri="http://schemas.openxmlformats.org/drawingml/2006/chart">
          <c:chart r:id="rId10"/>
        </a:graphicData>
      </a:graphic>
    </graphicFrame>
    <clientData/>
  </oneCellAnchor>
  <oneCellAnchor>
    <from>
      <col>4</col>
      <colOff>0</colOff>
      <row>242</row>
      <rowOff>0</rowOff>
    </from>
    <ext cx="4860000" cy="2376000"/>
    <graphicFrame>
      <nvGraphicFramePr>
        <cNvPr id="11" name="Chart 11"/>
        <cNvGraphicFramePr/>
      </nvGraphicFramePr>
      <xfrm/>
      <a:graphic>
        <a:graphicData uri="http://schemas.openxmlformats.org/drawingml/2006/chart">
          <c:chart r:id="rId11"/>
        </a:graphicData>
      </a:graphic>
    </graphicFrame>
    <clientData/>
  </oneCellAnchor>
  <oneCellAnchor>
    <from>
      <col>4</col>
      <colOff>0</colOff>
      <row>263</row>
      <rowOff>0</rowOff>
    </from>
    <ext cx="4860000" cy="2376000"/>
    <graphicFrame>
      <nvGraphicFramePr>
        <cNvPr id="12" name="Chart 12"/>
        <cNvGraphicFramePr/>
      </nvGraphicFramePr>
      <xfrm/>
      <a:graphic>
        <a:graphicData uri="http://schemas.openxmlformats.org/drawingml/2006/chart">
          <c:chart r:id="rId12"/>
        </a:graphicData>
      </a:graphic>
    </graphicFrame>
    <clientData/>
  </oneCellAnchor>
  <oneCellAnchor>
    <from>
      <col>4</col>
      <colOff>0</colOff>
      <row>284</row>
      <rowOff>0</rowOff>
    </from>
    <ext cx="4860000" cy="2376000"/>
    <graphicFrame>
      <nvGraphicFramePr>
        <cNvPr id="13" name="Chart 13"/>
        <cNvGraphicFramePr/>
      </nvGraphicFramePr>
      <xfrm/>
      <a:graphic>
        <a:graphicData uri="http://schemas.openxmlformats.org/drawingml/2006/chart">
          <c:chart r:id="rId13"/>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4860000" cy="2376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32</row>
      <rowOff>0</rowOff>
    </from>
    <ext cx="4860000" cy="2376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48</row>
      <rowOff>0</rowOff>
    </from>
    <ext cx="4860000" cy="2376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65</row>
      <rowOff>0</rowOff>
    </from>
    <ext cx="4860000" cy="2376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82</row>
      <rowOff>0</rowOff>
    </from>
    <ext cx="4860000" cy="2376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98</row>
      <rowOff>0</rowOff>
    </from>
    <ext cx="4860000" cy="2376000"/>
    <graphicFrame>
      <nvGraphicFramePr>
        <cNvPr id="6" name="Chart 6"/>
        <cNvGraphicFramePr/>
      </nvGraphicFramePr>
      <xfrm/>
      <a:graphic>
        <a:graphicData uri="http://schemas.openxmlformats.org/drawingml/2006/chart">
          <c:chart r:id="rId6"/>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4</row>
      <rowOff>0</rowOff>
    </from>
    <ext cx="9360000" cy="2223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65</row>
      <rowOff>0</rowOff>
    </from>
    <ext cx="720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2908/ENV_AIR_GGE" TargetMode="External" Id="rId1" /><Relationship Type="http://schemas.openxmlformats.org/officeDocument/2006/relationships/hyperlink" Target="https://doi.org/10.2908/NRG_IND_EFF" TargetMode="External" Id="rId2" /><Relationship Type="http://schemas.openxmlformats.org/officeDocument/2006/relationships/hyperlink" Target="https://doi.org/10.2908/NRG_IND_EFF" TargetMode="External" Id="rId3" /><Relationship Type="http://schemas.openxmlformats.org/officeDocument/2006/relationships/hyperlink" Target="https://doi.org/10.2908/NRG_BAL_C" TargetMode="External" Id="rId4" /><Relationship Type="http://schemas.openxmlformats.org/officeDocument/2006/relationships/hyperlink" Target="https://doi.org/10.2908/ENV_AIR_GGE" TargetMode="External" Id="rId5" /><Relationship Type="http://schemas.openxmlformats.org/officeDocument/2006/relationships/hyperlink" Target="https://doi.org/10.2908/NRG_BAL_PEH" TargetMode="External" Id="rId6" /><Relationship Type="http://schemas.openxmlformats.org/officeDocument/2006/relationships/hyperlink" Target="https://doi.org/10.2908/NRG_BAL_PEH" TargetMode="External" Id="rId7" /><Relationship Type="http://schemas.openxmlformats.org/officeDocument/2006/relationships/hyperlink" Target="https://www.eea.europa.eu/en/datahub/datahubitem-view/3b7fe76c-524a-439a-bfd2-a6e4046302a2" TargetMode="External" Id="rId8" /><Relationship Type="http://schemas.openxmlformats.org/officeDocument/2006/relationships/hyperlink" Target="https://doi.org/10.2908/NRG_BAL_C" TargetMode="External" Id="rId9" /><Relationship Type="http://schemas.openxmlformats.org/officeDocument/2006/relationships/hyperlink" Target="https://doi.org/10.2908/ENV_AIR_GGE" TargetMode="External" Id="rId10" /><Relationship Type="http://schemas.openxmlformats.org/officeDocument/2006/relationships/hyperlink" Target="https://doi.org/10.2908/ENV_AIR_GGE" TargetMode="External" Id="rId11" /><Relationship Type="http://schemas.openxmlformats.org/officeDocument/2006/relationships/hyperlink" Target="https://doi.org/10.2908/CEI_SRM030" TargetMode="External" Id="rId12" /><Relationship Type="http://schemas.openxmlformats.org/officeDocument/2006/relationships/hyperlink" Target="https://www.eurofer.eu/publications/brochures-booklets-and-factsheets/european-steel-in-figures-2024" TargetMode="External" Id="rId13" /><Relationship Type="http://schemas.openxmlformats.org/officeDocument/2006/relationships/hyperlink" Target="https://www.cementeurope.eu/about-us/key-facts-figures/" TargetMode="External" Id="rId14" /><Relationship Type="http://schemas.openxmlformats.org/officeDocument/2006/relationships/hyperlink" Target="https://www.eea.europa.eu/en/datahub/datahubitem-view/3b7fe76c-524a-439a-bfd2-a6e4046302a2" TargetMode="External" Id="rId15" /><Relationship Type="http://schemas.openxmlformats.org/officeDocument/2006/relationships/hyperlink" Target="https://doi.org/10.2908/NRG_BAL_C" TargetMode="External" Id="rId16" /><Relationship Type="http://schemas.openxmlformats.org/officeDocument/2006/relationships/hyperlink" Target="https://doi.org/10.2908/NRG_BAL_C" TargetMode="External" Id="rId17" /><Relationship Type="http://schemas.openxmlformats.org/officeDocument/2006/relationships/hyperlink" Target="https://doi.org/10.2908/ENV_AIR_GGE" TargetMode="External" Id="rId18" /><Relationship Type="http://schemas.openxmlformats.org/officeDocument/2006/relationships/hyperlink" Target="https://www.eea.europa.eu/en/datahub/datahubitem-view/3b7fe76c-524a-439a-bfd2-a6e4046302a2" TargetMode="External" Id="rId19" /><Relationship Type="http://schemas.openxmlformats.org/officeDocument/2006/relationships/hyperlink" Target="https://alternative-fuels-observatory.ec.europa.eu/transport-mode/road/european-union-eu27" TargetMode="External" Id="rId20" /><Relationship Type="http://schemas.openxmlformats.org/officeDocument/2006/relationships/hyperlink" Target="https://alternative-fuels-observatory.ec.europa.eu/transport-mode/road/european-union-eu27" TargetMode="External" Id="rId21" /><Relationship Type="http://schemas.openxmlformats.org/officeDocument/2006/relationships/hyperlink" Target="https://doi.org/10.2908/NRG_BAL_S" TargetMode="External" Id="rId22" /><Relationship Type="http://schemas.openxmlformats.org/officeDocument/2006/relationships/hyperlink" Target="https://doi.org/10.2908/ENV_AIR_GGE" TargetMode="External" Id="rId23" /><Relationship Type="http://schemas.openxmlformats.org/officeDocument/2006/relationships/hyperlink" Target="https://doi.org/10.2908/NRG_BAL_C" TargetMode="External" Id="rId24" /><Relationship Type="http://schemas.openxmlformats.org/officeDocument/2006/relationships/hyperlink" Target="https://doi.org/10.2908/NRG_BAL_C" TargetMode="External" Id="rId25" /><Relationship Type="http://schemas.openxmlformats.org/officeDocument/2006/relationships/hyperlink" Target="https://doi.org/10.2908/NRG_BAL_C" TargetMode="External" Id="rId26" /><Relationship Type="http://schemas.openxmlformats.org/officeDocument/2006/relationships/hyperlink" Target="https://ehpa.org/market-data/" TargetMode="External" Id="rId27" /><Relationship Type="http://schemas.openxmlformats.org/officeDocument/2006/relationships/hyperlink" Target="https://doi.org/10.2908/ENV_AIR_GGE" TargetMode="External" Id="rId28" /><Relationship Type="http://schemas.openxmlformats.org/officeDocument/2006/relationships/hyperlink" Target="https://di.unfccc.int/detailed_data_by_party" TargetMode="External" Id="rId29" /><Relationship Type="http://schemas.openxmlformats.org/officeDocument/2006/relationships/hyperlink" Target="https://doi.org/10.2908/ENV_AIR_GGE" TargetMode="External" Id="rId30" /><Relationship Type="http://schemas.openxmlformats.org/officeDocument/2006/relationships/hyperlink" Target="https://di.unfccc.int/detailed_data_by_party" TargetMode="External" Id="rId31" /><Relationship Type="http://schemas.openxmlformats.org/officeDocument/2006/relationships/hyperlink" Target="https://di.unfccc.int/detailed_data_by_party" TargetMode="External" Id="rId32" /><Relationship Type="http://schemas.openxmlformats.org/officeDocument/2006/relationships/hyperlink" Target="https://di.unfccc.int/detailed_data_by_party" TargetMode="External" Id="rId33" /><Relationship Type="http://schemas.openxmlformats.org/officeDocument/2006/relationships/hyperlink" Target="https://doi.org/10.2908/ENV_AIR_GGE" TargetMode="External" Id="rId34" /><Relationship Type="http://schemas.openxmlformats.org/officeDocument/2006/relationships/hyperlink" Target="https://doi.org/10.2908/ENV_AIR_GGE" TargetMode="External" Id="rId35" /><Relationship Type="http://schemas.openxmlformats.org/officeDocument/2006/relationships/hyperlink" Target="https://doi.org/10.2908/NRG_BAL_S" TargetMode="External" Id="rId36" /><Relationship Type="http://schemas.openxmlformats.org/officeDocument/2006/relationships/hyperlink" Target="https://about.bnef.com/" TargetMode="External" Id="rId37" /><Relationship Type="http://schemas.openxmlformats.org/officeDocument/2006/relationships/hyperlink" Target="https://www.eea.europa.eu/en/analysis/maps-and-charts/percentage-of-green-bond-issuances-1" TargetMode="External" Id="rId38" /><Relationship Type="http://schemas.openxmlformats.org/officeDocument/2006/relationships/hyperlink" Target="https://doi.org/10.2908/RD_E_GERDTOT" TargetMode="External" Id="rId39" /><Relationship Type="http://schemas.openxmlformats.org/officeDocument/2006/relationships/hyperlink" Target="https://www.eurofer.eu/publications/brochures-booklets-and-factsheets/european-steel-in-figures-2024" TargetMode="External" Id="rId40" /><Relationship Type="http://schemas.openxmlformats.org/officeDocument/2006/relationships/hyperlink" Target="https://www.eurofer.eu/publications/brochures-booklets-and-factsheets/european-steel-in-figures-2024" TargetMode="External" Id="rId41" /><Relationship Type="http://schemas.openxmlformats.org/officeDocument/2006/relationships/hyperlink" Target="https://www.eurofer.eu/publications/brochures-booklets-and-factsheets/european-steel-in-figures-2024" TargetMode="External" Id="rId42" /><Relationship Type="http://schemas.openxmlformats.org/officeDocument/2006/relationships/hyperlink" Target="https://www.cementeurope.eu/about-us/key-facts-figures/" TargetMode="External" Id="rId43" /><Relationship Type="http://schemas.openxmlformats.org/officeDocument/2006/relationships/hyperlink" Target="https://www.cementeurope.eu/about-us/key-facts-figures/" TargetMode="External" Id="rId44" /><Relationship Type="http://schemas.openxmlformats.org/officeDocument/2006/relationships/hyperlink" Target="https://www.eea.europa.eu/en/datahub/datahubitem-view/3b7fe76c-524a-439a-bfd2-a6e4046302a2" TargetMode="External" Id="rId45" /><Relationship Type="http://schemas.openxmlformats.org/officeDocument/2006/relationships/hyperlink" Target="https://doi.org/10.2908/APRO_MT_PANN" TargetMode="External" Id="rId46" /><Relationship Type="http://schemas.openxmlformats.org/officeDocument/2006/relationships/hyperlink" Target="https://www.eea.europa.eu/en/datahub/datahubitem-view/3b7fe76c-524a-439a-bfd2-a6e4046302a2" TargetMode="External" Id="rId47" /><Relationship Type="http://schemas.openxmlformats.org/officeDocument/2006/relationships/hyperlink" Target="https://www.eea.europa.eu/en/datahub/datahubitem-view/3b7fe76c-524a-439a-bfd2-a6e4046302a2" TargetMode="External" Id="rId48" /><Relationship Type="http://schemas.openxmlformats.org/officeDocument/2006/relationships/hyperlink" Target="https://doi.org/10.2908/APRO_MK_FARM" TargetMode="External" Id="rId49" /><Relationship Type="http://schemas.openxmlformats.org/officeDocument/2006/relationships/hyperlink" Target="https://www.eea.europa.eu/en/datahub/datahubitem-view/3b7fe76c-524a-439a-bfd2-a6e4046302a2" TargetMode="External" Id="rId50" /><Relationship Type="http://schemas.openxmlformats.org/officeDocument/2006/relationships/hyperlink" Target="https://doi.org/10.2908/ENV_AIR_GGE" TargetMode="External" Id="rId51" /><Relationship Type="http://schemas.openxmlformats.org/officeDocument/2006/relationships/hyperlink" Target="https://doi.org/10.2908/APRO_MT_PANN" TargetMode="External" Id="rId52" /><Relationship Type="http://schemas.openxmlformats.org/officeDocument/2006/relationships/hyperlink" Target="https://doi.org/10.2908/ENV_AIR_GGE" TargetMode="External" Id="rId53" /><Relationship Type="http://schemas.openxmlformats.org/officeDocument/2006/relationships/hyperlink" Target="https://doi.org/10.2908/APRO_MT_PANN" TargetMode="External" Id="rId54" /><Relationship Type="http://schemas.openxmlformats.org/officeDocument/2006/relationships/hyperlink" Target="https://di.unfccc.int/detailed_data_by_party" TargetMode="External" Id="rId55" /><Relationship Type="http://schemas.openxmlformats.org/officeDocument/2006/relationships/hyperlink" Target="https://doi.org/10.2908/APRO_MK_FARM" TargetMode="External" Id="rId56" /><Relationship Type="http://schemas.openxmlformats.org/officeDocument/2006/relationships/hyperlink" Target="https://di.unfccc.int/detailed_data_by_party" TargetMode="External" Id="rId57" /><Relationship Type="http://schemas.openxmlformats.org/officeDocument/2006/relationships/hyperlink" Target="https://doi.org/10.2908/APRO_MT_PANN" TargetMode="External" Id="rId58" /><Relationship Type="http://schemas.openxmlformats.org/officeDocument/2006/relationships/hyperlink" Target="https://doi.org/10.2908/APRO_MT_LSPIG" TargetMode="External" Id="rId59" /><Relationship Type="http://schemas.openxmlformats.org/officeDocument/2006/relationships/hyperlink" Target="https://doi.org/10.2908/ENV_WASFW" TargetMode="External" Id="rId60" /><Relationship Type="http://schemas.openxmlformats.org/officeDocument/2006/relationships/hyperlink" Target="https://doi.org/10.2908/DEMO_GIND" TargetMode="External" Id="rId61" /><Relationship Type="http://schemas.openxmlformats.org/officeDocument/2006/relationships/hyperlink" Target="https://doi.org/10.2908/DEMO_GIND" TargetMode="External" Id="rId62" /><Relationship Type="http://schemas.openxmlformats.org/officeDocument/2006/relationships/hyperlink" Target="https://doi.org/10.2908/DEMO_GIND" TargetMode="External" Id="rId63" /><Relationship Type="http://schemas.openxmlformats.org/officeDocument/2006/relationships/hyperlink" Target="https://doi.org/10.2908/DEMO_GIND" TargetMode="External" Id="rId64" /><Relationship Type="http://schemas.openxmlformats.org/officeDocument/2006/relationships/hyperlink" Target="https://doi.org/10.2908/DEMO_GIND" TargetMode="External" Id="rId65" /><Relationship Type="http://schemas.openxmlformats.org/officeDocument/2006/relationships/hyperlink" Target="https://di.unfccc.int/detailed_data_by_party" TargetMode="External" Id="rId66" /><Relationship Type="http://schemas.openxmlformats.org/officeDocument/2006/relationships/hyperlink" Target="https://di.unfccc.int/detailed_data_by_party" TargetMode="External" Id="rId67" /><Relationship Type="http://schemas.openxmlformats.org/officeDocument/2006/relationships/hyperlink" Target="https://di.unfccc.int/detailed_data_by_party" TargetMode="External" Id="rId68" /><Relationship Type="http://schemas.openxmlformats.org/officeDocument/2006/relationships/hyperlink" Target="https://di.unfccc.int/detailed_data_by_party" TargetMode="External" Id="rId69" /><Relationship Type="http://schemas.openxmlformats.org/officeDocument/2006/relationships/hyperlink" Target="https://di.unfccc.int/detailed_data_by_party" TargetMode="External" Id="rId70" /><Relationship Type="http://schemas.openxmlformats.org/officeDocument/2006/relationships/hyperlink" Target="https://di.unfccc.int/detailed_data_by_party" TargetMode="External" Id="rId71" /><Relationship Type="http://schemas.openxmlformats.org/officeDocument/2006/relationships/hyperlink" Target="https://www.cementeurope.eu/about-us/key-facts-figures/" TargetMode="External" Id="rId72" /><Relationship Type="http://schemas.openxmlformats.org/officeDocument/2006/relationships/hyperlink" Target="https://lowcarboneconomy.cembureau.eu/" TargetMode="External" Id="rId73" /><Relationship Type="http://schemas.openxmlformats.org/officeDocument/2006/relationships/drawing" Target="/xl/drawings/drawing1.xml" Id="rId74"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_rels/sheet11.xml.rels><Relationships xmlns="http://schemas.openxmlformats.org/package/2006/relationships"><Relationship Type="http://schemas.openxmlformats.org/officeDocument/2006/relationships/drawing" Target="/xl/drawings/drawing10.xml" Id="rId1" /></Relationships>
</file>

<file path=xl/worksheets/_rels/sheet13.xml.rels><Relationships xmlns="http://schemas.openxmlformats.org/package/2006/relationships"><Relationship Type="http://schemas.openxmlformats.org/officeDocument/2006/relationships/hyperlink" Target="https://doi.org/10.2908/ENV_AIR_GGE" TargetMode="External" Id="rId1" /><Relationship Type="http://schemas.openxmlformats.org/officeDocument/2006/relationships/hyperlink" Target="https://doi.org/10.2908/ENV_AIR_GGE" TargetMode="External" Id="rId2" /><Relationship Type="http://schemas.openxmlformats.org/officeDocument/2006/relationships/hyperlink" Target="https://doi.org/10.2908/ENV_AIR_GGE" TargetMode="External" Id="rId3" /><Relationship Type="http://schemas.openxmlformats.org/officeDocument/2006/relationships/hyperlink" Target="https://doi.org/10.2908/ENV_AIR_GGE" TargetMode="External" Id="rId4" /><Relationship Type="http://schemas.openxmlformats.org/officeDocument/2006/relationships/hyperlink" Target="https://doi.org/10.2908/ENV_AIR_GGE" TargetMode="External" Id="rId5" /><Relationship Type="http://schemas.openxmlformats.org/officeDocument/2006/relationships/hyperlink" Target="https://doi.org/10.2908/ENV_AIR_GGE" TargetMode="External" Id="rId6" /><Relationship Type="http://schemas.openxmlformats.org/officeDocument/2006/relationships/hyperlink" Target="https://doi.org/10.2908/NRG_IND_EFF" TargetMode="External" Id="rId7" /><Relationship Type="http://schemas.openxmlformats.org/officeDocument/2006/relationships/hyperlink" Target="https://doi.org/10.2908/NRG_IND_EFF" TargetMode="External" Id="rId8" /><Relationship Type="http://schemas.openxmlformats.org/officeDocument/2006/relationships/hyperlink" Target="https://doi.org/10.2908/NRG_IND_EFF" TargetMode="External" Id="rId9" /><Relationship Type="http://schemas.openxmlformats.org/officeDocument/2006/relationships/hyperlink" Target="https://doi.org/10.2908/NRG_IND_EFF" TargetMode="External" Id="rId10" /><Relationship Type="http://schemas.openxmlformats.org/officeDocument/2006/relationships/hyperlink" Target="https://doi.org/10.2908/NRG_IND_EFF" TargetMode="External" Id="rId11" /><Relationship Type="http://schemas.openxmlformats.org/officeDocument/2006/relationships/hyperlink" Target="https://doi.org/10.2908/NRG_IND_EFF" TargetMode="External" Id="rId12" /><Relationship Type="http://schemas.openxmlformats.org/officeDocument/2006/relationships/hyperlink" Target="https://doi.org/10.2908/NRG_BAL_C" TargetMode="External" Id="rId13" /><Relationship Type="http://schemas.openxmlformats.org/officeDocument/2006/relationships/hyperlink" Target="https://doi.org/10.2908/NRG_BAL_C" TargetMode="External" Id="rId14" /><Relationship Type="http://schemas.openxmlformats.org/officeDocument/2006/relationships/hyperlink" Target="https://doi.org/10.2908/NRG_BAL_C" TargetMode="External" Id="rId15" /><Relationship Type="http://schemas.openxmlformats.org/officeDocument/2006/relationships/hyperlink" Target="https://doi.org/10.2908/ENV_AIR_GGE" TargetMode="External" Id="rId16" /><Relationship Type="http://schemas.openxmlformats.org/officeDocument/2006/relationships/hyperlink" Target="https://doi.org/10.2908/ENV_AIR_GGE" TargetMode="External" Id="rId17" /><Relationship Type="http://schemas.openxmlformats.org/officeDocument/2006/relationships/hyperlink" Target="https://doi.org/10.2908/ENV_AIR_GGE" TargetMode="External" Id="rId18" /><Relationship Type="http://schemas.openxmlformats.org/officeDocument/2006/relationships/hyperlink" Target="https://doi.org/10.2908/ENV_AIR_GGE" TargetMode="External" Id="rId19" /><Relationship Type="http://schemas.openxmlformats.org/officeDocument/2006/relationships/hyperlink" Target="https://doi.org/10.2908/NRG_BAL_PEH" TargetMode="External" Id="rId20" /><Relationship Type="http://schemas.openxmlformats.org/officeDocument/2006/relationships/hyperlink" Target="https://doi.org/10.2908/NRG_BAL_PEH" TargetMode="External" Id="rId21" /><Relationship Type="http://schemas.openxmlformats.org/officeDocument/2006/relationships/hyperlink" Target="https://doi.org/10.2908/NRG_BAL_PEH" TargetMode="External" Id="rId22" /><Relationship Type="http://schemas.openxmlformats.org/officeDocument/2006/relationships/hyperlink" Target="https://doi.org/10.2908/NRG_BAL_PEH" TargetMode="External" Id="rId23" /><Relationship Type="http://schemas.openxmlformats.org/officeDocument/2006/relationships/hyperlink" Target="https://doi.org/10.2908/NRG_BAL_PEH" TargetMode="External" Id="rId24" /><Relationship Type="http://schemas.openxmlformats.org/officeDocument/2006/relationships/hyperlink" Target="https://doi.org/10.2908/NRG_BAL_PEH" TargetMode="External" Id="rId25" /><Relationship Type="http://schemas.openxmlformats.org/officeDocument/2006/relationships/hyperlink" Target="https://doi.org/10.2908/NRG_BAL_PEH" TargetMode="External" Id="rId26" /><Relationship Type="http://schemas.openxmlformats.org/officeDocument/2006/relationships/hyperlink" Target="https://doi.org/10.2908/NRG_BAL_PEH" TargetMode="External" Id="rId27" /><Relationship Type="http://schemas.openxmlformats.org/officeDocument/2006/relationships/hyperlink" Target="https://doi.org/10.2908/NRG_BAL_PEH" TargetMode="External" Id="rId28" /><Relationship Type="http://schemas.openxmlformats.org/officeDocument/2006/relationships/hyperlink" Target="https://doi.org/10.2908/NRG_BAL_PEH" TargetMode="External" Id="rId29" /><Relationship Type="http://schemas.openxmlformats.org/officeDocument/2006/relationships/hyperlink" Target="https://doi.org/10.2908/NRG_BAL_PEH" TargetMode="External" Id="rId30" /><Relationship Type="http://schemas.openxmlformats.org/officeDocument/2006/relationships/hyperlink" Target="https://doi.org/10.2908/NRG_BAL_PEH" TargetMode="External" Id="rId31" /><Relationship Type="http://schemas.openxmlformats.org/officeDocument/2006/relationships/hyperlink" Target="https://doi.org/10.2908/NRG_BAL_PEH" TargetMode="External" Id="rId32" /><Relationship Type="http://schemas.openxmlformats.org/officeDocument/2006/relationships/hyperlink" Target="https://doi.org/10.2908/NRG_BAL_PEH" TargetMode="External" Id="rId33" /><Relationship Type="http://schemas.openxmlformats.org/officeDocument/2006/relationships/hyperlink" Target="https://doi.org/10.2908/NRG_BAL_PEH" TargetMode="External" Id="rId34" /><Relationship Type="http://schemas.openxmlformats.org/officeDocument/2006/relationships/hyperlink" Target="https://doi.org/10.2908/NRG_BAL_PEH" TargetMode="External" Id="rId35" /><Relationship Type="http://schemas.openxmlformats.org/officeDocument/2006/relationships/hyperlink" Target="https://doi.org/10.2908/ENV_AIR_GGE" TargetMode="External" Id="rId36" /><Relationship Type="http://schemas.openxmlformats.org/officeDocument/2006/relationships/hyperlink" Target="https://doi.org/10.2908/NRG_BAL_PEH" TargetMode="External" Id="rId37" /><Relationship Type="http://schemas.openxmlformats.org/officeDocument/2006/relationships/hyperlink" Target="https://doi.org/10.2908/ENV_AIR_GGE" TargetMode="External" Id="rId38" /><Relationship Type="http://schemas.openxmlformats.org/officeDocument/2006/relationships/hyperlink" Target="https://doi.org/10.2908/ENV_AIR_GGE" TargetMode="External" Id="rId39" /><Relationship Type="http://schemas.openxmlformats.org/officeDocument/2006/relationships/hyperlink" Target="https://doi.org/10.2908/NRG_BAL_PEH" TargetMode="External" Id="rId40" /><Relationship Type="http://schemas.openxmlformats.org/officeDocument/2006/relationships/hyperlink" Target="https://doi.org/10.2908/ENV_AIR_GGE" TargetMode="External" Id="rId41" /><Relationship Type="http://schemas.openxmlformats.org/officeDocument/2006/relationships/hyperlink" Target="https://www.solarpowereurope.org/insights/outlooks/eu-market-outlook-for-solar-power-2024-2028" TargetMode="External" Id="rId42" /><Relationship Type="http://schemas.openxmlformats.org/officeDocument/2006/relationships/hyperlink" Target="https://www.solarpowereurope.org/insights/outlooks/eu-market-outlook-for-solar-power-2024-2028" TargetMode="External" Id="rId43" /><Relationship Type="http://schemas.openxmlformats.org/officeDocument/2006/relationships/hyperlink" Target="https://windeurope.org/intelligence-platform/product/wind-energy-in-europe-2024-statistics-and-the-outlook-for-2025-2030/" TargetMode="External" Id="rId44" /><Relationship Type="http://schemas.openxmlformats.org/officeDocument/2006/relationships/hyperlink" Target="https://windeurope.org/intelligence-platform/product/wind-energy-in-europe-2024-statistics-and-the-outlook-for-2025-2030/" TargetMode="External" Id="rId45" /><Relationship Type="http://schemas.openxmlformats.org/officeDocument/2006/relationships/hyperlink" Target="https://doi.org/10.2908/NRG_BAL_C" TargetMode="External" Id="rId46" /><Relationship Type="http://schemas.openxmlformats.org/officeDocument/2006/relationships/hyperlink" Target="https://doi.org/10.2908/NRG_BAL_C" TargetMode="External" Id="rId47" /><Relationship Type="http://schemas.openxmlformats.org/officeDocument/2006/relationships/hyperlink" Target="https://doi.org/10.2908/NRG_BAL_C" TargetMode="External" Id="rId48" /><Relationship Type="http://schemas.openxmlformats.org/officeDocument/2006/relationships/hyperlink" Target="https://doi.org/10.2908/ENV_AIR_GGE" TargetMode="External" Id="rId49" /><Relationship Type="http://schemas.openxmlformats.org/officeDocument/2006/relationships/hyperlink" Target="https://doi.org/10.2908/ENV_AIR_GGE" TargetMode="External" Id="rId50" /><Relationship Type="http://schemas.openxmlformats.org/officeDocument/2006/relationships/hyperlink" Target="https://doi.org/10.2908/ENV_AIR_GGE" TargetMode="External" Id="rId51" /><Relationship Type="http://schemas.openxmlformats.org/officeDocument/2006/relationships/hyperlink" Target="https://doi.org/10.2908/ENV_AIR_GGE" TargetMode="External" Id="rId52" /><Relationship Type="http://schemas.openxmlformats.org/officeDocument/2006/relationships/hyperlink" Target="https://doi.org/10.2908/ENV_AIR_GGE" TargetMode="External" Id="rId53" /><Relationship Type="http://schemas.openxmlformats.org/officeDocument/2006/relationships/hyperlink" Target="https://doi.org/10.2908/ENV_AIR_GGE" TargetMode="External" Id="rId54" /><Relationship Type="http://schemas.openxmlformats.org/officeDocument/2006/relationships/hyperlink" Target="https://doi.org/10.2908/ENV_AIR_GGE" TargetMode="External" Id="rId55" /><Relationship Type="http://schemas.openxmlformats.org/officeDocument/2006/relationships/hyperlink" Target="https://doi.org/10.2908/ENV_AIR_GGE" TargetMode="External" Id="rId56" /><Relationship Type="http://schemas.openxmlformats.org/officeDocument/2006/relationships/hyperlink" Target="https://doi.org/10.2908/ENV_AIR_GGE" TargetMode="External" Id="rId57" /><Relationship Type="http://schemas.openxmlformats.org/officeDocument/2006/relationships/hyperlink" Target="https://doi.org/10.2908/ENV_AIR_GGE" TargetMode="External" Id="rId58" /><Relationship Type="http://schemas.openxmlformats.org/officeDocument/2006/relationships/hyperlink" Target="https://doi.org/10.2908/CEI_SRM030" TargetMode="External" Id="rId59" /><Relationship Type="http://schemas.openxmlformats.org/officeDocument/2006/relationships/hyperlink" Target="https://doi.org/10.2908/CEI_SRM030" TargetMode="External" Id="rId60" /><Relationship Type="http://schemas.openxmlformats.org/officeDocument/2006/relationships/hyperlink" Target="https://doi.org/10.2908/CEI_SRM030" TargetMode="External" Id="rId61" /><Relationship Type="http://schemas.openxmlformats.org/officeDocument/2006/relationships/hyperlink" Target="https://doi.org/10.2908/NRG_BAL_C" TargetMode="External" Id="rId62" /><Relationship Type="http://schemas.openxmlformats.org/officeDocument/2006/relationships/hyperlink" Target="https://doi.org/10.2908/NRG_BAL_C" TargetMode="External" Id="rId63" /><Relationship Type="http://schemas.openxmlformats.org/officeDocument/2006/relationships/hyperlink" Target="https://doi.org/10.2908/NRG_BAL_C" TargetMode="External" Id="rId64" /><Relationship Type="http://schemas.openxmlformats.org/officeDocument/2006/relationships/hyperlink" Target="https://doi.org/10.2908/ENV_AIR_GGE" TargetMode="External" Id="rId65" /><Relationship Type="http://schemas.openxmlformats.org/officeDocument/2006/relationships/hyperlink" Target="https://doi.org/10.2908/ENV_AIR_GGE" TargetMode="External" Id="rId66" /><Relationship Type="http://schemas.openxmlformats.org/officeDocument/2006/relationships/hyperlink" Target="https://doi.org/10.2908/ENV_AIR_GGE" TargetMode="External" Id="rId67" /><Relationship Type="http://schemas.openxmlformats.org/officeDocument/2006/relationships/hyperlink" Target="https://doi.org/10.2908/ENV_AIR_GGE" TargetMode="External" Id="rId68" /><Relationship Type="http://schemas.openxmlformats.org/officeDocument/2006/relationships/hyperlink" Target="https://www.eea.europa.eu/en/datahub/datahubitem-view/3b7fe76c-524a-439a-bfd2-a6e4046302a2" TargetMode="External" Id="rId69" /><Relationship Type="http://schemas.openxmlformats.org/officeDocument/2006/relationships/hyperlink" Target="https://www.eea.europa.eu/en/datahub/datahubitem-view/3b7fe76c-524a-439a-bfd2-a6e4046302a2" TargetMode="External" Id="rId70" /><Relationship Type="http://schemas.openxmlformats.org/officeDocument/2006/relationships/hyperlink" Target="https://www.eea.europa.eu/en/datahub/datahubitem-view/3b7fe76c-524a-439a-bfd2-a6e4046302a2" TargetMode="External" Id="rId71" /><Relationship Type="http://schemas.openxmlformats.org/officeDocument/2006/relationships/hyperlink" Target="https://alternative-fuels-observatory.ec.europa.eu/transport-mode/road/european-union-eu27" TargetMode="External" Id="rId72" /><Relationship Type="http://schemas.openxmlformats.org/officeDocument/2006/relationships/hyperlink" Target="https://alternative-fuels-observatory.ec.europa.eu/transport-mode/road/european-union-eu27" TargetMode="External" Id="rId73" /><Relationship Type="http://schemas.openxmlformats.org/officeDocument/2006/relationships/hyperlink" Target="https://alternative-fuels-observatory.ec.europa.eu/transport-mode/road/european-union-eu27" TargetMode="External" Id="rId74" /><Relationship Type="http://schemas.openxmlformats.org/officeDocument/2006/relationships/hyperlink" Target="https://alternative-fuels-observatory.ec.europa.eu/transport-mode/road/european-union-eu27" TargetMode="External" Id="rId75" /><Relationship Type="http://schemas.openxmlformats.org/officeDocument/2006/relationships/hyperlink" Target="https://alternative-fuels-observatory.ec.europa.eu/transport-mode/road/european-union-eu27" TargetMode="External" Id="rId76" /><Relationship Type="http://schemas.openxmlformats.org/officeDocument/2006/relationships/hyperlink" Target="https://doi.org/10.2908/NRG_BAL_S" TargetMode="External" Id="rId77" /><Relationship Type="http://schemas.openxmlformats.org/officeDocument/2006/relationships/hyperlink" Target="https://doi.org/10.2908/NRG_BAL_S" TargetMode="External" Id="rId78" /><Relationship Type="http://schemas.openxmlformats.org/officeDocument/2006/relationships/hyperlink" Target="https://doi.org/10.2908/NRG_BAL_S" TargetMode="External" Id="rId79" /><Relationship Type="http://schemas.openxmlformats.org/officeDocument/2006/relationships/hyperlink" Target="https://doi.org/10.2908/NRG_BAL_S" TargetMode="External" Id="rId80" /><Relationship Type="http://schemas.openxmlformats.org/officeDocument/2006/relationships/hyperlink" Target="https://doi.org/10.2908/NRG_BAL_S" TargetMode="External" Id="rId81" /><Relationship Type="http://schemas.openxmlformats.org/officeDocument/2006/relationships/hyperlink" Target="https://doi.org/10.2908/NRG_BAL_S" TargetMode="External" Id="rId82" /><Relationship Type="http://schemas.openxmlformats.org/officeDocument/2006/relationships/hyperlink" Target="https://doi.org/10.2908/NRG_BAL_S" TargetMode="External" Id="rId83" /><Relationship Type="http://schemas.openxmlformats.org/officeDocument/2006/relationships/hyperlink" Target="https://doi.org/10.2908/NRG_BAL_S" TargetMode="External" Id="rId84" /><Relationship Type="http://schemas.openxmlformats.org/officeDocument/2006/relationships/hyperlink" Target="https://doi.org/10.2908/NRG_BAL_S" TargetMode="External" Id="rId85" /><Relationship Type="http://schemas.openxmlformats.org/officeDocument/2006/relationships/hyperlink" Target="https://doi.org/10.2908/NRG_BAL_S" TargetMode="External" Id="rId86" /><Relationship Type="http://schemas.openxmlformats.org/officeDocument/2006/relationships/hyperlink" Target="https://doi.org/10.2908/NRG_BAL_S" TargetMode="External" Id="rId87" /><Relationship Type="http://schemas.openxmlformats.org/officeDocument/2006/relationships/hyperlink" Target="https://doi.org/10.2908/NRG_BAL_S" TargetMode="External" Id="rId88" /><Relationship Type="http://schemas.openxmlformats.org/officeDocument/2006/relationships/hyperlink" Target="https://doi.org/10.2908/NRG_BAL_S" TargetMode="External" Id="rId89" /><Relationship Type="http://schemas.openxmlformats.org/officeDocument/2006/relationships/hyperlink" Target="https://doi.org/10.2908/NRG_BAL_S" TargetMode="External" Id="rId90" /><Relationship Type="http://schemas.openxmlformats.org/officeDocument/2006/relationships/hyperlink" Target="https://doi.org/10.2908/NRG_BAL_S" TargetMode="External" Id="rId91" /><Relationship Type="http://schemas.openxmlformats.org/officeDocument/2006/relationships/hyperlink" Target="https://doi.org/10.2908/ENV_AIR_GGE" TargetMode="External" Id="rId92" /><Relationship Type="http://schemas.openxmlformats.org/officeDocument/2006/relationships/hyperlink" Target="https://doi.org/10.2908/ENV_AIR_GGE" TargetMode="External" Id="rId93" /><Relationship Type="http://schemas.openxmlformats.org/officeDocument/2006/relationships/hyperlink" Target="https://doi.org/10.2908/NRG_BAL_C" TargetMode="External" Id="rId94" /><Relationship Type="http://schemas.openxmlformats.org/officeDocument/2006/relationships/hyperlink" Target="https://doi.org/10.2908/NRG_BAL_C" TargetMode="External" Id="rId95" /><Relationship Type="http://schemas.openxmlformats.org/officeDocument/2006/relationships/hyperlink" Target="https://doi.org/10.2908/NRG_BAL_C" TargetMode="External" Id="rId96" /><Relationship Type="http://schemas.openxmlformats.org/officeDocument/2006/relationships/hyperlink" Target="https://doi.org/10.2908/NRG_BAL_C" TargetMode="External" Id="rId97" /><Relationship Type="http://schemas.openxmlformats.org/officeDocument/2006/relationships/hyperlink" Target="https://ehpa.org/market-data/" TargetMode="External" Id="rId98" /><Relationship Type="http://schemas.openxmlformats.org/officeDocument/2006/relationships/hyperlink" Target="https://ehpa.org/market-data/" TargetMode="External" Id="rId99" /><Relationship Type="http://schemas.openxmlformats.org/officeDocument/2006/relationships/hyperlink" Target="https://doi.org/10.2908/ENV_AIR_GGE" TargetMode="External" Id="rId100" /><Relationship Type="http://schemas.openxmlformats.org/officeDocument/2006/relationships/hyperlink" Target="https://doi.org/10.2908/ENV_AIR_GGE" TargetMode="External" Id="rId101" /><Relationship Type="http://schemas.openxmlformats.org/officeDocument/2006/relationships/hyperlink" Target="https://doi.org/10.2908/ENV_AIR_GGE" TargetMode="External" Id="rId102" /><Relationship Type="http://schemas.openxmlformats.org/officeDocument/2006/relationships/hyperlink" Target="https://doi.org/10.2908/ENV_AIR_GGE" TargetMode="External" Id="rId103" /><Relationship Type="http://schemas.openxmlformats.org/officeDocument/2006/relationships/hyperlink" Target="https://doi.org/10.2908/ENV_AIR_GGE" TargetMode="External" Id="rId104" /><Relationship Type="http://schemas.openxmlformats.org/officeDocument/2006/relationships/hyperlink" Target="https://doi.org/10.2908/ENV_AIR_GGE" TargetMode="External" Id="rId105" /><Relationship Type="http://schemas.openxmlformats.org/officeDocument/2006/relationships/hyperlink" Target="https://doi.org/10.2908/ENV_AIR_GGE" TargetMode="External" Id="rId106" /><Relationship Type="http://schemas.openxmlformats.org/officeDocument/2006/relationships/hyperlink" Target="https://doi.org/10.2908/ENV_AIR_GGE" TargetMode="External" Id="rId107" /><Relationship Type="http://schemas.openxmlformats.org/officeDocument/2006/relationships/hyperlink" Target="https://doi.org/10.2908/ENV_AIR_GGE" TargetMode="External" Id="rId108" /><Relationship Type="http://schemas.openxmlformats.org/officeDocument/2006/relationships/hyperlink" Target="https://doi.org/10.2908/ENV_AIR_GGE" TargetMode="External" Id="rId109" /><Relationship Type="http://schemas.openxmlformats.org/officeDocument/2006/relationships/hyperlink" Target="https://doi.org/10.2908/ENV_AIR_GGE" TargetMode="External" Id="rId110" /><Relationship Type="http://schemas.openxmlformats.org/officeDocument/2006/relationships/hyperlink" Target="https://doi.org/10.2908/ENV_AIR_GGE" TargetMode="External" Id="rId111" /><Relationship Type="http://schemas.openxmlformats.org/officeDocument/2006/relationships/hyperlink" Target="https://doi.org/10.2908/ENV_AIR_GGE" TargetMode="External" Id="rId112" /><Relationship Type="http://schemas.openxmlformats.org/officeDocument/2006/relationships/hyperlink" Target="https://doi.org/10.2908/ENV_AIR_GGE" TargetMode="External" Id="rId113" /><Relationship Type="http://schemas.openxmlformats.org/officeDocument/2006/relationships/hyperlink" Target="https://doi.org/10.2908/ENV_AIR_GGE" TargetMode="External" Id="rId114" /><Relationship Type="http://schemas.openxmlformats.org/officeDocument/2006/relationships/hyperlink" Target="https://doi.org/10.2908/ENV_AIR_GGE" TargetMode="External" Id="rId115" /><Relationship Type="http://schemas.openxmlformats.org/officeDocument/2006/relationships/hyperlink" Target="https://doi.org/10.2908/ENV_AIR_GGE" TargetMode="External" Id="rId116" /><Relationship Type="http://schemas.openxmlformats.org/officeDocument/2006/relationships/hyperlink" Target="https://doi.org/10.2908/ENV_AIR_GGE" TargetMode="External" Id="rId117" /><Relationship Type="http://schemas.openxmlformats.org/officeDocument/2006/relationships/hyperlink" Target="https://doi.org/10.2908/ENV_AIR_GGE" TargetMode="External" Id="rId118" /><Relationship Type="http://schemas.openxmlformats.org/officeDocument/2006/relationships/hyperlink" Target="https://doi.org/10.2908/ENV_AIR_GGE" TargetMode="External" Id="rId119" /><Relationship Type="http://schemas.openxmlformats.org/officeDocument/2006/relationships/hyperlink" Target="https://doi.org/10.2908/ENV_AIR_GGE" TargetMode="External" Id="rId120" /><Relationship Type="http://schemas.openxmlformats.org/officeDocument/2006/relationships/hyperlink" Target="https://doi.org/10.2908/ENV_AIR_GGE" TargetMode="External" Id="rId121" /><Relationship Type="http://schemas.openxmlformats.org/officeDocument/2006/relationships/hyperlink" Target="https://doi.org/10.2908/ENV_AIR_GGE" TargetMode="External" Id="rId122" /><Relationship Type="http://schemas.openxmlformats.org/officeDocument/2006/relationships/hyperlink" Target="https://doi.org/10.2908/ENV_AIR_GGE" TargetMode="External" Id="rId123" /><Relationship Type="http://schemas.openxmlformats.org/officeDocument/2006/relationships/hyperlink" Target="https://doi.org/10.2908/ENV_AIR_GGE" TargetMode="External" Id="rId124" /><Relationship Type="http://schemas.openxmlformats.org/officeDocument/2006/relationships/hyperlink" Target="https://doi.org/10.2908/ENV_AIR_GGE" TargetMode="External" Id="rId125" /><Relationship Type="http://schemas.openxmlformats.org/officeDocument/2006/relationships/hyperlink" Target="https://doi.org/10.2908/ENV_AIR_GGE" TargetMode="External" Id="rId126" /><Relationship Type="http://schemas.openxmlformats.org/officeDocument/2006/relationships/hyperlink" Target="https://doi.org/10.2908/ENV_AIR_GGE" TargetMode="External" Id="rId127" /><Relationship Type="http://schemas.openxmlformats.org/officeDocument/2006/relationships/hyperlink" Target="https://doi.org/10.2908/ENV_AIR_GGE" TargetMode="External" Id="rId128" /><Relationship Type="http://schemas.openxmlformats.org/officeDocument/2006/relationships/hyperlink" Target="https://doi.org/10.2908/NRG_BAL_C" TargetMode="External" Id="rId129" /><Relationship Type="http://schemas.openxmlformats.org/officeDocument/2006/relationships/hyperlink" Target="https://doi.org/10.2908/NRG_BAL_C" TargetMode="External" Id="rId130" /><Relationship Type="http://schemas.openxmlformats.org/officeDocument/2006/relationships/hyperlink" Target="https://doi.org/10.2908/NRG_BAL_C" TargetMode="External" Id="rId131" /><Relationship Type="http://schemas.openxmlformats.org/officeDocument/2006/relationships/hyperlink" Target="https://www.eea.europa.eu/en/analysis/maps-and-charts/percentage-of-green-bond-issuances-1" TargetMode="External" Id="rId132" /><Relationship Type="http://schemas.openxmlformats.org/officeDocument/2006/relationships/hyperlink" Target="https://www.eea.europa.eu/en/analysis/maps-and-charts/percentage-of-green-bond-issuances-1" TargetMode="External" Id="rId133" /><Relationship Type="http://schemas.openxmlformats.org/officeDocument/2006/relationships/hyperlink" Target="https://doi.org/10.2908/RD_E_GERDTOT" TargetMode="External" Id="rId134" /><Relationship Type="http://schemas.openxmlformats.org/officeDocument/2006/relationships/hyperlink" Target="https://doi.org/10.2908/RD_E_GERDTOT" TargetMode="External" Id="rId135" /><Relationship Type="http://schemas.openxmlformats.org/officeDocument/2006/relationships/hyperlink" Target="https://www.eurofer.eu/publications/brochures-booklets-and-factsheets/european-steel-in-figures-2024" TargetMode="External" Id="rId136" /><Relationship Type="http://schemas.openxmlformats.org/officeDocument/2006/relationships/hyperlink" Target="https://www.eurofer.eu/publications/brochures-booklets-and-factsheets/european-steel-in-figures-2024" TargetMode="External" Id="rId137" /><Relationship Type="http://schemas.openxmlformats.org/officeDocument/2006/relationships/hyperlink" Target="https://www.eurofer.eu/publications/brochures-booklets-and-factsheets/european-steel-in-figures-2024" TargetMode="External" Id="rId138" /><Relationship Type="http://schemas.openxmlformats.org/officeDocument/2006/relationships/hyperlink" Target="https://www.eurofer.eu/publications/brochures-booklets-and-factsheets/european-steel-in-figures-2024" TargetMode="External" Id="rId139" /><Relationship Type="http://schemas.openxmlformats.org/officeDocument/2006/relationships/hyperlink" Target="https://doi.org/10.2908/STS_INPR_A" TargetMode="External" Id="rId140" /><Relationship Type="http://schemas.openxmlformats.org/officeDocument/2006/relationships/hyperlink" Target="https://doi.org/10.2908/STS_INPR_A" TargetMode="External" Id="rId141" /><Relationship Type="http://schemas.openxmlformats.org/officeDocument/2006/relationships/hyperlink" Target="https://doi.org/10.2908/STS_INPR_A" TargetMode="External" Id="rId142" /><Relationship Type="http://schemas.openxmlformats.org/officeDocument/2006/relationships/hyperlink" Target="https://doi.org/10.2908/STS_INPR_A" TargetMode="External" Id="rId143" /><Relationship Type="http://schemas.openxmlformats.org/officeDocument/2006/relationships/hyperlink" Target="https://doi.org/10.2908/STS_INPR_A" TargetMode="External" Id="rId144" /><Relationship Type="http://schemas.openxmlformats.org/officeDocument/2006/relationships/hyperlink" Target="https://doi.org/10.2908/STS_INPR_A" TargetMode="External" Id="rId145" /><Relationship Type="http://schemas.openxmlformats.org/officeDocument/2006/relationships/hyperlink" Target="https://www.cementeurope.eu/about-us/key-facts-figures/" TargetMode="External" Id="rId146" /><Relationship Type="http://schemas.openxmlformats.org/officeDocument/2006/relationships/hyperlink" Target="https://doi.org/10.2908/STS_INPR_A" TargetMode="External" Id="rId147" /><Relationship Type="http://schemas.openxmlformats.org/officeDocument/2006/relationships/hyperlink" Target="https://doi.org/10.2908/STS_INPR_A" TargetMode="External" Id="rId148" /><Relationship Type="http://schemas.openxmlformats.org/officeDocument/2006/relationships/hyperlink" Target="https://doi.org/10.2908/STS_INPR_A" TargetMode="External" Id="rId149" /><Relationship Type="http://schemas.openxmlformats.org/officeDocument/2006/relationships/hyperlink" Target="https://doi.org/10.2908/STS_INPR_A" TargetMode="External" Id="rId150" /><Relationship Type="http://schemas.openxmlformats.org/officeDocument/2006/relationships/hyperlink" Target="https://doi.org/10.2908/STS_INPR_A" TargetMode="External" Id="rId151" /><Relationship Type="http://schemas.openxmlformats.org/officeDocument/2006/relationships/hyperlink" Target="https://doi.org/10.2908/STS_INPR_A" TargetMode="External" Id="rId152" /><Relationship Type="http://schemas.openxmlformats.org/officeDocument/2006/relationships/hyperlink" Target="https://doi.org/10.2908/STS_INPR_A" TargetMode="External" Id="rId153" /><Relationship Type="http://schemas.openxmlformats.org/officeDocument/2006/relationships/hyperlink" Target="https://doi.org/10.2908/STS_INPR_A" TargetMode="External" Id="rId154" /><Relationship Type="http://schemas.openxmlformats.org/officeDocument/2006/relationships/hyperlink" Target="https://doi.org/10.2908/APRO_MT_PANN" TargetMode="External" Id="rId155" /><Relationship Type="http://schemas.openxmlformats.org/officeDocument/2006/relationships/hyperlink" Target="https://doi.org/10.2908/APRO_MT_PANN" TargetMode="External" Id="rId156" /><Relationship Type="http://schemas.openxmlformats.org/officeDocument/2006/relationships/hyperlink" Target="https://doi.org/10.2908/APRO_MT_PANN" TargetMode="External" Id="rId157" /><Relationship Type="http://schemas.openxmlformats.org/officeDocument/2006/relationships/hyperlink" Target="https://doi.org/10.2908/APRO_MT_PANN" TargetMode="External" Id="rId158" /><Relationship Type="http://schemas.openxmlformats.org/officeDocument/2006/relationships/hyperlink" Target="https://doi.org/10.2908/APRO_MT_PANN" TargetMode="External" Id="rId159" /><Relationship Type="http://schemas.openxmlformats.org/officeDocument/2006/relationships/hyperlink" Target="https://doi.org/10.2908/APRO_MK_FARM" TargetMode="External" Id="rId160" /><Relationship Type="http://schemas.openxmlformats.org/officeDocument/2006/relationships/hyperlink" Target="https://doi.org/10.2908/APRO_MK_FARM" TargetMode="External" Id="rId161" /><Relationship Type="http://schemas.openxmlformats.org/officeDocument/2006/relationships/hyperlink" Target="https://doi.org/10.2908/APRO_MK_FARM" TargetMode="External" Id="rId162" /><Relationship Type="http://schemas.openxmlformats.org/officeDocument/2006/relationships/hyperlink" Target="https://doi.org/10.2908/APRO_MK_FARM" TargetMode="External" Id="rId163" /><Relationship Type="http://schemas.openxmlformats.org/officeDocument/2006/relationships/hyperlink" Target="https://doi.org/10.2908/APRO_MK_FARM" TargetMode="External" Id="rId164" /><Relationship Type="http://schemas.openxmlformats.org/officeDocument/2006/relationships/hyperlink" Target="https://doi.org/10.2908/APRO_MK_FARM" TargetMode="External" Id="rId165" /><Relationship Type="http://schemas.openxmlformats.org/officeDocument/2006/relationships/hyperlink" Target="https://doi.org/10.2908/APRO_MK_FARM" TargetMode="External" Id="rId166" /><Relationship Type="http://schemas.openxmlformats.org/officeDocument/2006/relationships/hyperlink" Target="https://doi.org/10.2908/APRO_MK_FARM" TargetMode="External" Id="rId167" /><Relationship Type="http://schemas.openxmlformats.org/officeDocument/2006/relationships/hyperlink" Target="https://doi.org/10.2908/ENV_AIR_GGE" TargetMode="External" Id="rId168" /><Relationship Type="http://schemas.openxmlformats.org/officeDocument/2006/relationships/hyperlink" Target="https://doi.org/10.2908/ENV_AIR_GGE" TargetMode="External" Id="rId169" /><Relationship Type="http://schemas.openxmlformats.org/officeDocument/2006/relationships/hyperlink" Target="https://doi.org/10.2908/ENV_AIR_GGE" TargetMode="External" Id="rId170" /><Relationship Type="http://schemas.openxmlformats.org/officeDocument/2006/relationships/hyperlink" Target="https://doi.org/10.2908/ENV_AIR_GGE" TargetMode="External" Id="rId171" /><Relationship Type="http://schemas.openxmlformats.org/officeDocument/2006/relationships/hyperlink" Target="https://doi.org/10.2908/ENV_AIR_GGE" TargetMode="External" Id="rId172" /><Relationship Type="http://schemas.openxmlformats.org/officeDocument/2006/relationships/hyperlink" Target="https://doi.org/10.2908/ENV_AIR_GGE" TargetMode="External" Id="rId173" /><Relationship Type="http://schemas.openxmlformats.org/officeDocument/2006/relationships/hyperlink" Target="https://doi.org/10.2908/ENV_AIR_GGE" TargetMode="External" Id="rId174" /><Relationship Type="http://schemas.openxmlformats.org/officeDocument/2006/relationships/hyperlink" Target="https://doi.org/10.2908/ENV_AIR_GGE" TargetMode="External" Id="rId175" /><Relationship Type="http://schemas.openxmlformats.org/officeDocument/2006/relationships/hyperlink" Target="https://doi.org/10.2908/ENV_AIR_GGE" TargetMode="External" Id="rId176" /><Relationship Type="http://schemas.openxmlformats.org/officeDocument/2006/relationships/hyperlink" Target="https://doi.org/10.2908/APRO_MT_PANN" TargetMode="External" Id="rId177" /><Relationship Type="http://schemas.openxmlformats.org/officeDocument/2006/relationships/hyperlink" Target="https://doi.org/10.2908/APRO_MT_PANN" TargetMode="External" Id="rId178" /><Relationship Type="http://schemas.openxmlformats.org/officeDocument/2006/relationships/hyperlink" Target="https://doi.org/10.2908/APRO_MT_PANN" TargetMode="External" Id="rId179" /><Relationship Type="http://schemas.openxmlformats.org/officeDocument/2006/relationships/hyperlink" Target="https://doi.org/10.2908/APRO_MT_PANN" TargetMode="External" Id="rId180" /><Relationship Type="http://schemas.openxmlformats.org/officeDocument/2006/relationships/hyperlink" Target="https://doi.org/10.2908/APRO_MT_PANN" TargetMode="External" Id="rId181" /><Relationship Type="http://schemas.openxmlformats.org/officeDocument/2006/relationships/hyperlink" Target="https://doi.org/10.2908/ENV_AIR_GGE" TargetMode="External" Id="rId182" /><Relationship Type="http://schemas.openxmlformats.org/officeDocument/2006/relationships/hyperlink" Target="https://doi.org/10.2908/ENV_AIR_GGE" TargetMode="External" Id="rId183" /><Relationship Type="http://schemas.openxmlformats.org/officeDocument/2006/relationships/hyperlink" Target="https://doi.org/10.2908/APRO_MT_PANN" TargetMode="External" Id="rId184" /><Relationship Type="http://schemas.openxmlformats.org/officeDocument/2006/relationships/hyperlink" Target="https://doi.org/10.2908/ENV_AIR_GGE" TargetMode="External" Id="rId185" /><Relationship Type="http://schemas.openxmlformats.org/officeDocument/2006/relationships/hyperlink" Target="https://doi.org/10.2908/ENV_AIR_GGE" TargetMode="External" Id="rId186" /><Relationship Type="http://schemas.openxmlformats.org/officeDocument/2006/relationships/hyperlink" Target="https://doi.org/10.2908/ENV_AIR_GGE" TargetMode="External" Id="rId187" /><Relationship Type="http://schemas.openxmlformats.org/officeDocument/2006/relationships/hyperlink" Target="https://doi.org/10.2908/APRO_MT_PANN" TargetMode="External" Id="rId188" /><Relationship Type="http://schemas.openxmlformats.org/officeDocument/2006/relationships/hyperlink" Target="https://doi.org/10.2908/ENV_AIR_GGE" TargetMode="External" Id="rId189" /><Relationship Type="http://schemas.openxmlformats.org/officeDocument/2006/relationships/hyperlink" Target="https://doi.org/10.2908/ENV_AIR_GGE" TargetMode="External" Id="rId190" /><Relationship Type="http://schemas.openxmlformats.org/officeDocument/2006/relationships/hyperlink" Target="https://doi.org/10.2908/ENV_AIR_GGE" TargetMode="External" Id="rId191" /><Relationship Type="http://schemas.openxmlformats.org/officeDocument/2006/relationships/hyperlink" Target="https://doi.org/10.2908/APRO_MT_PANN" TargetMode="External" Id="rId192" /><Relationship Type="http://schemas.openxmlformats.org/officeDocument/2006/relationships/hyperlink" Target="https://doi.org/10.2908/ENV_AIR_GGE" TargetMode="External" Id="rId193" /><Relationship Type="http://schemas.openxmlformats.org/officeDocument/2006/relationships/hyperlink" Target="https://doi.org/10.2908/ENV_AIR_GGE" TargetMode="External" Id="rId194" /><Relationship Type="http://schemas.openxmlformats.org/officeDocument/2006/relationships/hyperlink" Target="https://doi.org/10.2908/ENV_AIR_GGE" TargetMode="External" Id="rId195" /><Relationship Type="http://schemas.openxmlformats.org/officeDocument/2006/relationships/hyperlink" Target="https://doi.org/10.2908/APRO_MT_PANN" TargetMode="External" Id="rId196" /><Relationship Type="http://schemas.openxmlformats.org/officeDocument/2006/relationships/hyperlink" Target="https://doi.org/10.2908/ENV_AIR_GGE" TargetMode="External" Id="rId197" /><Relationship Type="http://schemas.openxmlformats.org/officeDocument/2006/relationships/hyperlink" Target="https://doi.org/10.2908/APRO_MT_PANN" TargetMode="External" Id="rId198" /><Relationship Type="http://schemas.openxmlformats.org/officeDocument/2006/relationships/hyperlink" Target="https://doi.org/10.2908/APRO_MT_PANN" TargetMode="External" Id="rId199" /><Relationship Type="http://schemas.openxmlformats.org/officeDocument/2006/relationships/hyperlink" Target="https://doi.org/10.2908/APRO_MT_PANN" TargetMode="External" Id="rId200" /><Relationship Type="http://schemas.openxmlformats.org/officeDocument/2006/relationships/hyperlink" Target="https://doi.org/10.2908/APRO_MT_PANN" TargetMode="External" Id="rId201" /><Relationship Type="http://schemas.openxmlformats.org/officeDocument/2006/relationships/hyperlink" Target="https://doi.org/10.2908/APRO_MT_PANN" TargetMode="External" Id="rId202" /><Relationship Type="http://schemas.openxmlformats.org/officeDocument/2006/relationships/hyperlink" Target="https://doi.org/10.2908/APRO_MT_LSCATL" TargetMode="External" Id="rId203" /><Relationship Type="http://schemas.openxmlformats.org/officeDocument/2006/relationships/hyperlink" Target="https://doi.org/10.2908/APRO_MT_LSCATL" TargetMode="External" Id="rId204" /><Relationship Type="http://schemas.openxmlformats.org/officeDocument/2006/relationships/hyperlink" Target="https://doi.org/10.2908/APRO_MT_LSCATL" TargetMode="External" Id="rId205" /><Relationship Type="http://schemas.openxmlformats.org/officeDocument/2006/relationships/hyperlink" Target="https://doi.org/10.2908/APRO_MT_LSCATL" TargetMode="External" Id="rId206" /><Relationship Type="http://schemas.openxmlformats.org/officeDocument/2006/relationships/hyperlink" Target="https://doi.org/10.2908/APRO_MT_LSCATL" TargetMode="External" Id="rId207" /><Relationship Type="http://schemas.openxmlformats.org/officeDocument/2006/relationships/hyperlink" Target="https://doi.org/10.2908/APRO_MT_LSCATL" TargetMode="External" Id="rId208" /><Relationship Type="http://schemas.openxmlformats.org/officeDocument/2006/relationships/hyperlink" Target="https://doi.org/10.2908/APRO_MT_LSCATL" TargetMode="External" Id="rId209" /><Relationship Type="http://schemas.openxmlformats.org/officeDocument/2006/relationships/hyperlink" Target="https://doi.org/10.2908/APRO_MT_LSCATL" TargetMode="External" Id="rId210" /><Relationship Type="http://schemas.openxmlformats.org/officeDocument/2006/relationships/hyperlink" Target="https://doi.org/10.2908/APRO_MT_LSCATL" TargetMode="External" Id="rId211" /><Relationship Type="http://schemas.openxmlformats.org/officeDocument/2006/relationships/hyperlink" Target="https://doi.org/10.2908/APRO_MT_LSCATL" TargetMode="External" Id="rId212" /><Relationship Type="http://schemas.openxmlformats.org/officeDocument/2006/relationships/hyperlink" Target="https://doi.org/10.2908/APRO_MK_FARM" TargetMode="External" Id="rId213" /><Relationship Type="http://schemas.openxmlformats.org/officeDocument/2006/relationships/hyperlink" Target="https://doi.org/10.2908/APRO_MK_FARM" TargetMode="External" Id="rId214" /><Relationship Type="http://schemas.openxmlformats.org/officeDocument/2006/relationships/hyperlink" Target="https://doi.org/10.2908/APRO_MK_FARM" TargetMode="External" Id="rId215" /><Relationship Type="http://schemas.openxmlformats.org/officeDocument/2006/relationships/hyperlink" Target="https://doi.org/10.2908/APRO_MK_FARM" TargetMode="External" Id="rId216" /><Relationship Type="http://schemas.openxmlformats.org/officeDocument/2006/relationships/hyperlink" Target="https://doi.org/10.2908/APRO_MK_FARM" TargetMode="External" Id="rId217" /><Relationship Type="http://schemas.openxmlformats.org/officeDocument/2006/relationships/hyperlink" Target="https://doi.org/10.2908/APRO_MK_FARM" TargetMode="External" Id="rId218" /><Relationship Type="http://schemas.openxmlformats.org/officeDocument/2006/relationships/hyperlink" Target="https://doi.org/10.2908/APRO_MK_FARM" TargetMode="External" Id="rId219" /><Relationship Type="http://schemas.openxmlformats.org/officeDocument/2006/relationships/hyperlink" Target="https://doi.org/10.2908/APRO_MK_FARM" TargetMode="External" Id="rId220" /><Relationship Type="http://schemas.openxmlformats.org/officeDocument/2006/relationships/hyperlink" Target="https://doi.org/10.2908/APRO_MT_LSCATL" TargetMode="External" Id="rId221" /><Relationship Type="http://schemas.openxmlformats.org/officeDocument/2006/relationships/hyperlink" Target="https://doi.org/10.2908/APRO_MT_LSCATL" TargetMode="External" Id="rId222" /><Relationship Type="http://schemas.openxmlformats.org/officeDocument/2006/relationships/hyperlink" Target="https://doi.org/10.2908/APRO_MT_LSCATL" TargetMode="External" Id="rId223" /><Relationship Type="http://schemas.openxmlformats.org/officeDocument/2006/relationships/hyperlink" Target="https://doi.org/10.2908/APRO_MT_LSCATL" TargetMode="External" Id="rId224" /><Relationship Type="http://schemas.openxmlformats.org/officeDocument/2006/relationships/hyperlink" Target="https://doi.org/10.2908/APRO_MT_LSCATL" TargetMode="External" Id="rId225" /><Relationship Type="http://schemas.openxmlformats.org/officeDocument/2006/relationships/hyperlink" Target="https://doi.org/10.2908/APRO_MT_PANN" TargetMode="External" Id="rId226" /><Relationship Type="http://schemas.openxmlformats.org/officeDocument/2006/relationships/hyperlink" Target="https://doi.org/10.2908/APRO_MT_PANN" TargetMode="External" Id="rId227" /><Relationship Type="http://schemas.openxmlformats.org/officeDocument/2006/relationships/hyperlink" Target="https://doi.org/10.2908/APRO_MT_PANN" TargetMode="External" Id="rId228" /><Relationship Type="http://schemas.openxmlformats.org/officeDocument/2006/relationships/hyperlink" Target="https://doi.org/10.2908/APRO_MT_PANN" TargetMode="External" Id="rId229" /><Relationship Type="http://schemas.openxmlformats.org/officeDocument/2006/relationships/hyperlink" Target="https://doi.org/10.2908/APRO_MT_PANN" TargetMode="External" Id="rId230" /><Relationship Type="http://schemas.openxmlformats.org/officeDocument/2006/relationships/hyperlink" Target="https://doi.org/10.2908/APRO_MT_LSPIG" TargetMode="External" Id="rId231" /><Relationship Type="http://schemas.openxmlformats.org/officeDocument/2006/relationships/hyperlink" Target="https://doi.org/10.2908/APRO_MT_LSPIG" TargetMode="External" Id="rId232" /><Relationship Type="http://schemas.openxmlformats.org/officeDocument/2006/relationships/hyperlink" Target="https://doi.org/10.2908/APRO_MT_LSPIG" TargetMode="External" Id="rId233" /><Relationship Type="http://schemas.openxmlformats.org/officeDocument/2006/relationships/hyperlink" Target="https://doi.org/10.2908/APRO_MT_LSPIG" TargetMode="External" Id="rId234" /><Relationship Type="http://schemas.openxmlformats.org/officeDocument/2006/relationships/hyperlink" Target="https://doi.org/10.2908/APRO_MT_LSPIG" TargetMode="External" Id="rId235" /><Relationship Type="http://schemas.openxmlformats.org/officeDocument/2006/relationships/hyperlink" Target="https://doi.org/10.2908/APRO_MT_LSPIG" TargetMode="External" Id="rId236" /><Relationship Type="http://schemas.openxmlformats.org/officeDocument/2006/relationships/hyperlink" Target="https://doi.org/10.2908/APRO_MT_LSPIG" TargetMode="External" Id="rId237" /><Relationship Type="http://schemas.openxmlformats.org/officeDocument/2006/relationships/hyperlink" Target="https://doi.org/10.2908/APRO_MT_LSPIG" TargetMode="External" Id="rId238" /><Relationship Type="http://schemas.openxmlformats.org/officeDocument/2006/relationships/hyperlink" Target="https://doi.org/10.2908/APRO_MT_LSPIG" TargetMode="External" Id="rId239" /><Relationship Type="http://schemas.openxmlformats.org/officeDocument/2006/relationships/hyperlink" Target="https://doi.org/10.2908/APRO_MT_LSPIG" TargetMode="External" Id="rId240" /><Relationship Type="http://schemas.openxmlformats.org/officeDocument/2006/relationships/hyperlink" Target="https://doi.org/10.2908/ENV_WASFW" TargetMode="External" Id="rId241" /><Relationship Type="http://schemas.openxmlformats.org/officeDocument/2006/relationships/hyperlink" Target="https://doi.org/10.2908/ENV_WASFW" TargetMode="External" Id="rId242" /><Relationship Type="http://schemas.openxmlformats.org/officeDocument/2006/relationships/hyperlink" Target="https://doi.org/10.2908/ENV_WASFW" TargetMode="External" Id="rId243" /><Relationship Type="http://schemas.openxmlformats.org/officeDocument/2006/relationships/hyperlink" Target="https://doi.org/10.2908/DEMO_GIND" TargetMode="External" Id="rId244" /><Relationship Type="http://schemas.openxmlformats.org/officeDocument/2006/relationships/hyperlink" Target="https://doi.org/10.2908/DEMO_GIND" TargetMode="External" Id="rId245" /><Relationship Type="http://schemas.openxmlformats.org/officeDocument/2006/relationships/hyperlink" Target="https://doi.org/10.2908/DEMO_GIND" TargetMode="External" Id="rId246" /><Relationship Type="http://schemas.openxmlformats.org/officeDocument/2006/relationships/hyperlink" Target="https://doi.org/10.2908/DEMO_GIND" TargetMode="External" Id="rId247" /><Relationship Type="http://schemas.openxmlformats.org/officeDocument/2006/relationships/hyperlink" Target="https://doi.org/10.2908/DEMO_GIND" TargetMode="External" Id="rId248" /><Relationship Type="http://schemas.openxmlformats.org/officeDocument/2006/relationships/hyperlink" Target="https://doi.org/10.2908/DEMO_GIND" TargetMode="External" Id="rId249" /><Relationship Type="http://schemas.openxmlformats.org/officeDocument/2006/relationships/hyperlink" Target="https://doi.org/10.2908/DEMO_GIND" TargetMode="External" Id="rId250" /><Relationship Type="http://schemas.openxmlformats.org/officeDocument/2006/relationships/hyperlink" Target="https://doi.org/10.2908/DEMO_GIND" TargetMode="External" Id="rId251" /><Relationship Type="http://schemas.openxmlformats.org/officeDocument/2006/relationships/hyperlink" Target="https://doi.org/10.2908/DEMO_GIND" TargetMode="External" Id="rId252" /><Relationship Type="http://schemas.openxmlformats.org/officeDocument/2006/relationships/hyperlink" Target="https://doi.org/10.2908/DEMO_GIND" TargetMode="External" Id="rId253" /></Relationships>
</file>

<file path=xl/worksheets/_rels/sheet14.xml.rels><Relationships xmlns="http://schemas.openxmlformats.org/package/2006/relationships"><Relationship Type="http://schemas.openxmlformats.org/officeDocument/2006/relationships/drawing" Target="/xl/drawings/drawing11.xml" Id="rId1" /></Relationships>
</file>

<file path=xl/worksheets/_rels/sheet15.xml.rels><Relationships xmlns="http://schemas.openxmlformats.org/package/2006/relationships"><Relationship Type="http://schemas.openxmlformats.org/officeDocument/2006/relationships/hyperlink" Target="https://doi.org/10.2908/ENV_AIR_GGE" TargetMode="External" Id="rId1" /><Relationship Type="http://schemas.openxmlformats.org/officeDocument/2006/relationships/hyperlink" Target="https://doi.org/10.2908/ENV_AIR_GGE" TargetMode="External" Id="rId2" /><Relationship Type="http://schemas.openxmlformats.org/officeDocument/2006/relationships/hyperlink" Target="https://doi.org/10.2908/NRG_BAL_PEH" TargetMode="External" Id="rId3" /><Relationship Type="http://schemas.openxmlformats.org/officeDocument/2006/relationships/hyperlink" Target="https://doi.org/10.2908/NRG_BAL_PEH" TargetMode="External" Id="rId4" /><Relationship Type="http://schemas.openxmlformats.org/officeDocument/2006/relationships/hyperlink" Target="https://www.eea.europa.eu/en/datahub/datahubitem-view/3b7fe76c-524a-439a-bfd2-a6e4046302a2" TargetMode="External" Id="rId5" /><Relationship Type="http://schemas.openxmlformats.org/officeDocument/2006/relationships/hyperlink" Target="https://doi.org/10.2908/ENV_AIR_GGE" TargetMode="External" Id="rId6" /><Relationship Type="http://schemas.openxmlformats.org/officeDocument/2006/relationships/hyperlink" Target="https://doi.org/10.2908/NRG_BAL_C" TargetMode="External" Id="rId7" /><Relationship Type="http://schemas.openxmlformats.org/officeDocument/2006/relationships/hyperlink" Target="https://doi.org/10.2908/NRG_IND_EFF" TargetMode="External" Id="rId8" /><Relationship Type="http://schemas.openxmlformats.org/officeDocument/2006/relationships/hyperlink" Target="https://doi.org/10.2908/NRG_IND_EFF" TargetMode="External" Id="rId9" /><Relationship Type="http://schemas.openxmlformats.org/officeDocument/2006/relationships/hyperlink" Target="https://doi.org/10.2908/NRG_BAL_C" TargetMode="External" Id="rId10" /><Relationship Type="http://schemas.openxmlformats.org/officeDocument/2006/relationships/hyperlink" Target="https://doi.org/10.2908/ENV_AIR_GGE" TargetMode="External" Id="rId11" /><Relationship Type="http://schemas.openxmlformats.org/officeDocument/2006/relationships/hyperlink" Target="https://www.cementeurope.eu/about-us/key-facts-figures/" TargetMode="External" Id="rId12" /><Relationship Type="http://schemas.openxmlformats.org/officeDocument/2006/relationships/hyperlink" Target="https://www.cementeurope.eu/about-us/key-facts-figures/" TargetMode="External" Id="rId13" /><Relationship Type="http://schemas.openxmlformats.org/officeDocument/2006/relationships/hyperlink" Target="https://www.eurofer.eu/publications/brochures-booklets-and-factsheets/european-steel-in-figures-2024" TargetMode="External" Id="rId14" /><Relationship Type="http://schemas.openxmlformats.org/officeDocument/2006/relationships/hyperlink" Target="https://www.eurofer.eu/publications/brochures-booklets-and-factsheets/european-steel-in-figures-2024" TargetMode="External" Id="rId15" /><Relationship Type="http://schemas.openxmlformats.org/officeDocument/2006/relationships/hyperlink" Target="https://www.eurofer.eu/publications/brochures-booklets-and-factsheets/european-steel-in-figures-2024" TargetMode="External" Id="rId16" /><Relationship Type="http://schemas.openxmlformats.org/officeDocument/2006/relationships/hyperlink" Target="https://doi.org/10.2908/CEI_SRM030" TargetMode="External" Id="rId17" /><Relationship Type="http://schemas.openxmlformats.org/officeDocument/2006/relationships/hyperlink" Target="https://www.cementeurope.eu/about-us/key-facts-figures/" TargetMode="External" Id="rId18" /><Relationship Type="http://schemas.openxmlformats.org/officeDocument/2006/relationships/hyperlink" Target="https://www.eea.europa.eu/en/datahub/datahubitem-view/3b7fe76c-524a-439a-bfd2-a6e4046302a2" TargetMode="External" Id="rId19" /><Relationship Type="http://schemas.openxmlformats.org/officeDocument/2006/relationships/hyperlink" Target="https://www.eurofer.eu/publications/brochures-booklets-and-factsheets/european-steel-in-figures-2024" TargetMode="External" Id="rId20" /><Relationship Type="http://schemas.openxmlformats.org/officeDocument/2006/relationships/hyperlink" Target="https://doi.org/10.2908/NRG_BAL_C" TargetMode="External" Id="rId21" /><Relationship Type="http://schemas.openxmlformats.org/officeDocument/2006/relationships/hyperlink" Target="https://doi.org/10.2908/NRG_BAL_C" TargetMode="External" Id="rId22" /><Relationship Type="http://schemas.openxmlformats.org/officeDocument/2006/relationships/hyperlink" Target="https://www.cementeurope.eu/about-us/key-facts-figures/" TargetMode="External" Id="rId23" /><Relationship Type="http://schemas.openxmlformats.org/officeDocument/2006/relationships/hyperlink" Target="https://lowcarboneconomy.cembureau.eu/" TargetMode="External" Id="rId24" /><Relationship Type="http://schemas.openxmlformats.org/officeDocument/2006/relationships/hyperlink" Target="https://doi.org/10.2908/ENV_AIR_GGE" TargetMode="External" Id="rId25" /><Relationship Type="http://schemas.openxmlformats.org/officeDocument/2006/relationships/hyperlink" Target="https://www.eea.europa.eu/en/datahub/datahubitem-view/3b7fe76c-524a-439a-bfd2-a6e4046302a2" TargetMode="External" Id="rId26" /><Relationship Type="http://schemas.openxmlformats.org/officeDocument/2006/relationships/hyperlink" Target="https://alternative-fuels-observatory.ec.europa.eu/transport-mode/road/european-union-eu27" TargetMode="External" Id="rId27" /><Relationship Type="http://schemas.openxmlformats.org/officeDocument/2006/relationships/hyperlink" Target="https://alternative-fuels-observatory.ec.europa.eu/transport-mode/road/european-union-eu27" TargetMode="External" Id="rId28" /><Relationship Type="http://schemas.openxmlformats.org/officeDocument/2006/relationships/hyperlink" Target="https://doi.org/10.2908/NRG_BAL_S" TargetMode="External" Id="rId29" /><Relationship Type="http://schemas.openxmlformats.org/officeDocument/2006/relationships/hyperlink" Target="https://doi.org/10.2908/ENV_AIR_GGE" TargetMode="External" Id="rId30" /><Relationship Type="http://schemas.openxmlformats.org/officeDocument/2006/relationships/hyperlink" Target="https://doi.org/10.2908/NRG_BAL_C" TargetMode="External" Id="rId31" /><Relationship Type="http://schemas.openxmlformats.org/officeDocument/2006/relationships/hyperlink" Target="https://doi.org/10.2908/DEMO_GIND" TargetMode="External" Id="rId32" /><Relationship Type="http://schemas.openxmlformats.org/officeDocument/2006/relationships/hyperlink" Target="https://doi.org/10.2908/DEMO_GIND" TargetMode="External" Id="rId33" /><Relationship Type="http://schemas.openxmlformats.org/officeDocument/2006/relationships/hyperlink" Target="https://doi.org/10.2908/DEMO_GIND" TargetMode="External" Id="rId34" /><Relationship Type="http://schemas.openxmlformats.org/officeDocument/2006/relationships/hyperlink" Target="https://doi.org/10.2908/DEMO_GIND" TargetMode="External" Id="rId35" /><Relationship Type="http://schemas.openxmlformats.org/officeDocument/2006/relationships/hyperlink" Target="https://doi.org/10.2908/DEMO_GIND" TargetMode="External" Id="rId36" /><Relationship Type="http://schemas.openxmlformats.org/officeDocument/2006/relationships/hyperlink" Target="https://doi.org/10.2908/NRG_BAL_C" TargetMode="External" Id="rId37" /><Relationship Type="http://schemas.openxmlformats.org/officeDocument/2006/relationships/hyperlink" Target="https://doi.org/10.2908/NRG_BAL_C" TargetMode="External" Id="rId38" /><Relationship Type="http://schemas.openxmlformats.org/officeDocument/2006/relationships/hyperlink" Target="https://ehpa.org/market-data/" TargetMode="External" Id="rId39" /><Relationship Type="http://schemas.openxmlformats.org/officeDocument/2006/relationships/hyperlink" Target="https://doi.org/10.2908/ENV_AIR_GGE" TargetMode="External" Id="rId40" /><Relationship Type="http://schemas.openxmlformats.org/officeDocument/2006/relationships/hyperlink" Target="https://www.eea.europa.eu/en/datahub/datahubitem-view/3b7fe76c-524a-439a-bfd2-a6e4046302a2" TargetMode="External" Id="rId41" /><Relationship Type="http://schemas.openxmlformats.org/officeDocument/2006/relationships/hyperlink" Target="https://www.eea.europa.eu/en/datahub/datahubitem-view/3b7fe76c-524a-439a-bfd2-a6e4046302a2" TargetMode="External" Id="rId42" /><Relationship Type="http://schemas.openxmlformats.org/officeDocument/2006/relationships/hyperlink" Target="https://doi.org/10.2908/APRO_MT_PANN" TargetMode="External" Id="rId43" /><Relationship Type="http://schemas.openxmlformats.org/officeDocument/2006/relationships/hyperlink" Target="https://www.eea.europa.eu/en/datahub/datahubitem-view/3b7fe76c-524a-439a-bfd2-a6e4046302a2" TargetMode="External" Id="rId44" /><Relationship Type="http://schemas.openxmlformats.org/officeDocument/2006/relationships/hyperlink" Target="https://www.eea.europa.eu/en/datahub/datahubitem-view/3b7fe76c-524a-439a-bfd2-a6e4046302a2" TargetMode="External" Id="rId45" /><Relationship Type="http://schemas.openxmlformats.org/officeDocument/2006/relationships/hyperlink" Target="https://doi.org/10.2908/APRO_MK_FARM" TargetMode="External" Id="rId46" /><Relationship Type="http://schemas.openxmlformats.org/officeDocument/2006/relationships/hyperlink" Target="https://doi.org/10.2908/ENV_AIR_GGE" TargetMode="External" Id="rId47" /><Relationship Type="http://schemas.openxmlformats.org/officeDocument/2006/relationships/hyperlink" Target="https://doi.org/10.2908/ENV_AIR_GGE" TargetMode="External" Id="rId48" /><Relationship Type="http://schemas.openxmlformats.org/officeDocument/2006/relationships/hyperlink" Target="https://doi.org/10.2908/APRO_MT_PANN" TargetMode="External" Id="rId49" /><Relationship Type="http://schemas.openxmlformats.org/officeDocument/2006/relationships/hyperlink" Target="https://di.unfccc.int/detailed_data_by_party" TargetMode="External" Id="rId50" /><Relationship Type="http://schemas.openxmlformats.org/officeDocument/2006/relationships/hyperlink" Target="https://di.unfccc.int/detailed_data_by_party" TargetMode="External" Id="rId51" /><Relationship Type="http://schemas.openxmlformats.org/officeDocument/2006/relationships/hyperlink" Target="https://doi.org/10.2908/APRO_MT_PANN" TargetMode="External" Id="rId52" /><Relationship Type="http://schemas.openxmlformats.org/officeDocument/2006/relationships/hyperlink" Target="https://di.unfccc.int/detailed_data_by_party" TargetMode="External" Id="rId53" /><Relationship Type="http://schemas.openxmlformats.org/officeDocument/2006/relationships/hyperlink" Target="https://doi.org/10.2908/APRO_MK_FARM" TargetMode="External" Id="rId54" /><Relationship Type="http://schemas.openxmlformats.org/officeDocument/2006/relationships/hyperlink" Target="https://doi.org/10.2908/APRO_MT_LSPIG" TargetMode="External" Id="rId55" /><Relationship Type="http://schemas.openxmlformats.org/officeDocument/2006/relationships/hyperlink" Target="https://doi.org/10.2908/APRO_MT_PANN" TargetMode="External" Id="rId56" /><Relationship Type="http://schemas.openxmlformats.org/officeDocument/2006/relationships/hyperlink" Target="https://doi.org/10.2908/ENV_WASFW" TargetMode="External" Id="rId57" /><Relationship Type="http://schemas.openxmlformats.org/officeDocument/2006/relationships/hyperlink" Target="https://doi.org/10.2908/ENV_AIR_GGE" TargetMode="External" Id="rId58" /><Relationship Type="http://schemas.openxmlformats.org/officeDocument/2006/relationships/hyperlink" Target="https://di.unfccc.int/detailed_data_by_party" TargetMode="External" Id="rId59" /><Relationship Type="http://schemas.openxmlformats.org/officeDocument/2006/relationships/hyperlink" Target="https://di.unfccc.int/detailed_data_by_party" TargetMode="External" Id="rId60" /><Relationship Type="http://schemas.openxmlformats.org/officeDocument/2006/relationships/hyperlink" Target="https://di.unfccc.int/detailed_data_by_party" TargetMode="External" Id="rId61" /><Relationship Type="http://schemas.openxmlformats.org/officeDocument/2006/relationships/hyperlink" Target="https://di.unfccc.int/detailed_data_by_party" TargetMode="External" Id="rId62" /><Relationship Type="http://schemas.openxmlformats.org/officeDocument/2006/relationships/hyperlink" Target="https://di.unfccc.int/detailed_data_by_party" TargetMode="External" Id="rId63" /><Relationship Type="http://schemas.openxmlformats.org/officeDocument/2006/relationships/hyperlink" Target="https://di.unfccc.int/detailed_data_by_party" TargetMode="External" Id="rId64" /><Relationship Type="http://schemas.openxmlformats.org/officeDocument/2006/relationships/hyperlink" Target="https://di.unfccc.int/detailed_data_by_party" TargetMode="External" Id="rId65" /><Relationship Type="http://schemas.openxmlformats.org/officeDocument/2006/relationships/hyperlink" Target="https://di.unfccc.int/detailed_data_by_party" TargetMode="External" Id="rId66" /><Relationship Type="http://schemas.openxmlformats.org/officeDocument/2006/relationships/hyperlink" Target="https://di.unfccc.int/detailed_data_by_party" TargetMode="External" Id="rId67" /><Relationship Type="http://schemas.openxmlformats.org/officeDocument/2006/relationships/hyperlink" Target="https://doi.org/10.2908/ENV_AIR_GGE" TargetMode="External" Id="rId68" /><Relationship Type="http://schemas.openxmlformats.org/officeDocument/2006/relationships/hyperlink" Target="https://doi.org/10.2908/ENV_AIR_GGE" TargetMode="External" Id="rId69" /><Relationship Type="http://schemas.openxmlformats.org/officeDocument/2006/relationships/hyperlink" Target="https://doi.org/10.2908/NRG_BAL_S" TargetMode="External" Id="rId70" /><Relationship Type="http://schemas.openxmlformats.org/officeDocument/2006/relationships/hyperlink" Target="https://about.bnef.com/" TargetMode="External" Id="rId71" /><Relationship Type="http://schemas.openxmlformats.org/officeDocument/2006/relationships/hyperlink" Target="https://www.eea.europa.eu/en/analysis/maps-and-charts/percentage-of-green-bond-issuances-1" TargetMode="External" Id="rId72" /><Relationship Type="http://schemas.openxmlformats.org/officeDocument/2006/relationships/hyperlink" Target="https://doi.org/10.2908/RD_E_GERDTOT" TargetMode="External" Id="rId73" /></Relationships>
</file>

<file path=xl/worksheets/_rels/sheet17.xml.rels><Relationships xmlns="http://schemas.openxmlformats.org/package/2006/relationships"><Relationship Type="http://schemas.openxmlformats.org/officeDocument/2006/relationships/hyperlink" Target="https://www.eea.europa.eu/en/datahub/datahubitem-view/3b7fe76c-524a-439a-bfd2-a6e4046302a2" TargetMode="External" Id="rId1" /><Relationship Type="http://schemas.openxmlformats.org/officeDocument/2006/relationships/hyperlink" Target="https://www.eea.europa.eu/en/datahub/datahubitem-view/3b7fe76c-524a-439a-bfd2-a6e4046302a2" TargetMode="External" Id="rId2" /><Relationship Type="http://schemas.openxmlformats.org/officeDocument/2006/relationships/hyperlink" Target="https://doi.org/10.2908/ENV_AIR_GGE" TargetMode="External" Id="rId3" /><Relationship Type="http://schemas.openxmlformats.org/officeDocument/2006/relationships/hyperlink" Target="https://doi.org/10.2908/NRG_BAL_PEH" TargetMode="External" Id="rId4" /><Relationship Type="http://schemas.openxmlformats.org/officeDocument/2006/relationships/hyperlink" Target="https://doi.org/10.2908/ENV_AIR_GGE" TargetMode="External" Id="rId5" /><Relationship Type="http://schemas.openxmlformats.org/officeDocument/2006/relationships/hyperlink" Target="https://www.solarpowereurope.org/insights/outlooks/eu-market-outlook-for-solar-power-2024-2028" TargetMode="External" Id="rId6" /><Relationship Type="http://schemas.openxmlformats.org/officeDocument/2006/relationships/hyperlink" Target="https://windeurope.org/intelligence-platform/product/wind-energy-in-europe-2024-statistics-and-the-outlook-for-2025-2030/" TargetMode="External" Id="rId7" /><Relationship Type="http://schemas.openxmlformats.org/officeDocument/2006/relationships/hyperlink" Target="https://di.unfccc.int/detailed_data_by_party" TargetMode="External" Id="rId8" /><Relationship Type="http://schemas.openxmlformats.org/officeDocument/2006/relationships/hyperlink" Target="https://di.unfccc.int/detailed_data_by_party" TargetMode="External" Id="rId9" /><Relationship Type="http://schemas.openxmlformats.org/officeDocument/2006/relationships/hyperlink" Target="https://di.unfccc.int/detailed_data_by_party" TargetMode="External" Id="rId10" /><Relationship Type="http://schemas.openxmlformats.org/officeDocument/2006/relationships/hyperlink" Target="https://doi.org/10.2908/ENV_AIR_GGE" TargetMode="External" Id="rId11" /><Relationship Type="http://schemas.openxmlformats.org/officeDocument/2006/relationships/hyperlink" Target="https://doi.org/10.2908/ENV_AIR_GGE" TargetMode="External" Id="rId12" /><Relationship Type="http://schemas.openxmlformats.org/officeDocument/2006/relationships/hyperlink" Target="https://www.cementeurope.eu/about-us/key-facts-figures/" TargetMode="External" Id="rId13" /><Relationship Type="http://schemas.openxmlformats.org/officeDocument/2006/relationships/hyperlink" Target="https://www.cementeurope.eu/about-us/key-facts-figures/" TargetMode="External" Id="rId14" /><Relationship Type="http://schemas.openxmlformats.org/officeDocument/2006/relationships/hyperlink" Target="https://doi.org/10.2908/STS_INPR_A" TargetMode="External" Id="rId15" /><Relationship Type="http://schemas.openxmlformats.org/officeDocument/2006/relationships/hyperlink" Target="https://doi.org/10.2908/STS_INPR_A" TargetMode="External" Id="rId16" /><Relationship Type="http://schemas.openxmlformats.org/officeDocument/2006/relationships/hyperlink" Target="https://doi.org/10.2908/STS_INPR_A" TargetMode="External" Id="rId17" /><Relationship Type="http://schemas.openxmlformats.org/officeDocument/2006/relationships/hyperlink" Target="https://doi.org/10.2908/STS_INPR_A" TargetMode="External" Id="rId18" /><Relationship Type="http://schemas.openxmlformats.org/officeDocument/2006/relationships/hyperlink" Target="https://www.eurofer.eu/publications/brochures-booklets-and-factsheets/european-steel-in-figures-2024" TargetMode="External" Id="rId19" /><Relationship Type="http://schemas.openxmlformats.org/officeDocument/2006/relationships/hyperlink" Target="https://www.eurofer.eu/publications/brochures-booklets-and-factsheets/european-steel-in-figures-2024" TargetMode="External" Id="rId20" /><Relationship Type="http://schemas.openxmlformats.org/officeDocument/2006/relationships/hyperlink" Target="https://doi.org/10.2908/CEI_SRM030" TargetMode="External" Id="rId21" /><Relationship Type="http://schemas.openxmlformats.org/officeDocument/2006/relationships/hyperlink" Target="https://www.eea.europa.eu/en/datahub/datahubitem-view/3b7fe76c-524a-439a-bfd2-a6e4046302a2" TargetMode="External" Id="rId22" /><Relationship Type="http://schemas.openxmlformats.org/officeDocument/2006/relationships/hyperlink" Target="https://www.eea.europa.eu/en/datahub/datahubitem-view/3b7fe76c-524a-439a-bfd2-a6e4046302a2" TargetMode="External" Id="rId23" /><Relationship Type="http://schemas.openxmlformats.org/officeDocument/2006/relationships/hyperlink" Target="https://www.eea.europa.eu/en/datahub/datahubitem-view/3b7fe76c-524a-439a-bfd2-a6e4046302a2" TargetMode="External" Id="rId24" /><Relationship Type="http://schemas.openxmlformats.org/officeDocument/2006/relationships/hyperlink" Target="https://www.eea.europa.eu/en/datahub/datahubitem-view/3b7fe76c-524a-439a-bfd2-a6e4046302a2" TargetMode="External" Id="rId25" /><Relationship Type="http://schemas.openxmlformats.org/officeDocument/2006/relationships/hyperlink" Target="https://www.eea.europa.eu/en/datahub/datahubitem-view/3b7fe76c-524a-439a-bfd2-a6e4046302a2" TargetMode="External" Id="rId26" /><Relationship Type="http://schemas.openxmlformats.org/officeDocument/2006/relationships/hyperlink" Target="https://www.eea.europa.eu/en/datahub/datahubitem-view/3b7fe76c-524a-439a-bfd2-a6e4046302a2" TargetMode="External" Id="rId27" /><Relationship Type="http://schemas.openxmlformats.org/officeDocument/2006/relationships/hyperlink" Target="https://www.eea.europa.eu/en/datahub/datahubitem-view/3b7fe76c-524a-439a-bfd2-a6e4046302a2" TargetMode="External" Id="rId28" /><Relationship Type="http://schemas.openxmlformats.org/officeDocument/2006/relationships/hyperlink" Target="https://www.eea.europa.eu/en/datahub/datahubitem-view/3b7fe76c-524a-439a-bfd2-a6e4046302a2" TargetMode="External" Id="rId29" /><Relationship Type="http://schemas.openxmlformats.org/officeDocument/2006/relationships/hyperlink" Target="https://www.eea.europa.eu/en/datahub/datahubitem-view/3b7fe76c-524a-439a-bfd2-a6e4046302a2" TargetMode="External" Id="rId30" /><Relationship Type="http://schemas.openxmlformats.org/officeDocument/2006/relationships/hyperlink" Target="https://www.eea.europa.eu/en/datahub/datahubitem-view/3b7fe76c-524a-439a-bfd2-a6e4046302a2" TargetMode="External" Id="rId31" /><Relationship Type="http://schemas.openxmlformats.org/officeDocument/2006/relationships/hyperlink" Target="https://www.eea.europa.eu/en/datahub/datahubitem-view/3b7fe76c-524a-439a-bfd2-a6e4046302a2" TargetMode="External" Id="rId32" /><Relationship Type="http://schemas.openxmlformats.org/officeDocument/2006/relationships/hyperlink" Target="https://www.eea.europa.eu/en/datahub/datahubitem-view/3b7fe76c-524a-439a-bfd2-a6e4046302a2" TargetMode="External" Id="rId33" /><Relationship Type="http://schemas.openxmlformats.org/officeDocument/2006/relationships/hyperlink" Target="https://www.eea.europa.eu/en/datahub/datahubitem-view/3b7fe76c-524a-439a-bfd2-a6e4046302a2" TargetMode="External" Id="rId34" /><Relationship Type="http://schemas.openxmlformats.org/officeDocument/2006/relationships/hyperlink" Target="https://www.eea.europa.eu/en/datahub/datahubitem-view/3b7fe76c-524a-439a-bfd2-a6e4046302a2" TargetMode="External" Id="rId35" /><Relationship Type="http://schemas.openxmlformats.org/officeDocument/2006/relationships/hyperlink" Target="https://www.eea.europa.eu/en/datahub/datahubitem-view/3b7fe76c-524a-439a-bfd2-a6e4046302a2" TargetMode="External" Id="rId36" /><Relationship Type="http://schemas.openxmlformats.org/officeDocument/2006/relationships/hyperlink" Target="https://www.eea.europa.eu/en/datahub/datahubitem-view/3b7fe76c-524a-439a-bfd2-a6e4046302a2" TargetMode="External" Id="rId37" /><Relationship Type="http://schemas.openxmlformats.org/officeDocument/2006/relationships/hyperlink" Target="https://www.eea.europa.eu/en/datahub/datahubitem-view/3b7fe76c-524a-439a-bfd2-a6e4046302a2" TargetMode="External" Id="rId38" /><Relationship Type="http://schemas.openxmlformats.org/officeDocument/2006/relationships/hyperlink" Target="https://www.eea.europa.eu/en/datahub/datahubitem-view/3b7fe76c-524a-439a-bfd2-a6e4046302a2" TargetMode="External" Id="rId39" /><Relationship Type="http://schemas.openxmlformats.org/officeDocument/2006/relationships/hyperlink" Target="https://www.eea.europa.eu/en/datahub/datahubitem-view/3b7fe76c-524a-439a-bfd2-a6e4046302a2" TargetMode="External" Id="rId40" /><Relationship Type="http://schemas.openxmlformats.org/officeDocument/2006/relationships/hyperlink" Target="https://www.eea.europa.eu/en/datahub/datahubitem-view/3b7fe76c-524a-439a-bfd2-a6e4046302a2" TargetMode="External" Id="rId41" /><Relationship Type="http://schemas.openxmlformats.org/officeDocument/2006/relationships/hyperlink" Target="https://doi.org/10.2908/ENV_AIR_GGE" TargetMode="External" Id="rId42" /><Relationship Type="http://schemas.openxmlformats.org/officeDocument/2006/relationships/hyperlink" Target="https://doi.org/10.2908/ENV_AIR_GGE" TargetMode="External" Id="rId43" /><Relationship Type="http://schemas.openxmlformats.org/officeDocument/2006/relationships/hyperlink" Target="https://www.eea.europa.eu/en/datahub/datahubitem-view/3b7fe76c-524a-439a-bfd2-a6e4046302a2" TargetMode="External" Id="rId44" /><Relationship Type="http://schemas.openxmlformats.org/officeDocument/2006/relationships/hyperlink" Target="https://www.eea.europa.eu/en/datahub/datahubitem-view/3b7fe76c-524a-439a-bfd2-a6e4046302a2" TargetMode="External" Id="rId45" /><Relationship Type="http://schemas.openxmlformats.org/officeDocument/2006/relationships/hyperlink" Target="https://www.eea.europa.eu/en/datahub/datahubitem-view/3b7fe76c-524a-439a-bfd2-a6e4046302a2" TargetMode="External" Id="rId46" /><Relationship Type="http://schemas.openxmlformats.org/officeDocument/2006/relationships/hyperlink" Target="https://www.eea.europa.eu/en/datahub/datahubitem-view/3b7fe76c-524a-439a-bfd2-a6e4046302a2" TargetMode="External" Id="rId47" /><Relationship Type="http://schemas.openxmlformats.org/officeDocument/2006/relationships/hyperlink" Target="https://alternative-fuels-observatory.ec.europa.eu/transport-mode/road/european-union-eu27" TargetMode="External" Id="rId48" /><Relationship Type="http://schemas.openxmlformats.org/officeDocument/2006/relationships/hyperlink" Target="https://doi.org/10.2908/NRG_BAL_S" TargetMode="External" Id="rId49" /><Relationship Type="http://schemas.openxmlformats.org/officeDocument/2006/relationships/hyperlink" Target="https://doi.org/10.2908/NRG_BAL_S" TargetMode="External" Id="rId50" /><Relationship Type="http://schemas.openxmlformats.org/officeDocument/2006/relationships/hyperlink" Target="https://doi.org/10.2908/NRG_BAL_S" TargetMode="External" Id="rId51" /><Relationship Type="http://schemas.openxmlformats.org/officeDocument/2006/relationships/hyperlink" Target="https://doi.org/10.2908/NRG_BAL_S" TargetMode="External" Id="rId52" /><Relationship Type="http://schemas.openxmlformats.org/officeDocument/2006/relationships/hyperlink" Target="https://doi.org/10.2908/NRG_BAL_S" TargetMode="External" Id="rId53" /><Relationship Type="http://schemas.openxmlformats.org/officeDocument/2006/relationships/hyperlink" Target="https://doi.org/10.2908/NRG_BAL_C" TargetMode="External" Id="rId54" /><Relationship Type="http://schemas.openxmlformats.org/officeDocument/2006/relationships/hyperlink" Target="https://doi.org/10.2908/NRG_BAL_C" TargetMode="External" Id="rId55" /><Relationship Type="http://schemas.openxmlformats.org/officeDocument/2006/relationships/hyperlink" Target="https://doi.org/10.2908/NRG_BAL_C" TargetMode="External" Id="rId56" /><Relationship Type="http://schemas.openxmlformats.org/officeDocument/2006/relationships/hyperlink" Target="https://ehpa.org/market-data/" TargetMode="External" Id="rId57" /><Relationship Type="http://schemas.openxmlformats.org/officeDocument/2006/relationships/hyperlink" Target="https://ehpa.org/market-data/" TargetMode="External" Id="rId58" /><Relationship Type="http://schemas.openxmlformats.org/officeDocument/2006/relationships/hyperlink" Target="https://www.eea.europa.eu/en/datahub/datahubitem-view/3b7fe76c-524a-439a-bfd2-a6e4046302a2" TargetMode="External" Id="rId59" /><Relationship Type="http://schemas.openxmlformats.org/officeDocument/2006/relationships/hyperlink" Target="https://www.eea.europa.eu/en/datahub/datahubitem-view/3b7fe76c-524a-439a-bfd2-a6e4046302a2" TargetMode="External" Id="rId60" /><Relationship Type="http://schemas.openxmlformats.org/officeDocument/2006/relationships/hyperlink" Target="https://www.eea.europa.eu/en/datahub/datahubitem-view/3b7fe76c-524a-439a-bfd2-a6e4046302a2" TargetMode="External" Id="rId61" /><Relationship Type="http://schemas.openxmlformats.org/officeDocument/2006/relationships/hyperlink" Target="https://www.eea.europa.eu/en/datahub/datahubitem-view/3b7fe76c-524a-439a-bfd2-a6e4046302a2" TargetMode="External" Id="rId62" /><Relationship Type="http://schemas.openxmlformats.org/officeDocument/2006/relationships/hyperlink" Target="https://www.eea.europa.eu/en/datahub/datahubitem-view/3b7fe76c-524a-439a-bfd2-a6e4046302a2" TargetMode="External" Id="rId63" /><Relationship Type="http://schemas.openxmlformats.org/officeDocument/2006/relationships/hyperlink" Target="https://www.eea.europa.eu/en/datahub/datahubitem-view/3b7fe76c-524a-439a-bfd2-a6e4046302a2" TargetMode="External" Id="rId64" /><Relationship Type="http://schemas.openxmlformats.org/officeDocument/2006/relationships/hyperlink" Target="https://doi.org/10.2908/ENV_AIR_GGE" TargetMode="External" Id="rId65" /><Relationship Type="http://schemas.openxmlformats.org/officeDocument/2006/relationships/hyperlink" Target="https://doi.org/10.2908/ENV_AIR_GGE" TargetMode="External" Id="rId66" /><Relationship Type="http://schemas.openxmlformats.org/officeDocument/2006/relationships/hyperlink" Target="https://doi.org/10.2908/ENV_AIR_GGE" TargetMode="External" Id="rId67" /><Relationship Type="http://schemas.openxmlformats.org/officeDocument/2006/relationships/hyperlink" Target="https://www.eea.europa.eu/en/datahub/datahubitem-view/3b7fe76c-524a-439a-bfd2-a6e4046302a2" TargetMode="External" Id="rId68" /><Relationship Type="http://schemas.openxmlformats.org/officeDocument/2006/relationships/hyperlink" Target="https://www.eea.europa.eu/en/datahub/datahubitem-view/3b7fe76c-524a-439a-bfd2-a6e4046302a2" TargetMode="External" Id="rId69" /><Relationship Type="http://schemas.openxmlformats.org/officeDocument/2006/relationships/hyperlink" Target="https://doi.org/10.2908/APRO_MT_PANN" TargetMode="External" Id="rId70" /><Relationship Type="http://schemas.openxmlformats.org/officeDocument/2006/relationships/hyperlink" Target="https://www.eea.europa.eu/en/datahub/datahubitem-view/3b7fe76c-524a-439a-bfd2-a6e4046302a2" TargetMode="External" Id="rId71" /><Relationship Type="http://schemas.openxmlformats.org/officeDocument/2006/relationships/hyperlink" Target="https://www.eea.europa.eu/en/datahub/datahubitem-view/3b7fe76c-524a-439a-bfd2-a6e4046302a2" TargetMode="External" Id="rId72" /><Relationship Type="http://schemas.openxmlformats.org/officeDocument/2006/relationships/hyperlink" Target="https://doi.org/10.2908/APRO_MK_FARM" TargetMode="External" Id="rId73" /><Relationship Type="http://schemas.openxmlformats.org/officeDocument/2006/relationships/hyperlink" Target="https://doi.org/10.2908/APRO_MK_FARM" TargetMode="External" Id="rId74" /><Relationship Type="http://schemas.openxmlformats.org/officeDocument/2006/relationships/hyperlink" Target="https://www.eea.europa.eu/en/datahub/datahubitem-view/3b7fe76c-524a-439a-bfd2-a6e4046302a2" TargetMode="External" Id="rId75" /><Relationship Type="http://schemas.openxmlformats.org/officeDocument/2006/relationships/hyperlink" Target="https://www.eea.europa.eu/en/datahub/datahubitem-view/3b7fe76c-524a-439a-bfd2-a6e4046302a2" TargetMode="External" Id="rId76" /><Relationship Type="http://schemas.openxmlformats.org/officeDocument/2006/relationships/hyperlink" Target="https://doi.org/10.2908/ENV_AIR_GGE" TargetMode="External" Id="rId77" /><Relationship Type="http://schemas.openxmlformats.org/officeDocument/2006/relationships/hyperlink" Target="https://doi.org/10.2908/ENV_AIR_GGE" TargetMode="External" Id="rId78" /><Relationship Type="http://schemas.openxmlformats.org/officeDocument/2006/relationships/hyperlink" Target="https://doi.org/10.2908/ENV_AIR_GGE" TargetMode="External" Id="rId79" /><Relationship Type="http://schemas.openxmlformats.org/officeDocument/2006/relationships/hyperlink" Target="https://www.eea.europa.eu/en/datahub/datahubitem-view/3b7fe76c-524a-439a-bfd2-a6e4046302a2" TargetMode="External" Id="rId80" /><Relationship Type="http://schemas.openxmlformats.org/officeDocument/2006/relationships/hyperlink" Target="https://www.eea.europa.eu/en/datahub/datahubitem-view/3b7fe76c-524a-439a-bfd2-a6e4046302a2" TargetMode="External" Id="rId81" /><Relationship Type="http://schemas.openxmlformats.org/officeDocument/2006/relationships/hyperlink" Target="https://doi.org/10.2908/ENV_AIR_GGE" TargetMode="External" Id="rId82" /><Relationship Type="http://schemas.openxmlformats.org/officeDocument/2006/relationships/hyperlink" Target="https://doi.org/10.2908/ENV_AIR_GGE" TargetMode="External" Id="rId83" /><Relationship Type="http://schemas.openxmlformats.org/officeDocument/2006/relationships/hyperlink" Target="https://doi.org/10.2908/APRO_MT_PANN" TargetMode="External" Id="rId84" /><Relationship Type="http://schemas.openxmlformats.org/officeDocument/2006/relationships/hyperlink" Target="https://doi.org/10.2908/ENV_AIR_GGE" TargetMode="External" Id="rId85" /><Relationship Type="http://schemas.openxmlformats.org/officeDocument/2006/relationships/hyperlink" Target="https://www.eea.europa.eu/en/datahub/datahubitem-view/3b7fe76c-524a-439a-bfd2-a6e4046302a2" TargetMode="External" Id="rId86" /><Relationship Type="http://schemas.openxmlformats.org/officeDocument/2006/relationships/hyperlink" Target="https://www.eea.europa.eu/en/datahub/datahubitem-view/3b7fe76c-524a-439a-bfd2-a6e4046302a2" TargetMode="External" Id="rId87" /><Relationship Type="http://schemas.openxmlformats.org/officeDocument/2006/relationships/hyperlink" Target="https://doi.org/10.2908/APRO_MT_PANN" TargetMode="External" Id="rId88" /><Relationship Type="http://schemas.openxmlformats.org/officeDocument/2006/relationships/hyperlink" Target="https://di.unfccc.int/detailed_data_by_party" TargetMode="External" Id="rId89" /><Relationship Type="http://schemas.openxmlformats.org/officeDocument/2006/relationships/hyperlink" Target="https://di.unfccc.int/detailed_data_by_party" TargetMode="External" Id="rId90" /><Relationship Type="http://schemas.openxmlformats.org/officeDocument/2006/relationships/hyperlink" Target="https://doi.org/10.2908/APRO_MT_LSCATL" TargetMode="External" Id="rId91" /><Relationship Type="http://schemas.openxmlformats.org/officeDocument/2006/relationships/hyperlink" Target="https://doi.org/10.2908/APRO_MT_LSCATL" TargetMode="External" Id="rId92" /><Relationship Type="http://schemas.openxmlformats.org/officeDocument/2006/relationships/hyperlink" Target="https://doi.org/10.2908/APRO_MT_PANN" TargetMode="External" Id="rId93" /><Relationship Type="http://schemas.openxmlformats.org/officeDocument/2006/relationships/hyperlink" Target="https://di.unfccc.int/detailed_data_by_party" TargetMode="External" Id="rId94" /><Relationship Type="http://schemas.openxmlformats.org/officeDocument/2006/relationships/hyperlink" Target="https://di.unfccc.int/detailed_data_by_party" TargetMode="External" Id="rId95" /><Relationship Type="http://schemas.openxmlformats.org/officeDocument/2006/relationships/hyperlink" Target="https://doi.org/10.2908/APRO_MT_LSCATL" TargetMode="External" Id="rId96" /><Relationship Type="http://schemas.openxmlformats.org/officeDocument/2006/relationships/hyperlink" Target="https://doi.org/10.2908/APRO_MK_FARM" TargetMode="External" Id="rId97" /><Relationship Type="http://schemas.openxmlformats.org/officeDocument/2006/relationships/hyperlink" Target="https://doi.org/10.2908/APRO_MK_FARM" TargetMode="External" Id="rId98" /><Relationship Type="http://schemas.openxmlformats.org/officeDocument/2006/relationships/hyperlink" Target="https://doi.org/10.2908/APRO_MT_LSPIG" TargetMode="External" Id="rId99" /><Relationship Type="http://schemas.openxmlformats.org/officeDocument/2006/relationships/hyperlink" Target="https://doi.org/10.2908/APRO_MT_LSPIG" TargetMode="External" Id="rId100" /><Relationship Type="http://schemas.openxmlformats.org/officeDocument/2006/relationships/hyperlink" Target="https://doi.org/10.2908/APRO_MT_LSPIG" TargetMode="External" Id="rId101" /><Relationship Type="http://schemas.openxmlformats.org/officeDocument/2006/relationships/hyperlink" Target="https://doi.org/10.2908/APRO_MT_LSPIG" TargetMode="External" Id="rId102" /><Relationship Type="http://schemas.openxmlformats.org/officeDocument/2006/relationships/hyperlink" Target="https://doi.org/10.2908/APRO_MT_PANN" TargetMode="External" Id="rId103" /><Relationship Type="http://schemas.openxmlformats.org/officeDocument/2006/relationships/hyperlink" Target="https://doi.org/10.2908/ENV_WASFW" TargetMode="External" Id="rId104" /><Relationship Type="http://schemas.openxmlformats.org/officeDocument/2006/relationships/hyperlink" Target="https://doi.org/10.2908/ENV_WASFW" TargetMode="External" Id="rId105" /><Relationship Type="http://schemas.openxmlformats.org/officeDocument/2006/relationships/hyperlink" Target="https://doi.org/10.2908/ENV_WASFW" TargetMode="External" Id="rId106" /><Relationship Type="http://schemas.openxmlformats.org/officeDocument/2006/relationships/hyperlink" Target="https://di.unfccc.int/detailed_data_by_party" TargetMode="External" Id="rId107" /><Relationship Type="http://schemas.openxmlformats.org/officeDocument/2006/relationships/hyperlink" Target="https://di.unfccc.int/detailed_data_by_party" TargetMode="External" Id="rId108" /><Relationship Type="http://schemas.openxmlformats.org/officeDocument/2006/relationships/hyperlink" Target="https://di.unfccc.int/detailed_data_by_party" TargetMode="External" Id="rId109" /><Relationship Type="http://schemas.openxmlformats.org/officeDocument/2006/relationships/hyperlink" Target="https://doi.org/10.2908/ENV_AIR_GGE" TargetMode="External" Id="rId110" /><Relationship Type="http://schemas.openxmlformats.org/officeDocument/2006/relationships/hyperlink" Target="https://doi.org/10.2908/ENV_AIR_GGE" TargetMode="External" Id="rId111" /><Relationship Type="http://schemas.openxmlformats.org/officeDocument/2006/relationships/hyperlink" Target="https://www.eea.europa.eu/en/datahub/datahubitem-view/3b7fe76c-524a-439a-bfd2-a6e4046302a2" TargetMode="External" Id="rId112" /><Relationship Type="http://schemas.openxmlformats.org/officeDocument/2006/relationships/hyperlink" Target="https://www.eea.europa.eu/en/datahub/datahubitem-view/3b7fe76c-524a-439a-bfd2-a6e4046302a2" TargetMode="External" Id="rId113" /><Relationship Type="http://schemas.openxmlformats.org/officeDocument/2006/relationships/hyperlink" Target="https://www.eea.europa.eu/en/datahub/datahubitem-view/3b7fe76c-524a-439a-bfd2-a6e4046302a2" TargetMode="External" Id="rId114" /><Relationship Type="http://schemas.openxmlformats.org/officeDocument/2006/relationships/hyperlink" Target="https://www.eea.europa.eu/en/datahub/datahubitem-view/3b7fe76c-524a-439a-bfd2-a6e4046302a2" TargetMode="External" Id="rId115" /><Relationship Type="http://schemas.openxmlformats.org/officeDocument/2006/relationships/hyperlink" Target="https://www.eea.europa.eu/en/datahub/datahubitem-view/3b7fe76c-524a-439a-bfd2-a6e4046302a2" TargetMode="External" Id="rId116" /><Relationship Type="http://schemas.openxmlformats.org/officeDocument/2006/relationships/hyperlink" Target="https://www.eea.europa.eu/en/datahub/datahubitem-view/3b7fe76c-524a-439a-bfd2-a6e4046302a2" TargetMode="External" Id="rId117" /><Relationship Type="http://schemas.openxmlformats.org/officeDocument/2006/relationships/hyperlink" Target="https://www.eea.europa.eu/en/datahub/datahubitem-view/3b7fe76c-524a-439a-bfd2-a6e4046302a2" TargetMode="External" Id="rId118" /><Relationship Type="http://schemas.openxmlformats.org/officeDocument/2006/relationships/hyperlink" Target="https://doi.org/10.2908/ENV_AIR_GGE" TargetMode="External" Id="rId119" /><Relationship Type="http://schemas.openxmlformats.org/officeDocument/2006/relationships/hyperlink" Target="https://doi.org/10.2908/ENV_AIR_GGE" TargetMode="External" Id="rId120" /><Relationship Type="http://schemas.openxmlformats.org/officeDocument/2006/relationships/hyperlink" Target="https://doi.org/10.2908/ENV_AIR_GGE" TargetMode="External" Id="rId121" /><Relationship Type="http://schemas.openxmlformats.org/officeDocument/2006/relationships/hyperlink" Target="https://doi.org/10.2908/ENV_AIR_GGE" TargetMode="External" Id="rId122" /><Relationship Type="http://schemas.openxmlformats.org/officeDocument/2006/relationships/hyperlink" Target="https://doi.org/10.2908/ENV_AIR_GGE" TargetMode="External" Id="rId123" /><Relationship Type="http://schemas.openxmlformats.org/officeDocument/2006/relationships/hyperlink" Target="https://doi.org/10.2908/NRG_BAL_C" TargetMode="External" Id="rId124" /><Relationship Type="http://schemas.openxmlformats.org/officeDocument/2006/relationships/hyperlink" Target="https://www.eea.europa.eu/en/analysis/maps-and-charts/percentage-of-green-bond-issuances-1" TargetMode="External" Id="rId125" /><Relationship Type="http://schemas.openxmlformats.org/officeDocument/2006/relationships/hyperlink" Target="https://www.eea.europa.eu/en/analysis/maps-and-charts/percentage-of-green-bond-issuances-1" TargetMode="External" Id="rId126" /><Relationship Type="http://schemas.openxmlformats.org/officeDocument/2006/relationships/hyperlink" Target="https://doi.org/10.2908/RD_E_GERDTOT" TargetMode="External" Id="rId127" /><Relationship Type="http://schemas.openxmlformats.org/officeDocument/2006/relationships/hyperlink" Target="https://doi.org/10.2908/RD_E_GERDTOT" TargetMode="External" Id="rId128" /><Relationship Type="http://schemas.openxmlformats.org/officeDocument/2006/relationships/hyperlink" Target="https://doi.org/10.2908/RD_E_GERDTOT" TargetMode="External" Id="rId129" /></Relationships>
</file>

<file path=xl/worksheets/sheet1.xml><?xml version="1.0" encoding="utf-8"?>
<worksheet xmlns="http://schemas.openxmlformats.org/spreadsheetml/2006/main">
  <sheetPr>
    <tabColor rgb="004D7E83"/>
    <outlinePr summaryBelow="1" summaryRight="1"/>
    <pageSetUpPr/>
  </sheetPr>
  <dimension ref="A1:H23"/>
  <sheetViews>
    <sheetView showGridLines="0" zoomScale="100" workbookViewId="0">
      <selection activeCell="A1" sqref="A1"/>
    </sheetView>
  </sheetViews>
  <sheetFormatPr baseColWidth="8" defaultRowHeight="15"/>
  <cols>
    <col width="24" customWidth="1" min="1" max="1"/>
    <col width="22" customWidth="1" min="2" max="2"/>
    <col width="22" customWidth="1" min="3" max="3"/>
    <col width="22" customWidth="1" min="4" max="4"/>
    <col width="22" customWidth="1" min="5" max="5"/>
    <col width="20" customWidth="1" min="6" max="6"/>
    <col width="16" customWidth="1" min="7" max="7"/>
    <col width="16" customWidth="1" min="8" max="8"/>
  </cols>
  <sheetData>
    <row r="1" ht="26" customHeight="1">
      <c r="A1" s="1" t="inlineStr">
        <is>
          <t>ESABCC Indicators — the combined background workbook</t>
        </is>
      </c>
    </row>
    <row r="2" ht="30" customHeight="1">
      <c r="A2" s="2" t="inlineStr">
        <is>
          <t>Every progress indicator of the 2024 ESABCC report in one file: the indicator check (what has moved since the report, by chapter), the one figure carrying every move at once, and the report's own figures next to the database's latest values with the arithmetic between them written out as a live Excel formula. 55 of the 97 indicators have gained data since January 2024.</t>
        </is>
      </c>
    </row>
    <row r="3">
      <c r="A3" s="3" t="inlineStr">
        <is>
          <t>Background document for the Summer Prep · Policy Gap 2.0 Report module · prepared 27 July 2026. This merges the three separate indicator workbooks into one — nothing on any sheet has changed by being combined.</t>
        </is>
      </c>
    </row>
    <row r="5">
      <c r="A5" s="4" t="inlineStr">
        <is>
          <t>What is in this workbook</t>
        </is>
      </c>
    </row>
    <row r="6" ht="20" customHeight="1">
      <c r="A6" s="5" t="inlineStr">
        <is>
          <t>Sheet group</t>
        </is>
      </c>
      <c r="B6" s="5" t="inlineStr">
        <is>
          <t>What it holds</t>
        </is>
      </c>
      <c r="C6" s="5" t="inlineStr"/>
      <c r="D6" s="5" t="inlineStr"/>
      <c r="E6" s="5" t="inlineStr"/>
      <c r="F6" s="5" t="inlineStr"/>
      <c r="G6" s="5" t="inlineStr"/>
      <c r="H6" s="5" t="inlineStr"/>
    </row>
    <row r="7" ht="46" customHeight="1">
      <c r="A7" s="6" t="inlineStr">
        <is>
          <t>Overview</t>
        </is>
      </c>
      <c r="B7" s="7" t="inlineStr">
        <is>
          <t>All indicators in one table — baseline, latest value, change — plus the two overview figures: the largest moves since the report, and how many indicators have new data per chapter. Part of the Indicator Check.</t>
        </is>
      </c>
      <c r="C7" s="8" t="n"/>
      <c r="D7" s="8" t="n"/>
      <c r="E7" s="8" t="n"/>
      <c r="F7" s="8" t="n"/>
      <c r="G7" s="8" t="n"/>
      <c r="H7" s="8" t="n"/>
    </row>
    <row r="8" ht="46" customHeight="1">
      <c r="A8" s="9" t="inlineStr">
        <is>
          <t>Emissions … Fairness, Adaptation (one tab per chapter)</t>
        </is>
      </c>
      <c r="B8" s="10" t="inlineStr">
        <is>
          <t>The chapter's indicators as a table, then every indicator's full series as its own small table and line chart. Part of the Indicator Check.</t>
        </is>
      </c>
      <c r="C8" s="11" t="n"/>
      <c r="D8" s="11" t="n"/>
      <c r="E8" s="11" t="n"/>
      <c r="F8" s="11" t="n"/>
      <c r="G8" s="11" t="n"/>
      <c r="H8" s="11" t="n"/>
    </row>
    <row r="9" ht="46" customHeight="1">
      <c r="A9" s="6" t="inlineStr">
        <is>
          <t>Data (long)</t>
        </is>
      </c>
      <c r="B9" s="7" t="inlineStr">
        <is>
          <t>Every data point of every indicator in one flat table — the sheet to pivot or filter. Part of the Indicator Check.</t>
        </is>
      </c>
      <c r="C9" s="8" t="n"/>
      <c r="D9" s="8" t="n"/>
      <c r="E9" s="8" t="n"/>
      <c r="F9" s="8" t="n"/>
      <c r="G9" s="8" t="n"/>
      <c r="H9" s="8" t="n"/>
    </row>
    <row r="10" ht="46" customHeight="1">
      <c r="A10" s="9" t="inlineStr">
        <is>
          <t>Where the data comes from</t>
        </is>
      </c>
      <c r="B10" s="10" t="inlineStr">
        <is>
          <t>For every point added since the report: the calc inputs it is built from, the formula, the exact source query — with a DOI link where the dataset has one — and the 27 July 2026 fact-check verdict. Part of the Indicator Check.</t>
        </is>
      </c>
      <c r="C10" s="11" t="n"/>
      <c r="D10" s="11" t="n"/>
      <c r="E10" s="11" t="n"/>
      <c r="F10" s="11" t="n"/>
      <c r="G10" s="11" t="n"/>
      <c r="H10" s="11" t="n"/>
    </row>
    <row r="11" ht="46" customHeight="1">
      <c r="A11" s="6" t="inlineStr">
        <is>
          <t>New data</t>
        </is>
      </c>
      <c r="B11" s="7" t="inlineStr">
        <is>
          <t>Everything that has moved since the report in one figure, indexed to each indicator's own report baseline so indicators in wildly different units are still comparable.</t>
        </is>
      </c>
      <c r="C11" s="8" t="n"/>
      <c r="D11" s="8" t="n"/>
      <c r="E11" s="8" t="n"/>
      <c r="F11" s="8" t="n"/>
      <c r="G11" s="8" t="n"/>
      <c r="H11" s="8" t="n"/>
    </row>
    <row r="12" ht="46" customHeight="1">
      <c r="A12" s="9" t="inlineStr">
        <is>
          <t>Old vs new</t>
        </is>
      </c>
      <c r="B12" s="10" t="inlineStr">
        <is>
          <t>One row per indicator: the report's own figure, the database's latest value, the change, and how that later figure was obtained — with a Primary source hyperlink where the dataset has a DOI.</t>
        </is>
      </c>
      <c r="C12" s="11" t="n"/>
      <c r="D12" s="11" t="n"/>
      <c r="E12" s="11" t="n"/>
      <c r="F12" s="11" t="n"/>
      <c r="G12" s="11" t="n"/>
      <c r="H12" s="11" t="n"/>
    </row>
    <row r="13" ht="46" customHeight="1">
      <c r="A13" s="6" t="inlineStr">
        <is>
          <t>Derivations</t>
        </is>
      </c>
      <c r="B13" s="7" t="inlineStr">
        <is>
          <t>The calc grid behind every indicator as LIVE EXCEL FORMULAS — click a Value cell and Excel shows the arithmetic over the inputs in the same block.</t>
        </is>
      </c>
      <c r="C13" s="8" t="n"/>
      <c r="D13" s="8" t="n"/>
      <c r="E13" s="8" t="n"/>
      <c r="F13" s="8" t="n"/>
      <c r="G13" s="8" t="n"/>
      <c r="H13" s="8" t="n"/>
    </row>
    <row r="14" ht="46" customHeight="1">
      <c r="A14" s="9" t="inlineStr">
        <is>
          <t>Sources</t>
        </is>
      </c>
      <c r="B14" s="10" t="inlineStr">
        <is>
          <t>The exact source query behind every input column in Derivations, with a DOI link where the dataset has one.</t>
        </is>
      </c>
      <c r="C14" s="11" t="n"/>
      <c r="D14" s="11" t="n"/>
      <c r="E14" s="11" t="n"/>
      <c r="F14" s="11" t="n"/>
      <c r="G14" s="11" t="n"/>
      <c r="H14" s="11" t="n"/>
    </row>
    <row r="16">
      <c r="A16" s="4" t="inlineStr">
        <is>
          <t>Exact dataset links</t>
        </is>
      </c>
    </row>
    <row r="17" ht="34" customHeight="1">
      <c r="A17" s="12" t="inlineStr">
        <is>
          <t>• Where a source names one of the 17 Eurostat datasets behind these indicators, its cell is a live hyperlink to that dataset's DOI (https://doi.org/10.2908/&lt;CODE&gt;), which resolves to the Eurostat databrowser page. Non-Eurostat publishers (EEA, EAFO, IRENA, EHPA, SolarPower Europe, WindEurope, UNFCCC/CRF, Eurofer, Cembureau, BloombergNEF) do not mint DOIs, so their cell links to the canonical landing page instead.</t>
        </is>
      </c>
    </row>
    <row r="18" ht="34" customHeight="1">
      <c r="A18" s="12" t="inlineStr">
        <is>
          <t>• A source that names no recognised dataset or publisher is left as plain text — no link is guessed.</t>
        </is>
      </c>
    </row>
    <row r="20">
      <c r="A20" s="4" t="inlineStr">
        <is>
          <t>Source</t>
        </is>
      </c>
    </row>
    <row r="21" ht="34" customHeight="1">
      <c r="A21" s="13" t="inlineStr">
        <is>
          <t>Indicators</t>
        </is>
      </c>
      <c r="B21" s="12" t="inlineStr">
        <is>
          <t>The progress indicators of ESABCC (2024) “Towards EU climate neutrality: Progress, policy gaps and opportunities”.</t>
        </is>
      </c>
    </row>
    <row r="22" ht="34" customHeight="1">
      <c r="A22" s="13" t="inlineStr">
        <is>
          <t>Data source</t>
        </is>
      </c>
      <c r="B22" s="12" t="inlineStr">
        <is>
          <t>The Policy Gap 2.0 Project Workspace indicator database (src/data/esabcc-indicators.ts and the calc grids in supabase/migrations/045, 052, 078, 079, 080).</t>
        </is>
      </c>
    </row>
    <row r="23" ht="34" customHeight="1">
      <c r="A23" s="13" t="inlineStr">
        <is>
          <t>Vintage</t>
        </is>
      </c>
      <c r="B23" s="12" t="inlineStr">
        <is>
          <t>Compiled 27 July 2026. Source publishers revise: re-check before quoting a figure externally.</t>
        </is>
      </c>
    </row>
  </sheetData>
  <mergeCells count="16">
    <mergeCell ref="A18:H18"/>
    <mergeCell ref="B22:H22"/>
    <mergeCell ref="B8:H8"/>
    <mergeCell ref="A3:H3"/>
    <mergeCell ref="B14:H14"/>
    <mergeCell ref="B23:H23"/>
    <mergeCell ref="B9:H9"/>
    <mergeCell ref="B13:H13"/>
    <mergeCell ref="B21:H21"/>
    <mergeCell ref="A2:H2"/>
    <mergeCell ref="B12:H12"/>
    <mergeCell ref="B7:H7"/>
    <mergeCell ref="A1:H1"/>
    <mergeCell ref="B10:H10"/>
    <mergeCell ref="B11:H11"/>
    <mergeCell ref="A17:H17"/>
  </mergeCells>
  <pageMargins left="0.75" right="0.75" top="1" bottom="1" header="0.5" footer="0.5"/>
</worksheet>
</file>

<file path=xl/worksheets/sheet2.xml><?xml version="1.0" encoding="utf-8"?>
<worksheet xmlns="http://schemas.openxmlformats.org/spreadsheetml/2006/main">
  <sheetPr>
    <tabColor rgb="004D7E83"/>
    <outlinePr summaryBelow="1" summaryRight="1"/>
    <pageSetUpPr/>
  </sheetPr>
  <dimension ref="A1:M138"/>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46" customWidth="1" min="2" max="2"/>
    <col width="16" customWidth="1" min="3" max="3"/>
    <col width="14" customWidth="1" min="4" max="4"/>
    <col width="13" customWidth="1" min="5" max="5"/>
    <col width="13" customWidth="1" min="6" max="6"/>
    <col width="11" customWidth="1" min="7" max="7"/>
    <col width="12" customWidth="1" min="8" max="8"/>
    <col width="11" customWidth="1" min="9" max="9"/>
    <col width="11" customWidth="1" min="10" max="10"/>
    <col width="13" customWidth="1" min="11" max="11"/>
    <col width="30" customWidth="1" min="12" max="12"/>
    <col width="34" customWidth="1" min="13" max="13"/>
  </cols>
  <sheetData>
    <row r="1" ht="26" customHeight="1">
      <c r="A1" s="1" t="inlineStr">
        <is>
          <t>Every indicator, and what has moved</t>
        </is>
      </c>
    </row>
    <row r="2" ht="30" customHeight="1">
      <c r="A2" s="2" t="inlineStr">
        <is>
          <t>Baseline = the last figure the 2024 report carried; latest = the most recent point in the database. The change is arithmetic only — no better/worse reading is applied.</t>
        </is>
      </c>
    </row>
    <row r="4" ht="34" customHeight="1">
      <c r="A4" s="5" t="inlineStr">
        <is>
          <t>Code</t>
        </is>
      </c>
      <c r="B4" s="5" t="inlineStr">
        <is>
          <t>Indicator</t>
        </is>
      </c>
      <c r="C4" s="5" t="inlineStr">
        <is>
          <t>Chapter</t>
        </is>
      </c>
      <c r="D4" s="5" t="inlineStr">
        <is>
          <t>Unit</t>
        </is>
      </c>
      <c r="E4" s="5" t="inlineStr">
        <is>
          <t>Report baseline (year)</t>
        </is>
      </c>
      <c r="F4" s="5" t="inlineStr">
        <is>
          <t>Report baseline</t>
        </is>
      </c>
      <c r="G4" s="5" t="inlineStr">
        <is>
          <t>Latest (year)</t>
        </is>
      </c>
      <c r="H4" s="5" t="inlineStr">
        <is>
          <t>Latest value</t>
        </is>
      </c>
      <c r="I4" s="5" t="inlineStr">
        <is>
          <t>Change</t>
        </is>
      </c>
      <c r="J4" s="5" t="inlineStr">
        <is>
          <t>Change %</t>
        </is>
      </c>
      <c r="K4" s="5" t="inlineStr">
        <is>
          <t>New points since the report</t>
        </is>
      </c>
      <c r="L4" s="5" t="inlineStr">
        <is>
          <t>Source check (27 Jul 2026)</t>
        </is>
      </c>
      <c r="M4" s="5" t="inlineStr">
        <is>
          <t>Primary source</t>
        </is>
      </c>
    </row>
    <row r="5" ht="15" customHeight="1">
      <c r="A5" s="14" t="inlineStr">
        <is>
          <t>O1</t>
        </is>
      </c>
      <c r="B5" s="15" t="inlineStr">
        <is>
          <t>Total EU GHG emissions (European Climate Law scope)</t>
        </is>
      </c>
      <c r="C5" s="15" t="inlineStr">
        <is>
          <t>Emissions</t>
        </is>
      </c>
      <c r="D5" s="15" t="inlineStr">
        <is>
          <t>Mt CO₂eq</t>
        </is>
      </c>
      <c r="E5" s="16" t="n">
        <v>2022</v>
      </c>
      <c r="F5" s="17" t="n">
        <v>3333.9</v>
      </c>
      <c r="G5" s="16" t="n">
        <v>2024</v>
      </c>
      <c r="H5" s="17" t="n">
        <v>3043.2</v>
      </c>
      <c r="I5" s="17" t="n">
        <v>-290.7000000000003</v>
      </c>
      <c r="J5" s="18" t="n">
        <v>-0.08719517681994068</v>
      </c>
      <c r="K5" s="16" t="n">
        <v>2</v>
      </c>
      <c r="L5" s="19" t="inlineStr">
        <is>
          <t>Reproduces from the primary source</t>
        </is>
      </c>
      <c r="M5" s="20" t="inlineStr">
        <is>
          <t>EEA GHG data viewer; 2023+ Eurostat (env_air_gge)</t>
        </is>
      </c>
    </row>
    <row r="6" ht="15" customHeight="1">
      <c r="A6" s="21" t="inlineStr">
        <is>
          <t>O2 (PEC)</t>
        </is>
      </c>
      <c r="B6" s="22" t="inlineStr">
        <is>
          <t>Primary energy consumption (EU-27)</t>
        </is>
      </c>
      <c r="C6" s="22" t="inlineStr">
        <is>
          <t>Energy demand</t>
        </is>
      </c>
      <c r="D6" s="22" t="inlineStr">
        <is>
          <t>TWh</t>
        </is>
      </c>
      <c r="E6" s="23" t="n">
        <v>2021</v>
      </c>
      <c r="F6" s="24" t="n">
        <v>15248</v>
      </c>
      <c r="G6" s="23" t="n">
        <v>2024</v>
      </c>
      <c r="H6" s="24" t="n">
        <v>13883</v>
      </c>
      <c r="I6" s="24" t="n">
        <v>-1365</v>
      </c>
      <c r="J6" s="25" t="n">
        <v>-0.0895199370409234</v>
      </c>
      <c r="K6" s="23" t="n">
        <v>3</v>
      </c>
      <c r="L6" s="26" t="inlineStr">
        <is>
          <t>Reproduces from the primary source</t>
        </is>
      </c>
      <c r="M6" s="27" t="inlineStr">
        <is>
          <t>Eurostat (nrg_ind_eff)</t>
        </is>
      </c>
    </row>
    <row r="7" ht="15" customHeight="1">
      <c r="A7" s="28" t="inlineStr">
        <is>
          <t>O2 (FEC)</t>
        </is>
      </c>
      <c r="B7" s="15" t="inlineStr">
        <is>
          <t>Final energy consumption (EU-27)</t>
        </is>
      </c>
      <c r="C7" s="15" t="inlineStr">
        <is>
          <t>Energy demand</t>
        </is>
      </c>
      <c r="D7" s="15" t="inlineStr">
        <is>
          <t>TWh</t>
        </is>
      </c>
      <c r="E7" s="16" t="n">
        <v>2021</v>
      </c>
      <c r="F7" s="17" t="n">
        <v>11263</v>
      </c>
      <c r="G7" s="16" t="n">
        <v>2024</v>
      </c>
      <c r="H7" s="17" t="n">
        <v>10471.8</v>
      </c>
      <c r="I7" s="17" t="n">
        <v>-791.2000000000007</v>
      </c>
      <c r="J7" s="18" t="n">
        <v>-0.0702477137529966</v>
      </c>
      <c r="K7" s="16" t="n">
        <v>3</v>
      </c>
      <c r="L7" s="19" t="inlineStr">
        <is>
          <t>Reproduces from the primary source</t>
        </is>
      </c>
      <c r="M7" s="20" t="inlineStr">
        <is>
          <t>Eurostat (nrg_ind_eff)</t>
        </is>
      </c>
    </row>
    <row r="8" ht="15" customHeight="1">
      <c r="A8" s="21" t="inlineStr">
        <is>
          <t>O3</t>
        </is>
      </c>
      <c r="B8" s="22" t="inlineStr">
        <is>
          <t>Gross inland energy consumption (EU-27)</t>
        </is>
      </c>
      <c r="C8" s="22" t="inlineStr">
        <is>
          <t>Energy demand</t>
        </is>
      </c>
      <c r="D8" s="22" t="inlineStr">
        <is>
          <t>TWh</t>
        </is>
      </c>
      <c r="E8" s="23" t="n">
        <v>2021</v>
      </c>
      <c r="F8" s="24" t="n">
        <v>16534</v>
      </c>
      <c r="G8" s="23" t="n">
        <v>2024</v>
      </c>
      <c r="H8" s="24" t="n">
        <v>15023.9</v>
      </c>
      <c r="I8" s="24" t="n">
        <v>-1510.1</v>
      </c>
      <c r="J8" s="25" t="n">
        <v>-0.09133301076569494</v>
      </c>
      <c r="K8" s="23" t="n">
        <v>3</v>
      </c>
      <c r="L8" s="29" t="inlineStr">
        <is>
          <t>Published figure — source named, not re-derived</t>
        </is>
      </c>
      <c r="M8" s="27" t="inlineStr">
        <is>
          <t>Eurostat (nrg_bal_c)</t>
        </is>
      </c>
    </row>
    <row r="9" ht="15" customHeight="1">
      <c r="A9" s="30" t="inlineStr">
        <is>
          <t>E1</t>
        </is>
      </c>
      <c r="B9" s="15" t="inlineStr">
        <is>
          <t>Energy supply GHG emissions</t>
        </is>
      </c>
      <c r="C9" s="15" t="inlineStr">
        <is>
          <t>Energy supply</t>
        </is>
      </c>
      <c r="D9" s="15" t="inlineStr">
        <is>
          <t>Mt CO₂eq</t>
        </is>
      </c>
      <c r="E9" s="16" t="n">
        <v>2022</v>
      </c>
      <c r="F9" s="17" t="n">
        <v>924</v>
      </c>
      <c r="G9" s="16" t="n">
        <v>2024</v>
      </c>
      <c r="H9" s="17" t="n">
        <v>689.1</v>
      </c>
      <c r="I9" s="17" t="n">
        <v>-234.9</v>
      </c>
      <c r="J9" s="18" t="n">
        <v>-0.2542207792207792</v>
      </c>
      <c r="K9" s="16" t="n">
        <v>2</v>
      </c>
      <c r="L9" s="19" t="inlineStr">
        <is>
          <t>Reproduces from the primary source</t>
        </is>
      </c>
      <c r="M9" s="20" t="inlineStr">
        <is>
          <t>EEA GHG data viewer; 2023+ Eurostat (env_air_gge)</t>
        </is>
      </c>
    </row>
    <row r="10" ht="15" customHeight="1">
      <c r="A10" s="31" t="inlineStr">
        <is>
          <t>E2 (fossil)</t>
        </is>
      </c>
      <c r="B10" s="22" t="inlineStr">
        <is>
          <t>Fossil share of EU electricity mix</t>
        </is>
      </c>
      <c r="C10" s="22" t="inlineStr">
        <is>
          <t>Energy supply</t>
        </is>
      </c>
      <c r="D10" s="22" t="inlineStr">
        <is>
          <t>%</t>
        </is>
      </c>
      <c r="E10" s="23" t="n">
        <v>2022</v>
      </c>
      <c r="F10" s="24" t="n">
        <v>38.76</v>
      </c>
      <c r="G10" s="23" t="n">
        <v>2024</v>
      </c>
      <c r="H10" s="24" t="n">
        <v>28.11</v>
      </c>
      <c r="I10" s="24" t="n">
        <v>-10.65</v>
      </c>
      <c r="J10" s="25" t="n">
        <v>-0.2747678018575851</v>
      </c>
      <c r="K10" s="23" t="n">
        <v>2</v>
      </c>
      <c r="L10" s="26" t="inlineStr">
        <is>
          <t>Reproduces from the primary source</t>
        </is>
      </c>
      <c r="M10" s="27" t="inlineStr">
        <is>
          <t>Eurostat (nrg_bal_peh)</t>
        </is>
      </c>
    </row>
    <row r="11" ht="15" customHeight="1">
      <c r="A11" s="30" t="inlineStr">
        <is>
          <t>E2 (RES)</t>
        </is>
      </c>
      <c r="B11" s="15" t="inlineStr">
        <is>
          <t>Non-biomass renewable share of EU electricity mix</t>
        </is>
      </c>
      <c r="C11" s="15" t="inlineStr">
        <is>
          <t>Energy supply</t>
        </is>
      </c>
      <c r="D11" s="15" t="inlineStr">
        <is>
          <t>%</t>
        </is>
      </c>
      <c r="E11" s="16" t="n">
        <v>2022</v>
      </c>
      <c r="F11" s="17" t="n">
        <v>33.76</v>
      </c>
      <c r="G11" s="16" t="n">
        <v>2024</v>
      </c>
      <c r="H11" s="17" t="n">
        <v>43.21</v>
      </c>
      <c r="I11" s="17" t="n">
        <v>9.450000000000003</v>
      </c>
      <c r="J11" s="18" t="n">
        <v>0.2799170616113745</v>
      </c>
      <c r="K11" s="16" t="n">
        <v>2</v>
      </c>
      <c r="L11" s="32" t="inlineStr">
        <is>
          <t>2–5% off the source — see the fact-check</t>
        </is>
      </c>
      <c r="M11" s="20" t="inlineStr">
        <is>
          <t>Eurostat (nrg_bal_peh)</t>
        </is>
      </c>
    </row>
    <row r="12" ht="15" customHeight="1">
      <c r="A12" s="31" t="inlineStr">
        <is>
          <t>E3</t>
        </is>
      </c>
      <c r="B12" s="22" t="inlineStr">
        <is>
          <t>Average GHG intensity of EU electricity</t>
        </is>
      </c>
      <c r="C12" s="22" t="inlineStr">
        <is>
          <t>Energy supply</t>
        </is>
      </c>
      <c r="D12" s="22" t="inlineStr">
        <is>
          <t>g CO₂eq/kWh</t>
        </is>
      </c>
      <c r="E12" s="23" t="n">
        <v>2022</v>
      </c>
      <c r="F12" s="24" t="n">
        <v>251</v>
      </c>
      <c r="G12" s="23" t="n">
        <v>2024</v>
      </c>
      <c r="H12" s="24" t="n">
        <v>187.4</v>
      </c>
      <c r="I12" s="24" t="n">
        <v>-63.59999999999999</v>
      </c>
      <c r="J12" s="25" t="n">
        <v>-0.2533864541832669</v>
      </c>
      <c r="K12" s="23" t="n">
        <v>2</v>
      </c>
      <c r="L12" s="26" t="inlineStr">
        <is>
          <t>Reproduces from the primary source</t>
        </is>
      </c>
      <c r="M12" s="27" t="inlineStr">
        <is>
          <t>EEA</t>
        </is>
      </c>
    </row>
    <row r="13" ht="15" customHeight="1">
      <c r="A13" s="30" t="inlineStr">
        <is>
          <t>E4a</t>
        </is>
      </c>
      <c r="B13" s="15" t="inlineStr">
        <is>
          <t>Annual solar PV capacity additions (EU)</t>
        </is>
      </c>
      <c r="C13" s="15" t="inlineStr">
        <is>
          <t>Energy supply</t>
        </is>
      </c>
      <c r="D13" s="15" t="inlineStr">
        <is>
          <t>GW/yr</t>
        </is>
      </c>
      <c r="E13" s="16" t="n">
        <v>2021</v>
      </c>
      <c r="F13" s="17" t="n">
        <v>25.7</v>
      </c>
      <c r="G13" s="16" t="n">
        <v>2024</v>
      </c>
      <c r="H13" s="17" t="n">
        <v>60.96</v>
      </c>
      <c r="I13" s="17" t="n">
        <v>35.26000000000001</v>
      </c>
      <c r="J13" s="18" t="n">
        <v>1.371984435797665</v>
      </c>
      <c r="K13" s="16" t="n">
        <v>3</v>
      </c>
      <c r="L13" s="33" t="inlineStr">
        <is>
          <t>Published figure — source named, not re-derived</t>
        </is>
      </c>
      <c r="M13" s="34" t="inlineStr">
        <is>
          <t>Eurostat (nrg_inf_epcrw)</t>
        </is>
      </c>
    </row>
    <row r="14" ht="15" customHeight="1">
      <c r="A14" s="31" t="inlineStr">
        <is>
          <t>E4b/c</t>
        </is>
      </c>
      <c r="B14" s="22" t="inlineStr">
        <is>
          <t>Annual wind capacity additions (EU)</t>
        </is>
      </c>
      <c r="C14" s="22" t="inlineStr">
        <is>
          <t>Energy supply</t>
        </is>
      </c>
      <c r="D14" s="22" t="inlineStr">
        <is>
          <t>GW/yr</t>
        </is>
      </c>
      <c r="E14" s="23" t="n">
        <v>2021</v>
      </c>
      <c r="F14" s="24" t="n">
        <v>10.72</v>
      </c>
      <c r="G14" s="23" t="n">
        <v>2024</v>
      </c>
      <c r="H14" s="24" t="n">
        <v>15.32</v>
      </c>
      <c r="I14" s="24" t="n">
        <v>4.6</v>
      </c>
      <c r="J14" s="25" t="n">
        <v>0.4291044776119403</v>
      </c>
      <c r="K14" s="23" t="n">
        <v>3</v>
      </c>
      <c r="L14" s="29" t="inlineStr">
        <is>
          <t>Published figure — source named, not re-derived</t>
        </is>
      </c>
      <c r="M14" s="35" t="inlineStr">
        <is>
          <t>Eurostat (nrg_inf_epcrw)</t>
        </is>
      </c>
    </row>
    <row r="15" ht="15" customHeight="1">
      <c r="A15" s="28" t="inlineStr">
        <is>
          <t>E5</t>
        </is>
      </c>
      <c r="B15" s="15" t="inlineStr">
        <is>
          <t>Electrification rate of final energy use</t>
        </is>
      </c>
      <c r="C15" s="15" t="inlineStr">
        <is>
          <t>Energy demand</t>
        </is>
      </c>
      <c r="D15" s="15" t="inlineStr">
        <is>
          <t>%</t>
        </is>
      </c>
      <c r="E15" s="16" t="n">
        <v>2021</v>
      </c>
      <c r="F15" s="17" t="n">
        <v>22.75</v>
      </c>
      <c r="G15" s="16" t="n">
        <v>2024</v>
      </c>
      <c r="H15" s="17" t="n">
        <v>23.44</v>
      </c>
      <c r="I15" s="17" t="n">
        <v>0.6900000000000013</v>
      </c>
      <c r="J15" s="18" t="n">
        <v>0.03032967032967039</v>
      </c>
      <c r="K15" s="16" t="n">
        <v>3</v>
      </c>
      <c r="L15" s="34" t="inlineStr">
        <is>
          <t>—</t>
        </is>
      </c>
      <c r="M15" s="20" t="inlineStr">
        <is>
          <t>Eurostat (nrg_bal_c)</t>
        </is>
      </c>
    </row>
    <row r="16" ht="15" customHeight="1">
      <c r="A16" s="31" t="inlineStr">
        <is>
          <t>E6</t>
        </is>
      </c>
      <c r="B16" s="22" t="inlineStr">
        <is>
          <t>Energy-related methane emissions (EU-27)</t>
        </is>
      </c>
      <c r="C16" s="22" t="inlineStr">
        <is>
          <t>Energy supply</t>
        </is>
      </c>
      <c r="D16" s="22" t="inlineStr">
        <is>
          <t>Mt CO₂eq</t>
        </is>
      </c>
      <c r="E16" s="23" t="n">
        <v>2021</v>
      </c>
      <c r="F16" s="24" t="n">
        <v>69.91</v>
      </c>
      <c r="G16" s="23" t="n">
        <v>2024</v>
      </c>
      <c r="H16" s="24" t="n">
        <v>57.77</v>
      </c>
      <c r="I16" s="24" t="n">
        <v>-12.13999999999999</v>
      </c>
      <c r="J16" s="25" t="n">
        <v>-0.1736518380775282</v>
      </c>
      <c r="K16" s="23" t="n">
        <v>3</v>
      </c>
      <c r="L16" s="26" t="inlineStr">
        <is>
          <t>Reproduces from the primary source</t>
        </is>
      </c>
      <c r="M16" s="27" t="inlineStr">
        <is>
          <t>EEA GHG data viewer; 2022+ Eurostat (env_air_gge)</t>
        </is>
      </c>
    </row>
    <row r="17" ht="15" customHeight="1">
      <c r="A17" s="36" t="inlineStr">
        <is>
          <t>I1</t>
        </is>
      </c>
      <c r="B17" s="15" t="inlineStr">
        <is>
          <t>Industrial GHG emissions</t>
        </is>
      </c>
      <c r="C17" s="15" t="inlineStr">
        <is>
          <t>Industry</t>
        </is>
      </c>
      <c r="D17" s="15" t="inlineStr">
        <is>
          <t>Mt CO₂eq</t>
        </is>
      </c>
      <c r="E17" s="16" t="n">
        <v>2022</v>
      </c>
      <c r="F17" s="17" t="n">
        <v>691.3</v>
      </c>
      <c r="G17" s="16" t="n">
        <v>2024</v>
      </c>
      <c r="H17" s="17" t="n">
        <v>611.4</v>
      </c>
      <c r="I17" s="17" t="n">
        <v>-79.89999999999998</v>
      </c>
      <c r="J17" s="18" t="n">
        <v>-0.1155793432663098</v>
      </c>
      <c r="K17" s="16" t="n">
        <v>2</v>
      </c>
      <c r="L17" s="19" t="inlineStr">
        <is>
          <t>Reproduces from the primary source</t>
        </is>
      </c>
      <c r="M17" s="20" t="inlineStr">
        <is>
          <t>EEA GHG data viewer (Eurostat env_air_gge mirror)</t>
        </is>
      </c>
    </row>
    <row r="18" ht="15" customHeight="1">
      <c r="A18" s="37" t="inlineStr">
        <is>
          <t>I3</t>
        </is>
      </c>
      <c r="B18" s="22" t="inlineStr">
        <is>
          <t>Circular material use rate (EU)</t>
        </is>
      </c>
      <c r="C18" s="22" t="inlineStr">
        <is>
          <t>Industry</t>
        </is>
      </c>
      <c r="D18" s="22" t="inlineStr">
        <is>
          <t>%</t>
        </is>
      </c>
      <c r="E18" s="23" t="n">
        <v>2021</v>
      </c>
      <c r="F18" s="24" t="n">
        <v>11.7</v>
      </c>
      <c r="G18" s="23" t="n">
        <v>2024</v>
      </c>
      <c r="H18" s="24" t="n">
        <v>12.2</v>
      </c>
      <c r="I18" s="24" t="n">
        <v>0.5</v>
      </c>
      <c r="J18" s="25" t="n">
        <v>0.04273504273504274</v>
      </c>
      <c r="K18" s="23" t="n">
        <v>3</v>
      </c>
      <c r="L18" s="26" t="inlineStr">
        <is>
          <t>Reproduces from the primary source</t>
        </is>
      </c>
      <c r="M18" s="27" t="inlineStr">
        <is>
          <t>Eurostat (cei_srm030)</t>
        </is>
      </c>
    </row>
    <row r="19" ht="15" customHeight="1">
      <c r="A19" s="36" t="inlineStr">
        <is>
          <t>I4 (steel)</t>
        </is>
      </c>
      <c r="B19" s="15" t="inlineStr">
        <is>
          <t>GHG intensity of EU steel production</t>
        </is>
      </c>
      <c r="C19" s="15" t="inlineStr">
        <is>
          <t>Industry</t>
        </is>
      </c>
      <c r="D19" s="15" t="inlineStr">
        <is>
          <t>t CO₂eq/t</t>
        </is>
      </c>
      <c r="E19" s="16" t="n">
        <v>2021</v>
      </c>
      <c r="F19" s="17" t="n">
        <v>0.9623</v>
      </c>
      <c r="G19" s="16" t="n">
        <v>2021</v>
      </c>
      <c r="H19" s="17" t="n">
        <v>0.9623</v>
      </c>
      <c r="I19" s="17" t="n"/>
      <c r="J19" s="18" t="n"/>
      <c r="K19" s="16" t="n"/>
      <c r="L19" s="34" t="inlineStr">
        <is>
          <t>—</t>
        </is>
      </c>
      <c r="M19" s="20" t="inlineStr">
        <is>
          <t>EEA + Eurofer</t>
        </is>
      </c>
    </row>
    <row r="20" ht="15" customHeight="1">
      <c r="A20" s="37" t="inlineStr">
        <is>
          <t>I4 (cement)</t>
        </is>
      </c>
      <c r="B20" s="22" t="inlineStr">
        <is>
          <t>GHG intensity of EU cement production</t>
        </is>
      </c>
      <c r="C20" s="22" t="inlineStr">
        <is>
          <t>Industry</t>
        </is>
      </c>
      <c r="D20" s="22" t="inlineStr">
        <is>
          <t>t CO₂eq/t</t>
        </is>
      </c>
      <c r="E20" s="23" t="n">
        <v>2021</v>
      </c>
      <c r="F20" s="24" t="n">
        <v>0.6038</v>
      </c>
      <c r="G20" s="23" t="n">
        <v>2021</v>
      </c>
      <c r="H20" s="24" t="n">
        <v>0.6038</v>
      </c>
      <c r="I20" s="24" t="n"/>
      <c r="J20" s="25" t="n"/>
      <c r="K20" s="23" t="n"/>
      <c r="L20" s="35" t="inlineStr">
        <is>
          <t>—</t>
        </is>
      </c>
      <c r="M20" s="27" t="inlineStr">
        <is>
          <t>EEA + Cembureau</t>
        </is>
      </c>
    </row>
    <row r="21" ht="15" customHeight="1">
      <c r="A21" s="36" t="inlineStr">
        <is>
          <t>I4 (chemicals)</t>
        </is>
      </c>
      <c r="B21" s="15" t="inlineStr">
        <is>
          <t>GHG intensity of EU base organic chemicals</t>
        </is>
      </c>
      <c r="C21" s="15" t="inlineStr">
        <is>
          <t>Industry</t>
        </is>
      </c>
      <c r="D21" s="15" t="inlineStr">
        <is>
          <t>t CO₂eq/t</t>
        </is>
      </c>
      <c r="E21" s="16" t="n">
        <v>2022</v>
      </c>
      <c r="F21" s="17" t="n">
        <v>0.767</v>
      </c>
      <c r="G21" s="16" t="n">
        <v>2022</v>
      </c>
      <c r="H21" s="17" t="n">
        <v>0.767</v>
      </c>
      <c r="I21" s="17" t="n"/>
      <c r="J21" s="18" t="n"/>
      <c r="K21" s="16" t="n"/>
      <c r="L21" s="34" t="inlineStr">
        <is>
          <t>—</t>
        </is>
      </c>
      <c r="M21" s="20" t="inlineStr">
        <is>
          <t>EEA + Eurostat (DS-056120)</t>
        </is>
      </c>
    </row>
    <row r="22" ht="15" customHeight="1">
      <c r="A22" s="37" t="inlineStr">
        <is>
          <t>I5</t>
        </is>
      </c>
      <c r="B22" s="22" t="inlineStr">
        <is>
          <t>Industrial final energy consumption (EU)</t>
        </is>
      </c>
      <c r="C22" s="22" t="inlineStr">
        <is>
          <t>Industry</t>
        </is>
      </c>
      <c r="D22" s="22" t="inlineStr">
        <is>
          <t>TWh</t>
        </is>
      </c>
      <c r="E22" s="23" t="n">
        <v>2021</v>
      </c>
      <c r="F22" s="24" t="n">
        <v>2795.2</v>
      </c>
      <c r="G22" s="23" t="n">
        <v>2023</v>
      </c>
      <c r="H22" s="24" t="n">
        <v>2501.3</v>
      </c>
      <c r="I22" s="24" t="n">
        <v>-293.8999999999996</v>
      </c>
      <c r="J22" s="25" t="n">
        <v>-0.1051445334859758</v>
      </c>
      <c r="K22" s="23" t="n">
        <v>2</v>
      </c>
      <c r="L22" s="29" t="inlineStr">
        <is>
          <t>Published figure — source named, not re-derived</t>
        </is>
      </c>
      <c r="M22" s="27" t="inlineStr">
        <is>
          <t>Eurostat (nrg_bal_c)</t>
        </is>
      </c>
    </row>
    <row r="23" ht="15" customHeight="1">
      <c r="A23" s="36" t="inlineStr">
        <is>
          <t>I6</t>
        </is>
      </c>
      <c r="B23" s="15" t="inlineStr">
        <is>
          <t>Electricity share of industrial final energy use</t>
        </is>
      </c>
      <c r="C23" s="15" t="inlineStr">
        <is>
          <t>Industry</t>
        </is>
      </c>
      <c r="D23" s="15" t="inlineStr">
        <is>
          <t>%</t>
        </is>
      </c>
      <c r="E23" s="16" t="n">
        <v>2021</v>
      </c>
      <c r="F23" s="17" t="n">
        <v>33.22</v>
      </c>
      <c r="G23" s="16" t="n">
        <v>2024</v>
      </c>
      <c r="H23" s="17" t="n">
        <v>34.02</v>
      </c>
      <c r="I23" s="17" t="n">
        <v>0.8000000000000043</v>
      </c>
      <c r="J23" s="18" t="n">
        <v>0.02408187838651428</v>
      </c>
      <c r="K23" s="16" t="n">
        <v>3</v>
      </c>
      <c r="L23" s="32" t="inlineStr">
        <is>
          <t>2–5% off the source — see the fact-check</t>
        </is>
      </c>
      <c r="M23" s="20" t="inlineStr">
        <is>
          <t>Eurostat (nrg_bal_c)</t>
        </is>
      </c>
    </row>
    <row r="24" ht="15" customHeight="1">
      <c r="A24" s="38" t="inlineStr">
        <is>
          <t>T1</t>
        </is>
      </c>
      <c r="B24" s="22" t="inlineStr">
        <is>
          <t>Transport GHG emissions (EU)</t>
        </is>
      </c>
      <c r="C24" s="22" t="inlineStr">
        <is>
          <t>Transport</t>
        </is>
      </c>
      <c r="D24" s="22" t="inlineStr">
        <is>
          <t>Mt CO₂eq</t>
        </is>
      </c>
      <c r="E24" s="23" t="n">
        <v>2022</v>
      </c>
      <c r="F24" s="24" t="n">
        <v>906.6</v>
      </c>
      <c r="G24" s="23" t="n">
        <v>2024</v>
      </c>
      <c r="H24" s="24" t="n">
        <v>920</v>
      </c>
      <c r="I24" s="24" t="n">
        <v>13.39999999999998</v>
      </c>
      <c r="J24" s="25" t="n">
        <v>0.01478049856607101</v>
      </c>
      <c r="K24" s="23" t="n">
        <v>2</v>
      </c>
      <c r="L24" s="26" t="inlineStr">
        <is>
          <t>Reproduces from the primary source</t>
        </is>
      </c>
      <c r="M24" s="27" t="inlineStr">
        <is>
          <t>EEA GHG data viewer (Eurostat env_air_gge mirror)</t>
        </is>
      </c>
    </row>
    <row r="25" ht="15" customHeight="1">
      <c r="A25" s="39" t="inlineStr">
        <is>
          <t>T2a</t>
        </is>
      </c>
      <c r="B25" s="15" t="inlineStr">
        <is>
          <t>Total passenger transport demand</t>
        </is>
      </c>
      <c r="C25" s="15" t="inlineStr">
        <is>
          <t>Transport</t>
        </is>
      </c>
      <c r="D25" s="15" t="inlineStr">
        <is>
          <t>Gpkm</t>
        </is>
      </c>
      <c r="E25" s="16" t="n">
        <v>2020</v>
      </c>
      <c r="F25" s="17" t="n">
        <v>4435.8</v>
      </c>
      <c r="G25" s="16" t="n">
        <v>2023</v>
      </c>
      <c r="H25" s="17" t="n">
        <v>5932</v>
      </c>
      <c r="I25" s="17" t="n">
        <v>1496.2</v>
      </c>
      <c r="J25" s="18" t="n">
        <v>0.3373010505433067</v>
      </c>
      <c r="K25" s="16" t="n">
        <v>2</v>
      </c>
      <c r="L25" s="33" t="inlineStr">
        <is>
          <t>Published figure — source named, not re-derived</t>
        </is>
      </c>
      <c r="M25" s="34" t="inlineStr">
        <is>
          <t>European Commission, DG MOVE — EU transport in figures: statistical pocketbook</t>
        </is>
      </c>
    </row>
    <row r="26" ht="15" customHeight="1">
      <c r="A26" s="38" t="inlineStr">
        <is>
          <t>T2b</t>
        </is>
      </c>
      <c r="B26" s="22" t="inlineStr">
        <is>
          <t>Total freight transport demand</t>
        </is>
      </c>
      <c r="C26" s="22" t="inlineStr">
        <is>
          <t>Transport</t>
        </is>
      </c>
      <c r="D26" s="22" t="inlineStr">
        <is>
          <t>Gtkm</t>
        </is>
      </c>
      <c r="E26" s="23" t="n">
        <v>2020</v>
      </c>
      <c r="F26" s="24" t="n">
        <v>2254</v>
      </c>
      <c r="G26" s="23" t="n">
        <v>2023</v>
      </c>
      <c r="H26" s="24" t="n">
        <v>2319</v>
      </c>
      <c r="I26" s="24" t="n">
        <v>65</v>
      </c>
      <c r="J26" s="25" t="n">
        <v>0.02883762200532387</v>
      </c>
      <c r="K26" s="23" t="n">
        <v>1</v>
      </c>
      <c r="L26" s="29" t="inlineStr">
        <is>
          <t>Published figure — source named, not re-derived</t>
        </is>
      </c>
      <c r="M26" s="35" t="inlineStr">
        <is>
          <t>European Commission, DG MOVE — EU transport in figures: statistical pocketbook</t>
        </is>
      </c>
    </row>
    <row r="27" ht="15" customHeight="1">
      <c r="A27" s="39" t="inlineStr">
        <is>
          <t>T3a</t>
        </is>
      </c>
      <c r="B27" s="15" t="inlineStr">
        <is>
          <t>Road share of motorised inland passenger transport</t>
        </is>
      </c>
      <c r="C27" s="15" t="inlineStr">
        <is>
          <t>Transport</t>
        </is>
      </c>
      <c r="D27" s="15" t="inlineStr">
        <is>
          <t>%</t>
        </is>
      </c>
      <c r="E27" s="16" t="n">
        <v>2020</v>
      </c>
      <c r="F27" s="17" t="n">
        <v>86.5</v>
      </c>
      <c r="G27" s="16" t="n">
        <v>2024</v>
      </c>
      <c r="H27" s="17" t="n">
        <v>83.3</v>
      </c>
      <c r="I27" s="17" t="n">
        <v>-3.200000000000003</v>
      </c>
      <c r="J27" s="18" t="n">
        <v>-0.03699421965317922</v>
      </c>
      <c r="K27" s="16" t="n">
        <v>4</v>
      </c>
      <c r="L27" s="34" t="inlineStr">
        <is>
          <t>—</t>
        </is>
      </c>
      <c r="M27" s="34" t="inlineStr">
        <is>
          <t>European Commission, DG MOVE — EU transport in figures: statistical pocketbook</t>
        </is>
      </c>
    </row>
    <row r="28" ht="15" customHeight="1">
      <c r="A28" s="38" t="inlineStr">
        <is>
          <t>T3b</t>
        </is>
      </c>
      <c r="B28" s="22" t="inlineStr">
        <is>
          <t>Intra-EU air passenger transport</t>
        </is>
      </c>
      <c r="C28" s="22" t="inlineStr">
        <is>
          <t>Transport</t>
        </is>
      </c>
      <c r="D28" s="22" t="inlineStr">
        <is>
          <t>Gpkm</t>
        </is>
      </c>
      <c r="E28" s="23" t="n">
        <v>2020</v>
      </c>
      <c r="F28" s="24" t="n">
        <v>177.9</v>
      </c>
      <c r="G28" s="23" t="n">
        <v>2023</v>
      </c>
      <c r="H28" s="24" t="n">
        <v>582</v>
      </c>
      <c r="I28" s="24" t="n">
        <v>404.1</v>
      </c>
      <c r="J28" s="25" t="n">
        <v>2.27150084317032</v>
      </c>
      <c r="K28" s="23" t="n">
        <v>2</v>
      </c>
      <c r="L28" s="29" t="inlineStr">
        <is>
          <t>Published figure — source named, not re-derived</t>
        </is>
      </c>
      <c r="M28" s="35" t="inlineStr">
        <is>
          <t>European Commission, DG MOVE — EU transport in figures: statistical pocketbook</t>
        </is>
      </c>
    </row>
    <row r="29" ht="15" customHeight="1">
      <c r="A29" s="39" t="inlineStr">
        <is>
          <t>T4</t>
        </is>
      </c>
      <c r="B29" s="15" t="inlineStr">
        <is>
          <t>Average CO₂ intensity of new passenger cars (WLTP)</t>
        </is>
      </c>
      <c r="C29" s="15" t="inlineStr">
        <is>
          <t>Transport</t>
        </is>
      </c>
      <c r="D29" s="15" t="inlineStr">
        <is>
          <t>g CO₂/km</t>
        </is>
      </c>
      <c r="E29" s="16" t="n">
        <v>2022</v>
      </c>
      <c r="F29" s="17" t="n">
        <v>108.2</v>
      </c>
      <c r="G29" s="16" t="n">
        <v>2025</v>
      </c>
      <c r="H29" s="17" t="n">
        <v>96.7</v>
      </c>
      <c r="I29" s="17" t="n">
        <v>-11.5</v>
      </c>
      <c r="J29" s="18" t="n">
        <v>-0.1062846580406654</v>
      </c>
      <c r="K29" s="16" t="n">
        <v>3</v>
      </c>
      <c r="L29" s="33" t="inlineStr">
        <is>
          <t>Published figure — source named, not re-derived</t>
        </is>
      </c>
      <c r="M29" s="20" t="inlineStr">
        <is>
          <t>EEA</t>
        </is>
      </c>
    </row>
    <row r="30" ht="15" customHeight="1">
      <c r="A30" s="38" t="inlineStr">
        <is>
          <t>T5a</t>
        </is>
      </c>
      <c r="B30" s="22" t="inlineStr">
        <is>
          <t>ZEV share of new passenger car registrations</t>
        </is>
      </c>
      <c r="C30" s="22" t="inlineStr">
        <is>
          <t>Transport</t>
        </is>
      </c>
      <c r="D30" s="22" t="inlineStr">
        <is>
          <t>%</t>
        </is>
      </c>
      <c r="E30" s="23" t="n">
        <v>2022</v>
      </c>
      <c r="F30" s="24" t="n">
        <v>13.41</v>
      </c>
      <c r="G30" s="23" t="n">
        <v>2025</v>
      </c>
      <c r="H30" s="24" t="n">
        <v>17.4</v>
      </c>
      <c r="I30" s="24" t="n">
        <v>3.989999999999998</v>
      </c>
      <c r="J30" s="25" t="n">
        <v>0.2975391498881431</v>
      </c>
      <c r="K30" s="23" t="n">
        <v>3</v>
      </c>
      <c r="L30" s="29" t="inlineStr">
        <is>
          <t>Published figure — source named, not re-derived</t>
        </is>
      </c>
      <c r="M30" s="27" t="inlineStr">
        <is>
          <t>EU Alternative Fuels Observatory</t>
        </is>
      </c>
    </row>
    <row r="31" ht="15" customHeight="1">
      <c r="A31" s="39" t="inlineStr">
        <is>
          <t>T5b</t>
        </is>
      </c>
      <c r="B31" s="15" t="inlineStr">
        <is>
          <t>Zero-emission lorries in the EU fleet</t>
        </is>
      </c>
      <c r="C31" s="15" t="inlineStr">
        <is>
          <t>Transport</t>
        </is>
      </c>
      <c r="D31" s="15" t="inlineStr">
        <is>
          <t>vehicles</t>
        </is>
      </c>
      <c r="E31" s="16" t="n">
        <v>2022</v>
      </c>
      <c r="F31" s="17" t="n">
        <v>3794</v>
      </c>
      <c r="G31" s="16" t="n">
        <v>2024</v>
      </c>
      <c r="H31" s="17" t="n">
        <v>9831</v>
      </c>
      <c r="I31" s="17" t="n">
        <v>6037</v>
      </c>
      <c r="J31" s="18" t="n">
        <v>1.591196626251977</v>
      </c>
      <c r="K31" s="16" t="n">
        <v>2</v>
      </c>
      <c r="L31" s="34" t="inlineStr">
        <is>
          <t>—</t>
        </is>
      </c>
      <c r="M31" s="20" t="inlineStr">
        <is>
          <t>EU Alternative Fuels Observatory; EEA for 2022</t>
        </is>
      </c>
    </row>
    <row r="32" ht="15" customHeight="1">
      <c r="A32" s="38" t="inlineStr">
        <is>
          <t>T6a</t>
        </is>
      </c>
      <c r="B32" s="22" t="inlineStr">
        <is>
          <t>Fossil share of transport energy use</t>
        </is>
      </c>
      <c r="C32" s="22" t="inlineStr">
        <is>
          <t>Transport</t>
        </is>
      </c>
      <c r="D32" s="22" t="inlineStr">
        <is>
          <t>%</t>
        </is>
      </c>
      <c r="E32" s="23" t="n">
        <v>2021</v>
      </c>
      <c r="F32" s="24" t="n">
        <v>93.44</v>
      </c>
      <c r="G32" s="23" t="n">
        <v>2024</v>
      </c>
      <c r="H32" s="24" t="n">
        <v>93.17</v>
      </c>
      <c r="I32" s="24" t="n">
        <v>-0.269999999999996</v>
      </c>
      <c r="J32" s="25" t="n">
        <v>-0.002889554794520505</v>
      </c>
      <c r="K32" s="23" t="n">
        <v>3</v>
      </c>
      <c r="L32" s="26" t="inlineStr">
        <is>
          <t>Reproduces from the primary source</t>
        </is>
      </c>
      <c r="M32" s="27" t="inlineStr">
        <is>
          <t>Eurostat (nrg_bal_s)</t>
        </is>
      </c>
    </row>
    <row r="33" ht="15" customHeight="1">
      <c r="A33" s="39" t="inlineStr">
        <is>
          <t>T6b</t>
        </is>
      </c>
      <c r="B33" s="15" t="inlineStr">
        <is>
          <t>Use of first-generation (food-crop) biofuels in transport</t>
        </is>
      </c>
      <c r="C33" s="15" t="inlineStr">
        <is>
          <t>Transport</t>
        </is>
      </c>
      <c r="D33" s="15" t="inlineStr">
        <is>
          <t>TWh</t>
        </is>
      </c>
      <c r="E33" s="16" t="n">
        <v>2015</v>
      </c>
      <c r="F33" s="17" t="n">
        <v>118.1</v>
      </c>
      <c r="G33" s="16" t="n">
        <v>2015</v>
      </c>
      <c r="H33" s="17" t="n">
        <v>118.1</v>
      </c>
      <c r="I33" s="17" t="n"/>
      <c r="J33" s="18" t="n"/>
      <c r="K33" s="16" t="n"/>
      <c r="L33" s="34" t="inlineStr">
        <is>
          <t>—</t>
        </is>
      </c>
      <c r="M33" s="34" t="inlineStr">
        <is>
          <t>SHARES summary</t>
        </is>
      </c>
    </row>
    <row r="34" ht="15" customHeight="1">
      <c r="A34" s="40" t="inlineStr">
        <is>
          <t>B1</t>
        </is>
      </c>
      <c r="B34" s="22" t="inlineStr">
        <is>
          <t>Residential + tertiary building GHG emissions</t>
        </is>
      </c>
      <c r="C34" s="22" t="inlineStr">
        <is>
          <t>Buildings</t>
        </is>
      </c>
      <c r="D34" s="22" t="inlineStr">
        <is>
          <t>Mt CO₂eq</t>
        </is>
      </c>
      <c r="E34" s="23" t="n">
        <v>2022</v>
      </c>
      <c r="F34" s="24" t="n">
        <v>481.8</v>
      </c>
      <c r="G34" s="23" t="n">
        <v>2024</v>
      </c>
      <c r="H34" s="24" t="n">
        <v>430.7</v>
      </c>
      <c r="I34" s="24" t="n">
        <v>-51.10000000000002</v>
      </c>
      <c r="J34" s="25" t="n">
        <v>-0.1060606060606061</v>
      </c>
      <c r="K34" s="23" t="n">
        <v>2</v>
      </c>
      <c r="L34" s="26" t="inlineStr">
        <is>
          <t>Reproduces from the primary source</t>
        </is>
      </c>
      <c r="M34" s="27" t="inlineStr">
        <is>
          <t>EEA GHG data viewer; 2023+ Eurostat (env_air_gge)</t>
        </is>
      </c>
    </row>
    <row r="35" ht="15" customHeight="1">
      <c r="A35" s="41" t="inlineStr">
        <is>
          <t>B2</t>
        </is>
      </c>
      <c r="B35" s="15" t="inlineStr">
        <is>
          <t>Final energy consumption in buildings</t>
        </is>
      </c>
      <c r="C35" s="15" t="inlineStr">
        <is>
          <t>Buildings</t>
        </is>
      </c>
      <c r="D35" s="15" t="inlineStr">
        <is>
          <t>TWh</t>
        </is>
      </c>
      <c r="E35" s="16" t="n">
        <v>2021</v>
      </c>
      <c r="F35" s="17" t="n">
        <v>4878.7</v>
      </c>
      <c r="G35" s="16" t="n">
        <v>2023</v>
      </c>
      <c r="H35" s="17" t="n">
        <v>4324.2</v>
      </c>
      <c r="I35" s="17" t="n">
        <v>-554.5</v>
      </c>
      <c r="J35" s="18" t="n">
        <v>-0.1136573267468793</v>
      </c>
      <c r="K35" s="16" t="n">
        <v>2</v>
      </c>
      <c r="L35" s="33" t="inlineStr">
        <is>
          <t>Published figure — source named, not re-derived</t>
        </is>
      </c>
      <c r="M35" s="20" t="inlineStr">
        <is>
          <t>Eurostat (nrg_bal_c)</t>
        </is>
      </c>
    </row>
    <row r="36" ht="15" customHeight="1">
      <c r="A36" s="40" t="inlineStr">
        <is>
          <t>B5a</t>
        </is>
      </c>
      <c r="B36" s="22" t="inlineStr">
        <is>
          <t>Fossil share of residential energy mix</t>
        </is>
      </c>
      <c r="C36" s="22" t="inlineStr">
        <is>
          <t>Buildings</t>
        </is>
      </c>
      <c r="D36" s="22" t="inlineStr">
        <is>
          <t>%</t>
        </is>
      </c>
      <c r="E36" s="23" t="n">
        <v>2021</v>
      </c>
      <c r="F36" s="24" t="n">
        <v>45.58</v>
      </c>
      <c r="G36" s="23" t="n">
        <v>2023</v>
      </c>
      <c r="H36" s="24" t="n">
        <v>42</v>
      </c>
      <c r="I36" s="24" t="n">
        <v>-3.579999999999998</v>
      </c>
      <c r="J36" s="25" t="n">
        <v>-0.07854322071083805</v>
      </c>
      <c r="K36" s="23" t="n">
        <v>1</v>
      </c>
      <c r="L36" s="29" t="inlineStr">
        <is>
          <t>Published figure — source named, not re-derived</t>
        </is>
      </c>
      <c r="M36" s="27" t="inlineStr">
        <is>
          <t>Eurostat (nrg_bal_c)</t>
        </is>
      </c>
    </row>
    <row r="37" ht="15" customHeight="1">
      <c r="A37" s="41" t="inlineStr">
        <is>
          <t>B5b</t>
        </is>
      </c>
      <c r="B37" s="15" t="inlineStr">
        <is>
          <t>Fossil share of tertiary energy mix</t>
        </is>
      </c>
      <c r="C37" s="15" t="inlineStr">
        <is>
          <t>Buildings</t>
        </is>
      </c>
      <c r="D37" s="15" t="inlineStr">
        <is>
          <t>%</t>
        </is>
      </c>
      <c r="E37" s="16" t="n">
        <v>2021</v>
      </c>
      <c r="F37" s="17" t="n">
        <v>38.74</v>
      </c>
      <c r="G37" s="16" t="n">
        <v>2023</v>
      </c>
      <c r="H37" s="17" t="n">
        <v>32.2</v>
      </c>
      <c r="I37" s="17" t="n">
        <v>-6.539999999999999</v>
      </c>
      <c r="J37" s="18" t="n">
        <v>-0.1688177594217862</v>
      </c>
      <c r="K37" s="16" t="n">
        <v>1</v>
      </c>
      <c r="L37" s="33" t="inlineStr">
        <is>
          <t>Published figure — source named, not re-derived</t>
        </is>
      </c>
      <c r="M37" s="20" t="inlineStr">
        <is>
          <t>Eurostat (nrg_bal_c)</t>
        </is>
      </c>
    </row>
    <row r="38" ht="15" customHeight="1">
      <c r="A38" s="40" t="inlineStr">
        <is>
          <t>B6</t>
        </is>
      </c>
      <c r="B38" s="22" t="inlineStr">
        <is>
          <t>EU stock of installed heat pumps</t>
        </is>
      </c>
      <c r="C38" s="22" t="inlineStr">
        <is>
          <t>Buildings</t>
        </is>
      </c>
      <c r="D38" s="22" t="inlineStr">
        <is>
          <t>million units</t>
        </is>
      </c>
      <c r="E38" s="23" t="n">
        <v>2022</v>
      </c>
      <c r="F38" s="24" t="n">
        <v>19.79</v>
      </c>
      <c r="G38" s="23" t="n">
        <v>2024</v>
      </c>
      <c r="H38" s="24" t="n">
        <v>25.5</v>
      </c>
      <c r="I38" s="24" t="n">
        <v>5.710000000000001</v>
      </c>
      <c r="J38" s="25" t="n">
        <v>0.2885295603840324</v>
      </c>
      <c r="K38" s="23" t="n">
        <v>2</v>
      </c>
      <c r="L38" s="29" t="inlineStr">
        <is>
          <t>Published figure — source named, not re-derived</t>
        </is>
      </c>
      <c r="M38" s="27" t="inlineStr">
        <is>
          <t>European Heat Pump Association</t>
        </is>
      </c>
    </row>
    <row r="39" ht="15" customHeight="1">
      <c r="A39" s="42" t="inlineStr">
        <is>
          <t>A1</t>
        </is>
      </c>
      <c r="B39" s="15" t="inlineStr">
        <is>
          <t>Agricultural non-CO₂ emissions</t>
        </is>
      </c>
      <c r="C39" s="15" t="inlineStr">
        <is>
          <t>Agriculture</t>
        </is>
      </c>
      <c r="D39" s="15" t="inlineStr">
        <is>
          <t>Mt CO₂eq</t>
        </is>
      </c>
      <c r="E39" s="16" t="n">
        <v>2022</v>
      </c>
      <c r="F39" s="17" t="n">
        <v>360.9</v>
      </c>
      <c r="G39" s="16" t="n">
        <v>2024</v>
      </c>
      <c r="H39" s="17" t="n">
        <v>355.7</v>
      </c>
      <c r="I39" s="17" t="n">
        <v>-5.199999999999989</v>
      </c>
      <c r="J39" s="18" t="n">
        <v>-0.01440842338597947</v>
      </c>
      <c r="K39" s="16" t="n">
        <v>2</v>
      </c>
      <c r="L39" s="19" t="inlineStr">
        <is>
          <t>Reproduces from the primary source</t>
        </is>
      </c>
      <c r="M39" s="20" t="inlineStr">
        <is>
          <t>EEA GHG data viewer; 2023+ Eurostat (env_air_gge, GWP-weighted)</t>
        </is>
      </c>
    </row>
    <row r="40" ht="15" customHeight="1">
      <c r="A40" s="43" t="inlineStr">
        <is>
          <t>A3 (use)</t>
        </is>
      </c>
      <c r="B40" s="22" t="inlineStr">
        <is>
          <t>Total fertiliser nitrogen use (EU)</t>
        </is>
      </c>
      <c r="C40" s="22" t="inlineStr">
        <is>
          <t>Agriculture</t>
        </is>
      </c>
      <c r="D40" s="22" t="inlineStr">
        <is>
          <t>Mt N</t>
        </is>
      </c>
      <c r="E40" s="23" t="n">
        <v>2021</v>
      </c>
      <c r="F40" s="24" t="n">
        <v>15.01</v>
      </c>
      <c r="G40" s="23" t="n">
        <v>2021</v>
      </c>
      <c r="H40" s="24" t="n">
        <v>15.01</v>
      </c>
      <c r="I40" s="24" t="n"/>
      <c r="J40" s="25" t="n"/>
      <c r="K40" s="23" t="n"/>
      <c r="L40" s="35" t="inlineStr">
        <is>
          <t>—</t>
        </is>
      </c>
      <c r="M40" s="27" t="inlineStr">
        <is>
          <t>EU GHG inventory (CRF)</t>
        </is>
      </c>
    </row>
    <row r="41" ht="15" customHeight="1">
      <c r="A41" s="42" t="inlineStr">
        <is>
          <t>A3 (NUE)</t>
        </is>
      </c>
      <c r="B41" s="15" t="inlineStr">
        <is>
          <t>Nitrogen use efficiency in EU agriculture</t>
        </is>
      </c>
      <c r="C41" s="15" t="inlineStr">
        <is>
          <t>Agriculture</t>
        </is>
      </c>
      <c r="D41" s="15" t="inlineStr">
        <is>
          <t>%</t>
        </is>
      </c>
      <c r="E41" s="16" t="n">
        <v>2020</v>
      </c>
      <c r="F41" s="17" t="n">
        <v>49.03</v>
      </c>
      <c r="G41" s="16" t="n">
        <v>2020</v>
      </c>
      <c r="H41" s="17" t="n">
        <v>49.03</v>
      </c>
      <c r="I41" s="17" t="n"/>
      <c r="J41" s="18" t="n"/>
      <c r="K41" s="16" t="n"/>
      <c r="L41" s="34" t="inlineStr">
        <is>
          <t>—</t>
        </is>
      </c>
      <c r="M41" s="34" t="inlineStr">
        <is>
          <t>Ludemann et al. 2023</t>
        </is>
      </c>
    </row>
    <row r="42" ht="15" customHeight="1">
      <c r="A42" s="43" t="inlineStr">
        <is>
          <t>A7</t>
        </is>
      </c>
      <c r="B42" s="22" t="inlineStr">
        <is>
          <t>Agricultural products used as bioenergy feedstock</t>
        </is>
      </c>
      <c r="C42" s="22" t="inlineStr">
        <is>
          <t>Agriculture</t>
        </is>
      </c>
      <c r="D42" s="22" t="inlineStr">
        <is>
          <t>Mt fresh</t>
        </is>
      </c>
      <c r="E42" s="23" t="n">
        <v>2021</v>
      </c>
      <c r="F42" s="24" t="n">
        <v>23.89</v>
      </c>
      <c r="G42" s="23" t="n">
        <v>2021</v>
      </c>
      <c r="H42" s="24" t="n">
        <v>23.89</v>
      </c>
      <c r="I42" s="24" t="n"/>
      <c r="J42" s="25" t="n"/>
      <c r="K42" s="23" t="n"/>
      <c r="L42" s="35" t="inlineStr">
        <is>
          <t>—</t>
        </is>
      </c>
      <c r="M42" s="35" t="inlineStr">
        <is>
          <t>JRC medium-term outlook</t>
        </is>
      </c>
    </row>
    <row r="43" ht="15" customHeight="1">
      <c r="A43" s="44" t="inlineStr">
        <is>
          <t>L1</t>
        </is>
      </c>
      <c r="B43" s="15" t="inlineStr">
        <is>
          <t>LULUCF net GHG balance</t>
        </is>
      </c>
      <c r="C43" s="15" t="inlineStr">
        <is>
          <t>LULUCF</t>
        </is>
      </c>
      <c r="D43" s="15" t="inlineStr">
        <is>
          <t>Mt CO₂eq</t>
        </is>
      </c>
      <c r="E43" s="16" t="n">
        <v>2022</v>
      </c>
      <c r="F43" s="17" t="n">
        <v>-244</v>
      </c>
      <c r="G43" s="16" t="n">
        <v>2024</v>
      </c>
      <c r="H43" s="17" t="n">
        <v>-231</v>
      </c>
      <c r="I43" s="17" t="n">
        <v>13</v>
      </c>
      <c r="J43" s="18" t="n">
        <v>0.05327868852459016</v>
      </c>
      <c r="K43" s="16" t="n">
        <v>2</v>
      </c>
      <c r="L43" s="19" t="inlineStr">
        <is>
          <t>Reproduces from the primary source</t>
        </is>
      </c>
      <c r="M43" s="20" t="inlineStr">
        <is>
          <t>EEA GHG data viewer; 2023+ Eurostat (env_air_gge)</t>
        </is>
      </c>
    </row>
    <row r="44" ht="15" customHeight="1">
      <c r="A44" s="45" t="inlineStr">
        <is>
          <t>L3</t>
        </is>
      </c>
      <c r="B44" s="22" t="inlineStr">
        <is>
          <t>Annual afforested area</t>
        </is>
      </c>
      <c r="C44" s="22" t="inlineStr">
        <is>
          <t>LULUCF</t>
        </is>
      </c>
      <c r="D44" s="22" t="inlineStr">
        <is>
          <t>thousand ha/yr</t>
        </is>
      </c>
      <c r="E44" s="23" t="n">
        <v>2021</v>
      </c>
      <c r="F44" s="24" t="n">
        <v>326.8</v>
      </c>
      <c r="G44" s="23" t="n">
        <v>2021</v>
      </c>
      <c r="H44" s="24" t="n">
        <v>326.8</v>
      </c>
      <c r="I44" s="24" t="n"/>
      <c r="J44" s="25" t="n"/>
      <c r="K44" s="23" t="n"/>
      <c r="L44" s="35" t="inlineStr">
        <is>
          <t>—</t>
        </is>
      </c>
      <c r="M44" s="27" t="inlineStr">
        <is>
          <t>EU GHG inventory (CRF)</t>
        </is>
      </c>
    </row>
    <row r="45" ht="15" customHeight="1">
      <c r="A45" s="44" t="inlineStr">
        <is>
          <t>L4</t>
        </is>
      </c>
      <c r="B45" s="15" t="inlineStr">
        <is>
          <t>Annual deforested area</t>
        </is>
      </c>
      <c r="C45" s="15" t="inlineStr">
        <is>
          <t>LULUCF</t>
        </is>
      </c>
      <c r="D45" s="15" t="inlineStr">
        <is>
          <t>thousand ha/yr</t>
        </is>
      </c>
      <c r="E45" s="16" t="n">
        <v>2021</v>
      </c>
      <c r="F45" s="17" t="n">
        <v>-114.5</v>
      </c>
      <c r="G45" s="16" t="n">
        <v>2021</v>
      </c>
      <c r="H45" s="17" t="n">
        <v>-114.5</v>
      </c>
      <c r="I45" s="17" t="n"/>
      <c r="J45" s="18" t="n"/>
      <c r="K45" s="16" t="n"/>
      <c r="L45" s="34" t="inlineStr">
        <is>
          <t>—</t>
        </is>
      </c>
      <c r="M45" s="20" t="inlineStr">
        <is>
          <t>EU GHG inventory (CRF)</t>
        </is>
      </c>
    </row>
    <row r="46" ht="15" customHeight="1">
      <c r="A46" s="45" t="inlineStr">
        <is>
          <t>L5</t>
        </is>
      </c>
      <c r="B46" s="22" t="inlineStr">
        <is>
          <t>Annual settlement area increase (net land take proxy)</t>
        </is>
      </c>
      <c r="C46" s="22" t="inlineStr">
        <is>
          <t>LULUCF</t>
        </is>
      </c>
      <c r="D46" s="22" t="inlineStr">
        <is>
          <t>thousand ha/yr</t>
        </is>
      </c>
      <c r="E46" s="23" t="n">
        <v>2021</v>
      </c>
      <c r="F46" s="24" t="n">
        <v>142.2</v>
      </c>
      <c r="G46" s="23" t="n">
        <v>2021</v>
      </c>
      <c r="H46" s="24" t="n">
        <v>142.2</v>
      </c>
      <c r="I46" s="24" t="n"/>
      <c r="J46" s="25" t="n"/>
      <c r="K46" s="23" t="n"/>
      <c r="L46" s="35" t="inlineStr">
        <is>
          <t>—</t>
        </is>
      </c>
      <c r="M46" s="27" t="inlineStr">
        <is>
          <t>EU GHG inventory (CRF)</t>
        </is>
      </c>
    </row>
    <row r="47" ht="15" customHeight="1">
      <c r="A47" s="44" t="inlineStr">
        <is>
          <t>L6</t>
        </is>
      </c>
      <c r="B47" s="15" t="inlineStr">
        <is>
          <t>Forest land living-biomass carbon sink</t>
        </is>
      </c>
      <c r="C47" s="15" t="inlineStr">
        <is>
          <t>LULUCF</t>
        </is>
      </c>
      <c r="D47" s="15" t="inlineStr">
        <is>
          <t>Mt CO₂eq</t>
        </is>
      </c>
      <c r="E47" s="16" t="n">
        <v>2021</v>
      </c>
      <c r="F47" s="17" t="n">
        <v>231.8</v>
      </c>
      <c r="G47" s="16" t="n">
        <v>2024</v>
      </c>
      <c r="H47" s="17" t="n">
        <v>258.3</v>
      </c>
      <c r="I47" s="17" t="n">
        <v>26.5</v>
      </c>
      <c r="J47" s="18" t="n">
        <v>0.1143226919758412</v>
      </c>
      <c r="K47" s="16" t="n">
        <v>3</v>
      </c>
      <c r="L47" s="19" t="inlineStr">
        <is>
          <t>Reproduces from the primary source</t>
        </is>
      </c>
      <c r="M47" s="20" t="inlineStr">
        <is>
          <t>EU GHG inventory (CRF); 2022+ calculated from Eurostat (env_air_gge CRF4.A, splice)</t>
        </is>
      </c>
    </row>
    <row r="48" ht="15" customHeight="1">
      <c r="A48" s="45" t="inlineStr">
        <is>
          <t>L7</t>
        </is>
      </c>
      <c r="B48" s="22" t="inlineStr">
        <is>
          <t>Non-forest LULUCF net GHG emissions</t>
        </is>
      </c>
      <c r="C48" s="22" t="inlineStr">
        <is>
          <t>LULUCF</t>
        </is>
      </c>
      <c r="D48" s="22" t="inlineStr">
        <is>
          <t>Mt CO₂eq</t>
        </is>
      </c>
      <c r="E48" s="23" t="n">
        <v>2021</v>
      </c>
      <c r="F48" s="24" t="n">
        <v>97.44</v>
      </c>
      <c r="G48" s="23" t="n">
        <v>2024</v>
      </c>
      <c r="H48" s="24" t="n">
        <v>123</v>
      </c>
      <c r="I48" s="24" t="n">
        <v>25.56</v>
      </c>
      <c r="J48" s="25" t="n">
        <v>0.2623152709359606</v>
      </c>
      <c r="K48" s="23" t="n">
        <v>3</v>
      </c>
      <c r="L48" s="26" t="inlineStr">
        <is>
          <t>Reproduces from the primary source</t>
        </is>
      </c>
      <c r="M48" s="27" t="inlineStr">
        <is>
          <t>EU GHG inventory (CRF); 2022+ Eurostat (env_air_gge)</t>
        </is>
      </c>
    </row>
    <row r="49" ht="15" customHeight="1">
      <c r="A49" s="44" t="inlineStr">
        <is>
          <t>L8</t>
        </is>
      </c>
      <c r="B49" s="15" t="inlineStr">
        <is>
          <t>Total bioenergy use (EU-27)</t>
        </is>
      </c>
      <c r="C49" s="15" t="inlineStr">
        <is>
          <t>LULUCF</t>
        </is>
      </c>
      <c r="D49" s="15" t="inlineStr">
        <is>
          <t>TWh</t>
        </is>
      </c>
      <c r="E49" s="16" t="n">
        <v>2021</v>
      </c>
      <c r="F49" s="17" t="n">
        <v>1795.7</v>
      </c>
      <c r="G49" s="16" t="n">
        <v>2024</v>
      </c>
      <c r="H49" s="17" t="n">
        <v>1761.2</v>
      </c>
      <c r="I49" s="17" t="n">
        <v>-34.5</v>
      </c>
      <c r="J49" s="18" t="n">
        <v>-0.01921256334577045</v>
      </c>
      <c r="K49" s="16" t="n">
        <v>3</v>
      </c>
      <c r="L49" s="19" t="inlineStr">
        <is>
          <t>Reproduces from the primary source</t>
        </is>
      </c>
      <c r="M49" s="20" t="inlineStr">
        <is>
          <t>Eurostat (nrg_bal_s)</t>
        </is>
      </c>
    </row>
    <row r="50" ht="15" customHeight="1">
      <c r="A50" s="46" t="inlineStr">
        <is>
          <t>F1</t>
        </is>
      </c>
      <c r="B50" s="22" t="inlineStr">
        <is>
          <t>EU fossil-fuel subsidies (FFST)</t>
        </is>
      </c>
      <c r="C50" s="22" t="inlineStr">
        <is>
          <t>Finance &amp; innovation</t>
        </is>
      </c>
      <c r="D50" s="22" t="inlineStr">
        <is>
          <t>billion EUR</t>
        </is>
      </c>
      <c r="E50" s="23" t="n">
        <v>2022</v>
      </c>
      <c r="F50" s="24" t="n">
        <v>122</v>
      </c>
      <c r="G50" s="23" t="n">
        <v>2023</v>
      </c>
      <c r="H50" s="24" t="n">
        <v>111</v>
      </c>
      <c r="I50" s="24" t="n">
        <v>-11</v>
      </c>
      <c r="J50" s="25" t="n">
        <v>-0.09016393442622951</v>
      </c>
      <c r="K50" s="23" t="n">
        <v>1</v>
      </c>
      <c r="L50" s="29" t="inlineStr">
        <is>
          <t>Published figure — source named, not re-derived</t>
        </is>
      </c>
      <c r="M50" s="35" t="inlineStr">
        <is>
          <t>Fossil Fuel Subsidy Tracker; 2023: EC Report on Energy Subsidies in the EU (COM(2025)17)</t>
        </is>
      </c>
    </row>
    <row r="51" ht="15" customHeight="1">
      <c r="A51" s="47" t="inlineStr">
        <is>
          <t>F2</t>
        </is>
      </c>
      <c r="B51" s="15" t="inlineStr">
        <is>
          <t>EU green bond issuance</t>
        </is>
      </c>
      <c r="C51" s="15" t="inlineStr">
        <is>
          <t>Finance &amp; innovation</t>
        </is>
      </c>
      <c r="D51" s="15" t="inlineStr">
        <is>
          <t>billion EUR</t>
        </is>
      </c>
      <c r="E51" s="16" t="n">
        <v>2022</v>
      </c>
      <c r="F51" s="17" t="n">
        <v>243</v>
      </c>
      <c r="G51" s="16" t="n">
        <v>2022</v>
      </c>
      <c r="H51" s="17" t="n">
        <v>243</v>
      </c>
      <c r="I51" s="17" t="n"/>
      <c r="J51" s="18" t="n"/>
      <c r="K51" s="16" t="n"/>
      <c r="L51" s="34" t="inlineStr">
        <is>
          <t>—</t>
        </is>
      </c>
      <c r="M51" s="20" t="inlineStr">
        <is>
          <t>BloombergNEF</t>
        </is>
      </c>
    </row>
    <row r="52" ht="15" customHeight="1">
      <c r="A52" s="46" t="inlineStr">
        <is>
          <t>F2 (share)</t>
        </is>
      </c>
      <c r="B52" s="22" t="inlineStr">
        <is>
          <t>Green share of EU bond issuance</t>
        </is>
      </c>
      <c r="C52" s="22" t="inlineStr">
        <is>
          <t>Finance &amp; innovation</t>
        </is>
      </c>
      <c r="D52" s="22" t="inlineStr">
        <is>
          <t>%</t>
        </is>
      </c>
      <c r="E52" s="23" t="n">
        <v>2022</v>
      </c>
      <c r="F52" s="24" t="n">
        <v>6.74</v>
      </c>
      <c r="G52" s="23" t="n">
        <v>2024</v>
      </c>
      <c r="H52" s="24" t="n">
        <v>6.9</v>
      </c>
      <c r="I52" s="24" t="n">
        <v>0.1600000000000001</v>
      </c>
      <c r="J52" s="25" t="n">
        <v>0.02373887240356085</v>
      </c>
      <c r="K52" s="23" t="n">
        <v>2</v>
      </c>
      <c r="L52" s="29" t="inlineStr">
        <is>
          <t>Published figure — source named, not re-derived</t>
        </is>
      </c>
      <c r="M52" s="27" t="inlineStr">
        <is>
          <t>BloombergNEF (2012-2022); EEA "Green bonds in Europe", LSEG Data &amp; Analytics (2023+)</t>
        </is>
      </c>
    </row>
    <row r="53" ht="15" customHeight="1">
      <c r="A53" s="47" t="inlineStr">
        <is>
          <t>F3</t>
        </is>
      </c>
      <c r="B53" s="15" t="inlineStr">
        <is>
          <t>EU R&amp;D expenditure (GERD)</t>
        </is>
      </c>
      <c r="C53" s="15" t="inlineStr">
        <is>
          <t>Finance &amp; innovation</t>
        </is>
      </c>
      <c r="D53" s="15" t="inlineStr">
        <is>
          <t>% of GDP</t>
        </is>
      </c>
      <c r="E53" s="16" t="n">
        <v>2022</v>
      </c>
      <c r="F53" s="17" t="n">
        <v>2.27</v>
      </c>
      <c r="G53" s="16" t="n">
        <v>2024</v>
      </c>
      <c r="H53" s="17" t="n">
        <v>2.24</v>
      </c>
      <c r="I53" s="17" t="n">
        <v>-0.0299999999999998</v>
      </c>
      <c r="J53" s="18" t="n">
        <v>-0.01321585903083692</v>
      </c>
      <c r="K53" s="16" t="n">
        <v>2</v>
      </c>
      <c r="L53" s="19" t="inlineStr">
        <is>
          <t>Reproduces from the primary source</t>
        </is>
      </c>
      <c r="M53" s="20" t="inlineStr">
        <is>
          <t>Eurostat (rd_e_gerdtot)</t>
        </is>
      </c>
    </row>
    <row r="54" ht="15" customHeight="1">
      <c r="A54" s="46" t="inlineStr">
        <is>
          <t>F4</t>
        </is>
      </c>
      <c r="B54" s="22" t="inlineStr">
        <is>
          <t>Climate-related share of EU patent filings</t>
        </is>
      </c>
      <c r="C54" s="22" t="inlineStr">
        <is>
          <t>Finance &amp; innovation</t>
        </is>
      </c>
      <c r="D54" s="22" t="inlineStr">
        <is>
          <t>%</t>
        </is>
      </c>
      <c r="E54" s="23" t="n">
        <v>2019</v>
      </c>
      <c r="F54" s="24" t="n">
        <v>11.94</v>
      </c>
      <c r="G54" s="23" t="n">
        <v>2019</v>
      </c>
      <c r="H54" s="24" t="n">
        <v>11.94</v>
      </c>
      <c r="I54" s="24" t="n"/>
      <c r="J54" s="25" t="n"/>
      <c r="K54" s="23" t="n"/>
      <c r="L54" s="35" t="inlineStr">
        <is>
          <t>—</t>
        </is>
      </c>
      <c r="M54" s="35" t="inlineStr">
        <is>
          <t>OECD Green Growth Indicators</t>
        </is>
      </c>
    </row>
    <row r="55" ht="15" customHeight="1">
      <c r="A55" s="47" t="inlineStr">
        <is>
          <t>F5</t>
        </is>
      </c>
      <c r="B55" s="15" t="inlineStr">
        <is>
          <t>Cleantech venture &amp; growth investment in the EU</t>
        </is>
      </c>
      <c r="C55" s="15" t="inlineStr">
        <is>
          <t>Finance &amp; innovation</t>
        </is>
      </c>
      <c r="D55" s="15" t="inlineStr">
        <is>
          <t>% of GDP</t>
        </is>
      </c>
      <c r="E55" s="16" t="n">
        <v>2022</v>
      </c>
      <c r="F55" s="17" t="n">
        <v>0.06</v>
      </c>
      <c r="G55" s="16" t="n">
        <v>2025</v>
      </c>
      <c r="H55" s="17" t="n">
        <v>0.04</v>
      </c>
      <c r="I55" s="17" t="n">
        <v>-0.02</v>
      </c>
      <c r="J55" s="18" t="n">
        <v>-0.3333333333333333</v>
      </c>
      <c r="K55" s="16" t="n">
        <v>3</v>
      </c>
      <c r="L55" s="33" t="inlineStr">
        <is>
          <t>Published figure — source named, not re-derived</t>
        </is>
      </c>
      <c r="M55" s="34" t="inlineStr">
        <is>
          <t>Cleantech for Europe</t>
        </is>
      </c>
    </row>
    <row r="56" ht="15" customHeight="1">
      <c r="A56" s="37" t="inlineStr">
        <is>
          <t>I2 (steel, production)</t>
        </is>
      </c>
      <c r="B56" s="22" t="inlineStr">
        <is>
          <t>Steel production (EU)</t>
        </is>
      </c>
      <c r="C56" s="22" t="inlineStr">
        <is>
          <t>Industry</t>
        </is>
      </c>
      <c r="D56" s="22" t="inlineStr">
        <is>
          <t>Mt</t>
        </is>
      </c>
      <c r="E56" s="23" t="n">
        <v>2021</v>
      </c>
      <c r="F56" s="24" t="n">
        <v>152.8</v>
      </c>
      <c r="G56" s="23" t="n">
        <v>2025</v>
      </c>
      <c r="H56" s="24" t="n">
        <v>128.8</v>
      </c>
      <c r="I56" s="24" t="n">
        <v>-24</v>
      </c>
      <c r="J56" s="25" t="n">
        <v>-0.1570680628272251</v>
      </c>
      <c r="K56" s="23" t="n">
        <v>4</v>
      </c>
      <c r="L56" s="48" t="inlineStr">
        <is>
          <t>2–5% off the source — see the fact-check</t>
        </is>
      </c>
      <c r="M56" s="27" t="inlineStr">
        <is>
          <t>Eurofer, Steel in figures 2022</t>
        </is>
      </c>
    </row>
    <row r="57" ht="15" customHeight="1">
      <c r="A57" s="36" t="inlineStr">
        <is>
          <t>I2 (steel, use)</t>
        </is>
      </c>
      <c r="B57" s="15" t="inlineStr">
        <is>
          <t>Steel apparent use (consumption) (EU)</t>
        </is>
      </c>
      <c r="C57" s="15" t="inlineStr">
        <is>
          <t>Industry</t>
        </is>
      </c>
      <c r="D57" s="15" t="inlineStr">
        <is>
          <t>Mt</t>
        </is>
      </c>
      <c r="E57" s="16" t="n">
        <v>2021</v>
      </c>
      <c r="F57" s="17" t="n">
        <v>149</v>
      </c>
      <c r="G57" s="16" t="n">
        <v>2021</v>
      </c>
      <c r="H57" s="17" t="n">
        <v>149</v>
      </c>
      <c r="I57" s="17" t="n"/>
      <c r="J57" s="18" t="n"/>
      <c r="K57" s="16" t="n"/>
      <c r="L57" s="34" t="inlineStr">
        <is>
          <t>—</t>
        </is>
      </c>
      <c r="M57" s="20" t="inlineStr">
        <is>
          <t>Eurofer, Steel in figures 2022</t>
        </is>
      </c>
    </row>
    <row r="58" ht="15" customHeight="1">
      <c r="A58" s="37" t="inlineStr">
        <is>
          <t>I2 (steel, trade)</t>
        </is>
      </c>
      <c r="B58" s="22" t="inlineStr">
        <is>
          <t>Steel net trade balance (EU)</t>
        </is>
      </c>
      <c r="C58" s="22" t="inlineStr">
        <is>
          <t>Industry</t>
        </is>
      </c>
      <c r="D58" s="22" t="inlineStr">
        <is>
          <t>Mt</t>
        </is>
      </c>
      <c r="E58" s="23" t="n">
        <v>2021</v>
      </c>
      <c r="F58" s="24" t="n">
        <v>-25.77</v>
      </c>
      <c r="G58" s="23" t="n">
        <v>2021</v>
      </c>
      <c r="H58" s="24" t="n">
        <v>-25.77</v>
      </c>
      <c r="I58" s="24" t="n"/>
      <c r="J58" s="25" t="n"/>
      <c r="K58" s="23" t="n"/>
      <c r="L58" s="35" t="inlineStr">
        <is>
          <t>—</t>
        </is>
      </c>
      <c r="M58" s="27" t="inlineStr">
        <is>
          <t>Eurofer, Steel in figures 2022; trade from Eurostat DS-059268</t>
        </is>
      </c>
    </row>
    <row r="59" ht="15" customHeight="1">
      <c r="A59" s="36" t="inlineStr">
        <is>
          <t>I2 (cement, production)</t>
        </is>
      </c>
      <c r="B59" s="15" t="inlineStr">
        <is>
          <t>Cement production (EU)</t>
        </is>
      </c>
      <c r="C59" s="15" t="inlineStr">
        <is>
          <t>Industry</t>
        </is>
      </c>
      <c r="D59" s="15" t="inlineStr">
        <is>
          <t>Mt</t>
        </is>
      </c>
      <c r="E59" s="16" t="n">
        <v>2021</v>
      </c>
      <c r="F59" s="17" t="n">
        <v>182.5</v>
      </c>
      <c r="G59" s="16" t="n">
        <v>2025</v>
      </c>
      <c r="H59" s="17" t="n">
        <v>157.7</v>
      </c>
      <c r="I59" s="17" t="n">
        <v>-24.80000000000001</v>
      </c>
      <c r="J59" s="18" t="n">
        <v>-0.1358904109589042</v>
      </c>
      <c r="K59" s="16" t="n">
        <v>4</v>
      </c>
      <c r="L59" s="19" t="inlineStr">
        <is>
          <t>Reproduces from the primary source</t>
        </is>
      </c>
      <c r="M59" s="20" t="inlineStr">
        <is>
          <t>Cembureau (data provided)</t>
        </is>
      </c>
    </row>
    <row r="60" ht="15" customHeight="1">
      <c r="A60" s="37" t="inlineStr">
        <is>
          <t>I2 (cement, use)</t>
        </is>
      </c>
      <c r="B60" s="22" t="inlineStr">
        <is>
          <t>Cement apparent use (consumption) (EU)</t>
        </is>
      </c>
      <c r="C60" s="22" t="inlineStr">
        <is>
          <t>Industry</t>
        </is>
      </c>
      <c r="D60" s="22" t="inlineStr">
        <is>
          <t>Mt</t>
        </is>
      </c>
      <c r="E60" s="23" t="n">
        <v>2021</v>
      </c>
      <c r="F60" s="24" t="n">
        <v>170.5</v>
      </c>
      <c r="G60" s="23" t="n">
        <v>2021</v>
      </c>
      <c r="H60" s="24" t="n">
        <v>170.5</v>
      </c>
      <c r="I60" s="24" t="n"/>
      <c r="J60" s="25" t="n"/>
      <c r="K60" s="23" t="n"/>
      <c r="L60" s="35" t="inlineStr">
        <is>
          <t>—</t>
        </is>
      </c>
      <c r="M60" s="27" t="inlineStr">
        <is>
          <t>Cembureau (data provided)</t>
        </is>
      </c>
    </row>
    <row r="61" ht="15" customHeight="1">
      <c r="A61" s="36" t="inlineStr">
        <is>
          <t>I2 (chemicals, production)</t>
        </is>
      </c>
      <c r="B61" s="15" t="inlineStr">
        <is>
          <t>Chemicals production (EU)</t>
        </is>
      </c>
      <c r="C61" s="15" t="inlineStr">
        <is>
          <t>Industry</t>
        </is>
      </c>
      <c r="D61" s="15" t="inlineStr">
        <is>
          <t>Mt</t>
        </is>
      </c>
      <c r="E61" s="16" t="n">
        <v>2021</v>
      </c>
      <c r="F61" s="17" t="n">
        <v>26.84</v>
      </c>
      <c r="G61" s="16" t="n">
        <v>2025</v>
      </c>
      <c r="H61" s="17" t="n">
        <v>18.55</v>
      </c>
      <c r="I61" s="17" t="n">
        <v>-8.289999999999999</v>
      </c>
      <c r="J61" s="18" t="n">
        <v>-0.3088673621460507</v>
      </c>
      <c r="K61" s="16" t="n">
        <v>4</v>
      </c>
      <c r="L61" s="19" t="inlineStr">
        <is>
          <t>Reproduces from the primary source</t>
        </is>
      </c>
      <c r="M61" s="34" t="inlineStr">
        <is>
          <t>Eurostat DS-056120 (sold production) and DS-059268 (trade)</t>
        </is>
      </c>
    </row>
    <row r="62" ht="15" customHeight="1">
      <c r="A62" s="37" t="inlineStr">
        <is>
          <t>I2 (chemicals, use)</t>
        </is>
      </c>
      <c r="B62" s="22" t="inlineStr">
        <is>
          <t>Chemicals apparent use (consumption) (EU)</t>
        </is>
      </c>
      <c r="C62" s="22" t="inlineStr">
        <is>
          <t>Industry</t>
        </is>
      </c>
      <c r="D62" s="22" t="inlineStr">
        <is>
          <t>Mt</t>
        </is>
      </c>
      <c r="E62" s="23" t="n">
        <v>2021</v>
      </c>
      <c r="F62" s="24" t="n">
        <v>29.11</v>
      </c>
      <c r="G62" s="23" t="n">
        <v>2021</v>
      </c>
      <c r="H62" s="24" t="n">
        <v>29.11</v>
      </c>
      <c r="I62" s="24" t="n"/>
      <c r="J62" s="25" t="n"/>
      <c r="K62" s="23" t="n"/>
      <c r="L62" s="35" t="inlineStr">
        <is>
          <t>—</t>
        </is>
      </c>
      <c r="M62" s="35" t="inlineStr">
        <is>
          <t>Eurostat DS-056120 (sold production) and DS-059268 (trade)</t>
        </is>
      </c>
    </row>
    <row r="63" ht="15" customHeight="1">
      <c r="A63" s="36" t="inlineStr">
        <is>
          <t>I2 (chemicals, trade)</t>
        </is>
      </c>
      <c r="B63" s="15" t="inlineStr">
        <is>
          <t>Chemicals net trade balance (EU)</t>
        </is>
      </c>
      <c r="C63" s="15" t="inlineStr">
        <is>
          <t>Industry</t>
        </is>
      </c>
      <c r="D63" s="15" t="inlineStr">
        <is>
          <t>Mt</t>
        </is>
      </c>
      <c r="E63" s="16" t="n">
        <v>2021</v>
      </c>
      <c r="F63" s="17" t="n">
        <v>-2.268</v>
      </c>
      <c r="G63" s="16" t="n">
        <v>2021</v>
      </c>
      <c r="H63" s="17" t="n">
        <v>-2.268</v>
      </c>
      <c r="I63" s="17" t="n"/>
      <c r="J63" s="18" t="n"/>
      <c r="K63" s="16" t="n"/>
      <c r="L63" s="34" t="inlineStr">
        <is>
          <t>—</t>
        </is>
      </c>
      <c r="M63" s="34" t="inlineStr">
        <is>
          <t>Eurostat DS-056120 (sold production) and DS-059268 (trade)</t>
        </is>
      </c>
    </row>
    <row r="64" ht="15" customHeight="1">
      <c r="A64" s="43" t="inlineStr">
        <is>
          <t>A2 (bovine, GHG)</t>
        </is>
      </c>
      <c r="B64" s="22" t="inlineStr">
        <is>
          <t>Bovine meat: GHG emissions (EU)</t>
        </is>
      </c>
      <c r="C64" s="22" t="inlineStr">
        <is>
          <t>Agriculture</t>
        </is>
      </c>
      <c r="D64" s="22" t="inlineStr">
        <is>
          <t>Mt CO₂eq</t>
        </is>
      </c>
      <c r="E64" s="23" t="n">
        <v>2021</v>
      </c>
      <c r="F64" s="24" t="n">
        <v>100.3</v>
      </c>
      <c r="G64" s="23" t="n">
        <v>2021</v>
      </c>
      <c r="H64" s="24" t="n">
        <v>100.3</v>
      </c>
      <c r="I64" s="24" t="n"/>
      <c r="J64" s="25" t="n"/>
      <c r="K64" s="23" t="n"/>
      <c r="L64" s="35" t="inlineStr">
        <is>
          <t>—</t>
        </is>
      </c>
      <c r="M64" s="27" t="inlineStr">
        <is>
          <t>EEA GHG data viewer + Eurostat/FAOSTAT production</t>
        </is>
      </c>
    </row>
    <row r="65" ht="15" customHeight="1">
      <c r="A65" s="42" t="inlineStr">
        <is>
          <t>A2 (bovine, production)</t>
        </is>
      </c>
      <c r="B65" s="15" t="inlineStr">
        <is>
          <t>Bovine meat: production (EU)</t>
        </is>
      </c>
      <c r="C65" s="15" t="inlineStr">
        <is>
          <t>Agriculture</t>
        </is>
      </c>
      <c r="D65" s="15" t="inlineStr">
        <is>
          <t>Mt</t>
        </is>
      </c>
      <c r="E65" s="16" t="n">
        <v>2020</v>
      </c>
      <c r="F65" s="17" t="n">
        <v>6.936</v>
      </c>
      <c r="G65" s="16" t="n">
        <v>2025</v>
      </c>
      <c r="H65" s="17" t="n">
        <v>6.32</v>
      </c>
      <c r="I65" s="17" t="n">
        <v>-0.6159999999999997</v>
      </c>
      <c r="J65" s="18" t="n">
        <v>-0.08881199538638979</v>
      </c>
      <c r="K65" s="16" t="n">
        <v>5</v>
      </c>
      <c r="L65" s="19" t="inlineStr">
        <is>
          <t>Reproduces from the primary source</t>
        </is>
      </c>
      <c r="M65" s="20" t="inlineStr">
        <is>
          <t>Eurostat (apro_mt_pann)</t>
        </is>
      </c>
    </row>
    <row r="66" ht="15" customHeight="1">
      <c r="A66" s="43" t="inlineStr">
        <is>
          <t>A2 (bovine, intensity)</t>
        </is>
      </c>
      <c r="B66" s="22" t="inlineStr">
        <is>
          <t>Bovine meat: GHG intensity (EU)</t>
        </is>
      </c>
      <c r="C66" s="22" t="inlineStr">
        <is>
          <t>Agriculture</t>
        </is>
      </c>
      <c r="D66" s="22" t="inlineStr">
        <is>
          <t>t CO₂eq/t</t>
        </is>
      </c>
      <c r="E66" s="23" t="n">
        <v>2020</v>
      </c>
      <c r="F66" s="24" t="n">
        <v>14.53</v>
      </c>
      <c r="G66" s="23" t="n">
        <v>2020</v>
      </c>
      <c r="H66" s="24" t="n">
        <v>14.53</v>
      </c>
      <c r="I66" s="24" t="n"/>
      <c r="J66" s="25" t="n"/>
      <c r="K66" s="23" t="n"/>
      <c r="L66" s="35" t="inlineStr">
        <is>
          <t>—</t>
        </is>
      </c>
      <c r="M66" s="27" t="inlineStr">
        <is>
          <t>EEA GHG data viewer + Eurostat/FAOSTAT production</t>
        </is>
      </c>
    </row>
    <row r="67" ht="15" customHeight="1">
      <c r="A67" s="42" t="inlineStr">
        <is>
          <t>A2 (dairy, GHG)</t>
        </is>
      </c>
      <c r="B67" s="15" t="inlineStr">
        <is>
          <t>Dairy products: GHG emissions (EU)</t>
        </is>
      </c>
      <c r="C67" s="15" t="inlineStr">
        <is>
          <t>Agriculture</t>
        </is>
      </c>
      <c r="D67" s="15" t="inlineStr">
        <is>
          <t>Mt CO₂eq</t>
        </is>
      </c>
      <c r="E67" s="16" t="n">
        <v>2021</v>
      </c>
      <c r="F67" s="17" t="n">
        <v>97.79000000000001</v>
      </c>
      <c r="G67" s="16" t="n">
        <v>2021</v>
      </c>
      <c r="H67" s="17" t="n">
        <v>97.79000000000001</v>
      </c>
      <c r="I67" s="17" t="n"/>
      <c r="J67" s="18" t="n"/>
      <c r="K67" s="16" t="n"/>
      <c r="L67" s="34" t="inlineStr">
        <is>
          <t>—</t>
        </is>
      </c>
      <c r="M67" s="20" t="inlineStr">
        <is>
          <t>EEA GHG data viewer + Eurostat/FAOSTAT production</t>
        </is>
      </c>
    </row>
    <row r="68" ht="15" customHeight="1">
      <c r="A68" s="43" t="inlineStr">
        <is>
          <t>A2 (dairy, production)</t>
        </is>
      </c>
      <c r="B68" s="22" t="inlineStr">
        <is>
          <t>Dairy products: production (EU)</t>
        </is>
      </c>
      <c r="C68" s="22" t="inlineStr">
        <is>
          <t>Agriculture</t>
        </is>
      </c>
      <c r="D68" s="22" t="inlineStr">
        <is>
          <t>Mt</t>
        </is>
      </c>
      <c r="E68" s="23" t="n">
        <v>2020</v>
      </c>
      <c r="F68" s="24" t="n">
        <v>163.1</v>
      </c>
      <c r="G68" s="23" t="n">
        <v>2024</v>
      </c>
      <c r="H68" s="24" t="n">
        <v>164.6</v>
      </c>
      <c r="I68" s="24" t="n">
        <v>1.5</v>
      </c>
      <c r="J68" s="25" t="n">
        <v>0.009196811771919068</v>
      </c>
      <c r="K68" s="23" t="n">
        <v>4</v>
      </c>
      <c r="L68" s="26" t="inlineStr">
        <is>
          <t>Reproduces from the primary source</t>
        </is>
      </c>
      <c r="M68" s="27" t="inlineStr">
        <is>
          <t>Eurostat (apro_mk_farm)</t>
        </is>
      </c>
    </row>
    <row r="69" ht="15" customHeight="1">
      <c r="A69" s="42" t="inlineStr">
        <is>
          <t>A2 (dairy, intensity)</t>
        </is>
      </c>
      <c r="B69" s="15" t="inlineStr">
        <is>
          <t>Dairy products: GHG intensity (EU)</t>
        </is>
      </c>
      <c r="C69" s="15" t="inlineStr">
        <is>
          <t>Agriculture</t>
        </is>
      </c>
      <c r="D69" s="15" t="inlineStr">
        <is>
          <t>t CO₂eq/t</t>
        </is>
      </c>
      <c r="E69" s="16" t="n">
        <v>2020</v>
      </c>
      <c r="F69" s="17" t="n">
        <v>0.6049</v>
      </c>
      <c r="G69" s="16" t="n">
        <v>2020</v>
      </c>
      <c r="H69" s="17" t="n">
        <v>0.6049</v>
      </c>
      <c r="I69" s="17" t="n"/>
      <c r="J69" s="18" t="n"/>
      <c r="K69" s="16" t="n"/>
      <c r="L69" s="34" t="inlineStr">
        <is>
          <t>—</t>
        </is>
      </c>
      <c r="M69" s="20" t="inlineStr">
        <is>
          <t>EEA GHG data viewer + Eurostat/FAOSTAT production</t>
        </is>
      </c>
    </row>
    <row r="70" ht="15" customHeight="1">
      <c r="A70" s="43" t="inlineStr">
        <is>
          <t>A2 (pig, GHG)</t>
        </is>
      </c>
      <c r="B70" s="22" t="inlineStr">
        <is>
          <t>Pig meat: GHG emissions (EU)</t>
        </is>
      </c>
      <c r="C70" s="22" t="inlineStr">
        <is>
          <t>Agriculture</t>
        </is>
      </c>
      <c r="D70" s="22" t="inlineStr">
        <is>
          <t>Mt CO₂eq</t>
        </is>
      </c>
      <c r="E70" s="23" t="n">
        <v>2021</v>
      </c>
      <c r="F70" s="24" t="n">
        <v>28.58</v>
      </c>
      <c r="G70" s="23" t="n">
        <v>2024</v>
      </c>
      <c r="H70" s="24" t="n">
        <v>26.18</v>
      </c>
      <c r="I70" s="24" t="n">
        <v>-2.399999999999999</v>
      </c>
      <c r="J70" s="25" t="n">
        <v>-0.08397480755773264</v>
      </c>
      <c r="K70" s="23" t="n">
        <v>3</v>
      </c>
      <c r="L70" s="26" t="inlineStr">
        <is>
          <t>Reproduces from the primary source</t>
        </is>
      </c>
      <c r="M70" s="27" t="inlineStr">
        <is>
          <t>EEA GHG data viewer; 2022+ Eurostat (env_air_gge, swine CRF3A3+3B3)</t>
        </is>
      </c>
    </row>
    <row r="71" ht="15" customHeight="1">
      <c r="A71" s="42" t="inlineStr">
        <is>
          <t>A2 (pig, production)</t>
        </is>
      </c>
      <c r="B71" s="15" t="inlineStr">
        <is>
          <t>Pig meat: production (EU)</t>
        </is>
      </c>
      <c r="C71" s="15" t="inlineStr">
        <is>
          <t>Agriculture</t>
        </is>
      </c>
      <c r="D71" s="15" t="inlineStr">
        <is>
          <t>Mt</t>
        </is>
      </c>
      <c r="E71" s="16" t="n">
        <v>2020</v>
      </c>
      <c r="F71" s="17" t="n">
        <v>23.22</v>
      </c>
      <c r="G71" s="16" t="n">
        <v>2025</v>
      </c>
      <c r="H71" s="17" t="n">
        <v>21.84</v>
      </c>
      <c r="I71" s="17" t="n">
        <v>-1.379999999999999</v>
      </c>
      <c r="J71" s="18" t="n">
        <v>-0.05943152454780358</v>
      </c>
      <c r="K71" s="16" t="n">
        <v>5</v>
      </c>
      <c r="L71" s="19" t="inlineStr">
        <is>
          <t>Reproduces from the primary source</t>
        </is>
      </c>
      <c r="M71" s="20" t="inlineStr">
        <is>
          <t>Eurostat (apro_mt_pann)</t>
        </is>
      </c>
    </row>
    <row r="72" ht="15" customHeight="1">
      <c r="A72" s="43" t="inlineStr">
        <is>
          <t>A2 (pig, intensity)</t>
        </is>
      </c>
      <c r="B72" s="22" t="inlineStr">
        <is>
          <t>Pig meat: GHG intensity (EU)</t>
        </is>
      </c>
      <c r="C72" s="22" t="inlineStr">
        <is>
          <t>Agriculture</t>
        </is>
      </c>
      <c r="D72" s="22" t="inlineStr">
        <is>
          <t>t CO₂eq/t</t>
        </is>
      </c>
      <c r="E72" s="23" t="n">
        <v>2020</v>
      </c>
      <c r="F72" s="24" t="n">
        <v>1.264</v>
      </c>
      <c r="G72" s="23" t="n">
        <v>2024</v>
      </c>
      <c r="H72" s="24" t="n">
        <v>1.238</v>
      </c>
      <c r="I72" s="24" t="n">
        <v>-0.02600000000000002</v>
      </c>
      <c r="J72" s="25" t="n">
        <v>-0.02056962025316458</v>
      </c>
      <c r="K72" s="23" t="n">
        <v>4</v>
      </c>
      <c r="L72" s="26" t="inlineStr">
        <is>
          <t>Reproduces from the primary source</t>
        </is>
      </c>
      <c r="M72" s="27" t="inlineStr">
        <is>
          <t>EEA GHG data viewer; 2021+ Eurostat (env_air_gge ÷ apro_mt_pann)</t>
        </is>
      </c>
    </row>
    <row r="73" ht="15" customHeight="1">
      <c r="A73" s="42" t="inlineStr">
        <is>
          <t>A4 (bovine, consumption)</t>
        </is>
      </c>
      <c r="B73" s="15" t="inlineStr">
        <is>
          <t>Bovine meat: consumption (EU)</t>
        </is>
      </c>
      <c r="C73" s="15" t="inlineStr">
        <is>
          <t>Agriculture</t>
        </is>
      </c>
      <c r="D73" s="15" t="inlineStr">
        <is>
          <t>Mt</t>
        </is>
      </c>
      <c r="E73" s="16" t="n">
        <v>2020</v>
      </c>
      <c r="F73" s="17" t="n">
        <v>6.115</v>
      </c>
      <c r="G73" s="16" t="n">
        <v>2020</v>
      </c>
      <c r="H73" s="17" t="n">
        <v>6.115</v>
      </c>
      <c r="I73" s="17" t="n"/>
      <c r="J73" s="18" t="n"/>
      <c r="K73" s="16" t="n"/>
      <c r="L73" s="34" t="inlineStr">
        <is>
          <t>—</t>
        </is>
      </c>
      <c r="M73" s="34" t="inlineStr">
        <is>
          <t>FAOSTAT food balance sheets</t>
        </is>
      </c>
    </row>
    <row r="74" ht="15" customHeight="1">
      <c r="A74" s="43" t="inlineStr">
        <is>
          <t>A4 (bovine, production)</t>
        </is>
      </c>
      <c r="B74" s="22" t="inlineStr">
        <is>
          <t>Bovine meat: production (EU)</t>
        </is>
      </c>
      <c r="C74" s="22" t="inlineStr">
        <is>
          <t>Agriculture</t>
        </is>
      </c>
      <c r="D74" s="22" t="inlineStr">
        <is>
          <t>Mt</t>
        </is>
      </c>
      <c r="E74" s="23" t="n">
        <v>2020</v>
      </c>
      <c r="F74" s="24" t="n">
        <v>6.936</v>
      </c>
      <c r="G74" s="23" t="n">
        <v>2025</v>
      </c>
      <c r="H74" s="24" t="n">
        <v>6.32</v>
      </c>
      <c r="I74" s="24" t="n">
        <v>-0.6159999999999997</v>
      </c>
      <c r="J74" s="25" t="n">
        <v>-0.08881199538638979</v>
      </c>
      <c r="K74" s="23" t="n">
        <v>5</v>
      </c>
      <c r="L74" s="26" t="inlineStr">
        <is>
          <t>Reproduces from the primary source</t>
        </is>
      </c>
      <c r="M74" s="27" t="inlineStr">
        <is>
          <t>Eurostat (apro_mt_pann)</t>
        </is>
      </c>
    </row>
    <row r="75" ht="15" customHeight="1">
      <c r="A75" s="42" t="inlineStr">
        <is>
          <t>A4 (bovine, herd)</t>
        </is>
      </c>
      <c r="B75" s="15" t="inlineStr">
        <is>
          <t>Bovine meat: herd size (EU)</t>
        </is>
      </c>
      <c r="C75" s="15" t="inlineStr">
        <is>
          <t>Agriculture</t>
        </is>
      </c>
      <c r="D75" s="15" t="inlineStr">
        <is>
          <t>million heads</t>
        </is>
      </c>
      <c r="E75" s="16" t="n">
        <v>2020</v>
      </c>
      <c r="F75" s="17" t="n">
        <v>60.16</v>
      </c>
      <c r="G75" s="16" t="n">
        <v>2025</v>
      </c>
      <c r="H75" s="17" t="n">
        <v>56.26</v>
      </c>
      <c r="I75" s="17" t="n">
        <v>-3.899999999999999</v>
      </c>
      <c r="J75" s="18" t="n">
        <v>-0.06482712765957445</v>
      </c>
      <c r="K75" s="16" t="n">
        <v>5</v>
      </c>
      <c r="L75" s="19" t="inlineStr">
        <is>
          <t>Reproduces from the primary source</t>
        </is>
      </c>
      <c r="M75" s="20" t="inlineStr">
        <is>
          <t>EU GHG inventory (CRF) livestock populations; 2021+ Eurostat survey trend</t>
        </is>
      </c>
    </row>
    <row r="76" ht="15" customHeight="1">
      <c r="A76" s="43" t="inlineStr">
        <is>
          <t>A4 (dairy, consumption)</t>
        </is>
      </c>
      <c r="B76" s="22" t="inlineStr">
        <is>
          <t>Dairy products: consumption (EU)</t>
        </is>
      </c>
      <c r="C76" s="22" t="inlineStr">
        <is>
          <t>Agriculture</t>
        </is>
      </c>
      <c r="D76" s="22" t="inlineStr">
        <is>
          <t>Mt</t>
        </is>
      </c>
      <c r="E76" s="23" t="n">
        <v>2020</v>
      </c>
      <c r="F76" s="24" t="n">
        <v>86.63</v>
      </c>
      <c r="G76" s="23" t="n">
        <v>2020</v>
      </c>
      <c r="H76" s="24" t="n">
        <v>86.63</v>
      </c>
      <c r="I76" s="24" t="n"/>
      <c r="J76" s="25" t="n"/>
      <c r="K76" s="23" t="n"/>
      <c r="L76" s="35" t="inlineStr">
        <is>
          <t>—</t>
        </is>
      </c>
      <c r="M76" s="35" t="inlineStr">
        <is>
          <t>FAOSTAT food balance sheets</t>
        </is>
      </c>
    </row>
    <row r="77" ht="15" customHeight="1">
      <c r="A77" s="42" t="inlineStr">
        <is>
          <t>A4 (dairy, production)</t>
        </is>
      </c>
      <c r="B77" s="15" t="inlineStr">
        <is>
          <t>Dairy products: production (EU)</t>
        </is>
      </c>
      <c r="C77" s="15" t="inlineStr">
        <is>
          <t>Agriculture</t>
        </is>
      </c>
      <c r="D77" s="15" t="inlineStr">
        <is>
          <t>Mt</t>
        </is>
      </c>
      <c r="E77" s="16" t="n">
        <v>2020</v>
      </c>
      <c r="F77" s="17" t="n">
        <v>163.1</v>
      </c>
      <c r="G77" s="16" t="n">
        <v>2024</v>
      </c>
      <c r="H77" s="17" t="n">
        <v>164.6</v>
      </c>
      <c r="I77" s="17" t="n">
        <v>1.5</v>
      </c>
      <c r="J77" s="18" t="n">
        <v>0.009196811771919068</v>
      </c>
      <c r="K77" s="16" t="n">
        <v>4</v>
      </c>
      <c r="L77" s="19" t="inlineStr">
        <is>
          <t>Reproduces from the primary source</t>
        </is>
      </c>
      <c r="M77" s="20" t="inlineStr">
        <is>
          <t>Eurostat (apro_mk_farm)</t>
        </is>
      </c>
    </row>
    <row r="78" ht="15" customHeight="1">
      <c r="A78" s="43" t="inlineStr">
        <is>
          <t>A4 (dairy, herd)</t>
        </is>
      </c>
      <c r="B78" s="22" t="inlineStr">
        <is>
          <t>Dairy products: herd size (EU)</t>
        </is>
      </c>
      <c r="C78" s="22" t="inlineStr">
        <is>
          <t>Agriculture</t>
        </is>
      </c>
      <c r="D78" s="22" t="inlineStr">
        <is>
          <t>million heads</t>
        </is>
      </c>
      <c r="E78" s="23" t="n">
        <v>2020</v>
      </c>
      <c r="F78" s="24" t="n">
        <v>20.63</v>
      </c>
      <c r="G78" s="23" t="n">
        <v>2025</v>
      </c>
      <c r="H78" s="24" t="n">
        <v>19.02</v>
      </c>
      <c r="I78" s="24" t="n">
        <v>-1.609999999999999</v>
      </c>
      <c r="J78" s="25" t="n">
        <v>-0.07804168686379057</v>
      </c>
      <c r="K78" s="23" t="n">
        <v>5</v>
      </c>
      <c r="L78" s="26" t="inlineStr">
        <is>
          <t>Reproduces from the primary source</t>
        </is>
      </c>
      <c r="M78" s="27" t="inlineStr">
        <is>
          <t>EU GHG inventory (CRF) livestock populations; 2021+ Eurostat survey trend</t>
        </is>
      </c>
    </row>
    <row r="79" ht="15" customHeight="1">
      <c r="A79" s="42" t="inlineStr">
        <is>
          <t>A4 (pig, consumption)</t>
        </is>
      </c>
      <c r="B79" s="15" t="inlineStr">
        <is>
          <t>Pig meat: consumption (EU)</t>
        </is>
      </c>
      <c r="C79" s="15" t="inlineStr">
        <is>
          <t>Agriculture</t>
        </is>
      </c>
      <c r="D79" s="15" t="inlineStr">
        <is>
          <t>Mt</t>
        </is>
      </c>
      <c r="E79" s="16" t="n">
        <v>2020</v>
      </c>
      <c r="F79" s="17" t="n">
        <v>17.46</v>
      </c>
      <c r="G79" s="16" t="n">
        <v>2020</v>
      </c>
      <c r="H79" s="17" t="n">
        <v>17.46</v>
      </c>
      <c r="I79" s="17" t="n"/>
      <c r="J79" s="18" t="n"/>
      <c r="K79" s="16" t="n"/>
      <c r="L79" s="34" t="inlineStr">
        <is>
          <t>—</t>
        </is>
      </c>
      <c r="M79" s="34" t="inlineStr">
        <is>
          <t>FAOSTAT food balance sheets</t>
        </is>
      </c>
    </row>
    <row r="80" ht="15" customHeight="1">
      <c r="A80" s="43" t="inlineStr">
        <is>
          <t>A4 (pig, production)</t>
        </is>
      </c>
      <c r="B80" s="22" t="inlineStr">
        <is>
          <t>Pig meat: production (EU)</t>
        </is>
      </c>
      <c r="C80" s="22" t="inlineStr">
        <is>
          <t>Agriculture</t>
        </is>
      </c>
      <c r="D80" s="22" t="inlineStr">
        <is>
          <t>Mt</t>
        </is>
      </c>
      <c r="E80" s="23" t="n">
        <v>2020</v>
      </c>
      <c r="F80" s="24" t="n">
        <v>23.22</v>
      </c>
      <c r="G80" s="23" t="n">
        <v>2025</v>
      </c>
      <c r="H80" s="24" t="n">
        <v>21.84</v>
      </c>
      <c r="I80" s="24" t="n">
        <v>-1.379999999999999</v>
      </c>
      <c r="J80" s="25" t="n">
        <v>-0.05943152454780358</v>
      </c>
      <c r="K80" s="23" t="n">
        <v>5</v>
      </c>
      <c r="L80" s="26" t="inlineStr">
        <is>
          <t>Reproduces from the primary source</t>
        </is>
      </c>
      <c r="M80" s="27" t="inlineStr">
        <is>
          <t>Eurostat (apro_mt_pann)</t>
        </is>
      </c>
    </row>
    <row r="81" ht="15" customHeight="1">
      <c r="A81" s="42" t="inlineStr">
        <is>
          <t>A4 (pig, herd)</t>
        </is>
      </c>
      <c r="B81" s="15" t="inlineStr">
        <is>
          <t>Pig meat: herd size (EU)</t>
        </is>
      </c>
      <c r="C81" s="15" t="inlineStr">
        <is>
          <t>Agriculture</t>
        </is>
      </c>
      <c r="D81" s="15" t="inlineStr">
        <is>
          <t>million heads</t>
        </is>
      </c>
      <c r="E81" s="16" t="n">
        <v>2020</v>
      </c>
      <c r="F81" s="17" t="n">
        <v>140</v>
      </c>
      <c r="G81" s="16" t="n">
        <v>2025</v>
      </c>
      <c r="H81" s="17" t="n">
        <v>126.1</v>
      </c>
      <c r="I81" s="17" t="n">
        <v>-13.90000000000001</v>
      </c>
      <c r="J81" s="18" t="n">
        <v>-0.09928571428571432</v>
      </c>
      <c r="K81" s="16" t="n">
        <v>5</v>
      </c>
      <c r="L81" s="19" t="inlineStr">
        <is>
          <t>Reproduces from the primary source</t>
        </is>
      </c>
      <c r="M81" s="20" t="inlineStr">
        <is>
          <t>EU GHG inventory (CRF) livestock populations; 2021+ Eurostat apro_mt_lspig (swine) survey trend</t>
        </is>
      </c>
    </row>
    <row r="82" ht="15" customHeight="1">
      <c r="A82" s="43" t="inlineStr">
        <is>
          <t>A5 (bovine)</t>
        </is>
      </c>
      <c r="B82" s="22" t="inlineStr">
        <is>
          <t>Average bovine meat consumption (EU)</t>
        </is>
      </c>
      <c r="C82" s="22" t="inlineStr">
        <is>
          <t>Agriculture</t>
        </is>
      </c>
      <c r="D82" s="22" t="inlineStr">
        <is>
          <t>kcal/cap/day</t>
        </is>
      </c>
      <c r="E82" s="23" t="n">
        <v>2020</v>
      </c>
      <c r="F82" s="24" t="n">
        <v>52.12</v>
      </c>
      <c r="G82" s="23" t="n">
        <v>2020</v>
      </c>
      <c r="H82" s="24" t="n">
        <v>52.12</v>
      </c>
      <c r="I82" s="24" t="n"/>
      <c r="J82" s="25" t="n"/>
      <c r="K82" s="23" t="n"/>
      <c r="L82" s="35" t="inlineStr">
        <is>
          <t>—</t>
        </is>
      </c>
      <c r="M82" s="35" t="inlineStr">
        <is>
          <t>FAOSTAT food balance sheets</t>
        </is>
      </c>
    </row>
    <row r="83" ht="15" customHeight="1">
      <c r="A83" s="42" t="inlineStr">
        <is>
          <t>A5 (dairy)</t>
        </is>
      </c>
      <c r="B83" s="15" t="inlineStr">
        <is>
          <t>Average dairy products consumption (EU)</t>
        </is>
      </c>
      <c r="C83" s="15" t="inlineStr">
        <is>
          <t>Agriculture</t>
        </is>
      </c>
      <c r="D83" s="15" t="inlineStr">
        <is>
          <t>kcal/cap/day</t>
        </is>
      </c>
      <c r="E83" s="16" t="n">
        <v>2021</v>
      </c>
      <c r="F83" s="17" t="n">
        <v>550.4</v>
      </c>
      <c r="G83" s="16" t="n">
        <v>2021</v>
      </c>
      <c r="H83" s="17" t="n">
        <v>550.4</v>
      </c>
      <c r="I83" s="17" t="n"/>
      <c r="J83" s="18" t="n"/>
      <c r="K83" s="16" t="n"/>
      <c r="L83" s="34" t="inlineStr">
        <is>
          <t>—</t>
        </is>
      </c>
      <c r="M83" s="34" t="inlineStr">
        <is>
          <t>FAOSTAT food balance sheets</t>
        </is>
      </c>
    </row>
    <row r="84" ht="15" customHeight="1">
      <c r="A84" s="43" t="inlineStr">
        <is>
          <t>A5 (pig)</t>
        </is>
      </c>
      <c r="B84" s="22" t="inlineStr">
        <is>
          <t>Average pig meat consumption (EU)</t>
        </is>
      </c>
      <c r="C84" s="22" t="inlineStr">
        <is>
          <t>Agriculture</t>
        </is>
      </c>
      <c r="D84" s="22" t="inlineStr">
        <is>
          <t>kcal/cap/day</t>
        </is>
      </c>
      <c r="E84" s="23" t="n">
        <v>2020</v>
      </c>
      <c r="F84" s="24" t="n">
        <v>203.8</v>
      </c>
      <c r="G84" s="23" t="n">
        <v>2020</v>
      </c>
      <c r="H84" s="24" t="n">
        <v>203.8</v>
      </c>
      <c r="I84" s="24" t="n"/>
      <c r="J84" s="25" t="n"/>
      <c r="K84" s="23" t="n"/>
      <c r="L84" s="35" t="inlineStr">
        <is>
          <t>—</t>
        </is>
      </c>
      <c r="M84" s="35" t="inlineStr">
        <is>
          <t>FAOSTAT food balance sheets</t>
        </is>
      </c>
    </row>
    <row r="85" ht="15" customHeight="1">
      <c r="A85" s="42" t="inlineStr">
        <is>
          <t>A6</t>
        </is>
      </c>
      <c r="B85" s="15" t="inlineStr">
        <is>
          <t>Food waste per capita (EU)</t>
        </is>
      </c>
      <c r="C85" s="15" t="inlineStr">
        <is>
          <t>Agriculture</t>
        </is>
      </c>
      <c r="D85" s="15" t="inlineStr">
        <is>
          <t>kg/cap/year</t>
        </is>
      </c>
      <c r="E85" s="16" t="n">
        <v>2020</v>
      </c>
      <c r="F85" s="17" t="n">
        <v>131</v>
      </c>
      <c r="G85" s="16" t="n">
        <v>2023</v>
      </c>
      <c r="H85" s="17" t="n">
        <v>129</v>
      </c>
      <c r="I85" s="17" t="n">
        <v>-2</v>
      </c>
      <c r="J85" s="18" t="n">
        <v>-0.01526717557251908</v>
      </c>
      <c r="K85" s="16" t="n">
        <v>3</v>
      </c>
      <c r="L85" s="19" t="inlineStr">
        <is>
          <t>Reproduces from the primary source</t>
        </is>
      </c>
      <c r="M85" s="20" t="inlineStr">
        <is>
          <t>Eurostat (env_wasfw)</t>
        </is>
      </c>
    </row>
    <row r="86" ht="15" customHeight="1">
      <c r="A86" s="40" t="inlineStr">
        <is>
          <t>B4 (dwellings)</t>
        </is>
      </c>
      <c r="B86" s="22" t="inlineStr">
        <is>
          <t>Total number of dwellings (index, 2005 = 1.0)</t>
        </is>
      </c>
      <c r="C86" s="22" t="inlineStr">
        <is>
          <t>Buildings</t>
        </is>
      </c>
      <c r="D86" s="22" t="inlineStr">
        <is>
          <t>index (2005 = 1.0)</t>
        </is>
      </c>
      <c r="E86" s="23" t="n">
        <v>2016</v>
      </c>
      <c r="F86" s="24" t="n">
        <v>1.086</v>
      </c>
      <c r="G86" s="23" t="n">
        <v>2016</v>
      </c>
      <c r="H86" s="24" t="n">
        <v>1.086</v>
      </c>
      <c r="I86" s="24" t="n"/>
      <c r="J86" s="25" t="n"/>
      <c r="K86" s="23" t="n"/>
      <c r="L86" s="35" t="inlineStr">
        <is>
          <t>—</t>
        </is>
      </c>
      <c r="M86" s="27" t="inlineStr">
        <is>
          <t>European Building Stock Observatory (DG ENER) + Odyssee-Mure; population from Eurostat demo_gind</t>
        </is>
      </c>
    </row>
    <row r="87" ht="15" customHeight="1">
      <c r="A87" s="41" t="inlineStr">
        <is>
          <t>B4 (floor area)</t>
        </is>
      </c>
      <c r="B87" s="15" t="inlineStr">
        <is>
          <t>Average floor area per dwelling (index, 2005 = 1.0)</t>
        </is>
      </c>
      <c r="C87" s="15" t="inlineStr">
        <is>
          <t>Buildings</t>
        </is>
      </c>
      <c r="D87" s="15" t="inlineStr">
        <is>
          <t>index (2005 = 1.0)</t>
        </is>
      </c>
      <c r="E87" s="16" t="n">
        <v>2020</v>
      </c>
      <c r="F87" s="17" t="n">
        <v>1.044</v>
      </c>
      <c r="G87" s="16" t="n">
        <v>2020</v>
      </c>
      <c r="H87" s="17" t="n">
        <v>1.044</v>
      </c>
      <c r="I87" s="17" t="n"/>
      <c r="J87" s="18" t="n"/>
      <c r="K87" s="16" t="n"/>
      <c r="L87" s="34" t="inlineStr">
        <is>
          <t>—</t>
        </is>
      </c>
      <c r="M87" s="20" t="inlineStr">
        <is>
          <t>European Building Stock Observatory (DG ENER) + Odyssee-Mure; population from Eurostat demo_gind</t>
        </is>
      </c>
    </row>
    <row r="88" ht="15" customHeight="1">
      <c r="A88" s="40" t="inlineStr">
        <is>
          <t>B4 (surface residential)</t>
        </is>
      </c>
      <c r="B88" s="22" t="inlineStr">
        <is>
          <t>Total residential floor surface (index, 2005 = 1.0)</t>
        </is>
      </c>
      <c r="C88" s="22" t="inlineStr">
        <is>
          <t>Buildings</t>
        </is>
      </c>
      <c r="D88" s="22" t="inlineStr">
        <is>
          <t>index (2005 = 1.0)</t>
        </is>
      </c>
      <c r="E88" s="23" t="n">
        <v>2016</v>
      </c>
      <c r="F88" s="24" t="n">
        <v>1.131</v>
      </c>
      <c r="G88" s="23" t="n">
        <v>2016</v>
      </c>
      <c r="H88" s="24" t="n">
        <v>1.131</v>
      </c>
      <c r="I88" s="24" t="n"/>
      <c r="J88" s="25" t="n"/>
      <c r="K88" s="23" t="n"/>
      <c r="L88" s="35" t="inlineStr">
        <is>
          <t>—</t>
        </is>
      </c>
      <c r="M88" s="27" t="inlineStr">
        <is>
          <t>European Building Stock Observatory (DG ENER) + Odyssee-Mure; population from Eurostat demo_gind</t>
        </is>
      </c>
    </row>
    <row r="89" ht="15" customHeight="1">
      <c r="A89" s="41" t="inlineStr">
        <is>
          <t>B4 (population)</t>
        </is>
      </c>
      <c r="B89" s="15" t="inlineStr">
        <is>
          <t>EU population (index, 2005 = 1.0)</t>
        </is>
      </c>
      <c r="C89" s="15" t="inlineStr">
        <is>
          <t>Buildings</t>
        </is>
      </c>
      <c r="D89" s="15" t="inlineStr">
        <is>
          <t>index (2005 = 1.0)</t>
        </is>
      </c>
      <c r="E89" s="16" t="n">
        <v>2020</v>
      </c>
      <c r="F89" s="17" t="n">
        <v>1.028</v>
      </c>
      <c r="G89" s="16" t="n">
        <v>2025</v>
      </c>
      <c r="H89" s="17" t="n">
        <v>1.04</v>
      </c>
      <c r="I89" s="17" t="n">
        <v>0.01200000000000001</v>
      </c>
      <c r="J89" s="18" t="n">
        <v>0.01167315175097277</v>
      </c>
      <c r="K89" s="16" t="n">
        <v>5</v>
      </c>
      <c r="L89" s="19" t="inlineStr">
        <is>
          <t>Reproduces from the primary source</t>
        </is>
      </c>
      <c r="M89" s="20" t="inlineStr">
        <is>
          <t>European Building Stock Observatory (DG ENER) + Odyssee-Mure; population from Eurostat demo_gind</t>
        </is>
      </c>
    </row>
    <row r="90" ht="15" customHeight="1">
      <c r="A90" s="40" t="inlineStr">
        <is>
          <t>B4 (surface tertiary)</t>
        </is>
      </c>
      <c r="B90" s="22" t="inlineStr">
        <is>
          <t>Total tertiary floor surface (index, 2005 = 1.0)</t>
        </is>
      </c>
      <c r="C90" s="22" t="inlineStr">
        <is>
          <t>Buildings</t>
        </is>
      </c>
      <c r="D90" s="22" t="inlineStr">
        <is>
          <t>index (2005 = 1.0)</t>
        </is>
      </c>
      <c r="E90" s="23" t="n">
        <v>2019</v>
      </c>
      <c r="F90" s="24" t="n">
        <v>1.12</v>
      </c>
      <c r="G90" s="23" t="n">
        <v>2019</v>
      </c>
      <c r="H90" s="24" t="n">
        <v>1.12</v>
      </c>
      <c r="I90" s="24" t="n"/>
      <c r="J90" s="25" t="n"/>
      <c r="K90" s="23" t="n"/>
      <c r="L90" s="35" t="inlineStr">
        <is>
          <t>—</t>
        </is>
      </c>
      <c r="M90" s="27" t="inlineStr">
        <is>
          <t>European Building Stock Observatory (DG ENER) + Odyssee-Mure; population from Eurostat demo_gind</t>
        </is>
      </c>
    </row>
    <row r="91" ht="15" customHeight="1">
      <c r="A91" s="44" t="inlineStr">
        <is>
          <t>L2 (cropland)</t>
        </is>
      </c>
      <c r="B91" s="15" t="inlineStr">
        <is>
          <t>Cropland surface area (EU)</t>
        </is>
      </c>
      <c r="C91" s="15" t="inlineStr">
        <is>
          <t>LULUCF</t>
        </is>
      </c>
      <c r="D91" s="15" t="inlineStr">
        <is>
          <t>million ha</t>
        </is>
      </c>
      <c r="E91" s="16" t="n">
        <v>2021</v>
      </c>
      <c r="F91" s="17" t="n">
        <v>120.9</v>
      </c>
      <c r="G91" s="16" t="n">
        <v>2021</v>
      </c>
      <c r="H91" s="17" t="n">
        <v>120.9</v>
      </c>
      <c r="I91" s="17" t="n"/>
      <c r="J91" s="18" t="n"/>
      <c r="K91" s="16" t="n"/>
      <c r="L91" s="34" t="inlineStr">
        <is>
          <t>—</t>
        </is>
      </c>
      <c r="M91" s="20" t="inlineStr">
        <is>
          <t>EU GHG inventory (CRF tables)</t>
        </is>
      </c>
    </row>
    <row r="92" ht="15" customHeight="1">
      <c r="A92" s="45" t="inlineStr">
        <is>
          <t>L2 (grassland)</t>
        </is>
      </c>
      <c r="B92" s="22" t="inlineStr">
        <is>
          <t>Grassland surface area (EU)</t>
        </is>
      </c>
      <c r="C92" s="22" t="inlineStr">
        <is>
          <t>LULUCF</t>
        </is>
      </c>
      <c r="D92" s="22" t="inlineStr">
        <is>
          <t>million ha</t>
        </is>
      </c>
      <c r="E92" s="23" t="n">
        <v>2021</v>
      </c>
      <c r="F92" s="24" t="n">
        <v>73.2</v>
      </c>
      <c r="G92" s="23" t="n">
        <v>2021</v>
      </c>
      <c r="H92" s="24" t="n">
        <v>73.2</v>
      </c>
      <c r="I92" s="24" t="n"/>
      <c r="J92" s="25" t="n"/>
      <c r="K92" s="23" t="n"/>
      <c r="L92" s="35" t="inlineStr">
        <is>
          <t>—</t>
        </is>
      </c>
      <c r="M92" s="27" t="inlineStr">
        <is>
          <t>EU GHG inventory (CRF tables)</t>
        </is>
      </c>
    </row>
    <row r="93" ht="15" customHeight="1">
      <c r="A93" s="44" t="inlineStr">
        <is>
          <t>L2 (wetland)</t>
        </is>
      </c>
      <c r="B93" s="15" t="inlineStr">
        <is>
          <t>Wetland surface area (EU)</t>
        </is>
      </c>
      <c r="C93" s="15" t="inlineStr">
        <is>
          <t>LULUCF</t>
        </is>
      </c>
      <c r="D93" s="15" t="inlineStr">
        <is>
          <t>million ha</t>
        </is>
      </c>
      <c r="E93" s="16" t="n">
        <v>2021</v>
      </c>
      <c r="F93" s="17" t="n">
        <v>23.87</v>
      </c>
      <c r="G93" s="16" t="n">
        <v>2021</v>
      </c>
      <c r="H93" s="17" t="n">
        <v>23.87</v>
      </c>
      <c r="I93" s="17" t="n"/>
      <c r="J93" s="18" t="n"/>
      <c r="K93" s="16" t="n"/>
      <c r="L93" s="34" t="inlineStr">
        <is>
          <t>—</t>
        </is>
      </c>
      <c r="M93" s="20" t="inlineStr">
        <is>
          <t>EU GHG inventory (CRF tables)</t>
        </is>
      </c>
    </row>
    <row r="94" ht="15" customHeight="1">
      <c r="A94" s="45" t="inlineStr">
        <is>
          <t>L2 (settlements)</t>
        </is>
      </c>
      <c r="B94" s="22" t="inlineStr">
        <is>
          <t>Settlements surface area (EU)</t>
        </is>
      </c>
      <c r="C94" s="22" t="inlineStr">
        <is>
          <t>LULUCF</t>
        </is>
      </c>
      <c r="D94" s="22" t="inlineStr">
        <is>
          <t>million ha</t>
        </is>
      </c>
      <c r="E94" s="23" t="n">
        <v>2021</v>
      </c>
      <c r="F94" s="24" t="n">
        <v>28.15</v>
      </c>
      <c r="G94" s="23" t="n">
        <v>2021</v>
      </c>
      <c r="H94" s="24" t="n">
        <v>28.15</v>
      </c>
      <c r="I94" s="24" t="n"/>
      <c r="J94" s="25" t="n"/>
      <c r="K94" s="23" t="n"/>
      <c r="L94" s="35" t="inlineStr">
        <is>
          <t>—</t>
        </is>
      </c>
      <c r="M94" s="27" t="inlineStr">
        <is>
          <t>EU GHG inventory (CRF tables)</t>
        </is>
      </c>
    </row>
    <row r="95" ht="15" customHeight="1">
      <c r="A95" s="44" t="inlineStr">
        <is>
          <t>L2 (forest)</t>
        </is>
      </c>
      <c r="B95" s="15" t="inlineStr">
        <is>
          <t>Forest land surface area (EU)</t>
        </is>
      </c>
      <c r="C95" s="15" t="inlineStr">
        <is>
          <t>LULUCF</t>
        </is>
      </c>
      <c r="D95" s="15" t="inlineStr">
        <is>
          <t>million ha</t>
        </is>
      </c>
      <c r="E95" s="16" t="n">
        <v>2021</v>
      </c>
      <c r="F95" s="17" t="n">
        <v>167.7</v>
      </c>
      <c r="G95" s="16" t="n">
        <v>2021</v>
      </c>
      <c r="H95" s="17" t="n">
        <v>167.7</v>
      </c>
      <c r="I95" s="17" t="n"/>
      <c r="J95" s="18" t="n"/>
      <c r="K95" s="16" t="n"/>
      <c r="L95" s="34" t="inlineStr">
        <is>
          <t>—</t>
        </is>
      </c>
      <c r="M95" s="20" t="inlineStr">
        <is>
          <t>EU GHG inventory (CRF tables)</t>
        </is>
      </c>
    </row>
    <row r="96" ht="15" customHeight="1">
      <c r="A96" s="45" t="inlineStr">
        <is>
          <t>L2 (other)</t>
        </is>
      </c>
      <c r="B96" s="22" t="inlineStr">
        <is>
          <t>Other surface area (EU)</t>
        </is>
      </c>
      <c r="C96" s="22" t="inlineStr">
        <is>
          <t>LULUCF</t>
        </is>
      </c>
      <c r="D96" s="22" t="inlineStr">
        <is>
          <t>million ha</t>
        </is>
      </c>
      <c r="E96" s="23" t="n">
        <v>2021</v>
      </c>
      <c r="F96" s="24" t="n">
        <v>9.657999999999999</v>
      </c>
      <c r="G96" s="23" t="n">
        <v>2021</v>
      </c>
      <c r="H96" s="24" t="n">
        <v>9.657999999999999</v>
      </c>
      <c r="I96" s="24" t="n"/>
      <c r="J96" s="25" t="n"/>
      <c r="K96" s="23" t="n"/>
      <c r="L96" s="35" t="inlineStr">
        <is>
          <t>—</t>
        </is>
      </c>
      <c r="M96" s="27" t="inlineStr">
        <is>
          <t>EU GHG inventory (CRF tables)</t>
        </is>
      </c>
    </row>
    <row r="97" ht="15" customHeight="1">
      <c r="A97" s="36" t="inlineStr">
        <is>
          <t>I7a</t>
        </is>
      </c>
      <c r="B97" s="15" t="inlineStr">
        <is>
          <t>Low-carbon steel projects (EU)</t>
        </is>
      </c>
      <c r="C97" s="15" t="inlineStr">
        <is>
          <t>Industry</t>
        </is>
      </c>
      <c r="D97" s="15" t="inlineStr">
        <is>
          <t>projects</t>
        </is>
      </c>
      <c r="E97" s="16" t="n">
        <v>2023</v>
      </c>
      <c r="F97" s="17" t="n">
        <v>48</v>
      </c>
      <c r="G97" s="16" t="n">
        <v>2023</v>
      </c>
      <c r="H97" s="17" t="n">
        <v>48</v>
      </c>
      <c r="I97" s="17" t="n"/>
      <c r="J97" s="18" t="n"/>
      <c r="K97" s="16" t="n"/>
      <c r="L97" s="34" t="inlineStr">
        <is>
          <t>—</t>
        </is>
      </c>
      <c r="M97" s="34" t="inlineStr">
        <is>
          <t>Green Steel Tracker (Leadership Group for Industry Transition)</t>
        </is>
      </c>
    </row>
    <row r="98" ht="15" customHeight="1">
      <c r="A98" s="37" t="inlineStr">
        <is>
          <t>I7b</t>
        </is>
      </c>
      <c r="B98" s="22" t="inlineStr">
        <is>
          <t>Low-carbon cement projects (EU)</t>
        </is>
      </c>
      <c r="C98" s="22" t="inlineStr">
        <is>
          <t>Industry</t>
        </is>
      </c>
      <c r="D98" s="22" t="inlineStr">
        <is>
          <t>projects</t>
        </is>
      </c>
      <c r="E98" s="23" t="n">
        <v>2023</v>
      </c>
      <c r="F98" s="24" t="n">
        <v>62</v>
      </c>
      <c r="G98" s="23" t="n">
        <v>2023</v>
      </c>
      <c r="H98" s="24" t="n">
        <v>62</v>
      </c>
      <c r="I98" s="24" t="n"/>
      <c r="J98" s="25" t="n"/>
      <c r="K98" s="23" t="n"/>
      <c r="L98" s="35" t="inlineStr">
        <is>
          <t>—</t>
        </is>
      </c>
      <c r="M98" s="27" t="inlineStr">
        <is>
          <t>Cembureau map of innovation projects</t>
        </is>
      </c>
    </row>
    <row r="99" ht="15" customHeight="1">
      <c r="A99" s="36" t="inlineStr">
        <is>
          <t>I7c</t>
        </is>
      </c>
      <c r="B99" s="15" t="inlineStr">
        <is>
          <t>Low-carbon chemicals projects (EU)</t>
        </is>
      </c>
      <c r="C99" s="15" t="inlineStr">
        <is>
          <t>Industry</t>
        </is>
      </c>
      <c r="D99" s="15" t="inlineStr">
        <is>
          <t>projects</t>
        </is>
      </c>
      <c r="E99" s="16" t="n">
        <v>2023</v>
      </c>
      <c r="F99" s="17" t="n">
        <v>171</v>
      </c>
      <c r="G99" s="16" t="n">
        <v>2023</v>
      </c>
      <c r="H99" s="17" t="n">
        <v>171</v>
      </c>
      <c r="I99" s="17" t="n"/>
      <c r="J99" s="18" t="n"/>
      <c r="K99" s="16" t="n"/>
      <c r="L99" s="34" t="inlineStr">
        <is>
          <t>—</t>
        </is>
      </c>
      <c r="M99" s="20" t="inlineStr">
        <is>
          <t>CEFIC low carbon projects map</t>
        </is>
      </c>
    </row>
    <row r="100" ht="15" customHeight="1">
      <c r="A100" s="40" t="inlineStr">
        <is>
          <t>B3 (residential)</t>
        </is>
      </c>
      <c r="B100" s="22" t="inlineStr">
        <is>
          <t>Residential weighted renovation rate (EU)</t>
        </is>
      </c>
      <c r="C100" s="22" t="inlineStr">
        <is>
          <t>Buildings</t>
        </is>
      </c>
      <c r="D100" s="22" t="inlineStr">
        <is>
          <t>%</t>
        </is>
      </c>
      <c r="E100" s="23" t="n">
        <v>2020</v>
      </c>
      <c r="F100" s="24" t="n">
        <v>1</v>
      </c>
      <c r="G100" s="23" t="n">
        <v>2020</v>
      </c>
      <c r="H100" s="24" t="n">
        <v>1</v>
      </c>
      <c r="I100" s="24" t="n"/>
      <c r="J100" s="25" t="n"/>
      <c r="K100" s="23" t="n"/>
      <c r="L100" s="35" t="inlineStr">
        <is>
          <t>—</t>
        </is>
      </c>
      <c r="M100" s="35" t="inlineStr">
        <is>
          <t>Climate Target Plan impact assessment + Eurostat</t>
        </is>
      </c>
    </row>
    <row r="101" ht="15" customHeight="1">
      <c r="A101" s="41" t="inlineStr">
        <is>
          <t>B3 (commercial)</t>
        </is>
      </c>
      <c r="B101" s="15" t="inlineStr">
        <is>
          <t>Commercial weighted renovation rate (EU)</t>
        </is>
      </c>
      <c r="C101" s="15" t="inlineStr">
        <is>
          <t>Buildings</t>
        </is>
      </c>
      <c r="D101" s="15" t="inlineStr">
        <is>
          <t>%</t>
        </is>
      </c>
      <c r="E101" s="16" t="n">
        <v>2020</v>
      </c>
      <c r="F101" s="17" t="n">
        <v>0.6</v>
      </c>
      <c r="G101" s="16" t="n">
        <v>2020</v>
      </c>
      <c r="H101" s="17" t="n">
        <v>0.6</v>
      </c>
      <c r="I101" s="17" t="n"/>
      <c r="J101" s="18" t="n"/>
      <c r="K101" s="16" t="n"/>
      <c r="L101" s="34" t="inlineStr">
        <is>
          <t>—</t>
        </is>
      </c>
      <c r="M101" s="34" t="inlineStr">
        <is>
          <t>Climate Target Plan impact assessment + Eurostat</t>
        </is>
      </c>
    </row>
    <row r="104">
      <c r="A104" s="4" t="inlineStr">
        <is>
          <t>Overview figures</t>
        </is>
      </c>
    </row>
    <row r="105" ht="20" customHeight="1">
      <c r="A105" s="5" t="inlineStr"/>
      <c r="B105" s="5" t="inlineStr">
        <is>
          <t>Indicator (largest moves)</t>
        </is>
      </c>
      <c r="C105" s="5" t="inlineStr">
        <is>
          <t>Change % vs report baseline</t>
        </is>
      </c>
    </row>
    <row r="106" ht="15" customHeight="1">
      <c r="A106" s="15" t="inlineStr"/>
      <c r="B106" s="15" t="inlineStr">
        <is>
          <t>I2 (cement, production) · Cement production (EU)</t>
        </is>
      </c>
      <c r="C106" s="18" t="n">
        <v>-0.1358904109589042</v>
      </c>
    </row>
    <row r="107" ht="15" customHeight="1">
      <c r="A107" s="22" t="inlineStr"/>
      <c r="B107" s="22" t="inlineStr">
        <is>
          <t>I2 (steel, production) · Steel production (EU)</t>
        </is>
      </c>
      <c r="C107" s="25" t="n">
        <v>-0.1570680628272251</v>
      </c>
    </row>
    <row r="108" ht="15" customHeight="1">
      <c r="A108" s="15" t="inlineStr"/>
      <c r="B108" s="15" t="inlineStr">
        <is>
          <t>B5b · Fossil share of tertiary energy mix</t>
        </is>
      </c>
      <c r="C108" s="18" t="n">
        <v>-0.1688177594217862</v>
      </c>
    </row>
    <row r="109" ht="15" customHeight="1">
      <c r="A109" s="22" t="inlineStr"/>
      <c r="B109" s="22" t="inlineStr">
        <is>
          <t>E6 · Energy-related methane emissions (EU-27)</t>
        </is>
      </c>
      <c r="C109" s="25" t="n">
        <v>-0.1736518380775282</v>
      </c>
    </row>
    <row r="110" ht="15" customHeight="1">
      <c r="A110" s="15" t="inlineStr"/>
      <c r="B110" s="15" t="inlineStr">
        <is>
          <t>E3 · Average GHG intensity of EU electricity</t>
        </is>
      </c>
      <c r="C110" s="18" t="n">
        <v>-0.2533864541832669</v>
      </c>
    </row>
    <row r="111" ht="15" customHeight="1">
      <c r="A111" s="22" t="inlineStr"/>
      <c r="B111" s="22" t="inlineStr">
        <is>
          <t>E1 · Energy supply GHG emissions</t>
        </is>
      </c>
      <c r="C111" s="25" t="n">
        <v>-0.2542207792207792</v>
      </c>
    </row>
    <row r="112" ht="15" customHeight="1">
      <c r="A112" s="15" t="inlineStr"/>
      <c r="B112" s="15" t="inlineStr">
        <is>
          <t>L7 · Non-forest LULUCF net GHG emissions</t>
        </is>
      </c>
      <c r="C112" s="18" t="n">
        <v>0.2623152709359606</v>
      </c>
    </row>
    <row r="113" ht="15" customHeight="1">
      <c r="A113" s="22" t="inlineStr"/>
      <c r="B113" s="22" t="inlineStr">
        <is>
          <t>E2 (fossil) · Fossil share of EU electricity mix</t>
        </is>
      </c>
      <c r="C113" s="25" t="n">
        <v>-0.2747678018575851</v>
      </c>
    </row>
    <row r="114" ht="15" customHeight="1">
      <c r="A114" s="15" t="inlineStr"/>
      <c r="B114" s="15" t="inlineStr">
        <is>
          <t>E2 (RES) · Non-biomass renewable share of EU electricity mix</t>
        </is>
      </c>
      <c r="C114" s="18" t="n">
        <v>0.2799170616113745</v>
      </c>
    </row>
    <row r="115" ht="15" customHeight="1">
      <c r="A115" s="22" t="inlineStr"/>
      <c r="B115" s="22" t="inlineStr">
        <is>
          <t>B6 · EU stock of installed heat pumps</t>
        </is>
      </c>
      <c r="C115" s="25" t="n">
        <v>0.2885295603840324</v>
      </c>
    </row>
    <row r="116" ht="15" customHeight="1">
      <c r="A116" s="15" t="inlineStr"/>
      <c r="B116" s="15" t="inlineStr">
        <is>
          <t>T5a · ZEV share of new passenger car registrations</t>
        </is>
      </c>
      <c r="C116" s="18" t="n">
        <v>0.2975391498881431</v>
      </c>
    </row>
    <row r="117" ht="15" customHeight="1">
      <c r="A117" s="22" t="inlineStr"/>
      <c r="B117" s="22" t="inlineStr">
        <is>
          <t>I2 (chemicals, production) · Chemicals production (EU)</t>
        </is>
      </c>
      <c r="C117" s="25" t="n">
        <v>-0.3088673621460507</v>
      </c>
    </row>
    <row r="118" ht="15" customHeight="1">
      <c r="A118" s="15" t="inlineStr"/>
      <c r="B118" s="15" t="inlineStr">
        <is>
          <t>F5 · Cleantech venture &amp; growth investment in the EU</t>
        </is>
      </c>
      <c r="C118" s="18" t="n">
        <v>-0.3333333333333333</v>
      </c>
    </row>
    <row r="119" ht="15" customHeight="1">
      <c r="A119" s="22" t="inlineStr"/>
      <c r="B119" s="22" t="inlineStr">
        <is>
          <t>T2a · Total passenger transport demand</t>
        </is>
      </c>
      <c r="C119" s="25" t="n">
        <v>0.3373010505433067</v>
      </c>
    </row>
    <row r="120" ht="15" customHeight="1">
      <c r="A120" s="15" t="inlineStr"/>
      <c r="B120" s="15" t="inlineStr">
        <is>
          <t>E4b/c · Annual wind capacity additions (EU)</t>
        </is>
      </c>
      <c r="C120" s="18" t="n">
        <v>0.4291044776119403</v>
      </c>
    </row>
    <row r="121" ht="15" customHeight="1">
      <c r="A121" s="22" t="inlineStr"/>
      <c r="B121" s="22" t="inlineStr">
        <is>
          <t>E4a · Annual solar PV capacity additions (EU)</t>
        </is>
      </c>
      <c r="C121" s="25" t="n">
        <v>1.371984435797665</v>
      </c>
    </row>
    <row r="122" ht="15" customHeight="1">
      <c r="A122" s="15" t="inlineStr"/>
      <c r="B122" s="15" t="inlineStr">
        <is>
          <t>T5b · Zero-emission lorries in the EU fleet</t>
        </is>
      </c>
      <c r="C122" s="18" t="n">
        <v>1.591196626251977</v>
      </c>
    </row>
    <row r="123" ht="15" customHeight="1">
      <c r="A123" s="22" t="inlineStr"/>
      <c r="B123" s="22" t="inlineStr">
        <is>
          <t>T3b · Intra-EU air passenger transport</t>
        </is>
      </c>
      <c r="C123" s="25" t="n">
        <v>2.27150084317032</v>
      </c>
    </row>
    <row r="126" ht="28" customHeight="1">
      <c r="A126" s="5" t="inlineStr"/>
      <c r="B126" s="5" t="inlineStr">
        <is>
          <t>Chapter</t>
        </is>
      </c>
      <c r="C126" s="5" t="inlineStr">
        <is>
          <t>With new data since the report</t>
        </is>
      </c>
      <c r="D126" s="5" t="inlineStr">
        <is>
          <t>Still at the report figure</t>
        </is>
      </c>
    </row>
    <row r="127" ht="15" customHeight="1">
      <c r="A127" s="15" t="inlineStr"/>
      <c r="B127" s="15" t="inlineStr">
        <is>
          <t>Emissions</t>
        </is>
      </c>
      <c r="C127" s="49" t="n">
        <v>1</v>
      </c>
      <c r="D127" s="49" t="n">
        <v>0</v>
      </c>
    </row>
    <row r="128" ht="15" customHeight="1">
      <c r="A128" s="22" t="inlineStr"/>
      <c r="B128" s="22" t="inlineStr">
        <is>
          <t>Energy supply</t>
        </is>
      </c>
      <c r="C128" s="50" t="n">
        <v>7</v>
      </c>
      <c r="D128" s="50" t="n">
        <v>0</v>
      </c>
    </row>
    <row r="129" ht="15" customHeight="1">
      <c r="A129" s="15" t="inlineStr"/>
      <c r="B129" s="15" t="inlineStr">
        <is>
          <t>Energy demand</t>
        </is>
      </c>
      <c r="C129" s="49" t="n">
        <v>4</v>
      </c>
      <c r="D129" s="49" t="n">
        <v>0</v>
      </c>
    </row>
    <row r="130" ht="15" customHeight="1">
      <c r="A130" s="22" t="inlineStr"/>
      <c r="B130" s="22" t="inlineStr">
        <is>
          <t>Industry</t>
        </is>
      </c>
      <c r="C130" s="50" t="n">
        <v>7</v>
      </c>
      <c r="D130" s="50" t="n">
        <v>11</v>
      </c>
    </row>
    <row r="131" ht="15" customHeight="1">
      <c r="A131" s="15" t="inlineStr"/>
      <c r="B131" s="15" t="inlineStr">
        <is>
          <t>Transport</t>
        </is>
      </c>
      <c r="C131" s="49" t="n">
        <v>9</v>
      </c>
      <c r="D131" s="49" t="n">
        <v>1</v>
      </c>
    </row>
    <row r="132" ht="15" customHeight="1">
      <c r="A132" s="22" t="inlineStr"/>
      <c r="B132" s="22" t="inlineStr">
        <is>
          <t>Buildings</t>
        </is>
      </c>
      <c r="C132" s="50" t="n">
        <v>6</v>
      </c>
      <c r="D132" s="50" t="n">
        <v>6</v>
      </c>
    </row>
    <row r="133" ht="15" customHeight="1">
      <c r="A133" s="15" t="inlineStr"/>
      <c r="B133" s="15" t="inlineStr">
        <is>
          <t>Agriculture</t>
        </is>
      </c>
      <c r="C133" s="49" t="n">
        <v>13</v>
      </c>
      <c r="D133" s="49" t="n">
        <v>13</v>
      </c>
    </row>
    <row r="134" ht="15" customHeight="1">
      <c r="A134" s="22" t="inlineStr"/>
      <c r="B134" s="22" t="inlineStr">
        <is>
          <t>LULUCF</t>
        </is>
      </c>
      <c r="C134" s="50" t="n">
        <v>4</v>
      </c>
      <c r="D134" s="50" t="n">
        <v>9</v>
      </c>
    </row>
    <row r="135" ht="15" customHeight="1">
      <c r="A135" s="15" t="inlineStr"/>
      <c r="B135" s="15" t="inlineStr">
        <is>
          <t>Finance &amp; innovation</t>
        </is>
      </c>
      <c r="C135" s="49" t="n">
        <v>4</v>
      </c>
      <c r="D135" s="49" t="n">
        <v>2</v>
      </c>
    </row>
    <row r="137">
      <c r="A137" s="51" t="inlineStr">
        <is>
          <t>Notes: “change” is arithmetic — the workbook draws no conclusion about whether a move is progress. Latest years differ between indicators; the year is always shown beside the value.</t>
        </is>
      </c>
    </row>
    <row r="138">
      <c r="A138" s="51" t="inlineStr">
        <is>
          <t>Source: ESABCC (2024) “Towards EU climate neutrality”, progress indicators, extended with the post-publication points held in the Policy Gap 2.0 indicator database.</t>
        </is>
      </c>
    </row>
  </sheetData>
  <autoFilter ref="A4:M101"/>
  <mergeCells count="4">
    <mergeCell ref="A138:M138"/>
    <mergeCell ref="A2:M2"/>
    <mergeCell ref="A137:L137"/>
    <mergeCell ref="A1:M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4" r:id="rId23"/>
    <hyperlink xmlns:r="http://schemas.openxmlformats.org/officeDocument/2006/relationships" ref="M35" r:id="rId24"/>
    <hyperlink xmlns:r="http://schemas.openxmlformats.org/officeDocument/2006/relationships" ref="M36" r:id="rId25"/>
    <hyperlink xmlns:r="http://schemas.openxmlformats.org/officeDocument/2006/relationships" ref="M37" r:id="rId26"/>
    <hyperlink xmlns:r="http://schemas.openxmlformats.org/officeDocument/2006/relationships" ref="M38" r:id="rId27"/>
    <hyperlink xmlns:r="http://schemas.openxmlformats.org/officeDocument/2006/relationships" ref="M39" r:id="rId28"/>
    <hyperlink xmlns:r="http://schemas.openxmlformats.org/officeDocument/2006/relationships" ref="M40" r:id="rId29"/>
    <hyperlink xmlns:r="http://schemas.openxmlformats.org/officeDocument/2006/relationships" ref="M43" r:id="rId30"/>
    <hyperlink xmlns:r="http://schemas.openxmlformats.org/officeDocument/2006/relationships" ref="M44" r:id="rId31"/>
    <hyperlink xmlns:r="http://schemas.openxmlformats.org/officeDocument/2006/relationships" ref="M45" r:id="rId32"/>
    <hyperlink xmlns:r="http://schemas.openxmlformats.org/officeDocument/2006/relationships" ref="M46" r:id="rId33"/>
    <hyperlink xmlns:r="http://schemas.openxmlformats.org/officeDocument/2006/relationships" ref="M47" r:id="rId34"/>
    <hyperlink xmlns:r="http://schemas.openxmlformats.org/officeDocument/2006/relationships" ref="M48" r:id="rId35"/>
    <hyperlink xmlns:r="http://schemas.openxmlformats.org/officeDocument/2006/relationships" ref="M49" r:id="rId36"/>
    <hyperlink xmlns:r="http://schemas.openxmlformats.org/officeDocument/2006/relationships" ref="M51" r:id="rId37"/>
    <hyperlink xmlns:r="http://schemas.openxmlformats.org/officeDocument/2006/relationships" ref="M52" r:id="rId38"/>
    <hyperlink xmlns:r="http://schemas.openxmlformats.org/officeDocument/2006/relationships" ref="M53" r:id="rId39"/>
    <hyperlink xmlns:r="http://schemas.openxmlformats.org/officeDocument/2006/relationships" ref="M56" r:id="rId40"/>
    <hyperlink xmlns:r="http://schemas.openxmlformats.org/officeDocument/2006/relationships" ref="M57" r:id="rId41"/>
    <hyperlink xmlns:r="http://schemas.openxmlformats.org/officeDocument/2006/relationships" ref="M58" r:id="rId42"/>
    <hyperlink xmlns:r="http://schemas.openxmlformats.org/officeDocument/2006/relationships" ref="M59" r:id="rId43"/>
    <hyperlink xmlns:r="http://schemas.openxmlformats.org/officeDocument/2006/relationships" ref="M60" r:id="rId44"/>
    <hyperlink xmlns:r="http://schemas.openxmlformats.org/officeDocument/2006/relationships" ref="M64" r:id="rId45"/>
    <hyperlink xmlns:r="http://schemas.openxmlformats.org/officeDocument/2006/relationships" ref="M65" r:id="rId46"/>
    <hyperlink xmlns:r="http://schemas.openxmlformats.org/officeDocument/2006/relationships" ref="M66" r:id="rId47"/>
    <hyperlink xmlns:r="http://schemas.openxmlformats.org/officeDocument/2006/relationships" ref="M67" r:id="rId48"/>
    <hyperlink xmlns:r="http://schemas.openxmlformats.org/officeDocument/2006/relationships" ref="M68" r:id="rId49"/>
    <hyperlink xmlns:r="http://schemas.openxmlformats.org/officeDocument/2006/relationships" ref="M69" r:id="rId50"/>
    <hyperlink xmlns:r="http://schemas.openxmlformats.org/officeDocument/2006/relationships" ref="M70" r:id="rId51"/>
    <hyperlink xmlns:r="http://schemas.openxmlformats.org/officeDocument/2006/relationships" ref="M71" r:id="rId52"/>
    <hyperlink xmlns:r="http://schemas.openxmlformats.org/officeDocument/2006/relationships" ref="M72" r:id="rId53"/>
    <hyperlink xmlns:r="http://schemas.openxmlformats.org/officeDocument/2006/relationships" ref="M74" r:id="rId54"/>
    <hyperlink xmlns:r="http://schemas.openxmlformats.org/officeDocument/2006/relationships" ref="M75" r:id="rId55"/>
    <hyperlink xmlns:r="http://schemas.openxmlformats.org/officeDocument/2006/relationships" ref="M77" r:id="rId56"/>
    <hyperlink xmlns:r="http://schemas.openxmlformats.org/officeDocument/2006/relationships" ref="M78" r:id="rId57"/>
    <hyperlink xmlns:r="http://schemas.openxmlformats.org/officeDocument/2006/relationships" ref="M80" r:id="rId58"/>
    <hyperlink xmlns:r="http://schemas.openxmlformats.org/officeDocument/2006/relationships" ref="M81" r:id="rId59"/>
    <hyperlink xmlns:r="http://schemas.openxmlformats.org/officeDocument/2006/relationships" ref="M85" r:id="rId60"/>
    <hyperlink xmlns:r="http://schemas.openxmlformats.org/officeDocument/2006/relationships" ref="M86" r:id="rId61"/>
    <hyperlink xmlns:r="http://schemas.openxmlformats.org/officeDocument/2006/relationships" ref="M87" r:id="rId62"/>
    <hyperlink xmlns:r="http://schemas.openxmlformats.org/officeDocument/2006/relationships" ref="M88" r:id="rId63"/>
    <hyperlink xmlns:r="http://schemas.openxmlformats.org/officeDocument/2006/relationships" ref="M89" r:id="rId64"/>
    <hyperlink xmlns:r="http://schemas.openxmlformats.org/officeDocument/2006/relationships" ref="M90" r:id="rId65"/>
    <hyperlink xmlns:r="http://schemas.openxmlformats.org/officeDocument/2006/relationships" ref="M91" r:id="rId66"/>
    <hyperlink xmlns:r="http://schemas.openxmlformats.org/officeDocument/2006/relationships" ref="M92" r:id="rId67"/>
    <hyperlink xmlns:r="http://schemas.openxmlformats.org/officeDocument/2006/relationships" ref="M93" r:id="rId68"/>
    <hyperlink xmlns:r="http://schemas.openxmlformats.org/officeDocument/2006/relationships" ref="M94" r:id="rId69"/>
    <hyperlink xmlns:r="http://schemas.openxmlformats.org/officeDocument/2006/relationships" ref="M95" r:id="rId70"/>
    <hyperlink xmlns:r="http://schemas.openxmlformats.org/officeDocument/2006/relationships" ref="M96" r:id="rId71"/>
    <hyperlink xmlns:r="http://schemas.openxmlformats.org/officeDocument/2006/relationships" ref="M98" r:id="rId72"/>
    <hyperlink xmlns:r="http://schemas.openxmlformats.org/officeDocument/2006/relationships" ref="M99" r:id="rId73"/>
  </hyperlinks>
  <pageMargins left="0.75" right="0.75" top="1" bottom="1" header="0.5" footer="0.5"/>
  <drawing xmlns:r="http://schemas.openxmlformats.org/officeDocument/2006/relationships" r:id="rId74"/>
</worksheet>
</file>

<file path=xl/worksheets/sheet3.xml><?xml version="1.0" encoding="utf-8"?>
<worksheet xmlns="http://schemas.openxmlformats.org/spreadsheetml/2006/main">
  <sheetPr>
    <tabColor rgb="004D7E83"/>
    <outlinePr summaryBelow="1" summaryRight="1"/>
    <pageSetUpPr/>
  </sheetPr>
  <dimension ref="A1:K30"/>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Emissions — indicators</t>
        </is>
      </c>
    </row>
    <row r="2" ht="30" customHeight="1">
      <c r="A2" s="2" t="inlineStr">
        <is>
          <t>1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14" t="inlineStr">
        <is>
          <t>O1</t>
        </is>
      </c>
      <c r="B5" s="15" t="inlineStr">
        <is>
          <t>Total EU GHG emissions (European Climate Law scope)</t>
        </is>
      </c>
      <c r="C5" s="15" t="inlineStr">
        <is>
          <t>Mt CO₂eq</t>
        </is>
      </c>
      <c r="D5" s="16" t="n">
        <v>2022</v>
      </c>
      <c r="E5" s="17" t="n">
        <v>3333.9</v>
      </c>
      <c r="F5" s="16" t="n">
        <v>2024</v>
      </c>
      <c r="G5" s="17" t="n">
        <v>3043.2</v>
      </c>
      <c r="H5" s="18" t="n">
        <v>-0.08719517681994068</v>
      </c>
      <c r="I5" s="34" t="inlineStr">
        <is>
          <t>EEA GHG data viewer; 2023+ Eurostat (env_air_gge)</t>
        </is>
      </c>
      <c r="J5" s="16" t="n">
        <v>2</v>
      </c>
      <c r="K5" s="34" t="inlineStr">
        <is>
          <t>Derived from the live source</t>
        </is>
      </c>
    </row>
    <row r="8">
      <c r="A8" s="52" t="inlineStr">
        <is>
          <t>O1 · Total EU GHG emissions (European Climate Law scope)  (Mt CO₂eq)</t>
        </is>
      </c>
    </row>
    <row r="9">
      <c r="A9" s="3" t="inlineStr">
        <is>
          <t>Source: EEA GHG data viewer; 2023+ Eurostat (env_air_gge) — https://doi.org/10.2908/ENV_AIR_GGE</t>
        </is>
      </c>
    </row>
    <row r="10" ht="28" customHeight="1">
      <c r="A10" s="5" t="inlineStr">
        <is>
          <t>Year</t>
        </is>
      </c>
      <c r="B10" s="5" t="inlineStr">
        <is>
          <t>In the 2024 report</t>
        </is>
      </c>
      <c r="C10" s="5" t="inlineStr">
        <is>
          <t>Added since the report</t>
        </is>
      </c>
    </row>
    <row r="11" ht="14" customHeight="1">
      <c r="A11" s="53" t="n">
        <v>2005</v>
      </c>
      <c r="B11" s="17" t="n">
        <v>4393.9</v>
      </c>
      <c r="C11" s="17" t="n"/>
    </row>
    <row r="12" ht="14" customHeight="1">
      <c r="A12" s="54" t="n">
        <v>2006</v>
      </c>
      <c r="B12" s="24" t="n">
        <v>4392.8</v>
      </c>
      <c r="C12" s="24" t="n"/>
    </row>
    <row r="13" ht="14" customHeight="1">
      <c r="A13" s="53" t="n">
        <v>2007</v>
      </c>
      <c r="B13" s="17" t="n">
        <v>4417.4</v>
      </c>
      <c r="C13" s="17" t="n"/>
    </row>
    <row r="14" ht="14" customHeight="1">
      <c r="A14" s="54" t="n">
        <v>2008</v>
      </c>
      <c r="B14" s="24" t="n">
        <v>4279.6</v>
      </c>
      <c r="C14" s="24" t="n"/>
    </row>
    <row r="15" ht="14" customHeight="1">
      <c r="A15" s="53" t="n">
        <v>2009</v>
      </c>
      <c r="B15" s="17" t="n">
        <v>3940.7</v>
      </c>
      <c r="C15" s="17" t="n"/>
    </row>
    <row r="16" ht="14" customHeight="1">
      <c r="A16" s="54" t="n">
        <v>2010</v>
      </c>
      <c r="B16" s="24" t="n">
        <v>4025.2</v>
      </c>
      <c r="C16" s="24" t="n"/>
    </row>
    <row r="17" ht="14" customHeight="1">
      <c r="A17" s="53" t="n">
        <v>2011</v>
      </c>
      <c r="B17" s="17" t="n">
        <v>3921.3</v>
      </c>
      <c r="C17" s="17" t="n"/>
    </row>
    <row r="18" ht="14" customHeight="1">
      <c r="A18" s="54" t="n">
        <v>2012</v>
      </c>
      <c r="B18" s="24" t="n">
        <v>3843.7</v>
      </c>
      <c r="C18" s="24" t="n"/>
    </row>
    <row r="19" ht="14" customHeight="1">
      <c r="A19" s="53" t="n">
        <v>2013</v>
      </c>
      <c r="B19" s="17" t="n">
        <v>3752.9</v>
      </c>
      <c r="C19" s="17" t="n"/>
    </row>
    <row r="20" ht="14" customHeight="1">
      <c r="A20" s="54" t="n">
        <v>2014</v>
      </c>
      <c r="B20" s="24" t="n">
        <v>3626.5</v>
      </c>
      <c r="C20" s="24" t="n"/>
    </row>
    <row r="21" ht="14" customHeight="1">
      <c r="A21" s="53" t="n">
        <v>2015</v>
      </c>
      <c r="B21" s="17" t="n">
        <v>3680.9</v>
      </c>
      <c r="C21" s="17" t="n"/>
    </row>
    <row r="22" ht="14" customHeight="1">
      <c r="A22" s="54" t="n">
        <v>2016</v>
      </c>
      <c r="B22" s="24" t="n">
        <v>3696</v>
      </c>
      <c r="C22" s="24" t="n"/>
    </row>
    <row r="23" ht="14" customHeight="1">
      <c r="A23" s="53" t="n">
        <v>2017</v>
      </c>
      <c r="B23" s="17" t="n">
        <v>3796.3</v>
      </c>
      <c r="C23" s="17" t="n"/>
    </row>
    <row r="24" ht="14" customHeight="1">
      <c r="A24" s="54" t="n">
        <v>2018</v>
      </c>
      <c r="B24" s="24" t="n">
        <v>3711.2</v>
      </c>
      <c r="C24" s="24" t="n"/>
    </row>
    <row r="25" ht="14" customHeight="1">
      <c r="A25" s="53" t="n">
        <v>2019</v>
      </c>
      <c r="B25" s="17" t="n">
        <v>3564</v>
      </c>
      <c r="C25" s="17" t="n"/>
    </row>
    <row r="26" ht="14" customHeight="1">
      <c r="A26" s="54" t="n">
        <v>2020</v>
      </c>
      <c r="B26" s="24" t="n">
        <v>3195.8</v>
      </c>
      <c r="C26" s="24" t="n"/>
    </row>
    <row r="27" ht="14" customHeight="1">
      <c r="A27" s="53" t="n">
        <v>2021</v>
      </c>
      <c r="B27" s="17" t="n">
        <v>3393.8</v>
      </c>
      <c r="C27" s="17" t="n"/>
    </row>
    <row r="28" ht="14" customHeight="1">
      <c r="A28" s="54" t="n">
        <v>2022</v>
      </c>
      <c r="B28" s="24" t="n">
        <v>3333.9</v>
      </c>
      <c r="C28" s="24" t="n">
        <v>3333.9</v>
      </c>
    </row>
    <row r="29" ht="14" customHeight="1">
      <c r="A29" s="53" t="n">
        <v>2023</v>
      </c>
      <c r="B29" s="17" t="n"/>
      <c r="C29" s="17" t="n">
        <v>3118</v>
      </c>
    </row>
    <row r="30" ht="14" customHeight="1">
      <c r="A30" s="54" t="n">
        <v>2024</v>
      </c>
      <c r="B30" s="24" t="n"/>
      <c r="C30" s="24" t="n">
        <v>3043.2</v>
      </c>
    </row>
  </sheetData>
  <mergeCells count="4">
    <mergeCell ref="A2:K2"/>
    <mergeCell ref="A9:D9"/>
    <mergeCell ref="A1:K1"/>
    <mergeCell ref="A8:D8"/>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3A6165"/>
    <outlinePr summaryBelow="1" summaryRight="1"/>
    <pageSetUpPr/>
  </sheetPr>
  <dimension ref="A1:K178"/>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Energy supply — indicators</t>
        </is>
      </c>
    </row>
    <row r="2" ht="30" customHeight="1">
      <c r="A2" s="2" t="inlineStr">
        <is>
          <t>7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30" t="inlineStr">
        <is>
          <t>E1</t>
        </is>
      </c>
      <c r="B5" s="15" t="inlineStr">
        <is>
          <t>Energy supply GHG emissions</t>
        </is>
      </c>
      <c r="C5" s="15" t="inlineStr">
        <is>
          <t>Mt CO₂eq</t>
        </is>
      </c>
      <c r="D5" s="16" t="n">
        <v>2022</v>
      </c>
      <c r="E5" s="17" t="n">
        <v>924</v>
      </c>
      <c r="F5" s="16" t="n">
        <v>2024</v>
      </c>
      <c r="G5" s="17" t="n">
        <v>689.1</v>
      </c>
      <c r="H5" s="18" t="n">
        <v>-0.2542207792207792</v>
      </c>
      <c r="I5" s="34" t="inlineStr">
        <is>
          <t>EEA GHG data viewer; 2023+ Eurostat (env_air_gge)</t>
        </is>
      </c>
      <c r="J5" s="16" t="n">
        <v>2</v>
      </c>
      <c r="K5" s="34" t="inlineStr">
        <is>
          <t>Derived from the live source</t>
        </is>
      </c>
    </row>
    <row r="6" ht="15" customHeight="1">
      <c r="A6" s="31" t="inlineStr">
        <is>
          <t>E2 (fossil)</t>
        </is>
      </c>
      <c r="B6" s="22" t="inlineStr">
        <is>
          <t>Fossil share of EU electricity mix</t>
        </is>
      </c>
      <c r="C6" s="22" t="inlineStr">
        <is>
          <t>%</t>
        </is>
      </c>
      <c r="D6" s="23" t="n">
        <v>2022</v>
      </c>
      <c r="E6" s="24" t="n">
        <v>38.76</v>
      </c>
      <c r="F6" s="23" t="n">
        <v>2024</v>
      </c>
      <c r="G6" s="24" t="n">
        <v>28.11</v>
      </c>
      <c r="H6" s="25" t="n">
        <v>-0.2747678018575851</v>
      </c>
      <c r="I6" s="35" t="inlineStr">
        <is>
          <t>Eurostat (nrg_bal_peh)</t>
        </is>
      </c>
      <c r="J6" s="23" t="n">
        <v>2</v>
      </c>
      <c r="K6" s="35" t="inlineStr">
        <is>
          <t>Derived from the live source</t>
        </is>
      </c>
    </row>
    <row r="7" ht="15" customHeight="1">
      <c r="A7" s="30" t="inlineStr">
        <is>
          <t>E2 (RES)</t>
        </is>
      </c>
      <c r="B7" s="15" t="inlineStr">
        <is>
          <t>Non-biomass renewable share of EU electricity mix</t>
        </is>
      </c>
      <c r="C7" s="15" t="inlineStr">
        <is>
          <t>%</t>
        </is>
      </c>
      <c r="D7" s="16" t="n">
        <v>2022</v>
      </c>
      <c r="E7" s="17" t="n">
        <v>33.76</v>
      </c>
      <c r="F7" s="16" t="n">
        <v>2024</v>
      </c>
      <c r="G7" s="17" t="n">
        <v>43.21</v>
      </c>
      <c r="H7" s="18" t="n">
        <v>0.2799170616113745</v>
      </c>
      <c r="I7" s="34" t="inlineStr">
        <is>
          <t>Eurostat (nrg_bal_peh)</t>
        </is>
      </c>
      <c r="J7" s="16" t="n">
        <v>2</v>
      </c>
      <c r="K7" s="34" t="inlineStr">
        <is>
          <t>Taken as published</t>
        </is>
      </c>
    </row>
    <row r="8" ht="15" customHeight="1">
      <c r="A8" s="31" t="inlineStr">
        <is>
          <t>E3</t>
        </is>
      </c>
      <c r="B8" s="22" t="inlineStr">
        <is>
          <t>Average GHG intensity of EU electricity</t>
        </is>
      </c>
      <c r="C8" s="22" t="inlineStr">
        <is>
          <t>g CO₂eq/kWh</t>
        </is>
      </c>
      <c r="D8" s="23" t="n">
        <v>2022</v>
      </c>
      <c r="E8" s="24" t="n">
        <v>251</v>
      </c>
      <c r="F8" s="23" t="n">
        <v>2024</v>
      </c>
      <c r="G8" s="24" t="n">
        <v>187.4</v>
      </c>
      <c r="H8" s="25" t="n">
        <v>-0.2533864541832669</v>
      </c>
      <c r="I8" s="35" t="inlineStr">
        <is>
          <t>EEA</t>
        </is>
      </c>
      <c r="J8" s="23" t="n">
        <v>2</v>
      </c>
      <c r="K8" s="35" t="inlineStr">
        <is>
          <t>Derived from the live source</t>
        </is>
      </c>
    </row>
    <row r="9" ht="15" customHeight="1">
      <c r="A9" s="30" t="inlineStr">
        <is>
          <t>E4a</t>
        </is>
      </c>
      <c r="B9" s="15" t="inlineStr">
        <is>
          <t>Annual solar PV capacity additions (EU)</t>
        </is>
      </c>
      <c r="C9" s="15" t="inlineStr">
        <is>
          <t>GW/yr</t>
        </is>
      </c>
      <c r="D9" s="16" t="n">
        <v>2021</v>
      </c>
      <c r="E9" s="17" t="n">
        <v>25.7</v>
      </c>
      <c r="F9" s="16" t="n">
        <v>2024</v>
      </c>
      <c r="G9" s="17" t="n">
        <v>60.96</v>
      </c>
      <c r="H9" s="18" t="n">
        <v>1.371984435797665</v>
      </c>
      <c r="I9" s="34" t="inlineStr">
        <is>
          <t>Eurostat (nrg_inf_epcrw)</t>
        </is>
      </c>
      <c r="J9" s="16" t="n">
        <v>3</v>
      </c>
      <c r="K9" s="34" t="inlineStr">
        <is>
          <t>Taken as published</t>
        </is>
      </c>
    </row>
    <row r="10" ht="15" customHeight="1">
      <c r="A10" s="31" t="inlineStr">
        <is>
          <t>E4b/c</t>
        </is>
      </c>
      <c r="B10" s="22" t="inlineStr">
        <is>
          <t>Annual wind capacity additions (EU)</t>
        </is>
      </c>
      <c r="C10" s="22" t="inlineStr">
        <is>
          <t>GW/yr</t>
        </is>
      </c>
      <c r="D10" s="23" t="n">
        <v>2021</v>
      </c>
      <c r="E10" s="24" t="n">
        <v>10.72</v>
      </c>
      <c r="F10" s="23" t="n">
        <v>2024</v>
      </c>
      <c r="G10" s="24" t="n">
        <v>15.32</v>
      </c>
      <c r="H10" s="25" t="n">
        <v>0.4291044776119403</v>
      </c>
      <c r="I10" s="35" t="inlineStr">
        <is>
          <t>Eurostat (nrg_inf_epcrw)</t>
        </is>
      </c>
      <c r="J10" s="23" t="n">
        <v>3</v>
      </c>
      <c r="K10" s="35" t="inlineStr">
        <is>
          <t>Taken as published</t>
        </is>
      </c>
    </row>
    <row r="11" ht="15" customHeight="1">
      <c r="A11" s="30" t="inlineStr">
        <is>
          <t>E6</t>
        </is>
      </c>
      <c r="B11" s="15" t="inlineStr">
        <is>
          <t>Energy-related methane emissions (EU-27)</t>
        </is>
      </c>
      <c r="C11" s="15" t="inlineStr">
        <is>
          <t>Mt CO₂eq</t>
        </is>
      </c>
      <c r="D11" s="16" t="n">
        <v>2021</v>
      </c>
      <c r="E11" s="17" t="n">
        <v>69.91</v>
      </c>
      <c r="F11" s="16" t="n">
        <v>2024</v>
      </c>
      <c r="G11" s="17" t="n">
        <v>57.77</v>
      </c>
      <c r="H11" s="18" t="n">
        <v>-0.1736518380775282</v>
      </c>
      <c r="I11" s="34" t="inlineStr">
        <is>
          <t>EEA GHG data viewer; 2022+ Eurostat (env_air_gge)</t>
        </is>
      </c>
      <c r="J11" s="16" t="n">
        <v>3</v>
      </c>
      <c r="K11" s="34" t="inlineStr">
        <is>
          <t>Derived from the live source</t>
        </is>
      </c>
    </row>
    <row r="14">
      <c r="A14" s="55" t="inlineStr">
        <is>
          <t>E1 · Energy supply GHG emissions  (Mt CO₂eq)</t>
        </is>
      </c>
    </row>
    <row r="15">
      <c r="A15" s="3" t="inlineStr">
        <is>
          <t>Source: EEA GHG data viewer; 2023+ Eurostat (env_air_gge) — https://doi.org/10.2908/ENV_AIR_GGE</t>
        </is>
      </c>
    </row>
    <row r="16" ht="28" customHeight="1">
      <c r="A16" s="5" t="inlineStr">
        <is>
          <t>Year</t>
        </is>
      </c>
      <c r="B16" s="5" t="inlineStr">
        <is>
          <t>In the 2024 report</t>
        </is>
      </c>
      <c r="C16" s="5" t="inlineStr">
        <is>
          <t>Added since the report</t>
        </is>
      </c>
    </row>
    <row r="17" ht="14" customHeight="1">
      <c r="A17" s="53" t="n">
        <v>2005</v>
      </c>
      <c r="B17" s="17" t="n">
        <v>1489</v>
      </c>
      <c r="C17" s="17" t="n"/>
    </row>
    <row r="18" ht="14" customHeight="1">
      <c r="A18" s="54" t="n">
        <v>2006</v>
      </c>
      <c r="B18" s="24" t="n">
        <v>1494</v>
      </c>
      <c r="C18" s="24" t="n"/>
    </row>
    <row r="19" ht="14" customHeight="1">
      <c r="A19" s="53" t="n">
        <v>2007</v>
      </c>
      <c r="B19" s="17" t="n">
        <v>1504</v>
      </c>
      <c r="C19" s="17" t="n"/>
    </row>
    <row r="20" ht="14" customHeight="1">
      <c r="A20" s="54" t="n">
        <v>2008</v>
      </c>
      <c r="B20" s="24" t="n">
        <v>1433</v>
      </c>
      <c r="C20" s="24" t="n"/>
    </row>
    <row r="21" ht="14" customHeight="1">
      <c r="A21" s="53" t="n">
        <v>2009</v>
      </c>
      <c r="B21" s="17" t="n">
        <v>1325</v>
      </c>
      <c r="C21" s="17" t="n"/>
    </row>
    <row r="22" ht="14" customHeight="1">
      <c r="A22" s="54" t="n">
        <v>2010</v>
      </c>
      <c r="B22" s="24" t="n">
        <v>1343</v>
      </c>
      <c r="C22" s="24" t="n"/>
    </row>
    <row r="23" ht="14" customHeight="1">
      <c r="A23" s="53" t="n">
        <v>2011</v>
      </c>
      <c r="B23" s="17" t="n">
        <v>1334</v>
      </c>
      <c r="C23" s="17" t="n"/>
    </row>
    <row r="24" ht="14" customHeight="1">
      <c r="A24" s="54" t="n">
        <v>2012</v>
      </c>
      <c r="B24" s="24" t="n">
        <v>1316</v>
      </c>
      <c r="C24" s="24" t="n"/>
    </row>
    <row r="25" ht="14" customHeight="1">
      <c r="A25" s="53" t="n">
        <v>2013</v>
      </c>
      <c r="B25" s="17" t="n">
        <v>1254</v>
      </c>
      <c r="C25" s="17" t="n"/>
    </row>
    <row r="26" ht="14" customHeight="1">
      <c r="A26" s="54" t="n">
        <v>2014</v>
      </c>
      <c r="B26" s="24" t="n">
        <v>1190</v>
      </c>
      <c r="C26" s="24" t="n"/>
    </row>
    <row r="27" ht="14" customHeight="1">
      <c r="A27" s="53" t="n">
        <v>2015</v>
      </c>
      <c r="B27" s="17" t="n">
        <v>1197</v>
      </c>
      <c r="C27" s="17" t="n"/>
    </row>
    <row r="28" ht="14" customHeight="1">
      <c r="A28" s="54" t="n">
        <v>2016</v>
      </c>
      <c r="B28" s="24" t="n">
        <v>1169</v>
      </c>
      <c r="C28" s="24" t="n"/>
    </row>
    <row r="29" ht="14" customHeight="1">
      <c r="A29" s="53" t="n">
        <v>2017</v>
      </c>
      <c r="B29" s="17" t="n">
        <v>1162</v>
      </c>
      <c r="C29" s="17" t="n"/>
    </row>
    <row r="30" ht="14" customHeight="1">
      <c r="A30" s="54" t="n">
        <v>2018</v>
      </c>
      <c r="B30" s="24" t="n">
        <v>1099</v>
      </c>
      <c r="C30" s="24" t="n"/>
    </row>
    <row r="31" ht="14" customHeight="1">
      <c r="A31" s="53" t="n">
        <v>2019</v>
      </c>
      <c r="B31" s="17" t="n">
        <v>974</v>
      </c>
      <c r="C31" s="17" t="n"/>
    </row>
    <row r="32" ht="14" customHeight="1">
      <c r="A32" s="54" t="n">
        <v>2020</v>
      </c>
      <c r="B32" s="24" t="n">
        <v>842</v>
      </c>
      <c r="C32" s="24" t="n"/>
    </row>
    <row r="33" ht="14" customHeight="1">
      <c r="A33" s="53" t="n">
        <v>2021</v>
      </c>
      <c r="B33" s="17" t="n">
        <v>902</v>
      </c>
      <c r="C33" s="17" t="n"/>
    </row>
    <row r="34" ht="14" customHeight="1">
      <c r="A34" s="54" t="n">
        <v>2022</v>
      </c>
      <c r="B34" s="24" t="n">
        <v>924</v>
      </c>
      <c r="C34" s="24" t="n">
        <v>924</v>
      </c>
    </row>
    <row r="35" ht="14" customHeight="1">
      <c r="A35" s="53" t="n">
        <v>2023</v>
      </c>
      <c r="B35" s="17" t="n"/>
      <c r="C35" s="17" t="n">
        <v>746.3</v>
      </c>
    </row>
    <row r="36" ht="14" customHeight="1">
      <c r="A36" s="54" t="n">
        <v>2024</v>
      </c>
      <c r="B36" s="24" t="n"/>
      <c r="C36" s="24" t="n">
        <v>689.1</v>
      </c>
    </row>
    <row r="38">
      <c r="A38" s="55" t="inlineStr">
        <is>
          <t>E2 (fossil) · Fossil share of EU electricity mix  (%)</t>
        </is>
      </c>
    </row>
    <row r="39">
      <c r="A39" s="3" t="inlineStr">
        <is>
          <t>Source: Eurostat (nrg_bal_peh) — https://doi.org/10.2908/NRG_BAL_PEH</t>
        </is>
      </c>
    </row>
    <row r="40" ht="28" customHeight="1">
      <c r="A40" s="5" t="inlineStr">
        <is>
          <t>Year</t>
        </is>
      </c>
      <c r="B40" s="5" t="inlineStr">
        <is>
          <t>In the 2024 report</t>
        </is>
      </c>
      <c r="C40" s="5" t="inlineStr">
        <is>
          <t>Added since the report</t>
        </is>
      </c>
    </row>
    <row r="41" ht="14" customHeight="1">
      <c r="A41" s="53" t="n">
        <v>2005</v>
      </c>
      <c r="B41" s="17" t="n">
        <v>51.83</v>
      </c>
      <c r="C41" s="17" t="n"/>
    </row>
    <row r="42" ht="14" customHeight="1">
      <c r="A42" s="54" t="n">
        <v>2006</v>
      </c>
      <c r="B42" s="24" t="n">
        <v>51.9</v>
      </c>
      <c r="C42" s="24" t="n"/>
    </row>
    <row r="43" ht="14" customHeight="1">
      <c r="A43" s="53" t="n">
        <v>2007</v>
      </c>
      <c r="B43" s="17" t="n">
        <v>52.6</v>
      </c>
      <c r="C43" s="17" t="n"/>
    </row>
    <row r="44" ht="14" customHeight="1">
      <c r="A44" s="54" t="n">
        <v>2008</v>
      </c>
      <c r="B44" s="24" t="n">
        <v>50.92</v>
      </c>
      <c r="C44" s="24" t="n"/>
    </row>
    <row r="45" ht="14" customHeight="1">
      <c r="A45" s="53" t="n">
        <v>2009</v>
      </c>
      <c r="B45" s="17" t="n">
        <v>49.33</v>
      </c>
      <c r="C45" s="17" t="n"/>
    </row>
    <row r="46" ht="14" customHeight="1">
      <c r="A46" s="54" t="n">
        <v>2010</v>
      </c>
      <c r="B46" s="24" t="n">
        <v>47.85</v>
      </c>
      <c r="C46" s="24" t="n"/>
    </row>
    <row r="47" ht="14" customHeight="1">
      <c r="A47" s="53" t="n">
        <v>2011</v>
      </c>
      <c r="B47" s="17" t="n">
        <v>48.01</v>
      </c>
      <c r="C47" s="17" t="n"/>
    </row>
    <row r="48" ht="14" customHeight="1">
      <c r="A48" s="54" t="n">
        <v>2012</v>
      </c>
      <c r="B48" s="24" t="n">
        <v>45.93</v>
      </c>
      <c r="C48" s="24" t="n"/>
    </row>
    <row r="49" ht="14" customHeight="1">
      <c r="A49" s="53" t="n">
        <v>2013</v>
      </c>
      <c r="B49" s="17" t="n">
        <v>43.07</v>
      </c>
      <c r="C49" s="17" t="n"/>
    </row>
    <row r="50" ht="14" customHeight="1">
      <c r="A50" s="54" t="n">
        <v>2014</v>
      </c>
      <c r="B50" s="24" t="n">
        <v>40.55</v>
      </c>
      <c r="C50" s="24" t="n"/>
    </row>
    <row r="51" ht="14" customHeight="1">
      <c r="A51" s="53" t="n">
        <v>2015</v>
      </c>
      <c r="B51" s="17" t="n">
        <v>41.74</v>
      </c>
      <c r="C51" s="17" t="n"/>
    </row>
    <row r="52" ht="14" customHeight="1">
      <c r="A52" s="54" t="n">
        <v>2016</v>
      </c>
      <c r="B52" s="24" t="n">
        <v>42.24</v>
      </c>
      <c r="C52" s="24" t="n"/>
    </row>
    <row r="53" ht="14" customHeight="1">
      <c r="A53" s="53" t="n">
        <v>2017</v>
      </c>
      <c r="B53" s="17" t="n">
        <v>43</v>
      </c>
      <c r="C53" s="17" t="n"/>
    </row>
    <row r="54" ht="14" customHeight="1">
      <c r="A54" s="54" t="n">
        <v>2018</v>
      </c>
      <c r="B54" s="24" t="n">
        <v>40.43</v>
      </c>
      <c r="C54" s="24" t="n"/>
    </row>
    <row r="55" ht="14" customHeight="1">
      <c r="A55" s="53" t="n">
        <v>2019</v>
      </c>
      <c r="B55" s="17" t="n">
        <v>38.31</v>
      </c>
      <c r="C55" s="17" t="n"/>
    </row>
    <row r="56" ht="14" customHeight="1">
      <c r="A56" s="54" t="n">
        <v>2020</v>
      </c>
      <c r="B56" s="24" t="n">
        <v>35.63</v>
      </c>
      <c r="C56" s="24" t="n"/>
    </row>
    <row r="57" ht="14" customHeight="1">
      <c r="A57" s="53" t="n">
        <v>2021</v>
      </c>
      <c r="B57" s="17" t="n">
        <v>36.18</v>
      </c>
      <c r="C57" s="17" t="n"/>
    </row>
    <row r="58" ht="14" customHeight="1">
      <c r="A58" s="54" t="n">
        <v>2022</v>
      </c>
      <c r="B58" s="24" t="n">
        <v>38.76</v>
      </c>
      <c r="C58" s="24" t="n">
        <v>38.76</v>
      </c>
    </row>
    <row r="59" ht="14" customHeight="1">
      <c r="A59" s="53" t="n">
        <v>2023</v>
      </c>
      <c r="B59" s="17" t="n"/>
      <c r="C59" s="17" t="n">
        <v>31.42</v>
      </c>
    </row>
    <row r="60" ht="14" customHeight="1">
      <c r="A60" s="54" t="n">
        <v>2024</v>
      </c>
      <c r="B60" s="24" t="n"/>
      <c r="C60" s="24" t="n">
        <v>28.11</v>
      </c>
    </row>
    <row r="62">
      <c r="A62" s="55" t="inlineStr">
        <is>
          <t>E2 (RES) · Non-biomass renewable share of EU electricity mix  (%)</t>
        </is>
      </c>
    </row>
    <row r="63">
      <c r="A63" s="3" t="inlineStr">
        <is>
          <t>Source: Eurostat (nrg_bal_peh) — https://doi.org/10.2908/NRG_BAL_PEH</t>
        </is>
      </c>
    </row>
    <row r="64" ht="28" customHeight="1">
      <c r="A64" s="5" t="inlineStr">
        <is>
          <t>Year</t>
        </is>
      </c>
      <c r="B64" s="5" t="inlineStr">
        <is>
          <t>In the 2024 report</t>
        </is>
      </c>
      <c r="C64" s="5" t="inlineStr">
        <is>
          <t>Added since the report</t>
        </is>
      </c>
    </row>
    <row r="65" ht="14" customHeight="1">
      <c r="A65" s="53" t="n">
        <v>2005</v>
      </c>
      <c r="B65" s="17" t="n">
        <v>14.26</v>
      </c>
      <c r="C65" s="17" t="n"/>
    </row>
    <row r="66" ht="14" customHeight="1">
      <c r="A66" s="54" t="n">
        <v>2006</v>
      </c>
      <c r="B66" s="24" t="n">
        <v>14.49</v>
      </c>
      <c r="C66" s="24" t="n"/>
    </row>
    <row r="67" ht="14" customHeight="1">
      <c r="A67" s="53" t="n">
        <v>2007</v>
      </c>
      <c r="B67" s="17" t="n">
        <v>15.05</v>
      </c>
      <c r="C67" s="17" t="n"/>
    </row>
    <row r="68" ht="14" customHeight="1">
      <c r="A68" s="54" t="n">
        <v>2008</v>
      </c>
      <c r="B68" s="24" t="n">
        <v>16.09</v>
      </c>
      <c r="C68" s="24" t="n"/>
    </row>
    <row r="69" ht="14" customHeight="1">
      <c r="A69" s="53" t="n">
        <v>2009</v>
      </c>
      <c r="B69" s="17" t="n">
        <v>17.67</v>
      </c>
      <c r="C69" s="17" t="n"/>
    </row>
    <row r="70" ht="14" customHeight="1">
      <c r="A70" s="54" t="n">
        <v>2010</v>
      </c>
      <c r="B70" s="24" t="n">
        <v>19.14</v>
      </c>
      <c r="C70" s="24" t="n"/>
    </row>
    <row r="71" ht="14" customHeight="1">
      <c r="A71" s="53" t="n">
        <v>2011</v>
      </c>
      <c r="B71" s="17" t="n">
        <v>18.79</v>
      </c>
      <c r="C71" s="17" t="n"/>
    </row>
    <row r="72" ht="14" customHeight="1">
      <c r="A72" s="54" t="n">
        <v>2012</v>
      </c>
      <c r="B72" s="24" t="n">
        <v>21.25</v>
      </c>
      <c r="C72" s="24" t="n"/>
    </row>
    <row r="73" ht="14" customHeight="1">
      <c r="A73" s="53" t="n">
        <v>2013</v>
      </c>
      <c r="B73" s="17" t="n">
        <v>23.89</v>
      </c>
      <c r="C73" s="17" t="n"/>
    </row>
    <row r="74" ht="14" customHeight="1">
      <c r="A74" s="54" t="n">
        <v>2014</v>
      </c>
      <c r="B74" s="24" t="n">
        <v>25.27</v>
      </c>
      <c r="C74" s="24" t="n"/>
    </row>
    <row r="75" ht="14" customHeight="1">
      <c r="A75" s="53" t="n">
        <v>2015</v>
      </c>
      <c r="B75" s="17" t="n">
        <v>25.32</v>
      </c>
      <c r="C75" s="17" t="n"/>
    </row>
    <row r="76" ht="14" customHeight="1">
      <c r="A76" s="54" t="n">
        <v>2016</v>
      </c>
      <c r="B76" s="24" t="n">
        <v>25.59</v>
      </c>
      <c r="C76" s="24" t="n"/>
    </row>
    <row r="77" ht="14" customHeight="1">
      <c r="A77" s="53" t="n">
        <v>2017</v>
      </c>
      <c r="B77" s="17" t="n">
        <v>25.38</v>
      </c>
      <c r="C77" s="17" t="n"/>
    </row>
    <row r="78" ht="14" customHeight="1">
      <c r="A78" s="54" t="n">
        <v>2018</v>
      </c>
      <c r="B78" s="24" t="n">
        <v>27.61</v>
      </c>
      <c r="C78" s="24" t="n"/>
    </row>
    <row r="79" ht="14" customHeight="1">
      <c r="A79" s="53" t="n">
        <v>2019</v>
      </c>
      <c r="B79" s="17" t="n">
        <v>29.08</v>
      </c>
      <c r="C79" s="17" t="n"/>
    </row>
    <row r="80" ht="14" customHeight="1">
      <c r="A80" s="54" t="n">
        <v>2020</v>
      </c>
      <c r="B80" s="24" t="n">
        <v>33.23</v>
      </c>
      <c r="C80" s="24" t="n"/>
    </row>
    <row r="81" ht="14" customHeight="1">
      <c r="A81" s="53" t="n">
        <v>2021</v>
      </c>
      <c r="B81" s="17" t="n">
        <v>32.08</v>
      </c>
      <c r="C81" s="17" t="n"/>
    </row>
    <row r="82" ht="14" customHeight="1">
      <c r="A82" s="54" t="n">
        <v>2022</v>
      </c>
      <c r="B82" s="24" t="n">
        <v>33.76</v>
      </c>
      <c r="C82" s="24" t="n">
        <v>33.76</v>
      </c>
    </row>
    <row r="83" ht="14" customHeight="1">
      <c r="A83" s="53" t="n">
        <v>2023</v>
      </c>
      <c r="B83" s="17" t="n"/>
      <c r="C83" s="17" t="n">
        <v>40.4</v>
      </c>
    </row>
    <row r="84" ht="14" customHeight="1">
      <c r="A84" s="54" t="n">
        <v>2024</v>
      </c>
      <c r="B84" s="24" t="n"/>
      <c r="C84" s="24" t="n">
        <v>43.21</v>
      </c>
    </row>
    <row r="86">
      <c r="A86" s="55" t="inlineStr">
        <is>
          <t>E3 · Average GHG intensity of EU electricity  (g CO₂eq/kWh)</t>
        </is>
      </c>
    </row>
    <row r="87">
      <c r="A87" s="3" t="inlineStr">
        <is>
          <t>Source: EEA — https://www.eea.europa.eu/en/analysis/indicators/greenhouse-gas-emission-intensity-of-1</t>
        </is>
      </c>
    </row>
    <row r="88" ht="28" customHeight="1">
      <c r="A88" s="5" t="inlineStr">
        <is>
          <t>Year</t>
        </is>
      </c>
      <c r="B88" s="5" t="inlineStr">
        <is>
          <t>In the 2024 report</t>
        </is>
      </c>
      <c r="C88" s="5" t="inlineStr">
        <is>
          <t>Added since the report</t>
        </is>
      </c>
    </row>
    <row r="89" ht="14" customHeight="1">
      <c r="A89" s="53" t="n">
        <v>2005</v>
      </c>
      <c r="B89" s="17" t="n">
        <v>379</v>
      </c>
      <c r="C89" s="17" t="n"/>
    </row>
    <row r="90" ht="14" customHeight="1">
      <c r="A90" s="54" t="n">
        <v>2006</v>
      </c>
      <c r="B90" s="24" t="n">
        <v>377</v>
      </c>
      <c r="C90" s="24" t="n"/>
    </row>
    <row r="91" ht="14" customHeight="1">
      <c r="A91" s="53" t="n">
        <v>2007</v>
      </c>
      <c r="B91" s="17" t="n">
        <v>386</v>
      </c>
      <c r="C91" s="17" t="n"/>
    </row>
    <row r="92" ht="14" customHeight="1">
      <c r="A92" s="54" t="n">
        <v>2008</v>
      </c>
      <c r="B92" s="24" t="n">
        <v>363</v>
      </c>
      <c r="C92" s="24" t="n"/>
    </row>
    <row r="93" ht="14" customHeight="1">
      <c r="A93" s="53" t="n">
        <v>2009</v>
      </c>
      <c r="B93" s="17" t="n">
        <v>350</v>
      </c>
      <c r="C93" s="17" t="n"/>
    </row>
    <row r="94" ht="14" customHeight="1">
      <c r="A94" s="54" t="n">
        <v>2010</v>
      </c>
      <c r="B94" s="24" t="n">
        <v>335</v>
      </c>
      <c r="C94" s="24" t="n"/>
    </row>
    <row r="95" ht="14" customHeight="1">
      <c r="A95" s="53" t="n">
        <v>2011</v>
      </c>
      <c r="B95" s="17" t="n">
        <v>342</v>
      </c>
      <c r="C95" s="17" t="n"/>
    </row>
    <row r="96" ht="14" customHeight="1">
      <c r="A96" s="54" t="n">
        <v>2012</v>
      </c>
      <c r="B96" s="24" t="n">
        <v>339</v>
      </c>
      <c r="C96" s="24" t="n"/>
    </row>
    <row r="97" ht="14" customHeight="1">
      <c r="A97" s="53" t="n">
        <v>2013</v>
      </c>
      <c r="B97" s="17" t="n">
        <v>322</v>
      </c>
      <c r="C97" s="17" t="n"/>
    </row>
    <row r="98" ht="14" customHeight="1">
      <c r="A98" s="54" t="n">
        <v>2014</v>
      </c>
      <c r="B98" s="24" t="n">
        <v>313</v>
      </c>
      <c r="C98" s="24" t="n"/>
    </row>
    <row r="99" ht="14" customHeight="1">
      <c r="A99" s="53" t="n">
        <v>2015</v>
      </c>
      <c r="B99" s="17" t="n">
        <v>313</v>
      </c>
      <c r="C99" s="17" t="n"/>
    </row>
    <row r="100" ht="14" customHeight="1">
      <c r="A100" s="54" t="n">
        <v>2016</v>
      </c>
      <c r="B100" s="24" t="n">
        <v>303</v>
      </c>
      <c r="C100" s="24" t="n"/>
    </row>
    <row r="101" ht="14" customHeight="1">
      <c r="A101" s="53" t="n">
        <v>2017</v>
      </c>
      <c r="B101" s="17" t="n">
        <v>302</v>
      </c>
      <c r="C101" s="17" t="n"/>
    </row>
    <row r="102" ht="14" customHeight="1">
      <c r="A102" s="54" t="n">
        <v>2018</v>
      </c>
      <c r="B102" s="24" t="n">
        <v>289</v>
      </c>
      <c r="C102" s="24" t="n"/>
    </row>
    <row r="103" ht="14" customHeight="1">
      <c r="A103" s="53" t="n">
        <v>2019</v>
      </c>
      <c r="B103" s="17" t="n">
        <v>255</v>
      </c>
      <c r="C103" s="17" t="n"/>
    </row>
    <row r="104" ht="14" customHeight="1">
      <c r="A104" s="54" t="n">
        <v>2020</v>
      </c>
      <c r="B104" s="24" t="n">
        <v>228</v>
      </c>
      <c r="C104" s="24" t="n"/>
    </row>
    <row r="105" ht="14" customHeight="1">
      <c r="A105" s="53" t="n">
        <v>2021</v>
      </c>
      <c r="B105" s="17" t="n">
        <v>238</v>
      </c>
      <c r="C105" s="17" t="n"/>
    </row>
    <row r="106" ht="14" customHeight="1">
      <c r="A106" s="54" t="n">
        <v>2022</v>
      </c>
      <c r="B106" s="24" t="n">
        <v>251</v>
      </c>
      <c r="C106" s="24" t="n">
        <v>251</v>
      </c>
    </row>
    <row r="107" ht="14" customHeight="1">
      <c r="A107" s="53" t="n">
        <v>2023</v>
      </c>
      <c r="B107" s="17" t="n"/>
      <c r="C107" s="17" t="n">
        <v>208.7</v>
      </c>
    </row>
    <row r="108" ht="14" customHeight="1">
      <c r="A108" s="54" t="n">
        <v>2024</v>
      </c>
      <c r="B108" s="24" t="n"/>
      <c r="C108" s="24" t="n">
        <v>187.4</v>
      </c>
    </row>
    <row r="110">
      <c r="A110" s="55" t="inlineStr">
        <is>
          <t>E4a · Annual solar PV capacity additions (EU)  (GW/yr)</t>
        </is>
      </c>
    </row>
    <row r="111">
      <c r="A111" s="3" t="inlineStr">
        <is>
          <t>Source: Eurostat (nrg_inf_epcrw) — https://doi.org/10.2908/NRG_INF_EPCRW</t>
        </is>
      </c>
    </row>
    <row r="112" ht="28" customHeight="1">
      <c r="A112" s="5" t="inlineStr">
        <is>
          <t>Year</t>
        </is>
      </c>
      <c r="B112" s="5" t="inlineStr">
        <is>
          <t>In the 2024 report</t>
        </is>
      </c>
      <c r="C112" s="5" t="inlineStr">
        <is>
          <t>Added since the report</t>
        </is>
      </c>
    </row>
    <row r="113" ht="14" customHeight="1">
      <c r="A113" s="53" t="n">
        <v>2006</v>
      </c>
      <c r="B113" s="17" t="n">
        <v>0.9447</v>
      </c>
      <c r="C113" s="17" t="n"/>
    </row>
    <row r="114" ht="14" customHeight="1">
      <c r="A114" s="54" t="n">
        <v>2007</v>
      </c>
      <c r="B114" s="24" t="n">
        <v>1.761</v>
      </c>
      <c r="C114" s="24" t="n"/>
    </row>
    <row r="115" ht="14" customHeight="1">
      <c r="A115" s="53" t="n">
        <v>2008</v>
      </c>
      <c r="B115" s="17" t="n">
        <v>5.399</v>
      </c>
      <c r="C115" s="17" t="n"/>
    </row>
    <row r="116" ht="14" customHeight="1">
      <c r="A116" s="54" t="n">
        <v>2009</v>
      </c>
      <c r="B116" s="24" t="n">
        <v>6.341</v>
      </c>
      <c r="C116" s="24" t="n"/>
    </row>
    <row r="117" ht="14" customHeight="1">
      <c r="A117" s="53" t="n">
        <v>2010</v>
      </c>
      <c r="B117" s="17" t="n">
        <v>13.17</v>
      </c>
      <c r="C117" s="17" t="n"/>
    </row>
    <row r="118" ht="14" customHeight="1">
      <c r="A118" s="54" t="n">
        <v>2011</v>
      </c>
      <c r="B118" s="24" t="n">
        <v>22.25</v>
      </c>
      <c r="C118" s="24" t="n"/>
    </row>
    <row r="119" ht="14" customHeight="1">
      <c r="A119" s="53" t="n">
        <v>2012</v>
      </c>
      <c r="B119" s="17" t="n">
        <v>16.9</v>
      </c>
      <c r="C119" s="17" t="n"/>
    </row>
    <row r="120" ht="14" customHeight="1">
      <c r="A120" s="54" t="n">
        <v>2013</v>
      </c>
      <c r="B120" s="24" t="n">
        <v>8.363</v>
      </c>
      <c r="C120" s="24" t="n"/>
    </row>
    <row r="121" ht="14" customHeight="1">
      <c r="A121" s="53" t="n">
        <v>2014</v>
      </c>
      <c r="B121" s="17" t="n">
        <v>3.91</v>
      </c>
      <c r="C121" s="17" t="n"/>
    </row>
    <row r="122" ht="14" customHeight="1">
      <c r="A122" s="54" t="n">
        <v>2015</v>
      </c>
      <c r="B122" s="24" t="n">
        <v>4.066</v>
      </c>
      <c r="C122" s="24" t="n"/>
    </row>
    <row r="123" ht="14" customHeight="1">
      <c r="A123" s="53" t="n">
        <v>2016</v>
      </c>
      <c r="B123" s="17" t="n">
        <v>3.815</v>
      </c>
      <c r="C123" s="17" t="n"/>
    </row>
    <row r="124" ht="14" customHeight="1">
      <c r="A124" s="54" t="n">
        <v>2017</v>
      </c>
      <c r="B124" s="24" t="n">
        <v>4.732</v>
      </c>
      <c r="C124" s="24" t="n"/>
    </row>
    <row r="125" ht="14" customHeight="1">
      <c r="A125" s="53" t="n">
        <v>2018</v>
      </c>
      <c r="B125" s="17" t="n">
        <v>7.826</v>
      </c>
      <c r="C125" s="17" t="n"/>
    </row>
    <row r="126" ht="14" customHeight="1">
      <c r="A126" s="54" t="n">
        <v>2019</v>
      </c>
      <c r="B126" s="24" t="n">
        <v>16.15</v>
      </c>
      <c r="C126" s="24" t="n"/>
    </row>
    <row r="127" ht="14" customHeight="1">
      <c r="A127" s="53" t="n">
        <v>2020</v>
      </c>
      <c r="B127" s="17" t="n">
        <v>18.27</v>
      </c>
      <c r="C127" s="17" t="n"/>
    </row>
    <row r="128" ht="14" customHeight="1">
      <c r="A128" s="54" t="n">
        <v>2021</v>
      </c>
      <c r="B128" s="24" t="n">
        <v>25.7</v>
      </c>
      <c r="C128" s="24" t="n">
        <v>25.7</v>
      </c>
    </row>
    <row r="129" ht="14" customHeight="1">
      <c r="A129" s="53" t="n">
        <v>2022</v>
      </c>
      <c r="B129" s="17" t="n"/>
      <c r="C129" s="17" t="n">
        <v>33.34</v>
      </c>
    </row>
    <row r="130" ht="14" customHeight="1">
      <c r="A130" s="54" t="n">
        <v>2023</v>
      </c>
      <c r="B130" s="24" t="n"/>
      <c r="C130" s="24" t="n">
        <v>51.63</v>
      </c>
    </row>
    <row r="131" ht="14" customHeight="1">
      <c r="A131" s="53" t="n">
        <v>2024</v>
      </c>
      <c r="B131" s="17" t="n"/>
      <c r="C131" s="17" t="n">
        <v>60.96</v>
      </c>
    </row>
    <row r="133">
      <c r="A133" s="55" t="inlineStr">
        <is>
          <t>E4b/c · Annual wind capacity additions (EU)  (GW/yr)</t>
        </is>
      </c>
    </row>
    <row r="134">
      <c r="A134" s="3" t="inlineStr">
        <is>
          <t>Source: Eurostat (nrg_inf_epcrw) — https://doi.org/10.2908/NRG_INF_EPCRW</t>
        </is>
      </c>
    </row>
    <row r="135" ht="28" customHeight="1">
      <c r="A135" s="5" t="inlineStr">
        <is>
          <t>Year</t>
        </is>
      </c>
      <c r="B135" s="5" t="inlineStr">
        <is>
          <t>In the 2024 report</t>
        </is>
      </c>
      <c r="C135" s="5" t="inlineStr">
        <is>
          <t>Added since the report</t>
        </is>
      </c>
    </row>
    <row r="136" ht="14" customHeight="1">
      <c r="A136" s="53" t="n">
        <v>2006</v>
      </c>
      <c r="B136" s="17" t="n">
        <v>5.932</v>
      </c>
      <c r="C136" s="17" t="n"/>
    </row>
    <row r="137" ht="14" customHeight="1">
      <c r="A137" s="54" t="n">
        <v>2007</v>
      </c>
      <c r="B137" s="24" t="n">
        <v>6.821</v>
      </c>
      <c r="C137" s="24" t="n"/>
    </row>
    <row r="138" ht="14" customHeight="1">
      <c r="A138" s="53" t="n">
        <v>2008</v>
      </c>
      <c r="B138" s="17" t="n">
        <v>5.309</v>
      </c>
      <c r="C138" s="17" t="n"/>
    </row>
    <row r="139" ht="14" customHeight="1">
      <c r="A139" s="54" t="n">
        <v>2009</v>
      </c>
      <c r="B139" s="24" t="n">
        <v>9.323</v>
      </c>
      <c r="C139" s="24" t="n"/>
    </row>
    <row r="140" ht="14" customHeight="1">
      <c r="A140" s="53" t="n">
        <v>2010</v>
      </c>
      <c r="B140" s="17" t="n">
        <v>5.807</v>
      </c>
      <c r="C140" s="17" t="n"/>
    </row>
    <row r="141" ht="14" customHeight="1">
      <c r="A141" s="54" t="n">
        <v>2011</v>
      </c>
      <c r="B141" s="24" t="n">
        <v>13.62</v>
      </c>
      <c r="C141" s="24" t="n"/>
    </row>
    <row r="142" ht="14" customHeight="1">
      <c r="A142" s="53" t="n">
        <v>2012</v>
      </c>
      <c r="B142" s="17" t="n">
        <v>8.452999999999999</v>
      </c>
      <c r="C142" s="17" t="n"/>
    </row>
    <row r="143" ht="14" customHeight="1">
      <c r="A143" s="54" t="n">
        <v>2013</v>
      </c>
      <c r="B143" s="24" t="n">
        <v>6.559</v>
      </c>
      <c r="C143" s="24" t="n"/>
    </row>
    <row r="144" ht="14" customHeight="1">
      <c r="A144" s="53" t="n">
        <v>2014</v>
      </c>
      <c r="B144" s="17" t="n">
        <v>9.016999999999999</v>
      </c>
      <c r="C144" s="17" t="n"/>
    </row>
    <row r="145" ht="14" customHeight="1">
      <c r="A145" s="54" t="n">
        <v>2015</v>
      </c>
      <c r="B145" s="24" t="n">
        <v>9.246</v>
      </c>
      <c r="C145" s="24" t="n"/>
    </row>
    <row r="146" ht="14" customHeight="1">
      <c r="A146" s="53" t="n">
        <v>2016</v>
      </c>
      <c r="B146" s="17" t="n">
        <v>9.449</v>
      </c>
      <c r="C146" s="17" t="n"/>
    </row>
    <row r="147" ht="14" customHeight="1">
      <c r="A147" s="54" t="n">
        <v>2017</v>
      </c>
      <c r="B147" s="24" t="n">
        <v>13.18</v>
      </c>
      <c r="C147" s="24" t="n"/>
    </row>
    <row r="148" ht="14" customHeight="1">
      <c r="A148" s="53" t="n">
        <v>2018</v>
      </c>
      <c r="B148" s="17" t="n">
        <v>6.566</v>
      </c>
      <c r="C148" s="17" t="n"/>
    </row>
    <row r="149" ht="14" customHeight="1">
      <c r="A149" s="54" t="n">
        <v>2019</v>
      </c>
      <c r="B149" s="24" t="n">
        <v>8.396000000000001</v>
      </c>
      <c r="C149" s="24" t="n"/>
    </row>
    <row r="150" ht="14" customHeight="1">
      <c r="A150" s="53" t="n">
        <v>2020</v>
      </c>
      <c r="B150" s="17" t="n">
        <v>7.454</v>
      </c>
      <c r="C150" s="17" t="n"/>
    </row>
    <row r="151" ht="14" customHeight="1">
      <c r="A151" s="54" t="n">
        <v>2021</v>
      </c>
      <c r="B151" s="24" t="n">
        <v>10.72</v>
      </c>
      <c r="C151" s="24" t="n">
        <v>10.72</v>
      </c>
    </row>
    <row r="152" ht="14" customHeight="1">
      <c r="A152" s="53" t="n">
        <v>2022</v>
      </c>
      <c r="B152" s="17" t="n"/>
      <c r="C152" s="17" t="n">
        <v>15.88</v>
      </c>
    </row>
    <row r="153" ht="14" customHeight="1">
      <c r="A153" s="54" t="n">
        <v>2023</v>
      </c>
      <c r="B153" s="24" t="n"/>
      <c r="C153" s="24" t="n">
        <v>12.12</v>
      </c>
    </row>
    <row r="154" ht="14" customHeight="1">
      <c r="A154" s="53" t="n">
        <v>2024</v>
      </c>
      <c r="B154" s="17" t="n"/>
      <c r="C154" s="17" t="n">
        <v>15.32</v>
      </c>
    </row>
    <row r="156">
      <c r="A156" s="55" t="inlineStr">
        <is>
          <t>E6 · Energy-related methane emissions (EU-27)  (Mt CO₂eq)</t>
        </is>
      </c>
    </row>
    <row r="157">
      <c r="A157" s="3" t="inlineStr">
        <is>
          <t>Source: EEA GHG data viewer; 2022+ Eurostat (env_air_gge) — https://doi.org/10.2908/ENV_AIR_GGE</t>
        </is>
      </c>
    </row>
    <row r="158" ht="28" customHeight="1">
      <c r="A158" s="5" t="inlineStr">
        <is>
          <t>Year</t>
        </is>
      </c>
      <c r="B158" s="5" t="inlineStr">
        <is>
          <t>In the 2024 report</t>
        </is>
      </c>
      <c r="C158" s="5" t="inlineStr">
        <is>
          <t>Added since the report</t>
        </is>
      </c>
    </row>
    <row r="159" ht="14" customHeight="1">
      <c r="A159" s="53" t="n">
        <v>2005</v>
      </c>
      <c r="B159" s="17" t="n">
        <v>110.1</v>
      </c>
      <c r="C159" s="17" t="n"/>
    </row>
    <row r="160" ht="14" customHeight="1">
      <c r="A160" s="54" t="n">
        <v>2006</v>
      </c>
      <c r="B160" s="24" t="n">
        <v>105.8</v>
      </c>
      <c r="C160" s="24" t="n"/>
    </row>
    <row r="161" ht="14" customHeight="1">
      <c r="A161" s="53" t="n">
        <v>2007</v>
      </c>
      <c r="B161" s="17" t="n">
        <v>101.9</v>
      </c>
      <c r="C161" s="17" t="n"/>
    </row>
    <row r="162" ht="14" customHeight="1">
      <c r="A162" s="54" t="n">
        <v>2008</v>
      </c>
      <c r="B162" s="24" t="n">
        <v>102.1</v>
      </c>
      <c r="C162" s="24" t="n"/>
    </row>
    <row r="163" ht="14" customHeight="1">
      <c r="A163" s="53" t="n">
        <v>2009</v>
      </c>
      <c r="B163" s="17" t="n">
        <v>96.45</v>
      </c>
      <c r="C163" s="17" t="n"/>
    </row>
    <row r="164" ht="14" customHeight="1">
      <c r="A164" s="54" t="n">
        <v>2010</v>
      </c>
      <c r="B164" s="24" t="n">
        <v>97.02</v>
      </c>
      <c r="C164" s="24" t="n"/>
    </row>
    <row r="165" ht="14" customHeight="1">
      <c r="A165" s="53" t="n">
        <v>2011</v>
      </c>
      <c r="B165" s="17" t="n">
        <v>93.06999999999999</v>
      </c>
      <c r="C165" s="17" t="n"/>
    </row>
    <row r="166" ht="14" customHeight="1">
      <c r="A166" s="54" t="n">
        <v>2012</v>
      </c>
      <c r="B166" s="24" t="n">
        <v>93.86</v>
      </c>
      <c r="C166" s="24" t="n"/>
    </row>
    <row r="167" ht="14" customHeight="1">
      <c r="A167" s="53" t="n">
        <v>2013</v>
      </c>
      <c r="B167" s="17" t="n">
        <v>90.94</v>
      </c>
      <c r="C167" s="17" t="n"/>
    </row>
    <row r="168" ht="14" customHeight="1">
      <c r="A168" s="54" t="n">
        <v>2014</v>
      </c>
      <c r="B168" s="24" t="n">
        <v>85.81999999999999</v>
      </c>
      <c r="C168" s="24" t="n"/>
    </row>
    <row r="169" ht="14" customHeight="1">
      <c r="A169" s="53" t="n">
        <v>2015</v>
      </c>
      <c r="B169" s="17" t="n">
        <v>86.3</v>
      </c>
      <c r="C169" s="17" t="n"/>
    </row>
    <row r="170" ht="14" customHeight="1">
      <c r="A170" s="54" t="n">
        <v>2016</v>
      </c>
      <c r="B170" s="24" t="n">
        <v>83.53</v>
      </c>
      <c r="C170" s="24" t="n"/>
    </row>
    <row r="171" ht="14" customHeight="1">
      <c r="A171" s="53" t="n">
        <v>2017</v>
      </c>
      <c r="B171" s="17" t="n">
        <v>82.7</v>
      </c>
      <c r="C171" s="17" t="n"/>
    </row>
    <row r="172" ht="14" customHeight="1">
      <c r="A172" s="54" t="n">
        <v>2018</v>
      </c>
      <c r="B172" s="24" t="n">
        <v>79.69</v>
      </c>
      <c r="C172" s="24" t="n"/>
    </row>
    <row r="173" ht="14" customHeight="1">
      <c r="A173" s="53" t="n">
        <v>2019</v>
      </c>
      <c r="B173" s="17" t="n">
        <v>73.20999999999999</v>
      </c>
      <c r="C173" s="17" t="n"/>
    </row>
    <row r="174" ht="14" customHeight="1">
      <c r="A174" s="54" t="n">
        <v>2020</v>
      </c>
      <c r="B174" s="24" t="n">
        <v>69.62</v>
      </c>
      <c r="C174" s="24" t="n"/>
    </row>
    <row r="175" ht="14" customHeight="1">
      <c r="A175" s="53" t="n">
        <v>2021</v>
      </c>
      <c r="B175" s="17" t="n">
        <v>69.91</v>
      </c>
      <c r="C175" s="17" t="n">
        <v>69.91</v>
      </c>
    </row>
    <row r="176" ht="14" customHeight="1">
      <c r="A176" s="54" t="n">
        <v>2022</v>
      </c>
      <c r="B176" s="24" t="n"/>
      <c r="C176" s="24" t="n">
        <v>64.45999999999999</v>
      </c>
    </row>
    <row r="177" ht="14" customHeight="1">
      <c r="A177" s="53" t="n">
        <v>2023</v>
      </c>
      <c r="B177" s="17" t="n"/>
      <c r="C177" s="17" t="n">
        <v>60.05</v>
      </c>
    </row>
    <row r="178" ht="14" customHeight="1">
      <c r="A178" s="54" t="n">
        <v>2024</v>
      </c>
      <c r="B178" s="24" t="n"/>
      <c r="C178" s="24" t="n">
        <v>57.77</v>
      </c>
    </row>
  </sheetData>
  <mergeCells count="16">
    <mergeCell ref="A157:D157"/>
    <mergeCell ref="A110:D110"/>
    <mergeCell ref="A62:D62"/>
    <mergeCell ref="A38:D38"/>
    <mergeCell ref="A39:D39"/>
    <mergeCell ref="A2:K2"/>
    <mergeCell ref="A15:D15"/>
    <mergeCell ref="A86:D86"/>
    <mergeCell ref="A87:D87"/>
    <mergeCell ref="A133:D133"/>
    <mergeCell ref="A134:D134"/>
    <mergeCell ref="A156:D156"/>
    <mergeCell ref="A63:D63"/>
    <mergeCell ref="A1:K1"/>
    <mergeCell ref="A111:D111"/>
    <mergeCell ref="A14:D14"/>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648ECA"/>
    <outlinePr summaryBelow="1" summaryRight="1"/>
    <pageSetUpPr/>
  </sheetPr>
  <dimension ref="A1:K105"/>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Energy demand — indicators</t>
        </is>
      </c>
    </row>
    <row r="2" ht="30" customHeight="1">
      <c r="A2" s="2" t="inlineStr">
        <is>
          <t>4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28" t="inlineStr">
        <is>
          <t>O2 (PEC)</t>
        </is>
      </c>
      <c r="B5" s="15" t="inlineStr">
        <is>
          <t>Primary energy consumption (EU-27)</t>
        </is>
      </c>
      <c r="C5" s="15" t="inlineStr">
        <is>
          <t>TWh</t>
        </is>
      </c>
      <c r="D5" s="16" t="n">
        <v>2021</v>
      </c>
      <c r="E5" s="17" t="n">
        <v>15248</v>
      </c>
      <c r="F5" s="16" t="n">
        <v>2024</v>
      </c>
      <c r="G5" s="17" t="n">
        <v>13883</v>
      </c>
      <c r="H5" s="18" t="n">
        <v>-0.0895199370409234</v>
      </c>
      <c r="I5" s="34" t="inlineStr">
        <is>
          <t>Eurostat (nrg_ind_eff)</t>
        </is>
      </c>
      <c r="J5" s="16" t="n">
        <v>3</v>
      </c>
      <c r="K5" s="34" t="inlineStr">
        <is>
          <t>Derived from the live source</t>
        </is>
      </c>
    </row>
    <row r="6" ht="15" customHeight="1">
      <c r="A6" s="21" t="inlineStr">
        <is>
          <t>O2 (FEC)</t>
        </is>
      </c>
      <c r="B6" s="22" t="inlineStr">
        <is>
          <t>Final energy consumption (EU-27)</t>
        </is>
      </c>
      <c r="C6" s="22" t="inlineStr">
        <is>
          <t>TWh</t>
        </is>
      </c>
      <c r="D6" s="23" t="n">
        <v>2021</v>
      </c>
      <c r="E6" s="24" t="n">
        <v>11263</v>
      </c>
      <c r="F6" s="23" t="n">
        <v>2024</v>
      </c>
      <c r="G6" s="24" t="n">
        <v>10471.8</v>
      </c>
      <c r="H6" s="25" t="n">
        <v>-0.0702477137529966</v>
      </c>
      <c r="I6" s="35" t="inlineStr">
        <is>
          <t>Eurostat (nrg_ind_eff)</t>
        </is>
      </c>
      <c r="J6" s="23" t="n">
        <v>3</v>
      </c>
      <c r="K6" s="35" t="inlineStr">
        <is>
          <t>Derived from the live source</t>
        </is>
      </c>
    </row>
    <row r="7" ht="15" customHeight="1">
      <c r="A7" s="28" t="inlineStr">
        <is>
          <t>O3</t>
        </is>
      </c>
      <c r="B7" s="15" t="inlineStr">
        <is>
          <t>Gross inland energy consumption (EU-27)</t>
        </is>
      </c>
      <c r="C7" s="15" t="inlineStr">
        <is>
          <t>TWh</t>
        </is>
      </c>
      <c r="D7" s="16" t="n">
        <v>2021</v>
      </c>
      <c r="E7" s="17" t="n">
        <v>16534</v>
      </c>
      <c r="F7" s="16" t="n">
        <v>2024</v>
      </c>
      <c r="G7" s="17" t="n">
        <v>15023.9</v>
      </c>
      <c r="H7" s="18" t="n">
        <v>-0.09133301076569494</v>
      </c>
      <c r="I7" s="34" t="inlineStr">
        <is>
          <t>Eurostat (nrg_bal_c)</t>
        </is>
      </c>
      <c r="J7" s="16" t="n">
        <v>3</v>
      </c>
      <c r="K7" s="34" t="inlineStr">
        <is>
          <t>Reconstructed from the sheet's own conversion</t>
        </is>
      </c>
    </row>
    <row r="8" ht="15" customHeight="1">
      <c r="A8" s="21" t="inlineStr">
        <is>
          <t>E5</t>
        </is>
      </c>
      <c r="B8" s="22" t="inlineStr">
        <is>
          <t>Electrification rate of final energy use</t>
        </is>
      </c>
      <c r="C8" s="22" t="inlineStr">
        <is>
          <t>%</t>
        </is>
      </c>
      <c r="D8" s="23" t="n">
        <v>2021</v>
      </c>
      <c r="E8" s="24" t="n">
        <v>22.75</v>
      </c>
      <c r="F8" s="23" t="n">
        <v>2024</v>
      </c>
      <c r="G8" s="24" t="n">
        <v>23.44</v>
      </c>
      <c r="H8" s="25" t="n">
        <v>0.03032967032967039</v>
      </c>
      <c r="I8" s="35" t="inlineStr">
        <is>
          <t>Eurostat (nrg_bal_c)</t>
        </is>
      </c>
      <c r="J8" s="23" t="n">
        <v>3</v>
      </c>
      <c r="K8" s="35" t="inlineStr">
        <is>
          <t>—</t>
        </is>
      </c>
    </row>
    <row r="11">
      <c r="A11" s="56" t="inlineStr">
        <is>
          <t>O2 (PEC) · Primary energy consumption (EU-27)  (TWh)</t>
        </is>
      </c>
    </row>
    <row r="12">
      <c r="A12" s="3" t="inlineStr">
        <is>
          <t>Source: Eurostat (nrg_ind_eff) — https://doi.org/10.2908/NRG_IND_EFF</t>
        </is>
      </c>
    </row>
    <row r="13" ht="28" customHeight="1">
      <c r="A13" s="5" t="inlineStr">
        <is>
          <t>Year</t>
        </is>
      </c>
      <c r="B13" s="5" t="inlineStr">
        <is>
          <t>In the 2024 report</t>
        </is>
      </c>
      <c r="C13" s="5" t="inlineStr">
        <is>
          <t>Added since the report</t>
        </is>
      </c>
    </row>
    <row r="14" ht="14" customHeight="1">
      <c r="A14" s="53" t="n">
        <v>2005</v>
      </c>
      <c r="B14" s="17" t="n">
        <v>17419</v>
      </c>
      <c r="C14" s="17" t="n"/>
    </row>
    <row r="15" ht="14" customHeight="1">
      <c r="A15" s="54" t="n">
        <v>2006</v>
      </c>
      <c r="B15" s="24" t="n">
        <v>17573</v>
      </c>
      <c r="C15" s="24" t="n"/>
    </row>
    <row r="16" ht="14" customHeight="1">
      <c r="A16" s="53" t="n">
        <v>2007</v>
      </c>
      <c r="B16" s="17" t="n">
        <v>17331</v>
      </c>
      <c r="C16" s="17" t="n"/>
    </row>
    <row r="17" ht="14" customHeight="1">
      <c r="A17" s="54" t="n">
        <v>2008</v>
      </c>
      <c r="B17" s="24" t="n">
        <v>17314</v>
      </c>
      <c r="C17" s="24" t="n"/>
    </row>
    <row r="18" ht="14" customHeight="1">
      <c r="A18" s="53" t="n">
        <v>2009</v>
      </c>
      <c r="B18" s="17" t="n">
        <v>16319</v>
      </c>
      <c r="C18" s="17" t="n"/>
    </row>
    <row r="19" ht="14" customHeight="1">
      <c r="A19" s="54" t="n">
        <v>2010</v>
      </c>
      <c r="B19" s="24" t="n">
        <v>16951</v>
      </c>
      <c r="C19" s="24" t="n"/>
    </row>
    <row r="20" ht="14" customHeight="1">
      <c r="A20" s="53" t="n">
        <v>2011</v>
      </c>
      <c r="B20" s="17" t="n">
        <v>16423</v>
      </c>
      <c r="C20" s="17" t="n"/>
    </row>
    <row r="21" ht="14" customHeight="1">
      <c r="A21" s="54" t="n">
        <v>2012</v>
      </c>
      <c r="B21" s="24" t="n">
        <v>16238</v>
      </c>
      <c r="C21" s="24" t="n"/>
    </row>
    <row r="22" ht="14" customHeight="1">
      <c r="A22" s="53" t="n">
        <v>2013</v>
      </c>
      <c r="B22" s="17" t="n">
        <v>16098</v>
      </c>
      <c r="C22" s="17" t="n"/>
    </row>
    <row r="23" ht="14" customHeight="1">
      <c r="A23" s="54" t="n">
        <v>2014</v>
      </c>
      <c r="B23" s="24" t="n">
        <v>15473</v>
      </c>
      <c r="C23" s="24" t="n"/>
    </row>
    <row r="24" ht="14" customHeight="1">
      <c r="A24" s="53" t="n">
        <v>2015</v>
      </c>
      <c r="B24" s="17" t="n">
        <v>15732</v>
      </c>
      <c r="C24" s="17" t="n"/>
    </row>
    <row r="25" ht="14" customHeight="1">
      <c r="A25" s="54" t="n">
        <v>2016</v>
      </c>
      <c r="B25" s="24" t="n">
        <v>15864</v>
      </c>
      <c r="C25" s="24" t="n"/>
    </row>
    <row r="26" ht="14" customHeight="1">
      <c r="A26" s="53" t="n">
        <v>2017</v>
      </c>
      <c r="B26" s="17" t="n">
        <v>16094</v>
      </c>
      <c r="C26" s="17" t="n"/>
    </row>
    <row r="27" ht="14" customHeight="1">
      <c r="A27" s="54" t="n">
        <v>2018</v>
      </c>
      <c r="B27" s="24" t="n">
        <v>16018</v>
      </c>
      <c r="C27" s="24" t="n"/>
    </row>
    <row r="28" ht="14" customHeight="1">
      <c r="A28" s="53" t="n">
        <v>2019</v>
      </c>
      <c r="B28" s="17" t="n">
        <v>15748</v>
      </c>
      <c r="C28" s="17" t="n"/>
    </row>
    <row r="29" ht="14" customHeight="1">
      <c r="A29" s="54" t="n">
        <v>2020</v>
      </c>
      <c r="B29" s="24" t="n">
        <v>14372</v>
      </c>
      <c r="C29" s="24" t="n"/>
    </row>
    <row r="30" ht="14" customHeight="1">
      <c r="A30" s="53" t="n">
        <v>2021</v>
      </c>
      <c r="B30" s="17" t="n">
        <v>15248</v>
      </c>
      <c r="C30" s="17" t="n">
        <v>15248</v>
      </c>
    </row>
    <row r="31" ht="14" customHeight="1">
      <c r="A31" s="54" t="n">
        <v>2022</v>
      </c>
      <c r="B31" s="24" t="n"/>
      <c r="C31" s="24" t="n">
        <v>14644.7</v>
      </c>
    </row>
    <row r="32" ht="14" customHeight="1">
      <c r="A32" s="53" t="n">
        <v>2023</v>
      </c>
      <c r="B32" s="17" t="n"/>
      <c r="C32" s="17" t="n">
        <v>14045.2</v>
      </c>
    </row>
    <row r="33" ht="14" customHeight="1">
      <c r="A33" s="54" t="n">
        <v>2024</v>
      </c>
      <c r="B33" s="24" t="n"/>
      <c r="C33" s="24" t="n">
        <v>13883</v>
      </c>
    </row>
    <row r="35">
      <c r="A35" s="56" t="inlineStr">
        <is>
          <t>O2 (FEC) · Final energy consumption (EU-27)  (TWh)</t>
        </is>
      </c>
    </row>
    <row r="36">
      <c r="A36" s="3" t="inlineStr">
        <is>
          <t>Source: Eurostat (nrg_ind_eff) — https://doi.org/10.2908/NRG_IND_EFF</t>
        </is>
      </c>
    </row>
    <row r="37" ht="28" customHeight="1">
      <c r="A37" s="5" t="inlineStr">
        <is>
          <t>Year</t>
        </is>
      </c>
      <c r="B37" s="5" t="inlineStr">
        <is>
          <t>In the 2024 report</t>
        </is>
      </c>
      <c r="C37" s="5" t="inlineStr">
        <is>
          <t>Added since the report</t>
        </is>
      </c>
    </row>
    <row r="38" ht="14" customHeight="1">
      <c r="A38" s="53" t="n">
        <v>2005</v>
      </c>
      <c r="B38" s="17" t="n">
        <v>12110</v>
      </c>
      <c r="C38" s="17" t="n"/>
    </row>
    <row r="39" ht="14" customHeight="1">
      <c r="A39" s="54" t="n">
        <v>2006</v>
      </c>
      <c r="B39" s="24" t="n">
        <v>12163</v>
      </c>
      <c r="C39" s="24" t="n"/>
    </row>
    <row r="40" ht="14" customHeight="1">
      <c r="A40" s="53" t="n">
        <v>2007</v>
      </c>
      <c r="B40" s="17" t="n">
        <v>11962</v>
      </c>
      <c r="C40" s="17" t="n"/>
    </row>
    <row r="41" ht="14" customHeight="1">
      <c r="A41" s="54" t="n">
        <v>2008</v>
      </c>
      <c r="B41" s="24" t="n">
        <v>12057</v>
      </c>
      <c r="C41" s="24" t="n"/>
    </row>
    <row r="42" ht="14" customHeight="1">
      <c r="A42" s="53" t="n">
        <v>2009</v>
      </c>
      <c r="B42" s="17" t="n">
        <v>11407</v>
      </c>
      <c r="C42" s="17" t="n"/>
    </row>
    <row r="43" ht="14" customHeight="1">
      <c r="A43" s="54" t="n">
        <v>2010</v>
      </c>
      <c r="B43" s="24" t="n">
        <v>11915</v>
      </c>
      <c r="C43" s="24" t="n"/>
    </row>
    <row r="44" ht="14" customHeight="1">
      <c r="A44" s="53" t="n">
        <v>2011</v>
      </c>
      <c r="B44" s="17" t="n">
        <v>11451</v>
      </c>
      <c r="C44" s="17" t="n"/>
    </row>
    <row r="45" ht="14" customHeight="1">
      <c r="A45" s="54" t="n">
        <v>2012</v>
      </c>
      <c r="B45" s="24" t="n">
        <v>11427</v>
      </c>
      <c r="C45" s="24" t="n"/>
    </row>
    <row r="46" ht="14" customHeight="1">
      <c r="A46" s="53" t="n">
        <v>2013</v>
      </c>
      <c r="B46" s="17" t="n">
        <v>11401</v>
      </c>
      <c r="C46" s="17" t="n"/>
    </row>
    <row r="47" ht="14" customHeight="1">
      <c r="A47" s="54" t="n">
        <v>2014</v>
      </c>
      <c r="B47" s="24" t="n">
        <v>10918</v>
      </c>
      <c r="C47" s="24" t="n"/>
    </row>
    <row r="48" ht="14" customHeight="1">
      <c r="A48" s="53" t="n">
        <v>2015</v>
      </c>
      <c r="B48" s="17" t="n">
        <v>11140</v>
      </c>
      <c r="C48" s="17" t="n"/>
    </row>
    <row r="49" ht="14" customHeight="1">
      <c r="A49" s="54" t="n">
        <v>2016</v>
      </c>
      <c r="B49" s="24" t="n">
        <v>11361</v>
      </c>
      <c r="C49" s="24" t="n"/>
    </row>
    <row r="50" ht="14" customHeight="1">
      <c r="A50" s="53" t="n">
        <v>2017</v>
      </c>
      <c r="B50" s="17" t="n">
        <v>11502</v>
      </c>
      <c r="C50" s="17" t="n"/>
    </row>
    <row r="51" ht="14" customHeight="1">
      <c r="A51" s="54" t="n">
        <v>2018</v>
      </c>
      <c r="B51" s="24" t="n">
        <v>11532</v>
      </c>
      <c r="C51" s="24" t="n"/>
    </row>
    <row r="52" ht="14" customHeight="1">
      <c r="A52" s="53" t="n">
        <v>2019</v>
      </c>
      <c r="B52" s="17" t="n">
        <v>11467</v>
      </c>
      <c r="C52" s="17" t="n"/>
    </row>
    <row r="53" ht="14" customHeight="1">
      <c r="A53" s="54" t="n">
        <v>2020</v>
      </c>
      <c r="B53" s="24" t="n">
        <v>10540</v>
      </c>
      <c r="C53" s="24" t="n"/>
    </row>
    <row r="54" ht="14" customHeight="1">
      <c r="A54" s="53" t="n">
        <v>2021</v>
      </c>
      <c r="B54" s="17" t="n">
        <v>11263</v>
      </c>
      <c r="C54" s="17" t="n">
        <v>11263</v>
      </c>
    </row>
    <row r="55" ht="14" customHeight="1">
      <c r="A55" s="54" t="n">
        <v>2022</v>
      </c>
      <c r="B55" s="24" t="n"/>
      <c r="C55" s="24" t="n">
        <v>10704.7</v>
      </c>
    </row>
    <row r="56" ht="14" customHeight="1">
      <c r="A56" s="53" t="n">
        <v>2023</v>
      </c>
      <c r="B56" s="17" t="n"/>
      <c r="C56" s="17" t="n">
        <v>10388.7</v>
      </c>
    </row>
    <row r="57" ht="14" customHeight="1">
      <c r="A57" s="54" t="n">
        <v>2024</v>
      </c>
      <c r="B57" s="24" t="n"/>
      <c r="C57" s="24" t="n">
        <v>10471.8</v>
      </c>
    </row>
    <row r="59">
      <c r="A59" s="56" t="inlineStr">
        <is>
          <t>O3 · Gross inland energy consumption (EU-27)  (TWh)</t>
        </is>
      </c>
    </row>
    <row r="60">
      <c r="A60" s="3" t="inlineStr">
        <is>
          <t>Source: Eurostat (nrg_bal_c) — https://doi.org/10.2908/NRG_BAL_C</t>
        </is>
      </c>
    </row>
    <row r="61" ht="28" customHeight="1">
      <c r="A61" s="5" t="inlineStr">
        <is>
          <t>Year</t>
        </is>
      </c>
      <c r="B61" s="5" t="inlineStr">
        <is>
          <t>In the 2024 report</t>
        </is>
      </c>
      <c r="C61" s="5" t="inlineStr">
        <is>
          <t>Added since the report</t>
        </is>
      </c>
    </row>
    <row r="62" ht="14" customHeight="1">
      <c r="A62" s="53" t="n">
        <v>2005</v>
      </c>
      <c r="B62" s="17" t="n">
        <v>18652</v>
      </c>
      <c r="C62" s="17" t="n"/>
    </row>
    <row r="63" ht="14" customHeight="1">
      <c r="A63" s="54" t="n">
        <v>2006</v>
      </c>
      <c r="B63" s="24" t="n">
        <v>18809</v>
      </c>
      <c r="C63" s="24" t="n"/>
    </row>
    <row r="64" ht="14" customHeight="1">
      <c r="A64" s="53" t="n">
        <v>2007</v>
      </c>
      <c r="B64" s="17" t="n">
        <v>18570</v>
      </c>
      <c r="C64" s="17" t="n"/>
    </row>
    <row r="65" ht="14" customHeight="1">
      <c r="A65" s="54" t="n">
        <v>2008</v>
      </c>
      <c r="B65" s="24" t="n">
        <v>18524</v>
      </c>
      <c r="C65" s="24" t="n"/>
    </row>
    <row r="66" ht="14" customHeight="1">
      <c r="A66" s="53" t="n">
        <v>2009</v>
      </c>
      <c r="B66" s="17" t="n">
        <v>17430</v>
      </c>
      <c r="C66" s="17" t="n"/>
    </row>
    <row r="67" ht="14" customHeight="1">
      <c r="A67" s="54" t="n">
        <v>2010</v>
      </c>
      <c r="B67" s="24" t="n">
        <v>18131</v>
      </c>
      <c r="C67" s="24" t="n"/>
    </row>
    <row r="68" ht="14" customHeight="1">
      <c r="A68" s="53" t="n">
        <v>2011</v>
      </c>
      <c r="B68" s="17" t="n">
        <v>17597</v>
      </c>
      <c r="C68" s="17" t="n"/>
    </row>
    <row r="69" ht="14" customHeight="1">
      <c r="A69" s="54" t="n">
        <v>2012</v>
      </c>
      <c r="B69" s="24" t="n">
        <v>17372</v>
      </c>
      <c r="C69" s="24" t="n"/>
    </row>
    <row r="70" ht="14" customHeight="1">
      <c r="A70" s="53" t="n">
        <v>2013</v>
      </c>
      <c r="B70" s="17" t="n">
        <v>17200</v>
      </c>
      <c r="C70" s="17" t="n"/>
    </row>
    <row r="71" ht="14" customHeight="1">
      <c r="A71" s="54" t="n">
        <v>2014</v>
      </c>
      <c r="B71" s="24" t="n">
        <v>16610</v>
      </c>
      <c r="C71" s="24" t="n"/>
    </row>
    <row r="72" ht="14" customHeight="1">
      <c r="A72" s="53" t="n">
        <v>2015</v>
      </c>
      <c r="B72" s="17" t="n">
        <v>16842</v>
      </c>
      <c r="C72" s="17" t="n"/>
    </row>
    <row r="73" ht="14" customHeight="1">
      <c r="A73" s="54" t="n">
        <v>2016</v>
      </c>
      <c r="B73" s="24" t="n">
        <v>16982</v>
      </c>
      <c r="C73" s="24" t="n"/>
    </row>
    <row r="74" ht="14" customHeight="1">
      <c r="A74" s="53" t="n">
        <v>2017</v>
      </c>
      <c r="B74" s="17" t="n">
        <v>17338</v>
      </c>
      <c r="C74" s="17" t="n"/>
    </row>
    <row r="75" ht="14" customHeight="1">
      <c r="A75" s="54" t="n">
        <v>2018</v>
      </c>
      <c r="B75" s="24" t="n">
        <v>17228</v>
      </c>
      <c r="C75" s="24" t="n"/>
    </row>
    <row r="76" ht="14" customHeight="1">
      <c r="A76" s="53" t="n">
        <v>2019</v>
      </c>
      <c r="B76" s="17" t="n">
        <v>16960</v>
      </c>
      <c r="C76" s="17" t="n"/>
    </row>
    <row r="77" ht="14" customHeight="1">
      <c r="A77" s="54" t="n">
        <v>2020</v>
      </c>
      <c r="B77" s="24" t="n">
        <v>15585</v>
      </c>
      <c r="C77" s="24" t="n"/>
    </row>
    <row r="78" ht="14" customHeight="1">
      <c r="A78" s="53" t="n">
        <v>2021</v>
      </c>
      <c r="B78" s="17" t="n">
        <v>16534</v>
      </c>
      <c r="C78" s="17" t="n">
        <v>16534</v>
      </c>
    </row>
    <row r="79" ht="14" customHeight="1">
      <c r="A79" s="54" t="n">
        <v>2022</v>
      </c>
      <c r="B79" s="24" t="n"/>
      <c r="C79" s="24" t="n">
        <v>15751.6</v>
      </c>
    </row>
    <row r="80" ht="14" customHeight="1">
      <c r="A80" s="53" t="n">
        <v>2023</v>
      </c>
      <c r="B80" s="17" t="n"/>
      <c r="C80" s="17" t="n">
        <v>15111.2</v>
      </c>
    </row>
    <row r="81" ht="14" customHeight="1">
      <c r="A81" s="54" t="n">
        <v>2024</v>
      </c>
      <c r="B81" s="24" t="n"/>
      <c r="C81" s="24" t="n">
        <v>15023.9</v>
      </c>
    </row>
    <row r="83">
      <c r="A83" s="56" t="inlineStr">
        <is>
          <t>E5 · Electrification rate of final energy use  (%)</t>
        </is>
      </c>
    </row>
    <row r="84">
      <c r="A84" s="3" t="inlineStr">
        <is>
          <t>Source: Eurostat (nrg_bal_c) — https://doi.org/10.2908/NRG_BAL_C</t>
        </is>
      </c>
    </row>
    <row r="85" ht="28" customHeight="1">
      <c r="A85" s="5" t="inlineStr">
        <is>
          <t>Year</t>
        </is>
      </c>
      <c r="B85" s="5" t="inlineStr">
        <is>
          <t>In the 2024 report</t>
        </is>
      </c>
      <c r="C85" s="5" t="inlineStr">
        <is>
          <t>Added since the report</t>
        </is>
      </c>
    </row>
    <row r="86" ht="14" customHeight="1">
      <c r="A86" s="53" t="n">
        <v>2005</v>
      </c>
      <c r="B86" s="17" t="n">
        <v>21.23</v>
      </c>
      <c r="C86" s="17" t="n"/>
    </row>
    <row r="87" ht="14" customHeight="1">
      <c r="A87" s="54" t="n">
        <v>2006</v>
      </c>
      <c r="B87" s="24" t="n">
        <v>21.61</v>
      </c>
      <c r="C87" s="24" t="n"/>
    </row>
    <row r="88" ht="14" customHeight="1">
      <c r="A88" s="53" t="n">
        <v>2007</v>
      </c>
      <c r="B88" s="17" t="n">
        <v>22.2</v>
      </c>
      <c r="C88" s="17" t="n"/>
    </row>
    <row r="89" ht="14" customHeight="1">
      <c r="A89" s="54" t="n">
        <v>2008</v>
      </c>
      <c r="B89" s="24" t="n">
        <v>22.1</v>
      </c>
      <c r="C89" s="24" t="n"/>
    </row>
    <row r="90" ht="14" customHeight="1">
      <c r="A90" s="53" t="n">
        <v>2009</v>
      </c>
      <c r="B90" s="17" t="n">
        <v>22</v>
      </c>
      <c r="C90" s="17" t="n"/>
    </row>
    <row r="91" ht="14" customHeight="1">
      <c r="A91" s="54" t="n">
        <v>2010</v>
      </c>
      <c r="B91" s="24" t="n">
        <v>22.18</v>
      </c>
      <c r="C91" s="24" t="n"/>
    </row>
    <row r="92" ht="14" customHeight="1">
      <c r="A92" s="53" t="n">
        <v>2011</v>
      </c>
      <c r="B92" s="17" t="n">
        <v>22.79</v>
      </c>
      <c r="C92" s="17" t="n"/>
    </row>
    <row r="93" ht="14" customHeight="1">
      <c r="A93" s="54" t="n">
        <v>2012</v>
      </c>
      <c r="B93" s="24" t="n">
        <v>22.89</v>
      </c>
      <c r="C93" s="24" t="n"/>
    </row>
    <row r="94" ht="14" customHeight="1">
      <c r="A94" s="53" t="n">
        <v>2013</v>
      </c>
      <c r="B94" s="17" t="n">
        <v>22.72</v>
      </c>
      <c r="C94" s="17" t="n"/>
    </row>
    <row r="95" ht="14" customHeight="1">
      <c r="A95" s="54" t="n">
        <v>2014</v>
      </c>
      <c r="B95" s="24" t="n">
        <v>23.28</v>
      </c>
      <c r="C95" s="24" t="n"/>
    </row>
    <row r="96" ht="14" customHeight="1">
      <c r="A96" s="53" t="n">
        <v>2015</v>
      </c>
      <c r="B96" s="17" t="n">
        <v>23.18</v>
      </c>
      <c r="C96" s="17" t="n"/>
    </row>
    <row r="97" ht="14" customHeight="1">
      <c r="A97" s="54" t="n">
        <v>2016</v>
      </c>
      <c r="B97" s="24" t="n">
        <v>23.01</v>
      </c>
      <c r="C97" s="24" t="n"/>
    </row>
    <row r="98" ht="14" customHeight="1">
      <c r="A98" s="53" t="n">
        <v>2017</v>
      </c>
      <c r="B98" s="17" t="n">
        <v>22.92</v>
      </c>
      <c r="C98" s="17" t="n"/>
    </row>
    <row r="99" ht="14" customHeight="1">
      <c r="A99" s="54" t="n">
        <v>2018</v>
      </c>
      <c r="B99" s="24" t="n">
        <v>22.87</v>
      </c>
      <c r="C99" s="24" t="n"/>
    </row>
    <row r="100" ht="14" customHeight="1">
      <c r="A100" s="53" t="n">
        <v>2019</v>
      </c>
      <c r="B100" s="17" t="n">
        <v>22.74</v>
      </c>
      <c r="C100" s="17" t="n"/>
    </row>
    <row r="101" ht="14" customHeight="1">
      <c r="A101" s="54" t="n">
        <v>2020</v>
      </c>
      <c r="B101" s="24" t="n">
        <v>23.16</v>
      </c>
      <c r="C101" s="24" t="n"/>
    </row>
    <row r="102" ht="14" customHeight="1">
      <c r="A102" s="53" t="n">
        <v>2021</v>
      </c>
      <c r="B102" s="17" t="n">
        <v>22.75</v>
      </c>
      <c r="C102" s="17" t="n">
        <v>22.75</v>
      </c>
    </row>
    <row r="103" ht="14" customHeight="1">
      <c r="A103" s="54" t="n">
        <v>2022</v>
      </c>
      <c r="B103" s="24" t="n"/>
      <c r="C103" s="24" t="n">
        <v>22.93</v>
      </c>
    </row>
    <row r="104" ht="14" customHeight="1">
      <c r="A104" s="53" t="n">
        <v>2023</v>
      </c>
      <c r="B104" s="17" t="n"/>
      <c r="C104" s="17" t="n">
        <v>23.08</v>
      </c>
    </row>
    <row r="105" ht="14" customHeight="1">
      <c r="A105" s="54" t="n">
        <v>2024</v>
      </c>
      <c r="B105" s="24" t="n"/>
      <c r="C105" s="24" t="n">
        <v>23.44</v>
      </c>
    </row>
  </sheetData>
  <mergeCells count="10">
    <mergeCell ref="A60:D60"/>
    <mergeCell ref="A12:D12"/>
    <mergeCell ref="A35:D35"/>
    <mergeCell ref="A83:D83"/>
    <mergeCell ref="A2:K2"/>
    <mergeCell ref="A59:D59"/>
    <mergeCell ref="A11:D11"/>
    <mergeCell ref="A1:K1"/>
    <mergeCell ref="A84:D84"/>
    <mergeCell ref="A36:D36"/>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B04545"/>
    <outlinePr summaryBelow="1" summaryRight="1"/>
    <pageSetUpPr/>
  </sheetPr>
  <dimension ref="A1:K354"/>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Industry — indicators</t>
        </is>
      </c>
    </row>
    <row r="2" ht="30" customHeight="1">
      <c r="A2" s="2" t="inlineStr">
        <is>
          <t>18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36" t="inlineStr">
        <is>
          <t>I1</t>
        </is>
      </c>
      <c r="B5" s="15" t="inlineStr">
        <is>
          <t>Industrial GHG emissions</t>
        </is>
      </c>
      <c r="C5" s="15" t="inlineStr">
        <is>
          <t>Mt CO₂eq</t>
        </is>
      </c>
      <c r="D5" s="16" t="n">
        <v>2022</v>
      </c>
      <c r="E5" s="17" t="n">
        <v>691.3</v>
      </c>
      <c r="F5" s="16" t="n">
        <v>2024</v>
      </c>
      <c r="G5" s="17" t="n">
        <v>611.4</v>
      </c>
      <c r="H5" s="18" t="n">
        <v>-0.1155793432663098</v>
      </c>
      <c r="I5" s="34" t="inlineStr">
        <is>
          <t>EEA GHG data viewer (Eurostat env_air_gge mirror)</t>
        </is>
      </c>
      <c r="J5" s="16" t="n">
        <v>2</v>
      </c>
      <c r="K5" s="34" t="inlineStr">
        <is>
          <t>Derived from the live source</t>
        </is>
      </c>
    </row>
    <row r="6" ht="15" customHeight="1">
      <c r="A6" s="37" t="inlineStr">
        <is>
          <t>I3</t>
        </is>
      </c>
      <c r="B6" s="22" t="inlineStr">
        <is>
          <t>Circular material use rate (EU)</t>
        </is>
      </c>
      <c r="C6" s="22" t="inlineStr">
        <is>
          <t>%</t>
        </is>
      </c>
      <c r="D6" s="23" t="n">
        <v>2021</v>
      </c>
      <c r="E6" s="24" t="n">
        <v>11.7</v>
      </c>
      <c r="F6" s="23" t="n">
        <v>2024</v>
      </c>
      <c r="G6" s="24" t="n">
        <v>12.2</v>
      </c>
      <c r="H6" s="25" t="n">
        <v>0.04273504273504274</v>
      </c>
      <c r="I6" s="35" t="inlineStr">
        <is>
          <t>Eurostat (cei_srm030)</t>
        </is>
      </c>
      <c r="J6" s="23" t="n">
        <v>3</v>
      </c>
      <c r="K6" s="35" t="inlineStr">
        <is>
          <t>Derived from the live source</t>
        </is>
      </c>
    </row>
    <row r="7" ht="15" customHeight="1">
      <c r="A7" s="36" t="inlineStr">
        <is>
          <t>I4 (steel)</t>
        </is>
      </c>
      <c r="B7" s="15" t="inlineStr">
        <is>
          <t>GHG intensity of EU steel production</t>
        </is>
      </c>
      <c r="C7" s="15" t="inlineStr">
        <is>
          <t>t CO₂eq/t</t>
        </is>
      </c>
      <c r="D7" s="16" t="n">
        <v>2021</v>
      </c>
      <c r="E7" s="17" t="n">
        <v>0.9623</v>
      </c>
      <c r="F7" s="16" t="n">
        <v>2021</v>
      </c>
      <c r="G7" s="17" t="n">
        <v>0.9623</v>
      </c>
      <c r="H7" s="18" t="n"/>
      <c r="I7" s="34" t="inlineStr">
        <is>
          <t>EEA + Eurofer</t>
        </is>
      </c>
      <c r="J7" s="16" t="n"/>
      <c r="K7" s="34" t="inlineStr">
        <is>
          <t>—</t>
        </is>
      </c>
    </row>
    <row r="8" ht="15" customHeight="1">
      <c r="A8" s="37" t="inlineStr">
        <is>
          <t>I4 (cement)</t>
        </is>
      </c>
      <c r="B8" s="22" t="inlineStr">
        <is>
          <t>GHG intensity of EU cement production</t>
        </is>
      </c>
      <c r="C8" s="22" t="inlineStr">
        <is>
          <t>t CO₂eq/t</t>
        </is>
      </c>
      <c r="D8" s="23" t="n">
        <v>2021</v>
      </c>
      <c r="E8" s="24" t="n">
        <v>0.6038</v>
      </c>
      <c r="F8" s="23" t="n">
        <v>2021</v>
      </c>
      <c r="G8" s="24" t="n">
        <v>0.6038</v>
      </c>
      <c r="H8" s="25" t="n"/>
      <c r="I8" s="35" t="inlineStr">
        <is>
          <t>EEA + Cembureau</t>
        </is>
      </c>
      <c r="J8" s="23" t="n"/>
      <c r="K8" s="35" t="inlineStr">
        <is>
          <t>—</t>
        </is>
      </c>
    </row>
    <row r="9" ht="15" customHeight="1">
      <c r="A9" s="36" t="inlineStr">
        <is>
          <t>I4 (chemicals)</t>
        </is>
      </c>
      <c r="B9" s="15" t="inlineStr">
        <is>
          <t>GHG intensity of EU base organic chemicals</t>
        </is>
      </c>
      <c r="C9" s="15" t="inlineStr">
        <is>
          <t>t CO₂eq/t</t>
        </is>
      </c>
      <c r="D9" s="16" t="n">
        <v>2022</v>
      </c>
      <c r="E9" s="17" t="n">
        <v>0.767</v>
      </c>
      <c r="F9" s="16" t="n">
        <v>2022</v>
      </c>
      <c r="G9" s="17" t="n">
        <v>0.767</v>
      </c>
      <c r="H9" s="18" t="n"/>
      <c r="I9" s="34" t="inlineStr">
        <is>
          <t>EEA + Eurostat (DS-056120)</t>
        </is>
      </c>
      <c r="J9" s="16" t="n"/>
      <c r="K9" s="34" t="inlineStr">
        <is>
          <t>—</t>
        </is>
      </c>
    </row>
    <row r="10" ht="15" customHeight="1">
      <c r="A10" s="37" t="inlineStr">
        <is>
          <t>I5</t>
        </is>
      </c>
      <c r="B10" s="22" t="inlineStr">
        <is>
          <t>Industrial final energy consumption (EU)</t>
        </is>
      </c>
      <c r="C10" s="22" t="inlineStr">
        <is>
          <t>TWh</t>
        </is>
      </c>
      <c r="D10" s="23" t="n">
        <v>2021</v>
      </c>
      <c r="E10" s="24" t="n">
        <v>2795.2</v>
      </c>
      <c r="F10" s="23" t="n">
        <v>2023</v>
      </c>
      <c r="G10" s="24" t="n">
        <v>2501.3</v>
      </c>
      <c r="H10" s="25" t="n">
        <v>-0.1051445334859758</v>
      </c>
      <c r="I10" s="35" t="inlineStr">
        <is>
          <t>Eurostat (nrg_bal_c)</t>
        </is>
      </c>
      <c r="J10" s="23" t="n">
        <v>2</v>
      </c>
      <c r="K10" s="35" t="inlineStr">
        <is>
          <t>Reconstructed from the sheet's own conversion</t>
        </is>
      </c>
    </row>
    <row r="11" ht="15" customHeight="1">
      <c r="A11" s="36" t="inlineStr">
        <is>
          <t>I6</t>
        </is>
      </c>
      <c r="B11" s="15" t="inlineStr">
        <is>
          <t>Electricity share of industrial final energy use</t>
        </is>
      </c>
      <c r="C11" s="15" t="inlineStr">
        <is>
          <t>%</t>
        </is>
      </c>
      <c r="D11" s="16" t="n">
        <v>2021</v>
      </c>
      <c r="E11" s="17" t="n">
        <v>33.22</v>
      </c>
      <c r="F11" s="16" t="n">
        <v>2024</v>
      </c>
      <c r="G11" s="17" t="n">
        <v>34.02</v>
      </c>
      <c r="H11" s="18" t="n">
        <v>0.02408187838651428</v>
      </c>
      <c r="I11" s="34" t="inlineStr">
        <is>
          <t>Eurostat (nrg_bal_c)</t>
        </is>
      </c>
      <c r="J11" s="16" t="n">
        <v>3</v>
      </c>
      <c r="K11" s="34" t="inlineStr">
        <is>
          <t>Taken as published</t>
        </is>
      </c>
    </row>
    <row r="12" ht="15" customHeight="1">
      <c r="A12" s="37" t="inlineStr">
        <is>
          <t>I2 (steel, production)</t>
        </is>
      </c>
      <c r="B12" s="22" t="inlineStr">
        <is>
          <t>Steel production (EU)</t>
        </is>
      </c>
      <c r="C12" s="22" t="inlineStr">
        <is>
          <t>Mt</t>
        </is>
      </c>
      <c r="D12" s="23" t="n">
        <v>2021</v>
      </c>
      <c r="E12" s="24" t="n">
        <v>152.8</v>
      </c>
      <c r="F12" s="23" t="n">
        <v>2025</v>
      </c>
      <c r="G12" s="24" t="n">
        <v>128.8</v>
      </c>
      <c r="H12" s="25" t="n">
        <v>-0.1570680628272251</v>
      </c>
      <c r="I12" s="35" t="inlineStr">
        <is>
          <t>Eurofer, Steel in figures 2022</t>
        </is>
      </c>
      <c r="J12" s="23" t="n">
        <v>4</v>
      </c>
      <c r="K12" s="35" t="inlineStr">
        <is>
          <t>Reconstructed from the sheet's own conversion</t>
        </is>
      </c>
    </row>
    <row r="13" ht="15" customHeight="1">
      <c r="A13" s="36" t="inlineStr">
        <is>
          <t>I2 (steel, use)</t>
        </is>
      </c>
      <c r="B13" s="15" t="inlineStr">
        <is>
          <t>Steel apparent use (consumption) (EU)</t>
        </is>
      </c>
      <c r="C13" s="15" t="inlineStr">
        <is>
          <t>Mt</t>
        </is>
      </c>
      <c r="D13" s="16" t="n">
        <v>2021</v>
      </c>
      <c r="E13" s="17" t="n">
        <v>149</v>
      </c>
      <c r="F13" s="16" t="n">
        <v>2021</v>
      </c>
      <c r="G13" s="17" t="n">
        <v>149</v>
      </c>
      <c r="H13" s="18" t="n"/>
      <c r="I13" s="34" t="inlineStr">
        <is>
          <t>Eurofer, Steel in figures 2022</t>
        </is>
      </c>
      <c r="J13" s="16" t="n"/>
      <c r="K13" s="34" t="inlineStr">
        <is>
          <t>—</t>
        </is>
      </c>
    </row>
    <row r="14" ht="15" customHeight="1">
      <c r="A14" s="37" t="inlineStr">
        <is>
          <t>I2 (steel, trade)</t>
        </is>
      </c>
      <c r="B14" s="22" t="inlineStr">
        <is>
          <t>Steel net trade balance (EU)</t>
        </is>
      </c>
      <c r="C14" s="22" t="inlineStr">
        <is>
          <t>Mt</t>
        </is>
      </c>
      <c r="D14" s="23" t="n">
        <v>2021</v>
      </c>
      <c r="E14" s="24" t="n">
        <v>-25.77</v>
      </c>
      <c r="F14" s="23" t="n">
        <v>2021</v>
      </c>
      <c r="G14" s="24" t="n">
        <v>-25.77</v>
      </c>
      <c r="H14" s="25" t="n"/>
      <c r="I14" s="35" t="inlineStr">
        <is>
          <t>Eurofer, Steel in figures 2022; trade from Eurostat DS-059268</t>
        </is>
      </c>
      <c r="J14" s="23" t="n"/>
      <c r="K14" s="35" t="inlineStr">
        <is>
          <t>—</t>
        </is>
      </c>
    </row>
    <row r="15" ht="15" customHeight="1">
      <c r="A15" s="36" t="inlineStr">
        <is>
          <t>I2 (cement, production)</t>
        </is>
      </c>
      <c r="B15" s="15" t="inlineStr">
        <is>
          <t>Cement production (EU)</t>
        </is>
      </c>
      <c r="C15" s="15" t="inlineStr">
        <is>
          <t>Mt</t>
        </is>
      </c>
      <c r="D15" s="16" t="n">
        <v>2021</v>
      </c>
      <c r="E15" s="17" t="n">
        <v>182.5</v>
      </c>
      <c r="F15" s="16" t="n">
        <v>2025</v>
      </c>
      <c r="G15" s="17" t="n">
        <v>157.7</v>
      </c>
      <c r="H15" s="18" t="n">
        <v>-0.1358904109589042</v>
      </c>
      <c r="I15" s="34" t="inlineStr">
        <is>
          <t>Cembureau (data provided)</t>
        </is>
      </c>
      <c r="J15" s="16" t="n">
        <v>4</v>
      </c>
      <c r="K15" s="34" t="inlineStr">
        <is>
          <t>Derived from the live source</t>
        </is>
      </c>
    </row>
    <row r="16" ht="15" customHeight="1">
      <c r="A16" s="37" t="inlineStr">
        <is>
          <t>I2 (cement, use)</t>
        </is>
      </c>
      <c r="B16" s="22" t="inlineStr">
        <is>
          <t>Cement apparent use (consumption) (EU)</t>
        </is>
      </c>
      <c r="C16" s="22" t="inlineStr">
        <is>
          <t>Mt</t>
        </is>
      </c>
      <c r="D16" s="23" t="n">
        <v>2021</v>
      </c>
      <c r="E16" s="24" t="n">
        <v>170.5</v>
      </c>
      <c r="F16" s="23" t="n">
        <v>2021</v>
      </c>
      <c r="G16" s="24" t="n">
        <v>170.5</v>
      </c>
      <c r="H16" s="25" t="n"/>
      <c r="I16" s="35" t="inlineStr">
        <is>
          <t>Cembureau (data provided)</t>
        </is>
      </c>
      <c r="J16" s="23" t="n"/>
      <c r="K16" s="35" t="inlineStr">
        <is>
          <t>—</t>
        </is>
      </c>
    </row>
    <row r="17" ht="15" customHeight="1">
      <c r="A17" s="36" t="inlineStr">
        <is>
          <t>I2 (chemicals, production)</t>
        </is>
      </c>
      <c r="B17" s="15" t="inlineStr">
        <is>
          <t>Chemicals production (EU)</t>
        </is>
      </c>
      <c r="C17" s="15" t="inlineStr">
        <is>
          <t>Mt</t>
        </is>
      </c>
      <c r="D17" s="16" t="n">
        <v>2021</v>
      </c>
      <c r="E17" s="17" t="n">
        <v>26.84</v>
      </c>
      <c r="F17" s="16" t="n">
        <v>2025</v>
      </c>
      <c r="G17" s="17" t="n">
        <v>18.55</v>
      </c>
      <c r="H17" s="18" t="n">
        <v>-0.3088673621460507</v>
      </c>
      <c r="I17" s="34" t="inlineStr">
        <is>
          <t>Eurostat DS-056120 (sold production) and DS-059268 (trade)</t>
        </is>
      </c>
      <c r="J17" s="16" t="n">
        <v>4</v>
      </c>
      <c r="K17" s="34" t="inlineStr">
        <is>
          <t>Derived from the live source</t>
        </is>
      </c>
    </row>
    <row r="18" ht="15" customHeight="1">
      <c r="A18" s="37" t="inlineStr">
        <is>
          <t>I2 (chemicals, use)</t>
        </is>
      </c>
      <c r="B18" s="22" t="inlineStr">
        <is>
          <t>Chemicals apparent use (consumption) (EU)</t>
        </is>
      </c>
      <c r="C18" s="22" t="inlineStr">
        <is>
          <t>Mt</t>
        </is>
      </c>
      <c r="D18" s="23" t="n">
        <v>2021</v>
      </c>
      <c r="E18" s="24" t="n">
        <v>29.11</v>
      </c>
      <c r="F18" s="23" t="n">
        <v>2021</v>
      </c>
      <c r="G18" s="24" t="n">
        <v>29.11</v>
      </c>
      <c r="H18" s="25" t="n"/>
      <c r="I18" s="35" t="inlineStr">
        <is>
          <t>Eurostat DS-056120 (sold production) and DS-059268 (trade)</t>
        </is>
      </c>
      <c r="J18" s="23" t="n"/>
      <c r="K18" s="35" t="inlineStr">
        <is>
          <t>—</t>
        </is>
      </c>
    </row>
    <row r="19" ht="15" customHeight="1">
      <c r="A19" s="36" t="inlineStr">
        <is>
          <t>I2 (chemicals, trade)</t>
        </is>
      </c>
      <c r="B19" s="15" t="inlineStr">
        <is>
          <t>Chemicals net trade balance (EU)</t>
        </is>
      </c>
      <c r="C19" s="15" t="inlineStr">
        <is>
          <t>Mt</t>
        </is>
      </c>
      <c r="D19" s="16" t="n">
        <v>2021</v>
      </c>
      <c r="E19" s="17" t="n">
        <v>-2.268</v>
      </c>
      <c r="F19" s="16" t="n">
        <v>2021</v>
      </c>
      <c r="G19" s="17" t="n">
        <v>-2.268</v>
      </c>
      <c r="H19" s="18" t="n"/>
      <c r="I19" s="34" t="inlineStr">
        <is>
          <t>Eurostat DS-056120 (sold production) and DS-059268 (trade)</t>
        </is>
      </c>
      <c r="J19" s="16" t="n"/>
      <c r="K19" s="34" t="inlineStr">
        <is>
          <t>—</t>
        </is>
      </c>
    </row>
    <row r="20" ht="15" customHeight="1">
      <c r="A20" s="37" t="inlineStr">
        <is>
          <t>I7a</t>
        </is>
      </c>
      <c r="B20" s="22" t="inlineStr">
        <is>
          <t>Low-carbon steel projects (EU)</t>
        </is>
      </c>
      <c r="C20" s="22" t="inlineStr">
        <is>
          <t>projects</t>
        </is>
      </c>
      <c r="D20" s="23" t="n">
        <v>2023</v>
      </c>
      <c r="E20" s="24" t="n">
        <v>48</v>
      </c>
      <c r="F20" s="23" t="n">
        <v>2023</v>
      </c>
      <c r="G20" s="24" t="n">
        <v>48</v>
      </c>
      <c r="H20" s="25" t="n"/>
      <c r="I20" s="35" t="inlineStr">
        <is>
          <t>Green Steel Tracker (Leadership Group for Industry Transition)</t>
        </is>
      </c>
      <c r="J20" s="23" t="n"/>
      <c r="K20" s="35" t="inlineStr">
        <is>
          <t>—</t>
        </is>
      </c>
    </row>
    <row r="21" ht="15" customHeight="1">
      <c r="A21" s="36" t="inlineStr">
        <is>
          <t>I7b</t>
        </is>
      </c>
      <c r="B21" s="15" t="inlineStr">
        <is>
          <t>Low-carbon cement projects (EU)</t>
        </is>
      </c>
      <c r="C21" s="15" t="inlineStr">
        <is>
          <t>projects</t>
        </is>
      </c>
      <c r="D21" s="16" t="n">
        <v>2023</v>
      </c>
      <c r="E21" s="17" t="n">
        <v>62</v>
      </c>
      <c r="F21" s="16" t="n">
        <v>2023</v>
      </c>
      <c r="G21" s="17" t="n">
        <v>62</v>
      </c>
      <c r="H21" s="18" t="n"/>
      <c r="I21" s="34" t="inlineStr">
        <is>
          <t>Cembureau map of innovation projects</t>
        </is>
      </c>
      <c r="J21" s="16" t="n"/>
      <c r="K21" s="34" t="inlineStr">
        <is>
          <t>—</t>
        </is>
      </c>
    </row>
    <row r="22" ht="15" customHeight="1">
      <c r="A22" s="37" t="inlineStr">
        <is>
          <t>I7c</t>
        </is>
      </c>
      <c r="B22" s="22" t="inlineStr">
        <is>
          <t>Low-carbon chemicals projects (EU)</t>
        </is>
      </c>
      <c r="C22" s="22" t="inlineStr">
        <is>
          <t>projects</t>
        </is>
      </c>
      <c r="D22" s="23" t="n">
        <v>2023</v>
      </c>
      <c r="E22" s="24" t="n">
        <v>171</v>
      </c>
      <c r="F22" s="23" t="n">
        <v>2023</v>
      </c>
      <c r="G22" s="24" t="n">
        <v>171</v>
      </c>
      <c r="H22" s="25" t="n"/>
      <c r="I22" s="35" t="inlineStr">
        <is>
          <t>CEFIC low carbon projects map</t>
        </is>
      </c>
      <c r="J22" s="23" t="n"/>
      <c r="K22" s="35" t="inlineStr">
        <is>
          <t>—</t>
        </is>
      </c>
    </row>
    <row r="25">
      <c r="A25" s="57" t="inlineStr">
        <is>
          <t>I1 · Industrial GHG emissions  (Mt CO₂eq)</t>
        </is>
      </c>
    </row>
    <row r="26">
      <c r="A26" s="3" t="inlineStr">
        <is>
          <t>Source: EEA GHG data viewer (Eurostat env_air_gge mirror) — https://www.eea.europa.eu/en/datahub/datahubitem-view/3b7fe76c-524a-439a-bfd2-a6e4046302a2</t>
        </is>
      </c>
    </row>
    <row r="27" ht="28" customHeight="1">
      <c r="A27" s="5" t="inlineStr">
        <is>
          <t>Year</t>
        </is>
      </c>
      <c r="B27" s="5" t="inlineStr">
        <is>
          <t>In the 2024 report</t>
        </is>
      </c>
      <c r="C27" s="5" t="inlineStr">
        <is>
          <t>Added since the report</t>
        </is>
      </c>
    </row>
    <row r="28" ht="14" customHeight="1">
      <c r="A28" s="53" t="n">
        <v>2005</v>
      </c>
      <c r="B28" s="17" t="n">
        <v>981.3</v>
      </c>
      <c r="C28" s="17" t="n"/>
    </row>
    <row r="29" ht="14" customHeight="1">
      <c r="A29" s="54" t="n">
        <v>2006</v>
      </c>
      <c r="B29" s="24" t="n">
        <v>973.8</v>
      </c>
      <c r="C29" s="24" t="n"/>
    </row>
    <row r="30" ht="14" customHeight="1">
      <c r="A30" s="53" t="n">
        <v>2007</v>
      </c>
      <c r="B30" s="17" t="n">
        <v>995.6</v>
      </c>
      <c r="C30" s="17" t="n"/>
    </row>
    <row r="31" ht="14" customHeight="1">
      <c r="A31" s="54" t="n">
        <v>2008</v>
      </c>
      <c r="B31" s="24" t="n">
        <v>952.3</v>
      </c>
      <c r="C31" s="24" t="n"/>
    </row>
    <row r="32" ht="14" customHeight="1">
      <c r="A32" s="53" t="n">
        <v>2009</v>
      </c>
      <c r="B32" s="17" t="n">
        <v>789.4</v>
      </c>
      <c r="C32" s="17" t="n"/>
    </row>
    <row r="33" ht="14" customHeight="1">
      <c r="A33" s="54" t="n">
        <v>2010</v>
      </c>
      <c r="B33" s="24" t="n">
        <v>838.8</v>
      </c>
      <c r="C33" s="24" t="n"/>
    </row>
    <row r="34" ht="14" customHeight="1">
      <c r="A34" s="53" t="n">
        <v>2011</v>
      </c>
      <c r="B34" s="17" t="n">
        <v>826.2</v>
      </c>
      <c r="C34" s="17" t="n"/>
    </row>
    <row r="35" ht="14" customHeight="1">
      <c r="A35" s="54" t="n">
        <v>2012</v>
      </c>
      <c r="B35" s="24" t="n">
        <v>795.7</v>
      </c>
      <c r="C35" s="24" t="n"/>
    </row>
    <row r="36" ht="14" customHeight="1">
      <c r="A36" s="53" t="n">
        <v>2013</v>
      </c>
      <c r="B36" s="17" t="n">
        <v>775.5</v>
      </c>
      <c r="C36" s="17" t="n"/>
    </row>
    <row r="37" ht="14" customHeight="1">
      <c r="A37" s="54" t="n">
        <v>2014</v>
      </c>
      <c r="B37" s="24" t="n">
        <v>769.2</v>
      </c>
      <c r="C37" s="24" t="n"/>
    </row>
    <row r="38" ht="14" customHeight="1">
      <c r="A38" s="53" t="n">
        <v>2015</v>
      </c>
      <c r="B38" s="17" t="n">
        <v>768.8</v>
      </c>
      <c r="C38" s="17" t="n"/>
    </row>
    <row r="39" ht="14" customHeight="1">
      <c r="A39" s="54" t="n">
        <v>2016</v>
      </c>
      <c r="B39" s="24" t="n">
        <v>776.2</v>
      </c>
      <c r="C39" s="24" t="n"/>
    </row>
    <row r="40" ht="14" customHeight="1">
      <c r="A40" s="53" t="n">
        <v>2017</v>
      </c>
      <c r="B40" s="17" t="n">
        <v>791</v>
      </c>
      <c r="C40" s="17" t="n"/>
    </row>
    <row r="41" ht="14" customHeight="1">
      <c r="A41" s="54" t="n">
        <v>2018</v>
      </c>
      <c r="B41" s="24" t="n">
        <v>785.3</v>
      </c>
      <c r="C41" s="24" t="n"/>
    </row>
    <row r="42" ht="14" customHeight="1">
      <c r="A42" s="53" t="n">
        <v>2019</v>
      </c>
      <c r="B42" s="17" t="n">
        <v>760.1</v>
      </c>
      <c r="C42" s="17" t="n"/>
    </row>
    <row r="43" ht="14" customHeight="1">
      <c r="A43" s="54" t="n">
        <v>2020</v>
      </c>
      <c r="B43" s="24" t="n">
        <v>719.6</v>
      </c>
      <c r="C43" s="24" t="n"/>
    </row>
    <row r="44" ht="14" customHeight="1">
      <c r="A44" s="53" t="n">
        <v>2021</v>
      </c>
      <c r="B44" s="17" t="n">
        <v>757.5</v>
      </c>
      <c r="C44" s="17" t="n"/>
    </row>
    <row r="45" ht="14" customHeight="1">
      <c r="A45" s="54" t="n">
        <v>2022</v>
      </c>
      <c r="B45" s="24" t="n">
        <v>691.3</v>
      </c>
      <c r="C45" s="24" t="n">
        <v>691.3</v>
      </c>
    </row>
    <row r="46" ht="14" customHeight="1">
      <c r="A46" s="53" t="n">
        <v>2023</v>
      </c>
      <c r="B46" s="17" t="n"/>
      <c r="C46" s="17" t="n">
        <v>622.1</v>
      </c>
    </row>
    <row r="47" ht="14" customHeight="1">
      <c r="A47" s="54" t="n">
        <v>2024</v>
      </c>
      <c r="B47" s="24" t="n"/>
      <c r="C47" s="24" t="n">
        <v>611.4</v>
      </c>
    </row>
    <row r="49">
      <c r="A49" s="57" t="inlineStr">
        <is>
          <t>I3 · Circular material use rate (EU)  (%)</t>
        </is>
      </c>
    </row>
    <row r="50">
      <c r="A50" s="3" t="inlineStr">
        <is>
          <t>Source: Eurostat (cei_srm030) — https://doi.org/10.2908/CEI_SRM030</t>
        </is>
      </c>
    </row>
    <row r="51" ht="28" customHeight="1">
      <c r="A51" s="5" t="inlineStr">
        <is>
          <t>Year</t>
        </is>
      </c>
      <c r="B51" s="5" t="inlineStr">
        <is>
          <t>In the 2024 report</t>
        </is>
      </c>
      <c r="C51" s="5" t="inlineStr">
        <is>
          <t>Added since the report</t>
        </is>
      </c>
    </row>
    <row r="52" ht="14" customHeight="1">
      <c r="A52" s="53" t="n">
        <v>2010</v>
      </c>
      <c r="B52" s="17" t="n">
        <v>10.8</v>
      </c>
      <c r="C52" s="17" t="n"/>
    </row>
    <row r="53" ht="14" customHeight="1">
      <c r="A53" s="54" t="n">
        <v>2011</v>
      </c>
      <c r="B53" s="24" t="n">
        <v>10.3</v>
      </c>
      <c r="C53" s="24" t="n"/>
    </row>
    <row r="54" ht="14" customHeight="1">
      <c r="A54" s="53" t="n">
        <v>2012</v>
      </c>
      <c r="B54" s="17" t="n">
        <v>11.1</v>
      </c>
      <c r="C54" s="17" t="n"/>
    </row>
    <row r="55" ht="14" customHeight="1">
      <c r="A55" s="54" t="n">
        <v>2013</v>
      </c>
      <c r="B55" s="24" t="n">
        <v>11.3</v>
      </c>
      <c r="C55" s="24" t="n"/>
    </row>
    <row r="56" ht="14" customHeight="1">
      <c r="A56" s="53" t="n">
        <v>2014</v>
      </c>
      <c r="B56" s="17" t="n">
        <v>11.2</v>
      </c>
      <c r="C56" s="17" t="n"/>
    </row>
    <row r="57" ht="14" customHeight="1">
      <c r="A57" s="54" t="n">
        <v>2015</v>
      </c>
      <c r="B57" s="24" t="n">
        <v>11.3</v>
      </c>
      <c r="C57" s="24" t="n"/>
    </row>
    <row r="58" ht="14" customHeight="1">
      <c r="A58" s="53" t="n">
        <v>2016</v>
      </c>
      <c r="B58" s="17" t="n">
        <v>11.5</v>
      </c>
      <c r="C58" s="17" t="n"/>
    </row>
    <row r="59" ht="14" customHeight="1">
      <c r="A59" s="54" t="n">
        <v>2017</v>
      </c>
      <c r="B59" s="24" t="n">
        <v>11.5</v>
      </c>
      <c r="C59" s="24" t="n"/>
    </row>
    <row r="60" ht="14" customHeight="1">
      <c r="A60" s="53" t="n">
        <v>2018</v>
      </c>
      <c r="B60" s="17" t="n">
        <v>11.7</v>
      </c>
      <c r="C60" s="17" t="n"/>
    </row>
    <row r="61" ht="14" customHeight="1">
      <c r="A61" s="54" t="n">
        <v>2019</v>
      </c>
      <c r="B61" s="24" t="n">
        <v>12</v>
      </c>
      <c r="C61" s="24" t="n"/>
    </row>
    <row r="62" ht="14" customHeight="1">
      <c r="A62" s="53" t="n">
        <v>2020</v>
      </c>
      <c r="B62" s="17" t="n">
        <v>11.7</v>
      </c>
      <c r="C62" s="17" t="n"/>
    </row>
    <row r="63" ht="14" customHeight="1">
      <c r="A63" s="54" t="n">
        <v>2021</v>
      </c>
      <c r="B63" s="24" t="n">
        <v>11.7</v>
      </c>
      <c r="C63" s="24" t="n">
        <v>11.7</v>
      </c>
    </row>
    <row r="64" ht="14" customHeight="1">
      <c r="A64" s="53" t="n">
        <v>2022</v>
      </c>
      <c r="B64" s="17" t="n"/>
      <c r="C64" s="17" t="n">
        <v>11.4</v>
      </c>
    </row>
    <row r="65" ht="14" customHeight="1">
      <c r="A65" s="54" t="n">
        <v>2023</v>
      </c>
      <c r="B65" s="24" t="n"/>
      <c r="C65" s="24" t="n">
        <v>12.1</v>
      </c>
    </row>
    <row r="66" ht="14" customHeight="1">
      <c r="A66" s="53" t="n">
        <v>2024</v>
      </c>
      <c r="B66" s="17" t="n"/>
      <c r="C66" s="17" t="n">
        <v>12.2</v>
      </c>
    </row>
    <row r="68">
      <c r="A68" s="57" t="inlineStr">
        <is>
          <t>I4 (steel) · GHG intensity of EU steel production  (t CO₂eq/t)</t>
        </is>
      </c>
    </row>
    <row r="69">
      <c r="A69" s="3" t="inlineStr">
        <is>
          <t>Source: EEA + Eurofer — https://www.eea.europa.eu/en/datahub/datahubitem-view/3b7fe76c-524a-439a-bfd2-a6e4046302a2</t>
        </is>
      </c>
    </row>
    <row r="70" ht="28" customHeight="1">
      <c r="A70" s="5" t="inlineStr">
        <is>
          <t>Year</t>
        </is>
      </c>
      <c r="B70" s="5" t="inlineStr">
        <is>
          <t>In the 2024 report</t>
        </is>
      </c>
      <c r="C70" s="5" t="inlineStr">
        <is>
          <t>Added since the report</t>
        </is>
      </c>
    </row>
    <row r="71" ht="14" customHeight="1">
      <c r="A71" s="53" t="n">
        <v>2008</v>
      </c>
      <c r="B71" s="17" t="n">
        <v>1.01</v>
      </c>
      <c r="C71" s="17" t="n"/>
    </row>
    <row r="72" ht="14" customHeight="1">
      <c r="A72" s="54" t="n">
        <v>2009</v>
      </c>
      <c r="B72" s="24" t="n">
        <v>1.002</v>
      </c>
      <c r="C72" s="24" t="n"/>
    </row>
    <row r="73" ht="14" customHeight="1">
      <c r="A73" s="53" t="n">
        <v>2010</v>
      </c>
      <c r="B73" s="17" t="n">
        <v>0.9942</v>
      </c>
      <c r="C73" s="17" t="n"/>
    </row>
    <row r="74" ht="14" customHeight="1">
      <c r="A74" s="54" t="n">
        <v>2011</v>
      </c>
      <c r="B74" s="24" t="n">
        <v>0.9446</v>
      </c>
      <c r="C74" s="24" t="n"/>
    </row>
    <row r="75" ht="14" customHeight="1">
      <c r="A75" s="53" t="n">
        <v>2012</v>
      </c>
      <c r="B75" s="17" t="n">
        <v>0.9371</v>
      </c>
      <c r="C75" s="17" t="n"/>
    </row>
    <row r="76" ht="14" customHeight="1">
      <c r="A76" s="54" t="n">
        <v>2013</v>
      </c>
      <c r="B76" s="24" t="n">
        <v>0.9499</v>
      </c>
      <c r="C76" s="24" t="n"/>
    </row>
    <row r="77" ht="14" customHeight="1">
      <c r="A77" s="53" t="n">
        <v>2014</v>
      </c>
      <c r="B77" s="17" t="n">
        <v>0.9378</v>
      </c>
      <c r="C77" s="17" t="n"/>
    </row>
    <row r="78" ht="14" customHeight="1">
      <c r="A78" s="54" t="n">
        <v>2015</v>
      </c>
      <c r="B78" s="24" t="n">
        <v>0.9871</v>
      </c>
      <c r="C78" s="24" t="n"/>
    </row>
    <row r="79" ht="14" customHeight="1">
      <c r="A79" s="53" t="n">
        <v>2016</v>
      </c>
      <c r="B79" s="17" t="n">
        <v>0.9861</v>
      </c>
      <c r="C79" s="17" t="n"/>
    </row>
    <row r="80" ht="14" customHeight="1">
      <c r="A80" s="54" t="n">
        <v>2017</v>
      </c>
      <c r="B80" s="24" t="n">
        <v>0.9656</v>
      </c>
      <c r="C80" s="24" t="n"/>
    </row>
    <row r="81" ht="14" customHeight="1">
      <c r="A81" s="53" t="n">
        <v>2018</v>
      </c>
      <c r="B81" s="17" t="n">
        <v>0.9526</v>
      </c>
      <c r="C81" s="17" t="n"/>
    </row>
    <row r="82" ht="14" customHeight="1">
      <c r="A82" s="54" t="n">
        <v>2019</v>
      </c>
      <c r="B82" s="24" t="n">
        <v>0.9675</v>
      </c>
      <c r="C82" s="24" t="n"/>
    </row>
    <row r="83" ht="14" customHeight="1">
      <c r="A83" s="53" t="n">
        <v>2020</v>
      </c>
      <c r="B83" s="17" t="n">
        <v>0.9605</v>
      </c>
      <c r="C83" s="17" t="n"/>
    </row>
    <row r="84" ht="14" customHeight="1">
      <c r="A84" s="54" t="n">
        <v>2021</v>
      </c>
      <c r="B84" s="24" t="n">
        <v>0.9623</v>
      </c>
      <c r="C84" s="24" t="n"/>
    </row>
    <row r="86">
      <c r="A86" s="57" t="inlineStr">
        <is>
          <t>I4 (cement) · GHG intensity of EU cement production  (t CO₂eq/t)</t>
        </is>
      </c>
    </row>
    <row r="87">
      <c r="A87" s="3" t="inlineStr">
        <is>
          <t>Source: EEA + Cembureau — https://www.eea.europa.eu/en/datahub/datahubitem-view/3b7fe76c-524a-439a-bfd2-a6e4046302a2</t>
        </is>
      </c>
    </row>
    <row r="88" ht="28" customHeight="1">
      <c r="A88" s="5" t="inlineStr">
        <is>
          <t>Year</t>
        </is>
      </c>
      <c r="B88" s="5" t="inlineStr">
        <is>
          <t>In the 2024 report</t>
        </is>
      </c>
      <c r="C88" s="5" t="inlineStr">
        <is>
          <t>Added since the report</t>
        </is>
      </c>
    </row>
    <row r="89" ht="14" customHeight="1">
      <c r="A89" s="53" t="n">
        <v>2005</v>
      </c>
      <c r="B89" s="17" t="n">
        <v>0.5987</v>
      </c>
      <c r="C89" s="17" t="n"/>
    </row>
    <row r="90" ht="14" customHeight="1">
      <c r="A90" s="54" t="n">
        <v>2006</v>
      </c>
      <c r="B90" s="24" t="n">
        <v>0.5744</v>
      </c>
      <c r="C90" s="24" t="n"/>
    </row>
    <row r="91" ht="14" customHeight="1">
      <c r="A91" s="53" t="n">
        <v>2007</v>
      </c>
      <c r="B91" s="17" t="n">
        <v>0.623</v>
      </c>
      <c r="C91" s="17" t="n"/>
    </row>
    <row r="92" ht="14" customHeight="1">
      <c r="A92" s="54" t="n">
        <v>2008</v>
      </c>
      <c r="B92" s="24" t="n">
        <v>0.6159</v>
      </c>
      <c r="C92" s="24" t="n"/>
    </row>
    <row r="93" ht="14" customHeight="1">
      <c r="A93" s="53" t="n">
        <v>2009</v>
      </c>
      <c r="B93" s="17" t="n">
        <v>0.613</v>
      </c>
      <c r="C93" s="17" t="n"/>
    </row>
    <row r="94" ht="14" customHeight="1">
      <c r="A94" s="54" t="n">
        <v>2010</v>
      </c>
      <c r="B94" s="24" t="n">
        <v>0.6429</v>
      </c>
      <c r="C94" s="24" t="n"/>
    </row>
    <row r="95" ht="14" customHeight="1">
      <c r="A95" s="53" t="n">
        <v>2011</v>
      </c>
      <c r="B95" s="17" t="n">
        <v>0.6248</v>
      </c>
      <c r="C95" s="17" t="n"/>
    </row>
    <row r="96" ht="14" customHeight="1">
      <c r="A96" s="54" t="n">
        <v>2012</v>
      </c>
      <c r="B96" s="24" t="n">
        <v>0.6673</v>
      </c>
      <c r="C96" s="24" t="n"/>
    </row>
    <row r="97" ht="14" customHeight="1">
      <c r="A97" s="53" t="n">
        <v>2013</v>
      </c>
      <c r="B97" s="17" t="n">
        <v>0.674</v>
      </c>
      <c r="C97" s="17" t="n"/>
    </row>
    <row r="98" ht="14" customHeight="1">
      <c r="A98" s="54" t="n">
        <v>2014</v>
      </c>
      <c r="B98" s="24" t="n">
        <v>0.7029</v>
      </c>
      <c r="C98" s="24" t="n"/>
    </row>
    <row r="99" ht="14" customHeight="1">
      <c r="A99" s="53" t="n">
        <v>2015</v>
      </c>
      <c r="B99" s="17" t="n">
        <v>0.6895</v>
      </c>
      <c r="C99" s="17" t="n"/>
    </row>
    <row r="100" ht="14" customHeight="1">
      <c r="A100" s="54" t="n">
        <v>2016</v>
      </c>
      <c r="B100" s="24" t="n">
        <v>0.6825</v>
      </c>
      <c r="C100" s="24" t="n"/>
    </row>
    <row r="101" ht="14" customHeight="1">
      <c r="A101" s="53" t="n">
        <v>2017</v>
      </c>
      <c r="B101" s="17" t="n">
        <v>0.6751</v>
      </c>
      <c r="C101" s="17" t="n"/>
    </row>
    <row r="102" ht="14" customHeight="1">
      <c r="A102" s="54" t="n">
        <v>2018</v>
      </c>
      <c r="B102" s="24" t="n">
        <v>0.6324</v>
      </c>
      <c r="C102" s="24" t="n"/>
    </row>
    <row r="103" ht="14" customHeight="1">
      <c r="A103" s="53" t="n">
        <v>2019</v>
      </c>
      <c r="B103" s="17" t="n">
        <v>0.6535</v>
      </c>
      <c r="C103" s="17" t="n"/>
    </row>
    <row r="104" ht="14" customHeight="1">
      <c r="A104" s="54" t="n">
        <v>2020</v>
      </c>
      <c r="B104" s="24" t="n">
        <v>0.6237</v>
      </c>
      <c r="C104" s="24" t="n"/>
    </row>
    <row r="105" ht="14" customHeight="1">
      <c r="A105" s="53" t="n">
        <v>2021</v>
      </c>
      <c r="B105" s="17" t="n">
        <v>0.6038</v>
      </c>
      <c r="C105" s="17" t="n"/>
    </row>
    <row r="107">
      <c r="A107" s="57" t="inlineStr">
        <is>
          <t>I4 (chemicals) · GHG intensity of EU base organic chemicals  (t CO₂eq/t)</t>
        </is>
      </c>
    </row>
    <row r="108">
      <c r="A108" s="3" t="inlineStr">
        <is>
          <t>Source: EEA + Eurostat (DS-056120) — https://www.eea.europa.eu/en/datahub/datahubitem-view/3b7fe76c-524a-439a-bfd2-a6e4046302a2</t>
        </is>
      </c>
    </row>
    <row r="109" ht="28" customHeight="1">
      <c r="A109" s="5" t="inlineStr">
        <is>
          <t>Year</t>
        </is>
      </c>
      <c r="B109" s="5" t="inlineStr">
        <is>
          <t>In the 2024 report</t>
        </is>
      </c>
      <c r="C109" s="5" t="inlineStr">
        <is>
          <t>Added since the report</t>
        </is>
      </c>
    </row>
    <row r="110" ht="14" customHeight="1">
      <c r="A110" s="53" t="n">
        <v>2013</v>
      </c>
      <c r="B110" s="17" t="n">
        <v>0.8043</v>
      </c>
      <c r="C110" s="17" t="n"/>
    </row>
    <row r="111" ht="14" customHeight="1">
      <c r="A111" s="54" t="n">
        <v>2014</v>
      </c>
      <c r="B111" s="24" t="n">
        <v>0.7313</v>
      </c>
      <c r="C111" s="24" t="n"/>
    </row>
    <row r="112" ht="14" customHeight="1">
      <c r="A112" s="53" t="n">
        <v>2015</v>
      </c>
      <c r="B112" s="17" t="n">
        <v>0.7874</v>
      </c>
      <c r="C112" s="17" t="n"/>
    </row>
    <row r="113" ht="14" customHeight="1">
      <c r="A113" s="54" t="n">
        <v>2016</v>
      </c>
      <c r="B113" s="24" t="n">
        <v>0.7514</v>
      </c>
      <c r="C113" s="24" t="n"/>
    </row>
    <row r="114" ht="14" customHeight="1">
      <c r="A114" s="53" t="n">
        <v>2017</v>
      </c>
      <c r="B114" s="17" t="n">
        <v>0.7791</v>
      </c>
      <c r="C114" s="17" t="n"/>
    </row>
    <row r="115" ht="14" customHeight="1">
      <c r="A115" s="54" t="n">
        <v>2018</v>
      </c>
      <c r="B115" s="24" t="n">
        <v>0.7905</v>
      </c>
      <c r="C115" s="24" t="n"/>
    </row>
    <row r="116" ht="14" customHeight="1">
      <c r="A116" s="53" t="n">
        <v>2019</v>
      </c>
      <c r="B116" s="17" t="n">
        <v>0.7683</v>
      </c>
      <c r="C116" s="17" t="n"/>
    </row>
    <row r="117" ht="14" customHeight="1">
      <c r="A117" s="54" t="n">
        <v>2020</v>
      </c>
      <c r="B117" s="24" t="n">
        <v>0.788</v>
      </c>
      <c r="C117" s="24" t="n"/>
    </row>
    <row r="118" ht="14" customHeight="1">
      <c r="A118" s="53" t="n">
        <v>2021</v>
      </c>
      <c r="B118" s="17" t="n">
        <v>0.8663999999999999</v>
      </c>
      <c r="C118" s="17" t="n"/>
    </row>
    <row r="119" ht="14" customHeight="1">
      <c r="A119" s="54" t="n">
        <v>2022</v>
      </c>
      <c r="B119" s="24" t="n">
        <v>0.767</v>
      </c>
      <c r="C119" s="24" t="n"/>
    </row>
    <row r="123">
      <c r="A123" s="57" t="inlineStr">
        <is>
          <t>I5 · Industrial final energy consumption (EU)  (TWh)</t>
        </is>
      </c>
    </row>
    <row r="124">
      <c r="A124" s="3" t="inlineStr">
        <is>
          <t>Source: Eurostat (nrg_bal_c) — https://doi.org/10.2908/NRG_BAL_C</t>
        </is>
      </c>
    </row>
    <row r="125" ht="28" customHeight="1">
      <c r="A125" s="5" t="inlineStr">
        <is>
          <t>Year</t>
        </is>
      </c>
      <c r="B125" s="5" t="inlineStr">
        <is>
          <t>In the 2024 report</t>
        </is>
      </c>
      <c r="C125" s="5" t="inlineStr">
        <is>
          <t>Added since the report</t>
        </is>
      </c>
    </row>
    <row r="126" ht="14" customHeight="1">
      <c r="A126" s="53" t="n">
        <v>2005</v>
      </c>
      <c r="B126" s="17" t="n">
        <v>3199.7</v>
      </c>
      <c r="C126" s="17" t="n"/>
    </row>
    <row r="127" ht="14" customHeight="1">
      <c r="A127" s="54" t="n">
        <v>2006</v>
      </c>
      <c r="B127" s="24" t="n">
        <v>3135.2</v>
      </c>
      <c r="C127" s="24" t="n"/>
    </row>
    <row r="128" ht="14" customHeight="1">
      <c r="A128" s="53" t="n">
        <v>2007</v>
      </c>
      <c r="B128" s="17" t="n">
        <v>3189.8</v>
      </c>
      <c r="C128" s="17" t="n"/>
    </row>
    <row r="129" ht="14" customHeight="1">
      <c r="A129" s="54" t="n">
        <v>2008</v>
      </c>
      <c r="B129" s="24" t="n">
        <v>3083.2</v>
      </c>
      <c r="C129" s="24" t="n"/>
    </row>
    <row r="130" ht="14" customHeight="1">
      <c r="A130" s="53" t="n">
        <v>2009</v>
      </c>
      <c r="B130" s="17" t="n">
        <v>2665.4</v>
      </c>
      <c r="C130" s="17" t="n"/>
    </row>
    <row r="131" ht="14" customHeight="1">
      <c r="A131" s="54" t="n">
        <v>2010</v>
      </c>
      <c r="B131" s="24" t="n">
        <v>2836.2</v>
      </c>
      <c r="C131" s="24" t="n"/>
    </row>
    <row r="132" ht="14" customHeight="1">
      <c r="A132" s="53" t="n">
        <v>2011</v>
      </c>
      <c r="B132" s="17" t="n">
        <v>2841.2</v>
      </c>
      <c r="C132" s="17" t="n"/>
    </row>
    <row r="133" ht="14" customHeight="1">
      <c r="A133" s="54" t="n">
        <v>2012</v>
      </c>
      <c r="B133" s="24" t="n">
        <v>2787.7</v>
      </c>
      <c r="C133" s="24" t="n"/>
    </row>
    <row r="134" ht="14" customHeight="1">
      <c r="A134" s="53" t="n">
        <v>2013</v>
      </c>
      <c r="B134" s="17" t="n">
        <v>2753.4</v>
      </c>
      <c r="C134" s="17" t="n"/>
    </row>
    <row r="135" ht="14" customHeight="1">
      <c r="A135" s="54" t="n">
        <v>2014</v>
      </c>
      <c r="B135" s="24" t="n">
        <v>2713.3</v>
      </c>
      <c r="C135" s="24" t="n"/>
    </row>
    <row r="136" ht="14" customHeight="1">
      <c r="A136" s="53" t="n">
        <v>2015</v>
      </c>
      <c r="B136" s="17" t="n">
        <v>2715.7</v>
      </c>
      <c r="C136" s="17" t="n"/>
    </row>
    <row r="137" ht="14" customHeight="1">
      <c r="A137" s="54" t="n">
        <v>2016</v>
      </c>
      <c r="B137" s="24" t="n">
        <v>2765.6</v>
      </c>
      <c r="C137" s="24" t="n"/>
    </row>
    <row r="138" ht="14" customHeight="1">
      <c r="A138" s="53" t="n">
        <v>2017</v>
      </c>
      <c r="B138" s="17" t="n">
        <v>2791.9</v>
      </c>
      <c r="C138" s="17" t="n"/>
    </row>
    <row r="139" ht="14" customHeight="1">
      <c r="A139" s="54" t="n">
        <v>2018</v>
      </c>
      <c r="B139" s="24" t="n">
        <v>2819.9</v>
      </c>
      <c r="C139" s="24" t="n"/>
    </row>
    <row r="140" ht="14" customHeight="1">
      <c r="A140" s="53" t="n">
        <v>2019</v>
      </c>
      <c r="B140" s="17" t="n">
        <v>2782.4</v>
      </c>
      <c r="C140" s="17" t="n"/>
    </row>
    <row r="141" ht="14" customHeight="1">
      <c r="A141" s="54" t="n">
        <v>2020</v>
      </c>
      <c r="B141" s="24" t="n">
        <v>2685.6</v>
      </c>
      <c r="C141" s="24" t="n"/>
    </row>
    <row r="142" ht="14" customHeight="1">
      <c r="A142" s="53" t="n">
        <v>2021</v>
      </c>
      <c r="B142" s="17" t="n">
        <v>2795.2</v>
      </c>
      <c r="C142" s="17" t="n">
        <v>2795.2</v>
      </c>
    </row>
    <row r="143" ht="14" customHeight="1">
      <c r="A143" s="54" t="n">
        <v>2022</v>
      </c>
      <c r="B143" s="24" t="n"/>
      <c r="C143" s="24" t="n">
        <v>2638.9</v>
      </c>
    </row>
    <row r="144" ht="14" customHeight="1">
      <c r="A144" s="53" t="n">
        <v>2023</v>
      </c>
      <c r="B144" s="17" t="n"/>
      <c r="C144" s="17" t="n">
        <v>2501.3</v>
      </c>
    </row>
    <row r="146">
      <c r="A146" s="57" t="inlineStr">
        <is>
          <t>I6 · Electricity share of industrial final energy use  (%)</t>
        </is>
      </c>
    </row>
    <row r="147">
      <c r="A147" s="3" t="inlineStr">
        <is>
          <t>Source: Eurostat (nrg_bal_c) — https://doi.org/10.2908/NRG_BAL_C</t>
        </is>
      </c>
    </row>
    <row r="148" ht="28" customHeight="1">
      <c r="A148" s="5" t="inlineStr">
        <is>
          <t>Year</t>
        </is>
      </c>
      <c r="B148" s="5" t="inlineStr">
        <is>
          <t>In the 2024 report</t>
        </is>
      </c>
      <c r="C148" s="5" t="inlineStr">
        <is>
          <t>Added since the report</t>
        </is>
      </c>
    </row>
    <row r="149" ht="14" customHeight="1">
      <c r="A149" s="53" t="n">
        <v>2005</v>
      </c>
      <c r="B149" s="17" t="n">
        <v>31.71</v>
      </c>
      <c r="C149" s="17" t="n"/>
    </row>
    <row r="150" ht="14" customHeight="1">
      <c r="A150" s="54" t="n">
        <v>2006</v>
      </c>
      <c r="B150" s="24" t="n">
        <v>32.35</v>
      </c>
      <c r="C150" s="24" t="n"/>
    </row>
    <row r="151" ht="14" customHeight="1">
      <c r="A151" s="53" t="n">
        <v>2007</v>
      </c>
      <c r="B151" s="17" t="n">
        <v>32.22</v>
      </c>
      <c r="C151" s="17" t="n"/>
    </row>
    <row r="152" ht="14" customHeight="1">
      <c r="A152" s="54" t="n">
        <v>2008</v>
      </c>
      <c r="B152" s="24" t="n">
        <v>32.54</v>
      </c>
      <c r="C152" s="24" t="n"/>
    </row>
    <row r="153" ht="14" customHeight="1">
      <c r="A153" s="53" t="n">
        <v>2009</v>
      </c>
      <c r="B153" s="17" t="n">
        <v>32.42</v>
      </c>
      <c r="C153" s="17" t="n"/>
    </row>
    <row r="154" ht="14" customHeight="1">
      <c r="A154" s="54" t="n">
        <v>2010</v>
      </c>
      <c r="B154" s="24" t="n">
        <v>32.64</v>
      </c>
      <c r="C154" s="24" t="n"/>
    </row>
    <row r="155" ht="14" customHeight="1">
      <c r="A155" s="53" t="n">
        <v>2011</v>
      </c>
      <c r="B155" s="17" t="n">
        <v>32.96</v>
      </c>
      <c r="C155" s="17" t="n"/>
    </row>
    <row r="156" ht="14" customHeight="1">
      <c r="A156" s="54" t="n">
        <v>2012</v>
      </c>
      <c r="B156" s="24" t="n">
        <v>33.01</v>
      </c>
      <c r="C156" s="24" t="n"/>
    </row>
    <row r="157" ht="14" customHeight="1">
      <c r="A157" s="53" t="n">
        <v>2013</v>
      </c>
      <c r="B157" s="17" t="n">
        <v>32.92</v>
      </c>
      <c r="C157" s="17" t="n"/>
    </row>
    <row r="158" ht="14" customHeight="1">
      <c r="A158" s="54" t="n">
        <v>2014</v>
      </c>
      <c r="B158" s="24" t="n">
        <v>33.54</v>
      </c>
      <c r="C158" s="24" t="n"/>
    </row>
    <row r="159" ht="14" customHeight="1">
      <c r="A159" s="53" t="n">
        <v>2015</v>
      </c>
      <c r="B159" s="17" t="n">
        <v>33.65</v>
      </c>
      <c r="C159" s="17" t="n"/>
    </row>
    <row r="160" ht="14" customHeight="1">
      <c r="A160" s="54" t="n">
        <v>2016</v>
      </c>
      <c r="B160" s="24" t="n">
        <v>33.48</v>
      </c>
      <c r="C160" s="24" t="n"/>
    </row>
    <row r="161" ht="14" customHeight="1">
      <c r="A161" s="53" t="n">
        <v>2017</v>
      </c>
      <c r="B161" s="17" t="n">
        <v>33.76</v>
      </c>
      <c r="C161" s="17" t="n"/>
    </row>
    <row r="162" ht="14" customHeight="1">
      <c r="A162" s="54" t="n">
        <v>2018</v>
      </c>
      <c r="B162" s="24" t="n">
        <v>33.53</v>
      </c>
      <c r="C162" s="24" t="n"/>
    </row>
    <row r="163" ht="14" customHeight="1">
      <c r="A163" s="53" t="n">
        <v>2019</v>
      </c>
      <c r="B163" s="17" t="n">
        <v>33.54</v>
      </c>
      <c r="C163" s="17" t="n"/>
    </row>
    <row r="164" ht="14" customHeight="1">
      <c r="A164" s="54" t="n">
        <v>2020</v>
      </c>
      <c r="B164" s="24" t="n">
        <v>32.93</v>
      </c>
      <c r="C164" s="24" t="n"/>
    </row>
    <row r="165" ht="14" customHeight="1">
      <c r="A165" s="53" t="n">
        <v>2021</v>
      </c>
      <c r="B165" s="17" t="n">
        <v>33.22</v>
      </c>
      <c r="C165" s="17" t="n">
        <v>33.22</v>
      </c>
    </row>
    <row r="166" ht="14" customHeight="1">
      <c r="A166" s="54" t="n">
        <v>2022</v>
      </c>
      <c r="B166" s="24" t="n"/>
      <c r="C166" s="24" t="n">
        <v>33.62</v>
      </c>
    </row>
    <row r="167" ht="14" customHeight="1">
      <c r="A167" s="53" t="n">
        <v>2023</v>
      </c>
      <c r="B167" s="17" t="n"/>
      <c r="C167" s="17" t="n">
        <v>33.59</v>
      </c>
    </row>
    <row r="168" ht="14" customHeight="1">
      <c r="A168" s="54" t="n">
        <v>2024</v>
      </c>
      <c r="B168" s="24" t="n"/>
      <c r="C168" s="24" t="n">
        <v>34.02</v>
      </c>
    </row>
    <row r="170">
      <c r="A170" s="57" t="inlineStr">
        <is>
          <t>I2 (steel, production) · Steel production (EU)  (Mt)</t>
        </is>
      </c>
    </row>
    <row r="171">
      <c r="A171" s="3" t="inlineStr">
        <is>
          <t>Source: Eurofer, Steel in figures 2022 — https://www.eurofer.eu/publications/brochures-booklets-and-factsheets/european-steel-in-figures-2025</t>
        </is>
      </c>
    </row>
    <row r="172" ht="28" customHeight="1">
      <c r="A172" s="5" t="inlineStr">
        <is>
          <t>Year</t>
        </is>
      </c>
      <c r="B172" s="5" t="inlineStr">
        <is>
          <t>In the 2024 report</t>
        </is>
      </c>
      <c r="C172" s="5" t="inlineStr">
        <is>
          <t>Added since the report</t>
        </is>
      </c>
    </row>
    <row r="173" ht="14" customHeight="1">
      <c r="A173" s="53" t="n">
        <v>2008</v>
      </c>
      <c r="B173" s="17" t="n">
        <v>185</v>
      </c>
      <c r="C173" s="17" t="n"/>
    </row>
    <row r="174" ht="14" customHeight="1">
      <c r="A174" s="54" t="n">
        <v>2009</v>
      </c>
      <c r="B174" s="24" t="n">
        <v>129.3</v>
      </c>
      <c r="C174" s="24" t="n"/>
    </row>
    <row r="175" ht="14" customHeight="1">
      <c r="A175" s="53" t="n">
        <v>2010</v>
      </c>
      <c r="B175" s="17" t="n">
        <v>163.1</v>
      </c>
      <c r="C175" s="17" t="n"/>
    </row>
    <row r="176" ht="14" customHeight="1">
      <c r="A176" s="54" t="n">
        <v>2011</v>
      </c>
      <c r="B176" s="24" t="n">
        <v>168.1</v>
      </c>
      <c r="C176" s="24" t="n"/>
    </row>
    <row r="177" ht="14" customHeight="1">
      <c r="A177" s="53" t="n">
        <v>2012</v>
      </c>
      <c r="B177" s="17" t="n">
        <v>159</v>
      </c>
      <c r="C177" s="17" t="n"/>
    </row>
    <row r="178" ht="14" customHeight="1">
      <c r="A178" s="54" t="n">
        <v>2013</v>
      </c>
      <c r="B178" s="24" t="n">
        <v>154.3</v>
      </c>
      <c r="C178" s="24" t="n"/>
    </row>
    <row r="179" ht="14" customHeight="1">
      <c r="A179" s="53" t="n">
        <v>2014</v>
      </c>
      <c r="B179" s="17" t="n">
        <v>157.1</v>
      </c>
      <c r="C179" s="17" t="n"/>
    </row>
    <row r="180" ht="14" customHeight="1">
      <c r="A180" s="54" t="n">
        <v>2015</v>
      </c>
      <c r="B180" s="24" t="n">
        <v>155.1</v>
      </c>
      <c r="C180" s="24" t="n"/>
    </row>
    <row r="181" ht="14" customHeight="1">
      <c r="A181" s="53" t="n">
        <v>2016</v>
      </c>
      <c r="B181" s="17" t="n">
        <v>154.3</v>
      </c>
      <c r="C181" s="17" t="n"/>
    </row>
    <row r="182" ht="14" customHeight="1">
      <c r="A182" s="54" t="n">
        <v>2017</v>
      </c>
      <c r="B182" s="24" t="n">
        <v>160.9</v>
      </c>
      <c r="C182" s="24" t="n"/>
    </row>
    <row r="183" ht="14" customHeight="1">
      <c r="A183" s="53" t="n">
        <v>2018</v>
      </c>
      <c r="B183" s="17" t="n">
        <v>160.1</v>
      </c>
      <c r="C183" s="17" t="n"/>
    </row>
    <row r="184" ht="14" customHeight="1">
      <c r="A184" s="54" t="n">
        <v>2019</v>
      </c>
      <c r="B184" s="24" t="n">
        <v>150.2</v>
      </c>
      <c r="C184" s="24" t="n"/>
    </row>
    <row r="185" ht="14" customHeight="1">
      <c r="A185" s="53" t="n">
        <v>2020</v>
      </c>
      <c r="B185" s="17" t="n">
        <v>132.2</v>
      </c>
      <c r="C185" s="17" t="n"/>
    </row>
    <row r="186" ht="14" customHeight="1">
      <c r="A186" s="54" t="n">
        <v>2021</v>
      </c>
      <c r="B186" s="24" t="n">
        <v>152.8</v>
      </c>
      <c r="C186" s="24" t="n">
        <v>152.8</v>
      </c>
    </row>
    <row r="187" ht="14" customHeight="1">
      <c r="A187" s="53" t="n">
        <v>2022</v>
      </c>
      <c r="B187" s="17" t="n"/>
      <c r="C187" s="17" t="n">
        <v>136.3</v>
      </c>
    </row>
    <row r="188" ht="14" customHeight="1">
      <c r="A188" s="54" t="n">
        <v>2023</v>
      </c>
      <c r="B188" s="24" t="n"/>
      <c r="C188" s="24" t="n">
        <v>125.9</v>
      </c>
    </row>
    <row r="189" ht="14" customHeight="1">
      <c r="A189" s="53" t="n">
        <v>2024</v>
      </c>
      <c r="B189" s="17" t="n"/>
      <c r="C189" s="17" t="n">
        <v>128.8</v>
      </c>
    </row>
    <row r="190" ht="14" customHeight="1">
      <c r="A190" s="54" t="n">
        <v>2025</v>
      </c>
      <c r="B190" s="24" t="n"/>
      <c r="C190" s="24" t="n">
        <v>128.8</v>
      </c>
    </row>
    <row r="192">
      <c r="A192" s="57" t="inlineStr">
        <is>
          <t>I2 (steel, use) · Steel apparent use (consumption) (EU)  (Mt)</t>
        </is>
      </c>
    </row>
    <row r="193">
      <c r="A193" s="3" t="inlineStr">
        <is>
          <t>Source: Eurofer, Steel in figures 2022 — https://www.eurofer.eu/publications/brochures-booklets-and-factsheets/european-steel-in-figures-2025</t>
        </is>
      </c>
    </row>
    <row r="194" ht="28" customHeight="1">
      <c r="A194" s="5" t="inlineStr">
        <is>
          <t>Year</t>
        </is>
      </c>
      <c r="B194" s="5" t="inlineStr">
        <is>
          <t>In the 2024 report</t>
        </is>
      </c>
      <c r="C194" s="5" t="inlineStr">
        <is>
          <t>Added since the report</t>
        </is>
      </c>
    </row>
    <row r="195" ht="14" customHeight="1">
      <c r="A195" s="53" t="n">
        <v>2008</v>
      </c>
      <c r="B195" s="17" t="n">
        <v>173.8</v>
      </c>
      <c r="C195" s="17" t="n"/>
    </row>
    <row r="196" ht="14" customHeight="1">
      <c r="A196" s="54" t="n">
        <v>2009</v>
      </c>
      <c r="B196" s="24" t="n">
        <v>113.5</v>
      </c>
      <c r="C196" s="24" t="n"/>
    </row>
    <row r="197" ht="14" customHeight="1">
      <c r="A197" s="53" t="n">
        <v>2010</v>
      </c>
      <c r="B197" s="17" t="n">
        <v>139.1</v>
      </c>
      <c r="C197" s="17" t="n"/>
    </row>
    <row r="198" ht="14" customHeight="1">
      <c r="A198" s="54" t="n">
        <v>2011</v>
      </c>
      <c r="B198" s="24" t="n">
        <v>147.8</v>
      </c>
      <c r="C198" s="24" t="n"/>
    </row>
    <row r="199" ht="14" customHeight="1">
      <c r="A199" s="53" t="n">
        <v>2012</v>
      </c>
      <c r="B199" s="17" t="n">
        <v>132.2</v>
      </c>
      <c r="C199" s="17" t="n"/>
    </row>
    <row r="200" ht="14" customHeight="1">
      <c r="A200" s="54" t="n">
        <v>2013</v>
      </c>
      <c r="B200" s="24" t="n">
        <v>132.1</v>
      </c>
      <c r="C200" s="24" t="n"/>
    </row>
    <row r="201" ht="14" customHeight="1">
      <c r="A201" s="53" t="n">
        <v>2014</v>
      </c>
      <c r="B201" s="17" t="n">
        <v>135.7</v>
      </c>
      <c r="C201" s="17" t="n"/>
    </row>
    <row r="202" ht="14" customHeight="1">
      <c r="A202" s="54" t="n">
        <v>2015</v>
      </c>
      <c r="B202" s="24" t="n">
        <v>142.1</v>
      </c>
      <c r="C202" s="24" t="n"/>
    </row>
    <row r="203" ht="14" customHeight="1">
      <c r="A203" s="53" t="n">
        <v>2016</v>
      </c>
      <c r="B203" s="17" t="n">
        <v>146.8</v>
      </c>
      <c r="C203" s="17" t="n"/>
    </row>
    <row r="204" ht="14" customHeight="1">
      <c r="A204" s="54" t="n">
        <v>2017</v>
      </c>
      <c r="B204" s="24" t="n">
        <v>148.9</v>
      </c>
      <c r="C204" s="24" t="n"/>
    </row>
    <row r="205" ht="14" customHeight="1">
      <c r="A205" s="53" t="n">
        <v>2018</v>
      </c>
      <c r="B205" s="17" t="n">
        <v>152.7</v>
      </c>
      <c r="C205" s="17" t="n"/>
    </row>
    <row r="206" ht="14" customHeight="1">
      <c r="A206" s="54" t="n">
        <v>2019</v>
      </c>
      <c r="B206" s="24" t="n">
        <v>144.8</v>
      </c>
      <c r="C206" s="24" t="n"/>
    </row>
    <row r="207" ht="14" customHeight="1">
      <c r="A207" s="53" t="n">
        <v>2020</v>
      </c>
      <c r="B207" s="17" t="n">
        <v>129.3</v>
      </c>
      <c r="C207" s="17" t="n"/>
    </row>
    <row r="208" ht="14" customHeight="1">
      <c r="A208" s="54" t="n">
        <v>2021</v>
      </c>
      <c r="B208" s="24" t="n">
        <v>149</v>
      </c>
      <c r="C208" s="24" t="n"/>
    </row>
    <row r="210">
      <c r="A210" s="57" t="inlineStr">
        <is>
          <t>I2 (steel, trade) · Steel net trade balance (EU)  (Mt)</t>
        </is>
      </c>
    </row>
    <row r="211">
      <c r="A211" s="3" t="inlineStr">
        <is>
          <t>Source: Eurofer, Steel in figures 2022; trade from Eurostat DS-059268 — https://www.eurofer.eu/publications/brochures-booklets-and-factsheets/european-steel-in-figures-2025</t>
        </is>
      </c>
    </row>
    <row r="212" ht="28" customHeight="1">
      <c r="A212" s="5" t="inlineStr">
        <is>
          <t>Year</t>
        </is>
      </c>
      <c r="B212" s="5" t="inlineStr">
        <is>
          <t>In the 2024 report</t>
        </is>
      </c>
      <c r="C212" s="5" t="inlineStr">
        <is>
          <t>Added since the report</t>
        </is>
      </c>
    </row>
    <row r="213" ht="14" customHeight="1">
      <c r="A213" s="53" t="n">
        <v>2008</v>
      </c>
      <c r="B213" s="17" t="n">
        <v>-19.02</v>
      </c>
      <c r="C213" s="17" t="n"/>
    </row>
    <row r="214" ht="14" customHeight="1">
      <c r="A214" s="54" t="n">
        <v>2009</v>
      </c>
      <c r="B214" s="24" t="n">
        <v>0.1428</v>
      </c>
      <c r="C214" s="24" t="n"/>
    </row>
    <row r="215" ht="14" customHeight="1">
      <c r="A215" s="53" t="n">
        <v>2010</v>
      </c>
      <c r="B215" s="17" t="n">
        <v>-2.915</v>
      </c>
      <c r="C215" s="17" t="n"/>
    </row>
    <row r="216" ht="14" customHeight="1">
      <c r="A216" s="54" t="n">
        <v>2011</v>
      </c>
      <c r="B216" s="24" t="n">
        <v>-8.426</v>
      </c>
      <c r="C216" s="24" t="n"/>
    </row>
    <row r="217" ht="14" customHeight="1">
      <c r="A217" s="53" t="n">
        <v>2012</v>
      </c>
      <c r="B217" s="17" t="n">
        <v>3.113</v>
      </c>
      <c r="C217" s="17" t="n"/>
    </row>
    <row r="218" ht="14" customHeight="1">
      <c r="A218" s="54" t="n">
        <v>2013</v>
      </c>
      <c r="B218" s="24" t="n">
        <v>-3.513</v>
      </c>
      <c r="C218" s="24" t="n"/>
    </row>
    <row r="219" ht="14" customHeight="1">
      <c r="A219" s="53" t="n">
        <v>2014</v>
      </c>
      <c r="B219" s="17" t="n">
        <v>-5.43</v>
      </c>
      <c r="C219" s="17" t="n"/>
    </row>
    <row r="220" ht="14" customHeight="1">
      <c r="A220" s="54" t="n">
        <v>2015</v>
      </c>
      <c r="B220" s="24" t="n">
        <v>-14.21</v>
      </c>
      <c r="C220" s="24" t="n"/>
    </row>
    <row r="221" ht="14" customHeight="1">
      <c r="A221" s="53" t="n">
        <v>2016</v>
      </c>
      <c r="B221" s="17" t="n">
        <v>-16.22</v>
      </c>
      <c r="C221" s="17" t="n"/>
    </row>
    <row r="222" ht="14" customHeight="1">
      <c r="A222" s="54" t="n">
        <v>2017</v>
      </c>
      <c r="B222" s="24" t="n">
        <v>-16.43</v>
      </c>
      <c r="C222" s="24" t="n"/>
    </row>
    <row r="223" ht="14" customHeight="1">
      <c r="A223" s="53" t="n">
        <v>2018</v>
      </c>
      <c r="B223" s="17" t="n">
        <v>-23.3</v>
      </c>
      <c r="C223" s="17" t="n"/>
    </row>
    <row r="224" ht="14" customHeight="1">
      <c r="A224" s="54" t="n">
        <v>2019</v>
      </c>
      <c r="B224" s="24" t="n">
        <v>-18.51</v>
      </c>
      <c r="C224" s="24" t="n"/>
    </row>
    <row r="225" ht="14" customHeight="1">
      <c r="A225" s="53" t="n">
        <v>2020</v>
      </c>
      <c r="B225" s="17" t="n">
        <v>-15.18</v>
      </c>
      <c r="C225" s="17" t="n"/>
    </row>
    <row r="226" ht="14" customHeight="1">
      <c r="A226" s="54" t="n">
        <v>2021</v>
      </c>
      <c r="B226" s="24" t="n">
        <v>-25.77</v>
      </c>
      <c r="C226" s="24" t="n"/>
    </row>
    <row r="228">
      <c r="A228" s="57" t="inlineStr">
        <is>
          <t>I2 (cement, production) · Cement production (EU)  (Mt)</t>
        </is>
      </c>
    </row>
    <row r="229">
      <c r="A229" s="3" t="inlineStr">
        <is>
          <t>Source: Cembureau (data provided) — https://www.cementeurope.eu/about-us/key-facts-figures/</t>
        </is>
      </c>
    </row>
    <row r="230" ht="28" customHeight="1">
      <c r="A230" s="5" t="inlineStr">
        <is>
          <t>Year</t>
        </is>
      </c>
      <c r="B230" s="5" t="inlineStr">
        <is>
          <t>In the 2024 report</t>
        </is>
      </c>
      <c r="C230" s="5" t="inlineStr">
        <is>
          <t>Added since the report</t>
        </is>
      </c>
    </row>
    <row r="231" ht="14" customHeight="1">
      <c r="A231" s="53" t="n">
        <v>2005</v>
      </c>
      <c r="B231" s="17" t="n">
        <v>239.5</v>
      </c>
      <c r="C231" s="17" t="n"/>
    </row>
    <row r="232" ht="14" customHeight="1">
      <c r="A232" s="54" t="n">
        <v>2006</v>
      </c>
      <c r="B232" s="24" t="n">
        <v>256.2</v>
      </c>
      <c r="C232" s="24" t="n"/>
    </row>
    <row r="233" ht="14" customHeight="1">
      <c r="A233" s="53" t="n">
        <v>2007</v>
      </c>
      <c r="B233" s="17" t="n">
        <v>261.8</v>
      </c>
      <c r="C233" s="17" t="n"/>
    </row>
    <row r="234" ht="14" customHeight="1">
      <c r="A234" s="54" t="n">
        <v>2008</v>
      </c>
      <c r="B234" s="24" t="n">
        <v>244.4</v>
      </c>
      <c r="C234" s="24" t="n"/>
    </row>
    <row r="235" ht="14" customHeight="1">
      <c r="A235" s="53" t="n">
        <v>2009</v>
      </c>
      <c r="B235" s="17" t="n">
        <v>197.9</v>
      </c>
      <c r="C235" s="17" t="n"/>
    </row>
    <row r="236" ht="14" customHeight="1">
      <c r="A236" s="54" t="n">
        <v>2010</v>
      </c>
      <c r="B236" s="24" t="n">
        <v>185.6</v>
      </c>
      <c r="C236" s="24" t="n"/>
    </row>
    <row r="237" ht="14" customHeight="1">
      <c r="A237" s="53" t="n">
        <v>2011</v>
      </c>
      <c r="B237" s="17" t="n">
        <v>187.2</v>
      </c>
      <c r="C237" s="17" t="n"/>
    </row>
    <row r="238" ht="14" customHeight="1">
      <c r="A238" s="54" t="n">
        <v>2012</v>
      </c>
      <c r="B238" s="24" t="n">
        <v>164.7</v>
      </c>
      <c r="C238" s="24" t="n"/>
    </row>
    <row r="239" ht="14" customHeight="1">
      <c r="A239" s="53" t="n">
        <v>2013</v>
      </c>
      <c r="B239" s="17" t="n">
        <v>157</v>
      </c>
      <c r="C239" s="17" t="n"/>
    </row>
    <row r="240" ht="14" customHeight="1">
      <c r="A240" s="54" t="n">
        <v>2014</v>
      </c>
      <c r="B240" s="24" t="n">
        <v>157.5</v>
      </c>
      <c r="C240" s="24" t="n"/>
    </row>
    <row r="241" ht="14" customHeight="1">
      <c r="A241" s="53" t="n">
        <v>2015</v>
      </c>
      <c r="B241" s="17" t="n">
        <v>158.1</v>
      </c>
      <c r="C241" s="17" t="n"/>
    </row>
    <row r="242" ht="14" customHeight="1">
      <c r="A242" s="54" t="n">
        <v>2016</v>
      </c>
      <c r="B242" s="24" t="n">
        <v>159.9</v>
      </c>
      <c r="C242" s="24" t="n"/>
    </row>
    <row r="243" ht="14" customHeight="1">
      <c r="A243" s="53" t="n">
        <v>2017</v>
      </c>
      <c r="B243" s="17" t="n">
        <v>165.7</v>
      </c>
      <c r="C243" s="17" t="n"/>
    </row>
    <row r="244" ht="14" customHeight="1">
      <c r="A244" s="54" t="n">
        <v>2018</v>
      </c>
      <c r="B244" s="24" t="n">
        <v>179.8</v>
      </c>
      <c r="C244" s="24" t="n"/>
    </row>
    <row r="245" ht="14" customHeight="1">
      <c r="A245" s="53" t="n">
        <v>2019</v>
      </c>
      <c r="B245" s="17" t="n">
        <v>173.1</v>
      </c>
      <c r="C245" s="17" t="n"/>
    </row>
    <row r="246" ht="14" customHeight="1">
      <c r="A246" s="54" t="n">
        <v>2020</v>
      </c>
      <c r="B246" s="24" t="n">
        <v>172.2</v>
      </c>
      <c r="C246" s="24" t="n"/>
    </row>
    <row r="247" ht="14" customHeight="1">
      <c r="A247" s="53" t="n">
        <v>2021</v>
      </c>
      <c r="B247" s="17" t="n">
        <v>182.5</v>
      </c>
      <c r="C247" s="17" t="n">
        <v>182.5</v>
      </c>
    </row>
    <row r="248" ht="14" customHeight="1">
      <c r="A248" s="54" t="n">
        <v>2022</v>
      </c>
      <c r="B248" s="24" t="n"/>
      <c r="C248" s="24" t="n">
        <v>174.7</v>
      </c>
    </row>
    <row r="249" ht="14" customHeight="1">
      <c r="A249" s="53" t="n">
        <v>2023</v>
      </c>
      <c r="B249" s="17" t="n"/>
      <c r="C249" s="17" t="n">
        <v>160.8</v>
      </c>
    </row>
    <row r="250" ht="14" customHeight="1">
      <c r="A250" s="54" t="n">
        <v>2024</v>
      </c>
      <c r="B250" s="24" t="n"/>
      <c r="C250" s="24" t="n">
        <v>159.1</v>
      </c>
    </row>
    <row r="251" ht="14" customHeight="1">
      <c r="A251" s="53" t="n">
        <v>2025</v>
      </c>
      <c r="B251" s="17" t="n"/>
      <c r="C251" s="17" t="n">
        <v>157.7</v>
      </c>
    </row>
    <row r="253">
      <c r="A253" s="57" t="inlineStr">
        <is>
          <t>I2 (cement, use) · Cement apparent use (consumption) (EU)  (Mt)</t>
        </is>
      </c>
    </row>
    <row r="254">
      <c r="A254" s="3" t="inlineStr">
        <is>
          <t>Source: Cembureau (data provided) — https://www.cementeurope.eu/about-us/key-facts-figures/</t>
        </is>
      </c>
    </row>
    <row r="255" ht="28" customHeight="1">
      <c r="A255" s="5" t="inlineStr">
        <is>
          <t>Year</t>
        </is>
      </c>
      <c r="B255" s="5" t="inlineStr">
        <is>
          <t>In the 2024 report</t>
        </is>
      </c>
      <c r="C255" s="5" t="inlineStr">
        <is>
          <t>Added since the report</t>
        </is>
      </c>
    </row>
    <row r="256" ht="14" customHeight="1">
      <c r="A256" s="53" t="n">
        <v>2005</v>
      </c>
      <c r="B256" s="17" t="n">
        <v>232.3</v>
      </c>
      <c r="C256" s="17" t="n"/>
    </row>
    <row r="257" ht="14" customHeight="1">
      <c r="A257" s="54" t="n">
        <v>2006</v>
      </c>
      <c r="B257" s="24" t="n">
        <v>250.2</v>
      </c>
      <c r="C257" s="24" t="n"/>
    </row>
    <row r="258" ht="14" customHeight="1">
      <c r="A258" s="53" t="n">
        <v>2007</v>
      </c>
      <c r="B258" s="17" t="n">
        <v>254</v>
      </c>
      <c r="C258" s="17" t="n"/>
    </row>
    <row r="259" ht="14" customHeight="1">
      <c r="A259" s="54" t="n">
        <v>2008</v>
      </c>
      <c r="B259" s="24" t="n">
        <v>235.6</v>
      </c>
      <c r="C259" s="24" t="n"/>
    </row>
    <row r="260" ht="14" customHeight="1">
      <c r="A260" s="53" t="n">
        <v>2009</v>
      </c>
      <c r="B260" s="17" t="n">
        <v>189.1</v>
      </c>
      <c r="C260" s="17" t="n"/>
    </row>
    <row r="261" ht="14" customHeight="1">
      <c r="A261" s="54" t="n">
        <v>2010</v>
      </c>
      <c r="B261" s="24" t="n">
        <v>176.4</v>
      </c>
      <c r="C261" s="24" t="n"/>
    </row>
    <row r="262" ht="14" customHeight="1">
      <c r="A262" s="53" t="n">
        <v>2011</v>
      </c>
      <c r="B262" s="17" t="n">
        <v>178.3</v>
      </c>
      <c r="C262" s="17" t="n"/>
    </row>
    <row r="263" ht="14" customHeight="1">
      <c r="A263" s="54" t="n">
        <v>2012</v>
      </c>
      <c r="B263" s="24" t="n">
        <v>151.8</v>
      </c>
      <c r="C263" s="24" t="n"/>
    </row>
    <row r="264" ht="14" customHeight="1">
      <c r="A264" s="53" t="n">
        <v>2013</v>
      </c>
      <c r="B264" s="17" t="n">
        <v>142.2</v>
      </c>
      <c r="C264" s="17" t="n"/>
    </row>
    <row r="265" ht="14" customHeight="1">
      <c r="A265" s="54" t="n">
        <v>2014</v>
      </c>
      <c r="B265" s="24" t="n">
        <v>140.5</v>
      </c>
      <c r="C265" s="24" t="n"/>
    </row>
    <row r="266" ht="14" customHeight="1">
      <c r="A266" s="53" t="n">
        <v>2015</v>
      </c>
      <c r="B266" s="17" t="n">
        <v>141.4</v>
      </c>
      <c r="C266" s="17" t="n"/>
    </row>
    <row r="267" ht="14" customHeight="1">
      <c r="A267" s="54" t="n">
        <v>2016</v>
      </c>
      <c r="B267" s="24" t="n">
        <v>142.7</v>
      </c>
      <c r="C267" s="24" t="n"/>
    </row>
    <row r="268" ht="14" customHeight="1">
      <c r="A268" s="53" t="n">
        <v>2017</v>
      </c>
      <c r="B268" s="17" t="n">
        <v>147.8</v>
      </c>
      <c r="C268" s="17" t="n"/>
    </row>
    <row r="269" ht="14" customHeight="1">
      <c r="A269" s="54" t="n">
        <v>2018</v>
      </c>
      <c r="B269" s="24" t="n">
        <v>155.3</v>
      </c>
      <c r="C269" s="24" t="n"/>
    </row>
    <row r="270" ht="14" customHeight="1">
      <c r="A270" s="53" t="n">
        <v>2019</v>
      </c>
      <c r="B270" s="17" t="n">
        <v>157.4</v>
      </c>
      <c r="C270" s="17" t="n"/>
    </row>
    <row r="271" ht="14" customHeight="1">
      <c r="A271" s="54" t="n">
        <v>2020</v>
      </c>
      <c r="B271" s="24" t="n">
        <v>159.2</v>
      </c>
      <c r="C271" s="24" t="n"/>
    </row>
    <row r="272" ht="14" customHeight="1">
      <c r="A272" s="53" t="n">
        <v>2021</v>
      </c>
      <c r="B272" s="17" t="n">
        <v>170.5</v>
      </c>
      <c r="C272" s="17" t="n"/>
    </row>
    <row r="274">
      <c r="A274" s="57" t="inlineStr">
        <is>
          <t>I2 (chemicals, production) · Chemicals production (EU)  (Mt)</t>
        </is>
      </c>
    </row>
    <row r="275">
      <c r="A275" s="3" t="inlineStr">
        <is>
          <t>Source: Eurostat DS-056120 (sold production) and DS-059268 (trade) — https://doi.org/10.2908/DS-056120</t>
        </is>
      </c>
    </row>
    <row r="276" ht="28" customHeight="1">
      <c r="A276" s="5" t="inlineStr">
        <is>
          <t>Year</t>
        </is>
      </c>
      <c r="B276" s="5" t="inlineStr">
        <is>
          <t>In the 2024 report</t>
        </is>
      </c>
      <c r="C276" s="5" t="inlineStr">
        <is>
          <t>Added since the report</t>
        </is>
      </c>
    </row>
    <row r="277" ht="14" customHeight="1">
      <c r="A277" s="53" t="n">
        <v>2005</v>
      </c>
      <c r="B277" s="17" t="n">
        <v>33.52</v>
      </c>
      <c r="C277" s="17" t="n"/>
    </row>
    <row r="278" ht="14" customHeight="1">
      <c r="A278" s="54" t="n">
        <v>2006</v>
      </c>
      <c r="B278" s="24" t="n">
        <v>36.25</v>
      </c>
      <c r="C278" s="24" t="n"/>
    </row>
    <row r="279" ht="14" customHeight="1">
      <c r="A279" s="53" t="n">
        <v>2007</v>
      </c>
      <c r="B279" s="17" t="n">
        <v>31.12</v>
      </c>
      <c r="C279" s="17" t="n"/>
    </row>
    <row r="280" ht="14" customHeight="1">
      <c r="A280" s="54" t="n">
        <v>2008</v>
      </c>
      <c r="B280" s="24" t="n">
        <v>28.08</v>
      </c>
      <c r="C280" s="24" t="n"/>
    </row>
    <row r="281" ht="14" customHeight="1">
      <c r="A281" s="53" t="n">
        <v>2009</v>
      </c>
      <c r="B281" s="17" t="n">
        <v>30.66</v>
      </c>
      <c r="C281" s="17" t="n"/>
    </row>
    <row r="282" ht="14" customHeight="1">
      <c r="A282" s="54" t="n">
        <v>2010</v>
      </c>
      <c r="B282" s="24" t="n">
        <v>32.08</v>
      </c>
      <c r="C282" s="24" t="n"/>
    </row>
    <row r="283" ht="14" customHeight="1">
      <c r="A283" s="53" t="n">
        <v>2011</v>
      </c>
      <c r="B283" s="17" t="n">
        <v>31.2</v>
      </c>
      <c r="C283" s="17" t="n"/>
    </row>
    <row r="284" ht="14" customHeight="1">
      <c r="A284" s="54" t="n">
        <v>2012</v>
      </c>
      <c r="B284" s="24" t="n">
        <v>29.59</v>
      </c>
      <c r="C284" s="24" t="n"/>
    </row>
    <row r="285" ht="14" customHeight="1">
      <c r="A285" s="53" t="n">
        <v>2013</v>
      </c>
      <c r="B285" s="17" t="n">
        <v>30.58</v>
      </c>
      <c r="C285" s="17" t="n"/>
    </row>
    <row r="286" ht="14" customHeight="1">
      <c r="A286" s="54" t="n">
        <v>2014</v>
      </c>
      <c r="B286" s="24" t="n">
        <v>30.13</v>
      </c>
      <c r="C286" s="24" t="n"/>
    </row>
    <row r="287" ht="14" customHeight="1">
      <c r="A287" s="53" t="n">
        <v>2015</v>
      </c>
      <c r="B287" s="17" t="n">
        <v>30.14</v>
      </c>
      <c r="C287" s="17" t="n"/>
    </row>
    <row r="288" ht="14" customHeight="1">
      <c r="A288" s="54" t="n">
        <v>2016</v>
      </c>
      <c r="B288" s="24" t="n">
        <v>31.96</v>
      </c>
      <c r="C288" s="24" t="n"/>
    </row>
    <row r="289" ht="14" customHeight="1">
      <c r="A289" s="53" t="n">
        <v>2017</v>
      </c>
      <c r="B289" s="17" t="n">
        <v>29.64</v>
      </c>
      <c r="C289" s="17" t="n"/>
    </row>
    <row r="290" ht="14" customHeight="1">
      <c r="A290" s="54" t="n">
        <v>2018</v>
      </c>
      <c r="B290" s="24" t="n">
        <v>28.35</v>
      </c>
      <c r="C290" s="24" t="n"/>
    </row>
    <row r="291" ht="14" customHeight="1">
      <c r="A291" s="53" t="n">
        <v>2019</v>
      </c>
      <c r="B291" s="17" t="n">
        <v>28.01</v>
      </c>
      <c r="C291" s="17" t="n"/>
    </row>
    <row r="292" ht="14" customHeight="1">
      <c r="A292" s="54" t="n">
        <v>2020</v>
      </c>
      <c r="B292" s="24" t="n">
        <v>28.72</v>
      </c>
      <c r="C292" s="24" t="n"/>
    </row>
    <row r="293" ht="14" customHeight="1">
      <c r="A293" s="53" t="n">
        <v>2021</v>
      </c>
      <c r="B293" s="17" t="n">
        <v>26.84</v>
      </c>
      <c r="C293" s="17" t="n">
        <v>26.84</v>
      </c>
    </row>
    <row r="294" ht="14" customHeight="1">
      <c r="A294" s="54" t="n">
        <v>2022</v>
      </c>
      <c r="B294" s="24" t="n"/>
      <c r="C294" s="24" t="n">
        <v>25.36</v>
      </c>
    </row>
    <row r="295" ht="14" customHeight="1">
      <c r="A295" s="53" t="n">
        <v>2023</v>
      </c>
      <c r="B295" s="17" t="n"/>
      <c r="C295" s="17" t="n">
        <v>21.45</v>
      </c>
    </row>
    <row r="296" ht="14" customHeight="1">
      <c r="A296" s="54" t="n">
        <v>2024</v>
      </c>
      <c r="B296" s="24" t="n"/>
      <c r="C296" s="24" t="n">
        <v>19.89</v>
      </c>
    </row>
    <row r="297" ht="14" customHeight="1">
      <c r="A297" s="53" t="n">
        <v>2025</v>
      </c>
      <c r="B297" s="17" t="n"/>
      <c r="C297" s="17" t="n">
        <v>18.55</v>
      </c>
    </row>
    <row r="299">
      <c r="A299" s="57" t="inlineStr">
        <is>
          <t>I2 (chemicals, use) · Chemicals apparent use (consumption) (EU)  (Mt)</t>
        </is>
      </c>
    </row>
    <row r="300">
      <c r="A300" s="3" t="inlineStr">
        <is>
          <t>Source: Eurostat DS-056120 (sold production) and DS-059268 (trade) — https://doi.org/10.2908/DS-056120</t>
        </is>
      </c>
    </row>
    <row r="301" ht="28" customHeight="1">
      <c r="A301" s="5" t="inlineStr">
        <is>
          <t>Year</t>
        </is>
      </c>
      <c r="B301" s="5" t="inlineStr">
        <is>
          <t>In the 2024 report</t>
        </is>
      </c>
      <c r="C301" s="5" t="inlineStr">
        <is>
          <t>Added since the report</t>
        </is>
      </c>
    </row>
    <row r="302" ht="14" customHeight="1">
      <c r="A302" s="53" t="n">
        <v>2005</v>
      </c>
      <c r="B302" s="17" t="n">
        <v>35.99</v>
      </c>
      <c r="C302" s="17" t="n"/>
    </row>
    <row r="303" ht="14" customHeight="1">
      <c r="A303" s="54" t="n">
        <v>2006</v>
      </c>
      <c r="B303" s="24" t="n">
        <v>39.39</v>
      </c>
      <c r="C303" s="24" t="n"/>
    </row>
    <row r="304" ht="14" customHeight="1">
      <c r="A304" s="53" t="n">
        <v>2007</v>
      </c>
      <c r="B304" s="17" t="n">
        <v>33.35</v>
      </c>
      <c r="C304" s="17" t="n"/>
    </row>
    <row r="305" ht="14" customHeight="1">
      <c r="A305" s="54" t="n">
        <v>2008</v>
      </c>
      <c r="B305" s="24" t="n">
        <v>29.56</v>
      </c>
      <c r="C305" s="24" t="n"/>
    </row>
    <row r="306" ht="14" customHeight="1">
      <c r="A306" s="53" t="n">
        <v>2009</v>
      </c>
      <c r="B306" s="17" t="n">
        <v>32.74</v>
      </c>
      <c r="C306" s="17" t="n"/>
    </row>
    <row r="307" ht="14" customHeight="1">
      <c r="A307" s="54" t="n">
        <v>2010</v>
      </c>
      <c r="B307" s="24" t="n">
        <v>33.95</v>
      </c>
      <c r="C307" s="24" t="n"/>
    </row>
    <row r="308" ht="14" customHeight="1">
      <c r="A308" s="53" t="n">
        <v>2011</v>
      </c>
      <c r="B308" s="17" t="n">
        <v>32.58</v>
      </c>
      <c r="C308" s="17" t="n"/>
    </row>
    <row r="309" ht="14" customHeight="1">
      <c r="A309" s="54" t="n">
        <v>2012</v>
      </c>
      <c r="B309" s="24" t="n">
        <v>30.98</v>
      </c>
      <c r="C309" s="24" t="n"/>
    </row>
    <row r="310" ht="14" customHeight="1">
      <c r="A310" s="53" t="n">
        <v>2013</v>
      </c>
      <c r="B310" s="17" t="n">
        <v>31.76</v>
      </c>
      <c r="C310" s="17" t="n"/>
    </row>
    <row r="311" ht="14" customHeight="1">
      <c r="A311" s="54" t="n">
        <v>2014</v>
      </c>
      <c r="B311" s="24" t="n">
        <v>31.54</v>
      </c>
      <c r="C311" s="24" t="n"/>
    </row>
    <row r="312" ht="14" customHeight="1">
      <c r="A312" s="53" t="n">
        <v>2015</v>
      </c>
      <c r="B312" s="17" t="n">
        <v>31.7</v>
      </c>
      <c r="C312" s="17" t="n"/>
    </row>
    <row r="313" ht="14" customHeight="1">
      <c r="A313" s="54" t="n">
        <v>2016</v>
      </c>
      <c r="B313" s="24" t="n">
        <v>33.75</v>
      </c>
      <c r="C313" s="24" t="n"/>
    </row>
    <row r="314" ht="14" customHeight="1">
      <c r="A314" s="53" t="n">
        <v>2017</v>
      </c>
      <c r="B314" s="17" t="n">
        <v>31.72</v>
      </c>
      <c r="C314" s="17" t="n"/>
    </row>
    <row r="315" ht="14" customHeight="1">
      <c r="A315" s="54" t="n">
        <v>2018</v>
      </c>
      <c r="B315" s="24" t="n">
        <v>31.19</v>
      </c>
      <c r="C315" s="24" t="n"/>
    </row>
    <row r="316" ht="14" customHeight="1">
      <c r="A316" s="53" t="n">
        <v>2019</v>
      </c>
      <c r="B316" s="17" t="n">
        <v>30.39</v>
      </c>
      <c r="C316" s="17" t="n"/>
    </row>
    <row r="317" ht="14" customHeight="1">
      <c r="A317" s="54" t="n">
        <v>2020</v>
      </c>
      <c r="B317" s="24" t="n">
        <v>31.34</v>
      </c>
      <c r="C317" s="24" t="n"/>
    </row>
    <row r="318" ht="14" customHeight="1">
      <c r="A318" s="53" t="n">
        <v>2021</v>
      </c>
      <c r="B318" s="17" t="n">
        <v>29.11</v>
      </c>
      <c r="C318" s="17" t="n"/>
    </row>
    <row r="320">
      <c r="A320" s="57" t="inlineStr">
        <is>
          <t>I2 (chemicals, trade) · Chemicals net trade balance (EU)  (Mt)</t>
        </is>
      </c>
    </row>
    <row r="321">
      <c r="A321" s="3" t="inlineStr">
        <is>
          <t>Source: Eurostat DS-056120 (sold production) and DS-059268 (trade) — https://doi.org/10.2908/DS-059268</t>
        </is>
      </c>
    </row>
    <row r="322" ht="28" customHeight="1">
      <c r="A322" s="5" t="inlineStr">
        <is>
          <t>Year</t>
        </is>
      </c>
      <c r="B322" s="5" t="inlineStr">
        <is>
          <t>In the 2024 report</t>
        </is>
      </c>
      <c r="C322" s="5" t="inlineStr">
        <is>
          <t>Added since the report</t>
        </is>
      </c>
    </row>
    <row r="323" ht="14" customHeight="1">
      <c r="A323" s="53" t="n">
        <v>2005</v>
      </c>
      <c r="B323" s="17" t="n">
        <v>-2.474</v>
      </c>
      <c r="C323" s="17" t="n"/>
    </row>
    <row r="324" ht="14" customHeight="1">
      <c r="A324" s="54" t="n">
        <v>2006</v>
      </c>
      <c r="B324" s="24" t="n">
        <v>-3.144</v>
      </c>
      <c r="C324" s="24" t="n"/>
    </row>
    <row r="325" ht="14" customHeight="1">
      <c r="A325" s="53" t="n">
        <v>2007</v>
      </c>
      <c r="B325" s="17" t="n">
        <v>-2.234</v>
      </c>
      <c r="C325" s="17" t="n"/>
    </row>
    <row r="326" ht="14" customHeight="1">
      <c r="A326" s="54" t="n">
        <v>2008</v>
      </c>
      <c r="B326" s="24" t="n">
        <v>-1.479</v>
      </c>
      <c r="C326" s="24" t="n"/>
    </row>
    <row r="327" ht="14" customHeight="1">
      <c r="A327" s="53" t="n">
        <v>2009</v>
      </c>
      <c r="B327" s="17" t="n">
        <v>-2.081</v>
      </c>
      <c r="C327" s="17" t="n"/>
    </row>
    <row r="328" ht="14" customHeight="1">
      <c r="A328" s="54" t="n">
        <v>2010</v>
      </c>
      <c r="B328" s="24" t="n">
        <v>-1.874</v>
      </c>
      <c r="C328" s="24" t="n"/>
    </row>
    <row r="329" ht="14" customHeight="1">
      <c r="A329" s="53" t="n">
        <v>2011</v>
      </c>
      <c r="B329" s="17" t="n">
        <v>-1.382</v>
      </c>
      <c r="C329" s="17" t="n"/>
    </row>
    <row r="330" ht="14" customHeight="1">
      <c r="A330" s="54" t="n">
        <v>2012</v>
      </c>
      <c r="B330" s="24" t="n">
        <v>-1.396</v>
      </c>
      <c r="C330" s="24" t="n"/>
    </row>
    <row r="331" ht="14" customHeight="1">
      <c r="A331" s="53" t="n">
        <v>2013</v>
      </c>
      <c r="B331" s="17" t="n">
        <v>-1.183</v>
      </c>
      <c r="C331" s="17" t="n"/>
    </row>
    <row r="332" ht="14" customHeight="1">
      <c r="A332" s="54" t="n">
        <v>2014</v>
      </c>
      <c r="B332" s="24" t="n">
        <v>-1.406</v>
      </c>
      <c r="C332" s="24" t="n"/>
    </row>
    <row r="333" ht="14" customHeight="1">
      <c r="A333" s="53" t="n">
        <v>2015</v>
      </c>
      <c r="B333" s="17" t="n">
        <v>-1.56</v>
      </c>
      <c r="C333" s="17" t="n"/>
    </row>
    <row r="334" ht="14" customHeight="1">
      <c r="A334" s="54" t="n">
        <v>2016</v>
      </c>
      <c r="B334" s="24" t="n">
        <v>-1.791</v>
      </c>
      <c r="C334" s="24" t="n"/>
    </row>
    <row r="335" ht="14" customHeight="1">
      <c r="A335" s="53" t="n">
        <v>2017</v>
      </c>
      <c r="B335" s="17" t="n">
        <v>-2.084</v>
      </c>
      <c r="C335" s="17" t="n"/>
    </row>
    <row r="336" ht="14" customHeight="1">
      <c r="A336" s="54" t="n">
        <v>2018</v>
      </c>
      <c r="B336" s="24" t="n">
        <v>-2.838</v>
      </c>
      <c r="C336" s="24" t="n"/>
    </row>
    <row r="337" ht="14" customHeight="1">
      <c r="A337" s="53" t="n">
        <v>2019</v>
      </c>
      <c r="B337" s="17" t="n">
        <v>-2.38</v>
      </c>
      <c r="C337" s="17" t="n"/>
    </row>
    <row r="338" ht="14" customHeight="1">
      <c r="A338" s="54" t="n">
        <v>2020</v>
      </c>
      <c r="B338" s="24" t="n">
        <v>-2.619</v>
      </c>
      <c r="C338" s="24" t="n"/>
    </row>
    <row r="339" ht="14" customHeight="1">
      <c r="A339" s="53" t="n">
        <v>2021</v>
      </c>
      <c r="B339" s="17" t="n">
        <v>-2.268</v>
      </c>
      <c r="C339" s="17" t="n"/>
    </row>
    <row r="341">
      <c r="A341" s="57" t="inlineStr">
        <is>
          <t>I7a · Low-carbon steel projects (EU)  (projects)</t>
        </is>
      </c>
    </row>
    <row r="342">
      <c r="A342" s="3" t="inlineStr">
        <is>
          <t>Source: Green Steel Tracker (Leadership Group for Industry Transition) — https://www.industrytransition.org/trackers/green-steel-tracker/</t>
        </is>
      </c>
    </row>
    <row r="343" ht="28" customHeight="1">
      <c r="A343" s="5" t="inlineStr">
        <is>
          <t>Year</t>
        </is>
      </c>
      <c r="B343" s="5" t="inlineStr">
        <is>
          <t>In the 2024 report</t>
        </is>
      </c>
      <c r="C343" s="5" t="inlineStr">
        <is>
          <t>Added since the report</t>
        </is>
      </c>
      <c r="E343" s="3" t="inlineStr">
        <is>
          <t>Only one data point — the report carries this indicator as a single figure, so there is no series to draw.</t>
        </is>
      </c>
    </row>
    <row r="344" ht="14" customHeight="1">
      <c r="A344" s="53" t="n">
        <v>2023</v>
      </c>
      <c r="B344" s="17" t="n">
        <v>48</v>
      </c>
      <c r="C344" s="17" t="n"/>
    </row>
    <row r="346">
      <c r="A346" s="57" t="inlineStr">
        <is>
          <t>I7b · Low-carbon cement projects (EU)  (projects)</t>
        </is>
      </c>
    </row>
    <row r="347">
      <c r="A347" s="3" t="inlineStr">
        <is>
          <t>Source: Cembureau map of innovation projects — https://lowcarboneconomy.cembureau.eu/</t>
        </is>
      </c>
    </row>
    <row r="348" ht="28" customHeight="1">
      <c r="A348" s="5" t="inlineStr">
        <is>
          <t>Year</t>
        </is>
      </c>
      <c r="B348" s="5" t="inlineStr">
        <is>
          <t>In the 2024 report</t>
        </is>
      </c>
      <c r="C348" s="5" t="inlineStr">
        <is>
          <t>Added since the report</t>
        </is>
      </c>
      <c r="E348" s="3" t="inlineStr">
        <is>
          <t>Only one data point — the report carries this indicator as a single figure, so there is no series to draw.</t>
        </is>
      </c>
    </row>
    <row r="349" ht="14" customHeight="1">
      <c r="A349" s="53" t="n">
        <v>2023</v>
      </c>
      <c r="B349" s="17" t="n">
        <v>62</v>
      </c>
      <c r="C349" s="17" t="n"/>
    </row>
    <row r="351">
      <c r="A351" s="57" t="inlineStr">
        <is>
          <t>I7c · Low-carbon chemicals projects (EU)  (projects)</t>
        </is>
      </c>
    </row>
    <row r="352">
      <c r="A352" s="3" t="inlineStr">
        <is>
          <t>Source: CEFIC low carbon projects map — https://cefic.org/solutions-explained/low-carbon-technologies-projects/</t>
        </is>
      </c>
    </row>
    <row r="353" ht="28" customHeight="1">
      <c r="A353" s="5" t="inlineStr">
        <is>
          <t>Year</t>
        </is>
      </c>
      <c r="B353" s="5" t="inlineStr">
        <is>
          <t>In the 2024 report</t>
        </is>
      </c>
      <c r="C353" s="5" t="inlineStr">
        <is>
          <t>Added since the report</t>
        </is>
      </c>
      <c r="E353" s="3" t="inlineStr">
        <is>
          <t>Only one data point — the report carries this indicator as a single figure, so there is no series to draw.</t>
        </is>
      </c>
    </row>
    <row r="354" ht="14" customHeight="1">
      <c r="A354" s="53" t="n">
        <v>2023</v>
      </c>
      <c r="B354" s="17" t="n">
        <v>171</v>
      </c>
      <c r="C354" s="17" t="n"/>
    </row>
  </sheetData>
  <mergeCells count="41">
    <mergeCell ref="A321:D321"/>
    <mergeCell ref="A253:D253"/>
    <mergeCell ref="A171:D171"/>
    <mergeCell ref="A342:D342"/>
    <mergeCell ref="A147:D147"/>
    <mergeCell ref="A274:D274"/>
    <mergeCell ref="A170:D170"/>
    <mergeCell ref="A299:D299"/>
    <mergeCell ref="A1:K1"/>
    <mergeCell ref="A68:D68"/>
    <mergeCell ref="A211:D211"/>
    <mergeCell ref="A229:D229"/>
    <mergeCell ref="A320:D320"/>
    <mergeCell ref="A347:D347"/>
    <mergeCell ref="A352:D352"/>
    <mergeCell ref="A275:D275"/>
    <mergeCell ref="A49:D49"/>
    <mergeCell ref="A107:D107"/>
    <mergeCell ref="A123:D123"/>
    <mergeCell ref="A300:D300"/>
    <mergeCell ref="A146:D146"/>
    <mergeCell ref="A69:D69"/>
    <mergeCell ref="A228:D228"/>
    <mergeCell ref="E348:I349"/>
    <mergeCell ref="A124:D124"/>
    <mergeCell ref="A346:D346"/>
    <mergeCell ref="A2:K2"/>
    <mergeCell ref="A87:D87"/>
    <mergeCell ref="A25:D25"/>
    <mergeCell ref="A108:D108"/>
    <mergeCell ref="A193:D193"/>
    <mergeCell ref="E343:I344"/>
    <mergeCell ref="E353:I354"/>
    <mergeCell ref="A192:D192"/>
    <mergeCell ref="A351:D351"/>
    <mergeCell ref="A50:D50"/>
    <mergeCell ref="A341:D341"/>
    <mergeCell ref="A26:D26"/>
    <mergeCell ref="A210:D210"/>
    <mergeCell ref="A86:D86"/>
    <mergeCell ref="A254:D254"/>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B487C7"/>
    <outlinePr summaryBelow="1" summaryRight="1"/>
    <pageSetUpPr/>
  </sheetPr>
  <dimension ref="A1:K219"/>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Transport — indicators</t>
        </is>
      </c>
    </row>
    <row r="2" ht="30" customHeight="1">
      <c r="A2" s="2" t="inlineStr">
        <is>
          <t>10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39" t="inlineStr">
        <is>
          <t>T1</t>
        </is>
      </c>
      <c r="B5" s="15" t="inlineStr">
        <is>
          <t>Transport GHG emissions (EU)</t>
        </is>
      </c>
      <c r="C5" s="15" t="inlineStr">
        <is>
          <t>Mt CO₂eq</t>
        </is>
      </c>
      <c r="D5" s="16" t="n">
        <v>2022</v>
      </c>
      <c r="E5" s="17" t="n">
        <v>906.6</v>
      </c>
      <c r="F5" s="16" t="n">
        <v>2024</v>
      </c>
      <c r="G5" s="17" t="n">
        <v>920</v>
      </c>
      <c r="H5" s="18" t="n">
        <v>0.01478049856607101</v>
      </c>
      <c r="I5" s="34" t="inlineStr">
        <is>
          <t>EEA GHG data viewer (Eurostat env_air_gge mirror)</t>
        </is>
      </c>
      <c r="J5" s="16" t="n">
        <v>2</v>
      </c>
      <c r="K5" s="34" t="inlineStr">
        <is>
          <t>Derived from the live source</t>
        </is>
      </c>
    </row>
    <row r="6" ht="15" customHeight="1">
      <c r="A6" s="38" t="inlineStr">
        <is>
          <t>T2a</t>
        </is>
      </c>
      <c r="B6" s="22" t="inlineStr">
        <is>
          <t>Total passenger transport demand</t>
        </is>
      </c>
      <c r="C6" s="22" t="inlineStr">
        <is>
          <t>Gpkm</t>
        </is>
      </c>
      <c r="D6" s="23" t="n">
        <v>2020</v>
      </c>
      <c r="E6" s="24" t="n">
        <v>4435.8</v>
      </c>
      <c r="F6" s="23" t="n">
        <v>2023</v>
      </c>
      <c r="G6" s="24" t="n">
        <v>5932</v>
      </c>
      <c r="H6" s="25" t="n">
        <v>0.3373010505433067</v>
      </c>
      <c r="I6" s="35" t="inlineStr">
        <is>
          <t>European Commission, DG MOVE — EU transport in figures: statistical pocketbook</t>
        </is>
      </c>
      <c r="J6" s="23" t="n">
        <v>2</v>
      </c>
      <c r="K6" s="35" t="inlineStr">
        <is>
          <t>Taken as published</t>
        </is>
      </c>
    </row>
    <row r="7" ht="15" customHeight="1">
      <c r="A7" s="39" t="inlineStr">
        <is>
          <t>T2b</t>
        </is>
      </c>
      <c r="B7" s="15" t="inlineStr">
        <is>
          <t>Total freight transport demand</t>
        </is>
      </c>
      <c r="C7" s="15" t="inlineStr">
        <is>
          <t>Gtkm</t>
        </is>
      </c>
      <c r="D7" s="16" t="n">
        <v>2020</v>
      </c>
      <c r="E7" s="17" t="n">
        <v>2254</v>
      </c>
      <c r="F7" s="16" t="n">
        <v>2023</v>
      </c>
      <c r="G7" s="17" t="n">
        <v>2319</v>
      </c>
      <c r="H7" s="18" t="n">
        <v>0.02883762200532387</v>
      </c>
      <c r="I7" s="34" t="inlineStr">
        <is>
          <t>European Commission, DG MOVE — EU transport in figures: statistical pocketbook</t>
        </is>
      </c>
      <c r="J7" s="16" t="n">
        <v>1</v>
      </c>
      <c r="K7" s="34" t="inlineStr">
        <is>
          <t>Taken as published</t>
        </is>
      </c>
    </row>
    <row r="8" ht="15" customHeight="1">
      <c r="A8" s="38" t="inlineStr">
        <is>
          <t>T3a</t>
        </is>
      </c>
      <c r="B8" s="22" t="inlineStr">
        <is>
          <t>Road share of motorised inland passenger transport</t>
        </is>
      </c>
      <c r="C8" s="22" t="inlineStr">
        <is>
          <t>%</t>
        </is>
      </c>
      <c r="D8" s="23" t="n">
        <v>2020</v>
      </c>
      <c r="E8" s="24" t="n">
        <v>86.5</v>
      </c>
      <c r="F8" s="23" t="n">
        <v>2024</v>
      </c>
      <c r="G8" s="24" t="n">
        <v>83.3</v>
      </c>
      <c r="H8" s="25" t="n">
        <v>-0.03699421965317922</v>
      </c>
      <c r="I8" s="35" t="inlineStr">
        <is>
          <t>European Commission, DG MOVE — EU transport in figures: statistical pocketbook</t>
        </is>
      </c>
      <c r="J8" s="23" t="n">
        <v>4</v>
      </c>
      <c r="K8" s="35" t="inlineStr">
        <is>
          <t>—</t>
        </is>
      </c>
    </row>
    <row r="9" ht="15" customHeight="1">
      <c r="A9" s="39" t="inlineStr">
        <is>
          <t>T3b</t>
        </is>
      </c>
      <c r="B9" s="15" t="inlineStr">
        <is>
          <t>Intra-EU air passenger transport</t>
        </is>
      </c>
      <c r="C9" s="15" t="inlineStr">
        <is>
          <t>Gpkm</t>
        </is>
      </c>
      <c r="D9" s="16" t="n">
        <v>2020</v>
      </c>
      <c r="E9" s="17" t="n">
        <v>177.9</v>
      </c>
      <c r="F9" s="16" t="n">
        <v>2023</v>
      </c>
      <c r="G9" s="17" t="n">
        <v>582</v>
      </c>
      <c r="H9" s="18" t="n">
        <v>2.27150084317032</v>
      </c>
      <c r="I9" s="34" t="inlineStr">
        <is>
          <t>European Commission, DG MOVE — EU transport in figures: statistical pocketbook</t>
        </is>
      </c>
      <c r="J9" s="16" t="n">
        <v>2</v>
      </c>
      <c r="K9" s="34" t="inlineStr">
        <is>
          <t>Reconstructed from the sheet's own conversion</t>
        </is>
      </c>
    </row>
    <row r="10" ht="15" customHeight="1">
      <c r="A10" s="38" t="inlineStr">
        <is>
          <t>T4</t>
        </is>
      </c>
      <c r="B10" s="22" t="inlineStr">
        <is>
          <t>Average CO₂ intensity of new passenger cars (WLTP)</t>
        </is>
      </c>
      <c r="C10" s="22" t="inlineStr">
        <is>
          <t>g CO₂/km</t>
        </is>
      </c>
      <c r="D10" s="23" t="n">
        <v>2022</v>
      </c>
      <c r="E10" s="24" t="n">
        <v>108.2</v>
      </c>
      <c r="F10" s="23" t="n">
        <v>2025</v>
      </c>
      <c r="G10" s="24" t="n">
        <v>96.7</v>
      </c>
      <c r="H10" s="25" t="n">
        <v>-0.1062846580406654</v>
      </c>
      <c r="I10" s="35" t="inlineStr">
        <is>
          <t>EEA</t>
        </is>
      </c>
      <c r="J10" s="23" t="n">
        <v>3</v>
      </c>
      <c r="K10" s="35" t="inlineStr">
        <is>
          <t>Reconstructed from the sheet's own conversion</t>
        </is>
      </c>
    </row>
    <row r="11" ht="15" customHeight="1">
      <c r="A11" s="39" t="inlineStr">
        <is>
          <t>T5a</t>
        </is>
      </c>
      <c r="B11" s="15" t="inlineStr">
        <is>
          <t>ZEV share of new passenger car registrations</t>
        </is>
      </c>
      <c r="C11" s="15" t="inlineStr">
        <is>
          <t>%</t>
        </is>
      </c>
      <c r="D11" s="16" t="n">
        <v>2022</v>
      </c>
      <c r="E11" s="17" t="n">
        <v>13.41</v>
      </c>
      <c r="F11" s="16" t="n">
        <v>2025</v>
      </c>
      <c r="G11" s="17" t="n">
        <v>17.4</v>
      </c>
      <c r="H11" s="18" t="n">
        <v>0.2975391498881431</v>
      </c>
      <c r="I11" s="34" t="inlineStr">
        <is>
          <t>EU Alternative Fuels Observatory</t>
        </is>
      </c>
      <c r="J11" s="16" t="n">
        <v>3</v>
      </c>
      <c r="K11" s="34" t="inlineStr">
        <is>
          <t>Taken as published</t>
        </is>
      </c>
    </row>
    <row r="12" ht="15" customHeight="1">
      <c r="A12" s="38" t="inlineStr">
        <is>
          <t>T5b</t>
        </is>
      </c>
      <c r="B12" s="22" t="inlineStr">
        <is>
          <t>Zero-emission lorries in the EU fleet</t>
        </is>
      </c>
      <c r="C12" s="22" t="inlineStr">
        <is>
          <t>vehicles</t>
        </is>
      </c>
      <c r="D12" s="23" t="n">
        <v>2022</v>
      </c>
      <c r="E12" s="24" t="n">
        <v>3794</v>
      </c>
      <c r="F12" s="23" t="n">
        <v>2024</v>
      </c>
      <c r="G12" s="24" t="n">
        <v>9831</v>
      </c>
      <c r="H12" s="25" t="n">
        <v>1.591196626251977</v>
      </c>
      <c r="I12" s="35" t="inlineStr">
        <is>
          <t>EU Alternative Fuels Observatory; EEA for 2022</t>
        </is>
      </c>
      <c r="J12" s="23" t="n">
        <v>2</v>
      </c>
      <c r="K12" s="35" t="inlineStr">
        <is>
          <t>—</t>
        </is>
      </c>
    </row>
    <row r="13" ht="15" customHeight="1">
      <c r="A13" s="39" t="inlineStr">
        <is>
          <t>T6a</t>
        </is>
      </c>
      <c r="B13" s="15" t="inlineStr">
        <is>
          <t>Fossil share of transport energy use</t>
        </is>
      </c>
      <c r="C13" s="15" t="inlineStr">
        <is>
          <t>%</t>
        </is>
      </c>
      <c r="D13" s="16" t="n">
        <v>2021</v>
      </c>
      <c r="E13" s="17" t="n">
        <v>93.44</v>
      </c>
      <c r="F13" s="16" t="n">
        <v>2024</v>
      </c>
      <c r="G13" s="17" t="n">
        <v>93.17</v>
      </c>
      <c r="H13" s="18" t="n">
        <v>-0.002889554794520505</v>
      </c>
      <c r="I13" s="34" t="inlineStr">
        <is>
          <t>Eurostat (nrg_bal_s)</t>
        </is>
      </c>
      <c r="J13" s="16" t="n">
        <v>3</v>
      </c>
      <c r="K13" s="34" t="inlineStr">
        <is>
          <t>Derived from the live source</t>
        </is>
      </c>
    </row>
    <row r="14" ht="15" customHeight="1">
      <c r="A14" s="38" t="inlineStr">
        <is>
          <t>T6b</t>
        </is>
      </c>
      <c r="B14" s="22" t="inlineStr">
        <is>
          <t>Use of first-generation (food-crop) biofuels in transport</t>
        </is>
      </c>
      <c r="C14" s="22" t="inlineStr">
        <is>
          <t>TWh</t>
        </is>
      </c>
      <c r="D14" s="23" t="n">
        <v>2015</v>
      </c>
      <c r="E14" s="24" t="n">
        <v>118.1</v>
      </c>
      <c r="F14" s="23" t="n">
        <v>2015</v>
      </c>
      <c r="G14" s="24" t="n">
        <v>118.1</v>
      </c>
      <c r="H14" s="25" t="n"/>
      <c r="I14" s="35" t="inlineStr">
        <is>
          <t>SHARES summary</t>
        </is>
      </c>
      <c r="J14" s="23" t="n"/>
      <c r="K14" s="35" t="inlineStr">
        <is>
          <t>—</t>
        </is>
      </c>
    </row>
    <row r="17">
      <c r="A17" s="58" t="inlineStr">
        <is>
          <t>T1 · Transport GHG emissions (EU)  (Mt CO₂eq)</t>
        </is>
      </c>
    </row>
    <row r="18">
      <c r="A18" s="3" t="inlineStr">
        <is>
          <t>Source: EEA GHG data viewer (Eurostat env_air_gge mirror) — https://www.eea.europa.eu/en/datahub/datahubitem-view/3b7fe76c-524a-439a-bfd2-a6e4046302a2</t>
        </is>
      </c>
    </row>
    <row r="19" ht="28" customHeight="1">
      <c r="A19" s="5" t="inlineStr">
        <is>
          <t>Year</t>
        </is>
      </c>
      <c r="B19" s="5" t="inlineStr">
        <is>
          <t>In the 2024 report</t>
        </is>
      </c>
      <c r="C19" s="5" t="inlineStr">
        <is>
          <t>Added since the report</t>
        </is>
      </c>
    </row>
    <row r="20" ht="14" customHeight="1">
      <c r="A20" s="53" t="n">
        <v>2005</v>
      </c>
      <c r="B20" s="17" t="n">
        <v>943.5</v>
      </c>
      <c r="C20" s="17" t="n"/>
    </row>
    <row r="21" ht="14" customHeight="1">
      <c r="A21" s="54" t="n">
        <v>2006</v>
      </c>
      <c r="B21" s="24" t="n">
        <v>956.7</v>
      </c>
      <c r="C21" s="24" t="n"/>
    </row>
    <row r="22" ht="14" customHeight="1">
      <c r="A22" s="53" t="n">
        <v>2007</v>
      </c>
      <c r="B22" s="17" t="n">
        <v>969.8</v>
      </c>
      <c r="C22" s="17" t="n"/>
    </row>
    <row r="23" ht="14" customHeight="1">
      <c r="A23" s="54" t="n">
        <v>2008</v>
      </c>
      <c r="B23" s="24" t="n">
        <v>952.3</v>
      </c>
      <c r="C23" s="24" t="n"/>
    </row>
    <row r="24" ht="14" customHeight="1">
      <c r="A24" s="53" t="n">
        <v>2009</v>
      </c>
      <c r="B24" s="17" t="n">
        <v>921.9</v>
      </c>
      <c r="C24" s="17" t="n"/>
    </row>
    <row r="25" ht="14" customHeight="1">
      <c r="A25" s="54" t="n">
        <v>2010</v>
      </c>
      <c r="B25" s="24" t="n">
        <v>918</v>
      </c>
      <c r="C25" s="24" t="n"/>
    </row>
    <row r="26" ht="14" customHeight="1">
      <c r="A26" s="53" t="n">
        <v>2011</v>
      </c>
      <c r="B26" s="17" t="n">
        <v>911.1</v>
      </c>
      <c r="C26" s="17" t="n"/>
    </row>
    <row r="27" ht="14" customHeight="1">
      <c r="A27" s="54" t="n">
        <v>2012</v>
      </c>
      <c r="B27" s="24" t="n">
        <v>880.4</v>
      </c>
      <c r="C27" s="24" t="n"/>
    </row>
    <row r="28" ht="14" customHeight="1">
      <c r="A28" s="53" t="n">
        <v>2013</v>
      </c>
      <c r="B28" s="17" t="n">
        <v>875.4</v>
      </c>
      <c r="C28" s="17" t="n"/>
    </row>
    <row r="29" ht="14" customHeight="1">
      <c r="A29" s="54" t="n">
        <v>2014</v>
      </c>
      <c r="B29" s="24" t="n">
        <v>882.7</v>
      </c>
      <c r="C29" s="24" t="n"/>
    </row>
    <row r="30" ht="14" customHeight="1">
      <c r="A30" s="53" t="n">
        <v>2015</v>
      </c>
      <c r="B30" s="17" t="n">
        <v>901.8</v>
      </c>
      <c r="C30" s="17" t="n"/>
    </row>
    <row r="31" ht="14" customHeight="1">
      <c r="A31" s="54" t="n">
        <v>2016</v>
      </c>
      <c r="B31" s="24" t="n">
        <v>925.8</v>
      </c>
      <c r="C31" s="24" t="n"/>
    </row>
    <row r="32" ht="14" customHeight="1">
      <c r="A32" s="53" t="n">
        <v>2017</v>
      </c>
      <c r="B32" s="17" t="n">
        <v>949.1</v>
      </c>
      <c r="C32" s="17" t="n"/>
    </row>
    <row r="33" ht="14" customHeight="1">
      <c r="A33" s="54" t="n">
        <v>2018</v>
      </c>
      <c r="B33" s="24" t="n">
        <v>956.8</v>
      </c>
      <c r="C33" s="24" t="n"/>
    </row>
    <row r="34" ht="14" customHeight="1">
      <c r="A34" s="53" t="n">
        <v>2019</v>
      </c>
      <c r="B34" s="17" t="n">
        <v>965.7</v>
      </c>
      <c r="C34" s="17" t="n"/>
    </row>
    <row r="35" ht="14" customHeight="1">
      <c r="A35" s="54" t="n">
        <v>2020</v>
      </c>
      <c r="B35" s="24" t="n">
        <v>776.3</v>
      </c>
      <c r="C35" s="24" t="n"/>
    </row>
    <row r="36" ht="14" customHeight="1">
      <c r="A36" s="53" t="n">
        <v>2021</v>
      </c>
      <c r="B36" s="17" t="n">
        <v>851.9</v>
      </c>
      <c r="C36" s="17" t="n"/>
    </row>
    <row r="37" ht="14" customHeight="1">
      <c r="A37" s="54" t="n">
        <v>2022</v>
      </c>
      <c r="B37" s="24" t="n">
        <v>906.6</v>
      </c>
      <c r="C37" s="24" t="n">
        <v>906.6</v>
      </c>
    </row>
    <row r="38" ht="14" customHeight="1">
      <c r="A38" s="53" t="n">
        <v>2023</v>
      </c>
      <c r="B38" s="17" t="n"/>
      <c r="C38" s="17" t="n">
        <v>901.9</v>
      </c>
    </row>
    <row r="39" ht="14" customHeight="1">
      <c r="A39" s="54" t="n">
        <v>2024</v>
      </c>
      <c r="B39" s="24" t="n"/>
      <c r="C39" s="24" t="n">
        <v>920</v>
      </c>
    </row>
    <row r="41">
      <c r="A41" s="58" t="inlineStr">
        <is>
          <t>T2a · Total passenger transport demand  (Gpkm)</t>
        </is>
      </c>
    </row>
    <row r="42">
      <c r="A42" s="3" t="inlineStr">
        <is>
          <t>Source: European Commission, DG MOVE — EU transport in figures: statistical pocketbook — https://transport.ec.europa.eu/facts-funding/studies-data/eu-transport-figures-statistical-pocketbook_en</t>
        </is>
      </c>
    </row>
    <row r="43" ht="28" customHeight="1">
      <c r="A43" s="5" t="inlineStr">
        <is>
          <t>Year</t>
        </is>
      </c>
      <c r="B43" s="5" t="inlineStr">
        <is>
          <t>In the 2024 report</t>
        </is>
      </c>
      <c r="C43" s="5" t="inlineStr">
        <is>
          <t>Added since the report</t>
        </is>
      </c>
    </row>
    <row r="44" ht="14" customHeight="1">
      <c r="A44" s="53" t="n">
        <v>2005</v>
      </c>
      <c r="B44" s="17" t="n">
        <v>5225.9</v>
      </c>
      <c r="C44" s="17" t="n"/>
    </row>
    <row r="45" ht="14" customHeight="1">
      <c r="A45" s="54" t="n">
        <v>2006</v>
      </c>
      <c r="B45" s="24" t="n">
        <v>5287.1</v>
      </c>
      <c r="C45" s="24" t="n"/>
    </row>
    <row r="46" ht="14" customHeight="1">
      <c r="A46" s="53" t="n">
        <v>2007</v>
      </c>
      <c r="B46" s="17" t="n">
        <v>5360.8</v>
      </c>
      <c r="C46" s="17" t="n"/>
    </row>
    <row r="47" ht="14" customHeight="1">
      <c r="A47" s="54" t="n">
        <v>2008</v>
      </c>
      <c r="B47" s="24" t="n">
        <v>5389.9</v>
      </c>
      <c r="C47" s="24" t="n"/>
    </row>
    <row r="48" ht="14" customHeight="1">
      <c r="A48" s="53" t="n">
        <v>2009</v>
      </c>
      <c r="B48" s="17" t="n">
        <v>5410.6</v>
      </c>
      <c r="C48" s="17" t="n"/>
    </row>
    <row r="49" ht="14" customHeight="1">
      <c r="A49" s="54" t="n">
        <v>2010</v>
      </c>
      <c r="B49" s="24" t="n">
        <v>5388.2</v>
      </c>
      <c r="C49" s="24" t="n"/>
    </row>
    <row r="50" ht="14" customHeight="1">
      <c r="A50" s="53" t="n">
        <v>2011</v>
      </c>
      <c r="B50" s="17" t="n">
        <v>5400.6</v>
      </c>
      <c r="C50" s="17" t="n"/>
    </row>
    <row r="51" ht="14" customHeight="1">
      <c r="A51" s="54" t="n">
        <v>2012</v>
      </c>
      <c r="B51" s="24" t="n">
        <v>5346.8</v>
      </c>
      <c r="C51" s="24" t="n"/>
    </row>
    <row r="52" ht="14" customHeight="1">
      <c r="A52" s="53" t="n">
        <v>2013</v>
      </c>
      <c r="B52" s="17" t="n">
        <v>5412.2</v>
      </c>
      <c r="C52" s="17" t="n"/>
    </row>
    <row r="53" ht="14" customHeight="1">
      <c r="A53" s="54" t="n">
        <v>2014</v>
      </c>
      <c r="B53" s="24" t="n">
        <v>5490.2</v>
      </c>
      <c r="C53" s="24" t="n"/>
    </row>
    <row r="54" ht="14" customHeight="1">
      <c r="A54" s="53" t="n">
        <v>2015</v>
      </c>
      <c r="B54" s="17" t="n">
        <v>5625.4</v>
      </c>
      <c r="C54" s="17" t="n"/>
    </row>
    <row r="55" ht="14" customHeight="1">
      <c r="A55" s="54" t="n">
        <v>2016</v>
      </c>
      <c r="B55" s="24" t="n">
        <v>5763.7</v>
      </c>
      <c r="C55" s="24" t="n"/>
    </row>
    <row r="56" ht="14" customHeight="1">
      <c r="A56" s="53" t="n">
        <v>2017</v>
      </c>
      <c r="B56" s="17" t="n">
        <v>5843.2</v>
      </c>
      <c r="C56" s="17" t="n"/>
    </row>
    <row r="57" ht="14" customHeight="1">
      <c r="A57" s="54" t="n">
        <v>2018</v>
      </c>
      <c r="B57" s="24" t="n">
        <v>5913.9</v>
      </c>
      <c r="C57" s="24" t="n"/>
    </row>
    <row r="58" ht="14" customHeight="1">
      <c r="A58" s="53" t="n">
        <v>2019</v>
      </c>
      <c r="B58" s="17" t="n">
        <v>5992.2</v>
      </c>
      <c r="C58" s="17" t="n"/>
    </row>
    <row r="59" ht="14" customHeight="1">
      <c r="A59" s="54" t="n">
        <v>2020</v>
      </c>
      <c r="B59" s="24" t="n">
        <v>4435.8</v>
      </c>
      <c r="C59" s="24" t="n">
        <v>4435.8</v>
      </c>
    </row>
    <row r="60" ht="14" customHeight="1">
      <c r="A60" s="53" t="n">
        <v>2022</v>
      </c>
      <c r="B60" s="17" t="n"/>
      <c r="C60" s="17" t="n">
        <v>5625.2</v>
      </c>
    </row>
    <row r="61" ht="14" customHeight="1">
      <c r="A61" s="54" t="n">
        <v>2023</v>
      </c>
      <c r="B61" s="24" t="n"/>
      <c r="C61" s="24" t="n">
        <v>5932</v>
      </c>
    </row>
    <row r="63">
      <c r="A63" s="58" t="inlineStr">
        <is>
          <t>T2b · Total freight transport demand  (Gtkm)</t>
        </is>
      </c>
    </row>
    <row r="64">
      <c r="A64" s="3" t="inlineStr">
        <is>
          <t>Source: European Commission, DG MOVE — EU transport in figures: statistical pocketbook — https://transport.ec.europa.eu/facts-funding/studies-data/eu-transport-figures-statistical-pocketbook_en</t>
        </is>
      </c>
    </row>
    <row r="65" ht="28" customHeight="1">
      <c r="A65" s="5" t="inlineStr">
        <is>
          <t>Year</t>
        </is>
      </c>
      <c r="B65" s="5" t="inlineStr">
        <is>
          <t>In the 2024 report</t>
        </is>
      </c>
      <c r="C65" s="5" t="inlineStr">
        <is>
          <t>Added since the report</t>
        </is>
      </c>
    </row>
    <row r="66" ht="14" customHeight="1">
      <c r="A66" s="53" t="n">
        <v>2005</v>
      </c>
      <c r="B66" s="17" t="n">
        <v>2121.4</v>
      </c>
      <c r="C66" s="17" t="n"/>
    </row>
    <row r="67" ht="14" customHeight="1">
      <c r="A67" s="54" t="n">
        <v>2006</v>
      </c>
      <c r="B67" s="24" t="n">
        <v>2193.5</v>
      </c>
      <c r="C67" s="24" t="n"/>
    </row>
    <row r="68" ht="14" customHeight="1">
      <c r="A68" s="53" t="n">
        <v>2007</v>
      </c>
      <c r="B68" s="17" t="n">
        <v>2273.8</v>
      </c>
      <c r="C68" s="17" t="n"/>
    </row>
    <row r="69" ht="14" customHeight="1">
      <c r="A69" s="54" t="n">
        <v>2008</v>
      </c>
      <c r="B69" s="24" t="n">
        <v>2245.1</v>
      </c>
      <c r="C69" s="24" t="n"/>
    </row>
    <row r="70" ht="14" customHeight="1">
      <c r="A70" s="53" t="n">
        <v>2009</v>
      </c>
      <c r="B70" s="17" t="n">
        <v>1992.3</v>
      </c>
      <c r="C70" s="17" t="n"/>
    </row>
    <row r="71" ht="14" customHeight="1">
      <c r="A71" s="54" t="n">
        <v>2010</v>
      </c>
      <c r="B71" s="24" t="n">
        <v>2088.6</v>
      </c>
      <c r="C71" s="24" t="n"/>
    </row>
    <row r="72" ht="14" customHeight="1">
      <c r="A72" s="53" t="n">
        <v>2011</v>
      </c>
      <c r="B72" s="17" t="n">
        <v>2084.6</v>
      </c>
      <c r="C72" s="17" t="n"/>
    </row>
    <row r="73" ht="14" customHeight="1">
      <c r="A73" s="54" t="n">
        <v>2012</v>
      </c>
      <c r="B73" s="24" t="n">
        <v>2016.7</v>
      </c>
      <c r="C73" s="24" t="n"/>
    </row>
    <row r="74" ht="14" customHeight="1">
      <c r="A74" s="53" t="n">
        <v>2013</v>
      </c>
      <c r="B74" s="17" t="n">
        <v>2053.3</v>
      </c>
      <c r="C74" s="17" t="n"/>
    </row>
    <row r="75" ht="14" customHeight="1">
      <c r="A75" s="54" t="n">
        <v>2014</v>
      </c>
      <c r="B75" s="24" t="n">
        <v>2067.1</v>
      </c>
      <c r="C75" s="24" t="n"/>
    </row>
    <row r="76" ht="14" customHeight="1">
      <c r="A76" s="53" t="n">
        <v>2015</v>
      </c>
      <c r="B76" s="17" t="n">
        <v>2107.9</v>
      </c>
      <c r="C76" s="17" t="n"/>
    </row>
    <row r="77" ht="14" customHeight="1">
      <c r="A77" s="54" t="n">
        <v>2016</v>
      </c>
      <c r="B77" s="24" t="n">
        <v>2173.8</v>
      </c>
      <c r="C77" s="24" t="n"/>
    </row>
    <row r="78" ht="14" customHeight="1">
      <c r="A78" s="53" t="n">
        <v>2017</v>
      </c>
      <c r="B78" s="17" t="n">
        <v>2265.8</v>
      </c>
      <c r="C78" s="17" t="n"/>
    </row>
    <row r="79" ht="14" customHeight="1">
      <c r="A79" s="54" t="n">
        <v>2018</v>
      </c>
      <c r="B79" s="24" t="n">
        <v>2257.1</v>
      </c>
      <c r="C79" s="24" t="n"/>
    </row>
    <row r="80" ht="14" customHeight="1">
      <c r="A80" s="53" t="n">
        <v>2019</v>
      </c>
      <c r="B80" s="17" t="n">
        <v>2312.4</v>
      </c>
      <c r="C80" s="17" t="n"/>
    </row>
    <row r="81" ht="14" customHeight="1">
      <c r="A81" s="54" t="n">
        <v>2020</v>
      </c>
      <c r="B81" s="24" t="n">
        <v>2254</v>
      </c>
      <c r="C81" s="24" t="n">
        <v>2254</v>
      </c>
    </row>
    <row r="82" ht="14" customHeight="1">
      <c r="A82" s="53" t="n">
        <v>2023</v>
      </c>
      <c r="B82" s="17" t="n"/>
      <c r="C82" s="17" t="n">
        <v>2319</v>
      </c>
    </row>
    <row r="84">
      <c r="A84" s="58" t="inlineStr">
        <is>
          <t>T3a · Road share of motorised inland passenger transport  (%)</t>
        </is>
      </c>
    </row>
    <row r="85">
      <c r="A85" s="3" t="inlineStr">
        <is>
          <t>Source: European Commission, DG MOVE — EU transport in figures: statistical pocketbook — https://transport.ec.europa.eu/facts-funding/studies-data/eu-transport-figures-statistical-pocketbook_en</t>
        </is>
      </c>
    </row>
    <row r="86" ht="28" customHeight="1">
      <c r="A86" s="5" t="inlineStr">
        <is>
          <t>Year</t>
        </is>
      </c>
      <c r="B86" s="5" t="inlineStr">
        <is>
          <t>In the 2024 report</t>
        </is>
      </c>
      <c r="C86" s="5" t="inlineStr">
        <is>
          <t>Added since the report</t>
        </is>
      </c>
    </row>
    <row r="87" ht="14" customHeight="1">
      <c r="A87" s="53" t="n">
        <v>2005</v>
      </c>
      <c r="B87" s="17" t="n">
        <v>81.28</v>
      </c>
      <c r="C87" s="17" t="n"/>
    </row>
    <row r="88" ht="14" customHeight="1">
      <c r="A88" s="54" t="n">
        <v>2006</v>
      </c>
      <c r="B88" s="24" t="n">
        <v>81.23</v>
      </c>
      <c r="C88" s="24" t="n"/>
    </row>
    <row r="89" ht="14" customHeight="1">
      <c r="A89" s="53" t="n">
        <v>2007</v>
      </c>
      <c r="B89" s="17" t="n">
        <v>81.13</v>
      </c>
      <c r="C89" s="17" t="n"/>
    </row>
    <row r="90" ht="14" customHeight="1">
      <c r="A90" s="54" t="n">
        <v>2008</v>
      </c>
      <c r="B90" s="24" t="n">
        <v>80.81999999999999</v>
      </c>
      <c r="C90" s="24" t="n"/>
    </row>
    <row r="91" ht="14" customHeight="1">
      <c r="A91" s="53" t="n">
        <v>2009</v>
      </c>
      <c r="B91" s="17" t="n">
        <v>81.63</v>
      </c>
      <c r="C91" s="17" t="n"/>
    </row>
    <row r="92" ht="14" customHeight="1">
      <c r="A92" s="54" t="n">
        <v>2010</v>
      </c>
      <c r="B92" s="24" t="n">
        <v>81.62</v>
      </c>
      <c r="C92" s="24" t="n"/>
    </row>
    <row r="93" ht="14" customHeight="1">
      <c r="A93" s="53" t="n">
        <v>2011</v>
      </c>
      <c r="B93" s="17" t="n">
        <v>81.34999999999999</v>
      </c>
      <c r="C93" s="17" t="n"/>
    </row>
    <row r="94" ht="14" customHeight="1">
      <c r="A94" s="54" t="n">
        <v>2012</v>
      </c>
      <c r="B94" s="24" t="n">
        <v>81.17</v>
      </c>
      <c r="C94" s="24" t="n"/>
    </row>
    <row r="95" ht="14" customHeight="1">
      <c r="A95" s="53" t="n">
        <v>2013</v>
      </c>
      <c r="B95" s="17" t="n">
        <v>81.34</v>
      </c>
      <c r="C95" s="17" t="n"/>
    </row>
    <row r="96" ht="14" customHeight="1">
      <c r="A96" s="54" t="n">
        <v>2014</v>
      </c>
      <c r="B96" s="24" t="n">
        <v>81.54000000000001</v>
      </c>
      <c r="C96" s="24" t="n"/>
    </row>
    <row r="97" ht="14" customHeight="1">
      <c r="A97" s="53" t="n">
        <v>2015</v>
      </c>
      <c r="B97" s="17" t="n">
        <v>81.54000000000001</v>
      </c>
      <c r="C97" s="17" t="n"/>
    </row>
    <row r="98" ht="14" customHeight="1">
      <c r="A98" s="54" t="n">
        <v>2016</v>
      </c>
      <c r="B98" s="24" t="n">
        <v>81.65000000000001</v>
      </c>
      <c r="C98" s="24" t="n"/>
    </row>
    <row r="99" ht="14" customHeight="1">
      <c r="A99" s="53" t="n">
        <v>2017</v>
      </c>
      <c r="B99" s="17" t="n">
        <v>81.83</v>
      </c>
      <c r="C99" s="17" t="n"/>
    </row>
    <row r="100" ht="14" customHeight="1">
      <c r="A100" s="54" t="n">
        <v>2018</v>
      </c>
      <c r="B100" s="24" t="n">
        <v>81.69</v>
      </c>
      <c r="C100" s="24" t="n"/>
    </row>
    <row r="101" ht="14" customHeight="1">
      <c r="A101" s="53" t="n">
        <v>2019</v>
      </c>
      <c r="B101" s="17" t="n">
        <v>81.59</v>
      </c>
      <c r="C101" s="17" t="n"/>
    </row>
    <row r="102" ht="14" customHeight="1">
      <c r="A102" s="54" t="n">
        <v>2020</v>
      </c>
      <c r="B102" s="24" t="n">
        <v>86.5</v>
      </c>
      <c r="C102" s="24" t="n">
        <v>86.5</v>
      </c>
    </row>
    <row r="103" ht="14" customHeight="1">
      <c r="A103" s="53" t="n">
        <v>2021</v>
      </c>
      <c r="B103" s="17" t="n"/>
      <c r="C103" s="17" t="n">
        <v>86.23</v>
      </c>
    </row>
    <row r="104" ht="14" customHeight="1">
      <c r="A104" s="54" t="n">
        <v>2022</v>
      </c>
      <c r="B104" s="24" t="n"/>
      <c r="C104" s="24" t="n">
        <v>84.12</v>
      </c>
    </row>
    <row r="105" ht="14" customHeight="1">
      <c r="A105" s="53" t="n">
        <v>2023</v>
      </c>
      <c r="B105" s="17" t="n"/>
      <c r="C105" s="17" t="n">
        <v>83.67</v>
      </c>
    </row>
    <row r="106" ht="14" customHeight="1">
      <c r="A106" s="54" t="n">
        <v>2024</v>
      </c>
      <c r="B106" s="24" t="n"/>
      <c r="C106" s="24" t="n">
        <v>83.3</v>
      </c>
    </row>
    <row r="108">
      <c r="A108" s="58" t="inlineStr">
        <is>
          <t>T3b · Intra-EU air passenger transport  (Gpkm)</t>
        </is>
      </c>
    </row>
    <row r="109">
      <c r="A109" s="3" t="inlineStr">
        <is>
          <t>Source: European Commission, DG MOVE — EU transport in figures: statistical pocketbook — https://transport.ec.europa.eu/facts-funding/studies-data/eu-transport-figures-statistical-pocketbook_en</t>
        </is>
      </c>
    </row>
    <row r="110" ht="28" customHeight="1">
      <c r="A110" s="5" t="inlineStr">
        <is>
          <t>Year</t>
        </is>
      </c>
      <c r="B110" s="5" t="inlineStr">
        <is>
          <t>In the 2024 report</t>
        </is>
      </c>
      <c r="C110" s="5" t="inlineStr">
        <is>
          <t>Added since the report</t>
        </is>
      </c>
    </row>
    <row r="111" ht="14" customHeight="1">
      <c r="A111" s="53" t="n">
        <v>2005</v>
      </c>
      <c r="B111" s="17" t="n">
        <v>361.3</v>
      </c>
      <c r="C111" s="17" t="n"/>
    </row>
    <row r="112" ht="14" customHeight="1">
      <c r="A112" s="54" t="n">
        <v>2006</v>
      </c>
      <c r="B112" s="24" t="n">
        <v>376.4</v>
      </c>
      <c r="C112" s="24" t="n"/>
    </row>
    <row r="113" ht="14" customHeight="1">
      <c r="A113" s="53" t="n">
        <v>2007</v>
      </c>
      <c r="B113" s="17" t="n">
        <v>392.2</v>
      </c>
      <c r="C113" s="17" t="n"/>
    </row>
    <row r="114" ht="14" customHeight="1">
      <c r="A114" s="54" t="n">
        <v>2008</v>
      </c>
      <c r="B114" s="24" t="n">
        <v>383.8</v>
      </c>
      <c r="C114" s="24" t="n"/>
    </row>
    <row r="115" ht="14" customHeight="1">
      <c r="A115" s="53" t="n">
        <v>2009</v>
      </c>
      <c r="B115" s="17" t="n">
        <v>361.8</v>
      </c>
      <c r="C115" s="17" t="n"/>
    </row>
    <row r="116" ht="14" customHeight="1">
      <c r="A116" s="54" t="n">
        <v>2010</v>
      </c>
      <c r="B116" s="24" t="n">
        <v>377.3</v>
      </c>
      <c r="C116" s="24" t="n"/>
    </row>
    <row r="117" ht="14" customHeight="1">
      <c r="A117" s="53" t="n">
        <v>2011</v>
      </c>
      <c r="B117" s="17" t="n">
        <v>408.5</v>
      </c>
      <c r="C117" s="17" t="n"/>
    </row>
    <row r="118" ht="14" customHeight="1">
      <c r="A118" s="54" t="n">
        <v>2012</v>
      </c>
      <c r="B118" s="24" t="n">
        <v>402.1</v>
      </c>
      <c r="C118" s="24" t="n"/>
    </row>
    <row r="119" ht="14" customHeight="1">
      <c r="A119" s="53" t="n">
        <v>2013</v>
      </c>
      <c r="B119" s="17" t="n">
        <v>406</v>
      </c>
      <c r="C119" s="17" t="n"/>
    </row>
    <row r="120" ht="14" customHeight="1">
      <c r="A120" s="54" t="n">
        <v>2014</v>
      </c>
      <c r="B120" s="24" t="n">
        <v>425.6</v>
      </c>
      <c r="C120" s="24" t="n"/>
    </row>
    <row r="121" ht="14" customHeight="1">
      <c r="A121" s="53" t="n">
        <v>2015</v>
      </c>
      <c r="B121" s="17" t="n">
        <v>451.8</v>
      </c>
      <c r="C121" s="17" t="n"/>
    </row>
    <row r="122" ht="14" customHeight="1">
      <c r="A122" s="54" t="n">
        <v>2016</v>
      </c>
      <c r="B122" s="24" t="n">
        <v>492.6</v>
      </c>
      <c r="C122" s="24" t="n"/>
    </row>
    <row r="123" ht="14" customHeight="1">
      <c r="A123" s="53" t="n">
        <v>2017</v>
      </c>
      <c r="B123" s="17" t="n">
        <v>538.4</v>
      </c>
      <c r="C123" s="17" t="n"/>
    </row>
    <row r="124" ht="14" customHeight="1">
      <c r="A124" s="54" t="n">
        <v>2018</v>
      </c>
      <c r="B124" s="24" t="n">
        <v>571.8</v>
      </c>
      <c r="C124" s="24" t="n"/>
    </row>
    <row r="125" ht="14" customHeight="1">
      <c r="A125" s="53" t="n">
        <v>2019</v>
      </c>
      <c r="B125" s="17" t="n">
        <v>585.5</v>
      </c>
      <c r="C125" s="17" t="n"/>
    </row>
    <row r="126" ht="14" customHeight="1">
      <c r="A126" s="54" t="n">
        <v>2020</v>
      </c>
      <c r="B126" s="24" t="n">
        <v>177.9</v>
      </c>
      <c r="C126" s="24" t="n">
        <v>177.9</v>
      </c>
    </row>
    <row r="127" ht="14" customHeight="1">
      <c r="A127" s="53" t="n">
        <v>2022</v>
      </c>
      <c r="B127" s="17" t="n"/>
      <c r="C127" s="17" t="n">
        <v>512</v>
      </c>
    </row>
    <row r="128" ht="14" customHeight="1">
      <c r="A128" s="54" t="n">
        <v>2023</v>
      </c>
      <c r="B128" s="24" t="n"/>
      <c r="C128" s="24" t="n">
        <v>582</v>
      </c>
    </row>
    <row r="130">
      <c r="A130" s="58" t="inlineStr">
        <is>
          <t>T4 · Average CO₂ intensity of new passenger cars (WLTP)  (g CO₂/km)</t>
        </is>
      </c>
    </row>
    <row r="131">
      <c r="A131" s="3" t="inlineStr">
        <is>
          <t>Source: EEA — https://www.eea.europa.eu/en/datahub/datahubitem-view/fa8b1229-3db6-495d-b18e-9c9b3267c02b</t>
        </is>
      </c>
    </row>
    <row r="132" ht="28" customHeight="1">
      <c r="A132" s="5" t="inlineStr">
        <is>
          <t>Year</t>
        </is>
      </c>
      <c r="B132" s="5" t="inlineStr">
        <is>
          <t>In the 2024 report</t>
        </is>
      </c>
      <c r="C132" s="5" t="inlineStr">
        <is>
          <t>Added since the report</t>
        </is>
      </c>
    </row>
    <row r="133" ht="14" customHeight="1">
      <c r="A133" s="53" t="n">
        <v>2020</v>
      </c>
      <c r="B133" s="17" t="n">
        <v>130.3</v>
      </c>
      <c r="C133" s="17" t="n"/>
    </row>
    <row r="134" ht="14" customHeight="1">
      <c r="A134" s="54" t="n">
        <v>2021</v>
      </c>
      <c r="B134" s="24" t="n">
        <v>114.1</v>
      </c>
      <c r="C134" s="24" t="n"/>
    </row>
    <row r="135" ht="14" customHeight="1">
      <c r="A135" s="53" t="n">
        <v>2022</v>
      </c>
      <c r="B135" s="17" t="n">
        <v>108.2</v>
      </c>
      <c r="C135" s="17" t="n">
        <v>108.2</v>
      </c>
    </row>
    <row r="136" ht="14" customHeight="1">
      <c r="A136" s="54" t="n">
        <v>2023</v>
      </c>
      <c r="B136" s="24" t="n"/>
      <c r="C136" s="24" t="n">
        <v>106.4</v>
      </c>
    </row>
    <row r="137" ht="14" customHeight="1">
      <c r="A137" s="53" t="n">
        <v>2024</v>
      </c>
      <c r="B137" s="17" t="n"/>
      <c r="C137" s="17" t="n">
        <v>106.8</v>
      </c>
    </row>
    <row r="138" ht="14" customHeight="1">
      <c r="A138" s="54" t="n">
        <v>2025</v>
      </c>
      <c r="B138" s="24" t="n"/>
      <c r="C138" s="24" t="n">
        <v>96.7</v>
      </c>
    </row>
    <row r="146">
      <c r="A146" s="58" t="inlineStr">
        <is>
          <t>T5a · ZEV share of new passenger car registrations  (%)</t>
        </is>
      </c>
    </row>
    <row r="147">
      <c r="A147" s="3" t="inlineStr">
        <is>
          <t>Source: EU Alternative Fuels Observatory — https://alternative-fuels-observatory.ec.europa.eu/</t>
        </is>
      </c>
    </row>
    <row r="148" ht="28" customHeight="1">
      <c r="A148" s="5" t="inlineStr">
        <is>
          <t>Year</t>
        </is>
      </c>
      <c r="B148" s="5" t="inlineStr">
        <is>
          <t>In the 2024 report</t>
        </is>
      </c>
      <c r="C148" s="5" t="inlineStr">
        <is>
          <t>Added since the report</t>
        </is>
      </c>
    </row>
    <row r="149" ht="14" customHeight="1">
      <c r="A149" s="53" t="n">
        <v>2010</v>
      </c>
      <c r="B149" s="17" t="n">
        <v>0.01</v>
      </c>
      <c r="C149" s="17" t="n"/>
    </row>
    <row r="150" ht="14" customHeight="1">
      <c r="A150" s="54" t="n">
        <v>2011</v>
      </c>
      <c r="B150" s="24" t="n">
        <v>0.07000000000000001</v>
      </c>
      <c r="C150" s="24" t="n"/>
    </row>
    <row r="151" ht="14" customHeight="1">
      <c r="A151" s="53" t="n">
        <v>2012</v>
      </c>
      <c r="B151" s="17" t="n">
        <v>0.13</v>
      </c>
      <c r="C151" s="17" t="n"/>
    </row>
    <row r="152" ht="14" customHeight="1">
      <c r="A152" s="54" t="n">
        <v>2013</v>
      </c>
      <c r="B152" s="24" t="n">
        <v>0.22</v>
      </c>
      <c r="C152" s="24" t="n"/>
    </row>
    <row r="153" ht="14" customHeight="1">
      <c r="A153" s="53" t="n">
        <v>2014</v>
      </c>
      <c r="B153" s="17" t="n">
        <v>0.33</v>
      </c>
      <c r="C153" s="17" t="n"/>
    </row>
    <row r="154" ht="14" customHeight="1">
      <c r="A154" s="54" t="n">
        <v>2015</v>
      </c>
      <c r="B154" s="24" t="n">
        <v>0.46</v>
      </c>
      <c r="C154" s="24" t="n"/>
    </row>
    <row r="155" ht="14" customHeight="1">
      <c r="A155" s="53" t="n">
        <v>2016</v>
      </c>
      <c r="B155" s="17" t="n">
        <v>0.47</v>
      </c>
      <c r="C155" s="17" t="n"/>
    </row>
    <row r="156" ht="14" customHeight="1">
      <c r="A156" s="54" t="n">
        <v>2017</v>
      </c>
      <c r="B156" s="24" t="n">
        <v>0.68</v>
      </c>
      <c r="C156" s="24" t="n"/>
    </row>
    <row r="157" ht="14" customHeight="1">
      <c r="A157" s="53" t="n">
        <v>2018</v>
      </c>
      <c r="B157" s="17" t="n">
        <v>1.06</v>
      </c>
      <c r="C157" s="17" t="n"/>
    </row>
    <row r="158" ht="14" customHeight="1">
      <c r="A158" s="54" t="n">
        <v>2019</v>
      </c>
      <c r="B158" s="24" t="n">
        <v>1.9</v>
      </c>
      <c r="C158" s="24" t="n"/>
    </row>
    <row r="159" ht="14" customHeight="1">
      <c r="A159" s="53" t="n">
        <v>2020</v>
      </c>
      <c r="B159" s="17" t="n">
        <v>5.39</v>
      </c>
      <c r="C159" s="17" t="n"/>
    </row>
    <row r="160" ht="14" customHeight="1">
      <c r="A160" s="54" t="n">
        <v>2021</v>
      </c>
      <c r="B160" s="24" t="n">
        <v>8.869999999999999</v>
      </c>
      <c r="C160" s="24" t="n"/>
    </row>
    <row r="161" ht="14" customHeight="1">
      <c r="A161" s="53" t="n">
        <v>2022</v>
      </c>
      <c r="B161" s="17" t="n">
        <v>13.41</v>
      </c>
      <c r="C161" s="17" t="n">
        <v>13.41</v>
      </c>
    </row>
    <row r="162" ht="14" customHeight="1">
      <c r="A162" s="54" t="n">
        <v>2023</v>
      </c>
      <c r="B162" s="24" t="n"/>
      <c r="C162" s="24" t="n">
        <v>14.6</v>
      </c>
    </row>
    <row r="163" ht="14" customHeight="1">
      <c r="A163" s="53" t="n">
        <v>2024</v>
      </c>
      <c r="B163" s="17" t="n"/>
      <c r="C163" s="17" t="n">
        <v>13.6</v>
      </c>
    </row>
    <row r="164" ht="14" customHeight="1">
      <c r="A164" s="54" t="n">
        <v>2025</v>
      </c>
      <c r="B164" s="24" t="n"/>
      <c r="C164" s="24" t="n">
        <v>17.4</v>
      </c>
    </row>
    <row r="166">
      <c r="A166" s="58" t="inlineStr">
        <is>
          <t>T5b · Zero-emission lorries in the EU fleet  (vehicles)</t>
        </is>
      </c>
    </row>
    <row r="167">
      <c r="A167" s="3" t="inlineStr">
        <is>
          <t>Source: EU Alternative Fuels Observatory; EEA for 2022 — https://alternative-fuels-observatory.ec.europa.eu/</t>
        </is>
      </c>
    </row>
    <row r="168" ht="28" customHeight="1">
      <c r="A168" s="5" t="inlineStr">
        <is>
          <t>Year</t>
        </is>
      </c>
      <c r="B168" s="5" t="inlineStr">
        <is>
          <t>In the 2024 report</t>
        </is>
      </c>
      <c r="C168" s="5" t="inlineStr">
        <is>
          <t>Added since the report</t>
        </is>
      </c>
    </row>
    <row r="169" ht="14" customHeight="1">
      <c r="A169" s="53" t="n">
        <v>2015</v>
      </c>
      <c r="B169" s="17" t="n">
        <v>71</v>
      </c>
      <c r="C169" s="17" t="n"/>
    </row>
    <row r="170" ht="14" customHeight="1">
      <c r="A170" s="54" t="n">
        <v>2016</v>
      </c>
      <c r="B170" s="24" t="n">
        <v>117</v>
      </c>
      <c r="C170" s="24" t="n"/>
    </row>
    <row r="171" ht="14" customHeight="1">
      <c r="A171" s="53" t="n">
        <v>2017</v>
      </c>
      <c r="B171" s="17" t="n">
        <v>151</v>
      </c>
      <c r="C171" s="17" t="n"/>
    </row>
    <row r="172" ht="14" customHeight="1">
      <c r="A172" s="54" t="n">
        <v>2018</v>
      </c>
      <c r="B172" s="24" t="n">
        <v>227</v>
      </c>
      <c r="C172" s="24" t="n"/>
    </row>
    <row r="173" ht="14" customHeight="1">
      <c r="A173" s="53" t="n">
        <v>2019</v>
      </c>
      <c r="B173" s="17" t="n">
        <v>601</v>
      </c>
      <c r="C173" s="17" t="n"/>
    </row>
    <row r="174" ht="14" customHeight="1">
      <c r="A174" s="54" t="n">
        <v>2020</v>
      </c>
      <c r="B174" s="24" t="n">
        <v>964</v>
      </c>
      <c r="C174" s="24" t="n"/>
    </row>
    <row r="175" ht="14" customHeight="1">
      <c r="A175" s="53" t="n">
        <v>2021</v>
      </c>
      <c r="B175" s="17" t="n">
        <v>2150</v>
      </c>
      <c r="C175" s="17" t="n"/>
    </row>
    <row r="176" ht="14" customHeight="1">
      <c r="A176" s="54" t="n">
        <v>2022</v>
      </c>
      <c r="B176" s="24" t="n">
        <v>3794</v>
      </c>
      <c r="C176" s="24" t="n">
        <v>3794</v>
      </c>
    </row>
    <row r="177" ht="14" customHeight="1">
      <c r="A177" s="53" t="n">
        <v>2023</v>
      </c>
      <c r="B177" s="17" t="n"/>
      <c r="C177" s="17" t="n">
        <v>6513</v>
      </c>
    </row>
    <row r="178" ht="14" customHeight="1">
      <c r="A178" s="54" t="n">
        <v>2024</v>
      </c>
      <c r="B178" s="24" t="n"/>
      <c r="C178" s="24" t="n">
        <v>9831</v>
      </c>
    </row>
    <row r="182">
      <c r="A182" s="58" t="inlineStr">
        <is>
          <t>T6a · Fossil share of transport energy use  (%)</t>
        </is>
      </c>
    </row>
    <row r="183">
      <c r="A183" s="3" t="inlineStr">
        <is>
          <t>Source: Eurostat (nrg_bal_s) — https://doi.org/10.2908/NRG_BAL_S</t>
        </is>
      </c>
    </row>
    <row r="184" ht="28" customHeight="1">
      <c r="A184" s="5" t="inlineStr">
        <is>
          <t>Year</t>
        </is>
      </c>
      <c r="B184" s="5" t="inlineStr">
        <is>
          <t>In the 2024 report</t>
        </is>
      </c>
      <c r="C184" s="5" t="inlineStr">
        <is>
          <t>Added since the report</t>
        </is>
      </c>
    </row>
    <row r="185" ht="14" customHeight="1">
      <c r="A185" s="53" t="n">
        <v>2005</v>
      </c>
      <c r="B185" s="17" t="n">
        <v>97.69</v>
      </c>
      <c r="C185" s="17" t="n"/>
    </row>
    <row r="186" ht="14" customHeight="1">
      <c r="A186" s="54" t="n">
        <v>2006</v>
      </c>
      <c r="B186" s="24" t="n">
        <v>97.25</v>
      </c>
      <c r="C186" s="24" t="n"/>
    </row>
    <row r="187" ht="14" customHeight="1">
      <c r="A187" s="53" t="n">
        <v>2007</v>
      </c>
      <c r="B187" s="17" t="n">
        <v>96.78</v>
      </c>
      <c r="C187" s="17" t="n"/>
    </row>
    <row r="188" ht="14" customHeight="1">
      <c r="A188" s="54" t="n">
        <v>2008</v>
      </c>
      <c r="B188" s="24" t="n">
        <v>96.31</v>
      </c>
      <c r="C188" s="24" t="n"/>
    </row>
    <row r="189" ht="14" customHeight="1">
      <c r="A189" s="53" t="n">
        <v>2009</v>
      </c>
      <c r="B189" s="17" t="n">
        <v>95.72</v>
      </c>
      <c r="C189" s="17" t="n"/>
    </row>
    <row r="190" ht="14" customHeight="1">
      <c r="A190" s="54" t="n">
        <v>2010</v>
      </c>
      <c r="B190" s="24" t="n">
        <v>95.31</v>
      </c>
      <c r="C190" s="24" t="n"/>
    </row>
    <row r="191" ht="14" customHeight="1">
      <c r="A191" s="53" t="n">
        <v>2011</v>
      </c>
      <c r="B191" s="17" t="n">
        <v>95.08</v>
      </c>
      <c r="C191" s="17" t="n"/>
    </row>
    <row r="192" ht="14" customHeight="1">
      <c r="A192" s="54" t="n">
        <v>2012</v>
      </c>
      <c r="B192" s="24" t="n">
        <v>94.66</v>
      </c>
      <c r="C192" s="24" t="n"/>
    </row>
    <row r="193" ht="14" customHeight="1">
      <c r="A193" s="53" t="n">
        <v>2013</v>
      </c>
      <c r="B193" s="17" t="n">
        <v>95</v>
      </c>
      <c r="C193" s="17" t="n"/>
    </row>
    <row r="194" ht="14" customHeight="1">
      <c r="A194" s="54" t="n">
        <v>2014</v>
      </c>
      <c r="B194" s="24" t="n">
        <v>94.8</v>
      </c>
      <c r="C194" s="24" t="n"/>
    </row>
    <row r="195" ht="14" customHeight="1">
      <c r="A195" s="53" t="n">
        <v>2015</v>
      </c>
      <c r="B195" s="17" t="n">
        <v>94.86</v>
      </c>
      <c r="C195" s="17" t="n"/>
    </row>
    <row r="196" ht="14" customHeight="1">
      <c r="A196" s="54" t="n">
        <v>2016</v>
      </c>
      <c r="B196" s="24" t="n">
        <v>95.06</v>
      </c>
      <c r="C196" s="24" t="n"/>
    </row>
    <row r="197" ht="14" customHeight="1">
      <c r="A197" s="53" t="n">
        <v>2017</v>
      </c>
      <c r="B197" s="17" t="n">
        <v>94.84</v>
      </c>
      <c r="C197" s="17" t="n"/>
    </row>
    <row r="198" ht="14" customHeight="1">
      <c r="A198" s="54" t="n">
        <v>2018</v>
      </c>
      <c r="B198" s="24" t="n">
        <v>94.51000000000001</v>
      </c>
      <c r="C198" s="24" t="n"/>
    </row>
    <row r="199" ht="14" customHeight="1">
      <c r="A199" s="53" t="n">
        <v>2019</v>
      </c>
      <c r="B199" s="17" t="n">
        <v>94.40000000000001</v>
      </c>
      <c r="C199" s="17" t="n"/>
    </row>
    <row r="200" ht="14" customHeight="1">
      <c r="A200" s="54" t="n">
        <v>2020</v>
      </c>
      <c r="B200" s="24" t="n">
        <v>93.22</v>
      </c>
      <c r="C200" s="24" t="n"/>
    </row>
    <row r="201" ht="14" customHeight="1">
      <c r="A201" s="53" t="n">
        <v>2021</v>
      </c>
      <c r="B201" s="17" t="n">
        <v>93.44</v>
      </c>
      <c r="C201" s="17" t="n">
        <v>93.44</v>
      </c>
    </row>
    <row r="202" ht="14" customHeight="1">
      <c r="A202" s="54" t="n">
        <v>2022</v>
      </c>
      <c r="B202" s="24" t="n"/>
      <c r="C202" s="24" t="n">
        <v>93.41</v>
      </c>
    </row>
    <row r="203" ht="14" customHeight="1">
      <c r="A203" s="53" t="n">
        <v>2023</v>
      </c>
      <c r="B203" s="17" t="n"/>
      <c r="C203" s="17" t="n">
        <v>92.91</v>
      </c>
    </row>
    <row r="204" ht="14" customHeight="1">
      <c r="A204" s="54" t="n">
        <v>2024</v>
      </c>
      <c r="B204" s="24" t="n"/>
      <c r="C204" s="24" t="n">
        <v>93.17</v>
      </c>
    </row>
    <row r="206">
      <c r="A206" s="58" t="inlineStr">
        <is>
          <t>T6b · Use of first-generation (food-crop) biofuels in transport  (TWh)</t>
        </is>
      </c>
    </row>
    <row r="207">
      <c r="A207" s="3" t="inlineStr">
        <is>
          <t>Source: SHARES summary — https://ec.europa.eu/eurostat/databrowser/view/nrg_ind_ren/default/table</t>
        </is>
      </c>
    </row>
    <row r="208" ht="28" customHeight="1">
      <c r="A208" s="5" t="inlineStr">
        <is>
          <t>Year</t>
        </is>
      </c>
      <c r="B208" s="5" t="inlineStr">
        <is>
          <t>In the 2024 report</t>
        </is>
      </c>
      <c r="C208" s="5" t="inlineStr">
        <is>
          <t>Added since the report</t>
        </is>
      </c>
    </row>
    <row r="209" ht="14" customHeight="1">
      <c r="A209" s="53" t="n">
        <v>2005</v>
      </c>
      <c r="B209" s="17" t="n">
        <v>80.36</v>
      </c>
      <c r="C209" s="17" t="n"/>
    </row>
    <row r="210" ht="14" customHeight="1">
      <c r="A210" s="54" t="n">
        <v>2006</v>
      </c>
      <c r="B210" s="24" t="n">
        <v>107.1</v>
      </c>
      <c r="C210" s="24" t="n"/>
    </row>
    <row r="211" ht="14" customHeight="1">
      <c r="A211" s="53" t="n">
        <v>2007</v>
      </c>
      <c r="B211" s="17" t="n">
        <v>104.8</v>
      </c>
      <c r="C211" s="17" t="n"/>
    </row>
    <row r="212" ht="14" customHeight="1">
      <c r="A212" s="54" t="n">
        <v>2008</v>
      </c>
      <c r="B212" s="24" t="n">
        <v>111.3</v>
      </c>
      <c r="C212" s="24" t="n"/>
    </row>
    <row r="213" ht="14" customHeight="1">
      <c r="A213" s="53" t="n">
        <v>2009</v>
      </c>
      <c r="B213" s="17" t="n">
        <v>109.7</v>
      </c>
      <c r="C213" s="17" t="n"/>
    </row>
    <row r="214" ht="14" customHeight="1">
      <c r="A214" s="54" t="n">
        <v>2010</v>
      </c>
      <c r="B214" s="24" t="n">
        <v>110.7</v>
      </c>
      <c r="C214" s="24" t="n"/>
    </row>
    <row r="215" ht="14" customHeight="1">
      <c r="A215" s="53" t="n">
        <v>2011</v>
      </c>
      <c r="B215" s="17" t="n">
        <v>116.8</v>
      </c>
      <c r="C215" s="17" t="n"/>
    </row>
    <row r="216" ht="14" customHeight="1">
      <c r="A216" s="54" t="n">
        <v>2012</v>
      </c>
      <c r="B216" s="24" t="n">
        <v>124.9</v>
      </c>
      <c r="C216" s="24" t="n"/>
    </row>
    <row r="217" ht="14" customHeight="1">
      <c r="A217" s="53" t="n">
        <v>2013</v>
      </c>
      <c r="B217" s="17" t="n">
        <v>128.3</v>
      </c>
      <c r="C217" s="17" t="n"/>
    </row>
    <row r="218" ht="14" customHeight="1">
      <c r="A218" s="54" t="n">
        <v>2014</v>
      </c>
      <c r="B218" s="24" t="n">
        <v>122.9</v>
      </c>
      <c r="C218" s="24" t="n"/>
    </row>
    <row r="219" ht="14" customHeight="1">
      <c r="A219" s="53" t="n">
        <v>2015</v>
      </c>
      <c r="B219" s="17" t="n">
        <v>118.1</v>
      </c>
      <c r="C219" s="17" t="n"/>
    </row>
  </sheetData>
  <mergeCells count="22">
    <mergeCell ref="A17:D17"/>
    <mergeCell ref="A131:D131"/>
    <mergeCell ref="A206:D206"/>
    <mergeCell ref="A109:D109"/>
    <mergeCell ref="A147:D147"/>
    <mergeCell ref="A63:D63"/>
    <mergeCell ref="A1:K1"/>
    <mergeCell ref="A167:D167"/>
    <mergeCell ref="A130:D130"/>
    <mergeCell ref="A64:D64"/>
    <mergeCell ref="A166:D166"/>
    <mergeCell ref="A182:D182"/>
    <mergeCell ref="A207:D207"/>
    <mergeCell ref="A146:D146"/>
    <mergeCell ref="A2:K2"/>
    <mergeCell ref="A41:D41"/>
    <mergeCell ref="A183:D183"/>
    <mergeCell ref="A84:D84"/>
    <mergeCell ref="A108:D108"/>
    <mergeCell ref="A18:D18"/>
    <mergeCell ref="A85:D85"/>
    <mergeCell ref="A42:D42"/>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00928F"/>
    <outlinePr summaryBelow="1" summaryRight="1"/>
    <pageSetUpPr/>
  </sheetPr>
  <dimension ref="A1:K238"/>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Buildings — indicators</t>
        </is>
      </c>
    </row>
    <row r="2" ht="30" customHeight="1">
      <c r="A2" s="2" t="inlineStr">
        <is>
          <t>12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41" t="inlineStr">
        <is>
          <t>B1</t>
        </is>
      </c>
      <c r="B5" s="15" t="inlineStr">
        <is>
          <t>Residential + tertiary building GHG emissions</t>
        </is>
      </c>
      <c r="C5" s="15" t="inlineStr">
        <is>
          <t>Mt CO₂eq</t>
        </is>
      </c>
      <c r="D5" s="16" t="n">
        <v>2022</v>
      </c>
      <c r="E5" s="17" t="n">
        <v>481.8</v>
      </c>
      <c r="F5" s="16" t="n">
        <v>2024</v>
      </c>
      <c r="G5" s="17" t="n">
        <v>430.7</v>
      </c>
      <c r="H5" s="18" t="n">
        <v>-0.1060606060606061</v>
      </c>
      <c r="I5" s="34" t="inlineStr">
        <is>
          <t>EEA GHG data viewer; 2023+ Eurostat (env_air_gge)</t>
        </is>
      </c>
      <c r="J5" s="16" t="n">
        <v>2</v>
      </c>
      <c r="K5" s="34" t="inlineStr">
        <is>
          <t>Derived from the live source</t>
        </is>
      </c>
    </row>
    <row r="6" ht="15" customHeight="1">
      <c r="A6" s="40" t="inlineStr">
        <is>
          <t>B2</t>
        </is>
      </c>
      <c r="B6" s="22" t="inlineStr">
        <is>
          <t>Final energy consumption in buildings</t>
        </is>
      </c>
      <c r="C6" s="22" t="inlineStr">
        <is>
          <t>TWh</t>
        </is>
      </c>
      <c r="D6" s="23" t="n">
        <v>2021</v>
      </c>
      <c r="E6" s="24" t="n">
        <v>4878.7</v>
      </c>
      <c r="F6" s="23" t="n">
        <v>2023</v>
      </c>
      <c r="G6" s="24" t="n">
        <v>4324.2</v>
      </c>
      <c r="H6" s="25" t="n">
        <v>-0.1136573267468793</v>
      </c>
      <c r="I6" s="35" t="inlineStr">
        <is>
          <t>Eurostat (nrg_bal_c)</t>
        </is>
      </c>
      <c r="J6" s="23" t="n">
        <v>2</v>
      </c>
      <c r="K6" s="35" t="inlineStr">
        <is>
          <t>Taken as published</t>
        </is>
      </c>
    </row>
    <row r="7" ht="15" customHeight="1">
      <c r="A7" s="41" t="inlineStr">
        <is>
          <t>B5a</t>
        </is>
      </c>
      <c r="B7" s="15" t="inlineStr">
        <is>
          <t>Fossil share of residential energy mix</t>
        </is>
      </c>
      <c r="C7" s="15" t="inlineStr">
        <is>
          <t>%</t>
        </is>
      </c>
      <c r="D7" s="16" t="n">
        <v>2021</v>
      </c>
      <c r="E7" s="17" t="n">
        <v>45.58</v>
      </c>
      <c r="F7" s="16" t="n">
        <v>2023</v>
      </c>
      <c r="G7" s="17" t="n">
        <v>42</v>
      </c>
      <c r="H7" s="18" t="n">
        <v>-0.07854322071083805</v>
      </c>
      <c r="I7" s="34" t="inlineStr">
        <is>
          <t>Eurostat (nrg_bal_c)</t>
        </is>
      </c>
      <c r="J7" s="16" t="n">
        <v>1</v>
      </c>
      <c r="K7" s="34" t="inlineStr">
        <is>
          <t>Taken as published</t>
        </is>
      </c>
    </row>
    <row r="8" ht="15" customHeight="1">
      <c r="A8" s="40" t="inlineStr">
        <is>
          <t>B5b</t>
        </is>
      </c>
      <c r="B8" s="22" t="inlineStr">
        <is>
          <t>Fossil share of tertiary energy mix</t>
        </is>
      </c>
      <c r="C8" s="22" t="inlineStr">
        <is>
          <t>%</t>
        </is>
      </c>
      <c r="D8" s="23" t="n">
        <v>2021</v>
      </c>
      <c r="E8" s="24" t="n">
        <v>38.74</v>
      </c>
      <c r="F8" s="23" t="n">
        <v>2023</v>
      </c>
      <c r="G8" s="24" t="n">
        <v>32.2</v>
      </c>
      <c r="H8" s="25" t="n">
        <v>-0.1688177594217862</v>
      </c>
      <c r="I8" s="35" t="inlineStr">
        <is>
          <t>Eurostat (nrg_bal_c)</t>
        </is>
      </c>
      <c r="J8" s="23" t="n">
        <v>1</v>
      </c>
      <c r="K8" s="35" t="inlineStr">
        <is>
          <t>Taken as published</t>
        </is>
      </c>
    </row>
    <row r="9" ht="15" customHeight="1">
      <c r="A9" s="41" t="inlineStr">
        <is>
          <t>B6</t>
        </is>
      </c>
      <c r="B9" s="15" t="inlineStr">
        <is>
          <t>EU stock of installed heat pumps</t>
        </is>
      </c>
      <c r="C9" s="15" t="inlineStr">
        <is>
          <t>million units</t>
        </is>
      </c>
      <c r="D9" s="16" t="n">
        <v>2022</v>
      </c>
      <c r="E9" s="17" t="n">
        <v>19.79</v>
      </c>
      <c r="F9" s="16" t="n">
        <v>2024</v>
      </c>
      <c r="G9" s="17" t="n">
        <v>25.5</v>
      </c>
      <c r="H9" s="18" t="n">
        <v>0.2885295603840324</v>
      </c>
      <c r="I9" s="34" t="inlineStr">
        <is>
          <t>European Heat Pump Association</t>
        </is>
      </c>
      <c r="J9" s="16" t="n">
        <v>2</v>
      </c>
      <c r="K9" s="34" t="inlineStr">
        <is>
          <t>Reconstructed from the sheet's own conversion</t>
        </is>
      </c>
    </row>
    <row r="10" ht="15" customHeight="1">
      <c r="A10" s="40" t="inlineStr">
        <is>
          <t>B4 (dwellings)</t>
        </is>
      </c>
      <c r="B10" s="22" t="inlineStr">
        <is>
          <t>Total number of dwellings (index, 2005 = 1.0)</t>
        </is>
      </c>
      <c r="C10" s="22" t="inlineStr">
        <is>
          <t>index (2005 = 1.0)</t>
        </is>
      </c>
      <c r="D10" s="23" t="n">
        <v>2016</v>
      </c>
      <c r="E10" s="24" t="n">
        <v>1.086</v>
      </c>
      <c r="F10" s="23" t="n">
        <v>2016</v>
      </c>
      <c r="G10" s="24" t="n">
        <v>1.086</v>
      </c>
      <c r="H10" s="25" t="n"/>
      <c r="I10" s="35" t="inlineStr">
        <is>
          <t>European Building Stock Observatory (DG ENER) + Odyssee-Mure; population from Eurostat demo_gind</t>
        </is>
      </c>
      <c r="J10" s="23" t="n"/>
      <c r="K10" s="35" t="inlineStr">
        <is>
          <t>—</t>
        </is>
      </c>
    </row>
    <row r="11" ht="15" customHeight="1">
      <c r="A11" s="41" t="inlineStr">
        <is>
          <t>B4 (floor area)</t>
        </is>
      </c>
      <c r="B11" s="15" t="inlineStr">
        <is>
          <t>Average floor area per dwelling (index, 2005 = 1.0)</t>
        </is>
      </c>
      <c r="C11" s="15" t="inlineStr">
        <is>
          <t>index (2005 = 1.0)</t>
        </is>
      </c>
      <c r="D11" s="16" t="n">
        <v>2020</v>
      </c>
      <c r="E11" s="17" t="n">
        <v>1.044</v>
      </c>
      <c r="F11" s="16" t="n">
        <v>2020</v>
      </c>
      <c r="G11" s="17" t="n">
        <v>1.044</v>
      </c>
      <c r="H11" s="18" t="n"/>
      <c r="I11" s="34" t="inlineStr">
        <is>
          <t>European Building Stock Observatory (DG ENER) + Odyssee-Mure; population from Eurostat demo_gind</t>
        </is>
      </c>
      <c r="J11" s="16" t="n"/>
      <c r="K11" s="34" t="inlineStr">
        <is>
          <t>—</t>
        </is>
      </c>
    </row>
    <row r="12" ht="15" customHeight="1">
      <c r="A12" s="40" t="inlineStr">
        <is>
          <t>B4 (surface residential)</t>
        </is>
      </c>
      <c r="B12" s="22" t="inlineStr">
        <is>
          <t>Total residential floor surface (index, 2005 = 1.0)</t>
        </is>
      </c>
      <c r="C12" s="22" t="inlineStr">
        <is>
          <t>index (2005 = 1.0)</t>
        </is>
      </c>
      <c r="D12" s="23" t="n">
        <v>2016</v>
      </c>
      <c r="E12" s="24" t="n">
        <v>1.131</v>
      </c>
      <c r="F12" s="23" t="n">
        <v>2016</v>
      </c>
      <c r="G12" s="24" t="n">
        <v>1.131</v>
      </c>
      <c r="H12" s="25" t="n"/>
      <c r="I12" s="35" t="inlineStr">
        <is>
          <t>European Building Stock Observatory (DG ENER) + Odyssee-Mure; population from Eurostat demo_gind</t>
        </is>
      </c>
      <c r="J12" s="23" t="n"/>
      <c r="K12" s="35" t="inlineStr">
        <is>
          <t>—</t>
        </is>
      </c>
    </row>
    <row r="13" ht="15" customHeight="1">
      <c r="A13" s="41" t="inlineStr">
        <is>
          <t>B4 (population)</t>
        </is>
      </c>
      <c r="B13" s="15" t="inlineStr">
        <is>
          <t>EU population (index, 2005 = 1.0)</t>
        </is>
      </c>
      <c r="C13" s="15" t="inlineStr">
        <is>
          <t>index (2005 = 1.0)</t>
        </is>
      </c>
      <c r="D13" s="16" t="n">
        <v>2020</v>
      </c>
      <c r="E13" s="17" t="n">
        <v>1.028</v>
      </c>
      <c r="F13" s="16" t="n">
        <v>2025</v>
      </c>
      <c r="G13" s="17" t="n">
        <v>1.04</v>
      </c>
      <c r="H13" s="18" t="n">
        <v>0.01167315175097277</v>
      </c>
      <c r="I13" s="34" t="inlineStr">
        <is>
          <t>European Building Stock Observatory (DG ENER) + Odyssee-Mure; population from Eurostat demo_gind</t>
        </is>
      </c>
      <c r="J13" s="16" t="n">
        <v>5</v>
      </c>
      <c r="K13" s="34" t="inlineStr">
        <is>
          <t>Derived from the live source</t>
        </is>
      </c>
    </row>
    <row r="14" ht="15" customHeight="1">
      <c r="A14" s="40" t="inlineStr">
        <is>
          <t>B4 (surface tertiary)</t>
        </is>
      </c>
      <c r="B14" s="22" t="inlineStr">
        <is>
          <t>Total tertiary floor surface (index, 2005 = 1.0)</t>
        </is>
      </c>
      <c r="C14" s="22" t="inlineStr">
        <is>
          <t>index (2005 = 1.0)</t>
        </is>
      </c>
      <c r="D14" s="23" t="n">
        <v>2019</v>
      </c>
      <c r="E14" s="24" t="n">
        <v>1.12</v>
      </c>
      <c r="F14" s="23" t="n">
        <v>2019</v>
      </c>
      <c r="G14" s="24" t="n">
        <v>1.12</v>
      </c>
      <c r="H14" s="25" t="n"/>
      <c r="I14" s="35" t="inlineStr">
        <is>
          <t>European Building Stock Observatory (DG ENER) + Odyssee-Mure; population from Eurostat demo_gind</t>
        </is>
      </c>
      <c r="J14" s="23" t="n"/>
      <c r="K14" s="35" t="inlineStr">
        <is>
          <t>—</t>
        </is>
      </c>
    </row>
    <row r="15" ht="15" customHeight="1">
      <c r="A15" s="41" t="inlineStr">
        <is>
          <t>B3 (residential)</t>
        </is>
      </c>
      <c r="B15" s="15" t="inlineStr">
        <is>
          <t>Residential weighted renovation rate (EU)</t>
        </is>
      </c>
      <c r="C15" s="15" t="inlineStr">
        <is>
          <t>%</t>
        </is>
      </c>
      <c r="D15" s="16" t="n">
        <v>2020</v>
      </c>
      <c r="E15" s="17" t="n">
        <v>1</v>
      </c>
      <c r="F15" s="16" t="n">
        <v>2020</v>
      </c>
      <c r="G15" s="17" t="n">
        <v>1</v>
      </c>
      <c r="H15" s="18" t="n"/>
      <c r="I15" s="34" t="inlineStr">
        <is>
          <t>Climate Target Plan impact assessment + Eurostat</t>
        </is>
      </c>
      <c r="J15" s="16" t="n"/>
      <c r="K15" s="34" t="inlineStr">
        <is>
          <t>—</t>
        </is>
      </c>
    </row>
    <row r="16" ht="15" customHeight="1">
      <c r="A16" s="40" t="inlineStr">
        <is>
          <t>B3 (commercial)</t>
        </is>
      </c>
      <c r="B16" s="22" t="inlineStr">
        <is>
          <t>Commercial weighted renovation rate (EU)</t>
        </is>
      </c>
      <c r="C16" s="22" t="inlineStr">
        <is>
          <t>%</t>
        </is>
      </c>
      <c r="D16" s="23" t="n">
        <v>2020</v>
      </c>
      <c r="E16" s="24" t="n">
        <v>0.6</v>
      </c>
      <c r="F16" s="23" t="n">
        <v>2020</v>
      </c>
      <c r="G16" s="24" t="n">
        <v>0.6</v>
      </c>
      <c r="H16" s="25" t="n"/>
      <c r="I16" s="35" t="inlineStr">
        <is>
          <t>Climate Target Plan impact assessment + Eurostat</t>
        </is>
      </c>
      <c r="J16" s="23" t="n"/>
      <c r="K16" s="35" t="inlineStr">
        <is>
          <t>—</t>
        </is>
      </c>
    </row>
    <row r="19">
      <c r="A19" s="59" t="inlineStr">
        <is>
          <t>B1 · Residential + tertiary building GHG emissions  (Mt CO₂eq)</t>
        </is>
      </c>
    </row>
    <row r="20">
      <c r="A20" s="3" t="inlineStr">
        <is>
          <t>Source: EEA GHG data viewer; 2023+ Eurostat (env_air_gge) — https://doi.org/10.2908/ENV_AIR_GGE</t>
        </is>
      </c>
    </row>
    <row r="21" ht="28" customHeight="1">
      <c r="A21" s="5" t="inlineStr">
        <is>
          <t>Year</t>
        </is>
      </c>
      <c r="B21" s="5" t="inlineStr">
        <is>
          <t>In the 2024 report</t>
        </is>
      </c>
      <c r="C21" s="5" t="inlineStr">
        <is>
          <t>Added since the report</t>
        </is>
      </c>
    </row>
    <row r="22" ht="14" customHeight="1">
      <c r="A22" s="53" t="n">
        <v>2005</v>
      </c>
      <c r="B22" s="17" t="n">
        <v>665</v>
      </c>
      <c r="C22" s="17" t="n"/>
    </row>
    <row r="23" ht="14" customHeight="1">
      <c r="A23" s="54" t="n">
        <v>2006</v>
      </c>
      <c r="B23" s="24" t="n">
        <v>663.4</v>
      </c>
      <c r="C23" s="24" t="n"/>
    </row>
    <row r="24" ht="14" customHeight="1">
      <c r="A24" s="53" t="n">
        <v>2007</v>
      </c>
      <c r="B24" s="17" t="n">
        <v>589.5</v>
      </c>
      <c r="C24" s="17" t="n"/>
    </row>
    <row r="25" ht="14" customHeight="1">
      <c r="A25" s="54" t="n">
        <v>2008</v>
      </c>
      <c r="B25" s="24" t="n">
        <v>635.1</v>
      </c>
      <c r="C25" s="24" t="n"/>
    </row>
    <row r="26" ht="14" customHeight="1">
      <c r="A26" s="53" t="n">
        <v>2009</v>
      </c>
      <c r="B26" s="17" t="n">
        <v>621.4</v>
      </c>
      <c r="C26" s="17" t="n"/>
    </row>
    <row r="27" ht="14" customHeight="1">
      <c r="A27" s="54" t="n">
        <v>2010</v>
      </c>
      <c r="B27" s="24" t="n">
        <v>656.1</v>
      </c>
      <c r="C27" s="24" t="n"/>
    </row>
    <row r="28" ht="14" customHeight="1">
      <c r="A28" s="53" t="n">
        <v>2011</v>
      </c>
      <c r="B28" s="17" t="n">
        <v>581.5</v>
      </c>
      <c r="C28" s="17" t="n"/>
    </row>
    <row r="29" ht="14" customHeight="1">
      <c r="A29" s="54" t="n">
        <v>2012</v>
      </c>
      <c r="B29" s="24" t="n">
        <v>589.6</v>
      </c>
      <c r="C29" s="24" t="n"/>
    </row>
    <row r="30" ht="14" customHeight="1">
      <c r="A30" s="53" t="n">
        <v>2013</v>
      </c>
      <c r="B30" s="17" t="n">
        <v>593.9</v>
      </c>
      <c r="C30" s="17" t="n"/>
    </row>
    <row r="31" ht="14" customHeight="1">
      <c r="A31" s="54" t="n">
        <v>2014</v>
      </c>
      <c r="B31" s="24" t="n">
        <v>517.8</v>
      </c>
      <c r="C31" s="24" t="n"/>
    </row>
    <row r="32" ht="14" customHeight="1">
      <c r="A32" s="53" t="n">
        <v>2015</v>
      </c>
      <c r="B32" s="17" t="n">
        <v>541</v>
      </c>
      <c r="C32" s="17" t="n"/>
    </row>
    <row r="33" ht="14" customHeight="1">
      <c r="A33" s="54" t="n">
        <v>2016</v>
      </c>
      <c r="B33" s="24" t="n">
        <v>547.7</v>
      </c>
      <c r="C33" s="24" t="n"/>
    </row>
    <row r="34" ht="14" customHeight="1">
      <c r="A34" s="53" t="n">
        <v>2017</v>
      </c>
      <c r="B34" s="17" t="n">
        <v>545.7</v>
      </c>
      <c r="C34" s="17" t="n"/>
    </row>
    <row r="35" ht="14" customHeight="1">
      <c r="A35" s="54" t="n">
        <v>2018</v>
      </c>
      <c r="B35" s="24" t="n">
        <v>532.9</v>
      </c>
      <c r="C35" s="24" t="n"/>
    </row>
    <row r="36" ht="14" customHeight="1">
      <c r="A36" s="53" t="n">
        <v>2019</v>
      </c>
      <c r="B36" s="17" t="n">
        <v>522.8</v>
      </c>
      <c r="C36" s="17" t="n"/>
    </row>
    <row r="37" ht="14" customHeight="1">
      <c r="A37" s="54" t="n">
        <v>2020</v>
      </c>
      <c r="B37" s="24" t="n">
        <v>519.7</v>
      </c>
      <c r="C37" s="24" t="n"/>
    </row>
    <row r="38" ht="14" customHeight="1">
      <c r="A38" s="53" t="n">
        <v>2021</v>
      </c>
      <c r="B38" s="17" t="n">
        <v>532.5</v>
      </c>
      <c r="C38" s="17" t="n"/>
    </row>
    <row r="39" ht="14" customHeight="1">
      <c r="A39" s="54" t="n">
        <v>2022</v>
      </c>
      <c r="B39" s="24" t="n">
        <v>481.8</v>
      </c>
      <c r="C39" s="24" t="n">
        <v>481.8</v>
      </c>
    </row>
    <row r="40" ht="14" customHeight="1">
      <c r="A40" s="53" t="n">
        <v>2023</v>
      </c>
      <c r="B40" s="17" t="n"/>
      <c r="C40" s="17" t="n">
        <v>437.3</v>
      </c>
    </row>
    <row r="41" ht="14" customHeight="1">
      <c r="A41" s="54" t="n">
        <v>2024</v>
      </c>
      <c r="B41" s="24" t="n"/>
      <c r="C41" s="24" t="n">
        <v>430.7</v>
      </c>
    </row>
    <row r="43">
      <c r="A43" s="59" t="inlineStr">
        <is>
          <t>B2 · Final energy consumption in buildings  (TWh)</t>
        </is>
      </c>
    </row>
    <row r="44">
      <c r="A44" s="3" t="inlineStr">
        <is>
          <t>Source: Eurostat (nrg_bal_c) — https://doi.org/10.2908/NRG_BAL_C</t>
        </is>
      </c>
    </row>
    <row r="45" ht="28" customHeight="1">
      <c r="A45" s="5" t="inlineStr">
        <is>
          <t>Year</t>
        </is>
      </c>
      <c r="B45" s="5" t="inlineStr">
        <is>
          <t>In the 2024 report</t>
        </is>
      </c>
      <c r="C45" s="5" t="inlineStr">
        <is>
          <t>Added since the report</t>
        </is>
      </c>
    </row>
    <row r="46" ht="14" customHeight="1">
      <c r="A46" s="53" t="n">
        <v>2005</v>
      </c>
      <c r="B46" s="17" t="n">
        <v>4899.7</v>
      </c>
      <c r="C46" s="17" t="n"/>
    </row>
    <row r="47" ht="14" customHeight="1">
      <c r="A47" s="54" t="n">
        <v>2006</v>
      </c>
      <c r="B47" s="24" t="n">
        <v>4928.3</v>
      </c>
      <c r="C47" s="24" t="n"/>
    </row>
    <row r="48" ht="14" customHeight="1">
      <c r="A48" s="53" t="n">
        <v>2007</v>
      </c>
      <c r="B48" s="17" t="n">
        <v>4656.5</v>
      </c>
      <c r="C48" s="17" t="n"/>
    </row>
    <row r="49" ht="14" customHeight="1">
      <c r="A49" s="54" t="n">
        <v>2008</v>
      </c>
      <c r="B49" s="24" t="n">
        <v>4921.5</v>
      </c>
      <c r="C49" s="24" t="n"/>
    </row>
    <row r="50" ht="14" customHeight="1">
      <c r="A50" s="53" t="n">
        <v>2009</v>
      </c>
      <c r="B50" s="17" t="n">
        <v>4894.4</v>
      </c>
      <c r="C50" s="17" t="n"/>
    </row>
    <row r="51" ht="14" customHeight="1">
      <c r="A51" s="54" t="n">
        <v>2010</v>
      </c>
      <c r="B51" s="24" t="n">
        <v>5168.7</v>
      </c>
      <c r="C51" s="24" t="n"/>
    </row>
    <row r="52" ht="14" customHeight="1">
      <c r="A52" s="53" t="n">
        <v>2011</v>
      </c>
      <c r="B52" s="17" t="n">
        <v>4712</v>
      </c>
      <c r="C52" s="17" t="n"/>
    </row>
    <row r="53" ht="14" customHeight="1">
      <c r="A53" s="54" t="n">
        <v>2012</v>
      </c>
      <c r="B53" s="24" t="n">
        <v>4871.4</v>
      </c>
      <c r="C53" s="24" t="n"/>
    </row>
    <row r="54" ht="14" customHeight="1">
      <c r="A54" s="53" t="n">
        <v>2013</v>
      </c>
      <c r="B54" s="17" t="n">
        <v>4929.8</v>
      </c>
      <c r="C54" s="17" t="n"/>
    </row>
    <row r="55" ht="14" customHeight="1">
      <c r="A55" s="54" t="n">
        <v>2014</v>
      </c>
      <c r="B55" s="24" t="n">
        <v>4449.7</v>
      </c>
      <c r="C55" s="24" t="n"/>
    </row>
    <row r="56" ht="14" customHeight="1">
      <c r="A56" s="53" t="n">
        <v>2015</v>
      </c>
      <c r="B56" s="17" t="n">
        <v>4629.8</v>
      </c>
      <c r="C56" s="17" t="n"/>
    </row>
    <row r="57" ht="14" customHeight="1">
      <c r="A57" s="54" t="n">
        <v>2016</v>
      </c>
      <c r="B57" s="24" t="n">
        <v>4721.9</v>
      </c>
      <c r="C57" s="24" t="n"/>
    </row>
    <row r="58" ht="14" customHeight="1">
      <c r="A58" s="53" t="n">
        <v>2017</v>
      </c>
      <c r="B58" s="17" t="n">
        <v>4778.3</v>
      </c>
      <c r="C58" s="17" t="n"/>
    </row>
    <row r="59" ht="14" customHeight="1">
      <c r="A59" s="54" t="n">
        <v>2018</v>
      </c>
      <c r="B59" s="24" t="n">
        <v>4757</v>
      </c>
      <c r="C59" s="24" t="n"/>
    </row>
    <row r="60" ht="14" customHeight="1">
      <c r="A60" s="53" t="n">
        <v>2019</v>
      </c>
      <c r="B60" s="17" t="n">
        <v>4707.6</v>
      </c>
      <c r="C60" s="17" t="n"/>
    </row>
    <row r="61" ht="14" customHeight="1">
      <c r="A61" s="54" t="n">
        <v>2020</v>
      </c>
      <c r="B61" s="24" t="n">
        <v>4625.9</v>
      </c>
      <c r="C61" s="24" t="n"/>
    </row>
    <row r="62" ht="14" customHeight="1">
      <c r="A62" s="53" t="n">
        <v>2021</v>
      </c>
      <c r="B62" s="17" t="n">
        <v>4878.7</v>
      </c>
      <c r="C62" s="17" t="n">
        <v>4878.7</v>
      </c>
    </row>
    <row r="63" ht="14" customHeight="1">
      <c r="A63" s="54" t="n">
        <v>2022</v>
      </c>
      <c r="B63" s="24" t="n"/>
      <c r="C63" s="24" t="n">
        <v>4524.2</v>
      </c>
    </row>
    <row r="64" ht="14" customHeight="1">
      <c r="A64" s="53" t="n">
        <v>2023</v>
      </c>
      <c r="B64" s="17" t="n"/>
      <c r="C64" s="17" t="n">
        <v>4324.2</v>
      </c>
    </row>
    <row r="66">
      <c r="A66" s="59" t="inlineStr">
        <is>
          <t>B5a · Fossil share of residential energy mix  (%)</t>
        </is>
      </c>
    </row>
    <row r="67">
      <c r="A67" s="3" t="inlineStr">
        <is>
          <t>Source: Eurostat (nrg_bal_c) — https://doi.org/10.2908/NRG_BAL_C</t>
        </is>
      </c>
    </row>
    <row r="68" ht="28" customHeight="1">
      <c r="A68" s="5" t="inlineStr">
        <is>
          <t>Year</t>
        </is>
      </c>
      <c r="B68" s="5" t="inlineStr">
        <is>
          <t>In the 2024 report</t>
        </is>
      </c>
      <c r="C68" s="5" t="inlineStr">
        <is>
          <t>Added since the report</t>
        </is>
      </c>
    </row>
    <row r="69" ht="14" customHeight="1">
      <c r="A69" s="53" t="n">
        <v>2005</v>
      </c>
      <c r="B69" s="17" t="n">
        <v>56.61</v>
      </c>
      <c r="C69" s="17" t="n"/>
    </row>
    <row r="70" ht="14" customHeight="1">
      <c r="A70" s="54" t="n">
        <v>2006</v>
      </c>
      <c r="B70" s="24" t="n">
        <v>55.73</v>
      </c>
      <c r="C70" s="24" t="n"/>
    </row>
    <row r="71" ht="14" customHeight="1">
      <c r="A71" s="53" t="n">
        <v>2007</v>
      </c>
      <c r="B71" s="17" t="n">
        <v>51.74</v>
      </c>
      <c r="C71" s="17" t="n"/>
    </row>
    <row r="72" ht="14" customHeight="1">
      <c r="A72" s="54" t="n">
        <v>2008</v>
      </c>
      <c r="B72" s="24" t="n">
        <v>52.64</v>
      </c>
      <c r="C72" s="24" t="n"/>
    </row>
    <row r="73" ht="14" customHeight="1">
      <c r="A73" s="53" t="n">
        <v>2009</v>
      </c>
      <c r="B73" s="17" t="n">
        <v>51.88</v>
      </c>
      <c r="C73" s="17" t="n"/>
    </row>
    <row r="74" ht="14" customHeight="1">
      <c r="A74" s="54" t="n">
        <v>2010</v>
      </c>
      <c r="B74" s="24" t="n">
        <v>51.87</v>
      </c>
      <c r="C74" s="24" t="n"/>
    </row>
    <row r="75" ht="14" customHeight="1">
      <c r="A75" s="53" t="n">
        <v>2011</v>
      </c>
      <c r="B75" s="17" t="n">
        <v>50.36</v>
      </c>
      <c r="C75" s="17" t="n"/>
    </row>
    <row r="76" ht="14" customHeight="1">
      <c r="A76" s="54" t="n">
        <v>2012</v>
      </c>
      <c r="B76" s="24" t="n">
        <v>49.74</v>
      </c>
      <c r="C76" s="24" t="n"/>
    </row>
    <row r="77" ht="14" customHeight="1">
      <c r="A77" s="53" t="n">
        <v>2013</v>
      </c>
      <c r="B77" s="17" t="n">
        <v>49.65</v>
      </c>
      <c r="C77" s="17" t="n"/>
    </row>
    <row r="78" ht="14" customHeight="1">
      <c r="A78" s="54" t="n">
        <v>2014</v>
      </c>
      <c r="B78" s="24" t="n">
        <v>47.28</v>
      </c>
      <c r="C78" s="24" t="n"/>
    </row>
    <row r="79" ht="14" customHeight="1">
      <c r="A79" s="53" t="n">
        <v>2015</v>
      </c>
      <c r="B79" s="17" t="n">
        <v>47.99</v>
      </c>
      <c r="C79" s="17" t="n"/>
    </row>
    <row r="80" ht="14" customHeight="1">
      <c r="A80" s="54" t="n">
        <v>2016</v>
      </c>
      <c r="B80" s="24" t="n">
        <v>48.44</v>
      </c>
      <c r="C80" s="24" t="n"/>
    </row>
    <row r="81" ht="14" customHeight="1">
      <c r="A81" s="53" t="n">
        <v>2017</v>
      </c>
      <c r="B81" s="17" t="n">
        <v>47.89</v>
      </c>
      <c r="C81" s="17" t="n"/>
    </row>
    <row r="82" ht="14" customHeight="1">
      <c r="A82" s="54" t="n">
        <v>2018</v>
      </c>
      <c r="B82" s="24" t="n">
        <v>46.98</v>
      </c>
      <c r="C82" s="24" t="n"/>
    </row>
    <row r="83" ht="14" customHeight="1">
      <c r="A83" s="53" t="n">
        <v>2019</v>
      </c>
      <c r="B83" s="17" t="n">
        <v>46.53</v>
      </c>
      <c r="C83" s="17" t="n"/>
    </row>
    <row r="84" ht="14" customHeight="1">
      <c r="A84" s="54" t="n">
        <v>2020</v>
      </c>
      <c r="B84" s="24" t="n">
        <v>46.74</v>
      </c>
      <c r="C84" s="24" t="n"/>
    </row>
    <row r="85" ht="14" customHeight="1">
      <c r="A85" s="53" t="n">
        <v>2021</v>
      </c>
      <c r="B85" s="17" t="n">
        <v>45.58</v>
      </c>
      <c r="C85" s="17" t="n">
        <v>45.58</v>
      </c>
    </row>
    <row r="86" ht="14" customHeight="1">
      <c r="A86" s="54" t="n">
        <v>2023</v>
      </c>
      <c r="B86" s="24" t="n"/>
      <c r="C86" s="24" t="n">
        <v>42</v>
      </c>
    </row>
    <row r="88">
      <c r="A88" s="59" t="inlineStr">
        <is>
          <t>B5b · Fossil share of tertiary energy mix  (%)</t>
        </is>
      </c>
    </row>
    <row r="89">
      <c r="A89" s="3" t="inlineStr">
        <is>
          <t>Source: Eurostat (nrg_bal_c) — https://doi.org/10.2908/NRG_BAL_C</t>
        </is>
      </c>
    </row>
    <row r="90" ht="28" customHeight="1">
      <c r="A90" s="5" t="inlineStr">
        <is>
          <t>Year</t>
        </is>
      </c>
      <c r="B90" s="5" t="inlineStr">
        <is>
          <t>In the 2024 report</t>
        </is>
      </c>
      <c r="C90" s="5" t="inlineStr">
        <is>
          <t>Added since the report</t>
        </is>
      </c>
    </row>
    <row r="91" ht="14" customHeight="1">
      <c r="A91" s="53" t="n">
        <v>2005</v>
      </c>
      <c r="B91" s="17" t="n">
        <v>46.98</v>
      </c>
      <c r="C91" s="17" t="n"/>
    </row>
    <row r="92" ht="14" customHeight="1">
      <c r="A92" s="54" t="n">
        <v>2006</v>
      </c>
      <c r="B92" s="24" t="n">
        <v>46.65</v>
      </c>
      <c r="C92" s="24" t="n"/>
    </row>
    <row r="93" ht="14" customHeight="1">
      <c r="A93" s="53" t="n">
        <v>2007</v>
      </c>
      <c r="B93" s="17" t="n">
        <v>42.85</v>
      </c>
      <c r="C93" s="17" t="n"/>
    </row>
    <row r="94" ht="14" customHeight="1">
      <c r="A94" s="54" t="n">
        <v>2008</v>
      </c>
      <c r="B94" s="24" t="n">
        <v>43.89</v>
      </c>
      <c r="C94" s="24" t="n"/>
    </row>
    <row r="95" ht="14" customHeight="1">
      <c r="A95" s="53" t="n">
        <v>2009</v>
      </c>
      <c r="B95" s="17" t="n">
        <v>43.26</v>
      </c>
      <c r="C95" s="17" t="n"/>
    </row>
    <row r="96" ht="14" customHeight="1">
      <c r="A96" s="54" t="n">
        <v>2010</v>
      </c>
      <c r="B96" s="24" t="n">
        <v>42.84</v>
      </c>
      <c r="C96" s="24" t="n"/>
    </row>
    <row r="97" ht="14" customHeight="1">
      <c r="A97" s="53" t="n">
        <v>2011</v>
      </c>
      <c r="B97" s="17" t="n">
        <v>40.8</v>
      </c>
      <c r="C97" s="17" t="n"/>
    </row>
    <row r="98" ht="14" customHeight="1">
      <c r="A98" s="54" t="n">
        <v>2012</v>
      </c>
      <c r="B98" s="24" t="n">
        <v>40.9</v>
      </c>
      <c r="C98" s="24" t="n"/>
    </row>
    <row r="99" ht="14" customHeight="1">
      <c r="A99" s="53" t="n">
        <v>2013</v>
      </c>
      <c r="B99" s="17" t="n">
        <v>42.42</v>
      </c>
      <c r="C99" s="17" t="n"/>
    </row>
    <row r="100" ht="14" customHeight="1">
      <c r="A100" s="54" t="n">
        <v>2014</v>
      </c>
      <c r="B100" s="24" t="n">
        <v>39.98</v>
      </c>
      <c r="C100" s="24" t="n"/>
    </row>
    <row r="101" ht="14" customHeight="1">
      <c r="A101" s="53" t="n">
        <v>2015</v>
      </c>
      <c r="B101" s="17" t="n">
        <v>40.36</v>
      </c>
      <c r="C101" s="17" t="n"/>
    </row>
    <row r="102" ht="14" customHeight="1">
      <c r="A102" s="54" t="n">
        <v>2016</v>
      </c>
      <c r="B102" s="24" t="n">
        <v>40.13</v>
      </c>
      <c r="C102" s="24" t="n"/>
    </row>
    <row r="103" ht="14" customHeight="1">
      <c r="A103" s="53" t="n">
        <v>2017</v>
      </c>
      <c r="B103" s="17" t="n">
        <v>38.97</v>
      </c>
      <c r="C103" s="17" t="n"/>
    </row>
    <row r="104" ht="14" customHeight="1">
      <c r="A104" s="54" t="n">
        <v>2018</v>
      </c>
      <c r="B104" s="24" t="n">
        <v>37.71</v>
      </c>
      <c r="C104" s="24" t="n"/>
    </row>
    <row r="105" ht="14" customHeight="1">
      <c r="A105" s="53" t="n">
        <v>2019</v>
      </c>
      <c r="B105" s="17" t="n">
        <v>37.13</v>
      </c>
      <c r="C105" s="17" t="n"/>
    </row>
    <row r="106" ht="14" customHeight="1">
      <c r="A106" s="54" t="n">
        <v>2020</v>
      </c>
      <c r="B106" s="24" t="n">
        <v>37.28</v>
      </c>
      <c r="C106" s="24" t="n"/>
    </row>
    <row r="107" ht="14" customHeight="1">
      <c r="A107" s="53" t="n">
        <v>2021</v>
      </c>
      <c r="B107" s="17" t="n">
        <v>38.74</v>
      </c>
      <c r="C107" s="17" t="n">
        <v>38.74</v>
      </c>
    </row>
    <row r="108" ht="14" customHeight="1">
      <c r="A108" s="54" t="n">
        <v>2023</v>
      </c>
      <c r="B108" s="24" t="n"/>
      <c r="C108" s="24" t="n">
        <v>32.2</v>
      </c>
    </row>
    <row r="110">
      <c r="A110" s="59" t="inlineStr">
        <is>
          <t>B6 · EU stock of installed heat pumps  (million units)</t>
        </is>
      </c>
    </row>
    <row r="111">
      <c r="A111" s="3" t="inlineStr">
        <is>
          <t>Source: European Heat Pump Association — https://ehpa.org/market-data/</t>
        </is>
      </c>
    </row>
    <row r="112" ht="28" customHeight="1">
      <c r="A112" s="5" t="inlineStr">
        <is>
          <t>Year</t>
        </is>
      </c>
      <c r="B112" s="5" t="inlineStr">
        <is>
          <t>In the 2024 report</t>
        </is>
      </c>
      <c r="C112" s="5" t="inlineStr">
        <is>
          <t>Added since the report</t>
        </is>
      </c>
    </row>
    <row r="113" ht="14" customHeight="1">
      <c r="A113" s="53" t="n">
        <v>2005</v>
      </c>
      <c r="B113" s="17" t="n">
        <v>1.1</v>
      </c>
      <c r="C113" s="17" t="n"/>
    </row>
    <row r="114" ht="14" customHeight="1">
      <c r="A114" s="54" t="n">
        <v>2006</v>
      </c>
      <c r="B114" s="24" t="n">
        <v>1.6</v>
      </c>
      <c r="C114" s="24" t="n"/>
    </row>
    <row r="115" ht="14" customHeight="1">
      <c r="A115" s="53" t="n">
        <v>2007</v>
      </c>
      <c r="B115" s="17" t="n">
        <v>2.17</v>
      </c>
      <c r="C115" s="17" t="n"/>
    </row>
    <row r="116" ht="14" customHeight="1">
      <c r="A116" s="54" t="n">
        <v>2008</v>
      </c>
      <c r="B116" s="24" t="n">
        <v>2.98</v>
      </c>
      <c r="C116" s="24" t="n"/>
    </row>
    <row r="117" ht="14" customHeight="1">
      <c r="A117" s="53" t="n">
        <v>2009</v>
      </c>
      <c r="B117" s="17" t="n">
        <v>3.71</v>
      </c>
      <c r="C117" s="17" t="n"/>
    </row>
    <row r="118" ht="14" customHeight="1">
      <c r="A118" s="54" t="n">
        <v>2010</v>
      </c>
      <c r="B118" s="24" t="n">
        <v>4.5</v>
      </c>
      <c r="C118" s="24" t="n"/>
    </row>
    <row r="119" ht="14" customHeight="1">
      <c r="A119" s="53" t="n">
        <v>2011</v>
      </c>
      <c r="B119" s="17" t="n">
        <v>5.3</v>
      </c>
      <c r="C119" s="17" t="n"/>
    </row>
    <row r="120" ht="14" customHeight="1">
      <c r="A120" s="54" t="n">
        <v>2012</v>
      </c>
      <c r="B120" s="24" t="n">
        <v>6.03</v>
      </c>
      <c r="C120" s="24" t="n"/>
    </row>
    <row r="121" ht="14" customHeight="1">
      <c r="A121" s="53" t="n">
        <v>2013</v>
      </c>
      <c r="B121" s="17" t="n">
        <v>6.78</v>
      </c>
      <c r="C121" s="17" t="n"/>
    </row>
    <row r="122" ht="14" customHeight="1">
      <c r="A122" s="54" t="n">
        <v>2014</v>
      </c>
      <c r="B122" s="24" t="n">
        <v>7.55</v>
      </c>
      <c r="C122" s="24" t="n"/>
    </row>
    <row r="123" ht="14" customHeight="1">
      <c r="A123" s="53" t="n">
        <v>2015</v>
      </c>
      <c r="B123" s="17" t="n">
        <v>8.43</v>
      </c>
      <c r="C123" s="17" t="n"/>
    </row>
    <row r="124" ht="14" customHeight="1">
      <c r="A124" s="54" t="n">
        <v>2016</v>
      </c>
      <c r="B124" s="24" t="n">
        <v>9.41</v>
      </c>
      <c r="C124" s="24" t="n"/>
    </row>
    <row r="125" ht="14" customHeight="1">
      <c r="A125" s="53" t="n">
        <v>2017</v>
      </c>
      <c r="B125" s="17" t="n">
        <v>10.5</v>
      </c>
      <c r="C125" s="17" t="n"/>
    </row>
    <row r="126" ht="14" customHeight="1">
      <c r="A126" s="54" t="n">
        <v>2018</v>
      </c>
      <c r="B126" s="24" t="n">
        <v>11.78</v>
      </c>
      <c r="C126" s="24" t="n"/>
    </row>
    <row r="127" ht="14" customHeight="1">
      <c r="A127" s="53" t="n">
        <v>2019</v>
      </c>
      <c r="B127" s="17" t="n">
        <v>13.21</v>
      </c>
      <c r="C127" s="17" t="n"/>
    </row>
    <row r="128" ht="14" customHeight="1">
      <c r="A128" s="54" t="n">
        <v>2020</v>
      </c>
      <c r="B128" s="24" t="n">
        <v>14.77</v>
      </c>
      <c r="C128" s="24" t="n"/>
    </row>
    <row r="129" ht="14" customHeight="1">
      <c r="A129" s="53" t="n">
        <v>2021</v>
      </c>
      <c r="B129" s="17" t="n">
        <v>16.87</v>
      </c>
      <c r="C129" s="17" t="n"/>
    </row>
    <row r="130" ht="14" customHeight="1">
      <c r="A130" s="54" t="n">
        <v>2022</v>
      </c>
      <c r="B130" s="24" t="n">
        <v>19.79</v>
      </c>
      <c r="C130" s="24" t="n">
        <v>19.79</v>
      </c>
    </row>
    <row r="131" ht="14" customHeight="1">
      <c r="A131" s="53" t="n">
        <v>2023</v>
      </c>
      <c r="B131" s="17" t="n"/>
      <c r="C131" s="17" t="n">
        <v>23.96</v>
      </c>
    </row>
    <row r="132" ht="14" customHeight="1">
      <c r="A132" s="54" t="n">
        <v>2024</v>
      </c>
      <c r="B132" s="24" t="n"/>
      <c r="C132" s="24" t="n">
        <v>25.5</v>
      </c>
    </row>
    <row r="134">
      <c r="A134" s="59" t="inlineStr">
        <is>
          <t>B4 (dwellings) · Total number of dwellings (index, 2005 = 1.0)  (index (2005 = 1.0))</t>
        </is>
      </c>
    </row>
    <row r="135">
      <c r="A135" s="3" t="inlineStr">
        <is>
          <t>Source: European Building Stock Observatory (DG ENER) + Odyssee-Mure; population from Eurostat demo_gind — https://energy.ec.europa.eu/topics/energy-efficiency/energy-performance-buildings/eu-building-stock-observatory_en</t>
        </is>
      </c>
    </row>
    <row r="136" ht="28" customHeight="1">
      <c r="A136" s="5" t="inlineStr">
        <is>
          <t>Year</t>
        </is>
      </c>
      <c r="B136" s="5" t="inlineStr">
        <is>
          <t>In the 2024 report</t>
        </is>
      </c>
      <c r="C136" s="5" t="inlineStr">
        <is>
          <t>Added since the report</t>
        </is>
      </c>
    </row>
    <row r="137" ht="14" customHeight="1">
      <c r="A137" s="53" t="n">
        <v>2005</v>
      </c>
      <c r="B137" s="17" t="n">
        <v>1</v>
      </c>
      <c r="C137" s="17" t="n"/>
    </row>
    <row r="138" ht="14" customHeight="1">
      <c r="A138" s="54" t="n">
        <v>2006</v>
      </c>
      <c r="B138" s="24" t="n">
        <v>1.012</v>
      </c>
      <c r="C138" s="24" t="n"/>
    </row>
    <row r="139" ht="14" customHeight="1">
      <c r="A139" s="53" t="n">
        <v>2007</v>
      </c>
      <c r="B139" s="17" t="n">
        <v>1.021</v>
      </c>
      <c r="C139" s="17" t="n"/>
    </row>
    <row r="140" ht="14" customHeight="1">
      <c r="A140" s="54" t="n">
        <v>2008</v>
      </c>
      <c r="B140" s="24" t="n">
        <v>1.032</v>
      </c>
      <c r="C140" s="24" t="n"/>
    </row>
    <row r="141" ht="14" customHeight="1">
      <c r="A141" s="53" t="n">
        <v>2009</v>
      </c>
      <c r="B141" s="17" t="n">
        <v>1.041</v>
      </c>
      <c r="C141" s="17" t="n"/>
    </row>
    <row r="142" ht="14" customHeight="1">
      <c r="A142" s="54" t="n">
        <v>2010</v>
      </c>
      <c r="B142" s="24" t="n">
        <v>1.053</v>
      </c>
      <c r="C142" s="24" t="n"/>
    </row>
    <row r="143" ht="14" customHeight="1">
      <c r="A143" s="53" t="n">
        <v>2011</v>
      </c>
      <c r="B143" s="17" t="n">
        <v>1.053</v>
      </c>
      <c r="C143" s="17" t="n"/>
    </row>
    <row r="144" ht="14" customHeight="1">
      <c r="A144" s="54" t="n">
        <v>2012</v>
      </c>
      <c r="B144" s="24" t="n">
        <v>1.063</v>
      </c>
      <c r="C144" s="24" t="n"/>
    </row>
    <row r="145" ht="14" customHeight="1">
      <c r="A145" s="53" t="n">
        <v>2013</v>
      </c>
      <c r="B145" s="17" t="n">
        <v>1.069</v>
      </c>
      <c r="C145" s="17" t="n"/>
    </row>
    <row r="146" ht="14" customHeight="1">
      <c r="A146" s="54" t="n">
        <v>2014</v>
      </c>
      <c r="B146" s="24" t="n">
        <v>1.075</v>
      </c>
      <c r="C146" s="24" t="n"/>
    </row>
    <row r="147" ht="14" customHeight="1">
      <c r="A147" s="53" t="n">
        <v>2015</v>
      </c>
      <c r="B147" s="17" t="n">
        <v>1.082</v>
      </c>
      <c r="C147" s="17" t="n"/>
    </row>
    <row r="148" ht="14" customHeight="1">
      <c r="A148" s="54" t="n">
        <v>2016</v>
      </c>
      <c r="B148" s="24" t="n">
        <v>1.086</v>
      </c>
      <c r="C148" s="24" t="n"/>
    </row>
    <row r="150">
      <c r="A150" s="59" t="inlineStr">
        <is>
          <t>B4 (floor area) · Average floor area per dwelling (index, 2005 = 1.0)  (index (2005 = 1.0))</t>
        </is>
      </c>
    </row>
    <row r="151">
      <c r="A151" s="3" t="inlineStr">
        <is>
          <t>Source: European Building Stock Observatory (DG ENER) + Odyssee-Mure; population from Eurostat demo_gind — https://energy.ec.europa.eu/topics/energy-efficiency/energy-performance-buildings/eu-building-stock-observatory_en</t>
        </is>
      </c>
    </row>
    <row r="152" ht="28" customHeight="1">
      <c r="A152" s="5" t="inlineStr">
        <is>
          <t>Year</t>
        </is>
      </c>
      <c r="B152" s="5" t="inlineStr">
        <is>
          <t>In the 2024 report</t>
        </is>
      </c>
      <c r="C152" s="5" t="inlineStr">
        <is>
          <t>Added since the report</t>
        </is>
      </c>
    </row>
    <row r="153" ht="14" customHeight="1">
      <c r="A153" s="53" t="n">
        <v>2005</v>
      </c>
      <c r="B153" s="17" t="n">
        <v>1</v>
      </c>
      <c r="C153" s="17" t="n"/>
    </row>
    <row r="154" ht="14" customHeight="1">
      <c r="A154" s="54" t="n">
        <v>2006</v>
      </c>
      <c r="B154" s="24" t="n">
        <v>1.004</v>
      </c>
      <c r="C154" s="24" t="n"/>
    </row>
    <row r="155" ht="14" customHeight="1">
      <c r="A155" s="53" t="n">
        <v>2007</v>
      </c>
      <c r="B155" s="17" t="n">
        <v>1.007</v>
      </c>
      <c r="C155" s="17" t="n"/>
    </row>
    <row r="156" ht="14" customHeight="1">
      <c r="A156" s="54" t="n">
        <v>2008</v>
      </c>
      <c r="B156" s="24" t="n">
        <v>1.01</v>
      </c>
      <c r="C156" s="24" t="n"/>
    </row>
    <row r="157" ht="14" customHeight="1">
      <c r="A157" s="53" t="n">
        <v>2009</v>
      </c>
      <c r="B157" s="17" t="n">
        <v>1.014</v>
      </c>
      <c r="C157" s="17" t="n"/>
    </row>
    <row r="158" ht="14" customHeight="1">
      <c r="A158" s="54" t="n">
        <v>2010</v>
      </c>
      <c r="B158" s="24" t="n">
        <v>1.031</v>
      </c>
      <c r="C158" s="24" t="n"/>
    </row>
    <row r="159" ht="14" customHeight="1">
      <c r="A159" s="53" t="n">
        <v>2011</v>
      </c>
      <c r="B159" s="17" t="n">
        <v>1.037</v>
      </c>
      <c r="C159" s="17" t="n"/>
    </row>
    <row r="160" ht="14" customHeight="1">
      <c r="A160" s="54" t="n">
        <v>2012</v>
      </c>
      <c r="B160" s="24" t="n">
        <v>1.038</v>
      </c>
      <c r="C160" s="24" t="n"/>
    </row>
    <row r="161" ht="14" customHeight="1">
      <c r="A161" s="53" t="n">
        <v>2013</v>
      </c>
      <c r="B161" s="17" t="n">
        <v>1.04</v>
      </c>
      <c r="C161" s="17" t="n"/>
    </row>
    <row r="162" ht="14" customHeight="1">
      <c r="A162" s="54" t="n">
        <v>2014</v>
      </c>
      <c r="B162" s="24" t="n">
        <v>1.041</v>
      </c>
      <c r="C162" s="24" t="n"/>
    </row>
    <row r="163" ht="14" customHeight="1">
      <c r="A163" s="53" t="n">
        <v>2015</v>
      </c>
      <c r="B163" s="17" t="n">
        <v>1.043</v>
      </c>
      <c r="C163" s="17" t="n"/>
    </row>
    <row r="164" ht="14" customHeight="1">
      <c r="A164" s="54" t="n">
        <v>2016</v>
      </c>
      <c r="B164" s="24" t="n">
        <v>1.044</v>
      </c>
      <c r="C164" s="24" t="n"/>
    </row>
    <row r="165" ht="14" customHeight="1">
      <c r="A165" s="53" t="n">
        <v>2017</v>
      </c>
      <c r="B165" s="17" t="n">
        <v>1.044</v>
      </c>
      <c r="C165" s="17" t="n"/>
    </row>
    <row r="166" ht="14" customHeight="1">
      <c r="A166" s="54" t="n">
        <v>2018</v>
      </c>
      <c r="B166" s="24" t="n">
        <v>1.044</v>
      </c>
      <c r="C166" s="24" t="n"/>
    </row>
    <row r="167" ht="14" customHeight="1">
      <c r="A167" s="53" t="n">
        <v>2019</v>
      </c>
      <c r="B167" s="17" t="n">
        <v>1.044</v>
      </c>
      <c r="C167" s="17" t="n"/>
    </row>
    <row r="168" ht="14" customHeight="1">
      <c r="A168" s="54" t="n">
        <v>2020</v>
      </c>
      <c r="B168" s="24" t="n">
        <v>1.044</v>
      </c>
      <c r="C168" s="24" t="n"/>
    </row>
    <row r="170">
      <c r="A170" s="59" t="inlineStr">
        <is>
          <t>B4 (surface residential) · Total residential floor surface (index, 2005 = 1.0)  (index (2005 = 1.0))</t>
        </is>
      </c>
    </row>
    <row r="171">
      <c r="A171" s="3" t="inlineStr">
        <is>
          <t>Source: European Building Stock Observatory (DG ENER) + Odyssee-Mure; population from Eurostat demo_gind — https://energy.ec.europa.eu/topics/energy-efficiency/energy-performance-buildings/eu-building-stock-observatory_en</t>
        </is>
      </c>
    </row>
    <row r="172" ht="28" customHeight="1">
      <c r="A172" s="5" t="inlineStr">
        <is>
          <t>Year</t>
        </is>
      </c>
      <c r="B172" s="5" t="inlineStr">
        <is>
          <t>In the 2024 report</t>
        </is>
      </c>
      <c r="C172" s="5" t="inlineStr">
        <is>
          <t>Added since the report</t>
        </is>
      </c>
    </row>
    <row r="173" ht="14" customHeight="1">
      <c r="A173" s="53" t="n">
        <v>2005</v>
      </c>
      <c r="B173" s="17" t="n">
        <v>1</v>
      </c>
      <c r="C173" s="17" t="n"/>
    </row>
    <row r="174" ht="14" customHeight="1">
      <c r="A174" s="54" t="n">
        <v>2006</v>
      </c>
      <c r="B174" s="24" t="n">
        <v>1.019</v>
      </c>
      <c r="C174" s="24" t="n"/>
    </row>
    <row r="175" ht="14" customHeight="1">
      <c r="A175" s="53" t="n">
        <v>2007</v>
      </c>
      <c r="B175" s="17" t="n">
        <v>1.03</v>
      </c>
      <c r="C175" s="17" t="n"/>
    </row>
    <row r="176" ht="14" customHeight="1">
      <c r="A176" s="54" t="n">
        <v>2008</v>
      </c>
      <c r="B176" s="24" t="n">
        <v>1.043</v>
      </c>
      <c r="C176" s="24" t="n"/>
    </row>
    <row r="177" ht="14" customHeight="1">
      <c r="A177" s="53" t="n">
        <v>2009</v>
      </c>
      <c r="B177" s="17" t="n">
        <v>1.054</v>
      </c>
      <c r="C177" s="17" t="n"/>
    </row>
    <row r="178" ht="14" customHeight="1">
      <c r="A178" s="54" t="n">
        <v>2010</v>
      </c>
      <c r="B178" s="24" t="n">
        <v>1.083</v>
      </c>
      <c r="C178" s="24" t="n"/>
    </row>
    <row r="179" ht="14" customHeight="1">
      <c r="A179" s="53" t="n">
        <v>2011</v>
      </c>
      <c r="B179" s="17" t="n">
        <v>1.087</v>
      </c>
      <c r="C179" s="17" t="n"/>
    </row>
    <row r="180" ht="14" customHeight="1">
      <c r="A180" s="54" t="n">
        <v>2012</v>
      </c>
      <c r="B180" s="24" t="n">
        <v>1.101</v>
      </c>
      <c r="C180" s="24" t="n"/>
    </row>
    <row r="181" ht="14" customHeight="1">
      <c r="A181" s="53" t="n">
        <v>2013</v>
      </c>
      <c r="B181" s="17" t="n">
        <v>1.113</v>
      </c>
      <c r="C181" s="17" t="n"/>
    </row>
    <row r="182" ht="14" customHeight="1">
      <c r="A182" s="54" t="n">
        <v>2014</v>
      </c>
      <c r="B182" s="24" t="n">
        <v>1.117</v>
      </c>
      <c r="C182" s="24" t="n"/>
    </row>
    <row r="183" ht="14" customHeight="1">
      <c r="A183" s="53" t="n">
        <v>2015</v>
      </c>
      <c r="B183" s="17" t="n">
        <v>1.126</v>
      </c>
      <c r="C183" s="17" t="n"/>
    </row>
    <row r="184" ht="14" customHeight="1">
      <c r="A184" s="54" t="n">
        <v>2016</v>
      </c>
      <c r="B184" s="24" t="n">
        <v>1.131</v>
      </c>
      <c r="C184" s="24" t="n"/>
    </row>
    <row r="186">
      <c r="A186" s="59" t="inlineStr">
        <is>
          <t>B4 (population) · EU population (index, 2005 = 1.0)  (index (2005 = 1.0))</t>
        </is>
      </c>
    </row>
    <row r="187">
      <c r="A187" s="3" t="inlineStr">
        <is>
          <t>Source: European Building Stock Observatory (DG ENER) + Odyssee-Mure; population from Eurostat demo_gind — https://doi.org/10.2908/DEMO_GIND</t>
        </is>
      </c>
    </row>
    <row r="188" ht="28" customHeight="1">
      <c r="A188" s="5" t="inlineStr">
        <is>
          <t>Year</t>
        </is>
      </c>
      <c r="B188" s="5" t="inlineStr">
        <is>
          <t>In the 2024 report</t>
        </is>
      </c>
      <c r="C188" s="5" t="inlineStr">
        <is>
          <t>Added since the report</t>
        </is>
      </c>
    </row>
    <row r="189" ht="14" customHeight="1">
      <c r="A189" s="53" t="n">
        <v>2005</v>
      </c>
      <c r="B189" s="17" t="n">
        <v>1</v>
      </c>
      <c r="C189" s="17" t="n"/>
    </row>
    <row r="190" ht="14" customHeight="1">
      <c r="A190" s="54" t="n">
        <v>2006</v>
      </c>
      <c r="B190" s="24" t="n">
        <v>1.003</v>
      </c>
      <c r="C190" s="24" t="n"/>
    </row>
    <row r="191" ht="14" customHeight="1">
      <c r="A191" s="53" t="n">
        <v>2007</v>
      </c>
      <c r="B191" s="17" t="n">
        <v>1.007</v>
      </c>
      <c r="C191" s="17" t="n"/>
    </row>
    <row r="192" ht="14" customHeight="1">
      <c r="A192" s="54" t="n">
        <v>2008</v>
      </c>
      <c r="B192" s="24" t="n">
        <v>1.01</v>
      </c>
      <c r="C192" s="24" t="n"/>
    </row>
    <row r="193" ht="14" customHeight="1">
      <c r="A193" s="53" t="n">
        <v>2009</v>
      </c>
      <c r="B193" s="17" t="n">
        <v>1.012</v>
      </c>
      <c r="C193" s="17" t="n"/>
    </row>
    <row r="194" ht="14" customHeight="1">
      <c r="A194" s="54" t="n">
        <v>2010</v>
      </c>
      <c r="B194" s="24" t="n">
        <v>1.014</v>
      </c>
      <c r="C194" s="24" t="n"/>
    </row>
    <row r="195" ht="14" customHeight="1">
      <c r="A195" s="53" t="n">
        <v>2011</v>
      </c>
      <c r="B195" s="17" t="n">
        <v>1.012</v>
      </c>
      <c r="C195" s="17" t="n"/>
    </row>
    <row r="196" ht="14" customHeight="1">
      <c r="A196" s="54" t="n">
        <v>2012</v>
      </c>
      <c r="B196" s="24" t="n">
        <v>1.013</v>
      </c>
      <c r="C196" s="24" t="n"/>
    </row>
    <row r="197" ht="14" customHeight="1">
      <c r="A197" s="53" t="n">
        <v>2013</v>
      </c>
      <c r="B197" s="17" t="n">
        <v>1.016</v>
      </c>
      <c r="C197" s="17" t="n"/>
    </row>
    <row r="198" ht="14" customHeight="1">
      <c r="A198" s="54" t="n">
        <v>2014</v>
      </c>
      <c r="B198" s="24" t="n">
        <v>1.019</v>
      </c>
      <c r="C198" s="24" t="n"/>
    </row>
    <row r="199" ht="14" customHeight="1">
      <c r="A199" s="53" t="n">
        <v>2015</v>
      </c>
      <c r="B199" s="17" t="n">
        <v>1.021</v>
      </c>
      <c r="C199" s="17" t="n"/>
    </row>
    <row r="200" ht="14" customHeight="1">
      <c r="A200" s="54" t="n">
        <v>2016</v>
      </c>
      <c r="B200" s="24" t="n">
        <v>1.023</v>
      </c>
      <c r="C200" s="24" t="n"/>
    </row>
    <row r="201" ht="14" customHeight="1">
      <c r="A201" s="53" t="n">
        <v>2017</v>
      </c>
      <c r="B201" s="17" t="n">
        <v>1.025</v>
      </c>
      <c r="C201" s="17" t="n"/>
    </row>
    <row r="202" ht="14" customHeight="1">
      <c r="A202" s="54" t="n">
        <v>2018</v>
      </c>
      <c r="B202" s="24" t="n">
        <v>1.027</v>
      </c>
      <c r="C202" s="24" t="n"/>
    </row>
    <row r="203" ht="14" customHeight="1">
      <c r="A203" s="53" t="n">
        <v>2019</v>
      </c>
      <c r="B203" s="17" t="n">
        <v>1.027</v>
      </c>
      <c r="C203" s="17" t="n"/>
    </row>
    <row r="204" ht="14" customHeight="1">
      <c r="A204" s="54" t="n">
        <v>2020</v>
      </c>
      <c r="B204" s="24" t="n">
        <v>1.028</v>
      </c>
      <c r="C204" s="24" t="n">
        <v>1.028</v>
      </c>
    </row>
    <row r="205" ht="14" customHeight="1">
      <c r="A205" s="53" t="n">
        <v>2021</v>
      </c>
      <c r="B205" s="17" t="n"/>
      <c r="C205" s="17" t="n">
        <v>1.027</v>
      </c>
    </row>
    <row r="206" ht="14" customHeight="1">
      <c r="A206" s="54" t="n">
        <v>2022</v>
      </c>
      <c r="B206" s="24" t="n"/>
      <c r="C206" s="24" t="n">
        <v>1.029</v>
      </c>
    </row>
    <row r="207" ht="14" customHeight="1">
      <c r="A207" s="53" t="n">
        <v>2023</v>
      </c>
      <c r="B207" s="17" t="n"/>
      <c r="C207" s="17" t="n">
        <v>1.033</v>
      </c>
    </row>
    <row r="208" ht="14" customHeight="1">
      <c r="A208" s="54" t="n">
        <v>2024</v>
      </c>
      <c r="B208" s="24" t="n"/>
      <c r="C208" s="24" t="n">
        <v>1.036</v>
      </c>
    </row>
    <row r="209" ht="14" customHeight="1">
      <c r="A209" s="53" t="n">
        <v>2025</v>
      </c>
      <c r="B209" s="17" t="n"/>
      <c r="C209" s="17" t="n">
        <v>1.04</v>
      </c>
    </row>
    <row r="211">
      <c r="A211" s="59" t="inlineStr">
        <is>
          <t>B4 (surface tertiary) · Total tertiary floor surface (index, 2005 = 1.0)  (index (2005 = 1.0))</t>
        </is>
      </c>
    </row>
    <row r="212">
      <c r="A212" s="3" t="inlineStr">
        <is>
          <t>Source: European Building Stock Observatory (DG ENER) + Odyssee-Mure; population from Eurostat demo_gind — https://energy.ec.europa.eu/topics/energy-efficiency/energy-performance-buildings/eu-building-stock-observatory_en</t>
        </is>
      </c>
    </row>
    <row r="213" ht="28" customHeight="1">
      <c r="A213" s="5" t="inlineStr">
        <is>
          <t>Year</t>
        </is>
      </c>
      <c r="B213" s="5" t="inlineStr">
        <is>
          <t>In the 2024 report</t>
        </is>
      </c>
      <c r="C213" s="5" t="inlineStr">
        <is>
          <t>Added since the report</t>
        </is>
      </c>
    </row>
    <row r="214" ht="14" customHeight="1">
      <c r="A214" s="53" t="n">
        <v>2005</v>
      </c>
      <c r="B214" s="17" t="n">
        <v>1</v>
      </c>
      <c r="C214" s="17" t="n"/>
    </row>
    <row r="215" ht="14" customHeight="1">
      <c r="A215" s="54" t="n">
        <v>2006</v>
      </c>
      <c r="B215" s="24" t="n">
        <v>0.9964</v>
      </c>
      <c r="C215" s="24" t="n"/>
    </row>
    <row r="216" ht="14" customHeight="1">
      <c r="A216" s="53" t="n">
        <v>2007</v>
      </c>
      <c r="B216" s="17" t="n">
        <v>1.012</v>
      </c>
      <c r="C216" s="17" t="n"/>
    </row>
    <row r="217" ht="14" customHeight="1">
      <c r="A217" s="54" t="n">
        <v>2008</v>
      </c>
      <c r="B217" s="24" t="n">
        <v>1.039</v>
      </c>
      <c r="C217" s="24" t="n"/>
    </row>
    <row r="218" ht="14" customHeight="1">
      <c r="A218" s="53" t="n">
        <v>2009</v>
      </c>
      <c r="B218" s="17" t="n">
        <v>1.047</v>
      </c>
      <c r="C218" s="17" t="n"/>
    </row>
    <row r="219" ht="14" customHeight="1">
      <c r="A219" s="54" t="n">
        <v>2010</v>
      </c>
      <c r="B219" s="24" t="n">
        <v>1.056</v>
      </c>
      <c r="C219" s="24" t="n"/>
    </row>
    <row r="220" ht="14" customHeight="1">
      <c r="A220" s="53" t="n">
        <v>2011</v>
      </c>
      <c r="B220" s="17" t="n">
        <v>1.06</v>
      </c>
      <c r="C220" s="17" t="n"/>
    </row>
    <row r="221" ht="14" customHeight="1">
      <c r="A221" s="54" t="n">
        <v>2012</v>
      </c>
      <c r="B221" s="24" t="n">
        <v>1.071</v>
      </c>
      <c r="C221" s="24" t="n"/>
    </row>
    <row r="222" ht="14" customHeight="1">
      <c r="A222" s="53" t="n">
        <v>2013</v>
      </c>
      <c r="B222" s="17" t="n">
        <v>1.085</v>
      </c>
      <c r="C222" s="17" t="n"/>
    </row>
    <row r="223" ht="14" customHeight="1">
      <c r="A223" s="54" t="n">
        <v>2014</v>
      </c>
      <c r="B223" s="24" t="n">
        <v>1.094</v>
      </c>
      <c r="C223" s="24" t="n"/>
    </row>
    <row r="224" ht="14" customHeight="1">
      <c r="A224" s="53" t="n">
        <v>2015</v>
      </c>
      <c r="B224" s="17" t="n">
        <v>1.102</v>
      </c>
      <c r="C224" s="17" t="n"/>
    </row>
    <row r="225" ht="14" customHeight="1">
      <c r="A225" s="54" t="n">
        <v>2016</v>
      </c>
      <c r="B225" s="24" t="n">
        <v>1.113</v>
      </c>
      <c r="C225" s="24" t="n"/>
    </row>
    <row r="226" ht="14" customHeight="1">
      <c r="A226" s="53" t="n">
        <v>2017</v>
      </c>
      <c r="B226" s="17" t="n">
        <v>1.111</v>
      </c>
      <c r="C226" s="17" t="n"/>
    </row>
    <row r="227" ht="14" customHeight="1">
      <c r="A227" s="54" t="n">
        <v>2018</v>
      </c>
      <c r="B227" s="24" t="n">
        <v>1.12</v>
      </c>
      <c r="C227" s="24" t="n"/>
    </row>
    <row r="228" ht="14" customHeight="1">
      <c r="A228" s="53" t="n">
        <v>2019</v>
      </c>
      <c r="B228" s="17" t="n">
        <v>1.12</v>
      </c>
      <c r="C228" s="17" t="n"/>
    </row>
    <row r="230">
      <c r="A230" s="59" t="inlineStr">
        <is>
          <t>B3 (residential) · Residential weighted renovation rate (EU)  (%)</t>
        </is>
      </c>
    </row>
    <row r="231">
      <c r="A231" s="3" t="inlineStr">
        <is>
          <t>Source: Climate Target Plan impact assessment + Eurostat — https://eur-lex.europa.eu/legal-content/EN/TXT/?uri=CELEX:52020SC0176</t>
        </is>
      </c>
    </row>
    <row r="232" ht="28" customHeight="1">
      <c r="A232" s="5" t="inlineStr">
        <is>
          <t>Year</t>
        </is>
      </c>
      <c r="B232" s="5" t="inlineStr">
        <is>
          <t>In the 2024 report</t>
        </is>
      </c>
      <c r="C232" s="5" t="inlineStr">
        <is>
          <t>Added since the report</t>
        </is>
      </c>
      <c r="E232" s="3" t="inlineStr">
        <is>
          <t>Only one data point — the report carries this indicator as a single figure, so there is no series to draw.</t>
        </is>
      </c>
    </row>
    <row r="233" ht="14" customHeight="1">
      <c r="A233" s="53" t="n">
        <v>2020</v>
      </c>
      <c r="B233" s="17" t="n">
        <v>1</v>
      </c>
      <c r="C233" s="17" t="n"/>
    </row>
    <row r="235">
      <c r="A235" s="59" t="inlineStr">
        <is>
          <t>B3 (commercial) · Commercial weighted renovation rate (EU)  (%)</t>
        </is>
      </c>
    </row>
    <row r="236">
      <c r="A236" s="3" t="inlineStr">
        <is>
          <t>Source: Climate Target Plan impact assessment + Eurostat — https://eur-lex.europa.eu/legal-content/EN/TXT/?uri=CELEX:52020SC0176</t>
        </is>
      </c>
    </row>
    <row r="237" ht="28" customHeight="1">
      <c r="A237" s="5" t="inlineStr">
        <is>
          <t>Year</t>
        </is>
      </c>
      <c r="B237" s="5" t="inlineStr">
        <is>
          <t>In the 2024 report</t>
        </is>
      </c>
      <c r="C237" s="5" t="inlineStr">
        <is>
          <t>Added since the report</t>
        </is>
      </c>
      <c r="E237" s="3" t="inlineStr">
        <is>
          <t>Only one data point — the report carries this indicator as a single figure, so there is no series to draw.</t>
        </is>
      </c>
    </row>
    <row r="238" ht="14" customHeight="1">
      <c r="A238" s="53" t="n">
        <v>2020</v>
      </c>
      <c r="B238" s="17" t="n">
        <v>0.6</v>
      </c>
      <c r="C238" s="17" t="n"/>
    </row>
  </sheetData>
  <mergeCells count="28">
    <mergeCell ref="A150:D150"/>
    <mergeCell ref="A135:D135"/>
    <mergeCell ref="A20:D20"/>
    <mergeCell ref="A171:D171"/>
    <mergeCell ref="A231:D231"/>
    <mergeCell ref="A134:D134"/>
    <mergeCell ref="A43:D43"/>
    <mergeCell ref="A19:D19"/>
    <mergeCell ref="A170:D170"/>
    <mergeCell ref="A230:D230"/>
    <mergeCell ref="A1:K1"/>
    <mergeCell ref="A111:D111"/>
    <mergeCell ref="E232:I233"/>
    <mergeCell ref="A44:D44"/>
    <mergeCell ref="A211:D211"/>
    <mergeCell ref="E237:I238"/>
    <mergeCell ref="A67:D67"/>
    <mergeCell ref="A186:D186"/>
    <mergeCell ref="A110:D110"/>
    <mergeCell ref="A88:D88"/>
    <mergeCell ref="A187:D187"/>
    <mergeCell ref="A2:K2"/>
    <mergeCell ref="A212:D212"/>
    <mergeCell ref="A66:D66"/>
    <mergeCell ref="A89:D89"/>
    <mergeCell ref="A236:D236"/>
    <mergeCell ref="A151:D151"/>
    <mergeCell ref="A235:D235"/>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6E8B1F"/>
    <outlinePr summaryBelow="1" summaryRight="1"/>
    <pageSetUpPr/>
  </sheetPr>
  <dimension ref="A1:K501"/>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Agriculture — indicators</t>
        </is>
      </c>
    </row>
    <row r="2" ht="30" customHeight="1">
      <c r="A2" s="2" t="inlineStr">
        <is>
          <t>26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42" t="inlineStr">
        <is>
          <t>A1</t>
        </is>
      </c>
      <c r="B5" s="15" t="inlineStr">
        <is>
          <t>Agricultural non-CO₂ emissions</t>
        </is>
      </c>
      <c r="C5" s="15" t="inlineStr">
        <is>
          <t>Mt CO₂eq</t>
        </is>
      </c>
      <c r="D5" s="16" t="n">
        <v>2022</v>
      </c>
      <c r="E5" s="17" t="n">
        <v>360.9</v>
      </c>
      <c r="F5" s="16" t="n">
        <v>2024</v>
      </c>
      <c r="G5" s="17" t="n">
        <v>355.7</v>
      </c>
      <c r="H5" s="18" t="n">
        <v>-0.01440842338597947</v>
      </c>
      <c r="I5" s="34" t="inlineStr">
        <is>
          <t>EEA GHG data viewer; 2023+ Eurostat (env_air_gge, GWP-weighted)</t>
        </is>
      </c>
      <c r="J5" s="16" t="n">
        <v>2</v>
      </c>
      <c r="K5" s="34" t="inlineStr">
        <is>
          <t>Derived from the live source</t>
        </is>
      </c>
    </row>
    <row r="6" ht="15" customHeight="1">
      <c r="A6" s="43" t="inlineStr">
        <is>
          <t>A3 (use)</t>
        </is>
      </c>
      <c r="B6" s="22" t="inlineStr">
        <is>
          <t>Total fertiliser nitrogen use (EU)</t>
        </is>
      </c>
      <c r="C6" s="22" t="inlineStr">
        <is>
          <t>Mt N</t>
        </is>
      </c>
      <c r="D6" s="23" t="n">
        <v>2021</v>
      </c>
      <c r="E6" s="24" t="n">
        <v>15.01</v>
      </c>
      <c r="F6" s="23" t="n">
        <v>2021</v>
      </c>
      <c r="G6" s="24" t="n">
        <v>15.01</v>
      </c>
      <c r="H6" s="25" t="n"/>
      <c r="I6" s="35" t="inlineStr">
        <is>
          <t>EU GHG inventory (CRF)</t>
        </is>
      </c>
      <c r="J6" s="23" t="n"/>
      <c r="K6" s="35" t="inlineStr">
        <is>
          <t>—</t>
        </is>
      </c>
    </row>
    <row r="7" ht="15" customHeight="1">
      <c r="A7" s="42" t="inlineStr">
        <is>
          <t>A3 (NUE)</t>
        </is>
      </c>
      <c r="B7" s="15" t="inlineStr">
        <is>
          <t>Nitrogen use efficiency in EU agriculture</t>
        </is>
      </c>
      <c r="C7" s="15" t="inlineStr">
        <is>
          <t>%</t>
        </is>
      </c>
      <c r="D7" s="16" t="n">
        <v>2020</v>
      </c>
      <c r="E7" s="17" t="n">
        <v>49.03</v>
      </c>
      <c r="F7" s="16" t="n">
        <v>2020</v>
      </c>
      <c r="G7" s="17" t="n">
        <v>49.03</v>
      </c>
      <c r="H7" s="18" t="n"/>
      <c r="I7" s="34" t="inlineStr">
        <is>
          <t>Ludemann et al. 2023</t>
        </is>
      </c>
      <c r="J7" s="16" t="n"/>
      <c r="K7" s="34" t="inlineStr">
        <is>
          <t>—</t>
        </is>
      </c>
    </row>
    <row r="8" ht="15" customHeight="1">
      <c r="A8" s="43" t="inlineStr">
        <is>
          <t>A7</t>
        </is>
      </c>
      <c r="B8" s="22" t="inlineStr">
        <is>
          <t>Agricultural products used as bioenergy feedstock</t>
        </is>
      </c>
      <c r="C8" s="22" t="inlineStr">
        <is>
          <t>Mt fresh</t>
        </is>
      </c>
      <c r="D8" s="23" t="n">
        <v>2021</v>
      </c>
      <c r="E8" s="24" t="n">
        <v>23.89</v>
      </c>
      <c r="F8" s="23" t="n">
        <v>2021</v>
      </c>
      <c r="G8" s="24" t="n">
        <v>23.89</v>
      </c>
      <c r="H8" s="25" t="n"/>
      <c r="I8" s="35" t="inlineStr">
        <is>
          <t>JRC medium-term outlook</t>
        </is>
      </c>
      <c r="J8" s="23" t="n"/>
      <c r="K8" s="35" t="inlineStr">
        <is>
          <t>—</t>
        </is>
      </c>
    </row>
    <row r="9" ht="15" customHeight="1">
      <c r="A9" s="42" t="inlineStr">
        <is>
          <t>A2 (bovine, GHG)</t>
        </is>
      </c>
      <c r="B9" s="15" t="inlineStr">
        <is>
          <t>Bovine meat: GHG emissions (EU)</t>
        </is>
      </c>
      <c r="C9" s="15" t="inlineStr">
        <is>
          <t>Mt CO₂eq</t>
        </is>
      </c>
      <c r="D9" s="16" t="n">
        <v>2021</v>
      </c>
      <c r="E9" s="17" t="n">
        <v>100.3</v>
      </c>
      <c r="F9" s="16" t="n">
        <v>2021</v>
      </c>
      <c r="G9" s="17" t="n">
        <v>100.3</v>
      </c>
      <c r="H9" s="18" t="n"/>
      <c r="I9" s="34" t="inlineStr">
        <is>
          <t>EEA GHG data viewer + Eurostat/FAOSTAT production</t>
        </is>
      </c>
      <c r="J9" s="16" t="n"/>
      <c r="K9" s="34" t="inlineStr">
        <is>
          <t>—</t>
        </is>
      </c>
    </row>
    <row r="10" ht="15" customHeight="1">
      <c r="A10" s="43" t="inlineStr">
        <is>
          <t>A2 (bovine, production)</t>
        </is>
      </c>
      <c r="B10" s="22" t="inlineStr">
        <is>
          <t>Bovine meat: production (EU)</t>
        </is>
      </c>
      <c r="C10" s="22" t="inlineStr">
        <is>
          <t>Mt</t>
        </is>
      </c>
      <c r="D10" s="23" t="n">
        <v>2020</v>
      </c>
      <c r="E10" s="24" t="n">
        <v>6.936</v>
      </c>
      <c r="F10" s="23" t="n">
        <v>2025</v>
      </c>
      <c r="G10" s="24" t="n">
        <v>6.32</v>
      </c>
      <c r="H10" s="25" t="n">
        <v>-0.08881199538638979</v>
      </c>
      <c r="I10" s="35" t="inlineStr">
        <is>
          <t>Eurostat (apro_mt_pann)</t>
        </is>
      </c>
      <c r="J10" s="23" t="n">
        <v>5</v>
      </c>
      <c r="K10" s="35" t="inlineStr">
        <is>
          <t>Derived from the live source</t>
        </is>
      </c>
    </row>
    <row r="11" ht="15" customHeight="1">
      <c r="A11" s="42" t="inlineStr">
        <is>
          <t>A2 (bovine, intensity)</t>
        </is>
      </c>
      <c r="B11" s="15" t="inlineStr">
        <is>
          <t>Bovine meat: GHG intensity (EU)</t>
        </is>
      </c>
      <c r="C11" s="15" t="inlineStr">
        <is>
          <t>t CO₂eq/t</t>
        </is>
      </c>
      <c r="D11" s="16" t="n">
        <v>2020</v>
      </c>
      <c r="E11" s="17" t="n">
        <v>14.53</v>
      </c>
      <c r="F11" s="16" t="n">
        <v>2020</v>
      </c>
      <c r="G11" s="17" t="n">
        <v>14.53</v>
      </c>
      <c r="H11" s="18" t="n"/>
      <c r="I11" s="34" t="inlineStr">
        <is>
          <t>EEA GHG data viewer + Eurostat/FAOSTAT production</t>
        </is>
      </c>
      <c r="J11" s="16" t="n"/>
      <c r="K11" s="34" t="inlineStr">
        <is>
          <t>—</t>
        </is>
      </c>
    </row>
    <row r="12" ht="15" customHeight="1">
      <c r="A12" s="43" t="inlineStr">
        <is>
          <t>A2 (dairy, GHG)</t>
        </is>
      </c>
      <c r="B12" s="22" t="inlineStr">
        <is>
          <t>Dairy products: GHG emissions (EU)</t>
        </is>
      </c>
      <c r="C12" s="22" t="inlineStr">
        <is>
          <t>Mt CO₂eq</t>
        </is>
      </c>
      <c r="D12" s="23" t="n">
        <v>2021</v>
      </c>
      <c r="E12" s="24" t="n">
        <v>97.79000000000001</v>
      </c>
      <c r="F12" s="23" t="n">
        <v>2021</v>
      </c>
      <c r="G12" s="24" t="n">
        <v>97.79000000000001</v>
      </c>
      <c r="H12" s="25" t="n"/>
      <c r="I12" s="35" t="inlineStr">
        <is>
          <t>EEA GHG data viewer + Eurostat/FAOSTAT production</t>
        </is>
      </c>
      <c r="J12" s="23" t="n"/>
      <c r="K12" s="35" t="inlineStr">
        <is>
          <t>—</t>
        </is>
      </c>
    </row>
    <row r="13" ht="15" customHeight="1">
      <c r="A13" s="42" t="inlineStr">
        <is>
          <t>A2 (dairy, production)</t>
        </is>
      </c>
      <c r="B13" s="15" t="inlineStr">
        <is>
          <t>Dairy products: production (EU)</t>
        </is>
      </c>
      <c r="C13" s="15" t="inlineStr">
        <is>
          <t>Mt</t>
        </is>
      </c>
      <c r="D13" s="16" t="n">
        <v>2020</v>
      </c>
      <c r="E13" s="17" t="n">
        <v>163.1</v>
      </c>
      <c r="F13" s="16" t="n">
        <v>2024</v>
      </c>
      <c r="G13" s="17" t="n">
        <v>164.6</v>
      </c>
      <c r="H13" s="18" t="n">
        <v>0.009196811771919068</v>
      </c>
      <c r="I13" s="34" t="inlineStr">
        <is>
          <t>Eurostat (apro_mk_farm)</t>
        </is>
      </c>
      <c r="J13" s="16" t="n">
        <v>4</v>
      </c>
      <c r="K13" s="34" t="inlineStr">
        <is>
          <t>Derived from the live source</t>
        </is>
      </c>
    </row>
    <row r="14" ht="15" customHeight="1">
      <c r="A14" s="43" t="inlineStr">
        <is>
          <t>A2 (dairy, intensity)</t>
        </is>
      </c>
      <c r="B14" s="22" t="inlineStr">
        <is>
          <t>Dairy products: GHG intensity (EU)</t>
        </is>
      </c>
      <c r="C14" s="22" t="inlineStr">
        <is>
          <t>t CO₂eq/t</t>
        </is>
      </c>
      <c r="D14" s="23" t="n">
        <v>2020</v>
      </c>
      <c r="E14" s="24" t="n">
        <v>0.6049</v>
      </c>
      <c r="F14" s="23" t="n">
        <v>2020</v>
      </c>
      <c r="G14" s="24" t="n">
        <v>0.6049</v>
      </c>
      <c r="H14" s="25" t="n"/>
      <c r="I14" s="35" t="inlineStr">
        <is>
          <t>EEA GHG data viewer + Eurostat/FAOSTAT production</t>
        </is>
      </c>
      <c r="J14" s="23" t="n"/>
      <c r="K14" s="35" t="inlineStr">
        <is>
          <t>—</t>
        </is>
      </c>
    </row>
    <row r="15" ht="15" customHeight="1">
      <c r="A15" s="42" t="inlineStr">
        <is>
          <t>A2 (pig, GHG)</t>
        </is>
      </c>
      <c r="B15" s="15" t="inlineStr">
        <is>
          <t>Pig meat: GHG emissions (EU)</t>
        </is>
      </c>
      <c r="C15" s="15" t="inlineStr">
        <is>
          <t>Mt CO₂eq</t>
        </is>
      </c>
      <c r="D15" s="16" t="n">
        <v>2021</v>
      </c>
      <c r="E15" s="17" t="n">
        <v>28.58</v>
      </c>
      <c r="F15" s="16" t="n">
        <v>2024</v>
      </c>
      <c r="G15" s="17" t="n">
        <v>26.18</v>
      </c>
      <c r="H15" s="18" t="n">
        <v>-0.08397480755773264</v>
      </c>
      <c r="I15" s="34" t="inlineStr">
        <is>
          <t>EEA GHG data viewer; 2022+ Eurostat (env_air_gge, swine CRF3A3+3B3)</t>
        </is>
      </c>
      <c r="J15" s="16" t="n">
        <v>3</v>
      </c>
      <c r="K15" s="34" t="inlineStr">
        <is>
          <t>Derived from the live source</t>
        </is>
      </c>
    </row>
    <row r="16" ht="15" customHeight="1">
      <c r="A16" s="43" t="inlineStr">
        <is>
          <t>A2 (pig, production)</t>
        </is>
      </c>
      <c r="B16" s="22" t="inlineStr">
        <is>
          <t>Pig meat: production (EU)</t>
        </is>
      </c>
      <c r="C16" s="22" t="inlineStr">
        <is>
          <t>Mt</t>
        </is>
      </c>
      <c r="D16" s="23" t="n">
        <v>2020</v>
      </c>
      <c r="E16" s="24" t="n">
        <v>23.22</v>
      </c>
      <c r="F16" s="23" t="n">
        <v>2025</v>
      </c>
      <c r="G16" s="24" t="n">
        <v>21.84</v>
      </c>
      <c r="H16" s="25" t="n">
        <v>-0.05943152454780358</v>
      </c>
      <c r="I16" s="35" t="inlineStr">
        <is>
          <t>Eurostat (apro_mt_pann)</t>
        </is>
      </c>
      <c r="J16" s="23" t="n">
        <v>5</v>
      </c>
      <c r="K16" s="35" t="inlineStr">
        <is>
          <t>Derived from the live source</t>
        </is>
      </c>
    </row>
    <row r="17" ht="15" customHeight="1">
      <c r="A17" s="42" t="inlineStr">
        <is>
          <t>A2 (pig, intensity)</t>
        </is>
      </c>
      <c r="B17" s="15" t="inlineStr">
        <is>
          <t>Pig meat: GHG intensity (EU)</t>
        </is>
      </c>
      <c r="C17" s="15" t="inlineStr">
        <is>
          <t>t CO₂eq/t</t>
        </is>
      </c>
      <c r="D17" s="16" t="n">
        <v>2020</v>
      </c>
      <c r="E17" s="17" t="n">
        <v>1.264</v>
      </c>
      <c r="F17" s="16" t="n">
        <v>2024</v>
      </c>
      <c r="G17" s="17" t="n">
        <v>1.238</v>
      </c>
      <c r="H17" s="18" t="n">
        <v>-0.02056962025316458</v>
      </c>
      <c r="I17" s="34" t="inlineStr">
        <is>
          <t>EEA GHG data viewer; 2021+ Eurostat (env_air_gge ÷ apro_mt_pann)</t>
        </is>
      </c>
      <c r="J17" s="16" t="n">
        <v>4</v>
      </c>
      <c r="K17" s="34" t="inlineStr">
        <is>
          <t>Derived from the live source</t>
        </is>
      </c>
    </row>
    <row r="18" ht="15" customHeight="1">
      <c r="A18" s="43" t="inlineStr">
        <is>
          <t>A4 (bovine, consumption)</t>
        </is>
      </c>
      <c r="B18" s="22" t="inlineStr">
        <is>
          <t>Bovine meat: consumption (EU)</t>
        </is>
      </c>
      <c r="C18" s="22" t="inlineStr">
        <is>
          <t>Mt</t>
        </is>
      </c>
      <c r="D18" s="23" t="n">
        <v>2020</v>
      </c>
      <c r="E18" s="24" t="n">
        <v>6.115</v>
      </c>
      <c r="F18" s="23" t="n">
        <v>2020</v>
      </c>
      <c r="G18" s="24" t="n">
        <v>6.115</v>
      </c>
      <c r="H18" s="25" t="n"/>
      <c r="I18" s="35" t="inlineStr">
        <is>
          <t>FAOSTAT food balance sheets</t>
        </is>
      </c>
      <c r="J18" s="23" t="n"/>
      <c r="K18" s="35" t="inlineStr">
        <is>
          <t>—</t>
        </is>
      </c>
    </row>
    <row r="19" ht="15" customHeight="1">
      <c r="A19" s="42" t="inlineStr">
        <is>
          <t>A4 (bovine, production)</t>
        </is>
      </c>
      <c r="B19" s="15" t="inlineStr">
        <is>
          <t>Bovine meat: production (EU)</t>
        </is>
      </c>
      <c r="C19" s="15" t="inlineStr">
        <is>
          <t>Mt</t>
        </is>
      </c>
      <c r="D19" s="16" t="n">
        <v>2020</v>
      </c>
      <c r="E19" s="17" t="n">
        <v>6.936</v>
      </c>
      <c r="F19" s="16" t="n">
        <v>2025</v>
      </c>
      <c r="G19" s="17" t="n">
        <v>6.32</v>
      </c>
      <c r="H19" s="18" t="n">
        <v>-0.08881199538638979</v>
      </c>
      <c r="I19" s="34" t="inlineStr">
        <is>
          <t>Eurostat (apro_mt_pann)</t>
        </is>
      </c>
      <c r="J19" s="16" t="n">
        <v>5</v>
      </c>
      <c r="K19" s="34" t="inlineStr">
        <is>
          <t>Derived from the live source</t>
        </is>
      </c>
    </row>
    <row r="20" ht="15" customHeight="1">
      <c r="A20" s="43" t="inlineStr">
        <is>
          <t>A4 (bovine, herd)</t>
        </is>
      </c>
      <c r="B20" s="22" t="inlineStr">
        <is>
          <t>Bovine meat: herd size (EU)</t>
        </is>
      </c>
      <c r="C20" s="22" t="inlineStr">
        <is>
          <t>million heads</t>
        </is>
      </c>
      <c r="D20" s="23" t="n">
        <v>2020</v>
      </c>
      <c r="E20" s="24" t="n">
        <v>60.16</v>
      </c>
      <c r="F20" s="23" t="n">
        <v>2025</v>
      </c>
      <c r="G20" s="24" t="n">
        <v>56.26</v>
      </c>
      <c r="H20" s="25" t="n">
        <v>-0.06482712765957445</v>
      </c>
      <c r="I20" s="35" t="inlineStr">
        <is>
          <t>EU GHG inventory (CRF) livestock populations; 2021+ Eurostat survey trend</t>
        </is>
      </c>
      <c r="J20" s="23" t="n">
        <v>5</v>
      </c>
      <c r="K20" s="35" t="inlineStr">
        <is>
          <t>Derived from the live source</t>
        </is>
      </c>
    </row>
    <row r="21" ht="15" customHeight="1">
      <c r="A21" s="42" t="inlineStr">
        <is>
          <t>A4 (dairy, consumption)</t>
        </is>
      </c>
      <c r="B21" s="15" t="inlineStr">
        <is>
          <t>Dairy products: consumption (EU)</t>
        </is>
      </c>
      <c r="C21" s="15" t="inlineStr">
        <is>
          <t>Mt</t>
        </is>
      </c>
      <c r="D21" s="16" t="n">
        <v>2020</v>
      </c>
      <c r="E21" s="17" t="n">
        <v>86.63</v>
      </c>
      <c r="F21" s="16" t="n">
        <v>2020</v>
      </c>
      <c r="G21" s="17" t="n">
        <v>86.63</v>
      </c>
      <c r="H21" s="18" t="n"/>
      <c r="I21" s="34" t="inlineStr">
        <is>
          <t>FAOSTAT food balance sheets</t>
        </is>
      </c>
      <c r="J21" s="16" t="n"/>
      <c r="K21" s="34" t="inlineStr">
        <is>
          <t>—</t>
        </is>
      </c>
    </row>
    <row r="22" ht="15" customHeight="1">
      <c r="A22" s="43" t="inlineStr">
        <is>
          <t>A4 (dairy, production)</t>
        </is>
      </c>
      <c r="B22" s="22" t="inlineStr">
        <is>
          <t>Dairy products: production (EU)</t>
        </is>
      </c>
      <c r="C22" s="22" t="inlineStr">
        <is>
          <t>Mt</t>
        </is>
      </c>
      <c r="D22" s="23" t="n">
        <v>2020</v>
      </c>
      <c r="E22" s="24" t="n">
        <v>163.1</v>
      </c>
      <c r="F22" s="23" t="n">
        <v>2024</v>
      </c>
      <c r="G22" s="24" t="n">
        <v>164.6</v>
      </c>
      <c r="H22" s="25" t="n">
        <v>0.009196811771919068</v>
      </c>
      <c r="I22" s="35" t="inlineStr">
        <is>
          <t>Eurostat (apro_mk_farm)</t>
        </is>
      </c>
      <c r="J22" s="23" t="n">
        <v>4</v>
      </c>
      <c r="K22" s="35" t="inlineStr">
        <is>
          <t>Derived from the live source</t>
        </is>
      </c>
    </row>
    <row r="23" ht="15" customHeight="1">
      <c r="A23" s="42" t="inlineStr">
        <is>
          <t>A4 (dairy, herd)</t>
        </is>
      </c>
      <c r="B23" s="15" t="inlineStr">
        <is>
          <t>Dairy products: herd size (EU)</t>
        </is>
      </c>
      <c r="C23" s="15" t="inlineStr">
        <is>
          <t>million heads</t>
        </is>
      </c>
      <c r="D23" s="16" t="n">
        <v>2020</v>
      </c>
      <c r="E23" s="17" t="n">
        <v>20.63</v>
      </c>
      <c r="F23" s="16" t="n">
        <v>2025</v>
      </c>
      <c r="G23" s="17" t="n">
        <v>19.02</v>
      </c>
      <c r="H23" s="18" t="n">
        <v>-0.07804168686379057</v>
      </c>
      <c r="I23" s="34" t="inlineStr">
        <is>
          <t>EU GHG inventory (CRF) livestock populations; 2021+ Eurostat survey trend</t>
        </is>
      </c>
      <c r="J23" s="16" t="n">
        <v>5</v>
      </c>
      <c r="K23" s="34" t="inlineStr">
        <is>
          <t>Derived from the live source</t>
        </is>
      </c>
    </row>
    <row r="24" ht="15" customHeight="1">
      <c r="A24" s="43" t="inlineStr">
        <is>
          <t>A4 (pig, consumption)</t>
        </is>
      </c>
      <c r="B24" s="22" t="inlineStr">
        <is>
          <t>Pig meat: consumption (EU)</t>
        </is>
      </c>
      <c r="C24" s="22" t="inlineStr">
        <is>
          <t>Mt</t>
        </is>
      </c>
      <c r="D24" s="23" t="n">
        <v>2020</v>
      </c>
      <c r="E24" s="24" t="n">
        <v>17.46</v>
      </c>
      <c r="F24" s="23" t="n">
        <v>2020</v>
      </c>
      <c r="G24" s="24" t="n">
        <v>17.46</v>
      </c>
      <c r="H24" s="25" t="n"/>
      <c r="I24" s="35" t="inlineStr">
        <is>
          <t>FAOSTAT food balance sheets</t>
        </is>
      </c>
      <c r="J24" s="23" t="n"/>
      <c r="K24" s="35" t="inlineStr">
        <is>
          <t>—</t>
        </is>
      </c>
    </row>
    <row r="25" ht="15" customHeight="1">
      <c r="A25" s="42" t="inlineStr">
        <is>
          <t>A4 (pig, production)</t>
        </is>
      </c>
      <c r="B25" s="15" t="inlineStr">
        <is>
          <t>Pig meat: production (EU)</t>
        </is>
      </c>
      <c r="C25" s="15" t="inlineStr">
        <is>
          <t>Mt</t>
        </is>
      </c>
      <c r="D25" s="16" t="n">
        <v>2020</v>
      </c>
      <c r="E25" s="17" t="n">
        <v>23.22</v>
      </c>
      <c r="F25" s="16" t="n">
        <v>2025</v>
      </c>
      <c r="G25" s="17" t="n">
        <v>21.84</v>
      </c>
      <c r="H25" s="18" t="n">
        <v>-0.05943152454780358</v>
      </c>
      <c r="I25" s="34" t="inlineStr">
        <is>
          <t>Eurostat (apro_mt_pann)</t>
        </is>
      </c>
      <c r="J25" s="16" t="n">
        <v>5</v>
      </c>
      <c r="K25" s="34" t="inlineStr">
        <is>
          <t>Derived from the live source</t>
        </is>
      </c>
    </row>
    <row r="26" ht="15" customHeight="1">
      <c r="A26" s="43" t="inlineStr">
        <is>
          <t>A4 (pig, herd)</t>
        </is>
      </c>
      <c r="B26" s="22" t="inlineStr">
        <is>
          <t>Pig meat: herd size (EU)</t>
        </is>
      </c>
      <c r="C26" s="22" t="inlineStr">
        <is>
          <t>million heads</t>
        </is>
      </c>
      <c r="D26" s="23" t="n">
        <v>2020</v>
      </c>
      <c r="E26" s="24" t="n">
        <v>140</v>
      </c>
      <c r="F26" s="23" t="n">
        <v>2025</v>
      </c>
      <c r="G26" s="24" t="n">
        <v>126.1</v>
      </c>
      <c r="H26" s="25" t="n">
        <v>-0.09928571428571432</v>
      </c>
      <c r="I26" s="35" t="inlineStr">
        <is>
          <t>EU GHG inventory (CRF) livestock populations; 2021+ Eurostat apro_mt_lspig (swine) survey trend</t>
        </is>
      </c>
      <c r="J26" s="23" t="n">
        <v>5</v>
      </c>
      <c r="K26" s="35" t="inlineStr">
        <is>
          <t>Derived from the live source</t>
        </is>
      </c>
    </row>
    <row r="27" ht="15" customHeight="1">
      <c r="A27" s="42" t="inlineStr">
        <is>
          <t>A5 (bovine)</t>
        </is>
      </c>
      <c r="B27" s="15" t="inlineStr">
        <is>
          <t>Average bovine meat consumption (EU)</t>
        </is>
      </c>
      <c r="C27" s="15" t="inlineStr">
        <is>
          <t>kcal/cap/day</t>
        </is>
      </c>
      <c r="D27" s="16" t="n">
        <v>2020</v>
      </c>
      <c r="E27" s="17" t="n">
        <v>52.12</v>
      </c>
      <c r="F27" s="16" t="n">
        <v>2020</v>
      </c>
      <c r="G27" s="17" t="n">
        <v>52.12</v>
      </c>
      <c r="H27" s="18" t="n"/>
      <c r="I27" s="34" t="inlineStr">
        <is>
          <t>FAOSTAT food balance sheets</t>
        </is>
      </c>
      <c r="J27" s="16" t="n"/>
      <c r="K27" s="34" t="inlineStr">
        <is>
          <t>—</t>
        </is>
      </c>
    </row>
    <row r="28" ht="15" customHeight="1">
      <c r="A28" s="43" t="inlineStr">
        <is>
          <t>A5 (dairy)</t>
        </is>
      </c>
      <c r="B28" s="22" t="inlineStr">
        <is>
          <t>Average dairy products consumption (EU)</t>
        </is>
      </c>
      <c r="C28" s="22" t="inlineStr">
        <is>
          <t>kcal/cap/day</t>
        </is>
      </c>
      <c r="D28" s="23" t="n">
        <v>2021</v>
      </c>
      <c r="E28" s="24" t="n">
        <v>550.4</v>
      </c>
      <c r="F28" s="23" t="n">
        <v>2021</v>
      </c>
      <c r="G28" s="24" t="n">
        <v>550.4</v>
      </c>
      <c r="H28" s="25" t="n"/>
      <c r="I28" s="35" t="inlineStr">
        <is>
          <t>FAOSTAT food balance sheets</t>
        </is>
      </c>
      <c r="J28" s="23" t="n"/>
      <c r="K28" s="35" t="inlineStr">
        <is>
          <t>—</t>
        </is>
      </c>
    </row>
    <row r="29" ht="15" customHeight="1">
      <c r="A29" s="42" t="inlineStr">
        <is>
          <t>A5 (pig)</t>
        </is>
      </c>
      <c r="B29" s="15" t="inlineStr">
        <is>
          <t>Average pig meat consumption (EU)</t>
        </is>
      </c>
      <c r="C29" s="15" t="inlineStr">
        <is>
          <t>kcal/cap/day</t>
        </is>
      </c>
      <c r="D29" s="16" t="n">
        <v>2020</v>
      </c>
      <c r="E29" s="17" t="n">
        <v>203.8</v>
      </c>
      <c r="F29" s="16" t="n">
        <v>2020</v>
      </c>
      <c r="G29" s="17" t="n">
        <v>203.8</v>
      </c>
      <c r="H29" s="18" t="n"/>
      <c r="I29" s="34" t="inlineStr">
        <is>
          <t>FAOSTAT food balance sheets</t>
        </is>
      </c>
      <c r="J29" s="16" t="n"/>
      <c r="K29" s="34" t="inlineStr">
        <is>
          <t>—</t>
        </is>
      </c>
    </row>
    <row r="30" ht="15" customHeight="1">
      <c r="A30" s="43" t="inlineStr">
        <is>
          <t>A6</t>
        </is>
      </c>
      <c r="B30" s="22" t="inlineStr">
        <is>
          <t>Food waste per capita (EU)</t>
        </is>
      </c>
      <c r="C30" s="22" t="inlineStr">
        <is>
          <t>kg/cap/year</t>
        </is>
      </c>
      <c r="D30" s="23" t="n">
        <v>2020</v>
      </c>
      <c r="E30" s="24" t="n">
        <v>131</v>
      </c>
      <c r="F30" s="23" t="n">
        <v>2023</v>
      </c>
      <c r="G30" s="24" t="n">
        <v>129</v>
      </c>
      <c r="H30" s="25" t="n">
        <v>-0.01526717557251908</v>
      </c>
      <c r="I30" s="35" t="inlineStr">
        <is>
          <t>Eurostat (env_wasfw)</t>
        </is>
      </c>
      <c r="J30" s="23" t="n">
        <v>3</v>
      </c>
      <c r="K30" s="35" t="inlineStr">
        <is>
          <t>Derived from the live source</t>
        </is>
      </c>
    </row>
    <row r="33">
      <c r="A33" s="60" t="inlineStr">
        <is>
          <t>A1 · Agricultural non-CO₂ emissions  (Mt CO₂eq)</t>
        </is>
      </c>
    </row>
    <row r="34">
      <c r="A34" s="3" t="inlineStr">
        <is>
          <t>Source: EEA GHG data viewer; 2023+ Eurostat (env_air_gge, GWP-weighted) — https://doi.org/10.2908/ENV_AIR_GGE</t>
        </is>
      </c>
    </row>
    <row r="35" ht="28" customHeight="1">
      <c r="A35" s="5" t="inlineStr">
        <is>
          <t>Year</t>
        </is>
      </c>
      <c r="B35" s="5" t="inlineStr">
        <is>
          <t>In the 2024 report</t>
        </is>
      </c>
      <c r="C35" s="5" t="inlineStr">
        <is>
          <t>Added since the report</t>
        </is>
      </c>
    </row>
    <row r="36" ht="14" customHeight="1">
      <c r="A36" s="53" t="n">
        <v>2005</v>
      </c>
      <c r="B36" s="17" t="n">
        <v>380.1</v>
      </c>
      <c r="C36" s="17" t="n"/>
    </row>
    <row r="37" ht="14" customHeight="1">
      <c r="A37" s="54" t="n">
        <v>2006</v>
      </c>
      <c r="B37" s="24" t="n">
        <v>377.3</v>
      </c>
      <c r="C37" s="24" t="n"/>
    </row>
    <row r="38" ht="14" customHeight="1">
      <c r="A38" s="53" t="n">
        <v>2007</v>
      </c>
      <c r="B38" s="17" t="n">
        <v>380.2</v>
      </c>
      <c r="C38" s="17" t="n"/>
    </row>
    <row r="39" ht="14" customHeight="1">
      <c r="A39" s="54" t="n">
        <v>2008</v>
      </c>
      <c r="B39" s="24" t="n">
        <v>377.8</v>
      </c>
      <c r="C39" s="24" t="n"/>
    </row>
    <row r="40" ht="14" customHeight="1">
      <c r="A40" s="53" t="n">
        <v>2009</v>
      </c>
      <c r="B40" s="17" t="n">
        <v>372.7</v>
      </c>
      <c r="C40" s="17" t="n"/>
    </row>
    <row r="41" ht="14" customHeight="1">
      <c r="A41" s="54" t="n">
        <v>2010</v>
      </c>
      <c r="B41" s="24" t="n">
        <v>367.5</v>
      </c>
      <c r="C41" s="24" t="n"/>
    </row>
    <row r="42" ht="14" customHeight="1">
      <c r="A42" s="53" t="n">
        <v>2011</v>
      </c>
      <c r="B42" s="17" t="n">
        <v>366.7</v>
      </c>
      <c r="C42" s="17" t="n"/>
    </row>
    <row r="43" ht="14" customHeight="1">
      <c r="A43" s="54" t="n">
        <v>2012</v>
      </c>
      <c r="B43" s="24" t="n">
        <v>366.3</v>
      </c>
      <c r="C43" s="24" t="n"/>
    </row>
    <row r="44" ht="14" customHeight="1">
      <c r="A44" s="53" t="n">
        <v>2013</v>
      </c>
      <c r="B44" s="17" t="n">
        <v>367.9</v>
      </c>
      <c r="C44" s="17" t="n"/>
    </row>
    <row r="45" ht="14" customHeight="1">
      <c r="A45" s="54" t="n">
        <v>2014</v>
      </c>
      <c r="B45" s="24" t="n">
        <v>372.9</v>
      </c>
      <c r="C45" s="24" t="n"/>
    </row>
    <row r="46" ht="14" customHeight="1">
      <c r="A46" s="53" t="n">
        <v>2015</v>
      </c>
      <c r="B46" s="17" t="n">
        <v>374.5</v>
      </c>
      <c r="C46" s="17" t="n"/>
    </row>
    <row r="47" ht="14" customHeight="1">
      <c r="A47" s="54" t="n">
        <v>2016</v>
      </c>
      <c r="B47" s="24" t="n">
        <v>375.9</v>
      </c>
      <c r="C47" s="24" t="n"/>
    </row>
    <row r="48" ht="14" customHeight="1">
      <c r="A48" s="53" t="n">
        <v>2017</v>
      </c>
      <c r="B48" s="17" t="n">
        <v>378.2</v>
      </c>
      <c r="C48" s="17" t="n"/>
    </row>
    <row r="49" ht="14" customHeight="1">
      <c r="A49" s="54" t="n">
        <v>2018</v>
      </c>
      <c r="B49" s="24" t="n">
        <v>375</v>
      </c>
      <c r="C49" s="24" t="n"/>
    </row>
    <row r="50" ht="14" customHeight="1">
      <c r="A50" s="53" t="n">
        <v>2019</v>
      </c>
      <c r="B50" s="17" t="n">
        <v>370.9</v>
      </c>
      <c r="C50" s="17" t="n"/>
    </row>
    <row r="51" ht="14" customHeight="1">
      <c r="A51" s="54" t="n">
        <v>2020</v>
      </c>
      <c r="B51" s="24" t="n">
        <v>371.9</v>
      </c>
      <c r="C51" s="24" t="n"/>
    </row>
    <row r="52" ht="14" customHeight="1">
      <c r="A52" s="53" t="n">
        <v>2021</v>
      </c>
      <c r="B52" s="17" t="n">
        <v>368.6</v>
      </c>
      <c r="C52" s="17" t="n"/>
    </row>
    <row r="53" ht="14" customHeight="1">
      <c r="A53" s="54" t="n">
        <v>2022</v>
      </c>
      <c r="B53" s="24" t="n">
        <v>360.9</v>
      </c>
      <c r="C53" s="24" t="n">
        <v>360.9</v>
      </c>
    </row>
    <row r="54" ht="14" customHeight="1">
      <c r="A54" s="53" t="n">
        <v>2023</v>
      </c>
      <c r="B54" s="17" t="n"/>
      <c r="C54" s="17" t="n">
        <v>359.9</v>
      </c>
    </row>
    <row r="55" ht="14" customHeight="1">
      <c r="A55" s="54" t="n">
        <v>2024</v>
      </c>
      <c r="B55" s="24" t="n"/>
      <c r="C55" s="24" t="n">
        <v>355.7</v>
      </c>
    </row>
    <row r="57">
      <c r="A57" s="60" t="inlineStr">
        <is>
          <t>A3 (use) · Total fertiliser nitrogen use (EU)  (Mt N)</t>
        </is>
      </c>
    </row>
    <row r="58">
      <c r="A58" s="3" t="inlineStr">
        <is>
          <t>Source: EU GHG inventory (CRF) — https://www.eea.europa.eu/en/datahub/datahubitem-view/3b7fe76c-524a-439a-bfd2-a6e4046302a2</t>
        </is>
      </c>
    </row>
    <row r="59" ht="28" customHeight="1">
      <c r="A59" s="5" t="inlineStr">
        <is>
          <t>Year</t>
        </is>
      </c>
      <c r="B59" s="5" t="inlineStr">
        <is>
          <t>In the 2024 report</t>
        </is>
      </c>
      <c r="C59" s="5" t="inlineStr">
        <is>
          <t>Added since the report</t>
        </is>
      </c>
    </row>
    <row r="60" ht="14" customHeight="1">
      <c r="A60" s="53" t="n">
        <v>2005</v>
      </c>
      <c r="B60" s="17" t="n">
        <v>14.9</v>
      </c>
      <c r="C60" s="17" t="n"/>
    </row>
    <row r="61" ht="14" customHeight="1">
      <c r="A61" s="54" t="n">
        <v>2006</v>
      </c>
      <c r="B61" s="24" t="n">
        <v>14.81</v>
      </c>
      <c r="C61" s="24" t="n"/>
    </row>
    <row r="62" ht="14" customHeight="1">
      <c r="A62" s="53" t="n">
        <v>2007</v>
      </c>
      <c r="B62" s="17" t="n">
        <v>15.01</v>
      </c>
      <c r="C62" s="17" t="n"/>
    </row>
    <row r="63" ht="14" customHeight="1">
      <c r="A63" s="54" t="n">
        <v>2008</v>
      </c>
      <c r="B63" s="24" t="n">
        <v>14.78</v>
      </c>
      <c r="C63" s="24" t="n"/>
    </row>
    <row r="64" ht="14" customHeight="1">
      <c r="A64" s="53" t="n">
        <v>2009</v>
      </c>
      <c r="B64" s="17" t="n">
        <v>14.3</v>
      </c>
      <c r="C64" s="17" t="n"/>
    </row>
    <row r="65" ht="14" customHeight="1">
      <c r="A65" s="54" t="n">
        <v>2010</v>
      </c>
      <c r="B65" s="24" t="n">
        <v>14.37</v>
      </c>
      <c r="C65" s="24" t="n"/>
    </row>
    <row r="66" ht="14" customHeight="1">
      <c r="A66" s="53" t="n">
        <v>2011</v>
      </c>
      <c r="B66" s="17" t="n">
        <v>14.6</v>
      </c>
      <c r="C66" s="17" t="n"/>
    </row>
    <row r="67" ht="14" customHeight="1">
      <c r="A67" s="54" t="n">
        <v>2012</v>
      </c>
      <c r="B67" s="24" t="n">
        <v>14.72</v>
      </c>
      <c r="C67" s="24" t="n"/>
    </row>
    <row r="68" ht="14" customHeight="1">
      <c r="A68" s="53" t="n">
        <v>2013</v>
      </c>
      <c r="B68" s="17" t="n">
        <v>14.9</v>
      </c>
      <c r="C68" s="17" t="n"/>
    </row>
    <row r="69" ht="14" customHeight="1">
      <c r="A69" s="54" t="n">
        <v>2014</v>
      </c>
      <c r="B69" s="24" t="n">
        <v>15.2</v>
      </c>
      <c r="C69" s="24" t="n"/>
    </row>
    <row r="70" ht="14" customHeight="1">
      <c r="A70" s="53" t="n">
        <v>2015</v>
      </c>
      <c r="B70" s="17" t="n">
        <v>15.41</v>
      </c>
      <c r="C70" s="17" t="n"/>
    </row>
    <row r="71" ht="14" customHeight="1">
      <c r="A71" s="54" t="n">
        <v>2016</v>
      </c>
      <c r="B71" s="24" t="n">
        <v>15.51</v>
      </c>
      <c r="C71" s="24" t="n"/>
    </row>
    <row r="72" ht="14" customHeight="1">
      <c r="A72" s="53" t="n">
        <v>2017</v>
      </c>
      <c r="B72" s="17" t="n">
        <v>15.72</v>
      </c>
      <c r="C72" s="17" t="n"/>
    </row>
    <row r="73" ht="14" customHeight="1">
      <c r="A73" s="54" t="n">
        <v>2018</v>
      </c>
      <c r="B73" s="24" t="n">
        <v>15.57</v>
      </c>
      <c r="C73" s="24" t="n"/>
    </row>
    <row r="74" ht="14" customHeight="1">
      <c r="A74" s="53" t="n">
        <v>2019</v>
      </c>
      <c r="B74" s="17" t="n">
        <v>15.05</v>
      </c>
      <c r="C74" s="17" t="n"/>
    </row>
    <row r="75" ht="14" customHeight="1">
      <c r="A75" s="54" t="n">
        <v>2020</v>
      </c>
      <c r="B75" s="24" t="n">
        <v>15.24</v>
      </c>
      <c r="C75" s="24" t="n"/>
    </row>
    <row r="76" ht="14" customHeight="1">
      <c r="A76" s="53" t="n">
        <v>2021</v>
      </c>
      <c r="B76" s="17" t="n">
        <v>15.01</v>
      </c>
      <c r="C76" s="17" t="n"/>
    </row>
    <row r="78">
      <c r="A78" s="60" t="inlineStr">
        <is>
          <t>A3 (NUE) · Nitrogen use efficiency in EU agriculture  (%)</t>
        </is>
      </c>
    </row>
    <row r="79">
      <c r="A79" s="3" t="inlineStr">
        <is>
          <t>Source: Ludemann et al. 2023 — https://doi.org/10.5194/essd-16-525-2024</t>
        </is>
      </c>
    </row>
    <row r="80" ht="28" customHeight="1">
      <c r="A80" s="5" t="inlineStr">
        <is>
          <t>Year</t>
        </is>
      </c>
      <c r="B80" s="5" t="inlineStr">
        <is>
          <t>In the 2024 report</t>
        </is>
      </c>
      <c r="C80" s="5" t="inlineStr">
        <is>
          <t>Added since the report</t>
        </is>
      </c>
    </row>
    <row r="81" ht="14" customHeight="1">
      <c r="A81" s="53" t="n">
        <v>2005</v>
      </c>
      <c r="B81" s="17" t="n">
        <v>46.82</v>
      </c>
      <c r="C81" s="17" t="n"/>
    </row>
    <row r="82" ht="14" customHeight="1">
      <c r="A82" s="54" t="n">
        <v>2006</v>
      </c>
      <c r="B82" s="24" t="n">
        <v>44.64</v>
      </c>
      <c r="C82" s="24" t="n"/>
    </row>
    <row r="83" ht="14" customHeight="1">
      <c r="A83" s="53" t="n">
        <v>2007</v>
      </c>
      <c r="B83" s="17" t="n">
        <v>42.01</v>
      </c>
      <c r="C83" s="17" t="n"/>
    </row>
    <row r="84" ht="14" customHeight="1">
      <c r="A84" s="54" t="n">
        <v>2008</v>
      </c>
      <c r="B84" s="24" t="n">
        <v>52.45</v>
      </c>
      <c r="C84" s="24" t="n"/>
    </row>
    <row r="85" ht="14" customHeight="1">
      <c r="A85" s="53" t="n">
        <v>2009</v>
      </c>
      <c r="B85" s="17" t="n">
        <v>52.29</v>
      </c>
      <c r="C85" s="17" t="n"/>
    </row>
    <row r="86" ht="14" customHeight="1">
      <c r="A86" s="54" t="n">
        <v>2010</v>
      </c>
      <c r="B86" s="24" t="n">
        <v>46.9</v>
      </c>
      <c r="C86" s="24" t="n"/>
    </row>
    <row r="87" ht="14" customHeight="1">
      <c r="A87" s="53" t="n">
        <v>2011</v>
      </c>
      <c r="B87" s="17" t="n">
        <v>49.5</v>
      </c>
      <c r="C87" s="17" t="n"/>
    </row>
    <row r="88" ht="14" customHeight="1">
      <c r="A88" s="54" t="n">
        <v>2012</v>
      </c>
      <c r="B88" s="24" t="n">
        <v>46.84</v>
      </c>
      <c r="C88" s="24" t="n"/>
    </row>
    <row r="89" ht="14" customHeight="1">
      <c r="A89" s="53" t="n">
        <v>2013</v>
      </c>
      <c r="B89" s="17" t="n">
        <v>50.19</v>
      </c>
      <c r="C89" s="17" t="n"/>
    </row>
    <row r="90" ht="14" customHeight="1">
      <c r="A90" s="54" t="n">
        <v>2014</v>
      </c>
      <c r="B90" s="24" t="n">
        <v>52.69</v>
      </c>
      <c r="C90" s="24" t="n"/>
    </row>
    <row r="91" ht="14" customHeight="1">
      <c r="A91" s="53" t="n">
        <v>2015</v>
      </c>
      <c r="B91" s="17" t="n">
        <v>49.93</v>
      </c>
      <c r="C91" s="17" t="n"/>
    </row>
    <row r="92" ht="14" customHeight="1">
      <c r="A92" s="54" t="n">
        <v>2016</v>
      </c>
      <c r="B92" s="24" t="n">
        <v>47.75</v>
      </c>
      <c r="C92" s="24" t="n"/>
    </row>
    <row r="93" ht="14" customHeight="1">
      <c r="A93" s="53" t="n">
        <v>2017</v>
      </c>
      <c r="B93" s="17" t="n">
        <v>49.6</v>
      </c>
      <c r="C93" s="17" t="n"/>
    </row>
    <row r="94" ht="14" customHeight="1">
      <c r="A94" s="54" t="n">
        <v>2018</v>
      </c>
      <c r="B94" s="24" t="n">
        <v>47.74</v>
      </c>
      <c r="C94" s="24" t="n"/>
    </row>
    <row r="95" ht="14" customHeight="1">
      <c r="A95" s="53" t="n">
        <v>2019</v>
      </c>
      <c r="B95" s="17" t="n">
        <v>50.9</v>
      </c>
      <c r="C95" s="17" t="n"/>
    </row>
    <row r="96" ht="14" customHeight="1">
      <c r="A96" s="54" t="n">
        <v>2020</v>
      </c>
      <c r="B96" s="24" t="n">
        <v>49.03</v>
      </c>
      <c r="C96" s="24" t="n"/>
    </row>
    <row r="98">
      <c r="A98" s="60" t="inlineStr">
        <is>
          <t>A7 · Agricultural products used as bioenergy feedstock  (Mt fresh)</t>
        </is>
      </c>
    </row>
    <row r="99">
      <c r="A99" s="3" t="inlineStr">
        <is>
          <t>Source: JRC medium-term outlook — https://datam.jrc.ec.europa.eu/datam/mashup/AGRICULTURAL_OUTLOOK/</t>
        </is>
      </c>
    </row>
    <row r="100" ht="28" customHeight="1">
      <c r="A100" s="5" t="inlineStr">
        <is>
          <t>Year</t>
        </is>
      </c>
      <c r="B100" s="5" t="inlineStr">
        <is>
          <t>In the 2024 report</t>
        </is>
      </c>
      <c r="C100" s="5" t="inlineStr">
        <is>
          <t>Added since the report</t>
        </is>
      </c>
    </row>
    <row r="101" ht="14" customHeight="1">
      <c r="A101" s="53" t="n">
        <v>2005</v>
      </c>
      <c r="B101" s="17" t="n">
        <v>7.021</v>
      </c>
      <c r="C101" s="17" t="n"/>
    </row>
    <row r="102" ht="14" customHeight="1">
      <c r="A102" s="54" t="n">
        <v>2006</v>
      </c>
      <c r="B102" s="24" t="n">
        <v>9.012</v>
      </c>
      <c r="C102" s="24" t="n"/>
    </row>
    <row r="103" ht="14" customHeight="1">
      <c r="A103" s="53" t="n">
        <v>2007</v>
      </c>
      <c r="B103" s="17" t="n">
        <v>11.5</v>
      </c>
      <c r="C103" s="17" t="n"/>
    </row>
    <row r="104" ht="14" customHeight="1">
      <c r="A104" s="54" t="n">
        <v>2008</v>
      </c>
      <c r="B104" s="24" t="n">
        <v>13.99</v>
      </c>
      <c r="C104" s="24" t="n"/>
    </row>
    <row r="105" ht="14" customHeight="1">
      <c r="A105" s="53" t="n">
        <v>2009</v>
      </c>
      <c r="B105" s="17" t="n">
        <v>16.88</v>
      </c>
      <c r="C105" s="17" t="n"/>
    </row>
    <row r="106" ht="14" customHeight="1">
      <c r="A106" s="54" t="n">
        <v>2010</v>
      </c>
      <c r="B106" s="24" t="n">
        <v>18.76</v>
      </c>
      <c r="C106" s="24" t="n"/>
    </row>
    <row r="107" ht="14" customHeight="1">
      <c r="A107" s="53" t="n">
        <v>2011</v>
      </c>
      <c r="B107" s="17" t="n">
        <v>19.87</v>
      </c>
      <c r="C107" s="17" t="n"/>
    </row>
    <row r="108" ht="14" customHeight="1">
      <c r="A108" s="54" t="n">
        <v>2012</v>
      </c>
      <c r="B108" s="24" t="n">
        <v>19.58</v>
      </c>
      <c r="C108" s="24" t="n"/>
    </row>
    <row r="109" ht="14" customHeight="1">
      <c r="A109" s="53" t="n">
        <v>2013</v>
      </c>
      <c r="B109" s="17" t="n">
        <v>20.4</v>
      </c>
      <c r="C109" s="17" t="n"/>
    </row>
    <row r="110" ht="14" customHeight="1">
      <c r="A110" s="54" t="n">
        <v>2014</v>
      </c>
      <c r="B110" s="24" t="n">
        <v>22.09</v>
      </c>
      <c r="C110" s="24" t="n"/>
    </row>
    <row r="111" ht="14" customHeight="1">
      <c r="A111" s="53" t="n">
        <v>2015</v>
      </c>
      <c r="B111" s="17" t="n">
        <v>20.52</v>
      </c>
      <c r="C111" s="17" t="n"/>
    </row>
    <row r="112" ht="14" customHeight="1">
      <c r="A112" s="54" t="n">
        <v>2016</v>
      </c>
      <c r="B112" s="24" t="n">
        <v>20.36</v>
      </c>
      <c r="C112" s="24" t="n"/>
    </row>
    <row r="113" ht="14" customHeight="1">
      <c r="A113" s="53" t="n">
        <v>2017</v>
      </c>
      <c r="B113" s="17" t="n">
        <v>22.28</v>
      </c>
      <c r="C113" s="17" t="n"/>
    </row>
    <row r="114" ht="14" customHeight="1">
      <c r="A114" s="54" t="n">
        <v>2018</v>
      </c>
      <c r="B114" s="24" t="n">
        <v>22.29</v>
      </c>
      <c r="C114" s="24" t="n"/>
    </row>
    <row r="115" ht="14" customHeight="1">
      <c r="A115" s="53" t="n">
        <v>2019</v>
      </c>
      <c r="B115" s="17" t="n">
        <v>22.14</v>
      </c>
      <c r="C115" s="17" t="n"/>
    </row>
    <row r="116" ht="14" customHeight="1">
      <c r="A116" s="54" t="n">
        <v>2020</v>
      </c>
      <c r="B116" s="24" t="n">
        <v>22.95</v>
      </c>
      <c r="C116" s="24" t="n"/>
    </row>
    <row r="117" ht="14" customHeight="1">
      <c r="A117" s="53" t="n">
        <v>2021</v>
      </c>
      <c r="B117" s="17" t="n">
        <v>23.89</v>
      </c>
      <c r="C117" s="17" t="n"/>
    </row>
    <row r="119">
      <c r="A119" s="60" t="inlineStr">
        <is>
          <t>A2 (bovine, GHG) · Bovine meat: GHG emissions (EU)  (Mt CO₂eq)</t>
        </is>
      </c>
    </row>
    <row r="120">
      <c r="A120" s="3" t="inlineStr">
        <is>
          <t>Source: EEA GHG data viewer + Eurostat/FAOSTAT production — https://www.eea.europa.eu/en/datahub/datahubitem-view/3b7fe76c-524a-439a-bfd2-a6e4046302a2</t>
        </is>
      </c>
    </row>
    <row r="121" ht="28" customHeight="1">
      <c r="A121" s="5" t="inlineStr">
        <is>
          <t>Year</t>
        </is>
      </c>
      <c r="B121" s="5" t="inlineStr">
        <is>
          <t>In the 2024 report</t>
        </is>
      </c>
      <c r="C121" s="5" t="inlineStr">
        <is>
          <t>Added since the report</t>
        </is>
      </c>
    </row>
    <row r="122" ht="14" customHeight="1">
      <c r="A122" s="53" t="n">
        <v>2010</v>
      </c>
      <c r="B122" s="17" t="n">
        <v>102.5</v>
      </c>
      <c r="C122" s="17" t="n"/>
    </row>
    <row r="123" ht="14" customHeight="1">
      <c r="A123" s="54" t="n">
        <v>2011</v>
      </c>
      <c r="B123" s="24" t="n">
        <v>100.9</v>
      </c>
      <c r="C123" s="24" t="n"/>
    </row>
    <row r="124" ht="14" customHeight="1">
      <c r="A124" s="53" t="n">
        <v>2012</v>
      </c>
      <c r="B124" s="17" t="n">
        <v>101.1</v>
      </c>
      <c r="C124" s="17" t="n"/>
    </row>
    <row r="125" ht="14" customHeight="1">
      <c r="A125" s="54" t="n">
        <v>2013</v>
      </c>
      <c r="B125" s="24" t="n">
        <v>101.6</v>
      </c>
      <c r="C125" s="24" t="n"/>
    </row>
    <row r="126" ht="14" customHeight="1">
      <c r="A126" s="53" t="n">
        <v>2014</v>
      </c>
      <c r="B126" s="17" t="n">
        <v>102.1</v>
      </c>
      <c r="C126" s="17" t="n"/>
    </row>
    <row r="127" ht="14" customHeight="1">
      <c r="A127" s="54" t="n">
        <v>2015</v>
      </c>
      <c r="B127" s="24" t="n">
        <v>103.1</v>
      </c>
      <c r="C127" s="24" t="n"/>
    </row>
    <row r="128" ht="14" customHeight="1">
      <c r="A128" s="53" t="n">
        <v>2016</v>
      </c>
      <c r="B128" s="17" t="n">
        <v>103.8</v>
      </c>
      <c r="C128" s="17" t="n"/>
    </row>
    <row r="129" ht="14" customHeight="1">
      <c r="A129" s="54" t="n">
        <v>2017</v>
      </c>
      <c r="B129" s="24" t="n">
        <v>103.8</v>
      </c>
      <c r="C129" s="24" t="n"/>
    </row>
    <row r="130" ht="14" customHeight="1">
      <c r="A130" s="53" t="n">
        <v>2018</v>
      </c>
      <c r="B130" s="17" t="n">
        <v>103.3</v>
      </c>
      <c r="C130" s="17" t="n"/>
    </row>
    <row r="131" ht="14" customHeight="1">
      <c r="A131" s="54" t="n">
        <v>2019</v>
      </c>
      <c r="B131" s="24" t="n">
        <v>101.7</v>
      </c>
      <c r="C131" s="24" t="n"/>
    </row>
    <row r="132" ht="14" customHeight="1">
      <c r="A132" s="53" t="n">
        <v>2020</v>
      </c>
      <c r="B132" s="17" t="n">
        <v>100.8</v>
      </c>
      <c r="C132" s="17" t="n"/>
    </row>
    <row r="133" ht="14" customHeight="1">
      <c r="A133" s="54" t="n">
        <v>2021</v>
      </c>
      <c r="B133" s="24" t="n">
        <v>100.3</v>
      </c>
      <c r="C133" s="24" t="n"/>
    </row>
    <row r="135">
      <c r="A135" s="60" t="inlineStr">
        <is>
          <t>A2 (bovine, production) · Bovine meat: production (EU)  (Mt)</t>
        </is>
      </c>
    </row>
    <row r="136">
      <c r="A136" s="3" t="inlineStr">
        <is>
          <t>Source: Eurostat (apro_mt_pann) — https://doi.org/10.2908/APRO_MT_PANN</t>
        </is>
      </c>
    </row>
    <row r="137" ht="28" customHeight="1">
      <c r="A137" s="5" t="inlineStr">
        <is>
          <t>Year</t>
        </is>
      </c>
      <c r="B137" s="5" t="inlineStr">
        <is>
          <t>In the 2024 report</t>
        </is>
      </c>
      <c r="C137" s="5" t="inlineStr">
        <is>
          <t>Added since the report</t>
        </is>
      </c>
    </row>
    <row r="138" ht="14" customHeight="1">
      <c r="A138" s="53" t="n">
        <v>2010</v>
      </c>
      <c r="B138" s="17" t="n">
        <v>7.257</v>
      </c>
      <c r="C138" s="17" t="n"/>
    </row>
    <row r="139" ht="14" customHeight="1">
      <c r="A139" s="54" t="n">
        <v>2011</v>
      </c>
      <c r="B139" s="24" t="n">
        <v>7.126</v>
      </c>
      <c r="C139" s="24" t="n"/>
    </row>
    <row r="140" ht="14" customHeight="1">
      <c r="A140" s="53" t="n">
        <v>2012</v>
      </c>
      <c r="B140" s="17" t="n">
        <v>6.857</v>
      </c>
      <c r="C140" s="17" t="n"/>
    </row>
    <row r="141" ht="14" customHeight="1">
      <c r="A141" s="54" t="n">
        <v>2013</v>
      </c>
      <c r="B141" s="24" t="n">
        <v>6.567</v>
      </c>
      <c r="C141" s="24" t="n"/>
    </row>
    <row r="142" ht="14" customHeight="1">
      <c r="A142" s="53" t="n">
        <v>2014</v>
      </c>
      <c r="B142" s="17" t="n">
        <v>6.597</v>
      </c>
      <c r="C142" s="17" t="n"/>
    </row>
    <row r="143" ht="14" customHeight="1">
      <c r="A143" s="54" t="n">
        <v>2015</v>
      </c>
      <c r="B143" s="24" t="n">
        <v>6.827</v>
      </c>
      <c r="C143" s="24" t="n"/>
    </row>
    <row r="144" ht="14" customHeight="1">
      <c r="A144" s="53" t="n">
        <v>2016</v>
      </c>
      <c r="B144" s="17" t="n">
        <v>6.999</v>
      </c>
      <c r="C144" s="17" t="n"/>
    </row>
    <row r="145" ht="14" customHeight="1">
      <c r="A145" s="54" t="n">
        <v>2017</v>
      </c>
      <c r="B145" s="24" t="n">
        <v>6.993</v>
      </c>
      <c r="C145" s="24" t="n"/>
    </row>
    <row r="146" ht="14" customHeight="1">
      <c r="A146" s="53" t="n">
        <v>2018</v>
      </c>
      <c r="B146" s="17" t="n">
        <v>7.112</v>
      </c>
      <c r="C146" s="17" t="n"/>
    </row>
    <row r="147" ht="14" customHeight="1">
      <c r="A147" s="54" t="n">
        <v>2019</v>
      </c>
      <c r="B147" s="24" t="n">
        <v>6.999</v>
      </c>
      <c r="C147" s="24" t="n"/>
    </row>
    <row r="148" ht="14" customHeight="1">
      <c r="A148" s="53" t="n">
        <v>2020</v>
      </c>
      <c r="B148" s="17" t="n">
        <v>6.936</v>
      </c>
      <c r="C148" s="17" t="n">
        <v>6.936</v>
      </c>
    </row>
    <row r="149" ht="14" customHeight="1">
      <c r="A149" s="54" t="n">
        <v>2021</v>
      </c>
      <c r="B149" s="24" t="n"/>
      <c r="C149" s="24" t="n">
        <v>6.802</v>
      </c>
    </row>
    <row r="150" ht="14" customHeight="1">
      <c r="A150" s="53" t="n">
        <v>2022</v>
      </c>
      <c r="B150" s="17" t="n"/>
      <c r="C150" s="17" t="n">
        <v>6.64</v>
      </c>
    </row>
    <row r="151" ht="14" customHeight="1">
      <c r="A151" s="54" t="n">
        <v>2023</v>
      </c>
      <c r="B151" s="24" t="n"/>
      <c r="C151" s="24" t="n">
        <v>6.385</v>
      </c>
    </row>
    <row r="152" ht="14" customHeight="1">
      <c r="A152" s="53" t="n">
        <v>2024</v>
      </c>
      <c r="B152" s="17" t="n"/>
      <c r="C152" s="17" t="n">
        <v>6.584</v>
      </c>
    </row>
    <row r="153" ht="14" customHeight="1">
      <c r="A153" s="54" t="n">
        <v>2025</v>
      </c>
      <c r="B153" s="24" t="n"/>
      <c r="C153" s="24" t="n">
        <v>6.32</v>
      </c>
    </row>
    <row r="155">
      <c r="A155" s="60" t="inlineStr">
        <is>
          <t>A2 (bovine, intensity) · Bovine meat: GHG intensity (EU)  (t CO₂eq/t)</t>
        </is>
      </c>
    </row>
    <row r="156">
      <c r="A156" s="3" t="inlineStr">
        <is>
          <t>Source: EEA GHG data viewer + Eurostat/FAOSTAT production — https://www.eea.europa.eu/en/datahub/datahubitem-view/3b7fe76c-524a-439a-bfd2-a6e4046302a2</t>
        </is>
      </c>
    </row>
    <row r="157" ht="28" customHeight="1">
      <c r="A157" s="5" t="inlineStr">
        <is>
          <t>Year</t>
        </is>
      </c>
      <c r="B157" s="5" t="inlineStr">
        <is>
          <t>In the 2024 report</t>
        </is>
      </c>
      <c r="C157" s="5" t="inlineStr">
        <is>
          <t>Added since the report</t>
        </is>
      </c>
    </row>
    <row r="158" ht="14" customHeight="1">
      <c r="A158" s="53" t="n">
        <v>2010</v>
      </c>
      <c r="B158" s="17" t="n">
        <v>14.13</v>
      </c>
      <c r="C158" s="17" t="n"/>
    </row>
    <row r="159" ht="14" customHeight="1">
      <c r="A159" s="54" t="n">
        <v>2011</v>
      </c>
      <c r="B159" s="24" t="n">
        <v>14.15</v>
      </c>
      <c r="C159" s="24" t="n"/>
    </row>
    <row r="160" ht="14" customHeight="1">
      <c r="A160" s="53" t="n">
        <v>2012</v>
      </c>
      <c r="B160" s="17" t="n">
        <v>14.74</v>
      </c>
      <c r="C160" s="17" t="n"/>
    </row>
    <row r="161" ht="14" customHeight="1">
      <c r="A161" s="54" t="n">
        <v>2013</v>
      </c>
      <c r="B161" s="24" t="n">
        <v>15.46</v>
      </c>
      <c r="C161" s="24" t="n"/>
    </row>
    <row r="162" ht="14" customHeight="1">
      <c r="A162" s="53" t="n">
        <v>2014</v>
      </c>
      <c r="B162" s="17" t="n">
        <v>15.48</v>
      </c>
      <c r="C162" s="17" t="n"/>
    </row>
    <row r="163" ht="14" customHeight="1">
      <c r="A163" s="54" t="n">
        <v>2015</v>
      </c>
      <c r="B163" s="24" t="n">
        <v>15.11</v>
      </c>
      <c r="C163" s="24" t="n"/>
    </row>
    <row r="164" ht="14" customHeight="1">
      <c r="A164" s="53" t="n">
        <v>2016</v>
      </c>
      <c r="B164" s="17" t="n">
        <v>14.83</v>
      </c>
      <c r="C164" s="17" t="n"/>
    </row>
    <row r="165" ht="14" customHeight="1">
      <c r="A165" s="54" t="n">
        <v>2017</v>
      </c>
      <c r="B165" s="24" t="n">
        <v>14.85</v>
      </c>
      <c r="C165" s="24" t="n"/>
    </row>
    <row r="166" ht="14" customHeight="1">
      <c r="A166" s="53" t="n">
        <v>2018</v>
      </c>
      <c r="B166" s="17" t="n">
        <v>14.52</v>
      </c>
      <c r="C166" s="17" t="n"/>
    </row>
    <row r="167" ht="14" customHeight="1">
      <c r="A167" s="54" t="n">
        <v>2019</v>
      </c>
      <c r="B167" s="24" t="n">
        <v>14.53</v>
      </c>
      <c r="C167" s="24" t="n"/>
    </row>
    <row r="168" ht="14" customHeight="1">
      <c r="A168" s="53" t="n">
        <v>2020</v>
      </c>
      <c r="B168" s="17" t="n">
        <v>14.53</v>
      </c>
      <c r="C168" s="17" t="n"/>
    </row>
    <row r="171">
      <c r="A171" s="60" t="inlineStr">
        <is>
          <t>A2 (dairy, GHG) · Dairy products: GHG emissions (EU)  (Mt CO₂eq)</t>
        </is>
      </c>
    </row>
    <row r="172">
      <c r="A172" s="3" t="inlineStr">
        <is>
          <t>Source: EEA GHG data viewer + Eurostat/FAOSTAT production — https://www.eea.europa.eu/en/datahub/datahubitem-view/3b7fe76c-524a-439a-bfd2-a6e4046302a2</t>
        </is>
      </c>
    </row>
    <row r="173" ht="28" customHeight="1">
      <c r="A173" s="5" t="inlineStr">
        <is>
          <t>Year</t>
        </is>
      </c>
      <c r="B173" s="5" t="inlineStr">
        <is>
          <t>In the 2024 report</t>
        </is>
      </c>
      <c r="C173" s="5" t="inlineStr">
        <is>
          <t>Added since the report</t>
        </is>
      </c>
    </row>
    <row r="174" ht="14" customHeight="1">
      <c r="A174" s="53" t="n">
        <v>2010</v>
      </c>
      <c r="B174" s="17" t="n">
        <v>95.72</v>
      </c>
      <c r="C174" s="17" t="n"/>
    </row>
    <row r="175" ht="14" customHeight="1">
      <c r="A175" s="54" t="n">
        <v>2011</v>
      </c>
      <c r="B175" s="24" t="n">
        <v>95.98</v>
      </c>
      <c r="C175" s="24" t="n"/>
    </row>
    <row r="176" ht="14" customHeight="1">
      <c r="A176" s="53" t="n">
        <v>2012</v>
      </c>
      <c r="B176" s="17" t="n">
        <v>96.45999999999999</v>
      </c>
      <c r="C176" s="17" t="n"/>
    </row>
    <row r="177" ht="14" customHeight="1">
      <c r="A177" s="54" t="n">
        <v>2013</v>
      </c>
      <c r="B177" s="24" t="n">
        <v>97</v>
      </c>
      <c r="C177" s="24" t="n"/>
    </row>
    <row r="178" ht="14" customHeight="1">
      <c r="A178" s="53" t="n">
        <v>2014</v>
      </c>
      <c r="B178" s="17" t="n">
        <v>98.38</v>
      </c>
      <c r="C178" s="17" t="n"/>
    </row>
    <row r="179" ht="14" customHeight="1">
      <c r="A179" s="54" t="n">
        <v>2015</v>
      </c>
      <c r="B179" s="24" t="n">
        <v>99.23</v>
      </c>
      <c r="C179" s="24" t="n"/>
    </row>
    <row r="180" ht="14" customHeight="1">
      <c r="A180" s="53" t="n">
        <v>2016</v>
      </c>
      <c r="B180" s="17" t="n">
        <v>99.40000000000001</v>
      </c>
      <c r="C180" s="17" t="n"/>
    </row>
    <row r="181" ht="14" customHeight="1">
      <c r="A181" s="54" t="n">
        <v>2017</v>
      </c>
      <c r="B181" s="24" t="n">
        <v>99.37</v>
      </c>
      <c r="C181" s="24" t="n"/>
    </row>
    <row r="182" ht="14" customHeight="1">
      <c r="A182" s="53" t="n">
        <v>2018</v>
      </c>
      <c r="B182" s="17" t="n">
        <v>98.63</v>
      </c>
      <c r="C182" s="17" t="n"/>
    </row>
    <row r="183" ht="14" customHeight="1">
      <c r="A183" s="54" t="n">
        <v>2019</v>
      </c>
      <c r="B183" s="24" t="n">
        <v>98.2</v>
      </c>
      <c r="C183" s="24" t="n"/>
    </row>
    <row r="184" ht="14" customHeight="1">
      <c r="A184" s="53" t="n">
        <v>2020</v>
      </c>
      <c r="B184" s="17" t="n">
        <v>98.63</v>
      </c>
      <c r="C184" s="17" t="n"/>
    </row>
    <row r="185" ht="14" customHeight="1">
      <c r="A185" s="54" t="n">
        <v>2021</v>
      </c>
      <c r="B185" s="24" t="n">
        <v>97.79000000000001</v>
      </c>
      <c r="C185" s="24" t="n"/>
    </row>
    <row r="187">
      <c r="A187" s="60" t="inlineStr">
        <is>
          <t>A2 (dairy, production) · Dairy products: production (EU)  (Mt)</t>
        </is>
      </c>
    </row>
    <row r="188">
      <c r="A188" s="3" t="inlineStr">
        <is>
          <t>Source: Eurostat (apro_mk_farm) — https://doi.org/10.2908/APRO_MK_FARM</t>
        </is>
      </c>
    </row>
    <row r="189" ht="28" customHeight="1">
      <c r="A189" s="5" t="inlineStr">
        <is>
          <t>Year</t>
        </is>
      </c>
      <c r="B189" s="5" t="inlineStr">
        <is>
          <t>In the 2024 report</t>
        </is>
      </c>
      <c r="C189" s="5" t="inlineStr">
        <is>
          <t>Added since the report</t>
        </is>
      </c>
    </row>
    <row r="190" ht="14" customHeight="1">
      <c r="A190" s="53" t="n">
        <v>2010</v>
      </c>
      <c r="B190" s="17" t="n">
        <v>141.1</v>
      </c>
      <c r="C190" s="17" t="n"/>
    </row>
    <row r="191" ht="14" customHeight="1">
      <c r="A191" s="54" t="n">
        <v>2011</v>
      </c>
      <c r="B191" s="24" t="n">
        <v>143.4</v>
      </c>
      <c r="C191" s="24" t="n"/>
    </row>
    <row r="192" ht="14" customHeight="1">
      <c r="A192" s="53" t="n">
        <v>2012</v>
      </c>
      <c r="B192" s="17" t="n">
        <v>143.8</v>
      </c>
      <c r="C192" s="17" t="n"/>
    </row>
    <row r="193" ht="14" customHeight="1">
      <c r="A193" s="54" t="n">
        <v>2013</v>
      </c>
      <c r="B193" s="24" t="n">
        <v>145.3</v>
      </c>
      <c r="C193" s="24" t="n"/>
    </row>
    <row r="194" ht="14" customHeight="1">
      <c r="A194" s="53" t="n">
        <v>2014</v>
      </c>
      <c r="B194" s="17" t="n">
        <v>150.1</v>
      </c>
      <c r="C194" s="17" t="n"/>
    </row>
    <row r="195" ht="14" customHeight="1">
      <c r="A195" s="54" t="n">
        <v>2015</v>
      </c>
      <c r="B195" s="24" t="n">
        <v>153.2</v>
      </c>
      <c r="C195" s="24" t="n"/>
    </row>
    <row r="196" ht="14" customHeight="1">
      <c r="A196" s="53" t="n">
        <v>2016</v>
      </c>
      <c r="B196" s="17" t="n">
        <v>154.8</v>
      </c>
      <c r="C196" s="17" t="n"/>
    </row>
    <row r="197" ht="14" customHeight="1">
      <c r="A197" s="54" t="n">
        <v>2017</v>
      </c>
      <c r="B197" s="24" t="n">
        <v>156</v>
      </c>
      <c r="C197" s="24" t="n"/>
    </row>
    <row r="198" ht="14" customHeight="1">
      <c r="A198" s="53" t="n">
        <v>2018</v>
      </c>
      <c r="B198" s="17" t="n">
        <v>158.3</v>
      </c>
      <c r="C198" s="17" t="n"/>
    </row>
    <row r="199" ht="14" customHeight="1">
      <c r="A199" s="54" t="n">
        <v>2019</v>
      </c>
      <c r="B199" s="24" t="n">
        <v>161.2</v>
      </c>
      <c r="C199" s="24" t="n"/>
    </row>
    <row r="200" ht="14" customHeight="1">
      <c r="A200" s="53" t="n">
        <v>2020</v>
      </c>
      <c r="B200" s="17" t="n">
        <v>163.1</v>
      </c>
      <c r="C200" s="17" t="n">
        <v>163.1</v>
      </c>
    </row>
    <row r="201" ht="14" customHeight="1">
      <c r="A201" s="54" t="n">
        <v>2021</v>
      </c>
      <c r="B201" s="24" t="n"/>
      <c r="C201" s="24" t="n">
        <v>162.6</v>
      </c>
    </row>
    <row r="202" ht="14" customHeight="1">
      <c r="A202" s="53" t="n">
        <v>2022</v>
      </c>
      <c r="B202" s="17" t="n"/>
      <c r="C202" s="17" t="n">
        <v>162.8</v>
      </c>
    </row>
    <row r="203" ht="14" customHeight="1">
      <c r="A203" s="54" t="n">
        <v>2023</v>
      </c>
      <c r="B203" s="24" t="n"/>
      <c r="C203" s="24" t="n">
        <v>163.7</v>
      </c>
    </row>
    <row r="204" ht="14" customHeight="1">
      <c r="A204" s="53" t="n">
        <v>2024</v>
      </c>
      <c r="B204" s="17" t="n"/>
      <c r="C204" s="17" t="n">
        <v>164.6</v>
      </c>
    </row>
    <row r="206">
      <c r="A206" s="60" t="inlineStr">
        <is>
          <t>A2 (dairy, intensity) · Dairy products: GHG intensity (EU)  (t CO₂eq/t)</t>
        </is>
      </c>
    </row>
    <row r="207">
      <c r="A207" s="3" t="inlineStr">
        <is>
          <t>Source: EEA GHG data viewer + Eurostat/FAOSTAT production — https://www.eea.europa.eu/en/datahub/datahubitem-view/3b7fe76c-524a-439a-bfd2-a6e4046302a2</t>
        </is>
      </c>
    </row>
    <row r="208" ht="28" customHeight="1">
      <c r="A208" s="5" t="inlineStr">
        <is>
          <t>Year</t>
        </is>
      </c>
      <c r="B208" s="5" t="inlineStr">
        <is>
          <t>In the 2024 report</t>
        </is>
      </c>
      <c r="C208" s="5" t="inlineStr">
        <is>
          <t>Added since the report</t>
        </is>
      </c>
    </row>
    <row r="209" ht="14" customHeight="1">
      <c r="A209" s="53" t="n">
        <v>2010</v>
      </c>
      <c r="B209" s="17" t="n">
        <v>0.6785</v>
      </c>
      <c r="C209" s="17" t="n"/>
    </row>
    <row r="210" ht="14" customHeight="1">
      <c r="A210" s="54" t="n">
        <v>2011</v>
      </c>
      <c r="B210" s="24" t="n">
        <v>0.6691</v>
      </c>
      <c r="C210" s="24" t="n"/>
    </row>
    <row r="211" ht="14" customHeight="1">
      <c r="A211" s="53" t="n">
        <v>2012</v>
      </c>
      <c r="B211" s="17" t="n">
        <v>0.671</v>
      </c>
      <c r="C211" s="17" t="n"/>
    </row>
    <row r="212" ht="14" customHeight="1">
      <c r="A212" s="54" t="n">
        <v>2013</v>
      </c>
      <c r="B212" s="24" t="n">
        <v>0.6677</v>
      </c>
      <c r="C212" s="24" t="n"/>
    </row>
    <row r="213" ht="14" customHeight="1">
      <c r="A213" s="53" t="n">
        <v>2014</v>
      </c>
      <c r="B213" s="17" t="n">
        <v>0.6552</v>
      </c>
      <c r="C213" s="17" t="n"/>
    </row>
    <row r="214" ht="14" customHeight="1">
      <c r="A214" s="54" t="n">
        <v>2015</v>
      </c>
      <c r="B214" s="24" t="n">
        <v>0.6479</v>
      </c>
      <c r="C214" s="24" t="n"/>
    </row>
    <row r="215" ht="14" customHeight="1">
      <c r="A215" s="53" t="n">
        <v>2016</v>
      </c>
      <c r="B215" s="17" t="n">
        <v>0.642</v>
      </c>
      <c r="C215" s="17" t="n"/>
    </row>
    <row r="216" ht="14" customHeight="1">
      <c r="A216" s="54" t="n">
        <v>2017</v>
      </c>
      <c r="B216" s="24" t="n">
        <v>0.6371</v>
      </c>
      <c r="C216" s="24" t="n"/>
    </row>
    <row r="217" ht="14" customHeight="1">
      <c r="A217" s="53" t="n">
        <v>2018</v>
      </c>
      <c r="B217" s="17" t="n">
        <v>0.623</v>
      </c>
      <c r="C217" s="17" t="n"/>
    </row>
    <row r="218" ht="14" customHeight="1">
      <c r="A218" s="54" t="n">
        <v>2019</v>
      </c>
      <c r="B218" s="24" t="n">
        <v>0.609</v>
      </c>
      <c r="C218" s="24" t="n"/>
    </row>
    <row r="219" ht="14" customHeight="1">
      <c r="A219" s="53" t="n">
        <v>2020</v>
      </c>
      <c r="B219" s="17" t="n">
        <v>0.6049</v>
      </c>
      <c r="C219" s="17" t="n"/>
    </row>
    <row r="222">
      <c r="A222" s="60" t="inlineStr">
        <is>
          <t>A2 (pig, GHG) · Pig meat: GHG emissions (EU)  (Mt CO₂eq)</t>
        </is>
      </c>
    </row>
    <row r="223">
      <c r="A223" s="3" t="inlineStr">
        <is>
          <t>Source: EEA GHG data viewer; 2022+ Eurostat (env_air_gge, swine CRF3A3+3B3) — https://doi.org/10.2908/ENV_AIR_GGE</t>
        </is>
      </c>
    </row>
    <row r="224" ht="28" customHeight="1">
      <c r="A224" s="5" t="inlineStr">
        <is>
          <t>Year</t>
        </is>
      </c>
      <c r="B224" s="5" t="inlineStr">
        <is>
          <t>In the 2024 report</t>
        </is>
      </c>
      <c r="C224" s="5" t="inlineStr">
        <is>
          <t>Added since the report</t>
        </is>
      </c>
    </row>
    <row r="225" ht="14" customHeight="1">
      <c r="A225" s="53" t="n">
        <v>2010</v>
      </c>
      <c r="B225" s="17" t="n">
        <v>30.02</v>
      </c>
      <c r="C225" s="17" t="n"/>
    </row>
    <row r="226" ht="14" customHeight="1">
      <c r="A226" s="54" t="n">
        <v>2011</v>
      </c>
      <c r="B226" s="24" t="n">
        <v>30.07</v>
      </c>
      <c r="C226" s="24" t="n"/>
    </row>
    <row r="227" ht="14" customHeight="1">
      <c r="A227" s="53" t="n">
        <v>2012</v>
      </c>
      <c r="B227" s="17" t="n">
        <v>29.05</v>
      </c>
      <c r="C227" s="17" t="n"/>
    </row>
    <row r="228" ht="14" customHeight="1">
      <c r="A228" s="54" t="n">
        <v>2013</v>
      </c>
      <c r="B228" s="24" t="n">
        <v>28.24</v>
      </c>
      <c r="C228" s="24" t="n"/>
    </row>
    <row r="229" ht="14" customHeight="1">
      <c r="A229" s="53" t="n">
        <v>2014</v>
      </c>
      <c r="B229" s="17" t="n">
        <v>28.73</v>
      </c>
      <c r="C229" s="17" t="n"/>
    </row>
    <row r="230" ht="14" customHeight="1">
      <c r="A230" s="54" t="n">
        <v>2015</v>
      </c>
      <c r="B230" s="24" t="n">
        <v>29</v>
      </c>
      <c r="C230" s="24" t="n"/>
    </row>
    <row r="231" ht="14" customHeight="1">
      <c r="A231" s="53" t="n">
        <v>2016</v>
      </c>
      <c r="B231" s="17" t="n">
        <v>28.76</v>
      </c>
      <c r="C231" s="17" t="n"/>
    </row>
    <row r="232" ht="14" customHeight="1">
      <c r="A232" s="54" t="n">
        <v>2017</v>
      </c>
      <c r="B232" s="24" t="n">
        <v>29.03</v>
      </c>
      <c r="C232" s="24" t="n"/>
    </row>
    <row r="233" ht="14" customHeight="1">
      <c r="A233" s="53" t="n">
        <v>2018</v>
      </c>
      <c r="B233" s="17" t="n">
        <v>28.99</v>
      </c>
      <c r="C233" s="17" t="n"/>
    </row>
    <row r="234" ht="14" customHeight="1">
      <c r="A234" s="54" t="n">
        <v>2019</v>
      </c>
      <c r="B234" s="24" t="n">
        <v>28.78</v>
      </c>
      <c r="C234" s="24" t="n"/>
    </row>
    <row r="235" ht="14" customHeight="1">
      <c r="A235" s="53" t="n">
        <v>2020</v>
      </c>
      <c r="B235" s="17" t="n">
        <v>29.34</v>
      </c>
      <c r="C235" s="17" t="n"/>
    </row>
    <row r="236" ht="14" customHeight="1">
      <c r="A236" s="54" t="n">
        <v>2021</v>
      </c>
      <c r="B236" s="24" t="n">
        <v>28.58</v>
      </c>
      <c r="C236" s="24" t="n">
        <v>28.58</v>
      </c>
    </row>
    <row r="237" ht="14" customHeight="1">
      <c r="A237" s="53" t="n">
        <v>2022</v>
      </c>
      <c r="B237" s="17" t="n"/>
      <c r="C237" s="17" t="n">
        <v>28.01</v>
      </c>
    </row>
    <row r="238" ht="14" customHeight="1">
      <c r="A238" s="54" t="n">
        <v>2023</v>
      </c>
      <c r="B238" s="24" t="n"/>
      <c r="C238" s="24" t="n">
        <v>26.82</v>
      </c>
    </row>
    <row r="239" ht="14" customHeight="1">
      <c r="A239" s="53" t="n">
        <v>2024</v>
      </c>
      <c r="B239" s="17" t="n"/>
      <c r="C239" s="17" t="n">
        <v>26.18</v>
      </c>
    </row>
    <row r="241">
      <c r="A241" s="60" t="inlineStr">
        <is>
          <t>A2 (pig, production) · Pig meat: production (EU)  (Mt)</t>
        </is>
      </c>
    </row>
    <row r="242">
      <c r="A242" s="3" t="inlineStr">
        <is>
          <t>Source: Eurostat (apro_mt_pann) — https://doi.org/10.2908/APRO_MT_PANN</t>
        </is>
      </c>
    </row>
    <row r="243" ht="28" customHeight="1">
      <c r="A243" s="5" t="inlineStr">
        <is>
          <t>Year</t>
        </is>
      </c>
      <c r="B243" s="5" t="inlineStr">
        <is>
          <t>In the 2024 report</t>
        </is>
      </c>
      <c r="C243" s="5" t="inlineStr">
        <is>
          <t>Added since the report</t>
        </is>
      </c>
    </row>
    <row r="244" ht="14" customHeight="1">
      <c r="A244" s="53" t="n">
        <v>2010</v>
      </c>
      <c r="B244" s="17" t="n">
        <v>22.22</v>
      </c>
      <c r="C244" s="17" t="n"/>
    </row>
    <row r="245" ht="14" customHeight="1">
      <c r="A245" s="54" t="n">
        <v>2011</v>
      </c>
      <c r="B245" s="24" t="n">
        <v>22.46</v>
      </c>
      <c r="C245" s="24" t="n"/>
    </row>
    <row r="246" ht="14" customHeight="1">
      <c r="A246" s="53" t="n">
        <v>2012</v>
      </c>
      <c r="B246" s="17" t="n">
        <v>22</v>
      </c>
      <c r="C246" s="17" t="n"/>
    </row>
    <row r="247" ht="14" customHeight="1">
      <c r="A247" s="54" t="n">
        <v>2013</v>
      </c>
      <c r="B247" s="24" t="n">
        <v>21.69</v>
      </c>
      <c r="C247" s="24" t="n"/>
    </row>
    <row r="248" ht="14" customHeight="1">
      <c r="A248" s="53" t="n">
        <v>2014</v>
      </c>
      <c r="B248" s="17" t="n">
        <v>21.75</v>
      </c>
      <c r="C248" s="17" t="n"/>
    </row>
    <row r="249" ht="14" customHeight="1">
      <c r="A249" s="54" t="n">
        <v>2015</v>
      </c>
      <c r="B249" s="24" t="n">
        <v>22.57</v>
      </c>
      <c r="C249" s="24" t="n"/>
    </row>
    <row r="250" ht="14" customHeight="1">
      <c r="A250" s="53" t="n">
        <v>2016</v>
      </c>
      <c r="B250" s="17" t="n">
        <v>22.95</v>
      </c>
      <c r="C250" s="17" t="n"/>
    </row>
    <row r="251" ht="14" customHeight="1">
      <c r="A251" s="54" t="n">
        <v>2017</v>
      </c>
      <c r="B251" s="24" t="n">
        <v>22.82</v>
      </c>
      <c r="C251" s="24" t="n"/>
    </row>
    <row r="252" ht="14" customHeight="1">
      <c r="A252" s="53" t="n">
        <v>2018</v>
      </c>
      <c r="B252" s="17" t="n">
        <v>23.22</v>
      </c>
      <c r="C252" s="17" t="n"/>
    </row>
    <row r="253" ht="14" customHeight="1">
      <c r="A253" s="54" t="n">
        <v>2019</v>
      </c>
      <c r="B253" s="24" t="n">
        <v>23</v>
      </c>
      <c r="C253" s="24" t="n"/>
    </row>
    <row r="254" ht="14" customHeight="1">
      <c r="A254" s="53" t="n">
        <v>2020</v>
      </c>
      <c r="B254" s="17" t="n">
        <v>23.22</v>
      </c>
      <c r="C254" s="17" t="n">
        <v>23.22</v>
      </c>
    </row>
    <row r="255" ht="14" customHeight="1">
      <c r="A255" s="54" t="n">
        <v>2021</v>
      </c>
      <c r="B255" s="24" t="n"/>
      <c r="C255" s="24" t="n">
        <v>23.39</v>
      </c>
    </row>
    <row r="256" ht="14" customHeight="1">
      <c r="A256" s="53" t="n">
        <v>2022</v>
      </c>
      <c r="B256" s="17" t="n"/>
      <c r="C256" s="17" t="n">
        <v>22.07</v>
      </c>
    </row>
    <row r="257" ht="14" customHeight="1">
      <c r="A257" s="54" t="n">
        <v>2023</v>
      </c>
      <c r="B257" s="24" t="n"/>
      <c r="C257" s="24" t="n">
        <v>20.64</v>
      </c>
    </row>
    <row r="258" ht="14" customHeight="1">
      <c r="A258" s="53" t="n">
        <v>2024</v>
      </c>
      <c r="B258" s="17" t="n"/>
      <c r="C258" s="17" t="n">
        <v>21.09</v>
      </c>
    </row>
    <row r="259" ht="14" customHeight="1">
      <c r="A259" s="54" t="n">
        <v>2025</v>
      </c>
      <c r="B259" s="24" t="n"/>
      <c r="C259" s="24" t="n">
        <v>21.84</v>
      </c>
    </row>
    <row r="261">
      <c r="A261" s="60" t="inlineStr">
        <is>
          <t>A2 (pig, intensity) · Pig meat: GHG intensity (EU)  (t CO₂eq/t)</t>
        </is>
      </c>
    </row>
    <row r="262">
      <c r="A262" s="3" t="inlineStr">
        <is>
          <t>Source: EEA GHG data viewer; 2021+ Eurostat (env_air_gge ÷ apro_mt_pann) — https://doi.org/10.2908/ENV_AIR_GGE</t>
        </is>
      </c>
    </row>
    <row r="263" ht="28" customHeight="1">
      <c r="A263" s="5" t="inlineStr">
        <is>
          <t>Year</t>
        </is>
      </c>
      <c r="B263" s="5" t="inlineStr">
        <is>
          <t>In the 2024 report</t>
        </is>
      </c>
      <c r="C263" s="5" t="inlineStr">
        <is>
          <t>Added since the report</t>
        </is>
      </c>
    </row>
    <row r="264" ht="14" customHeight="1">
      <c r="A264" s="53" t="n">
        <v>2010</v>
      </c>
      <c r="B264" s="17" t="n">
        <v>1.351</v>
      </c>
      <c r="C264" s="17" t="n"/>
    </row>
    <row r="265" ht="14" customHeight="1">
      <c r="A265" s="54" t="n">
        <v>2011</v>
      </c>
      <c r="B265" s="24" t="n">
        <v>1.339</v>
      </c>
      <c r="C265" s="24" t="n"/>
    </row>
    <row r="266" ht="14" customHeight="1">
      <c r="A266" s="53" t="n">
        <v>2012</v>
      </c>
      <c r="B266" s="17" t="n">
        <v>1.32</v>
      </c>
      <c r="C266" s="17" t="n"/>
    </row>
    <row r="267" ht="14" customHeight="1">
      <c r="A267" s="54" t="n">
        <v>2013</v>
      </c>
      <c r="B267" s="24" t="n">
        <v>1.302</v>
      </c>
      <c r="C267" s="24" t="n"/>
    </row>
    <row r="268" ht="14" customHeight="1">
      <c r="A268" s="53" t="n">
        <v>2014</v>
      </c>
      <c r="B268" s="17" t="n">
        <v>1.321</v>
      </c>
      <c r="C268" s="17" t="n"/>
    </row>
    <row r="269" ht="14" customHeight="1">
      <c r="A269" s="54" t="n">
        <v>2015</v>
      </c>
      <c r="B269" s="24" t="n">
        <v>1.285</v>
      </c>
      <c r="C269" s="24" t="n"/>
    </row>
    <row r="270" ht="14" customHeight="1">
      <c r="A270" s="53" t="n">
        <v>2016</v>
      </c>
      <c r="B270" s="17" t="n">
        <v>1.253</v>
      </c>
      <c r="C270" s="17" t="n"/>
    </row>
    <row r="271" ht="14" customHeight="1">
      <c r="A271" s="54" t="n">
        <v>2017</v>
      </c>
      <c r="B271" s="24" t="n">
        <v>1.272</v>
      </c>
      <c r="C271" s="24" t="n"/>
    </row>
    <row r="272" ht="14" customHeight="1">
      <c r="A272" s="53" t="n">
        <v>2018</v>
      </c>
      <c r="B272" s="17" t="n">
        <v>1.248</v>
      </c>
      <c r="C272" s="17" t="n"/>
    </row>
    <row r="273" ht="14" customHeight="1">
      <c r="A273" s="54" t="n">
        <v>2019</v>
      </c>
      <c r="B273" s="24" t="n">
        <v>1.251</v>
      </c>
      <c r="C273" s="24" t="n"/>
    </row>
    <row r="274" ht="14" customHeight="1">
      <c r="A274" s="53" t="n">
        <v>2020</v>
      </c>
      <c r="B274" s="17" t="n">
        <v>1.264</v>
      </c>
      <c r="C274" s="17" t="n">
        <v>1.264</v>
      </c>
    </row>
    <row r="275" ht="14" customHeight="1">
      <c r="A275" s="54" t="n">
        <v>2021</v>
      </c>
      <c r="B275" s="24" t="n"/>
      <c r="C275" s="24" t="n">
        <v>1.219</v>
      </c>
    </row>
    <row r="276" ht="14" customHeight="1">
      <c r="A276" s="53" t="n">
        <v>2022</v>
      </c>
      <c r="B276" s="17" t="n"/>
      <c r="C276" s="17" t="n">
        <v>1.266</v>
      </c>
    </row>
    <row r="277" ht="14" customHeight="1">
      <c r="A277" s="54" t="n">
        <v>2023</v>
      </c>
      <c r="B277" s="24" t="n"/>
      <c r="C277" s="24" t="n">
        <v>1.296</v>
      </c>
    </row>
    <row r="278" ht="14" customHeight="1">
      <c r="A278" s="53" t="n">
        <v>2024</v>
      </c>
      <c r="B278" s="17" t="n"/>
      <c r="C278" s="17" t="n">
        <v>1.238</v>
      </c>
    </row>
    <row r="280">
      <c r="A280" s="60" t="inlineStr">
        <is>
          <t>A4 (bovine, consumption) · Bovine meat: consumption (EU)  (Mt)</t>
        </is>
      </c>
    </row>
    <row r="281">
      <c r="A281" s="3" t="inlineStr">
        <is>
          <t>Source: FAOSTAT food balance sheets — https://www.fao.org/faostat/en/#data/FBS</t>
        </is>
      </c>
    </row>
    <row r="282" ht="28" customHeight="1">
      <c r="A282" s="5" t="inlineStr">
        <is>
          <t>Year</t>
        </is>
      </c>
      <c r="B282" s="5" t="inlineStr">
        <is>
          <t>In the 2024 report</t>
        </is>
      </c>
      <c r="C282" s="5" t="inlineStr">
        <is>
          <t>Added since the report</t>
        </is>
      </c>
    </row>
    <row r="283" ht="14" customHeight="1">
      <c r="A283" s="53" t="n">
        <v>2010</v>
      </c>
      <c r="B283" s="17" t="n">
        <v>6.953</v>
      </c>
      <c r="C283" s="17" t="n"/>
    </row>
    <row r="284" ht="14" customHeight="1">
      <c r="A284" s="54" t="n">
        <v>2011</v>
      </c>
      <c r="B284" s="24" t="n">
        <v>6.741</v>
      </c>
      <c r="C284" s="24" t="n"/>
    </row>
    <row r="285" ht="14" customHeight="1">
      <c r="A285" s="53" t="n">
        <v>2012</v>
      </c>
      <c r="B285" s="17" t="n">
        <v>6.643</v>
      </c>
      <c r="C285" s="17" t="n"/>
    </row>
    <row r="286" ht="14" customHeight="1">
      <c r="A286" s="54" t="n">
        <v>2013</v>
      </c>
      <c r="B286" s="24" t="n">
        <v>6.422</v>
      </c>
      <c r="C286" s="24" t="n"/>
    </row>
    <row r="287" ht="14" customHeight="1">
      <c r="A287" s="53" t="n">
        <v>2014</v>
      </c>
      <c r="B287" s="17" t="n">
        <v>6.112</v>
      </c>
      <c r="C287" s="17" t="n"/>
    </row>
    <row r="288" ht="14" customHeight="1">
      <c r="A288" s="54" t="n">
        <v>2015</v>
      </c>
      <c r="B288" s="24" t="n">
        <v>6.051</v>
      </c>
      <c r="C288" s="24" t="n"/>
    </row>
    <row r="289" ht="14" customHeight="1">
      <c r="A289" s="53" t="n">
        <v>2016</v>
      </c>
      <c r="B289" s="17" t="n">
        <v>6.116</v>
      </c>
      <c r="C289" s="17" t="n"/>
    </row>
    <row r="290" ht="14" customHeight="1">
      <c r="A290" s="54" t="n">
        <v>2017</v>
      </c>
      <c r="B290" s="24" t="n">
        <v>6.022</v>
      </c>
      <c r="C290" s="24" t="n"/>
    </row>
    <row r="291" ht="14" customHeight="1">
      <c r="A291" s="53" t="n">
        <v>2018</v>
      </c>
      <c r="B291" s="17" t="n">
        <v>6.237</v>
      </c>
      <c r="C291" s="17" t="n"/>
    </row>
    <row r="292" ht="14" customHeight="1">
      <c r="A292" s="54" t="n">
        <v>2019</v>
      </c>
      <c r="B292" s="24" t="n">
        <v>6.246</v>
      </c>
      <c r="C292" s="24" t="n"/>
    </row>
    <row r="293" ht="14" customHeight="1">
      <c r="A293" s="53" t="n">
        <v>2020</v>
      </c>
      <c r="B293" s="17" t="n">
        <v>6.115</v>
      </c>
      <c r="C293" s="17" t="n"/>
    </row>
    <row r="296">
      <c r="A296" s="60" t="inlineStr">
        <is>
          <t>A4 (bovine, production) · Bovine meat: production (EU)  (Mt)</t>
        </is>
      </c>
    </row>
    <row r="297">
      <c r="A297" s="3" t="inlineStr">
        <is>
          <t>Source: Eurostat (apro_mt_pann) — https://doi.org/10.2908/APRO_MT_PANN</t>
        </is>
      </c>
    </row>
    <row r="298" ht="28" customHeight="1">
      <c r="A298" s="5" t="inlineStr">
        <is>
          <t>Year</t>
        </is>
      </c>
      <c r="B298" s="5" t="inlineStr">
        <is>
          <t>In the 2024 report</t>
        </is>
      </c>
      <c r="C298" s="5" t="inlineStr">
        <is>
          <t>Added since the report</t>
        </is>
      </c>
    </row>
    <row r="299" ht="14" customHeight="1">
      <c r="A299" s="53" t="n">
        <v>2010</v>
      </c>
      <c r="B299" s="17" t="n">
        <v>7.257</v>
      </c>
      <c r="C299" s="17" t="n"/>
    </row>
    <row r="300" ht="14" customHeight="1">
      <c r="A300" s="54" t="n">
        <v>2011</v>
      </c>
      <c r="B300" s="24" t="n">
        <v>7.126</v>
      </c>
      <c r="C300" s="24" t="n"/>
    </row>
    <row r="301" ht="14" customHeight="1">
      <c r="A301" s="53" t="n">
        <v>2012</v>
      </c>
      <c r="B301" s="17" t="n">
        <v>6.857</v>
      </c>
      <c r="C301" s="17" t="n"/>
    </row>
    <row r="302" ht="14" customHeight="1">
      <c r="A302" s="54" t="n">
        <v>2013</v>
      </c>
      <c r="B302" s="24" t="n">
        <v>6.567</v>
      </c>
      <c r="C302" s="24" t="n"/>
    </row>
    <row r="303" ht="14" customHeight="1">
      <c r="A303" s="53" t="n">
        <v>2014</v>
      </c>
      <c r="B303" s="17" t="n">
        <v>6.597</v>
      </c>
      <c r="C303" s="17" t="n"/>
    </row>
    <row r="304" ht="14" customHeight="1">
      <c r="A304" s="54" t="n">
        <v>2015</v>
      </c>
      <c r="B304" s="24" t="n">
        <v>6.827</v>
      </c>
      <c r="C304" s="24" t="n"/>
    </row>
    <row r="305" ht="14" customHeight="1">
      <c r="A305" s="53" t="n">
        <v>2016</v>
      </c>
      <c r="B305" s="17" t="n">
        <v>6.999</v>
      </c>
      <c r="C305" s="17" t="n"/>
    </row>
    <row r="306" ht="14" customHeight="1">
      <c r="A306" s="54" t="n">
        <v>2017</v>
      </c>
      <c r="B306" s="24" t="n">
        <v>6.993</v>
      </c>
      <c r="C306" s="24" t="n"/>
    </row>
    <row r="307" ht="14" customHeight="1">
      <c r="A307" s="53" t="n">
        <v>2018</v>
      </c>
      <c r="B307" s="17" t="n">
        <v>7.112</v>
      </c>
      <c r="C307" s="17" t="n"/>
    </row>
    <row r="308" ht="14" customHeight="1">
      <c r="A308" s="54" t="n">
        <v>2019</v>
      </c>
      <c r="B308" s="24" t="n">
        <v>6.999</v>
      </c>
      <c r="C308" s="24" t="n"/>
    </row>
    <row r="309" ht="14" customHeight="1">
      <c r="A309" s="53" t="n">
        <v>2020</v>
      </c>
      <c r="B309" s="17" t="n">
        <v>6.936</v>
      </c>
      <c r="C309" s="17" t="n">
        <v>6.936</v>
      </c>
    </row>
    <row r="310" ht="14" customHeight="1">
      <c r="A310" s="54" t="n">
        <v>2021</v>
      </c>
      <c r="B310" s="24" t="n"/>
      <c r="C310" s="24" t="n">
        <v>6.802</v>
      </c>
    </row>
    <row r="311" ht="14" customHeight="1">
      <c r="A311" s="53" t="n">
        <v>2022</v>
      </c>
      <c r="B311" s="17" t="n"/>
      <c r="C311" s="17" t="n">
        <v>6.64</v>
      </c>
    </row>
    <row r="312" ht="14" customHeight="1">
      <c r="A312" s="54" t="n">
        <v>2023</v>
      </c>
      <c r="B312" s="24" t="n"/>
      <c r="C312" s="24" t="n">
        <v>6.385</v>
      </c>
    </row>
    <row r="313" ht="14" customHeight="1">
      <c r="A313" s="53" t="n">
        <v>2024</v>
      </c>
      <c r="B313" s="17" t="n"/>
      <c r="C313" s="17" t="n">
        <v>6.584</v>
      </c>
    </row>
    <row r="314" ht="14" customHeight="1">
      <c r="A314" s="54" t="n">
        <v>2025</v>
      </c>
      <c r="B314" s="24" t="n"/>
      <c r="C314" s="24" t="n">
        <v>6.32</v>
      </c>
    </row>
    <row r="316">
      <c r="A316" s="60" t="inlineStr">
        <is>
          <t>A4 (bovine, herd) · Bovine meat: herd size (EU)  (million heads)</t>
        </is>
      </c>
    </row>
    <row r="317">
      <c r="A317" s="3" t="inlineStr">
        <is>
          <t>Source: EU GHG inventory (CRF) livestock populations; 2021+ Eurostat survey trend — https://doi.org/10.2908/APRO_MT_LSCATL</t>
        </is>
      </c>
    </row>
    <row r="318" ht="28" customHeight="1">
      <c r="A318" s="5" t="inlineStr">
        <is>
          <t>Year</t>
        </is>
      </c>
      <c r="B318" s="5" t="inlineStr">
        <is>
          <t>In the 2024 report</t>
        </is>
      </c>
      <c r="C318" s="5" t="inlineStr">
        <is>
          <t>Added since the report</t>
        </is>
      </c>
    </row>
    <row r="319" ht="14" customHeight="1">
      <c r="A319" s="53" t="n">
        <v>2010</v>
      </c>
      <c r="B319" s="17" t="n">
        <v>60.59</v>
      </c>
      <c r="C319" s="17" t="n"/>
    </row>
    <row r="320" ht="14" customHeight="1">
      <c r="A320" s="54" t="n">
        <v>2011</v>
      </c>
      <c r="B320" s="24" t="n">
        <v>59.66</v>
      </c>
      <c r="C320" s="24" t="n"/>
    </row>
    <row r="321" ht="14" customHeight="1">
      <c r="A321" s="53" t="n">
        <v>2012</v>
      </c>
      <c r="B321" s="17" t="n">
        <v>59.61</v>
      </c>
      <c r="C321" s="17" t="n"/>
    </row>
    <row r="322" ht="14" customHeight="1">
      <c r="A322" s="54" t="n">
        <v>2013</v>
      </c>
      <c r="B322" s="24" t="n">
        <v>60.17</v>
      </c>
      <c r="C322" s="24" t="n"/>
    </row>
    <row r="323" ht="14" customHeight="1">
      <c r="A323" s="53" t="n">
        <v>2014</v>
      </c>
      <c r="B323" s="17" t="n">
        <v>60.89</v>
      </c>
      <c r="C323" s="17" t="n"/>
    </row>
    <row r="324" ht="14" customHeight="1">
      <c r="A324" s="54" t="n">
        <v>2015</v>
      </c>
      <c r="B324" s="24" t="n">
        <v>61.36</v>
      </c>
      <c r="C324" s="24" t="n"/>
    </row>
    <row r="325" ht="14" customHeight="1">
      <c r="A325" s="53" t="n">
        <v>2016</v>
      </c>
      <c r="B325" s="17" t="n">
        <v>62.01</v>
      </c>
      <c r="C325" s="17" t="n"/>
    </row>
    <row r="326" ht="14" customHeight="1">
      <c r="A326" s="54" t="n">
        <v>2017</v>
      </c>
      <c r="B326" s="24" t="n">
        <v>61.87</v>
      </c>
      <c r="C326" s="24" t="n"/>
    </row>
    <row r="327" ht="14" customHeight="1">
      <c r="A327" s="53" t="n">
        <v>2018</v>
      </c>
      <c r="B327" s="17" t="n">
        <v>61.28</v>
      </c>
      <c r="C327" s="17" t="n"/>
    </row>
    <row r="328" ht="14" customHeight="1">
      <c r="A328" s="54" t="n">
        <v>2019</v>
      </c>
      <c r="B328" s="24" t="n">
        <v>60.59</v>
      </c>
      <c r="C328" s="24" t="n"/>
    </row>
    <row r="329" ht="14" customHeight="1">
      <c r="A329" s="53" t="n">
        <v>2020</v>
      </c>
      <c r="B329" s="17" t="n">
        <v>60.16</v>
      </c>
      <c r="C329" s="17" t="n">
        <v>60.16</v>
      </c>
    </row>
    <row r="330" ht="14" customHeight="1">
      <c r="A330" s="54" t="n">
        <v>2021</v>
      </c>
      <c r="B330" s="24" t="n"/>
      <c r="C330" s="24" t="n">
        <v>59.5</v>
      </c>
    </row>
    <row r="331" ht="14" customHeight="1">
      <c r="A331" s="53" t="n">
        <v>2022</v>
      </c>
      <c r="B331" s="17" t="n"/>
      <c r="C331" s="17" t="n">
        <v>58.79</v>
      </c>
    </row>
    <row r="332" ht="14" customHeight="1">
      <c r="A332" s="54" t="n">
        <v>2023</v>
      </c>
      <c r="B332" s="24" t="n"/>
      <c r="C332" s="24" t="n">
        <v>57.97</v>
      </c>
    </row>
    <row r="333" ht="14" customHeight="1">
      <c r="A333" s="53" t="n">
        <v>2024</v>
      </c>
      <c r="B333" s="17" t="n"/>
      <c r="C333" s="17" t="n">
        <v>56.5</v>
      </c>
    </row>
    <row r="334" ht="14" customHeight="1">
      <c r="A334" s="54" t="n">
        <v>2025</v>
      </c>
      <c r="B334" s="24" t="n"/>
      <c r="C334" s="24" t="n">
        <v>56.26</v>
      </c>
    </row>
    <row r="336">
      <c r="A336" s="60" t="inlineStr">
        <is>
          <t>A4 (dairy, consumption) · Dairy products: consumption (EU)  (Mt)</t>
        </is>
      </c>
    </row>
    <row r="337">
      <c r="A337" s="3" t="inlineStr">
        <is>
          <t>Source: FAOSTAT food balance sheets — https://www.fao.org/faostat/en/#data/FBS</t>
        </is>
      </c>
    </row>
    <row r="338" ht="28" customHeight="1">
      <c r="A338" s="5" t="inlineStr">
        <is>
          <t>Year</t>
        </is>
      </c>
      <c r="B338" s="5" t="inlineStr">
        <is>
          <t>In the 2024 report</t>
        </is>
      </c>
      <c r="C338" s="5" t="inlineStr">
        <is>
          <t>Added since the report</t>
        </is>
      </c>
    </row>
    <row r="339" ht="14" customHeight="1">
      <c r="A339" s="53" t="n">
        <v>2010</v>
      </c>
      <c r="B339" s="17" t="n">
        <v>80.56999999999999</v>
      </c>
      <c r="C339" s="17" t="n"/>
    </row>
    <row r="340" ht="14" customHeight="1">
      <c r="A340" s="54" t="n">
        <v>2011</v>
      </c>
      <c r="B340" s="24" t="n">
        <v>82.02</v>
      </c>
      <c r="C340" s="24" t="n"/>
    </row>
    <row r="341" ht="14" customHeight="1">
      <c r="A341" s="53" t="n">
        <v>2012</v>
      </c>
      <c r="B341" s="17" t="n">
        <v>80.76000000000001</v>
      </c>
      <c r="C341" s="17" t="n"/>
    </row>
    <row r="342" ht="14" customHeight="1">
      <c r="A342" s="54" t="n">
        <v>2013</v>
      </c>
      <c r="B342" s="24" t="n">
        <v>82.02</v>
      </c>
      <c r="C342" s="24" t="n"/>
    </row>
    <row r="343" ht="14" customHeight="1">
      <c r="A343" s="53" t="n">
        <v>2014</v>
      </c>
      <c r="B343" s="17" t="n">
        <v>79.04000000000001</v>
      </c>
      <c r="C343" s="17" t="n"/>
    </row>
    <row r="344" ht="14" customHeight="1">
      <c r="A344" s="54" t="n">
        <v>2015</v>
      </c>
      <c r="B344" s="24" t="n">
        <v>80.78</v>
      </c>
      <c r="C344" s="24" t="n"/>
    </row>
    <row r="345" ht="14" customHeight="1">
      <c r="A345" s="53" t="n">
        <v>2016</v>
      </c>
      <c r="B345" s="17" t="n">
        <v>81.81999999999999</v>
      </c>
      <c r="C345" s="17" t="n"/>
    </row>
    <row r="346" ht="14" customHeight="1">
      <c r="A346" s="54" t="n">
        <v>2017</v>
      </c>
      <c r="B346" s="24" t="n">
        <v>82.56999999999999</v>
      </c>
      <c r="C346" s="24" t="n"/>
    </row>
    <row r="347" ht="14" customHeight="1">
      <c r="A347" s="53" t="n">
        <v>2018</v>
      </c>
      <c r="B347" s="17" t="n">
        <v>85.25</v>
      </c>
      <c r="C347" s="17" t="n"/>
    </row>
    <row r="348" ht="14" customHeight="1">
      <c r="A348" s="54" t="n">
        <v>2019</v>
      </c>
      <c r="B348" s="24" t="n">
        <v>86.29000000000001</v>
      </c>
      <c r="C348" s="24" t="n"/>
    </row>
    <row r="349" ht="14" customHeight="1">
      <c r="A349" s="53" t="n">
        <v>2020</v>
      </c>
      <c r="B349" s="17" t="n">
        <v>86.63</v>
      </c>
      <c r="C349" s="17" t="n"/>
    </row>
    <row r="352">
      <c r="A352" s="60" t="inlineStr">
        <is>
          <t>A4 (dairy, production) · Dairy products: production (EU)  (Mt)</t>
        </is>
      </c>
    </row>
    <row r="353">
      <c r="A353" s="3" t="inlineStr">
        <is>
          <t>Source: Eurostat (apro_mk_farm) — https://doi.org/10.2908/APRO_MK_FARM</t>
        </is>
      </c>
    </row>
    <row r="354" ht="28" customHeight="1">
      <c r="A354" s="5" t="inlineStr">
        <is>
          <t>Year</t>
        </is>
      </c>
      <c r="B354" s="5" t="inlineStr">
        <is>
          <t>In the 2024 report</t>
        </is>
      </c>
      <c r="C354" s="5" t="inlineStr">
        <is>
          <t>Added since the report</t>
        </is>
      </c>
    </row>
    <row r="355" ht="14" customHeight="1">
      <c r="A355" s="53" t="n">
        <v>2010</v>
      </c>
      <c r="B355" s="17" t="n">
        <v>141.1</v>
      </c>
      <c r="C355" s="17" t="n"/>
    </row>
    <row r="356" ht="14" customHeight="1">
      <c r="A356" s="54" t="n">
        <v>2011</v>
      </c>
      <c r="B356" s="24" t="n">
        <v>143.4</v>
      </c>
      <c r="C356" s="24" t="n"/>
    </row>
    <row r="357" ht="14" customHeight="1">
      <c r="A357" s="53" t="n">
        <v>2012</v>
      </c>
      <c r="B357" s="17" t="n">
        <v>143.8</v>
      </c>
      <c r="C357" s="17" t="n"/>
    </row>
    <row r="358" ht="14" customHeight="1">
      <c r="A358" s="54" t="n">
        <v>2013</v>
      </c>
      <c r="B358" s="24" t="n">
        <v>145.3</v>
      </c>
      <c r="C358" s="24" t="n"/>
    </row>
    <row r="359" ht="14" customHeight="1">
      <c r="A359" s="53" t="n">
        <v>2014</v>
      </c>
      <c r="B359" s="17" t="n">
        <v>150.1</v>
      </c>
      <c r="C359" s="17" t="n"/>
    </row>
    <row r="360" ht="14" customHeight="1">
      <c r="A360" s="54" t="n">
        <v>2015</v>
      </c>
      <c r="B360" s="24" t="n">
        <v>153.2</v>
      </c>
      <c r="C360" s="24" t="n"/>
    </row>
    <row r="361" ht="14" customHeight="1">
      <c r="A361" s="53" t="n">
        <v>2016</v>
      </c>
      <c r="B361" s="17" t="n">
        <v>154.8</v>
      </c>
      <c r="C361" s="17" t="n"/>
    </row>
    <row r="362" ht="14" customHeight="1">
      <c r="A362" s="54" t="n">
        <v>2017</v>
      </c>
      <c r="B362" s="24" t="n">
        <v>156</v>
      </c>
      <c r="C362" s="24" t="n"/>
    </row>
    <row r="363" ht="14" customHeight="1">
      <c r="A363" s="53" t="n">
        <v>2018</v>
      </c>
      <c r="B363" s="17" t="n">
        <v>158.3</v>
      </c>
      <c r="C363" s="17" t="n"/>
    </row>
    <row r="364" ht="14" customHeight="1">
      <c r="A364" s="54" t="n">
        <v>2019</v>
      </c>
      <c r="B364" s="24" t="n">
        <v>161.2</v>
      </c>
      <c r="C364" s="24" t="n"/>
    </row>
    <row r="365" ht="14" customHeight="1">
      <c r="A365" s="53" t="n">
        <v>2020</v>
      </c>
      <c r="B365" s="17" t="n">
        <v>163.1</v>
      </c>
      <c r="C365" s="17" t="n">
        <v>163.1</v>
      </c>
    </row>
    <row r="366" ht="14" customHeight="1">
      <c r="A366" s="54" t="n">
        <v>2021</v>
      </c>
      <c r="B366" s="24" t="n"/>
      <c r="C366" s="24" t="n">
        <v>162.6</v>
      </c>
    </row>
    <row r="367" ht="14" customHeight="1">
      <c r="A367" s="53" t="n">
        <v>2022</v>
      </c>
      <c r="B367" s="17" t="n"/>
      <c r="C367" s="17" t="n">
        <v>162.8</v>
      </c>
    </row>
    <row r="368" ht="14" customHeight="1">
      <c r="A368" s="54" t="n">
        <v>2023</v>
      </c>
      <c r="B368" s="24" t="n"/>
      <c r="C368" s="24" t="n">
        <v>163.7</v>
      </c>
    </row>
    <row r="369" ht="14" customHeight="1">
      <c r="A369" s="53" t="n">
        <v>2024</v>
      </c>
      <c r="B369" s="17" t="n"/>
      <c r="C369" s="17" t="n">
        <v>164.6</v>
      </c>
    </row>
    <row r="371">
      <c r="A371" s="60" t="inlineStr">
        <is>
          <t>A4 (dairy, herd) · Dairy products: herd size (EU)  (million heads)</t>
        </is>
      </c>
    </row>
    <row r="372">
      <c r="A372" s="3" t="inlineStr">
        <is>
          <t>Source: EU GHG inventory (CRF) livestock populations; 2021+ Eurostat survey trend — https://doi.org/10.2908/APRO_MT_LSCATL</t>
        </is>
      </c>
    </row>
    <row r="373" ht="28" customHeight="1">
      <c r="A373" s="5" t="inlineStr">
        <is>
          <t>Year</t>
        </is>
      </c>
      <c r="B373" s="5" t="inlineStr">
        <is>
          <t>In the 2024 report</t>
        </is>
      </c>
      <c r="C373" s="5" t="inlineStr">
        <is>
          <t>Added since the report</t>
        </is>
      </c>
    </row>
    <row r="374" ht="14" customHeight="1">
      <c r="A374" s="53" t="n">
        <v>2010</v>
      </c>
      <c r="B374" s="17" t="n">
        <v>21.55</v>
      </c>
      <c r="C374" s="17" t="n"/>
    </row>
    <row r="375" ht="14" customHeight="1">
      <c r="A375" s="54" t="n">
        <v>2011</v>
      </c>
      <c r="B375" s="24" t="n">
        <v>21.36</v>
      </c>
      <c r="C375" s="24" t="n"/>
    </row>
    <row r="376" ht="14" customHeight="1">
      <c r="A376" s="53" t="n">
        <v>2012</v>
      </c>
      <c r="B376" s="17" t="n">
        <v>21.45</v>
      </c>
      <c r="C376" s="17" t="n"/>
    </row>
    <row r="377" ht="14" customHeight="1">
      <c r="A377" s="54" t="n">
        <v>2013</v>
      </c>
      <c r="B377" s="24" t="n">
        <v>21.59</v>
      </c>
      <c r="C377" s="24" t="n"/>
    </row>
    <row r="378" ht="14" customHeight="1">
      <c r="A378" s="53" t="n">
        <v>2014</v>
      </c>
      <c r="B378" s="17" t="n">
        <v>21.64</v>
      </c>
      <c r="C378" s="17" t="n"/>
    </row>
    <row r="379" ht="14" customHeight="1">
      <c r="A379" s="54" t="n">
        <v>2015</v>
      </c>
      <c r="B379" s="24" t="n">
        <v>21.64</v>
      </c>
      <c r="C379" s="24" t="n"/>
    </row>
    <row r="380" ht="14" customHeight="1">
      <c r="A380" s="53" t="n">
        <v>2016</v>
      </c>
      <c r="B380" s="17" t="n">
        <v>21.58</v>
      </c>
      <c r="C380" s="17" t="n"/>
    </row>
    <row r="381" ht="14" customHeight="1">
      <c r="A381" s="54" t="n">
        <v>2017</v>
      </c>
      <c r="B381" s="24" t="n">
        <v>21.39</v>
      </c>
      <c r="C381" s="24" t="n"/>
    </row>
    <row r="382" ht="14" customHeight="1">
      <c r="A382" s="53" t="n">
        <v>2018</v>
      </c>
      <c r="B382" s="17" t="n">
        <v>21.08</v>
      </c>
      <c r="C382" s="17" t="n"/>
    </row>
    <row r="383" ht="14" customHeight="1">
      <c r="A383" s="54" t="n">
        <v>2019</v>
      </c>
      <c r="B383" s="24" t="n">
        <v>20.82</v>
      </c>
      <c r="C383" s="24" t="n"/>
    </row>
    <row r="384" ht="14" customHeight="1">
      <c r="A384" s="53" t="n">
        <v>2020</v>
      </c>
      <c r="B384" s="17" t="n">
        <v>20.63</v>
      </c>
      <c r="C384" s="17" t="n">
        <v>20.63</v>
      </c>
    </row>
    <row r="385" ht="14" customHeight="1">
      <c r="A385" s="54" t="n">
        <v>2021</v>
      </c>
      <c r="B385" s="24" t="n"/>
      <c r="C385" s="24" t="n">
        <v>20.21</v>
      </c>
    </row>
    <row r="386" ht="14" customHeight="1">
      <c r="A386" s="53" t="n">
        <v>2022</v>
      </c>
      <c r="B386" s="17" t="n"/>
      <c r="C386" s="17" t="n">
        <v>20.07</v>
      </c>
    </row>
    <row r="387" ht="14" customHeight="1">
      <c r="A387" s="54" t="n">
        <v>2023</v>
      </c>
      <c r="B387" s="24" t="n"/>
      <c r="C387" s="24" t="n">
        <v>19.91</v>
      </c>
    </row>
    <row r="388" ht="14" customHeight="1">
      <c r="A388" s="53" t="n">
        <v>2024</v>
      </c>
      <c r="B388" s="17" t="n"/>
      <c r="C388" s="17" t="n">
        <v>19.22</v>
      </c>
    </row>
    <row r="389" ht="14" customHeight="1">
      <c r="A389" s="54" t="n">
        <v>2025</v>
      </c>
      <c r="B389" s="24" t="n"/>
      <c r="C389" s="24" t="n">
        <v>19.02</v>
      </c>
    </row>
    <row r="391">
      <c r="A391" s="60" t="inlineStr">
        <is>
          <t>A4 (pig, consumption) · Pig meat: consumption (EU)  (Mt)</t>
        </is>
      </c>
    </row>
    <row r="392">
      <c r="A392" s="3" t="inlineStr">
        <is>
          <t>Source: FAOSTAT food balance sheets — https://www.fao.org/faostat/en/#data/FBS</t>
        </is>
      </c>
    </row>
    <row r="393" ht="28" customHeight="1">
      <c r="A393" s="5" t="inlineStr">
        <is>
          <t>Year</t>
        </is>
      </c>
      <c r="B393" s="5" t="inlineStr">
        <is>
          <t>In the 2024 report</t>
        </is>
      </c>
      <c r="C393" s="5" t="inlineStr">
        <is>
          <t>Added since the report</t>
        </is>
      </c>
    </row>
    <row r="394" ht="14" customHeight="1">
      <c r="A394" s="53" t="n">
        <v>2010</v>
      </c>
      <c r="B394" s="17" t="n">
        <v>19.18</v>
      </c>
      <c r="C394" s="17" t="n"/>
    </row>
    <row r="395" ht="14" customHeight="1">
      <c r="A395" s="54" t="n">
        <v>2011</v>
      </c>
      <c r="B395" s="24" t="n">
        <v>18.88</v>
      </c>
      <c r="C395" s="24" t="n"/>
    </row>
    <row r="396" ht="14" customHeight="1">
      <c r="A396" s="53" t="n">
        <v>2012</v>
      </c>
      <c r="B396" s="17" t="n">
        <v>18.52</v>
      </c>
      <c r="C396" s="17" t="n"/>
    </row>
    <row r="397" ht="14" customHeight="1">
      <c r="A397" s="54" t="n">
        <v>2013</v>
      </c>
      <c r="B397" s="24" t="n">
        <v>18.24</v>
      </c>
      <c r="C397" s="24" t="n"/>
    </row>
    <row r="398" ht="14" customHeight="1">
      <c r="A398" s="53" t="n">
        <v>2014</v>
      </c>
      <c r="B398" s="17" t="n">
        <v>17.81</v>
      </c>
      <c r="C398" s="17" t="n"/>
    </row>
    <row r="399" ht="14" customHeight="1">
      <c r="A399" s="54" t="n">
        <v>2015</v>
      </c>
      <c r="B399" s="24" t="n">
        <v>18.36</v>
      </c>
      <c r="C399" s="24" t="n"/>
    </row>
    <row r="400" ht="14" customHeight="1">
      <c r="A400" s="53" t="n">
        <v>2016</v>
      </c>
      <c r="B400" s="17" t="n">
        <v>17.99</v>
      </c>
      <c r="C400" s="17" t="n"/>
    </row>
    <row r="401" ht="14" customHeight="1">
      <c r="A401" s="54" t="n">
        <v>2017</v>
      </c>
      <c r="B401" s="24" t="n">
        <v>18.22</v>
      </c>
      <c r="C401" s="24" t="n"/>
    </row>
    <row r="402" ht="14" customHeight="1">
      <c r="A402" s="53" t="n">
        <v>2018</v>
      </c>
      <c r="B402" s="17" t="n">
        <v>18.67</v>
      </c>
      <c r="C402" s="17" t="n"/>
    </row>
    <row r="403" ht="14" customHeight="1">
      <c r="A403" s="54" t="n">
        <v>2019</v>
      </c>
      <c r="B403" s="24" t="n">
        <v>18.19</v>
      </c>
      <c r="C403" s="24" t="n"/>
    </row>
    <row r="404" ht="14" customHeight="1">
      <c r="A404" s="53" t="n">
        <v>2020</v>
      </c>
      <c r="B404" s="17" t="n">
        <v>17.46</v>
      </c>
      <c r="C404" s="17" t="n"/>
    </row>
    <row r="407">
      <c r="A407" s="60" t="inlineStr">
        <is>
          <t>A4 (pig, production) · Pig meat: production (EU)  (Mt)</t>
        </is>
      </c>
    </row>
    <row r="408">
      <c r="A408" s="3" t="inlineStr">
        <is>
          <t>Source: Eurostat (apro_mt_pann) — https://doi.org/10.2908/APRO_MT_PANN</t>
        </is>
      </c>
    </row>
    <row r="409" ht="28" customHeight="1">
      <c r="A409" s="5" t="inlineStr">
        <is>
          <t>Year</t>
        </is>
      </c>
      <c r="B409" s="5" t="inlineStr">
        <is>
          <t>In the 2024 report</t>
        </is>
      </c>
      <c r="C409" s="5" t="inlineStr">
        <is>
          <t>Added since the report</t>
        </is>
      </c>
    </row>
    <row r="410" ht="14" customHeight="1">
      <c r="A410" s="53" t="n">
        <v>2010</v>
      </c>
      <c r="B410" s="17" t="n">
        <v>22.22</v>
      </c>
      <c r="C410" s="17" t="n"/>
    </row>
    <row r="411" ht="14" customHeight="1">
      <c r="A411" s="54" t="n">
        <v>2011</v>
      </c>
      <c r="B411" s="24" t="n">
        <v>22.46</v>
      </c>
      <c r="C411" s="24" t="n"/>
    </row>
    <row r="412" ht="14" customHeight="1">
      <c r="A412" s="53" t="n">
        <v>2012</v>
      </c>
      <c r="B412" s="17" t="n">
        <v>22</v>
      </c>
      <c r="C412" s="17" t="n"/>
    </row>
    <row r="413" ht="14" customHeight="1">
      <c r="A413" s="54" t="n">
        <v>2013</v>
      </c>
      <c r="B413" s="24" t="n">
        <v>21.69</v>
      </c>
      <c r="C413" s="24" t="n"/>
    </row>
    <row r="414" ht="14" customHeight="1">
      <c r="A414" s="53" t="n">
        <v>2014</v>
      </c>
      <c r="B414" s="17" t="n">
        <v>21.75</v>
      </c>
      <c r="C414" s="17" t="n"/>
    </row>
    <row r="415" ht="14" customHeight="1">
      <c r="A415" s="54" t="n">
        <v>2015</v>
      </c>
      <c r="B415" s="24" t="n">
        <v>22.57</v>
      </c>
      <c r="C415" s="24" t="n"/>
    </row>
    <row r="416" ht="14" customHeight="1">
      <c r="A416" s="53" t="n">
        <v>2016</v>
      </c>
      <c r="B416" s="17" t="n">
        <v>22.95</v>
      </c>
      <c r="C416" s="17" t="n"/>
    </row>
    <row r="417" ht="14" customHeight="1">
      <c r="A417" s="54" t="n">
        <v>2017</v>
      </c>
      <c r="B417" s="24" t="n">
        <v>22.82</v>
      </c>
      <c r="C417" s="24" t="n"/>
    </row>
    <row r="418" ht="14" customHeight="1">
      <c r="A418" s="53" t="n">
        <v>2018</v>
      </c>
      <c r="B418" s="17" t="n">
        <v>23.22</v>
      </c>
      <c r="C418" s="17" t="n"/>
    </row>
    <row r="419" ht="14" customHeight="1">
      <c r="A419" s="54" t="n">
        <v>2019</v>
      </c>
      <c r="B419" s="24" t="n">
        <v>23</v>
      </c>
      <c r="C419" s="24" t="n"/>
    </row>
    <row r="420" ht="14" customHeight="1">
      <c r="A420" s="53" t="n">
        <v>2020</v>
      </c>
      <c r="B420" s="17" t="n">
        <v>23.22</v>
      </c>
      <c r="C420" s="17" t="n">
        <v>23.22</v>
      </c>
    </row>
    <row r="421" ht="14" customHeight="1">
      <c r="A421" s="54" t="n">
        <v>2021</v>
      </c>
      <c r="B421" s="24" t="n"/>
      <c r="C421" s="24" t="n">
        <v>23.39</v>
      </c>
    </row>
    <row r="422" ht="14" customHeight="1">
      <c r="A422" s="53" t="n">
        <v>2022</v>
      </c>
      <c r="B422" s="17" t="n"/>
      <c r="C422" s="17" t="n">
        <v>22.07</v>
      </c>
    </row>
    <row r="423" ht="14" customHeight="1">
      <c r="A423" s="54" t="n">
        <v>2023</v>
      </c>
      <c r="B423" s="24" t="n"/>
      <c r="C423" s="24" t="n">
        <v>20.64</v>
      </c>
    </row>
    <row r="424" ht="14" customHeight="1">
      <c r="A424" s="53" t="n">
        <v>2024</v>
      </c>
      <c r="B424" s="17" t="n"/>
      <c r="C424" s="17" t="n">
        <v>21.09</v>
      </c>
    </row>
    <row r="425" ht="14" customHeight="1">
      <c r="A425" s="54" t="n">
        <v>2025</v>
      </c>
      <c r="B425" s="24" t="n"/>
      <c r="C425" s="24" t="n">
        <v>21.84</v>
      </c>
    </row>
    <row r="427">
      <c r="A427" s="60" t="inlineStr">
        <is>
          <t>A4 (pig, herd) · Pig meat: herd size (EU)  (million heads)</t>
        </is>
      </c>
    </row>
    <row r="428">
      <c r="A428" s="3" t="inlineStr">
        <is>
          <t>Source: EU GHG inventory (CRF) livestock populations; 2021+ Eurostat apro_mt_lspig (swine) survey trend — https://doi.org/10.2908/APRO_MT_LSPIG</t>
        </is>
      </c>
    </row>
    <row r="429" ht="28" customHeight="1">
      <c r="A429" s="5" t="inlineStr">
        <is>
          <t>Year</t>
        </is>
      </c>
      <c r="B429" s="5" t="inlineStr">
        <is>
          <t>In the 2024 report</t>
        </is>
      </c>
      <c r="C429" s="5" t="inlineStr">
        <is>
          <t>Added since the report</t>
        </is>
      </c>
    </row>
    <row r="430" ht="14" customHeight="1">
      <c r="A430" s="53" t="n">
        <v>2010</v>
      </c>
      <c r="B430" s="17" t="n">
        <v>144.1</v>
      </c>
      <c r="C430" s="17" t="n"/>
    </row>
    <row r="431" ht="14" customHeight="1">
      <c r="A431" s="54" t="n">
        <v>2011</v>
      </c>
      <c r="B431" s="24" t="n">
        <v>142.3</v>
      </c>
      <c r="C431" s="24" t="n"/>
    </row>
    <row r="432" ht="14" customHeight="1">
      <c r="A432" s="53" t="n">
        <v>2012</v>
      </c>
      <c r="B432" s="17" t="n">
        <v>138.3</v>
      </c>
      <c r="C432" s="17" t="n"/>
    </row>
    <row r="433" ht="14" customHeight="1">
      <c r="A433" s="54" t="n">
        <v>2013</v>
      </c>
      <c r="B433" s="24" t="n">
        <v>136.5</v>
      </c>
      <c r="C433" s="24" t="n"/>
    </row>
    <row r="434" ht="14" customHeight="1">
      <c r="A434" s="53" t="n">
        <v>2014</v>
      </c>
      <c r="B434" s="17" t="n">
        <v>138.4</v>
      </c>
      <c r="C434" s="17" t="n"/>
    </row>
    <row r="435" ht="14" customHeight="1">
      <c r="A435" s="54" t="n">
        <v>2015</v>
      </c>
      <c r="B435" s="24" t="n">
        <v>139.4</v>
      </c>
      <c r="C435" s="24" t="n"/>
    </row>
    <row r="436" ht="14" customHeight="1">
      <c r="A436" s="53" t="n">
        <v>2016</v>
      </c>
      <c r="B436" s="17" t="n">
        <v>137.7</v>
      </c>
      <c r="C436" s="17" t="n"/>
    </row>
    <row r="437" ht="14" customHeight="1">
      <c r="A437" s="54" t="n">
        <v>2017</v>
      </c>
      <c r="B437" s="24" t="n">
        <v>138.8</v>
      </c>
      <c r="C437" s="24" t="n"/>
    </row>
    <row r="438" ht="14" customHeight="1">
      <c r="A438" s="53" t="n">
        <v>2018</v>
      </c>
      <c r="B438" s="17" t="n">
        <v>139.7</v>
      </c>
      <c r="C438" s="17" t="n"/>
    </row>
    <row r="439" ht="14" customHeight="1">
      <c r="A439" s="54" t="n">
        <v>2019</v>
      </c>
      <c r="B439" s="24" t="n">
        <v>137.4</v>
      </c>
      <c r="C439" s="24" t="n"/>
    </row>
    <row r="440" ht="14" customHeight="1">
      <c r="A440" s="53" t="n">
        <v>2020</v>
      </c>
      <c r="B440" s="17" t="n">
        <v>140</v>
      </c>
      <c r="C440" s="17" t="n">
        <v>140</v>
      </c>
    </row>
    <row r="441" ht="14" customHeight="1">
      <c r="A441" s="54" t="n">
        <v>2021</v>
      </c>
      <c r="B441" s="24" t="n"/>
      <c r="C441" s="24" t="n">
        <v>135.9</v>
      </c>
    </row>
    <row r="442" ht="14" customHeight="1">
      <c r="A442" s="53" t="n">
        <v>2022</v>
      </c>
      <c r="B442" s="17" t="n"/>
      <c r="C442" s="17" t="n">
        <v>129</v>
      </c>
    </row>
    <row r="443" ht="14" customHeight="1">
      <c r="A443" s="54" t="n">
        <v>2023</v>
      </c>
      <c r="B443" s="24" t="n"/>
      <c r="C443" s="24" t="n">
        <v>127.5</v>
      </c>
    </row>
    <row r="444" ht="14" customHeight="1">
      <c r="A444" s="53" t="n">
        <v>2024</v>
      </c>
      <c r="B444" s="17" t="n"/>
      <c r="C444" s="17" t="n">
        <v>126.8</v>
      </c>
    </row>
    <row r="445" ht="14" customHeight="1">
      <c r="A445" s="54" t="n">
        <v>2025</v>
      </c>
      <c r="B445" s="24" t="n"/>
      <c r="C445" s="24" t="n">
        <v>126.1</v>
      </c>
    </row>
    <row r="447">
      <c r="A447" s="60" t="inlineStr">
        <is>
          <t>A5 (bovine) · Average bovine meat consumption (EU)  (kcal/cap/day)</t>
        </is>
      </c>
    </row>
    <row r="448">
      <c r="A448" s="3" t="inlineStr">
        <is>
          <t>Source: FAOSTAT food balance sheets — https://www.fao.org/faostat/en/#data/FBS</t>
        </is>
      </c>
    </row>
    <row r="449" ht="28" customHeight="1">
      <c r="A449" s="5" t="inlineStr">
        <is>
          <t>Year</t>
        </is>
      </c>
      <c r="B449" s="5" t="inlineStr">
        <is>
          <t>In the 2024 report</t>
        </is>
      </c>
      <c r="C449" s="5" t="inlineStr">
        <is>
          <t>Added since the report</t>
        </is>
      </c>
    </row>
    <row r="450" ht="14" customHeight="1">
      <c r="A450" s="53" t="n">
        <v>2010</v>
      </c>
      <c r="B450" s="17" t="n">
        <v>61.35</v>
      </c>
      <c r="C450" s="17" t="n"/>
    </row>
    <row r="451" ht="14" customHeight="1">
      <c r="A451" s="54" t="n">
        <v>2011</v>
      </c>
      <c r="B451" s="24" t="n">
        <v>58.61</v>
      </c>
      <c r="C451" s="24" t="n"/>
    </row>
    <row r="452" ht="14" customHeight="1">
      <c r="A452" s="53" t="n">
        <v>2012</v>
      </c>
      <c r="B452" s="17" t="n">
        <v>57.58</v>
      </c>
      <c r="C452" s="17" t="n"/>
    </row>
    <row r="453" ht="14" customHeight="1">
      <c r="A453" s="54" t="n">
        <v>2013</v>
      </c>
      <c r="B453" s="24" t="n">
        <v>55.36</v>
      </c>
      <c r="C453" s="24" t="n"/>
    </row>
    <row r="454" ht="14" customHeight="1">
      <c r="A454" s="53" t="n">
        <v>2014</v>
      </c>
      <c r="B454" s="17" t="n">
        <v>52.58</v>
      </c>
      <c r="C454" s="17" t="n"/>
    </row>
    <row r="455" ht="14" customHeight="1">
      <c r="A455" s="54" t="n">
        <v>2015</v>
      </c>
      <c r="B455" s="24" t="n">
        <v>51.75</v>
      </c>
      <c r="C455" s="24" t="n"/>
    </row>
    <row r="456" ht="14" customHeight="1">
      <c r="A456" s="53" t="n">
        <v>2016</v>
      </c>
      <c r="B456" s="17" t="n">
        <v>52.15</v>
      </c>
      <c r="C456" s="17" t="n"/>
    </row>
    <row r="457" ht="14" customHeight="1">
      <c r="A457" s="54" t="n">
        <v>2017</v>
      </c>
      <c r="B457" s="24" t="n">
        <v>51.15</v>
      </c>
      <c r="C457" s="24" t="n"/>
    </row>
    <row r="458" ht="14" customHeight="1">
      <c r="A458" s="53" t="n">
        <v>2018</v>
      </c>
      <c r="B458" s="17" t="n">
        <v>52.93</v>
      </c>
      <c r="C458" s="17" t="n"/>
    </row>
    <row r="459" ht="14" customHeight="1">
      <c r="A459" s="54" t="n">
        <v>2019</v>
      </c>
      <c r="B459" s="24" t="n">
        <v>53.35</v>
      </c>
      <c r="C459" s="24" t="n"/>
    </row>
    <row r="460" ht="14" customHeight="1">
      <c r="A460" s="53" t="n">
        <v>2020</v>
      </c>
      <c r="B460" s="17" t="n">
        <v>52.12</v>
      </c>
      <c r="C460" s="17" t="n"/>
    </row>
    <row r="463">
      <c r="A463" s="60" t="inlineStr">
        <is>
          <t>A5 (dairy) · Average dairy products consumption (EU)  (kcal/cap/day)</t>
        </is>
      </c>
    </row>
    <row r="464">
      <c r="A464" s="3" t="inlineStr">
        <is>
          <t>Source: FAOSTAT food balance sheets — https://www.fao.org/faostat/en/#data/FBS</t>
        </is>
      </c>
    </row>
    <row r="465" ht="28" customHeight="1">
      <c r="A465" s="5" t="inlineStr">
        <is>
          <t>Year</t>
        </is>
      </c>
      <c r="B465" s="5" t="inlineStr">
        <is>
          <t>In the 2024 report</t>
        </is>
      </c>
      <c r="C465" s="5" t="inlineStr">
        <is>
          <t>Added since the report</t>
        </is>
      </c>
    </row>
    <row r="466" ht="14" customHeight="1">
      <c r="A466" s="53" t="n">
        <v>2010</v>
      </c>
      <c r="B466" s="17" t="n">
        <v>445.9</v>
      </c>
      <c r="C466" s="17" t="n"/>
    </row>
    <row r="467" ht="14" customHeight="1">
      <c r="A467" s="54" t="n">
        <v>2011</v>
      </c>
      <c r="B467" s="24" t="n">
        <v>449.1</v>
      </c>
      <c r="C467" s="24" t="n"/>
    </row>
    <row r="468" ht="14" customHeight="1">
      <c r="A468" s="53" t="n">
        <v>2012</v>
      </c>
      <c r="B468" s="17" t="n">
        <v>445.8</v>
      </c>
      <c r="C468" s="17" t="n"/>
    </row>
    <row r="469" ht="14" customHeight="1">
      <c r="A469" s="54" t="n">
        <v>2013</v>
      </c>
      <c r="B469" s="24" t="n">
        <v>446</v>
      </c>
      <c r="C469" s="24" t="n"/>
    </row>
    <row r="470" ht="14" customHeight="1">
      <c r="A470" s="53" t="n">
        <v>2014</v>
      </c>
      <c r="B470" s="17" t="n">
        <v>448.1</v>
      </c>
      <c r="C470" s="17" t="n"/>
    </row>
    <row r="471" ht="14" customHeight="1">
      <c r="A471" s="54" t="n">
        <v>2015</v>
      </c>
      <c r="B471" s="24" t="n">
        <v>454.4</v>
      </c>
      <c r="C471" s="24" t="n"/>
    </row>
    <row r="472" ht="14" customHeight="1">
      <c r="A472" s="53" t="n">
        <v>2016</v>
      </c>
      <c r="B472" s="17" t="n">
        <v>459.9</v>
      </c>
      <c r="C472" s="17" t="n"/>
    </row>
    <row r="473" ht="14" customHeight="1">
      <c r="A473" s="54" t="n">
        <v>2017</v>
      </c>
      <c r="B473" s="24" t="n">
        <v>464.5</v>
      </c>
      <c r="C473" s="24" t="n"/>
    </row>
    <row r="474" ht="14" customHeight="1">
      <c r="A474" s="53" t="n">
        <v>2018</v>
      </c>
      <c r="B474" s="17" t="n">
        <v>475.6</v>
      </c>
      <c r="C474" s="17" t="n"/>
    </row>
    <row r="475" ht="14" customHeight="1">
      <c r="A475" s="54" t="n">
        <v>2019</v>
      </c>
      <c r="B475" s="24" t="n">
        <v>535.9</v>
      </c>
      <c r="C475" s="24" t="n"/>
    </row>
    <row r="476" ht="14" customHeight="1">
      <c r="A476" s="53" t="n">
        <v>2020</v>
      </c>
      <c r="B476" s="17" t="n">
        <v>545.1</v>
      </c>
      <c r="C476" s="17" t="n"/>
    </row>
    <row r="477" ht="14" customHeight="1">
      <c r="A477" s="54" t="n">
        <v>2021</v>
      </c>
      <c r="B477" s="24" t="n">
        <v>550.4</v>
      </c>
      <c r="C477" s="24" t="n"/>
    </row>
    <row r="479">
      <c r="A479" s="60" t="inlineStr">
        <is>
          <t>A5 (pig) · Average pig meat consumption (EU)  (kcal/cap/day)</t>
        </is>
      </c>
    </row>
    <row r="480">
      <c r="A480" s="3" t="inlineStr">
        <is>
          <t>Source: FAOSTAT food balance sheets — https://www.fao.org/faostat/en/#data/FBS</t>
        </is>
      </c>
    </row>
    <row r="481" ht="28" customHeight="1">
      <c r="A481" s="5" t="inlineStr">
        <is>
          <t>Year</t>
        </is>
      </c>
      <c r="B481" s="5" t="inlineStr">
        <is>
          <t>In the 2024 report</t>
        </is>
      </c>
      <c r="C481" s="5" t="inlineStr">
        <is>
          <t>Added since the report</t>
        </is>
      </c>
    </row>
    <row r="482" ht="14" customHeight="1">
      <c r="A482" s="53" t="n">
        <v>2010</v>
      </c>
      <c r="B482" s="17" t="n">
        <v>222.4</v>
      </c>
      <c r="C482" s="17" t="n"/>
    </row>
    <row r="483" ht="14" customHeight="1">
      <c r="A483" s="54" t="n">
        <v>2011</v>
      </c>
      <c r="B483" s="24" t="n">
        <v>219.3</v>
      </c>
      <c r="C483" s="24" t="n"/>
    </row>
    <row r="484" ht="14" customHeight="1">
      <c r="A484" s="53" t="n">
        <v>2012</v>
      </c>
      <c r="B484" s="17" t="n">
        <v>214.2</v>
      </c>
      <c r="C484" s="17" t="n"/>
    </row>
    <row r="485" ht="14" customHeight="1">
      <c r="A485" s="54" t="n">
        <v>2013</v>
      </c>
      <c r="B485" s="24" t="n">
        <v>210</v>
      </c>
      <c r="C485" s="24" t="n"/>
    </row>
    <row r="486" ht="14" customHeight="1">
      <c r="A486" s="53" t="n">
        <v>2014</v>
      </c>
      <c r="B486" s="17" t="n">
        <v>207.2</v>
      </c>
      <c r="C486" s="17" t="n"/>
    </row>
    <row r="487" ht="14" customHeight="1">
      <c r="A487" s="54" t="n">
        <v>2015</v>
      </c>
      <c r="B487" s="24" t="n">
        <v>212.9</v>
      </c>
      <c r="C487" s="24" t="n"/>
    </row>
    <row r="488" ht="14" customHeight="1">
      <c r="A488" s="53" t="n">
        <v>2016</v>
      </c>
      <c r="B488" s="17" t="n">
        <v>208.9</v>
      </c>
      <c r="C488" s="17" t="n"/>
    </row>
    <row r="489" ht="14" customHeight="1">
      <c r="A489" s="54" t="n">
        <v>2017</v>
      </c>
      <c r="B489" s="24" t="n">
        <v>211.2</v>
      </c>
      <c r="C489" s="24" t="n"/>
    </row>
    <row r="490" ht="14" customHeight="1">
      <c r="A490" s="53" t="n">
        <v>2018</v>
      </c>
      <c r="B490" s="17" t="n">
        <v>215.9</v>
      </c>
      <c r="C490" s="17" t="n"/>
    </row>
    <row r="491" ht="14" customHeight="1">
      <c r="A491" s="54" t="n">
        <v>2019</v>
      </c>
      <c r="B491" s="24" t="n">
        <v>211.6</v>
      </c>
      <c r="C491" s="24" t="n"/>
    </row>
    <row r="492" ht="14" customHeight="1">
      <c r="A492" s="53" t="n">
        <v>2020</v>
      </c>
      <c r="B492" s="17" t="n">
        <v>203.8</v>
      </c>
      <c r="C492" s="17" t="n"/>
    </row>
    <row r="495">
      <c r="A495" s="60" t="inlineStr">
        <is>
          <t>A6 · Food waste per capita (EU)  (kg/cap/year)</t>
        </is>
      </c>
    </row>
    <row r="496">
      <c r="A496" s="3" t="inlineStr">
        <is>
          <t>Source: Eurostat (env_wasfw) — https://doi.org/10.2908/ENV_WASFW</t>
        </is>
      </c>
    </row>
    <row r="497" ht="28" customHeight="1">
      <c r="A497" s="5" t="inlineStr">
        <is>
          <t>Year</t>
        </is>
      </c>
      <c r="B497" s="5" t="inlineStr">
        <is>
          <t>In the 2024 report</t>
        </is>
      </c>
      <c r="C497" s="5" t="inlineStr">
        <is>
          <t>Added since the report</t>
        </is>
      </c>
    </row>
    <row r="498" ht="14" customHeight="1">
      <c r="A498" s="53" t="n">
        <v>2020</v>
      </c>
      <c r="B498" s="17" t="n">
        <v>131</v>
      </c>
      <c r="C498" s="17" t="n">
        <v>131</v>
      </c>
    </row>
    <row r="499" ht="14" customHeight="1">
      <c r="A499" s="54" t="n">
        <v>2021</v>
      </c>
      <c r="B499" s="24" t="n"/>
      <c r="C499" s="24" t="n">
        <v>129</v>
      </c>
    </row>
    <row r="500" ht="14" customHeight="1">
      <c r="A500" s="53" t="n">
        <v>2022</v>
      </c>
      <c r="B500" s="17" t="n"/>
      <c r="C500" s="17" t="n">
        <v>129</v>
      </c>
    </row>
    <row r="501" ht="14" customHeight="1">
      <c r="A501" s="54" t="n">
        <v>2023</v>
      </c>
      <c r="B501" s="24" t="n"/>
      <c r="C501" s="24" t="n">
        <v>129</v>
      </c>
    </row>
  </sheetData>
  <mergeCells count="54">
    <mergeCell ref="A188:D188"/>
    <mergeCell ref="A479:D479"/>
    <mergeCell ref="A135:D135"/>
    <mergeCell ref="A495:D495"/>
    <mergeCell ref="A206:D206"/>
    <mergeCell ref="A262:D262"/>
    <mergeCell ref="A371:D371"/>
    <mergeCell ref="A171:D171"/>
    <mergeCell ref="A280:D280"/>
    <mergeCell ref="A336:D336"/>
    <mergeCell ref="A407:D407"/>
    <mergeCell ref="A156:D156"/>
    <mergeCell ref="A392:D392"/>
    <mergeCell ref="A155:D155"/>
    <mergeCell ref="A1:K1"/>
    <mergeCell ref="A372:D372"/>
    <mergeCell ref="A353:D353"/>
    <mergeCell ref="A391:D391"/>
    <mergeCell ref="A58:D58"/>
    <mergeCell ref="A352:D352"/>
    <mergeCell ref="A34:D34"/>
    <mergeCell ref="A480:D480"/>
    <mergeCell ref="A261:D261"/>
    <mergeCell ref="A337:D337"/>
    <mergeCell ref="A222:D222"/>
    <mergeCell ref="A98:D98"/>
    <mergeCell ref="A496:D496"/>
    <mergeCell ref="A207:D207"/>
    <mergeCell ref="A296:D296"/>
    <mergeCell ref="A241:D241"/>
    <mergeCell ref="A79:D79"/>
    <mergeCell ref="A281:D281"/>
    <mergeCell ref="A119:D119"/>
    <mergeCell ref="A408:D408"/>
    <mergeCell ref="A78:D78"/>
    <mergeCell ref="A427:D427"/>
    <mergeCell ref="A187:D187"/>
    <mergeCell ref="A2:K2"/>
    <mergeCell ref="A316:D316"/>
    <mergeCell ref="A463:D463"/>
    <mergeCell ref="A172:D172"/>
    <mergeCell ref="A99:D99"/>
    <mergeCell ref="A448:D448"/>
    <mergeCell ref="A317:D317"/>
    <mergeCell ref="A120:D120"/>
    <mergeCell ref="A136:D136"/>
    <mergeCell ref="A447:D447"/>
    <mergeCell ref="A428:D428"/>
    <mergeCell ref="A223:D223"/>
    <mergeCell ref="A297:D297"/>
    <mergeCell ref="A57:D57"/>
    <mergeCell ref="A33:D33"/>
    <mergeCell ref="A242:D242"/>
    <mergeCell ref="A464:D464"/>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007B6C"/>
    <outlinePr summaryBelow="1" summaryRight="1"/>
    <pageSetUpPr/>
  </sheetPr>
  <dimension ref="A1:K302"/>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LULUCF — indicators</t>
        </is>
      </c>
    </row>
    <row r="2" ht="30" customHeight="1">
      <c r="A2" s="2" t="inlineStr">
        <is>
          <t>13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44" t="inlineStr">
        <is>
          <t>L1</t>
        </is>
      </c>
      <c r="B5" s="15" t="inlineStr">
        <is>
          <t>LULUCF net GHG balance</t>
        </is>
      </c>
      <c r="C5" s="15" t="inlineStr">
        <is>
          <t>Mt CO₂eq</t>
        </is>
      </c>
      <c r="D5" s="16" t="n">
        <v>2022</v>
      </c>
      <c r="E5" s="17" t="n">
        <v>-244</v>
      </c>
      <c r="F5" s="16" t="n">
        <v>2024</v>
      </c>
      <c r="G5" s="17" t="n">
        <v>-231</v>
      </c>
      <c r="H5" s="18" t="n">
        <v>0.05327868852459016</v>
      </c>
      <c r="I5" s="34" t="inlineStr">
        <is>
          <t>EEA GHG data viewer; 2023+ Eurostat (env_air_gge)</t>
        </is>
      </c>
      <c r="J5" s="16" t="n">
        <v>2</v>
      </c>
      <c r="K5" s="34" t="inlineStr">
        <is>
          <t>Derived from the live source</t>
        </is>
      </c>
    </row>
    <row r="6" ht="15" customHeight="1">
      <c r="A6" s="45" t="inlineStr">
        <is>
          <t>L3</t>
        </is>
      </c>
      <c r="B6" s="22" t="inlineStr">
        <is>
          <t>Annual afforested area</t>
        </is>
      </c>
      <c r="C6" s="22" t="inlineStr">
        <is>
          <t>thousand ha/yr</t>
        </is>
      </c>
      <c r="D6" s="23" t="n">
        <v>2021</v>
      </c>
      <c r="E6" s="24" t="n">
        <v>326.8</v>
      </c>
      <c r="F6" s="23" t="n">
        <v>2021</v>
      </c>
      <c r="G6" s="24" t="n">
        <v>326.8</v>
      </c>
      <c r="H6" s="25" t="n"/>
      <c r="I6" s="35" t="inlineStr">
        <is>
          <t>EU GHG inventory (CRF)</t>
        </is>
      </c>
      <c r="J6" s="23" t="n"/>
      <c r="K6" s="35" t="inlineStr">
        <is>
          <t>—</t>
        </is>
      </c>
    </row>
    <row r="7" ht="15" customHeight="1">
      <c r="A7" s="44" t="inlineStr">
        <is>
          <t>L4</t>
        </is>
      </c>
      <c r="B7" s="15" t="inlineStr">
        <is>
          <t>Annual deforested area</t>
        </is>
      </c>
      <c r="C7" s="15" t="inlineStr">
        <is>
          <t>thousand ha/yr</t>
        </is>
      </c>
      <c r="D7" s="16" t="n">
        <v>2021</v>
      </c>
      <c r="E7" s="17" t="n">
        <v>-114.5</v>
      </c>
      <c r="F7" s="16" t="n">
        <v>2021</v>
      </c>
      <c r="G7" s="17" t="n">
        <v>-114.5</v>
      </c>
      <c r="H7" s="18" t="n"/>
      <c r="I7" s="34" t="inlineStr">
        <is>
          <t>EU GHG inventory (CRF)</t>
        </is>
      </c>
      <c r="J7" s="16" t="n"/>
      <c r="K7" s="34" t="inlineStr">
        <is>
          <t>—</t>
        </is>
      </c>
    </row>
    <row r="8" ht="15" customHeight="1">
      <c r="A8" s="45" t="inlineStr">
        <is>
          <t>L5</t>
        </is>
      </c>
      <c r="B8" s="22" t="inlineStr">
        <is>
          <t>Annual settlement area increase (net land take proxy)</t>
        </is>
      </c>
      <c r="C8" s="22" t="inlineStr">
        <is>
          <t>thousand ha/yr</t>
        </is>
      </c>
      <c r="D8" s="23" t="n">
        <v>2021</v>
      </c>
      <c r="E8" s="24" t="n">
        <v>142.2</v>
      </c>
      <c r="F8" s="23" t="n">
        <v>2021</v>
      </c>
      <c r="G8" s="24" t="n">
        <v>142.2</v>
      </c>
      <c r="H8" s="25" t="n"/>
      <c r="I8" s="35" t="inlineStr">
        <is>
          <t>EU GHG inventory (CRF)</t>
        </is>
      </c>
      <c r="J8" s="23" t="n"/>
      <c r="K8" s="35" t="inlineStr">
        <is>
          <t>—</t>
        </is>
      </c>
    </row>
    <row r="9" ht="15" customHeight="1">
      <c r="A9" s="44" t="inlineStr">
        <is>
          <t>L6</t>
        </is>
      </c>
      <c r="B9" s="15" t="inlineStr">
        <is>
          <t>Forest land living-biomass carbon sink</t>
        </is>
      </c>
      <c r="C9" s="15" t="inlineStr">
        <is>
          <t>Mt CO₂eq</t>
        </is>
      </c>
      <c r="D9" s="16" t="n">
        <v>2021</v>
      </c>
      <c r="E9" s="17" t="n">
        <v>231.8</v>
      </c>
      <c r="F9" s="16" t="n">
        <v>2024</v>
      </c>
      <c r="G9" s="17" t="n">
        <v>258.3</v>
      </c>
      <c r="H9" s="18" t="n">
        <v>0.1143226919758412</v>
      </c>
      <c r="I9" s="34" t="inlineStr">
        <is>
          <t>EU GHG inventory (CRF); 2022+ calculated from Eurostat (env_air_gge CRF4.A, splice)</t>
        </is>
      </c>
      <c r="J9" s="16" t="n">
        <v>3</v>
      </c>
      <c r="K9" s="34" t="inlineStr">
        <is>
          <t>Derived from the live source</t>
        </is>
      </c>
    </row>
    <row r="10" ht="15" customHeight="1">
      <c r="A10" s="45" t="inlineStr">
        <is>
          <t>L7</t>
        </is>
      </c>
      <c r="B10" s="22" t="inlineStr">
        <is>
          <t>Non-forest LULUCF net GHG emissions</t>
        </is>
      </c>
      <c r="C10" s="22" t="inlineStr">
        <is>
          <t>Mt CO₂eq</t>
        </is>
      </c>
      <c r="D10" s="23" t="n">
        <v>2021</v>
      </c>
      <c r="E10" s="24" t="n">
        <v>97.44</v>
      </c>
      <c r="F10" s="23" t="n">
        <v>2024</v>
      </c>
      <c r="G10" s="24" t="n">
        <v>123</v>
      </c>
      <c r="H10" s="25" t="n">
        <v>0.2623152709359606</v>
      </c>
      <c r="I10" s="35" t="inlineStr">
        <is>
          <t>EU GHG inventory (CRF); 2022+ Eurostat (env_air_gge)</t>
        </is>
      </c>
      <c r="J10" s="23" t="n">
        <v>3</v>
      </c>
      <c r="K10" s="35" t="inlineStr">
        <is>
          <t>Derived from the live source</t>
        </is>
      </c>
    </row>
    <row r="11" ht="15" customHeight="1">
      <c r="A11" s="44" t="inlineStr">
        <is>
          <t>L8</t>
        </is>
      </c>
      <c r="B11" s="15" t="inlineStr">
        <is>
          <t>Total bioenergy use (EU-27)</t>
        </is>
      </c>
      <c r="C11" s="15" t="inlineStr">
        <is>
          <t>TWh</t>
        </is>
      </c>
      <c r="D11" s="16" t="n">
        <v>2021</v>
      </c>
      <c r="E11" s="17" t="n">
        <v>1795.7</v>
      </c>
      <c r="F11" s="16" t="n">
        <v>2024</v>
      </c>
      <c r="G11" s="17" t="n">
        <v>1761.2</v>
      </c>
      <c r="H11" s="18" t="n">
        <v>-0.01921256334577045</v>
      </c>
      <c r="I11" s="34" t="inlineStr">
        <is>
          <t>Eurostat (nrg_bal_s)</t>
        </is>
      </c>
      <c r="J11" s="16" t="n">
        <v>3</v>
      </c>
      <c r="K11" s="34" t="inlineStr">
        <is>
          <t>Derived from the live source</t>
        </is>
      </c>
    </row>
    <row r="12" ht="15" customHeight="1">
      <c r="A12" s="45" t="inlineStr">
        <is>
          <t>L2 (cropland)</t>
        </is>
      </c>
      <c r="B12" s="22" t="inlineStr">
        <is>
          <t>Cropland surface area (EU)</t>
        </is>
      </c>
      <c r="C12" s="22" t="inlineStr">
        <is>
          <t>million ha</t>
        </is>
      </c>
      <c r="D12" s="23" t="n">
        <v>2021</v>
      </c>
      <c r="E12" s="24" t="n">
        <v>120.9</v>
      </c>
      <c r="F12" s="23" t="n">
        <v>2021</v>
      </c>
      <c r="G12" s="24" t="n">
        <v>120.9</v>
      </c>
      <c r="H12" s="25" t="n"/>
      <c r="I12" s="35" t="inlineStr">
        <is>
          <t>EU GHG inventory (CRF tables)</t>
        </is>
      </c>
      <c r="J12" s="23" t="n"/>
      <c r="K12" s="35" t="inlineStr">
        <is>
          <t>—</t>
        </is>
      </c>
    </row>
    <row r="13" ht="15" customHeight="1">
      <c r="A13" s="44" t="inlineStr">
        <is>
          <t>L2 (grassland)</t>
        </is>
      </c>
      <c r="B13" s="15" t="inlineStr">
        <is>
          <t>Grassland surface area (EU)</t>
        </is>
      </c>
      <c r="C13" s="15" t="inlineStr">
        <is>
          <t>million ha</t>
        </is>
      </c>
      <c r="D13" s="16" t="n">
        <v>2021</v>
      </c>
      <c r="E13" s="17" t="n">
        <v>73.2</v>
      </c>
      <c r="F13" s="16" t="n">
        <v>2021</v>
      </c>
      <c r="G13" s="17" t="n">
        <v>73.2</v>
      </c>
      <c r="H13" s="18" t="n"/>
      <c r="I13" s="34" t="inlineStr">
        <is>
          <t>EU GHG inventory (CRF tables)</t>
        </is>
      </c>
      <c r="J13" s="16" t="n"/>
      <c r="K13" s="34" t="inlineStr">
        <is>
          <t>—</t>
        </is>
      </c>
    </row>
    <row r="14" ht="15" customHeight="1">
      <c r="A14" s="45" t="inlineStr">
        <is>
          <t>L2 (wetland)</t>
        </is>
      </c>
      <c r="B14" s="22" t="inlineStr">
        <is>
          <t>Wetland surface area (EU)</t>
        </is>
      </c>
      <c r="C14" s="22" t="inlineStr">
        <is>
          <t>million ha</t>
        </is>
      </c>
      <c r="D14" s="23" t="n">
        <v>2021</v>
      </c>
      <c r="E14" s="24" t="n">
        <v>23.87</v>
      </c>
      <c r="F14" s="23" t="n">
        <v>2021</v>
      </c>
      <c r="G14" s="24" t="n">
        <v>23.87</v>
      </c>
      <c r="H14" s="25" t="n"/>
      <c r="I14" s="35" t="inlineStr">
        <is>
          <t>EU GHG inventory (CRF tables)</t>
        </is>
      </c>
      <c r="J14" s="23" t="n"/>
      <c r="K14" s="35" t="inlineStr">
        <is>
          <t>—</t>
        </is>
      </c>
    </row>
    <row r="15" ht="15" customHeight="1">
      <c r="A15" s="44" t="inlineStr">
        <is>
          <t>L2 (settlements)</t>
        </is>
      </c>
      <c r="B15" s="15" t="inlineStr">
        <is>
          <t>Settlements surface area (EU)</t>
        </is>
      </c>
      <c r="C15" s="15" t="inlineStr">
        <is>
          <t>million ha</t>
        </is>
      </c>
      <c r="D15" s="16" t="n">
        <v>2021</v>
      </c>
      <c r="E15" s="17" t="n">
        <v>28.15</v>
      </c>
      <c r="F15" s="16" t="n">
        <v>2021</v>
      </c>
      <c r="G15" s="17" t="n">
        <v>28.15</v>
      </c>
      <c r="H15" s="18" t="n"/>
      <c r="I15" s="34" t="inlineStr">
        <is>
          <t>EU GHG inventory (CRF tables)</t>
        </is>
      </c>
      <c r="J15" s="16" t="n"/>
      <c r="K15" s="34" t="inlineStr">
        <is>
          <t>—</t>
        </is>
      </c>
    </row>
    <row r="16" ht="15" customHeight="1">
      <c r="A16" s="45" t="inlineStr">
        <is>
          <t>L2 (forest)</t>
        </is>
      </c>
      <c r="B16" s="22" t="inlineStr">
        <is>
          <t>Forest land surface area (EU)</t>
        </is>
      </c>
      <c r="C16" s="22" t="inlineStr">
        <is>
          <t>million ha</t>
        </is>
      </c>
      <c r="D16" s="23" t="n">
        <v>2021</v>
      </c>
      <c r="E16" s="24" t="n">
        <v>167.7</v>
      </c>
      <c r="F16" s="23" t="n">
        <v>2021</v>
      </c>
      <c r="G16" s="24" t="n">
        <v>167.7</v>
      </c>
      <c r="H16" s="25" t="n"/>
      <c r="I16" s="35" t="inlineStr">
        <is>
          <t>EU GHG inventory (CRF tables)</t>
        </is>
      </c>
      <c r="J16" s="23" t="n"/>
      <c r="K16" s="35" t="inlineStr">
        <is>
          <t>—</t>
        </is>
      </c>
    </row>
    <row r="17" ht="15" customHeight="1">
      <c r="A17" s="44" t="inlineStr">
        <is>
          <t>L2 (other)</t>
        </is>
      </c>
      <c r="B17" s="15" t="inlineStr">
        <is>
          <t>Other surface area (EU)</t>
        </is>
      </c>
      <c r="C17" s="15" t="inlineStr">
        <is>
          <t>million ha</t>
        </is>
      </c>
      <c r="D17" s="16" t="n">
        <v>2021</v>
      </c>
      <c r="E17" s="17" t="n">
        <v>9.657999999999999</v>
      </c>
      <c r="F17" s="16" t="n">
        <v>2021</v>
      </c>
      <c r="G17" s="17" t="n">
        <v>9.657999999999999</v>
      </c>
      <c r="H17" s="18" t="n"/>
      <c r="I17" s="34" t="inlineStr">
        <is>
          <t>EU GHG inventory (CRF tables)</t>
        </is>
      </c>
      <c r="J17" s="16" t="n"/>
      <c r="K17" s="34" t="inlineStr">
        <is>
          <t>—</t>
        </is>
      </c>
    </row>
    <row r="20">
      <c r="A20" s="61" t="inlineStr">
        <is>
          <t>L1 · LULUCF net GHG balance  (Mt CO₂eq)</t>
        </is>
      </c>
    </row>
    <row r="21">
      <c r="A21" s="3" t="inlineStr">
        <is>
          <t>Source: EEA GHG data viewer; 2023+ Eurostat (env_air_gge) — https://doi.org/10.2908/ENV_AIR_GGE</t>
        </is>
      </c>
    </row>
    <row r="22" ht="28" customHeight="1">
      <c r="A22" s="5" t="inlineStr">
        <is>
          <t>Year</t>
        </is>
      </c>
      <c r="B22" s="5" t="inlineStr">
        <is>
          <t>In the 2024 report</t>
        </is>
      </c>
      <c r="C22" s="5" t="inlineStr">
        <is>
          <t>Added since the report</t>
        </is>
      </c>
    </row>
    <row r="23" ht="14" customHeight="1">
      <c r="A23" s="53" t="n">
        <v>2005</v>
      </c>
      <c r="B23" s="17" t="n">
        <v>-342</v>
      </c>
      <c r="C23" s="17" t="n"/>
    </row>
    <row r="24" ht="14" customHeight="1">
      <c r="A24" s="54" t="n">
        <v>2006</v>
      </c>
      <c r="B24" s="24" t="n">
        <v>-351</v>
      </c>
      <c r="C24" s="24" t="n"/>
    </row>
    <row r="25" ht="14" customHeight="1">
      <c r="A25" s="53" t="n">
        <v>2007</v>
      </c>
      <c r="B25" s="17" t="n">
        <v>-301</v>
      </c>
      <c r="C25" s="17" t="n"/>
    </row>
    <row r="26" ht="14" customHeight="1">
      <c r="A26" s="54" t="n">
        <v>2008</v>
      </c>
      <c r="B26" s="24" t="n">
        <v>-344</v>
      </c>
      <c r="C26" s="24" t="n"/>
    </row>
    <row r="27" ht="14" customHeight="1">
      <c r="A27" s="53" t="n">
        <v>2009</v>
      </c>
      <c r="B27" s="17" t="n">
        <v>-347</v>
      </c>
      <c r="C27" s="17" t="n"/>
    </row>
    <row r="28" ht="14" customHeight="1">
      <c r="A28" s="54" t="n">
        <v>2010</v>
      </c>
      <c r="B28" s="24" t="n">
        <v>-353</v>
      </c>
      <c r="C28" s="24" t="n"/>
    </row>
    <row r="29" ht="14" customHeight="1">
      <c r="A29" s="53" t="n">
        <v>2011</v>
      </c>
      <c r="B29" s="17" t="n">
        <v>-347</v>
      </c>
      <c r="C29" s="17" t="n"/>
    </row>
    <row r="30" ht="14" customHeight="1">
      <c r="A30" s="54" t="n">
        <v>2012</v>
      </c>
      <c r="B30" s="24" t="n">
        <v>-343</v>
      </c>
      <c r="C30" s="24" t="n"/>
    </row>
    <row r="31" ht="14" customHeight="1">
      <c r="A31" s="53" t="n">
        <v>2013</v>
      </c>
      <c r="B31" s="17" t="n">
        <v>-343</v>
      </c>
      <c r="C31" s="17" t="n"/>
    </row>
    <row r="32" ht="14" customHeight="1">
      <c r="A32" s="54" t="n">
        <v>2014</v>
      </c>
      <c r="B32" s="24" t="n">
        <v>-328</v>
      </c>
      <c r="C32" s="24" t="n"/>
    </row>
    <row r="33" ht="14" customHeight="1">
      <c r="A33" s="53" t="n">
        <v>2015</v>
      </c>
      <c r="B33" s="17" t="n">
        <v>-322</v>
      </c>
      <c r="C33" s="17" t="n"/>
    </row>
    <row r="34" ht="14" customHeight="1">
      <c r="A34" s="54" t="n">
        <v>2016</v>
      </c>
      <c r="B34" s="24" t="n">
        <v>-318</v>
      </c>
      <c r="C34" s="24" t="n"/>
    </row>
    <row r="35" ht="14" customHeight="1">
      <c r="A35" s="53" t="n">
        <v>2017</v>
      </c>
      <c r="B35" s="17" t="n">
        <v>-250</v>
      </c>
      <c r="C35" s="17" t="n"/>
    </row>
    <row r="36" ht="14" customHeight="1">
      <c r="A36" s="54" t="n">
        <v>2018</v>
      </c>
      <c r="B36" s="24" t="n">
        <v>-258</v>
      </c>
      <c r="C36" s="24" t="n"/>
    </row>
    <row r="37" ht="14" customHeight="1">
      <c r="A37" s="53" t="n">
        <v>2019</v>
      </c>
      <c r="B37" s="17" t="n">
        <v>-247</v>
      </c>
      <c r="C37" s="17" t="n"/>
    </row>
    <row r="38" ht="14" customHeight="1">
      <c r="A38" s="54" t="n">
        <v>2020</v>
      </c>
      <c r="B38" s="24" t="n">
        <v>-241</v>
      </c>
      <c r="C38" s="24" t="n"/>
    </row>
    <row r="39" ht="14" customHeight="1">
      <c r="A39" s="53" t="n">
        <v>2021</v>
      </c>
      <c r="B39" s="17" t="n">
        <v>-230</v>
      </c>
      <c r="C39" s="17" t="n"/>
    </row>
    <row r="40" ht="14" customHeight="1">
      <c r="A40" s="54" t="n">
        <v>2022</v>
      </c>
      <c r="B40" s="24" t="n">
        <v>-244</v>
      </c>
      <c r="C40" s="24" t="n">
        <v>-244</v>
      </c>
    </row>
    <row r="41" ht="14" customHeight="1">
      <c r="A41" s="53" t="n">
        <v>2023</v>
      </c>
      <c r="B41" s="17" t="n"/>
      <c r="C41" s="17" t="n">
        <v>-215.5</v>
      </c>
    </row>
    <row r="42" ht="14" customHeight="1">
      <c r="A42" s="54" t="n">
        <v>2024</v>
      </c>
      <c r="B42" s="24" t="n"/>
      <c r="C42" s="24" t="n">
        <v>-231</v>
      </c>
    </row>
    <row r="44">
      <c r="A44" s="61" t="inlineStr">
        <is>
          <t>L3 · Annual afforested area  (thousand ha/yr)</t>
        </is>
      </c>
    </row>
    <row r="45">
      <c r="A45" s="3" t="inlineStr">
        <is>
          <t>Source: EU GHG inventory (CRF) — https://www.eea.europa.eu/en/datahub/datahubitem-view/3b7fe76c-524a-439a-bfd2-a6e4046302a2</t>
        </is>
      </c>
    </row>
    <row r="46" ht="28" customHeight="1">
      <c r="A46" s="5" t="inlineStr">
        <is>
          <t>Year</t>
        </is>
      </c>
      <c r="B46" s="5" t="inlineStr">
        <is>
          <t>In the 2024 report</t>
        </is>
      </c>
      <c r="C46" s="5" t="inlineStr">
        <is>
          <t>Added since the report</t>
        </is>
      </c>
    </row>
    <row r="47" ht="14" customHeight="1">
      <c r="A47" s="53" t="n">
        <v>2005</v>
      </c>
      <c r="B47" s="17" t="n">
        <v>488</v>
      </c>
      <c r="C47" s="17" t="n"/>
    </row>
    <row r="48" ht="14" customHeight="1">
      <c r="A48" s="54" t="n">
        <v>2006</v>
      </c>
      <c r="B48" s="24" t="n">
        <v>435.7</v>
      </c>
      <c r="C48" s="24" t="n"/>
    </row>
    <row r="49" ht="14" customHeight="1">
      <c r="A49" s="53" t="n">
        <v>2007</v>
      </c>
      <c r="B49" s="17" t="n">
        <v>407.4</v>
      </c>
      <c r="C49" s="17" t="n"/>
    </row>
    <row r="50" ht="14" customHeight="1">
      <c r="A50" s="54" t="n">
        <v>2008</v>
      </c>
      <c r="B50" s="24" t="n">
        <v>338</v>
      </c>
      <c r="C50" s="24" t="n"/>
    </row>
    <row r="51" ht="14" customHeight="1">
      <c r="A51" s="53" t="n">
        <v>2009</v>
      </c>
      <c r="B51" s="17" t="n">
        <v>334</v>
      </c>
      <c r="C51" s="17" t="n"/>
    </row>
    <row r="52" ht="14" customHeight="1">
      <c r="A52" s="54" t="n">
        <v>2010</v>
      </c>
      <c r="B52" s="24" t="n">
        <v>301</v>
      </c>
      <c r="C52" s="24" t="n"/>
    </row>
    <row r="53" ht="14" customHeight="1">
      <c r="A53" s="53" t="n">
        <v>2011</v>
      </c>
      <c r="B53" s="17" t="n">
        <v>288.3</v>
      </c>
      <c r="C53" s="17" t="n"/>
    </row>
    <row r="54" ht="14" customHeight="1">
      <c r="A54" s="54" t="n">
        <v>2012</v>
      </c>
      <c r="B54" s="24" t="n">
        <v>282.8</v>
      </c>
      <c r="C54" s="24" t="n"/>
    </row>
    <row r="55" ht="14" customHeight="1">
      <c r="A55" s="53" t="n">
        <v>2013</v>
      </c>
      <c r="B55" s="17" t="n">
        <v>294.5</v>
      </c>
      <c r="C55" s="17" t="n"/>
    </row>
    <row r="56" ht="14" customHeight="1">
      <c r="A56" s="54" t="n">
        <v>2014</v>
      </c>
      <c r="B56" s="24" t="n">
        <v>266.7</v>
      </c>
      <c r="C56" s="24" t="n"/>
    </row>
    <row r="57" ht="14" customHeight="1">
      <c r="A57" s="53" t="n">
        <v>2015</v>
      </c>
      <c r="B57" s="17" t="n">
        <v>272.8</v>
      </c>
      <c r="C57" s="17" t="n"/>
    </row>
    <row r="58" ht="14" customHeight="1">
      <c r="A58" s="54" t="n">
        <v>2016</v>
      </c>
      <c r="B58" s="24" t="n">
        <v>298.1</v>
      </c>
      <c r="C58" s="24" t="n"/>
    </row>
    <row r="59" ht="14" customHeight="1">
      <c r="A59" s="53" t="n">
        <v>2017</v>
      </c>
      <c r="B59" s="17" t="n">
        <v>343.2</v>
      </c>
      <c r="C59" s="17" t="n"/>
    </row>
    <row r="60" ht="14" customHeight="1">
      <c r="A60" s="54" t="n">
        <v>2018</v>
      </c>
      <c r="B60" s="24" t="n">
        <v>299.8</v>
      </c>
      <c r="C60" s="24" t="n"/>
    </row>
    <row r="61" ht="14" customHeight="1">
      <c r="A61" s="53" t="n">
        <v>2019</v>
      </c>
      <c r="B61" s="17" t="n">
        <v>310.2</v>
      </c>
      <c r="C61" s="17" t="n"/>
    </row>
    <row r="62" ht="14" customHeight="1">
      <c r="A62" s="54" t="n">
        <v>2020</v>
      </c>
      <c r="B62" s="24" t="n">
        <v>297.7</v>
      </c>
      <c r="C62" s="24" t="n"/>
    </row>
    <row r="63" ht="14" customHeight="1">
      <c r="A63" s="53" t="n">
        <v>2021</v>
      </c>
      <c r="B63" s="17" t="n">
        <v>326.8</v>
      </c>
      <c r="C63" s="17" t="n"/>
    </row>
    <row r="65">
      <c r="A65" s="61" t="inlineStr">
        <is>
          <t>L4 · Annual deforested area  (thousand ha/yr)</t>
        </is>
      </c>
    </row>
    <row r="66">
      <c r="A66" s="3" t="inlineStr">
        <is>
          <t>Source: EU GHG inventory (CRF) — https://www.eea.europa.eu/en/datahub/datahubitem-view/3b7fe76c-524a-439a-bfd2-a6e4046302a2</t>
        </is>
      </c>
    </row>
    <row r="67" ht="28" customHeight="1">
      <c r="A67" s="5" t="inlineStr">
        <is>
          <t>Year</t>
        </is>
      </c>
      <c r="B67" s="5" t="inlineStr">
        <is>
          <t>In the 2024 report</t>
        </is>
      </c>
      <c r="C67" s="5" t="inlineStr">
        <is>
          <t>Added since the report</t>
        </is>
      </c>
    </row>
    <row r="68" ht="14" customHeight="1">
      <c r="A68" s="53" t="n">
        <v>2005</v>
      </c>
      <c r="B68" s="17" t="n">
        <v>-125.9</v>
      </c>
      <c r="C68" s="17" t="n"/>
    </row>
    <row r="69" ht="14" customHeight="1">
      <c r="A69" s="54" t="n">
        <v>2006</v>
      </c>
      <c r="B69" s="24" t="n">
        <v>-129.8</v>
      </c>
      <c r="C69" s="24" t="n"/>
    </row>
    <row r="70" ht="14" customHeight="1">
      <c r="A70" s="53" t="n">
        <v>2007</v>
      </c>
      <c r="B70" s="17" t="n">
        <v>-138.5</v>
      </c>
      <c r="C70" s="17" t="n"/>
    </row>
    <row r="71" ht="14" customHeight="1">
      <c r="A71" s="54" t="n">
        <v>2008</v>
      </c>
      <c r="B71" s="24" t="n">
        <v>-122.7</v>
      </c>
      <c r="C71" s="24" t="n"/>
    </row>
    <row r="72" ht="14" customHeight="1">
      <c r="A72" s="53" t="n">
        <v>2009</v>
      </c>
      <c r="B72" s="17" t="n">
        <v>-127.5</v>
      </c>
      <c r="C72" s="17" t="n"/>
    </row>
    <row r="73" ht="14" customHeight="1">
      <c r="A73" s="54" t="n">
        <v>2010</v>
      </c>
      <c r="B73" s="24" t="n">
        <v>-132.7</v>
      </c>
      <c r="C73" s="24" t="n"/>
    </row>
    <row r="74" ht="14" customHeight="1">
      <c r="A74" s="53" t="n">
        <v>2011</v>
      </c>
      <c r="B74" s="17" t="n">
        <v>-112.7</v>
      </c>
      <c r="C74" s="17" t="n"/>
    </row>
    <row r="75" ht="14" customHeight="1">
      <c r="A75" s="54" t="n">
        <v>2012</v>
      </c>
      <c r="B75" s="24" t="n">
        <v>-110.3</v>
      </c>
      <c r="C75" s="24" t="n"/>
    </row>
    <row r="76" ht="14" customHeight="1">
      <c r="A76" s="53" t="n">
        <v>2013</v>
      </c>
      <c r="B76" s="17" t="n">
        <v>-141.7</v>
      </c>
      <c r="C76" s="17" t="n"/>
    </row>
    <row r="77" ht="14" customHeight="1">
      <c r="A77" s="54" t="n">
        <v>2014</v>
      </c>
      <c r="B77" s="24" t="n">
        <v>-125.1</v>
      </c>
      <c r="C77" s="24" t="n"/>
    </row>
    <row r="78" ht="14" customHeight="1">
      <c r="A78" s="53" t="n">
        <v>2015</v>
      </c>
      <c r="B78" s="17" t="n">
        <v>-121.8</v>
      </c>
      <c r="C78" s="17" t="n"/>
    </row>
    <row r="79" ht="14" customHeight="1">
      <c r="A79" s="54" t="n">
        <v>2016</v>
      </c>
      <c r="B79" s="24" t="n">
        <v>-143.4</v>
      </c>
      <c r="C79" s="24" t="n"/>
    </row>
    <row r="80" ht="14" customHeight="1">
      <c r="A80" s="53" t="n">
        <v>2017</v>
      </c>
      <c r="B80" s="17" t="n">
        <v>-119.1</v>
      </c>
      <c r="C80" s="17" t="n"/>
    </row>
    <row r="81" ht="14" customHeight="1">
      <c r="A81" s="54" t="n">
        <v>2018</v>
      </c>
      <c r="B81" s="24" t="n">
        <v>-115.2</v>
      </c>
      <c r="C81" s="24" t="n"/>
    </row>
    <row r="82" ht="14" customHeight="1">
      <c r="A82" s="53" t="n">
        <v>2019</v>
      </c>
      <c r="B82" s="17" t="n">
        <v>-114</v>
      </c>
      <c r="C82" s="17" t="n"/>
    </row>
    <row r="83" ht="14" customHeight="1">
      <c r="A83" s="54" t="n">
        <v>2020</v>
      </c>
      <c r="B83" s="24" t="n">
        <v>-112.9</v>
      </c>
      <c r="C83" s="24" t="n"/>
    </row>
    <row r="84" ht="14" customHeight="1">
      <c r="A84" s="53" t="n">
        <v>2021</v>
      </c>
      <c r="B84" s="17" t="n">
        <v>-114.5</v>
      </c>
      <c r="C84" s="17" t="n"/>
    </row>
    <row r="86">
      <c r="A86" s="61" t="inlineStr">
        <is>
          <t>L5 · Annual settlement area increase (net land take proxy)  (thousand ha/yr)</t>
        </is>
      </c>
    </row>
    <row r="87">
      <c r="A87" s="3" t="inlineStr">
        <is>
          <t>Source: EU GHG inventory (CRF) — https://www.eea.europa.eu/en/datahub/datahubitem-view/3b7fe76c-524a-439a-bfd2-a6e4046302a2</t>
        </is>
      </c>
    </row>
    <row r="88" ht="28" customHeight="1">
      <c r="A88" s="5" t="inlineStr">
        <is>
          <t>Year</t>
        </is>
      </c>
      <c r="B88" s="5" t="inlineStr">
        <is>
          <t>In the 2024 report</t>
        </is>
      </c>
      <c r="C88" s="5" t="inlineStr">
        <is>
          <t>Added since the report</t>
        </is>
      </c>
    </row>
    <row r="89" ht="14" customHeight="1">
      <c r="A89" s="53" t="n">
        <v>2006</v>
      </c>
      <c r="B89" s="17" t="n">
        <v>401.2</v>
      </c>
      <c r="C89" s="17" t="n"/>
    </row>
    <row r="90" ht="14" customHeight="1">
      <c r="A90" s="54" t="n">
        <v>2007</v>
      </c>
      <c r="B90" s="24" t="n">
        <v>231.9</v>
      </c>
      <c r="C90" s="24" t="n"/>
    </row>
    <row r="91" ht="14" customHeight="1">
      <c r="A91" s="53" t="n">
        <v>2008</v>
      </c>
      <c r="B91" s="17" t="n">
        <v>225.9</v>
      </c>
      <c r="C91" s="17" t="n"/>
    </row>
    <row r="92" ht="14" customHeight="1">
      <c r="A92" s="54" t="n">
        <v>2009</v>
      </c>
      <c r="B92" s="24" t="n">
        <v>236.6</v>
      </c>
      <c r="C92" s="24" t="n"/>
    </row>
    <row r="93" ht="14" customHeight="1">
      <c r="A93" s="53" t="n">
        <v>2010</v>
      </c>
      <c r="B93" s="17" t="n">
        <v>232</v>
      </c>
      <c r="C93" s="17" t="n"/>
    </row>
    <row r="94" ht="14" customHeight="1">
      <c r="A94" s="54" t="n">
        <v>2011</v>
      </c>
      <c r="B94" s="24" t="n">
        <v>228.5</v>
      </c>
      <c r="C94" s="24" t="n"/>
    </row>
    <row r="95" ht="14" customHeight="1">
      <c r="A95" s="53" t="n">
        <v>2012</v>
      </c>
      <c r="B95" s="17" t="n">
        <v>231.9</v>
      </c>
      <c r="C95" s="17" t="n"/>
    </row>
    <row r="96" ht="14" customHeight="1">
      <c r="A96" s="54" t="n">
        <v>2013</v>
      </c>
      <c r="B96" s="24" t="n">
        <v>155.9</v>
      </c>
      <c r="C96" s="24" t="n"/>
    </row>
    <row r="97" ht="14" customHeight="1">
      <c r="A97" s="53" t="n">
        <v>2014</v>
      </c>
      <c r="B97" s="17" t="n">
        <v>265.3</v>
      </c>
      <c r="C97" s="17" t="n"/>
    </row>
    <row r="98" ht="14" customHeight="1">
      <c r="A98" s="54" t="n">
        <v>2015</v>
      </c>
      <c r="B98" s="24" t="n">
        <v>125.6</v>
      </c>
      <c r="C98" s="24" t="n"/>
    </row>
    <row r="99" ht="14" customHeight="1">
      <c r="A99" s="53" t="n">
        <v>2016</v>
      </c>
      <c r="B99" s="17" t="n">
        <v>179.2</v>
      </c>
      <c r="C99" s="17" t="n"/>
    </row>
    <row r="100" ht="14" customHeight="1">
      <c r="A100" s="54" t="n">
        <v>2017</v>
      </c>
      <c r="B100" s="24" t="n">
        <v>141.5</v>
      </c>
      <c r="C100" s="24" t="n"/>
    </row>
    <row r="101" ht="14" customHeight="1">
      <c r="A101" s="53" t="n">
        <v>2018</v>
      </c>
      <c r="B101" s="17" t="n">
        <v>164.3</v>
      </c>
      <c r="C101" s="17" t="n"/>
    </row>
    <row r="102" ht="14" customHeight="1">
      <c r="A102" s="54" t="n">
        <v>2019</v>
      </c>
      <c r="B102" s="24" t="n">
        <v>149.3</v>
      </c>
      <c r="C102" s="24" t="n"/>
    </row>
    <row r="103" ht="14" customHeight="1">
      <c r="A103" s="53" t="n">
        <v>2020</v>
      </c>
      <c r="B103" s="17" t="n">
        <v>157.5</v>
      </c>
      <c r="C103" s="17" t="n"/>
    </row>
    <row r="104" ht="14" customHeight="1">
      <c r="A104" s="54" t="n">
        <v>2021</v>
      </c>
      <c r="B104" s="24" t="n">
        <v>142.2</v>
      </c>
      <c r="C104" s="24" t="n"/>
    </row>
    <row r="106">
      <c r="A106" s="61" t="inlineStr">
        <is>
          <t>L6 · Forest land living-biomass carbon sink  (Mt CO₂eq)</t>
        </is>
      </c>
    </row>
    <row r="107">
      <c r="A107" s="3" t="inlineStr">
        <is>
          <t>Source: EU GHG inventory (CRF); 2022+ calculated from Eurostat (env_air_gge CRF4.A, splice) — https://doi.org/10.2908/ENV_AIR_GGE</t>
        </is>
      </c>
    </row>
    <row r="108" ht="28" customHeight="1">
      <c r="A108" s="5" t="inlineStr">
        <is>
          <t>Year</t>
        </is>
      </c>
      <c r="B108" s="5" t="inlineStr">
        <is>
          <t>In the 2024 report</t>
        </is>
      </c>
      <c r="C108" s="5" t="inlineStr">
        <is>
          <t>Added since the report</t>
        </is>
      </c>
    </row>
    <row r="109" ht="14" customHeight="1">
      <c r="A109" s="53" t="n">
        <v>2005</v>
      </c>
      <c r="B109" s="17" t="n">
        <v>361.8</v>
      </c>
      <c r="C109" s="17" t="n"/>
    </row>
    <row r="110" ht="14" customHeight="1">
      <c r="A110" s="54" t="n">
        <v>2006</v>
      </c>
      <c r="B110" s="24" t="n">
        <v>356.5</v>
      </c>
      <c r="C110" s="24" t="n"/>
    </row>
    <row r="111" ht="14" customHeight="1">
      <c r="A111" s="53" t="n">
        <v>2007</v>
      </c>
      <c r="B111" s="17" t="n">
        <v>319.8</v>
      </c>
      <c r="C111" s="17" t="n"/>
    </row>
    <row r="112" ht="14" customHeight="1">
      <c r="A112" s="54" t="n">
        <v>2008</v>
      </c>
      <c r="B112" s="24" t="n">
        <v>392.1</v>
      </c>
      <c r="C112" s="24" t="n"/>
    </row>
    <row r="113" ht="14" customHeight="1">
      <c r="A113" s="53" t="n">
        <v>2009</v>
      </c>
      <c r="B113" s="17" t="n">
        <v>397.4</v>
      </c>
      <c r="C113" s="17" t="n"/>
    </row>
    <row r="114" ht="14" customHeight="1">
      <c r="A114" s="54" t="n">
        <v>2010</v>
      </c>
      <c r="B114" s="24" t="n">
        <v>389.1</v>
      </c>
      <c r="C114" s="24" t="n"/>
    </row>
    <row r="115" ht="14" customHeight="1">
      <c r="A115" s="53" t="n">
        <v>2011</v>
      </c>
      <c r="B115" s="17" t="n">
        <v>380.5</v>
      </c>
      <c r="C115" s="17" t="n"/>
    </row>
    <row r="116" ht="14" customHeight="1">
      <c r="A116" s="54" t="n">
        <v>2012</v>
      </c>
      <c r="B116" s="24" t="n">
        <v>382.7</v>
      </c>
      <c r="C116" s="24" t="n"/>
    </row>
    <row r="117" ht="14" customHeight="1">
      <c r="A117" s="53" t="n">
        <v>2013</v>
      </c>
      <c r="B117" s="17" t="n">
        <v>391.1</v>
      </c>
      <c r="C117" s="17" t="n"/>
    </row>
    <row r="118" ht="14" customHeight="1">
      <c r="A118" s="54" t="n">
        <v>2014</v>
      </c>
      <c r="B118" s="24" t="n">
        <v>362</v>
      </c>
      <c r="C118" s="24" t="n"/>
    </row>
    <row r="119" ht="14" customHeight="1">
      <c r="A119" s="53" t="n">
        <v>2015</v>
      </c>
      <c r="B119" s="17" t="n">
        <v>342.9</v>
      </c>
      <c r="C119" s="17" t="n"/>
    </row>
    <row r="120" ht="14" customHeight="1">
      <c r="A120" s="54" t="n">
        <v>2016</v>
      </c>
      <c r="B120" s="24" t="n">
        <v>337.4</v>
      </c>
      <c r="C120" s="24" t="n"/>
    </row>
    <row r="121" ht="14" customHeight="1">
      <c r="A121" s="53" t="n">
        <v>2017</v>
      </c>
      <c r="B121" s="17" t="n">
        <v>287.6</v>
      </c>
      <c r="C121" s="17" t="n"/>
    </row>
    <row r="122" ht="14" customHeight="1">
      <c r="A122" s="54" t="n">
        <v>2018</v>
      </c>
      <c r="B122" s="24" t="n">
        <v>267.2</v>
      </c>
      <c r="C122" s="24" t="n"/>
    </row>
    <row r="123" ht="14" customHeight="1">
      <c r="A123" s="53" t="n">
        <v>2019</v>
      </c>
      <c r="B123" s="17" t="n">
        <v>245.1</v>
      </c>
      <c r="C123" s="17" t="n"/>
    </row>
    <row r="124" ht="14" customHeight="1">
      <c r="A124" s="54" t="n">
        <v>2020</v>
      </c>
      <c r="B124" s="24" t="n">
        <v>246.7</v>
      </c>
      <c r="C124" s="24" t="n"/>
    </row>
    <row r="125" ht="14" customHeight="1">
      <c r="A125" s="53" t="n">
        <v>2021</v>
      </c>
      <c r="B125" s="17" t="n">
        <v>231.8</v>
      </c>
      <c r="C125" s="17" t="n">
        <v>231.8</v>
      </c>
    </row>
    <row r="126" ht="14" customHeight="1">
      <c r="A126" s="54" t="n">
        <v>2022</v>
      </c>
      <c r="B126" s="24" t="n"/>
      <c r="C126" s="24" t="n">
        <v>236.7</v>
      </c>
    </row>
    <row r="127" ht="14" customHeight="1">
      <c r="A127" s="53" t="n">
        <v>2023</v>
      </c>
      <c r="B127" s="17" t="n"/>
      <c r="C127" s="17" t="n">
        <v>255.7</v>
      </c>
    </row>
    <row r="128" ht="14" customHeight="1">
      <c r="A128" s="54" t="n">
        <v>2024</v>
      </c>
      <c r="B128" s="24" t="n"/>
      <c r="C128" s="24" t="n">
        <v>258.3</v>
      </c>
    </row>
    <row r="130">
      <c r="A130" s="61" t="inlineStr">
        <is>
          <t>L7 · Non-forest LULUCF net GHG emissions  (Mt CO₂eq)</t>
        </is>
      </c>
    </row>
    <row r="131">
      <c r="A131" s="3" t="inlineStr">
        <is>
          <t>Source: EU GHG inventory (CRF); 2022+ Eurostat (env_air_gge) — https://doi.org/10.2908/ENV_AIR_GGE</t>
        </is>
      </c>
    </row>
    <row r="132" ht="28" customHeight="1">
      <c r="A132" s="5" t="inlineStr">
        <is>
          <t>Year</t>
        </is>
      </c>
      <c r="B132" s="5" t="inlineStr">
        <is>
          <t>In the 2024 report</t>
        </is>
      </c>
      <c r="C132" s="5" t="inlineStr">
        <is>
          <t>Added since the report</t>
        </is>
      </c>
    </row>
    <row r="133" ht="14" customHeight="1">
      <c r="A133" s="53" t="n">
        <v>2005</v>
      </c>
      <c r="B133" s="17" t="n">
        <v>127.8</v>
      </c>
      <c r="C133" s="17" t="n"/>
    </row>
    <row r="134" ht="14" customHeight="1">
      <c r="A134" s="54" t="n">
        <v>2006</v>
      </c>
      <c r="B134" s="24" t="n">
        <v>121.8</v>
      </c>
      <c r="C134" s="24" t="n"/>
    </row>
    <row r="135" ht="14" customHeight="1">
      <c r="A135" s="53" t="n">
        <v>2007</v>
      </c>
      <c r="B135" s="17" t="n">
        <v>131.9</v>
      </c>
      <c r="C135" s="17" t="n"/>
    </row>
    <row r="136" ht="14" customHeight="1">
      <c r="A136" s="54" t="n">
        <v>2008</v>
      </c>
      <c r="B136" s="24" t="n">
        <v>130.7</v>
      </c>
      <c r="C136" s="24" t="n"/>
    </row>
    <row r="137" ht="14" customHeight="1">
      <c r="A137" s="53" t="n">
        <v>2009</v>
      </c>
      <c r="B137" s="17" t="n">
        <v>130.9</v>
      </c>
      <c r="C137" s="17" t="n"/>
    </row>
    <row r="138" ht="14" customHeight="1">
      <c r="A138" s="54" t="n">
        <v>2010</v>
      </c>
      <c r="B138" s="24" t="n">
        <v>117.8</v>
      </c>
      <c r="C138" s="24" t="n"/>
    </row>
    <row r="139" ht="14" customHeight="1">
      <c r="A139" s="53" t="n">
        <v>2011</v>
      </c>
      <c r="B139" s="17" t="n">
        <v>115.9</v>
      </c>
      <c r="C139" s="17" t="n"/>
    </row>
    <row r="140" ht="14" customHeight="1">
      <c r="A140" s="54" t="n">
        <v>2012</v>
      </c>
      <c r="B140" s="24" t="n">
        <v>114.6</v>
      </c>
      <c r="C140" s="24" t="n"/>
    </row>
    <row r="141" ht="14" customHeight="1">
      <c r="A141" s="53" t="n">
        <v>2013</v>
      </c>
      <c r="B141" s="17" t="n">
        <v>128</v>
      </c>
      <c r="C141" s="17" t="n"/>
    </row>
    <row r="142" ht="14" customHeight="1">
      <c r="A142" s="54" t="n">
        <v>2014</v>
      </c>
      <c r="B142" s="24" t="n">
        <v>108.2</v>
      </c>
      <c r="C142" s="24" t="n"/>
    </row>
    <row r="143" ht="14" customHeight="1">
      <c r="A143" s="53" t="n">
        <v>2015</v>
      </c>
      <c r="B143" s="17" t="n">
        <v>103.1</v>
      </c>
      <c r="C143" s="17" t="n"/>
    </row>
    <row r="144" ht="14" customHeight="1">
      <c r="A144" s="54" t="n">
        <v>2016</v>
      </c>
      <c r="B144" s="24" t="n">
        <v>100.4</v>
      </c>
      <c r="C144" s="24" t="n"/>
    </row>
    <row r="145" ht="14" customHeight="1">
      <c r="A145" s="53" t="n">
        <v>2017</v>
      </c>
      <c r="B145" s="17" t="n">
        <v>103.3</v>
      </c>
      <c r="C145" s="17" t="n"/>
    </row>
    <row r="146" ht="14" customHeight="1">
      <c r="A146" s="54" t="n">
        <v>2018</v>
      </c>
      <c r="B146" s="24" t="n">
        <v>94</v>
      </c>
      <c r="C146" s="24" t="n"/>
    </row>
    <row r="147" ht="14" customHeight="1">
      <c r="A147" s="53" t="n">
        <v>2019</v>
      </c>
      <c r="B147" s="17" t="n">
        <v>89.44</v>
      </c>
      <c r="C147" s="17" t="n"/>
    </row>
    <row r="148" ht="14" customHeight="1">
      <c r="A148" s="54" t="n">
        <v>2020</v>
      </c>
      <c r="B148" s="24" t="n">
        <v>91.20999999999999</v>
      </c>
      <c r="C148" s="24" t="n"/>
    </row>
    <row r="149" ht="14" customHeight="1">
      <c r="A149" s="53" t="n">
        <v>2021</v>
      </c>
      <c r="B149" s="17" t="n">
        <v>97.44</v>
      </c>
      <c r="C149" s="17" t="n">
        <v>97.44</v>
      </c>
    </row>
    <row r="150" ht="14" customHeight="1">
      <c r="A150" s="54" t="n">
        <v>2022</v>
      </c>
      <c r="B150" s="24" t="n"/>
      <c r="C150" s="24" t="n">
        <v>121</v>
      </c>
    </row>
    <row r="151" ht="14" customHeight="1">
      <c r="A151" s="53" t="n">
        <v>2023</v>
      </c>
      <c r="B151" s="17" t="n"/>
      <c r="C151" s="17" t="n">
        <v>135.6</v>
      </c>
    </row>
    <row r="152" ht="14" customHeight="1">
      <c r="A152" s="54" t="n">
        <v>2024</v>
      </c>
      <c r="B152" s="24" t="n"/>
      <c r="C152" s="24" t="n">
        <v>123</v>
      </c>
    </row>
    <row r="154">
      <c r="A154" s="61" t="inlineStr">
        <is>
          <t>L8 · Total bioenergy use (EU-27)  (TWh)</t>
        </is>
      </c>
    </row>
    <row r="155">
      <c r="A155" s="3" t="inlineStr">
        <is>
          <t>Source: Eurostat (nrg_bal_s) — https://doi.org/10.2908/NRG_BAL_S</t>
        </is>
      </c>
    </row>
    <row r="156" ht="28" customHeight="1">
      <c r="A156" s="5" t="inlineStr">
        <is>
          <t>Year</t>
        </is>
      </c>
      <c r="B156" s="5" t="inlineStr">
        <is>
          <t>In the 2024 report</t>
        </is>
      </c>
      <c r="C156" s="5" t="inlineStr">
        <is>
          <t>Added since the report</t>
        </is>
      </c>
    </row>
    <row r="157" ht="14" customHeight="1">
      <c r="A157" s="53" t="n">
        <v>2005</v>
      </c>
      <c r="B157" s="17" t="n">
        <v>896.4</v>
      </c>
      <c r="C157" s="17" t="n"/>
    </row>
    <row r="158" ht="14" customHeight="1">
      <c r="A158" s="54" t="n">
        <v>2006</v>
      </c>
      <c r="B158" s="24" t="n">
        <v>972.1</v>
      </c>
      <c r="C158" s="24" t="n"/>
    </row>
    <row r="159" ht="14" customHeight="1">
      <c r="A159" s="53" t="n">
        <v>2007</v>
      </c>
      <c r="B159" s="17" t="n">
        <v>1075.9</v>
      </c>
      <c r="C159" s="17" t="n"/>
    </row>
    <row r="160" ht="14" customHeight="1">
      <c r="A160" s="54" t="n">
        <v>2008</v>
      </c>
      <c r="B160" s="24" t="n">
        <v>1192.6</v>
      </c>
      <c r="C160" s="24" t="n"/>
    </row>
    <row r="161" ht="14" customHeight="1">
      <c r="A161" s="53" t="n">
        <v>2009</v>
      </c>
      <c r="B161" s="17" t="n">
        <v>1270.3</v>
      </c>
      <c r="C161" s="17" t="n"/>
    </row>
    <row r="162" ht="14" customHeight="1">
      <c r="A162" s="54" t="n">
        <v>2010</v>
      </c>
      <c r="B162" s="24" t="n">
        <v>1406.2</v>
      </c>
      <c r="C162" s="24" t="n"/>
    </row>
    <row r="163" ht="14" customHeight="1">
      <c r="A163" s="53" t="n">
        <v>2011</v>
      </c>
      <c r="B163" s="17" t="n">
        <v>1374</v>
      </c>
      <c r="C163" s="17" t="n"/>
    </row>
    <row r="164" ht="14" customHeight="1">
      <c r="A164" s="54" t="n">
        <v>2012</v>
      </c>
      <c r="B164" s="24" t="n">
        <v>1504.2</v>
      </c>
      <c r="C164" s="24" t="n"/>
    </row>
    <row r="165" ht="14" customHeight="1">
      <c r="A165" s="53" t="n">
        <v>2013</v>
      </c>
      <c r="B165" s="17" t="n">
        <v>1505.7</v>
      </c>
      <c r="C165" s="17" t="n"/>
    </row>
    <row r="166" ht="14" customHeight="1">
      <c r="A166" s="54" t="n">
        <v>2014</v>
      </c>
      <c r="B166" s="24" t="n">
        <v>1474.3</v>
      </c>
      <c r="C166" s="24" t="n"/>
    </row>
    <row r="167" ht="14" customHeight="1">
      <c r="A167" s="53" t="n">
        <v>2015</v>
      </c>
      <c r="B167" s="17" t="n">
        <v>1515.4</v>
      </c>
      <c r="C167" s="17" t="n"/>
    </row>
    <row r="168" ht="14" customHeight="1">
      <c r="A168" s="54" t="n">
        <v>2016</v>
      </c>
      <c r="B168" s="24" t="n">
        <v>1524.4</v>
      </c>
      <c r="C168" s="24" t="n"/>
    </row>
    <row r="169" ht="14" customHeight="1">
      <c r="A169" s="53" t="n">
        <v>2017</v>
      </c>
      <c r="B169" s="17" t="n">
        <v>1570.7</v>
      </c>
      <c r="C169" s="17" t="n"/>
    </row>
    <row r="170" ht="14" customHeight="1">
      <c r="A170" s="54" t="n">
        <v>2018</v>
      </c>
      <c r="B170" s="24" t="n">
        <v>1642.1</v>
      </c>
      <c r="C170" s="24" t="n"/>
    </row>
    <row r="171" ht="14" customHeight="1">
      <c r="A171" s="53" t="n">
        <v>2019</v>
      </c>
      <c r="B171" s="17" t="n">
        <v>1679</v>
      </c>
      <c r="C171" s="17" t="n"/>
    </row>
    <row r="172" ht="14" customHeight="1">
      <c r="A172" s="54" t="n">
        <v>2020</v>
      </c>
      <c r="B172" s="24" t="n">
        <v>1684.1</v>
      </c>
      <c r="C172" s="24" t="n"/>
    </row>
    <row r="173" ht="14" customHeight="1">
      <c r="A173" s="53" t="n">
        <v>2021</v>
      </c>
      <c r="B173" s="17" t="n">
        <v>1795.7</v>
      </c>
      <c r="C173" s="17" t="n">
        <v>1795.7</v>
      </c>
    </row>
    <row r="174" ht="14" customHeight="1">
      <c r="A174" s="54" t="n">
        <v>2022</v>
      </c>
      <c r="B174" s="24" t="n"/>
      <c r="C174" s="24" t="n">
        <v>1811.9</v>
      </c>
    </row>
    <row r="175" ht="14" customHeight="1">
      <c r="A175" s="53" t="n">
        <v>2023</v>
      </c>
      <c r="B175" s="17" t="n"/>
      <c r="C175" s="17" t="n">
        <v>1766.3</v>
      </c>
    </row>
    <row r="176" ht="14" customHeight="1">
      <c r="A176" s="54" t="n">
        <v>2024</v>
      </c>
      <c r="B176" s="24" t="n"/>
      <c r="C176" s="24" t="n">
        <v>1761.2</v>
      </c>
    </row>
    <row r="178">
      <c r="A178" s="61" t="inlineStr">
        <is>
          <t>L2 (cropland) · Cropland surface area (EU)  (million ha)</t>
        </is>
      </c>
    </row>
    <row r="179">
      <c r="A179" s="3" t="inlineStr">
        <is>
          <t>Source: EU GHG inventory (CRF tables) — https://www.eea.europa.eu/en/datahub/datahubitem-view/3b7fe76c-524a-439a-bfd2-a6e4046302a2</t>
        </is>
      </c>
    </row>
    <row r="180" ht="28" customHeight="1">
      <c r="A180" s="5" t="inlineStr">
        <is>
          <t>Year</t>
        </is>
      </c>
      <c r="B180" s="5" t="inlineStr">
        <is>
          <t>In the 2024 report</t>
        </is>
      </c>
      <c r="C180" s="5" t="inlineStr">
        <is>
          <t>Added since the report</t>
        </is>
      </c>
    </row>
    <row r="181" ht="14" customHeight="1">
      <c r="A181" s="53" t="n">
        <v>2005</v>
      </c>
      <c r="B181" s="17" t="n">
        <v>127.5</v>
      </c>
      <c r="C181" s="17" t="n"/>
    </row>
    <row r="182" ht="14" customHeight="1">
      <c r="A182" s="54" t="n">
        <v>2006</v>
      </c>
      <c r="B182" s="24" t="n">
        <v>126.5</v>
      </c>
      <c r="C182" s="24" t="n"/>
    </row>
    <row r="183" ht="14" customHeight="1">
      <c r="A183" s="53" t="n">
        <v>2007</v>
      </c>
      <c r="B183" s="17" t="n">
        <v>126</v>
      </c>
      <c r="C183" s="17" t="n"/>
    </row>
    <row r="184" ht="14" customHeight="1">
      <c r="A184" s="54" t="n">
        <v>2008</v>
      </c>
      <c r="B184" s="24" t="n">
        <v>125.7</v>
      </c>
      <c r="C184" s="24" t="n"/>
    </row>
    <row r="185" ht="14" customHeight="1">
      <c r="A185" s="53" t="n">
        <v>2009</v>
      </c>
      <c r="B185" s="17" t="n">
        <v>125.2</v>
      </c>
      <c r="C185" s="17" t="n"/>
    </row>
    <row r="186" ht="14" customHeight="1">
      <c r="A186" s="54" t="n">
        <v>2010</v>
      </c>
      <c r="B186" s="24" t="n">
        <v>124.6</v>
      </c>
      <c r="C186" s="24" t="n"/>
    </row>
    <row r="187" ht="14" customHeight="1">
      <c r="A187" s="53" t="n">
        <v>2011</v>
      </c>
      <c r="B187" s="17" t="n">
        <v>124.2</v>
      </c>
      <c r="C187" s="17" t="n"/>
    </row>
    <row r="188" ht="14" customHeight="1">
      <c r="A188" s="54" t="n">
        <v>2012</v>
      </c>
      <c r="B188" s="24" t="n">
        <v>123.9</v>
      </c>
      <c r="C188" s="24" t="n"/>
    </row>
    <row r="189" ht="14" customHeight="1">
      <c r="A189" s="53" t="n">
        <v>2013</v>
      </c>
      <c r="B189" s="17" t="n">
        <v>123.7</v>
      </c>
      <c r="C189" s="17" t="n"/>
    </row>
    <row r="190" ht="14" customHeight="1">
      <c r="A190" s="54" t="n">
        <v>2014</v>
      </c>
      <c r="B190" s="24" t="n">
        <v>123.3</v>
      </c>
      <c r="C190" s="24" t="n"/>
    </row>
    <row r="191" ht="14" customHeight="1">
      <c r="A191" s="53" t="n">
        <v>2015</v>
      </c>
      <c r="B191" s="17" t="n">
        <v>123.1</v>
      </c>
      <c r="C191" s="17" t="n"/>
    </row>
    <row r="192" ht="14" customHeight="1">
      <c r="A192" s="54" t="n">
        <v>2016</v>
      </c>
      <c r="B192" s="24" t="n">
        <v>122.7</v>
      </c>
      <c r="C192" s="24" t="n"/>
    </row>
    <row r="193" ht="14" customHeight="1">
      <c r="A193" s="53" t="n">
        <v>2017</v>
      </c>
      <c r="B193" s="17" t="n">
        <v>122.5</v>
      </c>
      <c r="C193" s="17" t="n"/>
    </row>
    <row r="194" ht="14" customHeight="1">
      <c r="A194" s="54" t="n">
        <v>2018</v>
      </c>
      <c r="B194" s="24" t="n">
        <v>121.7</v>
      </c>
      <c r="C194" s="24" t="n"/>
    </row>
    <row r="195" ht="14" customHeight="1">
      <c r="A195" s="53" t="n">
        <v>2019</v>
      </c>
      <c r="B195" s="17" t="n">
        <v>121.3</v>
      </c>
      <c r="C195" s="17" t="n"/>
    </row>
    <row r="196" ht="14" customHeight="1">
      <c r="A196" s="54" t="n">
        <v>2020</v>
      </c>
      <c r="B196" s="24" t="n">
        <v>121.3</v>
      </c>
      <c r="C196" s="24" t="n"/>
    </row>
    <row r="197" ht="14" customHeight="1">
      <c r="A197" s="53" t="n">
        <v>2021</v>
      </c>
      <c r="B197" s="17" t="n">
        <v>120.9</v>
      </c>
      <c r="C197" s="17" t="n"/>
    </row>
    <row r="199">
      <c r="A199" s="61" t="inlineStr">
        <is>
          <t>L2 (grassland) · Grassland surface area (EU)  (million ha)</t>
        </is>
      </c>
    </row>
    <row r="200">
      <c r="A200" s="3" t="inlineStr">
        <is>
          <t>Source: EU GHG inventory (CRF tables) — https://www.eea.europa.eu/en/datahub/datahubitem-view/3b7fe76c-524a-439a-bfd2-a6e4046302a2</t>
        </is>
      </c>
    </row>
    <row r="201" ht="28" customHeight="1">
      <c r="A201" s="5" t="inlineStr">
        <is>
          <t>Year</t>
        </is>
      </c>
      <c r="B201" s="5" t="inlineStr">
        <is>
          <t>In the 2024 report</t>
        </is>
      </c>
      <c r="C201" s="5" t="inlineStr">
        <is>
          <t>Added since the report</t>
        </is>
      </c>
    </row>
    <row r="202" ht="14" customHeight="1">
      <c r="A202" s="53" t="n">
        <v>2005</v>
      </c>
      <c r="B202" s="17" t="n">
        <v>73.53</v>
      </c>
      <c r="C202" s="17" t="n"/>
    </row>
    <row r="203" ht="14" customHeight="1">
      <c r="A203" s="54" t="n">
        <v>2006</v>
      </c>
      <c r="B203" s="24" t="n">
        <v>73.41</v>
      </c>
      <c r="C203" s="24" t="n"/>
    </row>
    <row r="204" ht="14" customHeight="1">
      <c r="A204" s="53" t="n">
        <v>2007</v>
      </c>
      <c r="B204" s="17" t="n">
        <v>73.38</v>
      </c>
      <c r="C204" s="17" t="n"/>
    </row>
    <row r="205" ht="14" customHeight="1">
      <c r="A205" s="54" t="n">
        <v>2008</v>
      </c>
      <c r="B205" s="24" t="n">
        <v>73.29000000000001</v>
      </c>
      <c r="C205" s="24" t="n"/>
    </row>
    <row r="206" ht="14" customHeight="1">
      <c r="A206" s="53" t="n">
        <v>2009</v>
      </c>
      <c r="B206" s="17" t="n">
        <v>73.22</v>
      </c>
      <c r="C206" s="17" t="n"/>
    </row>
    <row r="207" ht="14" customHeight="1">
      <c r="A207" s="54" t="n">
        <v>2010</v>
      </c>
      <c r="B207" s="24" t="n">
        <v>73.44</v>
      </c>
      <c r="C207" s="24" t="n"/>
    </row>
    <row r="208" ht="14" customHeight="1">
      <c r="A208" s="53" t="n">
        <v>2011</v>
      </c>
      <c r="B208" s="17" t="n">
        <v>73.38</v>
      </c>
      <c r="C208" s="17" t="n"/>
    </row>
    <row r="209" ht="14" customHeight="1">
      <c r="A209" s="54" t="n">
        <v>2012</v>
      </c>
      <c r="B209" s="24" t="n">
        <v>73.26000000000001</v>
      </c>
      <c r="C209" s="24" t="n"/>
    </row>
    <row r="210" ht="14" customHeight="1">
      <c r="A210" s="53" t="n">
        <v>2013</v>
      </c>
      <c r="B210" s="17" t="n">
        <v>73.16</v>
      </c>
      <c r="C210" s="17" t="n"/>
    </row>
    <row r="211" ht="14" customHeight="1">
      <c r="A211" s="54" t="n">
        <v>2014</v>
      </c>
      <c r="B211" s="24" t="n">
        <v>73.17</v>
      </c>
      <c r="C211" s="24" t="n"/>
    </row>
    <row r="212" ht="14" customHeight="1">
      <c r="A212" s="53" t="n">
        <v>2015</v>
      </c>
      <c r="B212" s="17" t="n">
        <v>73.12</v>
      </c>
      <c r="C212" s="17" t="n"/>
    </row>
    <row r="213" ht="14" customHeight="1">
      <c r="A213" s="54" t="n">
        <v>2016</v>
      </c>
      <c r="B213" s="24" t="n">
        <v>73.09999999999999</v>
      </c>
      <c r="C213" s="24" t="n"/>
    </row>
    <row r="214" ht="14" customHeight="1">
      <c r="A214" s="53" t="n">
        <v>2017</v>
      </c>
      <c r="B214" s="17" t="n">
        <v>73.03</v>
      </c>
      <c r="C214" s="17" t="n"/>
    </row>
    <row r="215" ht="14" customHeight="1">
      <c r="A215" s="54" t="n">
        <v>2018</v>
      </c>
      <c r="B215" s="24" t="n">
        <v>73.42</v>
      </c>
      <c r="C215" s="24" t="n"/>
    </row>
    <row r="216" ht="14" customHeight="1">
      <c r="A216" s="53" t="n">
        <v>2019</v>
      </c>
      <c r="B216" s="17" t="n">
        <v>73.45999999999999</v>
      </c>
      <c r="C216" s="17" t="n"/>
    </row>
    <row r="217" ht="14" customHeight="1">
      <c r="A217" s="54" t="n">
        <v>2020</v>
      </c>
      <c r="B217" s="24" t="n">
        <v>73.17</v>
      </c>
      <c r="C217" s="24" t="n"/>
    </row>
    <row r="218" ht="14" customHeight="1">
      <c r="A218" s="53" t="n">
        <v>2021</v>
      </c>
      <c r="B218" s="17" t="n">
        <v>73.2</v>
      </c>
      <c r="C218" s="17" t="n"/>
    </row>
    <row r="220">
      <c r="A220" s="61" t="inlineStr">
        <is>
          <t>L2 (wetland) · Wetland surface area (EU)  (million ha)</t>
        </is>
      </c>
    </row>
    <row r="221">
      <c r="A221" s="3" t="inlineStr">
        <is>
          <t>Source: EU GHG inventory (CRF tables) — https://www.eea.europa.eu/en/datahub/datahubitem-view/3b7fe76c-524a-439a-bfd2-a6e4046302a2</t>
        </is>
      </c>
    </row>
    <row r="222" ht="28" customHeight="1">
      <c r="A222" s="5" t="inlineStr">
        <is>
          <t>Year</t>
        </is>
      </c>
      <c r="B222" s="5" t="inlineStr">
        <is>
          <t>In the 2024 report</t>
        </is>
      </c>
      <c r="C222" s="5" t="inlineStr">
        <is>
          <t>Added since the report</t>
        </is>
      </c>
    </row>
    <row r="223" ht="14" customHeight="1">
      <c r="A223" s="53" t="n">
        <v>2005</v>
      </c>
      <c r="B223" s="17" t="n">
        <v>23.62</v>
      </c>
      <c r="C223" s="17" t="n"/>
    </row>
    <row r="224" ht="14" customHeight="1">
      <c r="A224" s="54" t="n">
        <v>2006</v>
      </c>
      <c r="B224" s="24" t="n">
        <v>23.64</v>
      </c>
      <c r="C224" s="24" t="n"/>
    </row>
    <row r="225" ht="14" customHeight="1">
      <c r="A225" s="53" t="n">
        <v>2007</v>
      </c>
      <c r="B225" s="17" t="n">
        <v>23.65</v>
      </c>
      <c r="C225" s="17" t="n"/>
    </row>
    <row r="226" ht="14" customHeight="1">
      <c r="A226" s="54" t="n">
        <v>2008</v>
      </c>
      <c r="B226" s="24" t="n">
        <v>23.66</v>
      </c>
      <c r="C226" s="24" t="n"/>
    </row>
    <row r="227" ht="14" customHeight="1">
      <c r="A227" s="53" t="n">
        <v>2009</v>
      </c>
      <c r="B227" s="17" t="n">
        <v>23.75</v>
      </c>
      <c r="C227" s="17" t="n"/>
    </row>
    <row r="228" ht="14" customHeight="1">
      <c r="A228" s="54" t="n">
        <v>2010</v>
      </c>
      <c r="B228" s="24" t="n">
        <v>23.79</v>
      </c>
      <c r="C228" s="24" t="n"/>
    </row>
    <row r="229" ht="14" customHeight="1">
      <c r="A229" s="53" t="n">
        <v>2011</v>
      </c>
      <c r="B229" s="17" t="n">
        <v>23.81</v>
      </c>
      <c r="C229" s="17" t="n"/>
    </row>
    <row r="230" ht="14" customHeight="1">
      <c r="A230" s="54" t="n">
        <v>2012</v>
      </c>
      <c r="B230" s="24" t="n">
        <v>23.83</v>
      </c>
      <c r="C230" s="24" t="n"/>
    </row>
    <row r="231" ht="14" customHeight="1">
      <c r="A231" s="53" t="n">
        <v>2013</v>
      </c>
      <c r="B231" s="17" t="n">
        <v>23.82</v>
      </c>
      <c r="C231" s="17" t="n"/>
    </row>
    <row r="232" ht="14" customHeight="1">
      <c r="A232" s="54" t="n">
        <v>2014</v>
      </c>
      <c r="B232" s="24" t="n">
        <v>23.84</v>
      </c>
      <c r="C232" s="24" t="n"/>
    </row>
    <row r="233" ht="14" customHeight="1">
      <c r="A233" s="53" t="n">
        <v>2015</v>
      </c>
      <c r="B233" s="17" t="n">
        <v>23.85</v>
      </c>
      <c r="C233" s="17" t="n"/>
    </row>
    <row r="234" ht="14" customHeight="1">
      <c r="A234" s="54" t="n">
        <v>2016</v>
      </c>
      <c r="B234" s="24" t="n">
        <v>23.86</v>
      </c>
      <c r="C234" s="24" t="n"/>
    </row>
    <row r="235" ht="14" customHeight="1">
      <c r="A235" s="53" t="n">
        <v>2017</v>
      </c>
      <c r="B235" s="17" t="n">
        <v>23.87</v>
      </c>
      <c r="C235" s="17" t="n"/>
    </row>
    <row r="236" ht="14" customHeight="1">
      <c r="A236" s="54" t="n">
        <v>2018</v>
      </c>
      <c r="B236" s="24" t="n">
        <v>23.87</v>
      </c>
      <c r="C236" s="24" t="n"/>
    </row>
    <row r="237" ht="14" customHeight="1">
      <c r="A237" s="53" t="n">
        <v>2019</v>
      </c>
      <c r="B237" s="17" t="n">
        <v>23.87</v>
      </c>
      <c r="C237" s="17" t="n"/>
    </row>
    <row r="238" ht="14" customHeight="1">
      <c r="A238" s="54" t="n">
        <v>2020</v>
      </c>
      <c r="B238" s="24" t="n">
        <v>23.88</v>
      </c>
      <c r="C238" s="24" t="n"/>
    </row>
    <row r="239" ht="14" customHeight="1">
      <c r="A239" s="53" t="n">
        <v>2021</v>
      </c>
      <c r="B239" s="17" t="n">
        <v>23.87</v>
      </c>
      <c r="C239" s="17" t="n"/>
    </row>
    <row r="241">
      <c r="A241" s="61" t="inlineStr">
        <is>
          <t>L2 (settlements) · Settlements surface area (EU)  (million ha)</t>
        </is>
      </c>
    </row>
    <row r="242">
      <c r="A242" s="3" t="inlineStr">
        <is>
          <t>Source: EU GHG inventory (CRF tables) — https://www.eea.europa.eu/en/datahub/datahubitem-view/3b7fe76c-524a-439a-bfd2-a6e4046302a2</t>
        </is>
      </c>
    </row>
    <row r="243" ht="28" customHeight="1">
      <c r="A243" s="5" t="inlineStr">
        <is>
          <t>Year</t>
        </is>
      </c>
      <c r="B243" s="5" t="inlineStr">
        <is>
          <t>In the 2024 report</t>
        </is>
      </c>
      <c r="C243" s="5" t="inlineStr">
        <is>
          <t>Added since the report</t>
        </is>
      </c>
    </row>
    <row r="244" ht="14" customHeight="1">
      <c r="A244" s="53" t="n">
        <v>2005</v>
      </c>
      <c r="B244" s="17" t="n">
        <v>24.88</v>
      </c>
      <c r="C244" s="17" t="n"/>
    </row>
    <row r="245" ht="14" customHeight="1">
      <c r="A245" s="54" t="n">
        <v>2006</v>
      </c>
      <c r="B245" s="24" t="n">
        <v>25.28</v>
      </c>
      <c r="C245" s="24" t="n"/>
    </row>
    <row r="246" ht="14" customHeight="1">
      <c r="A246" s="53" t="n">
        <v>2007</v>
      </c>
      <c r="B246" s="17" t="n">
        <v>25.51</v>
      </c>
      <c r="C246" s="17" t="n"/>
    </row>
    <row r="247" ht="14" customHeight="1">
      <c r="A247" s="54" t="n">
        <v>2008</v>
      </c>
      <c r="B247" s="24" t="n">
        <v>25.74</v>
      </c>
      <c r="C247" s="24" t="n"/>
    </row>
    <row r="248" ht="14" customHeight="1">
      <c r="A248" s="53" t="n">
        <v>2009</v>
      </c>
      <c r="B248" s="17" t="n">
        <v>25.97</v>
      </c>
      <c r="C248" s="17" t="n"/>
    </row>
    <row r="249" ht="14" customHeight="1">
      <c r="A249" s="54" t="n">
        <v>2010</v>
      </c>
      <c r="B249" s="24" t="n">
        <v>26.21</v>
      </c>
      <c r="C249" s="24" t="n"/>
    </row>
    <row r="250" ht="14" customHeight="1">
      <c r="A250" s="53" t="n">
        <v>2011</v>
      </c>
      <c r="B250" s="17" t="n">
        <v>26.43</v>
      </c>
      <c r="C250" s="17" t="n"/>
    </row>
    <row r="251" ht="14" customHeight="1">
      <c r="A251" s="54" t="n">
        <v>2012</v>
      </c>
      <c r="B251" s="24" t="n">
        <v>26.67</v>
      </c>
      <c r="C251" s="24" t="n"/>
    </row>
    <row r="252" ht="14" customHeight="1">
      <c r="A252" s="53" t="n">
        <v>2013</v>
      </c>
      <c r="B252" s="17" t="n">
        <v>26.82</v>
      </c>
      <c r="C252" s="17" t="n"/>
    </row>
    <row r="253" ht="14" customHeight="1">
      <c r="A253" s="54" t="n">
        <v>2014</v>
      </c>
      <c r="B253" s="24" t="n">
        <v>27.09</v>
      </c>
      <c r="C253" s="24" t="n"/>
    </row>
    <row r="254" ht="14" customHeight="1">
      <c r="A254" s="53" t="n">
        <v>2015</v>
      </c>
      <c r="B254" s="17" t="n">
        <v>27.21</v>
      </c>
      <c r="C254" s="17" t="n"/>
    </row>
    <row r="255" ht="14" customHeight="1">
      <c r="A255" s="54" t="n">
        <v>2016</v>
      </c>
      <c r="B255" s="24" t="n">
        <v>27.39</v>
      </c>
      <c r="C255" s="24" t="n"/>
    </row>
    <row r="256" ht="14" customHeight="1">
      <c r="A256" s="53" t="n">
        <v>2017</v>
      </c>
      <c r="B256" s="17" t="n">
        <v>27.53</v>
      </c>
      <c r="C256" s="17" t="n"/>
    </row>
    <row r="257" ht="14" customHeight="1">
      <c r="A257" s="54" t="n">
        <v>2018</v>
      </c>
      <c r="B257" s="24" t="n">
        <v>27.7</v>
      </c>
      <c r="C257" s="24" t="n"/>
    </row>
    <row r="258" ht="14" customHeight="1">
      <c r="A258" s="53" t="n">
        <v>2019</v>
      </c>
      <c r="B258" s="17" t="n">
        <v>27.85</v>
      </c>
      <c r="C258" s="17" t="n"/>
    </row>
    <row r="259" ht="14" customHeight="1">
      <c r="A259" s="54" t="n">
        <v>2020</v>
      </c>
      <c r="B259" s="24" t="n">
        <v>28.01</v>
      </c>
      <c r="C259" s="24" t="n"/>
    </row>
    <row r="260" ht="14" customHeight="1">
      <c r="A260" s="53" t="n">
        <v>2021</v>
      </c>
      <c r="B260" s="17" t="n">
        <v>28.15</v>
      </c>
      <c r="C260" s="17" t="n"/>
    </row>
    <row r="262">
      <c r="A262" s="61" t="inlineStr">
        <is>
          <t>L2 (forest) · Forest land surface area (EU)  (million ha)</t>
        </is>
      </c>
    </row>
    <row r="263">
      <c r="A263" s="3" t="inlineStr">
        <is>
          <t>Source: EU GHG inventory (CRF tables) — https://www.eea.europa.eu/en/datahub/datahubitem-view/3b7fe76c-524a-439a-bfd2-a6e4046302a2</t>
        </is>
      </c>
    </row>
    <row r="264" ht="28" customHeight="1">
      <c r="A264" s="5" t="inlineStr">
        <is>
          <t>Year</t>
        </is>
      </c>
      <c r="B264" s="5" t="inlineStr">
        <is>
          <t>In the 2024 report</t>
        </is>
      </c>
      <c r="C264" s="5" t="inlineStr">
        <is>
          <t>Added since the report</t>
        </is>
      </c>
    </row>
    <row r="265" ht="14" customHeight="1">
      <c r="A265" s="53" t="n">
        <v>2005</v>
      </c>
      <c r="B265" s="17" t="n">
        <v>164.3</v>
      </c>
      <c r="C265" s="17" t="n"/>
    </row>
    <row r="266" ht="14" customHeight="1">
      <c r="A266" s="54" t="n">
        <v>2006</v>
      </c>
      <c r="B266" s="24" t="n">
        <v>164.9</v>
      </c>
      <c r="C266" s="24" t="n"/>
    </row>
    <row r="267" ht="14" customHeight="1">
      <c r="A267" s="53" t="n">
        <v>2007</v>
      </c>
      <c r="B267" s="17" t="n">
        <v>165.2</v>
      </c>
      <c r="C267" s="17" t="n"/>
    </row>
    <row r="268" ht="14" customHeight="1">
      <c r="A268" s="54" t="n">
        <v>2008</v>
      </c>
      <c r="B268" s="24" t="n">
        <v>165.4</v>
      </c>
      <c r="C268" s="24" t="n"/>
    </row>
    <row r="269" ht="14" customHeight="1">
      <c r="A269" s="53" t="n">
        <v>2009</v>
      </c>
      <c r="B269" s="17" t="n">
        <v>165.6</v>
      </c>
      <c r="C269" s="17" t="n"/>
    </row>
    <row r="270" ht="14" customHeight="1">
      <c r="A270" s="54" t="n">
        <v>2010</v>
      </c>
      <c r="B270" s="24" t="n">
        <v>165.8</v>
      </c>
      <c r="C270" s="24" t="n"/>
    </row>
    <row r="271" ht="14" customHeight="1">
      <c r="A271" s="53" t="n">
        <v>2011</v>
      </c>
      <c r="B271" s="17" t="n">
        <v>166</v>
      </c>
      <c r="C271" s="17" t="n"/>
    </row>
    <row r="272" ht="14" customHeight="1">
      <c r="A272" s="54" t="n">
        <v>2012</v>
      </c>
      <c r="B272" s="24" t="n">
        <v>166.1</v>
      </c>
      <c r="C272" s="24" t="n"/>
    </row>
    <row r="273" ht="14" customHeight="1">
      <c r="A273" s="53" t="n">
        <v>2013</v>
      </c>
      <c r="B273" s="17" t="n">
        <v>166.3</v>
      </c>
      <c r="C273" s="17" t="n"/>
    </row>
    <row r="274" ht="14" customHeight="1">
      <c r="A274" s="54" t="n">
        <v>2014</v>
      </c>
      <c r="B274" s="24" t="n">
        <v>166.4</v>
      </c>
      <c r="C274" s="24" t="n"/>
    </row>
    <row r="275" ht="14" customHeight="1">
      <c r="A275" s="53" t="n">
        <v>2015</v>
      </c>
      <c r="B275" s="17" t="n">
        <v>166.6</v>
      </c>
      <c r="C275" s="17" t="n"/>
    </row>
    <row r="276" ht="14" customHeight="1">
      <c r="A276" s="54" t="n">
        <v>2016</v>
      </c>
      <c r="B276" s="24" t="n">
        <v>166.7</v>
      </c>
      <c r="C276" s="24" t="n"/>
    </row>
    <row r="277" ht="14" customHeight="1">
      <c r="A277" s="53" t="n">
        <v>2017</v>
      </c>
      <c r="B277" s="17" t="n">
        <v>167</v>
      </c>
      <c r="C277" s="17" t="n"/>
    </row>
    <row r="278" ht="14" customHeight="1">
      <c r="A278" s="54" t="n">
        <v>2018</v>
      </c>
      <c r="B278" s="24" t="n">
        <v>167.1</v>
      </c>
      <c r="C278" s="24" t="n"/>
    </row>
    <row r="279" ht="14" customHeight="1">
      <c r="A279" s="53" t="n">
        <v>2019</v>
      </c>
      <c r="B279" s="17" t="n">
        <v>167.3</v>
      </c>
      <c r="C279" s="17" t="n"/>
    </row>
    <row r="280" ht="14" customHeight="1">
      <c r="A280" s="54" t="n">
        <v>2020</v>
      </c>
      <c r="B280" s="24" t="n">
        <v>167.5</v>
      </c>
      <c r="C280" s="24" t="n"/>
    </row>
    <row r="281" ht="14" customHeight="1">
      <c r="A281" s="53" t="n">
        <v>2021</v>
      </c>
      <c r="B281" s="17" t="n">
        <v>167.7</v>
      </c>
      <c r="C281" s="17" t="n"/>
    </row>
    <row r="283">
      <c r="A283" s="61" t="inlineStr">
        <is>
          <t>L2 (other) · Other surface area (EU)  (million ha)</t>
        </is>
      </c>
    </row>
    <row r="284">
      <c r="A284" s="3" t="inlineStr">
        <is>
          <t>Source: EU GHG inventory (CRF tables) — https://www.eea.europa.eu/en/datahub/datahubitem-view/3b7fe76c-524a-439a-bfd2-a6e4046302a2</t>
        </is>
      </c>
    </row>
    <row r="285" ht="28" customHeight="1">
      <c r="A285" s="5" t="inlineStr">
        <is>
          <t>Year</t>
        </is>
      </c>
      <c r="B285" s="5" t="inlineStr">
        <is>
          <t>In the 2024 report</t>
        </is>
      </c>
      <c r="C285" s="5" t="inlineStr">
        <is>
          <t>Added since the report</t>
        </is>
      </c>
    </row>
    <row r="286" ht="14" customHeight="1">
      <c r="A286" s="53" t="n">
        <v>2005</v>
      </c>
      <c r="B286" s="17" t="n">
        <v>9.795</v>
      </c>
      <c r="C286" s="17" t="n"/>
    </row>
    <row r="287" ht="14" customHeight="1">
      <c r="A287" s="54" t="n">
        <v>2006</v>
      </c>
      <c r="B287" s="24" t="n">
        <v>9.795999999999999</v>
      </c>
      <c r="C287" s="24" t="n"/>
    </row>
    <row r="288" ht="14" customHeight="1">
      <c r="A288" s="53" t="n">
        <v>2007</v>
      </c>
      <c r="B288" s="17" t="n">
        <v>9.757</v>
      </c>
      <c r="C288" s="17" t="n"/>
    </row>
    <row r="289" ht="14" customHeight="1">
      <c r="A289" s="54" t="n">
        <v>2008</v>
      </c>
      <c r="B289" s="24" t="n">
        <v>9.746</v>
      </c>
      <c r="C289" s="24" t="n"/>
    </row>
    <row r="290" ht="14" customHeight="1">
      <c r="A290" s="53" t="n">
        <v>2009</v>
      </c>
      <c r="B290" s="17" t="n">
        <v>9.747</v>
      </c>
      <c r="C290" s="17" t="n"/>
    </row>
    <row r="291" ht="14" customHeight="1">
      <c r="A291" s="54" t="n">
        <v>2010</v>
      </c>
      <c r="B291" s="24" t="n">
        <v>9.743</v>
      </c>
      <c r="C291" s="24" t="n"/>
    </row>
    <row r="292" ht="14" customHeight="1">
      <c r="A292" s="53" t="n">
        <v>2011</v>
      </c>
      <c r="B292" s="17" t="n">
        <v>9.737</v>
      </c>
      <c r="C292" s="17" t="n"/>
    </row>
    <row r="293" ht="14" customHeight="1">
      <c r="A293" s="54" t="n">
        <v>2012</v>
      </c>
      <c r="B293" s="24" t="n">
        <v>9.733000000000001</v>
      </c>
      <c r="C293" s="24" t="n"/>
    </row>
    <row r="294" ht="14" customHeight="1">
      <c r="A294" s="53" t="n">
        <v>2013</v>
      </c>
      <c r="B294" s="17" t="n">
        <v>9.734999999999999</v>
      </c>
      <c r="C294" s="17" t="n"/>
    </row>
    <row r="295" ht="14" customHeight="1">
      <c r="A295" s="54" t="n">
        <v>2014</v>
      </c>
      <c r="B295" s="24" t="n">
        <v>9.741</v>
      </c>
      <c r="C295" s="24" t="n"/>
    </row>
    <row r="296" ht="14" customHeight="1">
      <c r="A296" s="53" t="n">
        <v>2015</v>
      </c>
      <c r="B296" s="17" t="n">
        <v>9.727</v>
      </c>
      <c r="C296" s="17" t="n"/>
    </row>
    <row r="297" ht="14" customHeight="1">
      <c r="A297" s="54" t="n">
        <v>2016</v>
      </c>
      <c r="B297" s="24" t="n">
        <v>9.709</v>
      </c>
      <c r="C297" s="24" t="n"/>
    </row>
    <row r="298" ht="14" customHeight="1">
      <c r="A298" s="53" t="n">
        <v>2017</v>
      </c>
      <c r="B298" s="17" t="n">
        <v>9.699</v>
      </c>
      <c r="C298" s="17" t="n"/>
    </row>
    <row r="299" ht="14" customHeight="1">
      <c r="A299" s="54" t="n">
        <v>2018</v>
      </c>
      <c r="B299" s="24" t="n">
        <v>9.692</v>
      </c>
      <c r="C299" s="24" t="n"/>
    </row>
    <row r="300" ht="14" customHeight="1">
      <c r="A300" s="53" t="n">
        <v>2019</v>
      </c>
      <c r="B300" s="17" t="n">
        <v>9.677</v>
      </c>
      <c r="C300" s="17" t="n"/>
    </row>
    <row r="301" ht="14" customHeight="1">
      <c r="A301" s="54" t="n">
        <v>2020</v>
      </c>
      <c r="B301" s="24" t="n">
        <v>9.664</v>
      </c>
      <c r="C301" s="24" t="n"/>
    </row>
    <row r="302" ht="14" customHeight="1">
      <c r="A302" s="53" t="n">
        <v>2021</v>
      </c>
      <c r="B302" s="17" t="n">
        <v>9.657999999999999</v>
      </c>
      <c r="C302" s="17" t="n"/>
    </row>
  </sheetData>
  <mergeCells count="28">
    <mergeCell ref="A263:D263"/>
    <mergeCell ref="A106:D106"/>
    <mergeCell ref="A131:D131"/>
    <mergeCell ref="A262:D262"/>
    <mergeCell ref="A20:D20"/>
    <mergeCell ref="A200:D200"/>
    <mergeCell ref="A199:D199"/>
    <mergeCell ref="A155:D155"/>
    <mergeCell ref="A1:K1"/>
    <mergeCell ref="A44:D44"/>
    <mergeCell ref="A220:D220"/>
    <mergeCell ref="A130:D130"/>
    <mergeCell ref="A107:D107"/>
    <mergeCell ref="A284:D284"/>
    <mergeCell ref="A178:D178"/>
    <mergeCell ref="A45:D45"/>
    <mergeCell ref="A241:D241"/>
    <mergeCell ref="A2:K2"/>
    <mergeCell ref="A87:D87"/>
    <mergeCell ref="A65:D65"/>
    <mergeCell ref="A283:D283"/>
    <mergeCell ref="A221:D221"/>
    <mergeCell ref="A66:D66"/>
    <mergeCell ref="A154:D154"/>
    <mergeCell ref="A21:D21"/>
    <mergeCell ref="A86:D86"/>
    <mergeCell ref="A179:D179"/>
    <mergeCell ref="A242:D242"/>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tabColor rgb="00A530B8"/>
    <outlinePr summaryBelow="1" summaryRight="1"/>
    <pageSetUpPr/>
  </sheetPr>
  <dimension ref="A1:K107"/>
  <sheetViews>
    <sheetView showGridLines="0" zoomScale="100" workbookViewId="0">
      <selection activeCell="A1" sqref="A1"/>
    </sheetView>
  </sheetViews>
  <sheetFormatPr baseColWidth="8" defaultRowHeight="15"/>
  <cols>
    <col width="11" customWidth="1" min="1" max="1"/>
    <col width="40" customWidth="1" min="2" max="2"/>
    <col width="13" customWidth="1" min="3" max="3"/>
    <col width="12" customWidth="1" min="4" max="4"/>
    <col width="11" customWidth="1" min="5" max="5"/>
    <col width="11" customWidth="1" min="6" max="6"/>
    <col width="11" customWidth="1" min="7" max="7"/>
    <col width="11" customWidth="1" min="8" max="8"/>
    <col width="26" customWidth="1" min="9" max="9"/>
    <col width="14" customWidth="1" min="10" max="10"/>
    <col width="14" customWidth="1" min="11" max="11"/>
  </cols>
  <sheetData>
    <row r="1" ht="26" customHeight="1">
      <c r="A1" s="1" t="inlineStr">
        <is>
          <t>Finance &amp; innovation — indicators</t>
        </is>
      </c>
    </row>
    <row r="2" ht="30" customHeight="1">
      <c r="A2" s="2" t="inlineStr">
        <is>
          <t>6 indicator(s). The table is the summary; below it, every indicator's full series with its own figure — the report's own points and the points added since publication as two lines.</t>
        </is>
      </c>
    </row>
    <row r="4" ht="30" customHeight="1">
      <c r="A4" s="5" t="inlineStr">
        <is>
          <t>Code</t>
        </is>
      </c>
      <c r="B4" s="5" t="inlineStr">
        <is>
          <t>Indicator</t>
        </is>
      </c>
      <c r="C4" s="5" t="inlineStr">
        <is>
          <t>Unit</t>
        </is>
      </c>
      <c r="D4" s="5" t="inlineStr">
        <is>
          <t>Baseline (yr)</t>
        </is>
      </c>
      <c r="E4" s="5" t="inlineStr">
        <is>
          <t>Baseline</t>
        </is>
      </c>
      <c r="F4" s="5" t="inlineStr">
        <is>
          <t>Latest (yr)</t>
        </is>
      </c>
      <c r="G4" s="5" t="inlineStr">
        <is>
          <t>Latest</t>
        </is>
      </c>
      <c r="H4" s="5" t="inlineStr">
        <is>
          <t>Change %</t>
        </is>
      </c>
      <c r="I4" s="5" t="inlineStr">
        <is>
          <t>Primary source</t>
        </is>
      </c>
      <c r="J4" s="5" t="inlineStr">
        <is>
          <t>New points</t>
        </is>
      </c>
      <c r="K4" s="5" t="inlineStr">
        <is>
          <t>Provenance</t>
        </is>
      </c>
    </row>
    <row r="5" ht="15" customHeight="1">
      <c r="A5" s="47" t="inlineStr">
        <is>
          <t>F1</t>
        </is>
      </c>
      <c r="B5" s="15" t="inlineStr">
        <is>
          <t>EU fossil-fuel subsidies (FFST)</t>
        </is>
      </c>
      <c r="C5" s="15" t="inlineStr">
        <is>
          <t>billion EUR</t>
        </is>
      </c>
      <c r="D5" s="16" t="n">
        <v>2022</v>
      </c>
      <c r="E5" s="17" t="n">
        <v>122</v>
      </c>
      <c r="F5" s="16" t="n">
        <v>2023</v>
      </c>
      <c r="G5" s="17" t="n">
        <v>111</v>
      </c>
      <c r="H5" s="18" t="n">
        <v>-0.09016393442622951</v>
      </c>
      <c r="I5" s="34" t="inlineStr">
        <is>
          <t>Fossil Fuel Subsidy Tracker; 2023: EC Report on Energy Subsidies in the EU (COM(2025)17)</t>
        </is>
      </c>
      <c r="J5" s="16" t="n">
        <v>1</v>
      </c>
      <c r="K5" s="34" t="inlineStr">
        <is>
          <t>Reconstructed from the sheet's own conversion</t>
        </is>
      </c>
    </row>
    <row r="6" ht="15" customHeight="1">
      <c r="A6" s="46" t="inlineStr">
        <is>
          <t>F2</t>
        </is>
      </c>
      <c r="B6" s="22" t="inlineStr">
        <is>
          <t>EU green bond issuance</t>
        </is>
      </c>
      <c r="C6" s="22" t="inlineStr">
        <is>
          <t>billion EUR</t>
        </is>
      </c>
      <c r="D6" s="23" t="n">
        <v>2022</v>
      </c>
      <c r="E6" s="24" t="n">
        <v>243</v>
      </c>
      <c r="F6" s="23" t="n">
        <v>2022</v>
      </c>
      <c r="G6" s="24" t="n">
        <v>243</v>
      </c>
      <c r="H6" s="25" t="n"/>
      <c r="I6" s="35" t="inlineStr">
        <is>
          <t>BloombergNEF</t>
        </is>
      </c>
      <c r="J6" s="23" t="n"/>
      <c r="K6" s="35" t="inlineStr">
        <is>
          <t>—</t>
        </is>
      </c>
    </row>
    <row r="7" ht="15" customHeight="1">
      <c r="A7" s="47" t="inlineStr">
        <is>
          <t>F2 (share)</t>
        </is>
      </c>
      <c r="B7" s="15" t="inlineStr">
        <is>
          <t>Green share of EU bond issuance</t>
        </is>
      </c>
      <c r="C7" s="15" t="inlineStr">
        <is>
          <t>%</t>
        </is>
      </c>
      <c r="D7" s="16" t="n">
        <v>2022</v>
      </c>
      <c r="E7" s="17" t="n">
        <v>6.74</v>
      </c>
      <c r="F7" s="16" t="n">
        <v>2024</v>
      </c>
      <c r="G7" s="17" t="n">
        <v>6.9</v>
      </c>
      <c r="H7" s="18" t="n">
        <v>0.02373887240356085</v>
      </c>
      <c r="I7" s="34" t="inlineStr">
        <is>
          <t>BloombergNEF (2012-2022); EEA "Green bonds in Europe", LSEG Data &amp; Analytics (2023+)</t>
        </is>
      </c>
      <c r="J7" s="16" t="n">
        <v>2</v>
      </c>
      <c r="K7" s="34" t="inlineStr">
        <is>
          <t>Reconstructed from the sheet's own conversion</t>
        </is>
      </c>
    </row>
    <row r="8" ht="15" customHeight="1">
      <c r="A8" s="46" t="inlineStr">
        <is>
          <t>F3</t>
        </is>
      </c>
      <c r="B8" s="22" t="inlineStr">
        <is>
          <t>EU R&amp;D expenditure (GERD)</t>
        </is>
      </c>
      <c r="C8" s="22" t="inlineStr">
        <is>
          <t>% of GDP</t>
        </is>
      </c>
      <c r="D8" s="23" t="n">
        <v>2022</v>
      </c>
      <c r="E8" s="24" t="n">
        <v>2.27</v>
      </c>
      <c r="F8" s="23" t="n">
        <v>2024</v>
      </c>
      <c r="G8" s="24" t="n">
        <v>2.24</v>
      </c>
      <c r="H8" s="25" t="n">
        <v>-0.01321585903083692</v>
      </c>
      <c r="I8" s="35" t="inlineStr">
        <is>
          <t>Eurostat (rd_e_gerdtot)</t>
        </is>
      </c>
      <c r="J8" s="23" t="n">
        <v>2</v>
      </c>
      <c r="K8" s="35" t="inlineStr">
        <is>
          <t>Derived from the live source</t>
        </is>
      </c>
    </row>
    <row r="9" ht="15" customHeight="1">
      <c r="A9" s="47" t="inlineStr">
        <is>
          <t>F4</t>
        </is>
      </c>
      <c r="B9" s="15" t="inlineStr">
        <is>
          <t>Climate-related share of EU patent filings</t>
        </is>
      </c>
      <c r="C9" s="15" t="inlineStr">
        <is>
          <t>%</t>
        </is>
      </c>
      <c r="D9" s="16" t="n">
        <v>2019</v>
      </c>
      <c r="E9" s="17" t="n">
        <v>11.94</v>
      </c>
      <c r="F9" s="16" t="n">
        <v>2019</v>
      </c>
      <c r="G9" s="17" t="n">
        <v>11.94</v>
      </c>
      <c r="H9" s="18" t="n"/>
      <c r="I9" s="34" t="inlineStr">
        <is>
          <t>OECD Green Growth Indicators</t>
        </is>
      </c>
      <c r="J9" s="16" t="n"/>
      <c r="K9" s="34" t="inlineStr">
        <is>
          <t>—</t>
        </is>
      </c>
    </row>
    <row r="10" ht="15" customHeight="1">
      <c r="A10" s="46" t="inlineStr">
        <is>
          <t>F5</t>
        </is>
      </c>
      <c r="B10" s="22" t="inlineStr">
        <is>
          <t>Cleantech venture &amp; growth investment in the EU</t>
        </is>
      </c>
      <c r="C10" s="22" t="inlineStr">
        <is>
          <t>% of GDP</t>
        </is>
      </c>
      <c r="D10" s="23" t="n">
        <v>2022</v>
      </c>
      <c r="E10" s="24" t="n">
        <v>0.06</v>
      </c>
      <c r="F10" s="23" t="n">
        <v>2025</v>
      </c>
      <c r="G10" s="24" t="n">
        <v>0.04</v>
      </c>
      <c r="H10" s="25" t="n">
        <v>-0.3333333333333333</v>
      </c>
      <c r="I10" s="35" t="inlineStr">
        <is>
          <t>Cleantech for Europe</t>
        </is>
      </c>
      <c r="J10" s="23" t="n">
        <v>3</v>
      </c>
      <c r="K10" s="35" t="inlineStr">
        <is>
          <t>Reconstructed from the sheet's own conversion</t>
        </is>
      </c>
    </row>
    <row r="13">
      <c r="A13" s="62" t="inlineStr">
        <is>
          <t>F1 · EU fossil-fuel subsidies (FFST)  (billion EUR)</t>
        </is>
      </c>
    </row>
    <row r="14">
      <c r="A14" s="3" t="inlineStr">
        <is>
          <t>Source: Fossil Fuel Subsidy Tracker; 2023: EC Report on Energy Subsidies in the EU (COM(2025)17) — https://eur-lex.europa.eu/legal-content/EN/TXT/HTML/?uri=CELEX:52025DC0017</t>
        </is>
      </c>
    </row>
    <row r="15" ht="28" customHeight="1">
      <c r="A15" s="5" t="inlineStr">
        <is>
          <t>Year</t>
        </is>
      </c>
      <c r="B15" s="5" t="inlineStr">
        <is>
          <t>In the 2024 report</t>
        </is>
      </c>
      <c r="C15" s="5" t="inlineStr">
        <is>
          <t>Added since the report</t>
        </is>
      </c>
    </row>
    <row r="16" ht="14" customHeight="1">
      <c r="A16" s="53" t="n">
        <v>2010</v>
      </c>
      <c r="B16" s="17" t="n">
        <v>46.1</v>
      </c>
      <c r="C16" s="17" t="n"/>
    </row>
    <row r="17" ht="14" customHeight="1">
      <c r="A17" s="54" t="n">
        <v>2011</v>
      </c>
      <c r="B17" s="24" t="n">
        <v>49.08</v>
      </c>
      <c r="C17" s="24" t="n"/>
    </row>
    <row r="18" ht="14" customHeight="1">
      <c r="A18" s="53" t="n">
        <v>2012</v>
      </c>
      <c r="B18" s="17" t="n">
        <v>48.05</v>
      </c>
      <c r="C18" s="17" t="n"/>
    </row>
    <row r="19" ht="14" customHeight="1">
      <c r="A19" s="54" t="n">
        <v>2013</v>
      </c>
      <c r="B19" s="24" t="n">
        <v>48.38</v>
      </c>
      <c r="C19" s="24" t="n"/>
    </row>
    <row r="20" ht="14" customHeight="1">
      <c r="A20" s="53" t="n">
        <v>2014</v>
      </c>
      <c r="B20" s="17" t="n">
        <v>48.25</v>
      </c>
      <c r="C20" s="17" t="n"/>
    </row>
    <row r="21" ht="14" customHeight="1">
      <c r="A21" s="54" t="n">
        <v>2015</v>
      </c>
      <c r="B21" s="24" t="n">
        <v>44.22</v>
      </c>
      <c r="C21" s="24" t="n"/>
    </row>
    <row r="22" ht="14" customHeight="1">
      <c r="A22" s="53" t="n">
        <v>2016</v>
      </c>
      <c r="B22" s="17" t="n">
        <v>45</v>
      </c>
      <c r="C22" s="17" t="n"/>
    </row>
    <row r="23" ht="14" customHeight="1">
      <c r="A23" s="54" t="n">
        <v>2017</v>
      </c>
      <c r="B23" s="24" t="n">
        <v>47.59</v>
      </c>
      <c r="C23" s="24" t="n"/>
    </row>
    <row r="24" ht="14" customHeight="1">
      <c r="A24" s="53" t="n">
        <v>2018</v>
      </c>
      <c r="B24" s="17" t="n">
        <v>53.77</v>
      </c>
      <c r="C24" s="17" t="n"/>
    </row>
    <row r="25" ht="14" customHeight="1">
      <c r="A25" s="54" t="n">
        <v>2019</v>
      </c>
      <c r="B25" s="24" t="n">
        <v>51.53</v>
      </c>
      <c r="C25" s="24" t="n"/>
    </row>
    <row r="26" ht="14" customHeight="1">
      <c r="A26" s="53" t="n">
        <v>2020</v>
      </c>
      <c r="B26" s="17" t="n">
        <v>50.78</v>
      </c>
      <c r="C26" s="17" t="n"/>
    </row>
    <row r="27" ht="14" customHeight="1">
      <c r="A27" s="54" t="n">
        <v>2021</v>
      </c>
      <c r="B27" s="24" t="n">
        <v>56</v>
      </c>
      <c r="C27" s="24" t="n"/>
    </row>
    <row r="28" ht="14" customHeight="1">
      <c r="A28" s="53" t="n">
        <v>2022</v>
      </c>
      <c r="B28" s="17" t="n">
        <v>122</v>
      </c>
      <c r="C28" s="17" t="n">
        <v>122</v>
      </c>
    </row>
    <row r="29" ht="14" customHeight="1">
      <c r="A29" s="54" t="n">
        <v>2023</v>
      </c>
      <c r="B29" s="24" t="n"/>
      <c r="C29" s="24" t="n">
        <v>111</v>
      </c>
    </row>
    <row r="31">
      <c r="A31" s="62" t="inlineStr">
        <is>
          <t>F2 · EU green bond issuance  (billion EUR)</t>
        </is>
      </c>
    </row>
    <row r="32">
      <c r="A32" s="3" t="inlineStr">
        <is>
          <t>Source: BloombergNEF — https://about.bnef.com/clean-energy-investment/</t>
        </is>
      </c>
    </row>
    <row r="33" ht="28" customHeight="1">
      <c r="A33" s="5" t="inlineStr">
        <is>
          <t>Year</t>
        </is>
      </c>
      <c r="B33" s="5" t="inlineStr">
        <is>
          <t>In the 2024 report</t>
        </is>
      </c>
      <c r="C33" s="5" t="inlineStr">
        <is>
          <t>Added since the report</t>
        </is>
      </c>
    </row>
    <row r="34" ht="14" customHeight="1">
      <c r="A34" s="53" t="n">
        <v>2012</v>
      </c>
      <c r="B34" s="17" t="n">
        <v>0.391</v>
      </c>
      <c r="C34" s="17" t="n"/>
    </row>
    <row r="35" ht="14" customHeight="1">
      <c r="A35" s="54" t="n">
        <v>2013</v>
      </c>
      <c r="B35" s="24" t="n">
        <v>0.5600000000000001</v>
      </c>
      <c r="C35" s="24" t="n"/>
    </row>
    <row r="36" ht="14" customHeight="1">
      <c r="A36" s="53" t="n">
        <v>2014</v>
      </c>
      <c r="B36" s="17" t="n">
        <v>7.994</v>
      </c>
      <c r="C36" s="17" t="n"/>
    </row>
    <row r="37" ht="14" customHeight="1">
      <c r="A37" s="54" t="n">
        <v>2015</v>
      </c>
      <c r="B37" s="24" t="n">
        <v>9.585000000000001</v>
      </c>
      <c r="C37" s="24" t="n"/>
    </row>
    <row r="38" ht="14" customHeight="1">
      <c r="A38" s="53" t="n">
        <v>2016</v>
      </c>
      <c r="B38" s="17" t="n">
        <v>22.45</v>
      </c>
      <c r="C38" s="17" t="n"/>
    </row>
    <row r="39" ht="14" customHeight="1">
      <c r="A39" s="54" t="n">
        <v>2017</v>
      </c>
      <c r="B39" s="24" t="n">
        <v>68.98999999999999</v>
      </c>
      <c r="C39" s="24" t="n"/>
    </row>
    <row r="40" ht="14" customHeight="1">
      <c r="A40" s="53" t="n">
        <v>2018</v>
      </c>
      <c r="B40" s="17" t="n">
        <v>57.2</v>
      </c>
      <c r="C40" s="17" t="n"/>
    </row>
    <row r="41" ht="14" customHeight="1">
      <c r="A41" s="54" t="n">
        <v>2019</v>
      </c>
      <c r="B41" s="24" t="n">
        <v>113.9</v>
      </c>
      <c r="C41" s="24" t="n"/>
    </row>
    <row r="42" ht="14" customHeight="1">
      <c r="A42" s="53" t="n">
        <v>2020</v>
      </c>
      <c r="B42" s="17" t="n">
        <v>141.8</v>
      </c>
      <c r="C42" s="17" t="n"/>
    </row>
    <row r="43" ht="14" customHeight="1">
      <c r="A43" s="54" t="n">
        <v>2021</v>
      </c>
      <c r="B43" s="24" t="n">
        <v>261.5</v>
      </c>
      <c r="C43" s="24" t="n"/>
    </row>
    <row r="44" ht="14" customHeight="1">
      <c r="A44" s="53" t="n">
        <v>2022</v>
      </c>
      <c r="B44" s="17" t="n">
        <v>243</v>
      </c>
      <c r="C44" s="17" t="n"/>
    </row>
    <row r="47">
      <c r="A47" s="62" t="inlineStr">
        <is>
          <t>F2 (share) · Green share of EU bond issuance  (%)</t>
        </is>
      </c>
    </row>
    <row r="48">
      <c r="A48" s="3" t="inlineStr">
        <is>
          <t>Source: BloombergNEF (2012-2022); EEA "Green bonds in Europe", LSEG Data &amp; Analytics (2023+) — https://www.eea.europa.eu/en/analysis/indicators/green-bonds-8th-eap</t>
        </is>
      </c>
    </row>
    <row r="49" ht="28" customHeight="1">
      <c r="A49" s="5" t="inlineStr">
        <is>
          <t>Year</t>
        </is>
      </c>
      <c r="B49" s="5" t="inlineStr">
        <is>
          <t>In the 2024 report</t>
        </is>
      </c>
      <c r="C49" s="5" t="inlineStr">
        <is>
          <t>Added since the report</t>
        </is>
      </c>
    </row>
    <row r="50" ht="14" customHeight="1">
      <c r="A50" s="53" t="n">
        <v>2012</v>
      </c>
      <c r="B50" s="17" t="n">
        <v>0.08</v>
      </c>
      <c r="C50" s="17" t="n"/>
    </row>
    <row r="51" ht="14" customHeight="1">
      <c r="A51" s="54" t="n">
        <v>2013</v>
      </c>
      <c r="B51" s="24" t="n">
        <v>0.1</v>
      </c>
      <c r="C51" s="24" t="n"/>
    </row>
    <row r="52" ht="14" customHeight="1">
      <c r="A52" s="53" t="n">
        <v>2014</v>
      </c>
      <c r="B52" s="17" t="n">
        <v>0.83</v>
      </c>
      <c r="C52" s="17" t="n"/>
    </row>
    <row r="53" ht="14" customHeight="1">
      <c r="A53" s="54" t="n">
        <v>2015</v>
      </c>
      <c r="B53" s="24" t="n">
        <v>0.85</v>
      </c>
      <c r="C53" s="24" t="n"/>
    </row>
    <row r="54" ht="14" customHeight="1">
      <c r="A54" s="53" t="n">
        <v>2016</v>
      </c>
      <c r="B54" s="17" t="n">
        <v>1.69</v>
      </c>
      <c r="C54" s="17" t="n"/>
    </row>
    <row r="55" ht="14" customHeight="1">
      <c r="A55" s="54" t="n">
        <v>2017</v>
      </c>
      <c r="B55" s="24" t="n">
        <v>4.18</v>
      </c>
      <c r="C55" s="24" t="n"/>
    </row>
    <row r="56" ht="14" customHeight="1">
      <c r="A56" s="53" t="n">
        <v>2018</v>
      </c>
      <c r="B56" s="17" t="n">
        <v>3.19</v>
      </c>
      <c r="C56" s="17" t="n"/>
    </row>
    <row r="57" ht="14" customHeight="1">
      <c r="A57" s="54" t="n">
        <v>2019</v>
      </c>
      <c r="B57" s="24" t="n">
        <v>4.82</v>
      </c>
      <c r="C57" s="24" t="n"/>
    </row>
    <row r="58" ht="14" customHeight="1">
      <c r="A58" s="53" t="n">
        <v>2020</v>
      </c>
      <c r="B58" s="17" t="n">
        <v>4.57</v>
      </c>
      <c r="C58" s="17" t="n"/>
    </row>
    <row r="59" ht="14" customHeight="1">
      <c r="A59" s="54" t="n">
        <v>2021</v>
      </c>
      <c r="B59" s="24" t="n">
        <v>8.08</v>
      </c>
      <c r="C59" s="24" t="n"/>
    </row>
    <row r="60" ht="14" customHeight="1">
      <c r="A60" s="53" t="n">
        <v>2022</v>
      </c>
      <c r="B60" s="17" t="n">
        <v>6.74</v>
      </c>
      <c r="C60" s="17" t="n">
        <v>6.74</v>
      </c>
    </row>
    <row r="61" ht="14" customHeight="1">
      <c r="A61" s="54" t="n">
        <v>2023</v>
      </c>
      <c r="B61" s="24" t="n"/>
      <c r="C61" s="24" t="n">
        <v>5.3</v>
      </c>
    </row>
    <row r="62" ht="14" customHeight="1">
      <c r="A62" s="53" t="n">
        <v>2024</v>
      </c>
      <c r="B62" s="17" t="n"/>
      <c r="C62" s="17" t="n">
        <v>6.9</v>
      </c>
    </row>
    <row r="64">
      <c r="A64" s="62" t="inlineStr">
        <is>
          <t>F3 · EU R&amp;D expenditure (GERD)  (% of GDP)</t>
        </is>
      </c>
    </row>
    <row r="65">
      <c r="A65" s="3" t="inlineStr">
        <is>
          <t>Source: Eurostat (rd_e_gerdtot) — https://doi.org/10.2908/RD_E_GERDTOT</t>
        </is>
      </c>
    </row>
    <row r="66" ht="28" customHeight="1">
      <c r="A66" s="5" t="inlineStr">
        <is>
          <t>Year</t>
        </is>
      </c>
      <c r="B66" s="5" t="inlineStr">
        <is>
          <t>In the 2024 report</t>
        </is>
      </c>
      <c r="C66" s="5" t="inlineStr">
        <is>
          <t>Added since the report</t>
        </is>
      </c>
    </row>
    <row r="67" ht="14" customHeight="1">
      <c r="A67" s="53" t="n">
        <v>2012</v>
      </c>
      <c r="B67" s="17" t="n">
        <v>2.02</v>
      </c>
      <c r="C67" s="17" t="n"/>
    </row>
    <row r="68" ht="14" customHeight="1">
      <c r="A68" s="54" t="n">
        <v>2013</v>
      </c>
      <c r="B68" s="24" t="n">
        <v>2.08</v>
      </c>
      <c r="C68" s="24" t="n"/>
    </row>
    <row r="69" ht="14" customHeight="1">
      <c r="A69" s="53" t="n">
        <v>2014</v>
      </c>
      <c r="B69" s="17" t="n">
        <v>2.1</v>
      </c>
      <c r="C69" s="17" t="n"/>
    </row>
    <row r="70" ht="14" customHeight="1">
      <c r="A70" s="54" t="n">
        <v>2015</v>
      </c>
      <c r="B70" s="24" t="n">
        <v>2.11</v>
      </c>
      <c r="C70" s="24" t="n"/>
    </row>
    <row r="71" ht="14" customHeight="1">
      <c r="A71" s="53" t="n">
        <v>2016</v>
      </c>
      <c r="B71" s="17" t="n">
        <v>2.12</v>
      </c>
      <c r="C71" s="17" t="n"/>
    </row>
    <row r="72" ht="14" customHeight="1">
      <c r="A72" s="54" t="n">
        <v>2017</v>
      </c>
      <c r="B72" s="24" t="n">
        <v>2.12</v>
      </c>
      <c r="C72" s="24" t="n"/>
    </row>
    <row r="73" ht="14" customHeight="1">
      <c r="A73" s="53" t="n">
        <v>2018</v>
      </c>
      <c r="B73" s="17" t="n">
        <v>2.15</v>
      </c>
      <c r="C73" s="17" t="n"/>
    </row>
    <row r="74" ht="14" customHeight="1">
      <c r="A74" s="54" t="n">
        <v>2019</v>
      </c>
      <c r="B74" s="24" t="n">
        <v>2.19</v>
      </c>
      <c r="C74" s="24" t="n"/>
    </row>
    <row r="75" ht="14" customHeight="1">
      <c r="A75" s="53" t="n">
        <v>2020</v>
      </c>
      <c r="B75" s="17" t="n">
        <v>2.23</v>
      </c>
      <c r="C75" s="17" t="n"/>
    </row>
    <row r="76" ht="14" customHeight="1">
      <c r="A76" s="54" t="n">
        <v>2021</v>
      </c>
      <c r="B76" s="24" t="n">
        <v>2.31</v>
      </c>
      <c r="C76" s="24" t="n"/>
    </row>
    <row r="77" ht="14" customHeight="1">
      <c r="A77" s="53" t="n">
        <v>2022</v>
      </c>
      <c r="B77" s="17" t="n">
        <v>2.27</v>
      </c>
      <c r="C77" s="17" t="n">
        <v>2.27</v>
      </c>
    </row>
    <row r="78" ht="14" customHeight="1">
      <c r="A78" s="54" t="n">
        <v>2023</v>
      </c>
      <c r="B78" s="24" t="n"/>
      <c r="C78" s="24" t="n">
        <v>2.26</v>
      </c>
    </row>
    <row r="79" ht="14" customHeight="1">
      <c r="A79" s="53" t="n">
        <v>2024</v>
      </c>
      <c r="B79" s="17" t="n"/>
      <c r="C79" s="17" t="n">
        <v>2.24</v>
      </c>
    </row>
    <row r="81">
      <c r="A81" s="62" t="inlineStr">
        <is>
          <t>F4 · Climate-related share of EU patent filings  (%)</t>
        </is>
      </c>
    </row>
    <row r="82">
      <c r="A82" s="3" t="inlineStr">
        <is>
          <t>Source: OECD Green Growth Indicators — https://stats.oecd.org</t>
        </is>
      </c>
    </row>
    <row r="83" ht="28" customHeight="1">
      <c r="A83" s="5" t="inlineStr">
        <is>
          <t>Year</t>
        </is>
      </c>
      <c r="B83" s="5" t="inlineStr">
        <is>
          <t>In the 2024 report</t>
        </is>
      </c>
      <c r="C83" s="5" t="inlineStr">
        <is>
          <t>Added since the report</t>
        </is>
      </c>
    </row>
    <row r="84" ht="14" customHeight="1">
      <c r="A84" s="53" t="n">
        <v>2008</v>
      </c>
      <c r="B84" s="17" t="n">
        <v>11.92</v>
      </c>
      <c r="C84" s="17" t="n"/>
    </row>
    <row r="85" ht="14" customHeight="1">
      <c r="A85" s="54" t="n">
        <v>2009</v>
      </c>
      <c r="B85" s="24" t="n">
        <v>13.28</v>
      </c>
      <c r="C85" s="24" t="n"/>
    </row>
    <row r="86" ht="14" customHeight="1">
      <c r="A86" s="53" t="n">
        <v>2010</v>
      </c>
      <c r="B86" s="17" t="n">
        <v>13.76</v>
      </c>
      <c r="C86" s="17" t="n"/>
    </row>
    <row r="87" ht="14" customHeight="1">
      <c r="A87" s="54" t="n">
        <v>2011</v>
      </c>
      <c r="B87" s="24" t="n">
        <v>14.3</v>
      </c>
      <c r="C87" s="24" t="n"/>
    </row>
    <row r="88" ht="14" customHeight="1">
      <c r="A88" s="53" t="n">
        <v>2012</v>
      </c>
      <c r="B88" s="17" t="n">
        <v>14.12</v>
      </c>
      <c r="C88" s="17" t="n"/>
    </row>
    <row r="89" ht="14" customHeight="1">
      <c r="A89" s="54" t="n">
        <v>2013</v>
      </c>
      <c r="B89" s="24" t="n">
        <v>13.13</v>
      </c>
      <c r="C89" s="24" t="n"/>
    </row>
    <row r="90" ht="14" customHeight="1">
      <c r="A90" s="53" t="n">
        <v>2014</v>
      </c>
      <c r="B90" s="17" t="n">
        <v>12.93</v>
      </c>
      <c r="C90" s="17" t="n"/>
    </row>
    <row r="91" ht="14" customHeight="1">
      <c r="A91" s="54" t="n">
        <v>2015</v>
      </c>
      <c r="B91" s="24" t="n">
        <v>12.75</v>
      </c>
      <c r="C91" s="24" t="n"/>
    </row>
    <row r="92" ht="14" customHeight="1">
      <c r="A92" s="53" t="n">
        <v>2016</v>
      </c>
      <c r="B92" s="17" t="n">
        <v>12.65</v>
      </c>
      <c r="C92" s="17" t="n"/>
    </row>
    <row r="93" ht="14" customHeight="1">
      <c r="A93" s="54" t="n">
        <v>2017</v>
      </c>
      <c r="B93" s="24" t="n">
        <v>12.91</v>
      </c>
      <c r="C93" s="24" t="n"/>
    </row>
    <row r="94" ht="14" customHeight="1">
      <c r="A94" s="53" t="n">
        <v>2018</v>
      </c>
      <c r="B94" s="17" t="n">
        <v>12.93</v>
      </c>
      <c r="C94" s="17" t="n"/>
    </row>
    <row r="95" ht="14" customHeight="1">
      <c r="A95" s="54" t="n">
        <v>2019</v>
      </c>
      <c r="B95" s="24" t="n">
        <v>11.94</v>
      </c>
      <c r="C95" s="24" t="n"/>
    </row>
    <row r="97">
      <c r="A97" s="62" t="inlineStr">
        <is>
          <t>F5 · Cleantech venture &amp; growth investment in the EU  (% of GDP)</t>
        </is>
      </c>
    </row>
    <row r="98">
      <c r="A98" s="3" t="inlineStr">
        <is>
          <t>Source: Cleantech for Europe — https://www.cleantechforeurope.com/publications/</t>
        </is>
      </c>
    </row>
    <row r="99" ht="28" customHeight="1">
      <c r="A99" s="5" t="inlineStr">
        <is>
          <t>Year</t>
        </is>
      </c>
      <c r="B99" s="5" t="inlineStr">
        <is>
          <t>In the 2024 report</t>
        </is>
      </c>
      <c r="C99" s="5" t="inlineStr">
        <is>
          <t>Added since the report</t>
        </is>
      </c>
    </row>
    <row r="100" ht="14" customHeight="1">
      <c r="A100" s="53" t="n">
        <v>2018</v>
      </c>
      <c r="B100" s="17" t="n">
        <v>0.02</v>
      </c>
      <c r="C100" s="17" t="n"/>
    </row>
    <row r="101" ht="14" customHeight="1">
      <c r="A101" s="54" t="n">
        <v>2019</v>
      </c>
      <c r="B101" s="24" t="n">
        <v>0.03</v>
      </c>
      <c r="C101" s="24" t="n"/>
    </row>
    <row r="102" ht="14" customHeight="1">
      <c r="A102" s="53" t="n">
        <v>2020</v>
      </c>
      <c r="B102" s="17" t="n">
        <v>0.03</v>
      </c>
      <c r="C102" s="17" t="n"/>
    </row>
    <row r="103" ht="14" customHeight="1">
      <c r="A103" s="54" t="n">
        <v>2021</v>
      </c>
      <c r="B103" s="24" t="n">
        <v>0.07000000000000001</v>
      </c>
      <c r="C103" s="24" t="n"/>
    </row>
    <row r="104" ht="14" customHeight="1">
      <c r="A104" s="53" t="n">
        <v>2022</v>
      </c>
      <c r="B104" s="17" t="n">
        <v>0.06</v>
      </c>
      <c r="C104" s="17" t="n">
        <v>0.06</v>
      </c>
    </row>
    <row r="105" ht="14" customHeight="1">
      <c r="A105" s="54" t="n">
        <v>2023</v>
      </c>
      <c r="B105" s="24" t="n"/>
      <c r="C105" s="24" t="n">
        <v>0.07000000000000001</v>
      </c>
    </row>
    <row r="106" ht="14" customHeight="1">
      <c r="A106" s="53" t="n">
        <v>2024</v>
      </c>
      <c r="B106" s="17" t="n"/>
      <c r="C106" s="17" t="n">
        <v>0.05</v>
      </c>
    </row>
    <row r="107" ht="14" customHeight="1">
      <c r="A107" s="54" t="n">
        <v>2025</v>
      </c>
      <c r="B107" s="24" t="n"/>
      <c r="C107" s="24" t="n">
        <v>0.04</v>
      </c>
    </row>
  </sheetData>
  <mergeCells count="14">
    <mergeCell ref="A31:D31"/>
    <mergeCell ref="A97:D97"/>
    <mergeCell ref="A48:D48"/>
    <mergeCell ref="A2:K2"/>
    <mergeCell ref="A64:D64"/>
    <mergeCell ref="A82:D82"/>
    <mergeCell ref="A65:D65"/>
    <mergeCell ref="A81:D81"/>
    <mergeCell ref="A98:D98"/>
    <mergeCell ref="A47:D47"/>
    <mergeCell ref="A1:K1"/>
    <mergeCell ref="A32:D32"/>
    <mergeCell ref="A13:D13"/>
    <mergeCell ref="A14:D14"/>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4D7E83"/>
    <outlinePr summaryBelow="1" summaryRight="1"/>
    <pageSetUpPr/>
  </sheetPr>
  <dimension ref="A1:I1487"/>
  <sheetViews>
    <sheetView showGridLines="0" zoomScale="100" workbookViewId="0">
      <pane ySplit="1" topLeftCell="A2" activePane="bottomLeft" state="frozen"/>
      <selection pane="bottomLeft" activeCell="A1" sqref="A1"/>
    </sheetView>
  </sheetViews>
  <sheetFormatPr baseColWidth="8" defaultRowHeight="15"/>
  <cols>
    <col width="11" customWidth="1" min="1" max="1"/>
    <col width="42" customWidth="1" min="2" max="2"/>
    <col width="16" customWidth="1" min="3" max="3"/>
    <col width="14" customWidth="1" min="4" max="4"/>
    <col width="8" customWidth="1" min="5" max="5"/>
    <col width="13" customWidth="1" min="6" max="6"/>
    <col width="20" customWidth="1" min="7" max="7"/>
    <col width="34" customWidth="1" min="8" max="8"/>
    <col width="26" customWidth="1" min="9" max="9"/>
  </cols>
  <sheetData>
    <row r="1" ht="22" customHeight="1">
      <c r="A1" s="5" t="inlineStr">
        <is>
          <t>Code</t>
        </is>
      </c>
      <c r="B1" s="5" t="inlineStr">
        <is>
          <t>Indicator</t>
        </is>
      </c>
      <c r="C1" s="5" t="inlineStr">
        <is>
          <t>Chapter</t>
        </is>
      </c>
      <c r="D1" s="5" t="inlineStr">
        <is>
          <t>Unit</t>
        </is>
      </c>
      <c r="E1" s="5" t="inlineStr">
        <is>
          <t>Year</t>
        </is>
      </c>
      <c r="F1" s="5" t="inlineStr">
        <is>
          <t>Value</t>
        </is>
      </c>
      <c r="G1" s="5" t="inlineStr">
        <is>
          <t>Point origin</t>
        </is>
      </c>
      <c r="H1" s="5" t="inlineStr">
        <is>
          <t>Primary source</t>
        </is>
      </c>
      <c r="I1" s="5" t="inlineStr">
        <is>
          <t>Indicator id</t>
        </is>
      </c>
    </row>
    <row r="2" ht="14" customHeight="1">
      <c r="A2" s="15" t="inlineStr">
        <is>
          <t>O1</t>
        </is>
      </c>
      <c r="B2" s="15" t="inlineStr">
        <is>
          <t>Total EU GHG emissions (European Climate Law scope)</t>
        </is>
      </c>
      <c r="C2" s="15" t="inlineStr">
        <is>
          <t>Emissions</t>
        </is>
      </c>
      <c r="D2" s="15" t="inlineStr">
        <is>
          <t>Mt CO₂eq</t>
        </is>
      </c>
      <c r="E2" s="63" t="n">
        <v>2005</v>
      </c>
      <c r="F2" s="64" t="n">
        <v>4393.9</v>
      </c>
      <c r="G2" s="14" t="inlineStr">
        <is>
          <t>In the 2024 report</t>
        </is>
      </c>
      <c r="H2" s="15" t="inlineStr">
        <is>
          <t>EEA GHG data viewer; 2023+ Eurostat (env_air_gge)</t>
        </is>
      </c>
      <c r="I2" s="34" t="inlineStr">
        <is>
          <t>esabcc-o1-ghg-total</t>
        </is>
      </c>
    </row>
    <row r="3" ht="14" customHeight="1">
      <c r="A3" s="22" t="inlineStr">
        <is>
          <t>O1</t>
        </is>
      </c>
      <c r="B3" s="22" t="inlineStr">
        <is>
          <t>Total EU GHG emissions (European Climate Law scope)</t>
        </is>
      </c>
      <c r="C3" s="22" t="inlineStr">
        <is>
          <t>Emissions</t>
        </is>
      </c>
      <c r="D3" s="22" t="inlineStr">
        <is>
          <t>Mt CO₂eq</t>
        </is>
      </c>
      <c r="E3" s="65" t="n">
        <v>2006</v>
      </c>
      <c r="F3" s="66" t="n">
        <v>4392.8</v>
      </c>
      <c r="G3" s="67" t="inlineStr">
        <is>
          <t>In the 2024 report</t>
        </is>
      </c>
      <c r="H3" s="22" t="inlineStr">
        <is>
          <t>EEA GHG data viewer; 2023+ Eurostat (env_air_gge)</t>
        </is>
      </c>
      <c r="I3" s="35" t="inlineStr">
        <is>
          <t>esabcc-o1-ghg-total</t>
        </is>
      </c>
    </row>
    <row r="4" ht="14" customHeight="1">
      <c r="A4" s="15" t="inlineStr">
        <is>
          <t>O1</t>
        </is>
      </c>
      <c r="B4" s="15" t="inlineStr">
        <is>
          <t>Total EU GHG emissions (European Climate Law scope)</t>
        </is>
      </c>
      <c r="C4" s="15" t="inlineStr">
        <is>
          <t>Emissions</t>
        </is>
      </c>
      <c r="D4" s="15" t="inlineStr">
        <is>
          <t>Mt CO₂eq</t>
        </is>
      </c>
      <c r="E4" s="63" t="n">
        <v>2007</v>
      </c>
      <c r="F4" s="64" t="n">
        <v>4417.4</v>
      </c>
      <c r="G4" s="14" t="inlineStr">
        <is>
          <t>In the 2024 report</t>
        </is>
      </c>
      <c r="H4" s="15" t="inlineStr">
        <is>
          <t>EEA GHG data viewer; 2023+ Eurostat (env_air_gge)</t>
        </is>
      </c>
      <c r="I4" s="34" t="inlineStr">
        <is>
          <t>esabcc-o1-ghg-total</t>
        </is>
      </c>
    </row>
    <row r="5" ht="14" customHeight="1">
      <c r="A5" s="22" t="inlineStr">
        <is>
          <t>O1</t>
        </is>
      </c>
      <c r="B5" s="22" t="inlineStr">
        <is>
          <t>Total EU GHG emissions (European Climate Law scope)</t>
        </is>
      </c>
      <c r="C5" s="22" t="inlineStr">
        <is>
          <t>Emissions</t>
        </is>
      </c>
      <c r="D5" s="22" t="inlineStr">
        <is>
          <t>Mt CO₂eq</t>
        </is>
      </c>
      <c r="E5" s="65" t="n">
        <v>2008</v>
      </c>
      <c r="F5" s="66" t="n">
        <v>4279.6</v>
      </c>
      <c r="G5" s="67" t="inlineStr">
        <is>
          <t>In the 2024 report</t>
        </is>
      </c>
      <c r="H5" s="22" t="inlineStr">
        <is>
          <t>EEA GHG data viewer; 2023+ Eurostat (env_air_gge)</t>
        </is>
      </c>
      <c r="I5" s="35" t="inlineStr">
        <is>
          <t>esabcc-o1-ghg-total</t>
        </is>
      </c>
    </row>
    <row r="6" ht="14" customHeight="1">
      <c r="A6" s="15" t="inlineStr">
        <is>
          <t>O1</t>
        </is>
      </c>
      <c r="B6" s="15" t="inlineStr">
        <is>
          <t>Total EU GHG emissions (European Climate Law scope)</t>
        </is>
      </c>
      <c r="C6" s="15" t="inlineStr">
        <is>
          <t>Emissions</t>
        </is>
      </c>
      <c r="D6" s="15" t="inlineStr">
        <is>
          <t>Mt CO₂eq</t>
        </is>
      </c>
      <c r="E6" s="63" t="n">
        <v>2009</v>
      </c>
      <c r="F6" s="64" t="n">
        <v>3940.7</v>
      </c>
      <c r="G6" s="14" t="inlineStr">
        <is>
          <t>In the 2024 report</t>
        </is>
      </c>
      <c r="H6" s="15" t="inlineStr">
        <is>
          <t>EEA GHG data viewer; 2023+ Eurostat (env_air_gge)</t>
        </is>
      </c>
      <c r="I6" s="34" t="inlineStr">
        <is>
          <t>esabcc-o1-ghg-total</t>
        </is>
      </c>
    </row>
    <row r="7" ht="14" customHeight="1">
      <c r="A7" s="22" t="inlineStr">
        <is>
          <t>O1</t>
        </is>
      </c>
      <c r="B7" s="22" t="inlineStr">
        <is>
          <t>Total EU GHG emissions (European Climate Law scope)</t>
        </is>
      </c>
      <c r="C7" s="22" t="inlineStr">
        <is>
          <t>Emissions</t>
        </is>
      </c>
      <c r="D7" s="22" t="inlineStr">
        <is>
          <t>Mt CO₂eq</t>
        </is>
      </c>
      <c r="E7" s="65" t="n">
        <v>2010</v>
      </c>
      <c r="F7" s="66" t="n">
        <v>4025.2</v>
      </c>
      <c r="G7" s="67" t="inlineStr">
        <is>
          <t>In the 2024 report</t>
        </is>
      </c>
      <c r="H7" s="22" t="inlineStr">
        <is>
          <t>EEA GHG data viewer; 2023+ Eurostat (env_air_gge)</t>
        </is>
      </c>
      <c r="I7" s="35" t="inlineStr">
        <is>
          <t>esabcc-o1-ghg-total</t>
        </is>
      </c>
    </row>
    <row r="8" ht="14" customHeight="1">
      <c r="A8" s="15" t="inlineStr">
        <is>
          <t>O1</t>
        </is>
      </c>
      <c r="B8" s="15" t="inlineStr">
        <is>
          <t>Total EU GHG emissions (European Climate Law scope)</t>
        </is>
      </c>
      <c r="C8" s="15" t="inlineStr">
        <is>
          <t>Emissions</t>
        </is>
      </c>
      <c r="D8" s="15" t="inlineStr">
        <is>
          <t>Mt CO₂eq</t>
        </is>
      </c>
      <c r="E8" s="63" t="n">
        <v>2011</v>
      </c>
      <c r="F8" s="64" t="n">
        <v>3921.3</v>
      </c>
      <c r="G8" s="14" t="inlineStr">
        <is>
          <t>In the 2024 report</t>
        </is>
      </c>
      <c r="H8" s="15" t="inlineStr">
        <is>
          <t>EEA GHG data viewer; 2023+ Eurostat (env_air_gge)</t>
        </is>
      </c>
      <c r="I8" s="34" t="inlineStr">
        <is>
          <t>esabcc-o1-ghg-total</t>
        </is>
      </c>
    </row>
    <row r="9" ht="14" customHeight="1">
      <c r="A9" s="22" t="inlineStr">
        <is>
          <t>O1</t>
        </is>
      </c>
      <c r="B9" s="22" t="inlineStr">
        <is>
          <t>Total EU GHG emissions (European Climate Law scope)</t>
        </is>
      </c>
      <c r="C9" s="22" t="inlineStr">
        <is>
          <t>Emissions</t>
        </is>
      </c>
      <c r="D9" s="22" t="inlineStr">
        <is>
          <t>Mt CO₂eq</t>
        </is>
      </c>
      <c r="E9" s="65" t="n">
        <v>2012</v>
      </c>
      <c r="F9" s="66" t="n">
        <v>3843.7</v>
      </c>
      <c r="G9" s="67" t="inlineStr">
        <is>
          <t>In the 2024 report</t>
        </is>
      </c>
      <c r="H9" s="22" t="inlineStr">
        <is>
          <t>EEA GHG data viewer; 2023+ Eurostat (env_air_gge)</t>
        </is>
      </c>
      <c r="I9" s="35" t="inlineStr">
        <is>
          <t>esabcc-o1-ghg-total</t>
        </is>
      </c>
    </row>
    <row r="10" ht="14" customHeight="1">
      <c r="A10" s="15" t="inlineStr">
        <is>
          <t>O1</t>
        </is>
      </c>
      <c r="B10" s="15" t="inlineStr">
        <is>
          <t>Total EU GHG emissions (European Climate Law scope)</t>
        </is>
      </c>
      <c r="C10" s="15" t="inlineStr">
        <is>
          <t>Emissions</t>
        </is>
      </c>
      <c r="D10" s="15" t="inlineStr">
        <is>
          <t>Mt CO₂eq</t>
        </is>
      </c>
      <c r="E10" s="63" t="n">
        <v>2013</v>
      </c>
      <c r="F10" s="64" t="n">
        <v>3752.9</v>
      </c>
      <c r="G10" s="14" t="inlineStr">
        <is>
          <t>In the 2024 report</t>
        </is>
      </c>
      <c r="H10" s="15" t="inlineStr">
        <is>
          <t>EEA GHG data viewer; 2023+ Eurostat (env_air_gge)</t>
        </is>
      </c>
      <c r="I10" s="34" t="inlineStr">
        <is>
          <t>esabcc-o1-ghg-total</t>
        </is>
      </c>
    </row>
    <row r="11" ht="14" customHeight="1">
      <c r="A11" s="22" t="inlineStr">
        <is>
          <t>O1</t>
        </is>
      </c>
      <c r="B11" s="22" t="inlineStr">
        <is>
          <t>Total EU GHG emissions (European Climate Law scope)</t>
        </is>
      </c>
      <c r="C11" s="22" t="inlineStr">
        <is>
          <t>Emissions</t>
        </is>
      </c>
      <c r="D11" s="22" t="inlineStr">
        <is>
          <t>Mt CO₂eq</t>
        </is>
      </c>
      <c r="E11" s="65" t="n">
        <v>2014</v>
      </c>
      <c r="F11" s="66" t="n">
        <v>3626.5</v>
      </c>
      <c r="G11" s="67" t="inlineStr">
        <is>
          <t>In the 2024 report</t>
        </is>
      </c>
      <c r="H11" s="22" t="inlineStr">
        <is>
          <t>EEA GHG data viewer; 2023+ Eurostat (env_air_gge)</t>
        </is>
      </c>
      <c r="I11" s="35" t="inlineStr">
        <is>
          <t>esabcc-o1-ghg-total</t>
        </is>
      </c>
    </row>
    <row r="12" ht="14" customHeight="1">
      <c r="A12" s="15" t="inlineStr">
        <is>
          <t>O1</t>
        </is>
      </c>
      <c r="B12" s="15" t="inlineStr">
        <is>
          <t>Total EU GHG emissions (European Climate Law scope)</t>
        </is>
      </c>
      <c r="C12" s="15" t="inlineStr">
        <is>
          <t>Emissions</t>
        </is>
      </c>
      <c r="D12" s="15" t="inlineStr">
        <is>
          <t>Mt CO₂eq</t>
        </is>
      </c>
      <c r="E12" s="63" t="n">
        <v>2015</v>
      </c>
      <c r="F12" s="64" t="n">
        <v>3680.9</v>
      </c>
      <c r="G12" s="14" t="inlineStr">
        <is>
          <t>In the 2024 report</t>
        </is>
      </c>
      <c r="H12" s="15" t="inlineStr">
        <is>
          <t>EEA GHG data viewer; 2023+ Eurostat (env_air_gge)</t>
        </is>
      </c>
      <c r="I12" s="34" t="inlineStr">
        <is>
          <t>esabcc-o1-ghg-total</t>
        </is>
      </c>
    </row>
    <row r="13" ht="14" customHeight="1">
      <c r="A13" s="22" t="inlineStr">
        <is>
          <t>O1</t>
        </is>
      </c>
      <c r="B13" s="22" t="inlineStr">
        <is>
          <t>Total EU GHG emissions (European Climate Law scope)</t>
        </is>
      </c>
      <c r="C13" s="22" t="inlineStr">
        <is>
          <t>Emissions</t>
        </is>
      </c>
      <c r="D13" s="22" t="inlineStr">
        <is>
          <t>Mt CO₂eq</t>
        </is>
      </c>
      <c r="E13" s="65" t="n">
        <v>2016</v>
      </c>
      <c r="F13" s="66" t="n">
        <v>3696</v>
      </c>
      <c r="G13" s="67" t="inlineStr">
        <is>
          <t>In the 2024 report</t>
        </is>
      </c>
      <c r="H13" s="22" t="inlineStr">
        <is>
          <t>EEA GHG data viewer; 2023+ Eurostat (env_air_gge)</t>
        </is>
      </c>
      <c r="I13" s="35" t="inlineStr">
        <is>
          <t>esabcc-o1-ghg-total</t>
        </is>
      </c>
    </row>
    <row r="14" ht="14" customHeight="1">
      <c r="A14" s="15" t="inlineStr">
        <is>
          <t>O1</t>
        </is>
      </c>
      <c r="B14" s="15" t="inlineStr">
        <is>
          <t>Total EU GHG emissions (European Climate Law scope)</t>
        </is>
      </c>
      <c r="C14" s="15" t="inlineStr">
        <is>
          <t>Emissions</t>
        </is>
      </c>
      <c r="D14" s="15" t="inlineStr">
        <is>
          <t>Mt CO₂eq</t>
        </is>
      </c>
      <c r="E14" s="63" t="n">
        <v>2017</v>
      </c>
      <c r="F14" s="64" t="n">
        <v>3796.3</v>
      </c>
      <c r="G14" s="14" t="inlineStr">
        <is>
          <t>In the 2024 report</t>
        </is>
      </c>
      <c r="H14" s="15" t="inlineStr">
        <is>
          <t>EEA GHG data viewer; 2023+ Eurostat (env_air_gge)</t>
        </is>
      </c>
      <c r="I14" s="34" t="inlineStr">
        <is>
          <t>esabcc-o1-ghg-total</t>
        </is>
      </c>
    </row>
    <row r="15" ht="14" customHeight="1">
      <c r="A15" s="22" t="inlineStr">
        <is>
          <t>O1</t>
        </is>
      </c>
      <c r="B15" s="22" t="inlineStr">
        <is>
          <t>Total EU GHG emissions (European Climate Law scope)</t>
        </is>
      </c>
      <c r="C15" s="22" t="inlineStr">
        <is>
          <t>Emissions</t>
        </is>
      </c>
      <c r="D15" s="22" t="inlineStr">
        <is>
          <t>Mt CO₂eq</t>
        </is>
      </c>
      <c r="E15" s="65" t="n">
        <v>2018</v>
      </c>
      <c r="F15" s="66" t="n">
        <v>3711.2</v>
      </c>
      <c r="G15" s="67" t="inlineStr">
        <is>
          <t>In the 2024 report</t>
        </is>
      </c>
      <c r="H15" s="22" t="inlineStr">
        <is>
          <t>EEA GHG data viewer; 2023+ Eurostat (env_air_gge)</t>
        </is>
      </c>
      <c r="I15" s="35" t="inlineStr">
        <is>
          <t>esabcc-o1-ghg-total</t>
        </is>
      </c>
    </row>
    <row r="16" ht="14" customHeight="1">
      <c r="A16" s="15" t="inlineStr">
        <is>
          <t>O1</t>
        </is>
      </c>
      <c r="B16" s="15" t="inlineStr">
        <is>
          <t>Total EU GHG emissions (European Climate Law scope)</t>
        </is>
      </c>
      <c r="C16" s="15" t="inlineStr">
        <is>
          <t>Emissions</t>
        </is>
      </c>
      <c r="D16" s="15" t="inlineStr">
        <is>
          <t>Mt CO₂eq</t>
        </is>
      </c>
      <c r="E16" s="63" t="n">
        <v>2019</v>
      </c>
      <c r="F16" s="64" t="n">
        <v>3564</v>
      </c>
      <c r="G16" s="14" t="inlineStr">
        <is>
          <t>In the 2024 report</t>
        </is>
      </c>
      <c r="H16" s="15" t="inlineStr">
        <is>
          <t>EEA GHG data viewer; 2023+ Eurostat (env_air_gge)</t>
        </is>
      </c>
      <c r="I16" s="34" t="inlineStr">
        <is>
          <t>esabcc-o1-ghg-total</t>
        </is>
      </c>
    </row>
    <row r="17" ht="14" customHeight="1">
      <c r="A17" s="22" t="inlineStr">
        <is>
          <t>O1</t>
        </is>
      </c>
      <c r="B17" s="22" t="inlineStr">
        <is>
          <t>Total EU GHG emissions (European Climate Law scope)</t>
        </is>
      </c>
      <c r="C17" s="22" t="inlineStr">
        <is>
          <t>Emissions</t>
        </is>
      </c>
      <c r="D17" s="22" t="inlineStr">
        <is>
          <t>Mt CO₂eq</t>
        </is>
      </c>
      <c r="E17" s="65" t="n">
        <v>2020</v>
      </c>
      <c r="F17" s="66" t="n">
        <v>3195.8</v>
      </c>
      <c r="G17" s="67" t="inlineStr">
        <is>
          <t>In the 2024 report</t>
        </is>
      </c>
      <c r="H17" s="22" t="inlineStr">
        <is>
          <t>EEA GHG data viewer; 2023+ Eurostat (env_air_gge)</t>
        </is>
      </c>
      <c r="I17" s="35" t="inlineStr">
        <is>
          <t>esabcc-o1-ghg-total</t>
        </is>
      </c>
    </row>
    <row r="18" ht="14" customHeight="1">
      <c r="A18" s="15" t="inlineStr">
        <is>
          <t>O1</t>
        </is>
      </c>
      <c r="B18" s="15" t="inlineStr">
        <is>
          <t>Total EU GHG emissions (European Climate Law scope)</t>
        </is>
      </c>
      <c r="C18" s="15" t="inlineStr">
        <is>
          <t>Emissions</t>
        </is>
      </c>
      <c r="D18" s="15" t="inlineStr">
        <is>
          <t>Mt CO₂eq</t>
        </is>
      </c>
      <c r="E18" s="63" t="n">
        <v>2021</v>
      </c>
      <c r="F18" s="64" t="n">
        <v>3393.8</v>
      </c>
      <c r="G18" s="14" t="inlineStr">
        <is>
          <t>In the 2024 report</t>
        </is>
      </c>
      <c r="H18" s="15" t="inlineStr">
        <is>
          <t>EEA GHG data viewer; 2023+ Eurostat (env_air_gge)</t>
        </is>
      </c>
      <c r="I18" s="34" t="inlineStr">
        <is>
          <t>esabcc-o1-ghg-total</t>
        </is>
      </c>
    </row>
    <row r="19" ht="14" customHeight="1">
      <c r="A19" s="22" t="inlineStr">
        <is>
          <t>O1</t>
        </is>
      </c>
      <c r="B19" s="22" t="inlineStr">
        <is>
          <t>Total EU GHG emissions (European Climate Law scope)</t>
        </is>
      </c>
      <c r="C19" s="22" t="inlineStr">
        <is>
          <t>Emissions</t>
        </is>
      </c>
      <c r="D19" s="22" t="inlineStr">
        <is>
          <t>Mt CO₂eq</t>
        </is>
      </c>
      <c r="E19" s="65" t="n">
        <v>2022</v>
      </c>
      <c r="F19" s="66" t="n">
        <v>3333.9</v>
      </c>
      <c r="G19" s="67" t="inlineStr">
        <is>
          <t>In the 2024 report</t>
        </is>
      </c>
      <c r="H19" s="22" t="inlineStr">
        <is>
          <t>EEA GHG data viewer; 2023+ Eurostat (env_air_gge)</t>
        </is>
      </c>
      <c r="I19" s="35" t="inlineStr">
        <is>
          <t>esabcc-o1-ghg-total</t>
        </is>
      </c>
    </row>
    <row r="20" ht="14" customHeight="1">
      <c r="A20" s="15" t="inlineStr">
        <is>
          <t>O1</t>
        </is>
      </c>
      <c r="B20" s="15" t="inlineStr">
        <is>
          <t>Total EU GHG emissions (European Climate Law scope)</t>
        </is>
      </c>
      <c r="C20" s="15" t="inlineStr">
        <is>
          <t>Emissions</t>
        </is>
      </c>
      <c r="D20" s="15" t="inlineStr">
        <is>
          <t>Mt CO₂eq</t>
        </is>
      </c>
      <c r="E20" s="63" t="n">
        <v>2023</v>
      </c>
      <c r="F20" s="64" t="n">
        <v>3118</v>
      </c>
      <c r="G20" s="68" t="inlineStr">
        <is>
          <t>Added since the report</t>
        </is>
      </c>
      <c r="H20" s="15" t="inlineStr">
        <is>
          <t>EEA GHG data viewer; 2023+ Eurostat (env_air_gge)</t>
        </is>
      </c>
      <c r="I20" s="34" t="inlineStr">
        <is>
          <t>esabcc-o1-ghg-total</t>
        </is>
      </c>
    </row>
    <row r="21" ht="14" customHeight="1">
      <c r="A21" s="22" t="inlineStr">
        <is>
          <t>O1</t>
        </is>
      </c>
      <c r="B21" s="22" t="inlineStr">
        <is>
          <t>Total EU GHG emissions (European Climate Law scope)</t>
        </is>
      </c>
      <c r="C21" s="22" t="inlineStr">
        <is>
          <t>Emissions</t>
        </is>
      </c>
      <c r="D21" s="22" t="inlineStr">
        <is>
          <t>Mt CO₂eq</t>
        </is>
      </c>
      <c r="E21" s="65" t="n">
        <v>2024</v>
      </c>
      <c r="F21" s="66" t="n">
        <v>3043.2</v>
      </c>
      <c r="G21" s="69" t="inlineStr">
        <is>
          <t>Added since the report</t>
        </is>
      </c>
      <c r="H21" s="22" t="inlineStr">
        <is>
          <t>EEA GHG data viewer; 2023+ Eurostat (env_air_gge)</t>
        </is>
      </c>
      <c r="I21" s="35" t="inlineStr">
        <is>
          <t>esabcc-o1-ghg-total</t>
        </is>
      </c>
    </row>
    <row r="22" ht="14" customHeight="1">
      <c r="A22" s="15" t="inlineStr">
        <is>
          <t>O2 (PEC)</t>
        </is>
      </c>
      <c r="B22" s="15" t="inlineStr">
        <is>
          <t>Primary energy consumption (EU-27)</t>
        </is>
      </c>
      <c r="C22" s="15" t="inlineStr">
        <is>
          <t>Energy demand</t>
        </is>
      </c>
      <c r="D22" s="15" t="inlineStr">
        <is>
          <t>TWh</t>
        </is>
      </c>
      <c r="E22" s="63" t="n">
        <v>2005</v>
      </c>
      <c r="F22" s="64" t="n">
        <v>17419</v>
      </c>
      <c r="G22" s="14" t="inlineStr">
        <is>
          <t>In the 2024 report</t>
        </is>
      </c>
      <c r="H22" s="15" t="inlineStr">
        <is>
          <t>Eurostat (nrg_ind_eff)</t>
        </is>
      </c>
      <c r="I22" s="34" t="inlineStr">
        <is>
          <t>esabcc-o2-pec</t>
        </is>
      </c>
    </row>
    <row r="23" ht="14" customHeight="1">
      <c r="A23" s="22" t="inlineStr">
        <is>
          <t>O2 (PEC)</t>
        </is>
      </c>
      <c r="B23" s="22" t="inlineStr">
        <is>
          <t>Primary energy consumption (EU-27)</t>
        </is>
      </c>
      <c r="C23" s="22" t="inlineStr">
        <is>
          <t>Energy demand</t>
        </is>
      </c>
      <c r="D23" s="22" t="inlineStr">
        <is>
          <t>TWh</t>
        </is>
      </c>
      <c r="E23" s="65" t="n">
        <v>2006</v>
      </c>
      <c r="F23" s="66" t="n">
        <v>17573</v>
      </c>
      <c r="G23" s="67" t="inlineStr">
        <is>
          <t>In the 2024 report</t>
        </is>
      </c>
      <c r="H23" s="22" t="inlineStr">
        <is>
          <t>Eurostat (nrg_ind_eff)</t>
        </is>
      </c>
      <c r="I23" s="35" t="inlineStr">
        <is>
          <t>esabcc-o2-pec</t>
        </is>
      </c>
    </row>
    <row r="24" ht="14" customHeight="1">
      <c r="A24" s="15" t="inlineStr">
        <is>
          <t>O2 (PEC)</t>
        </is>
      </c>
      <c r="B24" s="15" t="inlineStr">
        <is>
          <t>Primary energy consumption (EU-27)</t>
        </is>
      </c>
      <c r="C24" s="15" t="inlineStr">
        <is>
          <t>Energy demand</t>
        </is>
      </c>
      <c r="D24" s="15" t="inlineStr">
        <is>
          <t>TWh</t>
        </is>
      </c>
      <c r="E24" s="63" t="n">
        <v>2007</v>
      </c>
      <c r="F24" s="64" t="n">
        <v>17331</v>
      </c>
      <c r="G24" s="14" t="inlineStr">
        <is>
          <t>In the 2024 report</t>
        </is>
      </c>
      <c r="H24" s="15" t="inlineStr">
        <is>
          <t>Eurostat (nrg_ind_eff)</t>
        </is>
      </c>
      <c r="I24" s="34" t="inlineStr">
        <is>
          <t>esabcc-o2-pec</t>
        </is>
      </c>
    </row>
    <row r="25" ht="14" customHeight="1">
      <c r="A25" s="22" t="inlineStr">
        <is>
          <t>O2 (PEC)</t>
        </is>
      </c>
      <c r="B25" s="22" t="inlineStr">
        <is>
          <t>Primary energy consumption (EU-27)</t>
        </is>
      </c>
      <c r="C25" s="22" t="inlineStr">
        <is>
          <t>Energy demand</t>
        </is>
      </c>
      <c r="D25" s="22" t="inlineStr">
        <is>
          <t>TWh</t>
        </is>
      </c>
      <c r="E25" s="65" t="n">
        <v>2008</v>
      </c>
      <c r="F25" s="66" t="n">
        <v>17314</v>
      </c>
      <c r="G25" s="67" t="inlineStr">
        <is>
          <t>In the 2024 report</t>
        </is>
      </c>
      <c r="H25" s="22" t="inlineStr">
        <is>
          <t>Eurostat (nrg_ind_eff)</t>
        </is>
      </c>
      <c r="I25" s="35" t="inlineStr">
        <is>
          <t>esabcc-o2-pec</t>
        </is>
      </c>
    </row>
    <row r="26" ht="14" customHeight="1">
      <c r="A26" s="15" t="inlineStr">
        <is>
          <t>O2 (PEC)</t>
        </is>
      </c>
      <c r="B26" s="15" t="inlineStr">
        <is>
          <t>Primary energy consumption (EU-27)</t>
        </is>
      </c>
      <c r="C26" s="15" t="inlineStr">
        <is>
          <t>Energy demand</t>
        </is>
      </c>
      <c r="D26" s="15" t="inlineStr">
        <is>
          <t>TWh</t>
        </is>
      </c>
      <c r="E26" s="63" t="n">
        <v>2009</v>
      </c>
      <c r="F26" s="64" t="n">
        <v>16319</v>
      </c>
      <c r="G26" s="14" t="inlineStr">
        <is>
          <t>In the 2024 report</t>
        </is>
      </c>
      <c r="H26" s="15" t="inlineStr">
        <is>
          <t>Eurostat (nrg_ind_eff)</t>
        </is>
      </c>
      <c r="I26" s="34" t="inlineStr">
        <is>
          <t>esabcc-o2-pec</t>
        </is>
      </c>
    </row>
    <row r="27" ht="14" customHeight="1">
      <c r="A27" s="22" t="inlineStr">
        <is>
          <t>O2 (PEC)</t>
        </is>
      </c>
      <c r="B27" s="22" t="inlineStr">
        <is>
          <t>Primary energy consumption (EU-27)</t>
        </is>
      </c>
      <c r="C27" s="22" t="inlineStr">
        <is>
          <t>Energy demand</t>
        </is>
      </c>
      <c r="D27" s="22" t="inlineStr">
        <is>
          <t>TWh</t>
        </is>
      </c>
      <c r="E27" s="65" t="n">
        <v>2010</v>
      </c>
      <c r="F27" s="66" t="n">
        <v>16951</v>
      </c>
      <c r="G27" s="67" t="inlineStr">
        <is>
          <t>In the 2024 report</t>
        </is>
      </c>
      <c r="H27" s="22" t="inlineStr">
        <is>
          <t>Eurostat (nrg_ind_eff)</t>
        </is>
      </c>
      <c r="I27" s="35" t="inlineStr">
        <is>
          <t>esabcc-o2-pec</t>
        </is>
      </c>
    </row>
    <row r="28" ht="14" customHeight="1">
      <c r="A28" s="15" t="inlineStr">
        <is>
          <t>O2 (PEC)</t>
        </is>
      </c>
      <c r="B28" s="15" t="inlineStr">
        <is>
          <t>Primary energy consumption (EU-27)</t>
        </is>
      </c>
      <c r="C28" s="15" t="inlineStr">
        <is>
          <t>Energy demand</t>
        </is>
      </c>
      <c r="D28" s="15" t="inlineStr">
        <is>
          <t>TWh</t>
        </is>
      </c>
      <c r="E28" s="63" t="n">
        <v>2011</v>
      </c>
      <c r="F28" s="64" t="n">
        <v>16423</v>
      </c>
      <c r="G28" s="14" t="inlineStr">
        <is>
          <t>In the 2024 report</t>
        </is>
      </c>
      <c r="H28" s="15" t="inlineStr">
        <is>
          <t>Eurostat (nrg_ind_eff)</t>
        </is>
      </c>
      <c r="I28" s="34" t="inlineStr">
        <is>
          <t>esabcc-o2-pec</t>
        </is>
      </c>
    </row>
    <row r="29" ht="14" customHeight="1">
      <c r="A29" s="22" t="inlineStr">
        <is>
          <t>O2 (PEC)</t>
        </is>
      </c>
      <c r="B29" s="22" t="inlineStr">
        <is>
          <t>Primary energy consumption (EU-27)</t>
        </is>
      </c>
      <c r="C29" s="22" t="inlineStr">
        <is>
          <t>Energy demand</t>
        </is>
      </c>
      <c r="D29" s="22" t="inlineStr">
        <is>
          <t>TWh</t>
        </is>
      </c>
      <c r="E29" s="65" t="n">
        <v>2012</v>
      </c>
      <c r="F29" s="66" t="n">
        <v>16238</v>
      </c>
      <c r="G29" s="67" t="inlineStr">
        <is>
          <t>In the 2024 report</t>
        </is>
      </c>
      <c r="H29" s="22" t="inlineStr">
        <is>
          <t>Eurostat (nrg_ind_eff)</t>
        </is>
      </c>
      <c r="I29" s="35" t="inlineStr">
        <is>
          <t>esabcc-o2-pec</t>
        </is>
      </c>
    </row>
    <row r="30" ht="14" customHeight="1">
      <c r="A30" s="15" t="inlineStr">
        <is>
          <t>O2 (PEC)</t>
        </is>
      </c>
      <c r="B30" s="15" t="inlineStr">
        <is>
          <t>Primary energy consumption (EU-27)</t>
        </is>
      </c>
      <c r="C30" s="15" t="inlineStr">
        <is>
          <t>Energy demand</t>
        </is>
      </c>
      <c r="D30" s="15" t="inlineStr">
        <is>
          <t>TWh</t>
        </is>
      </c>
      <c r="E30" s="63" t="n">
        <v>2013</v>
      </c>
      <c r="F30" s="64" t="n">
        <v>16098</v>
      </c>
      <c r="G30" s="14" t="inlineStr">
        <is>
          <t>In the 2024 report</t>
        </is>
      </c>
      <c r="H30" s="15" t="inlineStr">
        <is>
          <t>Eurostat (nrg_ind_eff)</t>
        </is>
      </c>
      <c r="I30" s="34" t="inlineStr">
        <is>
          <t>esabcc-o2-pec</t>
        </is>
      </c>
    </row>
    <row r="31" ht="14" customHeight="1">
      <c r="A31" s="22" t="inlineStr">
        <is>
          <t>O2 (PEC)</t>
        </is>
      </c>
      <c r="B31" s="22" t="inlineStr">
        <is>
          <t>Primary energy consumption (EU-27)</t>
        </is>
      </c>
      <c r="C31" s="22" t="inlineStr">
        <is>
          <t>Energy demand</t>
        </is>
      </c>
      <c r="D31" s="22" t="inlineStr">
        <is>
          <t>TWh</t>
        </is>
      </c>
      <c r="E31" s="65" t="n">
        <v>2014</v>
      </c>
      <c r="F31" s="66" t="n">
        <v>15473</v>
      </c>
      <c r="G31" s="67" t="inlineStr">
        <is>
          <t>In the 2024 report</t>
        </is>
      </c>
      <c r="H31" s="22" t="inlineStr">
        <is>
          <t>Eurostat (nrg_ind_eff)</t>
        </is>
      </c>
      <c r="I31" s="35" t="inlineStr">
        <is>
          <t>esabcc-o2-pec</t>
        </is>
      </c>
    </row>
    <row r="32" ht="14" customHeight="1">
      <c r="A32" s="15" t="inlineStr">
        <is>
          <t>O2 (PEC)</t>
        </is>
      </c>
      <c r="B32" s="15" t="inlineStr">
        <is>
          <t>Primary energy consumption (EU-27)</t>
        </is>
      </c>
      <c r="C32" s="15" t="inlineStr">
        <is>
          <t>Energy demand</t>
        </is>
      </c>
      <c r="D32" s="15" t="inlineStr">
        <is>
          <t>TWh</t>
        </is>
      </c>
      <c r="E32" s="63" t="n">
        <v>2015</v>
      </c>
      <c r="F32" s="64" t="n">
        <v>15732</v>
      </c>
      <c r="G32" s="14" t="inlineStr">
        <is>
          <t>In the 2024 report</t>
        </is>
      </c>
      <c r="H32" s="15" t="inlineStr">
        <is>
          <t>Eurostat (nrg_ind_eff)</t>
        </is>
      </c>
      <c r="I32" s="34" t="inlineStr">
        <is>
          <t>esabcc-o2-pec</t>
        </is>
      </c>
    </row>
    <row r="33" ht="14" customHeight="1">
      <c r="A33" s="22" t="inlineStr">
        <is>
          <t>O2 (PEC)</t>
        </is>
      </c>
      <c r="B33" s="22" t="inlineStr">
        <is>
          <t>Primary energy consumption (EU-27)</t>
        </is>
      </c>
      <c r="C33" s="22" t="inlineStr">
        <is>
          <t>Energy demand</t>
        </is>
      </c>
      <c r="D33" s="22" t="inlineStr">
        <is>
          <t>TWh</t>
        </is>
      </c>
      <c r="E33" s="65" t="n">
        <v>2016</v>
      </c>
      <c r="F33" s="66" t="n">
        <v>15864</v>
      </c>
      <c r="G33" s="67" t="inlineStr">
        <is>
          <t>In the 2024 report</t>
        </is>
      </c>
      <c r="H33" s="22" t="inlineStr">
        <is>
          <t>Eurostat (nrg_ind_eff)</t>
        </is>
      </c>
      <c r="I33" s="35" t="inlineStr">
        <is>
          <t>esabcc-o2-pec</t>
        </is>
      </c>
    </row>
    <row r="34" ht="14" customHeight="1">
      <c r="A34" s="15" t="inlineStr">
        <is>
          <t>O2 (PEC)</t>
        </is>
      </c>
      <c r="B34" s="15" t="inlineStr">
        <is>
          <t>Primary energy consumption (EU-27)</t>
        </is>
      </c>
      <c r="C34" s="15" t="inlineStr">
        <is>
          <t>Energy demand</t>
        </is>
      </c>
      <c r="D34" s="15" t="inlineStr">
        <is>
          <t>TWh</t>
        </is>
      </c>
      <c r="E34" s="63" t="n">
        <v>2017</v>
      </c>
      <c r="F34" s="64" t="n">
        <v>16094</v>
      </c>
      <c r="G34" s="14" t="inlineStr">
        <is>
          <t>In the 2024 report</t>
        </is>
      </c>
      <c r="H34" s="15" t="inlineStr">
        <is>
          <t>Eurostat (nrg_ind_eff)</t>
        </is>
      </c>
      <c r="I34" s="34" t="inlineStr">
        <is>
          <t>esabcc-o2-pec</t>
        </is>
      </c>
    </row>
    <row r="35" ht="14" customHeight="1">
      <c r="A35" s="22" t="inlineStr">
        <is>
          <t>O2 (PEC)</t>
        </is>
      </c>
      <c r="B35" s="22" t="inlineStr">
        <is>
          <t>Primary energy consumption (EU-27)</t>
        </is>
      </c>
      <c r="C35" s="22" t="inlineStr">
        <is>
          <t>Energy demand</t>
        </is>
      </c>
      <c r="D35" s="22" t="inlineStr">
        <is>
          <t>TWh</t>
        </is>
      </c>
      <c r="E35" s="65" t="n">
        <v>2018</v>
      </c>
      <c r="F35" s="66" t="n">
        <v>16018</v>
      </c>
      <c r="G35" s="67" t="inlineStr">
        <is>
          <t>In the 2024 report</t>
        </is>
      </c>
      <c r="H35" s="22" t="inlineStr">
        <is>
          <t>Eurostat (nrg_ind_eff)</t>
        </is>
      </c>
      <c r="I35" s="35" t="inlineStr">
        <is>
          <t>esabcc-o2-pec</t>
        </is>
      </c>
    </row>
    <row r="36" ht="14" customHeight="1">
      <c r="A36" s="15" t="inlineStr">
        <is>
          <t>O2 (PEC)</t>
        </is>
      </c>
      <c r="B36" s="15" t="inlineStr">
        <is>
          <t>Primary energy consumption (EU-27)</t>
        </is>
      </c>
      <c r="C36" s="15" t="inlineStr">
        <is>
          <t>Energy demand</t>
        </is>
      </c>
      <c r="D36" s="15" t="inlineStr">
        <is>
          <t>TWh</t>
        </is>
      </c>
      <c r="E36" s="63" t="n">
        <v>2019</v>
      </c>
      <c r="F36" s="64" t="n">
        <v>15748</v>
      </c>
      <c r="G36" s="14" t="inlineStr">
        <is>
          <t>In the 2024 report</t>
        </is>
      </c>
      <c r="H36" s="15" t="inlineStr">
        <is>
          <t>Eurostat (nrg_ind_eff)</t>
        </is>
      </c>
      <c r="I36" s="34" t="inlineStr">
        <is>
          <t>esabcc-o2-pec</t>
        </is>
      </c>
    </row>
    <row r="37" ht="14" customHeight="1">
      <c r="A37" s="22" t="inlineStr">
        <is>
          <t>O2 (PEC)</t>
        </is>
      </c>
      <c r="B37" s="22" t="inlineStr">
        <is>
          <t>Primary energy consumption (EU-27)</t>
        </is>
      </c>
      <c r="C37" s="22" t="inlineStr">
        <is>
          <t>Energy demand</t>
        </is>
      </c>
      <c r="D37" s="22" t="inlineStr">
        <is>
          <t>TWh</t>
        </is>
      </c>
      <c r="E37" s="65" t="n">
        <v>2020</v>
      </c>
      <c r="F37" s="66" t="n">
        <v>14372</v>
      </c>
      <c r="G37" s="67" t="inlineStr">
        <is>
          <t>In the 2024 report</t>
        </is>
      </c>
      <c r="H37" s="22" t="inlineStr">
        <is>
          <t>Eurostat (nrg_ind_eff)</t>
        </is>
      </c>
      <c r="I37" s="35" t="inlineStr">
        <is>
          <t>esabcc-o2-pec</t>
        </is>
      </c>
    </row>
    <row r="38" ht="14" customHeight="1">
      <c r="A38" s="15" t="inlineStr">
        <is>
          <t>O2 (PEC)</t>
        </is>
      </c>
      <c r="B38" s="15" t="inlineStr">
        <is>
          <t>Primary energy consumption (EU-27)</t>
        </is>
      </c>
      <c r="C38" s="15" t="inlineStr">
        <is>
          <t>Energy demand</t>
        </is>
      </c>
      <c r="D38" s="15" t="inlineStr">
        <is>
          <t>TWh</t>
        </is>
      </c>
      <c r="E38" s="63" t="n">
        <v>2021</v>
      </c>
      <c r="F38" s="64" t="n">
        <v>15248</v>
      </c>
      <c r="G38" s="14" t="inlineStr">
        <is>
          <t>In the 2024 report</t>
        </is>
      </c>
      <c r="H38" s="15" t="inlineStr">
        <is>
          <t>Eurostat (nrg_ind_eff)</t>
        </is>
      </c>
      <c r="I38" s="34" t="inlineStr">
        <is>
          <t>esabcc-o2-pec</t>
        </is>
      </c>
    </row>
    <row r="39" ht="14" customHeight="1">
      <c r="A39" s="22" t="inlineStr">
        <is>
          <t>O2 (PEC)</t>
        </is>
      </c>
      <c r="B39" s="22" t="inlineStr">
        <is>
          <t>Primary energy consumption (EU-27)</t>
        </is>
      </c>
      <c r="C39" s="22" t="inlineStr">
        <is>
          <t>Energy demand</t>
        </is>
      </c>
      <c r="D39" s="22" t="inlineStr">
        <is>
          <t>TWh</t>
        </is>
      </c>
      <c r="E39" s="65" t="n">
        <v>2022</v>
      </c>
      <c r="F39" s="66" t="n">
        <v>14644.7</v>
      </c>
      <c r="G39" s="69" t="inlineStr">
        <is>
          <t>Added since the report</t>
        </is>
      </c>
      <c r="H39" s="22" t="inlineStr">
        <is>
          <t>Eurostat (nrg_ind_eff)</t>
        </is>
      </c>
      <c r="I39" s="35" t="inlineStr">
        <is>
          <t>esabcc-o2-pec</t>
        </is>
      </c>
    </row>
    <row r="40" ht="14" customHeight="1">
      <c r="A40" s="15" t="inlineStr">
        <is>
          <t>O2 (PEC)</t>
        </is>
      </c>
      <c r="B40" s="15" t="inlineStr">
        <is>
          <t>Primary energy consumption (EU-27)</t>
        </is>
      </c>
      <c r="C40" s="15" t="inlineStr">
        <is>
          <t>Energy demand</t>
        </is>
      </c>
      <c r="D40" s="15" t="inlineStr">
        <is>
          <t>TWh</t>
        </is>
      </c>
      <c r="E40" s="63" t="n">
        <v>2023</v>
      </c>
      <c r="F40" s="64" t="n">
        <v>14045.2</v>
      </c>
      <c r="G40" s="68" t="inlineStr">
        <is>
          <t>Added since the report</t>
        </is>
      </c>
      <c r="H40" s="15" t="inlineStr">
        <is>
          <t>Eurostat (nrg_ind_eff)</t>
        </is>
      </c>
      <c r="I40" s="34" t="inlineStr">
        <is>
          <t>esabcc-o2-pec</t>
        </is>
      </c>
    </row>
    <row r="41" ht="14" customHeight="1">
      <c r="A41" s="22" t="inlineStr">
        <is>
          <t>O2 (PEC)</t>
        </is>
      </c>
      <c r="B41" s="22" t="inlineStr">
        <is>
          <t>Primary energy consumption (EU-27)</t>
        </is>
      </c>
      <c r="C41" s="22" t="inlineStr">
        <is>
          <t>Energy demand</t>
        </is>
      </c>
      <c r="D41" s="22" t="inlineStr">
        <is>
          <t>TWh</t>
        </is>
      </c>
      <c r="E41" s="65" t="n">
        <v>2024</v>
      </c>
      <c r="F41" s="66" t="n">
        <v>13883</v>
      </c>
      <c r="G41" s="69" t="inlineStr">
        <is>
          <t>Added since the report</t>
        </is>
      </c>
      <c r="H41" s="22" t="inlineStr">
        <is>
          <t>Eurostat (nrg_ind_eff)</t>
        </is>
      </c>
      <c r="I41" s="35" t="inlineStr">
        <is>
          <t>esabcc-o2-pec</t>
        </is>
      </c>
    </row>
    <row r="42" ht="14" customHeight="1">
      <c r="A42" s="15" t="inlineStr">
        <is>
          <t>O2 (FEC)</t>
        </is>
      </c>
      <c r="B42" s="15" t="inlineStr">
        <is>
          <t>Final energy consumption (EU-27)</t>
        </is>
      </c>
      <c r="C42" s="15" t="inlineStr">
        <is>
          <t>Energy demand</t>
        </is>
      </c>
      <c r="D42" s="15" t="inlineStr">
        <is>
          <t>TWh</t>
        </is>
      </c>
      <c r="E42" s="63" t="n">
        <v>2005</v>
      </c>
      <c r="F42" s="64" t="n">
        <v>12110</v>
      </c>
      <c r="G42" s="14" t="inlineStr">
        <is>
          <t>In the 2024 report</t>
        </is>
      </c>
      <c r="H42" s="15" t="inlineStr">
        <is>
          <t>Eurostat (nrg_ind_eff)</t>
        </is>
      </c>
      <c r="I42" s="34" t="inlineStr">
        <is>
          <t>esabcc-o2-fec</t>
        </is>
      </c>
    </row>
    <row r="43" ht="14" customHeight="1">
      <c r="A43" s="22" t="inlineStr">
        <is>
          <t>O2 (FEC)</t>
        </is>
      </c>
      <c r="B43" s="22" t="inlineStr">
        <is>
          <t>Final energy consumption (EU-27)</t>
        </is>
      </c>
      <c r="C43" s="22" t="inlineStr">
        <is>
          <t>Energy demand</t>
        </is>
      </c>
      <c r="D43" s="22" t="inlineStr">
        <is>
          <t>TWh</t>
        </is>
      </c>
      <c r="E43" s="65" t="n">
        <v>2006</v>
      </c>
      <c r="F43" s="66" t="n">
        <v>12163</v>
      </c>
      <c r="G43" s="67" t="inlineStr">
        <is>
          <t>In the 2024 report</t>
        </is>
      </c>
      <c r="H43" s="22" t="inlineStr">
        <is>
          <t>Eurostat (nrg_ind_eff)</t>
        </is>
      </c>
      <c r="I43" s="35" t="inlineStr">
        <is>
          <t>esabcc-o2-fec</t>
        </is>
      </c>
    </row>
    <row r="44" ht="14" customHeight="1">
      <c r="A44" s="15" t="inlineStr">
        <is>
          <t>O2 (FEC)</t>
        </is>
      </c>
      <c r="B44" s="15" t="inlineStr">
        <is>
          <t>Final energy consumption (EU-27)</t>
        </is>
      </c>
      <c r="C44" s="15" t="inlineStr">
        <is>
          <t>Energy demand</t>
        </is>
      </c>
      <c r="D44" s="15" t="inlineStr">
        <is>
          <t>TWh</t>
        </is>
      </c>
      <c r="E44" s="63" t="n">
        <v>2007</v>
      </c>
      <c r="F44" s="64" t="n">
        <v>11962</v>
      </c>
      <c r="G44" s="14" t="inlineStr">
        <is>
          <t>In the 2024 report</t>
        </is>
      </c>
      <c r="H44" s="15" t="inlineStr">
        <is>
          <t>Eurostat (nrg_ind_eff)</t>
        </is>
      </c>
      <c r="I44" s="34" t="inlineStr">
        <is>
          <t>esabcc-o2-fec</t>
        </is>
      </c>
    </row>
    <row r="45" ht="14" customHeight="1">
      <c r="A45" s="22" t="inlineStr">
        <is>
          <t>O2 (FEC)</t>
        </is>
      </c>
      <c r="B45" s="22" t="inlineStr">
        <is>
          <t>Final energy consumption (EU-27)</t>
        </is>
      </c>
      <c r="C45" s="22" t="inlineStr">
        <is>
          <t>Energy demand</t>
        </is>
      </c>
      <c r="D45" s="22" t="inlineStr">
        <is>
          <t>TWh</t>
        </is>
      </c>
      <c r="E45" s="65" t="n">
        <v>2008</v>
      </c>
      <c r="F45" s="66" t="n">
        <v>12057</v>
      </c>
      <c r="G45" s="67" t="inlineStr">
        <is>
          <t>In the 2024 report</t>
        </is>
      </c>
      <c r="H45" s="22" t="inlineStr">
        <is>
          <t>Eurostat (nrg_ind_eff)</t>
        </is>
      </c>
      <c r="I45" s="35" t="inlineStr">
        <is>
          <t>esabcc-o2-fec</t>
        </is>
      </c>
    </row>
    <row r="46" ht="14" customHeight="1">
      <c r="A46" s="15" t="inlineStr">
        <is>
          <t>O2 (FEC)</t>
        </is>
      </c>
      <c r="B46" s="15" t="inlineStr">
        <is>
          <t>Final energy consumption (EU-27)</t>
        </is>
      </c>
      <c r="C46" s="15" t="inlineStr">
        <is>
          <t>Energy demand</t>
        </is>
      </c>
      <c r="D46" s="15" t="inlineStr">
        <is>
          <t>TWh</t>
        </is>
      </c>
      <c r="E46" s="63" t="n">
        <v>2009</v>
      </c>
      <c r="F46" s="64" t="n">
        <v>11407</v>
      </c>
      <c r="G46" s="14" t="inlineStr">
        <is>
          <t>In the 2024 report</t>
        </is>
      </c>
      <c r="H46" s="15" t="inlineStr">
        <is>
          <t>Eurostat (nrg_ind_eff)</t>
        </is>
      </c>
      <c r="I46" s="34" t="inlineStr">
        <is>
          <t>esabcc-o2-fec</t>
        </is>
      </c>
    </row>
    <row r="47" ht="14" customHeight="1">
      <c r="A47" s="22" t="inlineStr">
        <is>
          <t>O2 (FEC)</t>
        </is>
      </c>
      <c r="B47" s="22" t="inlineStr">
        <is>
          <t>Final energy consumption (EU-27)</t>
        </is>
      </c>
      <c r="C47" s="22" t="inlineStr">
        <is>
          <t>Energy demand</t>
        </is>
      </c>
      <c r="D47" s="22" t="inlineStr">
        <is>
          <t>TWh</t>
        </is>
      </c>
      <c r="E47" s="65" t="n">
        <v>2010</v>
      </c>
      <c r="F47" s="66" t="n">
        <v>11915</v>
      </c>
      <c r="G47" s="67" t="inlineStr">
        <is>
          <t>In the 2024 report</t>
        </is>
      </c>
      <c r="H47" s="22" t="inlineStr">
        <is>
          <t>Eurostat (nrg_ind_eff)</t>
        </is>
      </c>
      <c r="I47" s="35" t="inlineStr">
        <is>
          <t>esabcc-o2-fec</t>
        </is>
      </c>
    </row>
    <row r="48" ht="14" customHeight="1">
      <c r="A48" s="15" t="inlineStr">
        <is>
          <t>O2 (FEC)</t>
        </is>
      </c>
      <c r="B48" s="15" t="inlineStr">
        <is>
          <t>Final energy consumption (EU-27)</t>
        </is>
      </c>
      <c r="C48" s="15" t="inlineStr">
        <is>
          <t>Energy demand</t>
        </is>
      </c>
      <c r="D48" s="15" t="inlineStr">
        <is>
          <t>TWh</t>
        </is>
      </c>
      <c r="E48" s="63" t="n">
        <v>2011</v>
      </c>
      <c r="F48" s="64" t="n">
        <v>11451</v>
      </c>
      <c r="G48" s="14" t="inlineStr">
        <is>
          <t>In the 2024 report</t>
        </is>
      </c>
      <c r="H48" s="15" t="inlineStr">
        <is>
          <t>Eurostat (nrg_ind_eff)</t>
        </is>
      </c>
      <c r="I48" s="34" t="inlineStr">
        <is>
          <t>esabcc-o2-fec</t>
        </is>
      </c>
    </row>
    <row r="49" ht="14" customHeight="1">
      <c r="A49" s="22" t="inlineStr">
        <is>
          <t>O2 (FEC)</t>
        </is>
      </c>
      <c r="B49" s="22" t="inlineStr">
        <is>
          <t>Final energy consumption (EU-27)</t>
        </is>
      </c>
      <c r="C49" s="22" t="inlineStr">
        <is>
          <t>Energy demand</t>
        </is>
      </c>
      <c r="D49" s="22" t="inlineStr">
        <is>
          <t>TWh</t>
        </is>
      </c>
      <c r="E49" s="65" t="n">
        <v>2012</v>
      </c>
      <c r="F49" s="66" t="n">
        <v>11427</v>
      </c>
      <c r="G49" s="67" t="inlineStr">
        <is>
          <t>In the 2024 report</t>
        </is>
      </c>
      <c r="H49" s="22" t="inlineStr">
        <is>
          <t>Eurostat (nrg_ind_eff)</t>
        </is>
      </c>
      <c r="I49" s="35" t="inlineStr">
        <is>
          <t>esabcc-o2-fec</t>
        </is>
      </c>
    </row>
    <row r="50" ht="14" customHeight="1">
      <c r="A50" s="15" t="inlineStr">
        <is>
          <t>O2 (FEC)</t>
        </is>
      </c>
      <c r="B50" s="15" t="inlineStr">
        <is>
          <t>Final energy consumption (EU-27)</t>
        </is>
      </c>
      <c r="C50" s="15" t="inlineStr">
        <is>
          <t>Energy demand</t>
        </is>
      </c>
      <c r="D50" s="15" t="inlineStr">
        <is>
          <t>TWh</t>
        </is>
      </c>
      <c r="E50" s="63" t="n">
        <v>2013</v>
      </c>
      <c r="F50" s="64" t="n">
        <v>11401</v>
      </c>
      <c r="G50" s="14" t="inlineStr">
        <is>
          <t>In the 2024 report</t>
        </is>
      </c>
      <c r="H50" s="15" t="inlineStr">
        <is>
          <t>Eurostat (nrg_ind_eff)</t>
        </is>
      </c>
      <c r="I50" s="34" t="inlineStr">
        <is>
          <t>esabcc-o2-fec</t>
        </is>
      </c>
    </row>
    <row r="51" ht="14" customHeight="1">
      <c r="A51" s="22" t="inlineStr">
        <is>
          <t>O2 (FEC)</t>
        </is>
      </c>
      <c r="B51" s="22" t="inlineStr">
        <is>
          <t>Final energy consumption (EU-27)</t>
        </is>
      </c>
      <c r="C51" s="22" t="inlineStr">
        <is>
          <t>Energy demand</t>
        </is>
      </c>
      <c r="D51" s="22" t="inlineStr">
        <is>
          <t>TWh</t>
        </is>
      </c>
      <c r="E51" s="65" t="n">
        <v>2014</v>
      </c>
      <c r="F51" s="66" t="n">
        <v>10918</v>
      </c>
      <c r="G51" s="67" t="inlineStr">
        <is>
          <t>In the 2024 report</t>
        </is>
      </c>
      <c r="H51" s="22" t="inlineStr">
        <is>
          <t>Eurostat (nrg_ind_eff)</t>
        </is>
      </c>
      <c r="I51" s="35" t="inlineStr">
        <is>
          <t>esabcc-o2-fec</t>
        </is>
      </c>
    </row>
    <row r="52" ht="14" customHeight="1">
      <c r="A52" s="15" t="inlineStr">
        <is>
          <t>O2 (FEC)</t>
        </is>
      </c>
      <c r="B52" s="15" t="inlineStr">
        <is>
          <t>Final energy consumption (EU-27)</t>
        </is>
      </c>
      <c r="C52" s="15" t="inlineStr">
        <is>
          <t>Energy demand</t>
        </is>
      </c>
      <c r="D52" s="15" t="inlineStr">
        <is>
          <t>TWh</t>
        </is>
      </c>
      <c r="E52" s="63" t="n">
        <v>2015</v>
      </c>
      <c r="F52" s="64" t="n">
        <v>11140</v>
      </c>
      <c r="G52" s="14" t="inlineStr">
        <is>
          <t>In the 2024 report</t>
        </is>
      </c>
      <c r="H52" s="15" t="inlineStr">
        <is>
          <t>Eurostat (nrg_ind_eff)</t>
        </is>
      </c>
      <c r="I52" s="34" t="inlineStr">
        <is>
          <t>esabcc-o2-fec</t>
        </is>
      </c>
    </row>
    <row r="53" ht="14" customHeight="1">
      <c r="A53" s="22" t="inlineStr">
        <is>
          <t>O2 (FEC)</t>
        </is>
      </c>
      <c r="B53" s="22" t="inlineStr">
        <is>
          <t>Final energy consumption (EU-27)</t>
        </is>
      </c>
      <c r="C53" s="22" t="inlineStr">
        <is>
          <t>Energy demand</t>
        </is>
      </c>
      <c r="D53" s="22" t="inlineStr">
        <is>
          <t>TWh</t>
        </is>
      </c>
      <c r="E53" s="65" t="n">
        <v>2016</v>
      </c>
      <c r="F53" s="66" t="n">
        <v>11361</v>
      </c>
      <c r="G53" s="67" t="inlineStr">
        <is>
          <t>In the 2024 report</t>
        </is>
      </c>
      <c r="H53" s="22" t="inlineStr">
        <is>
          <t>Eurostat (nrg_ind_eff)</t>
        </is>
      </c>
      <c r="I53" s="35" t="inlineStr">
        <is>
          <t>esabcc-o2-fec</t>
        </is>
      </c>
    </row>
    <row r="54" ht="14" customHeight="1">
      <c r="A54" s="15" t="inlineStr">
        <is>
          <t>O2 (FEC)</t>
        </is>
      </c>
      <c r="B54" s="15" t="inlineStr">
        <is>
          <t>Final energy consumption (EU-27)</t>
        </is>
      </c>
      <c r="C54" s="15" t="inlineStr">
        <is>
          <t>Energy demand</t>
        </is>
      </c>
      <c r="D54" s="15" t="inlineStr">
        <is>
          <t>TWh</t>
        </is>
      </c>
      <c r="E54" s="63" t="n">
        <v>2017</v>
      </c>
      <c r="F54" s="64" t="n">
        <v>11502</v>
      </c>
      <c r="G54" s="14" t="inlineStr">
        <is>
          <t>In the 2024 report</t>
        </is>
      </c>
      <c r="H54" s="15" t="inlineStr">
        <is>
          <t>Eurostat (nrg_ind_eff)</t>
        </is>
      </c>
      <c r="I54" s="34" t="inlineStr">
        <is>
          <t>esabcc-o2-fec</t>
        </is>
      </c>
    </row>
    <row r="55" ht="14" customHeight="1">
      <c r="A55" s="22" t="inlineStr">
        <is>
          <t>O2 (FEC)</t>
        </is>
      </c>
      <c r="B55" s="22" t="inlineStr">
        <is>
          <t>Final energy consumption (EU-27)</t>
        </is>
      </c>
      <c r="C55" s="22" t="inlineStr">
        <is>
          <t>Energy demand</t>
        </is>
      </c>
      <c r="D55" s="22" t="inlineStr">
        <is>
          <t>TWh</t>
        </is>
      </c>
      <c r="E55" s="65" t="n">
        <v>2018</v>
      </c>
      <c r="F55" s="66" t="n">
        <v>11532</v>
      </c>
      <c r="G55" s="67" t="inlineStr">
        <is>
          <t>In the 2024 report</t>
        </is>
      </c>
      <c r="H55" s="22" t="inlineStr">
        <is>
          <t>Eurostat (nrg_ind_eff)</t>
        </is>
      </c>
      <c r="I55" s="35" t="inlineStr">
        <is>
          <t>esabcc-o2-fec</t>
        </is>
      </c>
    </row>
    <row r="56" ht="14" customHeight="1">
      <c r="A56" s="15" t="inlineStr">
        <is>
          <t>O2 (FEC)</t>
        </is>
      </c>
      <c r="B56" s="15" t="inlineStr">
        <is>
          <t>Final energy consumption (EU-27)</t>
        </is>
      </c>
      <c r="C56" s="15" t="inlineStr">
        <is>
          <t>Energy demand</t>
        </is>
      </c>
      <c r="D56" s="15" t="inlineStr">
        <is>
          <t>TWh</t>
        </is>
      </c>
      <c r="E56" s="63" t="n">
        <v>2019</v>
      </c>
      <c r="F56" s="64" t="n">
        <v>11467</v>
      </c>
      <c r="G56" s="14" t="inlineStr">
        <is>
          <t>In the 2024 report</t>
        </is>
      </c>
      <c r="H56" s="15" t="inlineStr">
        <is>
          <t>Eurostat (nrg_ind_eff)</t>
        </is>
      </c>
      <c r="I56" s="34" t="inlineStr">
        <is>
          <t>esabcc-o2-fec</t>
        </is>
      </c>
    </row>
    <row r="57" ht="14" customHeight="1">
      <c r="A57" s="22" t="inlineStr">
        <is>
          <t>O2 (FEC)</t>
        </is>
      </c>
      <c r="B57" s="22" t="inlineStr">
        <is>
          <t>Final energy consumption (EU-27)</t>
        </is>
      </c>
      <c r="C57" s="22" t="inlineStr">
        <is>
          <t>Energy demand</t>
        </is>
      </c>
      <c r="D57" s="22" t="inlineStr">
        <is>
          <t>TWh</t>
        </is>
      </c>
      <c r="E57" s="65" t="n">
        <v>2020</v>
      </c>
      <c r="F57" s="66" t="n">
        <v>10540</v>
      </c>
      <c r="G57" s="67" t="inlineStr">
        <is>
          <t>In the 2024 report</t>
        </is>
      </c>
      <c r="H57" s="22" t="inlineStr">
        <is>
          <t>Eurostat (nrg_ind_eff)</t>
        </is>
      </c>
      <c r="I57" s="35" t="inlineStr">
        <is>
          <t>esabcc-o2-fec</t>
        </is>
      </c>
    </row>
    <row r="58" ht="14" customHeight="1">
      <c r="A58" s="15" t="inlineStr">
        <is>
          <t>O2 (FEC)</t>
        </is>
      </c>
      <c r="B58" s="15" t="inlineStr">
        <is>
          <t>Final energy consumption (EU-27)</t>
        </is>
      </c>
      <c r="C58" s="15" t="inlineStr">
        <is>
          <t>Energy demand</t>
        </is>
      </c>
      <c r="D58" s="15" t="inlineStr">
        <is>
          <t>TWh</t>
        </is>
      </c>
      <c r="E58" s="63" t="n">
        <v>2021</v>
      </c>
      <c r="F58" s="64" t="n">
        <v>11263</v>
      </c>
      <c r="G58" s="14" t="inlineStr">
        <is>
          <t>In the 2024 report</t>
        </is>
      </c>
      <c r="H58" s="15" t="inlineStr">
        <is>
          <t>Eurostat (nrg_ind_eff)</t>
        </is>
      </c>
      <c r="I58" s="34" t="inlineStr">
        <is>
          <t>esabcc-o2-fec</t>
        </is>
      </c>
    </row>
    <row r="59" ht="14" customHeight="1">
      <c r="A59" s="22" t="inlineStr">
        <is>
          <t>O2 (FEC)</t>
        </is>
      </c>
      <c r="B59" s="22" t="inlineStr">
        <is>
          <t>Final energy consumption (EU-27)</t>
        </is>
      </c>
      <c r="C59" s="22" t="inlineStr">
        <is>
          <t>Energy demand</t>
        </is>
      </c>
      <c r="D59" s="22" t="inlineStr">
        <is>
          <t>TWh</t>
        </is>
      </c>
      <c r="E59" s="65" t="n">
        <v>2022</v>
      </c>
      <c r="F59" s="66" t="n">
        <v>10704.7</v>
      </c>
      <c r="G59" s="69" t="inlineStr">
        <is>
          <t>Added since the report</t>
        </is>
      </c>
      <c r="H59" s="22" t="inlineStr">
        <is>
          <t>Eurostat (nrg_ind_eff)</t>
        </is>
      </c>
      <c r="I59" s="35" t="inlineStr">
        <is>
          <t>esabcc-o2-fec</t>
        </is>
      </c>
    </row>
    <row r="60" ht="14" customHeight="1">
      <c r="A60" s="15" t="inlineStr">
        <is>
          <t>O2 (FEC)</t>
        </is>
      </c>
      <c r="B60" s="15" t="inlineStr">
        <is>
          <t>Final energy consumption (EU-27)</t>
        </is>
      </c>
      <c r="C60" s="15" t="inlineStr">
        <is>
          <t>Energy demand</t>
        </is>
      </c>
      <c r="D60" s="15" t="inlineStr">
        <is>
          <t>TWh</t>
        </is>
      </c>
      <c r="E60" s="63" t="n">
        <v>2023</v>
      </c>
      <c r="F60" s="64" t="n">
        <v>10388.7</v>
      </c>
      <c r="G60" s="68" t="inlineStr">
        <is>
          <t>Added since the report</t>
        </is>
      </c>
      <c r="H60" s="15" t="inlineStr">
        <is>
          <t>Eurostat (nrg_ind_eff)</t>
        </is>
      </c>
      <c r="I60" s="34" t="inlineStr">
        <is>
          <t>esabcc-o2-fec</t>
        </is>
      </c>
    </row>
    <row r="61" ht="14" customHeight="1">
      <c r="A61" s="22" t="inlineStr">
        <is>
          <t>O2 (FEC)</t>
        </is>
      </c>
      <c r="B61" s="22" t="inlineStr">
        <is>
          <t>Final energy consumption (EU-27)</t>
        </is>
      </c>
      <c r="C61" s="22" t="inlineStr">
        <is>
          <t>Energy demand</t>
        </is>
      </c>
      <c r="D61" s="22" t="inlineStr">
        <is>
          <t>TWh</t>
        </is>
      </c>
      <c r="E61" s="65" t="n">
        <v>2024</v>
      </c>
      <c r="F61" s="66" t="n">
        <v>10471.8</v>
      </c>
      <c r="G61" s="69" t="inlineStr">
        <is>
          <t>Added since the report</t>
        </is>
      </c>
      <c r="H61" s="22" t="inlineStr">
        <is>
          <t>Eurostat (nrg_ind_eff)</t>
        </is>
      </c>
      <c r="I61" s="35" t="inlineStr">
        <is>
          <t>esabcc-o2-fec</t>
        </is>
      </c>
    </row>
    <row r="62" ht="14" customHeight="1">
      <c r="A62" s="15" t="inlineStr">
        <is>
          <t>O3</t>
        </is>
      </c>
      <c r="B62" s="15" t="inlineStr">
        <is>
          <t>Gross inland energy consumption (EU-27)</t>
        </is>
      </c>
      <c r="C62" s="15" t="inlineStr">
        <is>
          <t>Energy demand</t>
        </is>
      </c>
      <c r="D62" s="15" t="inlineStr">
        <is>
          <t>TWh</t>
        </is>
      </c>
      <c r="E62" s="63" t="n">
        <v>2005</v>
      </c>
      <c r="F62" s="64" t="n">
        <v>18652</v>
      </c>
      <c r="G62" s="14" t="inlineStr">
        <is>
          <t>In the 2024 report</t>
        </is>
      </c>
      <c r="H62" s="15" t="inlineStr">
        <is>
          <t>Eurostat (nrg_bal_c)</t>
        </is>
      </c>
      <c r="I62" s="34" t="inlineStr">
        <is>
          <t>esabcc-o3-gross-inland</t>
        </is>
      </c>
    </row>
    <row r="63" ht="14" customHeight="1">
      <c r="A63" s="22" t="inlineStr">
        <is>
          <t>O3</t>
        </is>
      </c>
      <c r="B63" s="22" t="inlineStr">
        <is>
          <t>Gross inland energy consumption (EU-27)</t>
        </is>
      </c>
      <c r="C63" s="22" t="inlineStr">
        <is>
          <t>Energy demand</t>
        </is>
      </c>
      <c r="D63" s="22" t="inlineStr">
        <is>
          <t>TWh</t>
        </is>
      </c>
      <c r="E63" s="65" t="n">
        <v>2006</v>
      </c>
      <c r="F63" s="66" t="n">
        <v>18809</v>
      </c>
      <c r="G63" s="67" t="inlineStr">
        <is>
          <t>In the 2024 report</t>
        </is>
      </c>
      <c r="H63" s="22" t="inlineStr">
        <is>
          <t>Eurostat (nrg_bal_c)</t>
        </is>
      </c>
      <c r="I63" s="35" t="inlineStr">
        <is>
          <t>esabcc-o3-gross-inland</t>
        </is>
      </c>
    </row>
    <row r="64" ht="14" customHeight="1">
      <c r="A64" s="15" t="inlineStr">
        <is>
          <t>O3</t>
        </is>
      </c>
      <c r="B64" s="15" t="inlineStr">
        <is>
          <t>Gross inland energy consumption (EU-27)</t>
        </is>
      </c>
      <c r="C64" s="15" t="inlineStr">
        <is>
          <t>Energy demand</t>
        </is>
      </c>
      <c r="D64" s="15" t="inlineStr">
        <is>
          <t>TWh</t>
        </is>
      </c>
      <c r="E64" s="63" t="n">
        <v>2007</v>
      </c>
      <c r="F64" s="64" t="n">
        <v>18570</v>
      </c>
      <c r="G64" s="14" t="inlineStr">
        <is>
          <t>In the 2024 report</t>
        </is>
      </c>
      <c r="H64" s="15" t="inlineStr">
        <is>
          <t>Eurostat (nrg_bal_c)</t>
        </is>
      </c>
      <c r="I64" s="34" t="inlineStr">
        <is>
          <t>esabcc-o3-gross-inland</t>
        </is>
      </c>
    </row>
    <row r="65" ht="14" customHeight="1">
      <c r="A65" s="22" t="inlineStr">
        <is>
          <t>O3</t>
        </is>
      </c>
      <c r="B65" s="22" t="inlineStr">
        <is>
          <t>Gross inland energy consumption (EU-27)</t>
        </is>
      </c>
      <c r="C65" s="22" t="inlineStr">
        <is>
          <t>Energy demand</t>
        </is>
      </c>
      <c r="D65" s="22" t="inlineStr">
        <is>
          <t>TWh</t>
        </is>
      </c>
      <c r="E65" s="65" t="n">
        <v>2008</v>
      </c>
      <c r="F65" s="66" t="n">
        <v>18524</v>
      </c>
      <c r="G65" s="67" t="inlineStr">
        <is>
          <t>In the 2024 report</t>
        </is>
      </c>
      <c r="H65" s="22" t="inlineStr">
        <is>
          <t>Eurostat (nrg_bal_c)</t>
        </is>
      </c>
      <c r="I65" s="35" t="inlineStr">
        <is>
          <t>esabcc-o3-gross-inland</t>
        </is>
      </c>
    </row>
    <row r="66" ht="14" customHeight="1">
      <c r="A66" s="15" t="inlineStr">
        <is>
          <t>O3</t>
        </is>
      </c>
      <c r="B66" s="15" t="inlineStr">
        <is>
          <t>Gross inland energy consumption (EU-27)</t>
        </is>
      </c>
      <c r="C66" s="15" t="inlineStr">
        <is>
          <t>Energy demand</t>
        </is>
      </c>
      <c r="D66" s="15" t="inlineStr">
        <is>
          <t>TWh</t>
        </is>
      </c>
      <c r="E66" s="63" t="n">
        <v>2009</v>
      </c>
      <c r="F66" s="64" t="n">
        <v>17430</v>
      </c>
      <c r="G66" s="14" t="inlineStr">
        <is>
          <t>In the 2024 report</t>
        </is>
      </c>
      <c r="H66" s="15" t="inlineStr">
        <is>
          <t>Eurostat (nrg_bal_c)</t>
        </is>
      </c>
      <c r="I66" s="34" t="inlineStr">
        <is>
          <t>esabcc-o3-gross-inland</t>
        </is>
      </c>
    </row>
    <row r="67" ht="14" customHeight="1">
      <c r="A67" s="22" t="inlineStr">
        <is>
          <t>O3</t>
        </is>
      </c>
      <c r="B67" s="22" t="inlineStr">
        <is>
          <t>Gross inland energy consumption (EU-27)</t>
        </is>
      </c>
      <c r="C67" s="22" t="inlineStr">
        <is>
          <t>Energy demand</t>
        </is>
      </c>
      <c r="D67" s="22" t="inlineStr">
        <is>
          <t>TWh</t>
        </is>
      </c>
      <c r="E67" s="65" t="n">
        <v>2010</v>
      </c>
      <c r="F67" s="66" t="n">
        <v>18131</v>
      </c>
      <c r="G67" s="67" t="inlineStr">
        <is>
          <t>In the 2024 report</t>
        </is>
      </c>
      <c r="H67" s="22" t="inlineStr">
        <is>
          <t>Eurostat (nrg_bal_c)</t>
        </is>
      </c>
      <c r="I67" s="35" t="inlineStr">
        <is>
          <t>esabcc-o3-gross-inland</t>
        </is>
      </c>
    </row>
    <row r="68" ht="14" customHeight="1">
      <c r="A68" s="15" t="inlineStr">
        <is>
          <t>O3</t>
        </is>
      </c>
      <c r="B68" s="15" t="inlineStr">
        <is>
          <t>Gross inland energy consumption (EU-27)</t>
        </is>
      </c>
      <c r="C68" s="15" t="inlineStr">
        <is>
          <t>Energy demand</t>
        </is>
      </c>
      <c r="D68" s="15" t="inlineStr">
        <is>
          <t>TWh</t>
        </is>
      </c>
      <c r="E68" s="63" t="n">
        <v>2011</v>
      </c>
      <c r="F68" s="64" t="n">
        <v>17597</v>
      </c>
      <c r="G68" s="14" t="inlineStr">
        <is>
          <t>In the 2024 report</t>
        </is>
      </c>
      <c r="H68" s="15" t="inlineStr">
        <is>
          <t>Eurostat (nrg_bal_c)</t>
        </is>
      </c>
      <c r="I68" s="34" t="inlineStr">
        <is>
          <t>esabcc-o3-gross-inland</t>
        </is>
      </c>
    </row>
    <row r="69" ht="14" customHeight="1">
      <c r="A69" s="22" t="inlineStr">
        <is>
          <t>O3</t>
        </is>
      </c>
      <c r="B69" s="22" t="inlineStr">
        <is>
          <t>Gross inland energy consumption (EU-27)</t>
        </is>
      </c>
      <c r="C69" s="22" t="inlineStr">
        <is>
          <t>Energy demand</t>
        </is>
      </c>
      <c r="D69" s="22" t="inlineStr">
        <is>
          <t>TWh</t>
        </is>
      </c>
      <c r="E69" s="65" t="n">
        <v>2012</v>
      </c>
      <c r="F69" s="66" t="n">
        <v>17372</v>
      </c>
      <c r="G69" s="67" t="inlineStr">
        <is>
          <t>In the 2024 report</t>
        </is>
      </c>
      <c r="H69" s="22" t="inlineStr">
        <is>
          <t>Eurostat (nrg_bal_c)</t>
        </is>
      </c>
      <c r="I69" s="35" t="inlineStr">
        <is>
          <t>esabcc-o3-gross-inland</t>
        </is>
      </c>
    </row>
    <row r="70" ht="14" customHeight="1">
      <c r="A70" s="15" t="inlineStr">
        <is>
          <t>O3</t>
        </is>
      </c>
      <c r="B70" s="15" t="inlineStr">
        <is>
          <t>Gross inland energy consumption (EU-27)</t>
        </is>
      </c>
      <c r="C70" s="15" t="inlineStr">
        <is>
          <t>Energy demand</t>
        </is>
      </c>
      <c r="D70" s="15" t="inlineStr">
        <is>
          <t>TWh</t>
        </is>
      </c>
      <c r="E70" s="63" t="n">
        <v>2013</v>
      </c>
      <c r="F70" s="64" t="n">
        <v>17200</v>
      </c>
      <c r="G70" s="14" t="inlineStr">
        <is>
          <t>In the 2024 report</t>
        </is>
      </c>
      <c r="H70" s="15" t="inlineStr">
        <is>
          <t>Eurostat (nrg_bal_c)</t>
        </is>
      </c>
      <c r="I70" s="34" t="inlineStr">
        <is>
          <t>esabcc-o3-gross-inland</t>
        </is>
      </c>
    </row>
    <row r="71" ht="14" customHeight="1">
      <c r="A71" s="22" t="inlineStr">
        <is>
          <t>O3</t>
        </is>
      </c>
      <c r="B71" s="22" t="inlineStr">
        <is>
          <t>Gross inland energy consumption (EU-27)</t>
        </is>
      </c>
      <c r="C71" s="22" t="inlineStr">
        <is>
          <t>Energy demand</t>
        </is>
      </c>
      <c r="D71" s="22" t="inlineStr">
        <is>
          <t>TWh</t>
        </is>
      </c>
      <c r="E71" s="65" t="n">
        <v>2014</v>
      </c>
      <c r="F71" s="66" t="n">
        <v>16610</v>
      </c>
      <c r="G71" s="67" t="inlineStr">
        <is>
          <t>In the 2024 report</t>
        </is>
      </c>
      <c r="H71" s="22" t="inlineStr">
        <is>
          <t>Eurostat (nrg_bal_c)</t>
        </is>
      </c>
      <c r="I71" s="35" t="inlineStr">
        <is>
          <t>esabcc-o3-gross-inland</t>
        </is>
      </c>
    </row>
    <row r="72" ht="14" customHeight="1">
      <c r="A72" s="15" t="inlineStr">
        <is>
          <t>O3</t>
        </is>
      </c>
      <c r="B72" s="15" t="inlineStr">
        <is>
          <t>Gross inland energy consumption (EU-27)</t>
        </is>
      </c>
      <c r="C72" s="15" t="inlineStr">
        <is>
          <t>Energy demand</t>
        </is>
      </c>
      <c r="D72" s="15" t="inlineStr">
        <is>
          <t>TWh</t>
        </is>
      </c>
      <c r="E72" s="63" t="n">
        <v>2015</v>
      </c>
      <c r="F72" s="64" t="n">
        <v>16842</v>
      </c>
      <c r="G72" s="14" t="inlineStr">
        <is>
          <t>In the 2024 report</t>
        </is>
      </c>
      <c r="H72" s="15" t="inlineStr">
        <is>
          <t>Eurostat (nrg_bal_c)</t>
        </is>
      </c>
      <c r="I72" s="34" t="inlineStr">
        <is>
          <t>esabcc-o3-gross-inland</t>
        </is>
      </c>
    </row>
    <row r="73" ht="14" customHeight="1">
      <c r="A73" s="22" t="inlineStr">
        <is>
          <t>O3</t>
        </is>
      </c>
      <c r="B73" s="22" t="inlineStr">
        <is>
          <t>Gross inland energy consumption (EU-27)</t>
        </is>
      </c>
      <c r="C73" s="22" t="inlineStr">
        <is>
          <t>Energy demand</t>
        </is>
      </c>
      <c r="D73" s="22" t="inlineStr">
        <is>
          <t>TWh</t>
        </is>
      </c>
      <c r="E73" s="65" t="n">
        <v>2016</v>
      </c>
      <c r="F73" s="66" t="n">
        <v>16982</v>
      </c>
      <c r="G73" s="67" t="inlineStr">
        <is>
          <t>In the 2024 report</t>
        </is>
      </c>
      <c r="H73" s="22" t="inlineStr">
        <is>
          <t>Eurostat (nrg_bal_c)</t>
        </is>
      </c>
      <c r="I73" s="35" t="inlineStr">
        <is>
          <t>esabcc-o3-gross-inland</t>
        </is>
      </c>
    </row>
    <row r="74" ht="14" customHeight="1">
      <c r="A74" s="15" t="inlineStr">
        <is>
          <t>O3</t>
        </is>
      </c>
      <c r="B74" s="15" t="inlineStr">
        <is>
          <t>Gross inland energy consumption (EU-27)</t>
        </is>
      </c>
      <c r="C74" s="15" t="inlineStr">
        <is>
          <t>Energy demand</t>
        </is>
      </c>
      <c r="D74" s="15" t="inlineStr">
        <is>
          <t>TWh</t>
        </is>
      </c>
      <c r="E74" s="63" t="n">
        <v>2017</v>
      </c>
      <c r="F74" s="64" t="n">
        <v>17338</v>
      </c>
      <c r="G74" s="14" t="inlineStr">
        <is>
          <t>In the 2024 report</t>
        </is>
      </c>
      <c r="H74" s="15" t="inlineStr">
        <is>
          <t>Eurostat (nrg_bal_c)</t>
        </is>
      </c>
      <c r="I74" s="34" t="inlineStr">
        <is>
          <t>esabcc-o3-gross-inland</t>
        </is>
      </c>
    </row>
    <row r="75" ht="14" customHeight="1">
      <c r="A75" s="22" t="inlineStr">
        <is>
          <t>O3</t>
        </is>
      </c>
      <c r="B75" s="22" t="inlineStr">
        <is>
          <t>Gross inland energy consumption (EU-27)</t>
        </is>
      </c>
      <c r="C75" s="22" t="inlineStr">
        <is>
          <t>Energy demand</t>
        </is>
      </c>
      <c r="D75" s="22" t="inlineStr">
        <is>
          <t>TWh</t>
        </is>
      </c>
      <c r="E75" s="65" t="n">
        <v>2018</v>
      </c>
      <c r="F75" s="66" t="n">
        <v>17228</v>
      </c>
      <c r="G75" s="67" t="inlineStr">
        <is>
          <t>In the 2024 report</t>
        </is>
      </c>
      <c r="H75" s="22" t="inlineStr">
        <is>
          <t>Eurostat (nrg_bal_c)</t>
        </is>
      </c>
      <c r="I75" s="35" t="inlineStr">
        <is>
          <t>esabcc-o3-gross-inland</t>
        </is>
      </c>
    </row>
    <row r="76" ht="14" customHeight="1">
      <c r="A76" s="15" t="inlineStr">
        <is>
          <t>O3</t>
        </is>
      </c>
      <c r="B76" s="15" t="inlineStr">
        <is>
          <t>Gross inland energy consumption (EU-27)</t>
        </is>
      </c>
      <c r="C76" s="15" t="inlineStr">
        <is>
          <t>Energy demand</t>
        </is>
      </c>
      <c r="D76" s="15" t="inlineStr">
        <is>
          <t>TWh</t>
        </is>
      </c>
      <c r="E76" s="63" t="n">
        <v>2019</v>
      </c>
      <c r="F76" s="64" t="n">
        <v>16960</v>
      </c>
      <c r="G76" s="14" t="inlineStr">
        <is>
          <t>In the 2024 report</t>
        </is>
      </c>
      <c r="H76" s="15" t="inlineStr">
        <is>
          <t>Eurostat (nrg_bal_c)</t>
        </is>
      </c>
      <c r="I76" s="34" t="inlineStr">
        <is>
          <t>esabcc-o3-gross-inland</t>
        </is>
      </c>
    </row>
    <row r="77" ht="14" customHeight="1">
      <c r="A77" s="22" t="inlineStr">
        <is>
          <t>O3</t>
        </is>
      </c>
      <c r="B77" s="22" t="inlineStr">
        <is>
          <t>Gross inland energy consumption (EU-27)</t>
        </is>
      </c>
      <c r="C77" s="22" t="inlineStr">
        <is>
          <t>Energy demand</t>
        </is>
      </c>
      <c r="D77" s="22" t="inlineStr">
        <is>
          <t>TWh</t>
        </is>
      </c>
      <c r="E77" s="65" t="n">
        <v>2020</v>
      </c>
      <c r="F77" s="66" t="n">
        <v>15585</v>
      </c>
      <c r="G77" s="67" t="inlineStr">
        <is>
          <t>In the 2024 report</t>
        </is>
      </c>
      <c r="H77" s="22" t="inlineStr">
        <is>
          <t>Eurostat (nrg_bal_c)</t>
        </is>
      </c>
      <c r="I77" s="35" t="inlineStr">
        <is>
          <t>esabcc-o3-gross-inland</t>
        </is>
      </c>
    </row>
    <row r="78" ht="14" customHeight="1">
      <c r="A78" s="15" t="inlineStr">
        <is>
          <t>O3</t>
        </is>
      </c>
      <c r="B78" s="15" t="inlineStr">
        <is>
          <t>Gross inland energy consumption (EU-27)</t>
        </is>
      </c>
      <c r="C78" s="15" t="inlineStr">
        <is>
          <t>Energy demand</t>
        </is>
      </c>
      <c r="D78" s="15" t="inlineStr">
        <is>
          <t>TWh</t>
        </is>
      </c>
      <c r="E78" s="63" t="n">
        <v>2021</v>
      </c>
      <c r="F78" s="64" t="n">
        <v>16534</v>
      </c>
      <c r="G78" s="14" t="inlineStr">
        <is>
          <t>In the 2024 report</t>
        </is>
      </c>
      <c r="H78" s="15" t="inlineStr">
        <is>
          <t>Eurostat (nrg_bal_c)</t>
        </is>
      </c>
      <c r="I78" s="34" t="inlineStr">
        <is>
          <t>esabcc-o3-gross-inland</t>
        </is>
      </c>
    </row>
    <row r="79" ht="14" customHeight="1">
      <c r="A79" s="22" t="inlineStr">
        <is>
          <t>O3</t>
        </is>
      </c>
      <c r="B79" s="22" t="inlineStr">
        <is>
          <t>Gross inland energy consumption (EU-27)</t>
        </is>
      </c>
      <c r="C79" s="22" t="inlineStr">
        <is>
          <t>Energy demand</t>
        </is>
      </c>
      <c r="D79" s="22" t="inlineStr">
        <is>
          <t>TWh</t>
        </is>
      </c>
      <c r="E79" s="65" t="n">
        <v>2022</v>
      </c>
      <c r="F79" s="66" t="n">
        <v>15751.6</v>
      </c>
      <c r="G79" s="69" t="inlineStr">
        <is>
          <t>Added since the report</t>
        </is>
      </c>
      <c r="H79" s="22" t="inlineStr">
        <is>
          <t>Eurostat (nrg_bal_c)</t>
        </is>
      </c>
      <c r="I79" s="35" t="inlineStr">
        <is>
          <t>esabcc-o3-gross-inland</t>
        </is>
      </c>
    </row>
    <row r="80" ht="14" customHeight="1">
      <c r="A80" s="15" t="inlineStr">
        <is>
          <t>O3</t>
        </is>
      </c>
      <c r="B80" s="15" t="inlineStr">
        <is>
          <t>Gross inland energy consumption (EU-27)</t>
        </is>
      </c>
      <c r="C80" s="15" t="inlineStr">
        <is>
          <t>Energy demand</t>
        </is>
      </c>
      <c r="D80" s="15" t="inlineStr">
        <is>
          <t>TWh</t>
        </is>
      </c>
      <c r="E80" s="63" t="n">
        <v>2023</v>
      </c>
      <c r="F80" s="64" t="n">
        <v>15111.2</v>
      </c>
      <c r="G80" s="68" t="inlineStr">
        <is>
          <t>Added since the report</t>
        </is>
      </c>
      <c r="H80" s="15" t="inlineStr">
        <is>
          <t>Eurostat (nrg_bal_c)</t>
        </is>
      </c>
      <c r="I80" s="34" t="inlineStr">
        <is>
          <t>esabcc-o3-gross-inland</t>
        </is>
      </c>
    </row>
    <row r="81" ht="14" customHeight="1">
      <c r="A81" s="22" t="inlineStr">
        <is>
          <t>O3</t>
        </is>
      </c>
      <c r="B81" s="22" t="inlineStr">
        <is>
          <t>Gross inland energy consumption (EU-27)</t>
        </is>
      </c>
      <c r="C81" s="22" t="inlineStr">
        <is>
          <t>Energy demand</t>
        </is>
      </c>
      <c r="D81" s="22" t="inlineStr">
        <is>
          <t>TWh</t>
        </is>
      </c>
      <c r="E81" s="65" t="n">
        <v>2024</v>
      </c>
      <c r="F81" s="66" t="n">
        <v>15023.9</v>
      </c>
      <c r="G81" s="69" t="inlineStr">
        <is>
          <t>Added since the report</t>
        </is>
      </c>
      <c r="H81" s="22" t="inlineStr">
        <is>
          <t>Eurostat (nrg_bal_c)</t>
        </is>
      </c>
      <c r="I81" s="35" t="inlineStr">
        <is>
          <t>esabcc-o3-gross-inland</t>
        </is>
      </c>
    </row>
    <row r="82" ht="14" customHeight="1">
      <c r="A82" s="15" t="inlineStr">
        <is>
          <t>E1</t>
        </is>
      </c>
      <c r="B82" s="15" t="inlineStr">
        <is>
          <t>Energy supply GHG emissions</t>
        </is>
      </c>
      <c r="C82" s="15" t="inlineStr">
        <is>
          <t>Energy supply</t>
        </is>
      </c>
      <c r="D82" s="15" t="inlineStr">
        <is>
          <t>Mt CO₂eq</t>
        </is>
      </c>
      <c r="E82" s="63" t="n">
        <v>2005</v>
      </c>
      <c r="F82" s="64" t="n">
        <v>1489</v>
      </c>
      <c r="G82" s="14" t="inlineStr">
        <is>
          <t>In the 2024 report</t>
        </is>
      </c>
      <c r="H82" s="15" t="inlineStr">
        <is>
          <t>EEA GHG data viewer; 2023+ Eurostat (env_air_gge)</t>
        </is>
      </c>
      <c r="I82" s="34" t="inlineStr">
        <is>
          <t>esabcc-e1-energy-supply-ghg</t>
        </is>
      </c>
    </row>
    <row r="83" ht="14" customHeight="1">
      <c r="A83" s="22" t="inlineStr">
        <is>
          <t>E1</t>
        </is>
      </c>
      <c r="B83" s="22" t="inlineStr">
        <is>
          <t>Energy supply GHG emissions</t>
        </is>
      </c>
      <c r="C83" s="22" t="inlineStr">
        <is>
          <t>Energy supply</t>
        </is>
      </c>
      <c r="D83" s="22" t="inlineStr">
        <is>
          <t>Mt CO₂eq</t>
        </is>
      </c>
      <c r="E83" s="65" t="n">
        <v>2006</v>
      </c>
      <c r="F83" s="66" t="n">
        <v>1494</v>
      </c>
      <c r="G83" s="67" t="inlineStr">
        <is>
          <t>In the 2024 report</t>
        </is>
      </c>
      <c r="H83" s="22" t="inlineStr">
        <is>
          <t>EEA GHG data viewer; 2023+ Eurostat (env_air_gge)</t>
        </is>
      </c>
      <c r="I83" s="35" t="inlineStr">
        <is>
          <t>esabcc-e1-energy-supply-ghg</t>
        </is>
      </c>
    </row>
    <row r="84" ht="14" customHeight="1">
      <c r="A84" s="15" t="inlineStr">
        <is>
          <t>E1</t>
        </is>
      </c>
      <c r="B84" s="15" t="inlineStr">
        <is>
          <t>Energy supply GHG emissions</t>
        </is>
      </c>
      <c r="C84" s="15" t="inlineStr">
        <is>
          <t>Energy supply</t>
        </is>
      </c>
      <c r="D84" s="15" t="inlineStr">
        <is>
          <t>Mt CO₂eq</t>
        </is>
      </c>
      <c r="E84" s="63" t="n">
        <v>2007</v>
      </c>
      <c r="F84" s="64" t="n">
        <v>1504</v>
      </c>
      <c r="G84" s="14" t="inlineStr">
        <is>
          <t>In the 2024 report</t>
        </is>
      </c>
      <c r="H84" s="15" t="inlineStr">
        <is>
          <t>EEA GHG data viewer; 2023+ Eurostat (env_air_gge)</t>
        </is>
      </c>
      <c r="I84" s="34" t="inlineStr">
        <is>
          <t>esabcc-e1-energy-supply-ghg</t>
        </is>
      </c>
    </row>
    <row r="85" ht="14" customHeight="1">
      <c r="A85" s="22" t="inlineStr">
        <is>
          <t>E1</t>
        </is>
      </c>
      <c r="B85" s="22" t="inlineStr">
        <is>
          <t>Energy supply GHG emissions</t>
        </is>
      </c>
      <c r="C85" s="22" t="inlineStr">
        <is>
          <t>Energy supply</t>
        </is>
      </c>
      <c r="D85" s="22" t="inlineStr">
        <is>
          <t>Mt CO₂eq</t>
        </is>
      </c>
      <c r="E85" s="65" t="n">
        <v>2008</v>
      </c>
      <c r="F85" s="66" t="n">
        <v>1433</v>
      </c>
      <c r="G85" s="67" t="inlineStr">
        <is>
          <t>In the 2024 report</t>
        </is>
      </c>
      <c r="H85" s="22" t="inlineStr">
        <is>
          <t>EEA GHG data viewer; 2023+ Eurostat (env_air_gge)</t>
        </is>
      </c>
      <c r="I85" s="35" t="inlineStr">
        <is>
          <t>esabcc-e1-energy-supply-ghg</t>
        </is>
      </c>
    </row>
    <row r="86" ht="14" customHeight="1">
      <c r="A86" s="15" t="inlineStr">
        <is>
          <t>E1</t>
        </is>
      </c>
      <c r="B86" s="15" t="inlineStr">
        <is>
          <t>Energy supply GHG emissions</t>
        </is>
      </c>
      <c r="C86" s="15" t="inlineStr">
        <is>
          <t>Energy supply</t>
        </is>
      </c>
      <c r="D86" s="15" t="inlineStr">
        <is>
          <t>Mt CO₂eq</t>
        </is>
      </c>
      <c r="E86" s="63" t="n">
        <v>2009</v>
      </c>
      <c r="F86" s="64" t="n">
        <v>1325</v>
      </c>
      <c r="G86" s="14" t="inlineStr">
        <is>
          <t>In the 2024 report</t>
        </is>
      </c>
      <c r="H86" s="15" t="inlineStr">
        <is>
          <t>EEA GHG data viewer; 2023+ Eurostat (env_air_gge)</t>
        </is>
      </c>
      <c r="I86" s="34" t="inlineStr">
        <is>
          <t>esabcc-e1-energy-supply-ghg</t>
        </is>
      </c>
    </row>
    <row r="87" ht="14" customHeight="1">
      <c r="A87" s="22" t="inlineStr">
        <is>
          <t>E1</t>
        </is>
      </c>
      <c r="B87" s="22" t="inlineStr">
        <is>
          <t>Energy supply GHG emissions</t>
        </is>
      </c>
      <c r="C87" s="22" t="inlineStr">
        <is>
          <t>Energy supply</t>
        </is>
      </c>
      <c r="D87" s="22" t="inlineStr">
        <is>
          <t>Mt CO₂eq</t>
        </is>
      </c>
      <c r="E87" s="65" t="n">
        <v>2010</v>
      </c>
      <c r="F87" s="66" t="n">
        <v>1343</v>
      </c>
      <c r="G87" s="67" t="inlineStr">
        <is>
          <t>In the 2024 report</t>
        </is>
      </c>
      <c r="H87" s="22" t="inlineStr">
        <is>
          <t>EEA GHG data viewer; 2023+ Eurostat (env_air_gge)</t>
        </is>
      </c>
      <c r="I87" s="35" t="inlineStr">
        <is>
          <t>esabcc-e1-energy-supply-ghg</t>
        </is>
      </c>
    </row>
    <row r="88" ht="14" customHeight="1">
      <c r="A88" s="15" t="inlineStr">
        <is>
          <t>E1</t>
        </is>
      </c>
      <c r="B88" s="15" t="inlineStr">
        <is>
          <t>Energy supply GHG emissions</t>
        </is>
      </c>
      <c r="C88" s="15" t="inlineStr">
        <is>
          <t>Energy supply</t>
        </is>
      </c>
      <c r="D88" s="15" t="inlineStr">
        <is>
          <t>Mt CO₂eq</t>
        </is>
      </c>
      <c r="E88" s="63" t="n">
        <v>2011</v>
      </c>
      <c r="F88" s="64" t="n">
        <v>1334</v>
      </c>
      <c r="G88" s="14" t="inlineStr">
        <is>
          <t>In the 2024 report</t>
        </is>
      </c>
      <c r="H88" s="15" t="inlineStr">
        <is>
          <t>EEA GHG data viewer; 2023+ Eurostat (env_air_gge)</t>
        </is>
      </c>
      <c r="I88" s="34" t="inlineStr">
        <is>
          <t>esabcc-e1-energy-supply-ghg</t>
        </is>
      </c>
    </row>
    <row r="89" ht="14" customHeight="1">
      <c r="A89" s="22" t="inlineStr">
        <is>
          <t>E1</t>
        </is>
      </c>
      <c r="B89" s="22" t="inlineStr">
        <is>
          <t>Energy supply GHG emissions</t>
        </is>
      </c>
      <c r="C89" s="22" t="inlineStr">
        <is>
          <t>Energy supply</t>
        </is>
      </c>
      <c r="D89" s="22" t="inlineStr">
        <is>
          <t>Mt CO₂eq</t>
        </is>
      </c>
      <c r="E89" s="65" t="n">
        <v>2012</v>
      </c>
      <c r="F89" s="66" t="n">
        <v>1316</v>
      </c>
      <c r="G89" s="67" t="inlineStr">
        <is>
          <t>In the 2024 report</t>
        </is>
      </c>
      <c r="H89" s="22" t="inlineStr">
        <is>
          <t>EEA GHG data viewer; 2023+ Eurostat (env_air_gge)</t>
        </is>
      </c>
      <c r="I89" s="35" t="inlineStr">
        <is>
          <t>esabcc-e1-energy-supply-ghg</t>
        </is>
      </c>
    </row>
    <row r="90" ht="14" customHeight="1">
      <c r="A90" s="15" t="inlineStr">
        <is>
          <t>E1</t>
        </is>
      </c>
      <c r="B90" s="15" t="inlineStr">
        <is>
          <t>Energy supply GHG emissions</t>
        </is>
      </c>
      <c r="C90" s="15" t="inlineStr">
        <is>
          <t>Energy supply</t>
        </is>
      </c>
      <c r="D90" s="15" t="inlineStr">
        <is>
          <t>Mt CO₂eq</t>
        </is>
      </c>
      <c r="E90" s="63" t="n">
        <v>2013</v>
      </c>
      <c r="F90" s="64" t="n">
        <v>1254</v>
      </c>
      <c r="G90" s="14" t="inlineStr">
        <is>
          <t>In the 2024 report</t>
        </is>
      </c>
      <c r="H90" s="15" t="inlineStr">
        <is>
          <t>EEA GHG data viewer; 2023+ Eurostat (env_air_gge)</t>
        </is>
      </c>
      <c r="I90" s="34" t="inlineStr">
        <is>
          <t>esabcc-e1-energy-supply-ghg</t>
        </is>
      </c>
    </row>
    <row r="91" ht="14" customHeight="1">
      <c r="A91" s="22" t="inlineStr">
        <is>
          <t>E1</t>
        </is>
      </c>
      <c r="B91" s="22" t="inlineStr">
        <is>
          <t>Energy supply GHG emissions</t>
        </is>
      </c>
      <c r="C91" s="22" t="inlineStr">
        <is>
          <t>Energy supply</t>
        </is>
      </c>
      <c r="D91" s="22" t="inlineStr">
        <is>
          <t>Mt CO₂eq</t>
        </is>
      </c>
      <c r="E91" s="65" t="n">
        <v>2014</v>
      </c>
      <c r="F91" s="66" t="n">
        <v>1190</v>
      </c>
      <c r="G91" s="67" t="inlineStr">
        <is>
          <t>In the 2024 report</t>
        </is>
      </c>
      <c r="H91" s="22" t="inlineStr">
        <is>
          <t>EEA GHG data viewer; 2023+ Eurostat (env_air_gge)</t>
        </is>
      </c>
      <c r="I91" s="35" t="inlineStr">
        <is>
          <t>esabcc-e1-energy-supply-ghg</t>
        </is>
      </c>
    </row>
    <row r="92" ht="14" customHeight="1">
      <c r="A92" s="15" t="inlineStr">
        <is>
          <t>E1</t>
        </is>
      </c>
      <c r="B92" s="15" t="inlineStr">
        <is>
          <t>Energy supply GHG emissions</t>
        </is>
      </c>
      <c r="C92" s="15" t="inlineStr">
        <is>
          <t>Energy supply</t>
        </is>
      </c>
      <c r="D92" s="15" t="inlineStr">
        <is>
          <t>Mt CO₂eq</t>
        </is>
      </c>
      <c r="E92" s="63" t="n">
        <v>2015</v>
      </c>
      <c r="F92" s="64" t="n">
        <v>1197</v>
      </c>
      <c r="G92" s="14" t="inlineStr">
        <is>
          <t>In the 2024 report</t>
        </is>
      </c>
      <c r="H92" s="15" t="inlineStr">
        <is>
          <t>EEA GHG data viewer; 2023+ Eurostat (env_air_gge)</t>
        </is>
      </c>
      <c r="I92" s="34" t="inlineStr">
        <is>
          <t>esabcc-e1-energy-supply-ghg</t>
        </is>
      </c>
    </row>
    <row r="93" ht="14" customHeight="1">
      <c r="A93" s="22" t="inlineStr">
        <is>
          <t>E1</t>
        </is>
      </c>
      <c r="B93" s="22" t="inlineStr">
        <is>
          <t>Energy supply GHG emissions</t>
        </is>
      </c>
      <c r="C93" s="22" t="inlineStr">
        <is>
          <t>Energy supply</t>
        </is>
      </c>
      <c r="D93" s="22" t="inlineStr">
        <is>
          <t>Mt CO₂eq</t>
        </is>
      </c>
      <c r="E93" s="65" t="n">
        <v>2016</v>
      </c>
      <c r="F93" s="66" t="n">
        <v>1169</v>
      </c>
      <c r="G93" s="67" t="inlineStr">
        <is>
          <t>In the 2024 report</t>
        </is>
      </c>
      <c r="H93" s="22" t="inlineStr">
        <is>
          <t>EEA GHG data viewer; 2023+ Eurostat (env_air_gge)</t>
        </is>
      </c>
      <c r="I93" s="35" t="inlineStr">
        <is>
          <t>esabcc-e1-energy-supply-ghg</t>
        </is>
      </c>
    </row>
    <row r="94" ht="14" customHeight="1">
      <c r="A94" s="15" t="inlineStr">
        <is>
          <t>E1</t>
        </is>
      </c>
      <c r="B94" s="15" t="inlineStr">
        <is>
          <t>Energy supply GHG emissions</t>
        </is>
      </c>
      <c r="C94" s="15" t="inlineStr">
        <is>
          <t>Energy supply</t>
        </is>
      </c>
      <c r="D94" s="15" t="inlineStr">
        <is>
          <t>Mt CO₂eq</t>
        </is>
      </c>
      <c r="E94" s="63" t="n">
        <v>2017</v>
      </c>
      <c r="F94" s="64" t="n">
        <v>1162</v>
      </c>
      <c r="G94" s="14" t="inlineStr">
        <is>
          <t>In the 2024 report</t>
        </is>
      </c>
      <c r="H94" s="15" t="inlineStr">
        <is>
          <t>EEA GHG data viewer; 2023+ Eurostat (env_air_gge)</t>
        </is>
      </c>
      <c r="I94" s="34" t="inlineStr">
        <is>
          <t>esabcc-e1-energy-supply-ghg</t>
        </is>
      </c>
    </row>
    <row r="95" ht="14" customHeight="1">
      <c r="A95" s="22" t="inlineStr">
        <is>
          <t>E1</t>
        </is>
      </c>
      <c r="B95" s="22" t="inlineStr">
        <is>
          <t>Energy supply GHG emissions</t>
        </is>
      </c>
      <c r="C95" s="22" t="inlineStr">
        <is>
          <t>Energy supply</t>
        </is>
      </c>
      <c r="D95" s="22" t="inlineStr">
        <is>
          <t>Mt CO₂eq</t>
        </is>
      </c>
      <c r="E95" s="65" t="n">
        <v>2018</v>
      </c>
      <c r="F95" s="66" t="n">
        <v>1099</v>
      </c>
      <c r="G95" s="67" t="inlineStr">
        <is>
          <t>In the 2024 report</t>
        </is>
      </c>
      <c r="H95" s="22" t="inlineStr">
        <is>
          <t>EEA GHG data viewer; 2023+ Eurostat (env_air_gge)</t>
        </is>
      </c>
      <c r="I95" s="35" t="inlineStr">
        <is>
          <t>esabcc-e1-energy-supply-ghg</t>
        </is>
      </c>
    </row>
    <row r="96" ht="14" customHeight="1">
      <c r="A96" s="15" t="inlineStr">
        <is>
          <t>E1</t>
        </is>
      </c>
      <c r="B96" s="15" t="inlineStr">
        <is>
          <t>Energy supply GHG emissions</t>
        </is>
      </c>
      <c r="C96" s="15" t="inlineStr">
        <is>
          <t>Energy supply</t>
        </is>
      </c>
      <c r="D96" s="15" t="inlineStr">
        <is>
          <t>Mt CO₂eq</t>
        </is>
      </c>
      <c r="E96" s="63" t="n">
        <v>2019</v>
      </c>
      <c r="F96" s="64" t="n">
        <v>974</v>
      </c>
      <c r="G96" s="14" t="inlineStr">
        <is>
          <t>In the 2024 report</t>
        </is>
      </c>
      <c r="H96" s="15" t="inlineStr">
        <is>
          <t>EEA GHG data viewer; 2023+ Eurostat (env_air_gge)</t>
        </is>
      </c>
      <c r="I96" s="34" t="inlineStr">
        <is>
          <t>esabcc-e1-energy-supply-ghg</t>
        </is>
      </c>
    </row>
    <row r="97" ht="14" customHeight="1">
      <c r="A97" s="22" t="inlineStr">
        <is>
          <t>E1</t>
        </is>
      </c>
      <c r="B97" s="22" t="inlineStr">
        <is>
          <t>Energy supply GHG emissions</t>
        </is>
      </c>
      <c r="C97" s="22" t="inlineStr">
        <is>
          <t>Energy supply</t>
        </is>
      </c>
      <c r="D97" s="22" t="inlineStr">
        <is>
          <t>Mt CO₂eq</t>
        </is>
      </c>
      <c r="E97" s="65" t="n">
        <v>2020</v>
      </c>
      <c r="F97" s="66" t="n">
        <v>842</v>
      </c>
      <c r="G97" s="67" t="inlineStr">
        <is>
          <t>In the 2024 report</t>
        </is>
      </c>
      <c r="H97" s="22" t="inlineStr">
        <is>
          <t>EEA GHG data viewer; 2023+ Eurostat (env_air_gge)</t>
        </is>
      </c>
      <c r="I97" s="35" t="inlineStr">
        <is>
          <t>esabcc-e1-energy-supply-ghg</t>
        </is>
      </c>
    </row>
    <row r="98" ht="14" customHeight="1">
      <c r="A98" s="15" t="inlineStr">
        <is>
          <t>E1</t>
        </is>
      </c>
      <c r="B98" s="15" t="inlineStr">
        <is>
          <t>Energy supply GHG emissions</t>
        </is>
      </c>
      <c r="C98" s="15" t="inlineStr">
        <is>
          <t>Energy supply</t>
        </is>
      </c>
      <c r="D98" s="15" t="inlineStr">
        <is>
          <t>Mt CO₂eq</t>
        </is>
      </c>
      <c r="E98" s="63" t="n">
        <v>2021</v>
      </c>
      <c r="F98" s="64" t="n">
        <v>902</v>
      </c>
      <c r="G98" s="14" t="inlineStr">
        <is>
          <t>In the 2024 report</t>
        </is>
      </c>
      <c r="H98" s="15" t="inlineStr">
        <is>
          <t>EEA GHG data viewer; 2023+ Eurostat (env_air_gge)</t>
        </is>
      </c>
      <c r="I98" s="34" t="inlineStr">
        <is>
          <t>esabcc-e1-energy-supply-ghg</t>
        </is>
      </c>
    </row>
    <row r="99" ht="14" customHeight="1">
      <c r="A99" s="22" t="inlineStr">
        <is>
          <t>E1</t>
        </is>
      </c>
      <c r="B99" s="22" t="inlineStr">
        <is>
          <t>Energy supply GHG emissions</t>
        </is>
      </c>
      <c r="C99" s="22" t="inlineStr">
        <is>
          <t>Energy supply</t>
        </is>
      </c>
      <c r="D99" s="22" t="inlineStr">
        <is>
          <t>Mt CO₂eq</t>
        </is>
      </c>
      <c r="E99" s="65" t="n">
        <v>2022</v>
      </c>
      <c r="F99" s="66" t="n">
        <v>924</v>
      </c>
      <c r="G99" s="67" t="inlineStr">
        <is>
          <t>In the 2024 report</t>
        </is>
      </c>
      <c r="H99" s="22" t="inlineStr">
        <is>
          <t>EEA GHG data viewer; 2023+ Eurostat (env_air_gge)</t>
        </is>
      </c>
      <c r="I99" s="35" t="inlineStr">
        <is>
          <t>esabcc-e1-energy-supply-ghg</t>
        </is>
      </c>
    </row>
    <row r="100" ht="14" customHeight="1">
      <c r="A100" s="15" t="inlineStr">
        <is>
          <t>E1</t>
        </is>
      </c>
      <c r="B100" s="15" t="inlineStr">
        <is>
          <t>Energy supply GHG emissions</t>
        </is>
      </c>
      <c r="C100" s="15" t="inlineStr">
        <is>
          <t>Energy supply</t>
        </is>
      </c>
      <c r="D100" s="15" t="inlineStr">
        <is>
          <t>Mt CO₂eq</t>
        </is>
      </c>
      <c r="E100" s="63" t="n">
        <v>2023</v>
      </c>
      <c r="F100" s="64" t="n">
        <v>746.3</v>
      </c>
      <c r="G100" s="68" t="inlineStr">
        <is>
          <t>Added since the report</t>
        </is>
      </c>
      <c r="H100" s="15" t="inlineStr">
        <is>
          <t>EEA GHG data viewer; 2023+ Eurostat (env_air_gge)</t>
        </is>
      </c>
      <c r="I100" s="34" t="inlineStr">
        <is>
          <t>esabcc-e1-energy-supply-ghg</t>
        </is>
      </c>
    </row>
    <row r="101" ht="14" customHeight="1">
      <c r="A101" s="22" t="inlineStr">
        <is>
          <t>E1</t>
        </is>
      </c>
      <c r="B101" s="22" t="inlineStr">
        <is>
          <t>Energy supply GHG emissions</t>
        </is>
      </c>
      <c r="C101" s="22" t="inlineStr">
        <is>
          <t>Energy supply</t>
        </is>
      </c>
      <c r="D101" s="22" t="inlineStr">
        <is>
          <t>Mt CO₂eq</t>
        </is>
      </c>
      <c r="E101" s="65" t="n">
        <v>2024</v>
      </c>
      <c r="F101" s="66" t="n">
        <v>689.1</v>
      </c>
      <c r="G101" s="69" t="inlineStr">
        <is>
          <t>Added since the report</t>
        </is>
      </c>
      <c r="H101" s="22" t="inlineStr">
        <is>
          <t>EEA GHG data viewer; 2023+ Eurostat (env_air_gge)</t>
        </is>
      </c>
      <c r="I101" s="35" t="inlineStr">
        <is>
          <t>esabcc-e1-energy-supply-ghg</t>
        </is>
      </c>
    </row>
    <row r="102" ht="14" customHeight="1">
      <c r="A102" s="15" t="inlineStr">
        <is>
          <t>E2 (fossil)</t>
        </is>
      </c>
      <c r="B102" s="15" t="inlineStr">
        <is>
          <t>Fossil share of EU electricity mix</t>
        </is>
      </c>
      <c r="C102" s="15" t="inlineStr">
        <is>
          <t>Energy supply</t>
        </is>
      </c>
      <c r="D102" s="15" t="inlineStr">
        <is>
          <t>%</t>
        </is>
      </c>
      <c r="E102" s="63" t="n">
        <v>2005</v>
      </c>
      <c r="F102" s="64" t="n">
        <v>51.83</v>
      </c>
      <c r="G102" s="14" t="inlineStr">
        <is>
          <t>In the 2024 report</t>
        </is>
      </c>
      <c r="H102" s="15" t="inlineStr">
        <is>
          <t>Eurostat (nrg_bal_peh)</t>
        </is>
      </c>
      <c r="I102" s="34" t="inlineStr">
        <is>
          <t>esabcc-e2-fossil-power-share</t>
        </is>
      </c>
    </row>
    <row r="103" ht="14" customHeight="1">
      <c r="A103" s="22" t="inlineStr">
        <is>
          <t>E2 (fossil)</t>
        </is>
      </c>
      <c r="B103" s="22" t="inlineStr">
        <is>
          <t>Fossil share of EU electricity mix</t>
        </is>
      </c>
      <c r="C103" s="22" t="inlineStr">
        <is>
          <t>Energy supply</t>
        </is>
      </c>
      <c r="D103" s="22" t="inlineStr">
        <is>
          <t>%</t>
        </is>
      </c>
      <c r="E103" s="65" t="n">
        <v>2006</v>
      </c>
      <c r="F103" s="66" t="n">
        <v>51.9</v>
      </c>
      <c r="G103" s="67" t="inlineStr">
        <is>
          <t>In the 2024 report</t>
        </is>
      </c>
      <c r="H103" s="22" t="inlineStr">
        <is>
          <t>Eurostat (nrg_bal_peh)</t>
        </is>
      </c>
      <c r="I103" s="35" t="inlineStr">
        <is>
          <t>esabcc-e2-fossil-power-share</t>
        </is>
      </c>
    </row>
    <row r="104" ht="14" customHeight="1">
      <c r="A104" s="15" t="inlineStr">
        <is>
          <t>E2 (fossil)</t>
        </is>
      </c>
      <c r="B104" s="15" t="inlineStr">
        <is>
          <t>Fossil share of EU electricity mix</t>
        </is>
      </c>
      <c r="C104" s="15" t="inlineStr">
        <is>
          <t>Energy supply</t>
        </is>
      </c>
      <c r="D104" s="15" t="inlineStr">
        <is>
          <t>%</t>
        </is>
      </c>
      <c r="E104" s="63" t="n">
        <v>2007</v>
      </c>
      <c r="F104" s="64" t="n">
        <v>52.6</v>
      </c>
      <c r="G104" s="14" t="inlineStr">
        <is>
          <t>In the 2024 report</t>
        </is>
      </c>
      <c r="H104" s="15" t="inlineStr">
        <is>
          <t>Eurostat (nrg_bal_peh)</t>
        </is>
      </c>
      <c r="I104" s="34" t="inlineStr">
        <is>
          <t>esabcc-e2-fossil-power-share</t>
        </is>
      </c>
    </row>
    <row r="105" ht="14" customHeight="1">
      <c r="A105" s="22" t="inlineStr">
        <is>
          <t>E2 (fossil)</t>
        </is>
      </c>
      <c r="B105" s="22" t="inlineStr">
        <is>
          <t>Fossil share of EU electricity mix</t>
        </is>
      </c>
      <c r="C105" s="22" t="inlineStr">
        <is>
          <t>Energy supply</t>
        </is>
      </c>
      <c r="D105" s="22" t="inlineStr">
        <is>
          <t>%</t>
        </is>
      </c>
      <c r="E105" s="65" t="n">
        <v>2008</v>
      </c>
      <c r="F105" s="66" t="n">
        <v>50.92</v>
      </c>
      <c r="G105" s="67" t="inlineStr">
        <is>
          <t>In the 2024 report</t>
        </is>
      </c>
      <c r="H105" s="22" t="inlineStr">
        <is>
          <t>Eurostat (nrg_bal_peh)</t>
        </is>
      </c>
      <c r="I105" s="35" t="inlineStr">
        <is>
          <t>esabcc-e2-fossil-power-share</t>
        </is>
      </c>
    </row>
    <row r="106" ht="14" customHeight="1">
      <c r="A106" s="15" t="inlineStr">
        <is>
          <t>E2 (fossil)</t>
        </is>
      </c>
      <c r="B106" s="15" t="inlineStr">
        <is>
          <t>Fossil share of EU electricity mix</t>
        </is>
      </c>
      <c r="C106" s="15" t="inlineStr">
        <is>
          <t>Energy supply</t>
        </is>
      </c>
      <c r="D106" s="15" t="inlineStr">
        <is>
          <t>%</t>
        </is>
      </c>
      <c r="E106" s="63" t="n">
        <v>2009</v>
      </c>
      <c r="F106" s="64" t="n">
        <v>49.33</v>
      </c>
      <c r="G106" s="14" t="inlineStr">
        <is>
          <t>In the 2024 report</t>
        </is>
      </c>
      <c r="H106" s="15" t="inlineStr">
        <is>
          <t>Eurostat (nrg_bal_peh)</t>
        </is>
      </c>
      <c r="I106" s="34" t="inlineStr">
        <is>
          <t>esabcc-e2-fossil-power-share</t>
        </is>
      </c>
    </row>
    <row r="107" ht="14" customHeight="1">
      <c r="A107" s="22" t="inlineStr">
        <is>
          <t>E2 (fossil)</t>
        </is>
      </c>
      <c r="B107" s="22" t="inlineStr">
        <is>
          <t>Fossil share of EU electricity mix</t>
        </is>
      </c>
      <c r="C107" s="22" t="inlineStr">
        <is>
          <t>Energy supply</t>
        </is>
      </c>
      <c r="D107" s="22" t="inlineStr">
        <is>
          <t>%</t>
        </is>
      </c>
      <c r="E107" s="65" t="n">
        <v>2010</v>
      </c>
      <c r="F107" s="66" t="n">
        <v>47.85</v>
      </c>
      <c r="G107" s="67" t="inlineStr">
        <is>
          <t>In the 2024 report</t>
        </is>
      </c>
      <c r="H107" s="22" t="inlineStr">
        <is>
          <t>Eurostat (nrg_bal_peh)</t>
        </is>
      </c>
      <c r="I107" s="35" t="inlineStr">
        <is>
          <t>esabcc-e2-fossil-power-share</t>
        </is>
      </c>
    </row>
    <row r="108" ht="14" customHeight="1">
      <c r="A108" s="15" t="inlineStr">
        <is>
          <t>E2 (fossil)</t>
        </is>
      </c>
      <c r="B108" s="15" t="inlineStr">
        <is>
          <t>Fossil share of EU electricity mix</t>
        </is>
      </c>
      <c r="C108" s="15" t="inlineStr">
        <is>
          <t>Energy supply</t>
        </is>
      </c>
      <c r="D108" s="15" t="inlineStr">
        <is>
          <t>%</t>
        </is>
      </c>
      <c r="E108" s="63" t="n">
        <v>2011</v>
      </c>
      <c r="F108" s="64" t="n">
        <v>48.01</v>
      </c>
      <c r="G108" s="14" t="inlineStr">
        <is>
          <t>In the 2024 report</t>
        </is>
      </c>
      <c r="H108" s="15" t="inlineStr">
        <is>
          <t>Eurostat (nrg_bal_peh)</t>
        </is>
      </c>
      <c r="I108" s="34" t="inlineStr">
        <is>
          <t>esabcc-e2-fossil-power-share</t>
        </is>
      </c>
    </row>
    <row r="109" ht="14" customHeight="1">
      <c r="A109" s="22" t="inlineStr">
        <is>
          <t>E2 (fossil)</t>
        </is>
      </c>
      <c r="B109" s="22" t="inlineStr">
        <is>
          <t>Fossil share of EU electricity mix</t>
        </is>
      </c>
      <c r="C109" s="22" t="inlineStr">
        <is>
          <t>Energy supply</t>
        </is>
      </c>
      <c r="D109" s="22" t="inlineStr">
        <is>
          <t>%</t>
        </is>
      </c>
      <c r="E109" s="65" t="n">
        <v>2012</v>
      </c>
      <c r="F109" s="66" t="n">
        <v>45.93</v>
      </c>
      <c r="G109" s="67" t="inlineStr">
        <is>
          <t>In the 2024 report</t>
        </is>
      </c>
      <c r="H109" s="22" t="inlineStr">
        <is>
          <t>Eurostat (nrg_bal_peh)</t>
        </is>
      </c>
      <c r="I109" s="35" t="inlineStr">
        <is>
          <t>esabcc-e2-fossil-power-share</t>
        </is>
      </c>
    </row>
    <row r="110" ht="14" customHeight="1">
      <c r="A110" s="15" t="inlineStr">
        <is>
          <t>E2 (fossil)</t>
        </is>
      </c>
      <c r="B110" s="15" t="inlineStr">
        <is>
          <t>Fossil share of EU electricity mix</t>
        </is>
      </c>
      <c r="C110" s="15" t="inlineStr">
        <is>
          <t>Energy supply</t>
        </is>
      </c>
      <c r="D110" s="15" t="inlineStr">
        <is>
          <t>%</t>
        </is>
      </c>
      <c r="E110" s="63" t="n">
        <v>2013</v>
      </c>
      <c r="F110" s="64" t="n">
        <v>43.07</v>
      </c>
      <c r="G110" s="14" t="inlineStr">
        <is>
          <t>In the 2024 report</t>
        </is>
      </c>
      <c r="H110" s="15" t="inlineStr">
        <is>
          <t>Eurostat (nrg_bal_peh)</t>
        </is>
      </c>
      <c r="I110" s="34" t="inlineStr">
        <is>
          <t>esabcc-e2-fossil-power-share</t>
        </is>
      </c>
    </row>
    <row r="111" ht="14" customHeight="1">
      <c r="A111" s="22" t="inlineStr">
        <is>
          <t>E2 (fossil)</t>
        </is>
      </c>
      <c r="B111" s="22" t="inlineStr">
        <is>
          <t>Fossil share of EU electricity mix</t>
        </is>
      </c>
      <c r="C111" s="22" t="inlineStr">
        <is>
          <t>Energy supply</t>
        </is>
      </c>
      <c r="D111" s="22" t="inlineStr">
        <is>
          <t>%</t>
        </is>
      </c>
      <c r="E111" s="65" t="n">
        <v>2014</v>
      </c>
      <c r="F111" s="66" t="n">
        <v>40.55</v>
      </c>
      <c r="G111" s="67" t="inlineStr">
        <is>
          <t>In the 2024 report</t>
        </is>
      </c>
      <c r="H111" s="22" t="inlineStr">
        <is>
          <t>Eurostat (nrg_bal_peh)</t>
        </is>
      </c>
      <c r="I111" s="35" t="inlineStr">
        <is>
          <t>esabcc-e2-fossil-power-share</t>
        </is>
      </c>
    </row>
    <row r="112" ht="14" customHeight="1">
      <c r="A112" s="15" t="inlineStr">
        <is>
          <t>E2 (fossil)</t>
        </is>
      </c>
      <c r="B112" s="15" t="inlineStr">
        <is>
          <t>Fossil share of EU electricity mix</t>
        </is>
      </c>
      <c r="C112" s="15" t="inlineStr">
        <is>
          <t>Energy supply</t>
        </is>
      </c>
      <c r="D112" s="15" t="inlineStr">
        <is>
          <t>%</t>
        </is>
      </c>
      <c r="E112" s="63" t="n">
        <v>2015</v>
      </c>
      <c r="F112" s="64" t="n">
        <v>41.74</v>
      </c>
      <c r="G112" s="14" t="inlineStr">
        <is>
          <t>In the 2024 report</t>
        </is>
      </c>
      <c r="H112" s="15" t="inlineStr">
        <is>
          <t>Eurostat (nrg_bal_peh)</t>
        </is>
      </c>
      <c r="I112" s="34" t="inlineStr">
        <is>
          <t>esabcc-e2-fossil-power-share</t>
        </is>
      </c>
    </row>
    <row r="113" ht="14" customHeight="1">
      <c r="A113" s="22" t="inlineStr">
        <is>
          <t>E2 (fossil)</t>
        </is>
      </c>
      <c r="B113" s="22" t="inlineStr">
        <is>
          <t>Fossil share of EU electricity mix</t>
        </is>
      </c>
      <c r="C113" s="22" t="inlineStr">
        <is>
          <t>Energy supply</t>
        </is>
      </c>
      <c r="D113" s="22" t="inlineStr">
        <is>
          <t>%</t>
        </is>
      </c>
      <c r="E113" s="65" t="n">
        <v>2016</v>
      </c>
      <c r="F113" s="66" t="n">
        <v>42.24</v>
      </c>
      <c r="G113" s="67" t="inlineStr">
        <is>
          <t>In the 2024 report</t>
        </is>
      </c>
      <c r="H113" s="22" t="inlineStr">
        <is>
          <t>Eurostat (nrg_bal_peh)</t>
        </is>
      </c>
      <c r="I113" s="35" t="inlineStr">
        <is>
          <t>esabcc-e2-fossil-power-share</t>
        </is>
      </c>
    </row>
    <row r="114" ht="14" customHeight="1">
      <c r="A114" s="15" t="inlineStr">
        <is>
          <t>E2 (fossil)</t>
        </is>
      </c>
      <c r="B114" s="15" t="inlineStr">
        <is>
          <t>Fossil share of EU electricity mix</t>
        </is>
      </c>
      <c r="C114" s="15" t="inlineStr">
        <is>
          <t>Energy supply</t>
        </is>
      </c>
      <c r="D114" s="15" t="inlineStr">
        <is>
          <t>%</t>
        </is>
      </c>
      <c r="E114" s="63" t="n">
        <v>2017</v>
      </c>
      <c r="F114" s="64" t="n">
        <v>43</v>
      </c>
      <c r="G114" s="14" t="inlineStr">
        <is>
          <t>In the 2024 report</t>
        </is>
      </c>
      <c r="H114" s="15" t="inlineStr">
        <is>
          <t>Eurostat (nrg_bal_peh)</t>
        </is>
      </c>
      <c r="I114" s="34" t="inlineStr">
        <is>
          <t>esabcc-e2-fossil-power-share</t>
        </is>
      </c>
    </row>
    <row r="115" ht="14" customHeight="1">
      <c r="A115" s="22" t="inlineStr">
        <is>
          <t>E2 (fossil)</t>
        </is>
      </c>
      <c r="B115" s="22" t="inlineStr">
        <is>
          <t>Fossil share of EU electricity mix</t>
        </is>
      </c>
      <c r="C115" s="22" t="inlineStr">
        <is>
          <t>Energy supply</t>
        </is>
      </c>
      <c r="D115" s="22" t="inlineStr">
        <is>
          <t>%</t>
        </is>
      </c>
      <c r="E115" s="65" t="n">
        <v>2018</v>
      </c>
      <c r="F115" s="66" t="n">
        <v>40.43</v>
      </c>
      <c r="G115" s="67" t="inlineStr">
        <is>
          <t>In the 2024 report</t>
        </is>
      </c>
      <c r="H115" s="22" t="inlineStr">
        <is>
          <t>Eurostat (nrg_bal_peh)</t>
        </is>
      </c>
      <c r="I115" s="35" t="inlineStr">
        <is>
          <t>esabcc-e2-fossil-power-share</t>
        </is>
      </c>
    </row>
    <row r="116" ht="14" customHeight="1">
      <c r="A116" s="15" t="inlineStr">
        <is>
          <t>E2 (fossil)</t>
        </is>
      </c>
      <c r="B116" s="15" t="inlineStr">
        <is>
          <t>Fossil share of EU electricity mix</t>
        </is>
      </c>
      <c r="C116" s="15" t="inlineStr">
        <is>
          <t>Energy supply</t>
        </is>
      </c>
      <c r="D116" s="15" t="inlineStr">
        <is>
          <t>%</t>
        </is>
      </c>
      <c r="E116" s="63" t="n">
        <v>2019</v>
      </c>
      <c r="F116" s="64" t="n">
        <v>38.31</v>
      </c>
      <c r="G116" s="14" t="inlineStr">
        <is>
          <t>In the 2024 report</t>
        </is>
      </c>
      <c r="H116" s="15" t="inlineStr">
        <is>
          <t>Eurostat (nrg_bal_peh)</t>
        </is>
      </c>
      <c r="I116" s="34" t="inlineStr">
        <is>
          <t>esabcc-e2-fossil-power-share</t>
        </is>
      </c>
    </row>
    <row r="117" ht="14" customHeight="1">
      <c r="A117" s="22" t="inlineStr">
        <is>
          <t>E2 (fossil)</t>
        </is>
      </c>
      <c r="B117" s="22" t="inlineStr">
        <is>
          <t>Fossil share of EU electricity mix</t>
        </is>
      </c>
      <c r="C117" s="22" t="inlineStr">
        <is>
          <t>Energy supply</t>
        </is>
      </c>
      <c r="D117" s="22" t="inlineStr">
        <is>
          <t>%</t>
        </is>
      </c>
      <c r="E117" s="65" t="n">
        <v>2020</v>
      </c>
      <c r="F117" s="66" t="n">
        <v>35.63</v>
      </c>
      <c r="G117" s="67" t="inlineStr">
        <is>
          <t>In the 2024 report</t>
        </is>
      </c>
      <c r="H117" s="22" t="inlineStr">
        <is>
          <t>Eurostat (nrg_bal_peh)</t>
        </is>
      </c>
      <c r="I117" s="35" t="inlineStr">
        <is>
          <t>esabcc-e2-fossil-power-share</t>
        </is>
      </c>
    </row>
    <row r="118" ht="14" customHeight="1">
      <c r="A118" s="15" t="inlineStr">
        <is>
          <t>E2 (fossil)</t>
        </is>
      </c>
      <c r="B118" s="15" t="inlineStr">
        <is>
          <t>Fossil share of EU electricity mix</t>
        </is>
      </c>
      <c r="C118" s="15" t="inlineStr">
        <is>
          <t>Energy supply</t>
        </is>
      </c>
      <c r="D118" s="15" t="inlineStr">
        <is>
          <t>%</t>
        </is>
      </c>
      <c r="E118" s="63" t="n">
        <v>2021</v>
      </c>
      <c r="F118" s="64" t="n">
        <v>36.18</v>
      </c>
      <c r="G118" s="14" t="inlineStr">
        <is>
          <t>In the 2024 report</t>
        </is>
      </c>
      <c r="H118" s="15" t="inlineStr">
        <is>
          <t>Eurostat (nrg_bal_peh)</t>
        </is>
      </c>
      <c r="I118" s="34" t="inlineStr">
        <is>
          <t>esabcc-e2-fossil-power-share</t>
        </is>
      </c>
    </row>
    <row r="119" ht="14" customHeight="1">
      <c r="A119" s="22" t="inlineStr">
        <is>
          <t>E2 (fossil)</t>
        </is>
      </c>
      <c r="B119" s="22" t="inlineStr">
        <is>
          <t>Fossil share of EU electricity mix</t>
        </is>
      </c>
      <c r="C119" s="22" t="inlineStr">
        <is>
          <t>Energy supply</t>
        </is>
      </c>
      <c r="D119" s="22" t="inlineStr">
        <is>
          <t>%</t>
        </is>
      </c>
      <c r="E119" s="65" t="n">
        <v>2022</v>
      </c>
      <c r="F119" s="66" t="n">
        <v>38.76</v>
      </c>
      <c r="G119" s="67" t="inlineStr">
        <is>
          <t>In the 2024 report</t>
        </is>
      </c>
      <c r="H119" s="22" t="inlineStr">
        <is>
          <t>Eurostat (nrg_bal_peh)</t>
        </is>
      </c>
      <c r="I119" s="35" t="inlineStr">
        <is>
          <t>esabcc-e2-fossil-power-share</t>
        </is>
      </c>
    </row>
    <row r="120" ht="14" customHeight="1">
      <c r="A120" s="15" t="inlineStr">
        <is>
          <t>E2 (fossil)</t>
        </is>
      </c>
      <c r="B120" s="15" t="inlineStr">
        <is>
          <t>Fossil share of EU electricity mix</t>
        </is>
      </c>
      <c r="C120" s="15" t="inlineStr">
        <is>
          <t>Energy supply</t>
        </is>
      </c>
      <c r="D120" s="15" t="inlineStr">
        <is>
          <t>%</t>
        </is>
      </c>
      <c r="E120" s="63" t="n">
        <v>2023</v>
      </c>
      <c r="F120" s="64" t="n">
        <v>31.42</v>
      </c>
      <c r="G120" s="68" t="inlineStr">
        <is>
          <t>Added since the report</t>
        </is>
      </c>
      <c r="H120" s="15" t="inlineStr">
        <is>
          <t>Eurostat (nrg_bal_peh)</t>
        </is>
      </c>
      <c r="I120" s="34" t="inlineStr">
        <is>
          <t>esabcc-e2-fossil-power-share</t>
        </is>
      </c>
    </row>
    <row r="121" ht="14" customHeight="1">
      <c r="A121" s="22" t="inlineStr">
        <is>
          <t>E2 (fossil)</t>
        </is>
      </c>
      <c r="B121" s="22" t="inlineStr">
        <is>
          <t>Fossil share of EU electricity mix</t>
        </is>
      </c>
      <c r="C121" s="22" t="inlineStr">
        <is>
          <t>Energy supply</t>
        </is>
      </c>
      <c r="D121" s="22" t="inlineStr">
        <is>
          <t>%</t>
        </is>
      </c>
      <c r="E121" s="65" t="n">
        <v>2024</v>
      </c>
      <c r="F121" s="66" t="n">
        <v>28.11</v>
      </c>
      <c r="G121" s="69" t="inlineStr">
        <is>
          <t>Added since the report</t>
        </is>
      </c>
      <c r="H121" s="22" t="inlineStr">
        <is>
          <t>Eurostat (nrg_bal_peh)</t>
        </is>
      </c>
      <c r="I121" s="35" t="inlineStr">
        <is>
          <t>esabcc-e2-fossil-power-share</t>
        </is>
      </c>
    </row>
    <row r="122" ht="14" customHeight="1">
      <c r="A122" s="15" t="inlineStr">
        <is>
          <t>E2 (RES)</t>
        </is>
      </c>
      <c r="B122" s="15" t="inlineStr">
        <is>
          <t>Non-biomass renewable share of EU electricity mix</t>
        </is>
      </c>
      <c r="C122" s="15" t="inlineStr">
        <is>
          <t>Energy supply</t>
        </is>
      </c>
      <c r="D122" s="15" t="inlineStr">
        <is>
          <t>%</t>
        </is>
      </c>
      <c r="E122" s="63" t="n">
        <v>2005</v>
      </c>
      <c r="F122" s="64" t="n">
        <v>14.26</v>
      </c>
      <c r="G122" s="14" t="inlineStr">
        <is>
          <t>In the 2024 report</t>
        </is>
      </c>
      <c r="H122" s="15" t="inlineStr">
        <is>
          <t>Eurostat (nrg_bal_peh)</t>
        </is>
      </c>
      <c r="I122" s="34" t="inlineStr">
        <is>
          <t>esabcc-e2-res-noBio-power-share</t>
        </is>
      </c>
    </row>
    <row r="123" ht="14" customHeight="1">
      <c r="A123" s="22" t="inlineStr">
        <is>
          <t>E2 (RES)</t>
        </is>
      </c>
      <c r="B123" s="22" t="inlineStr">
        <is>
          <t>Non-biomass renewable share of EU electricity mix</t>
        </is>
      </c>
      <c r="C123" s="22" t="inlineStr">
        <is>
          <t>Energy supply</t>
        </is>
      </c>
      <c r="D123" s="22" t="inlineStr">
        <is>
          <t>%</t>
        </is>
      </c>
      <c r="E123" s="65" t="n">
        <v>2006</v>
      </c>
      <c r="F123" s="66" t="n">
        <v>14.49</v>
      </c>
      <c r="G123" s="67" t="inlineStr">
        <is>
          <t>In the 2024 report</t>
        </is>
      </c>
      <c r="H123" s="22" t="inlineStr">
        <is>
          <t>Eurostat (nrg_bal_peh)</t>
        </is>
      </c>
      <c r="I123" s="35" t="inlineStr">
        <is>
          <t>esabcc-e2-res-noBio-power-share</t>
        </is>
      </c>
    </row>
    <row r="124" ht="14" customHeight="1">
      <c r="A124" s="15" t="inlineStr">
        <is>
          <t>E2 (RES)</t>
        </is>
      </c>
      <c r="B124" s="15" t="inlineStr">
        <is>
          <t>Non-biomass renewable share of EU electricity mix</t>
        </is>
      </c>
      <c r="C124" s="15" t="inlineStr">
        <is>
          <t>Energy supply</t>
        </is>
      </c>
      <c r="D124" s="15" t="inlineStr">
        <is>
          <t>%</t>
        </is>
      </c>
      <c r="E124" s="63" t="n">
        <v>2007</v>
      </c>
      <c r="F124" s="64" t="n">
        <v>15.05</v>
      </c>
      <c r="G124" s="14" t="inlineStr">
        <is>
          <t>In the 2024 report</t>
        </is>
      </c>
      <c r="H124" s="15" t="inlineStr">
        <is>
          <t>Eurostat (nrg_bal_peh)</t>
        </is>
      </c>
      <c r="I124" s="34" t="inlineStr">
        <is>
          <t>esabcc-e2-res-noBio-power-share</t>
        </is>
      </c>
    </row>
    <row r="125" ht="14" customHeight="1">
      <c r="A125" s="22" t="inlineStr">
        <is>
          <t>E2 (RES)</t>
        </is>
      </c>
      <c r="B125" s="22" t="inlineStr">
        <is>
          <t>Non-biomass renewable share of EU electricity mix</t>
        </is>
      </c>
      <c r="C125" s="22" t="inlineStr">
        <is>
          <t>Energy supply</t>
        </is>
      </c>
      <c r="D125" s="22" t="inlineStr">
        <is>
          <t>%</t>
        </is>
      </c>
      <c r="E125" s="65" t="n">
        <v>2008</v>
      </c>
      <c r="F125" s="66" t="n">
        <v>16.09</v>
      </c>
      <c r="G125" s="67" t="inlineStr">
        <is>
          <t>In the 2024 report</t>
        </is>
      </c>
      <c r="H125" s="22" t="inlineStr">
        <is>
          <t>Eurostat (nrg_bal_peh)</t>
        </is>
      </c>
      <c r="I125" s="35" t="inlineStr">
        <is>
          <t>esabcc-e2-res-noBio-power-share</t>
        </is>
      </c>
    </row>
    <row r="126" ht="14" customHeight="1">
      <c r="A126" s="15" t="inlineStr">
        <is>
          <t>E2 (RES)</t>
        </is>
      </c>
      <c r="B126" s="15" t="inlineStr">
        <is>
          <t>Non-biomass renewable share of EU electricity mix</t>
        </is>
      </c>
      <c r="C126" s="15" t="inlineStr">
        <is>
          <t>Energy supply</t>
        </is>
      </c>
      <c r="D126" s="15" t="inlineStr">
        <is>
          <t>%</t>
        </is>
      </c>
      <c r="E126" s="63" t="n">
        <v>2009</v>
      </c>
      <c r="F126" s="64" t="n">
        <v>17.67</v>
      </c>
      <c r="G126" s="14" t="inlineStr">
        <is>
          <t>In the 2024 report</t>
        </is>
      </c>
      <c r="H126" s="15" t="inlineStr">
        <is>
          <t>Eurostat (nrg_bal_peh)</t>
        </is>
      </c>
      <c r="I126" s="34" t="inlineStr">
        <is>
          <t>esabcc-e2-res-noBio-power-share</t>
        </is>
      </c>
    </row>
    <row r="127" ht="14" customHeight="1">
      <c r="A127" s="22" t="inlineStr">
        <is>
          <t>E2 (RES)</t>
        </is>
      </c>
      <c r="B127" s="22" t="inlineStr">
        <is>
          <t>Non-biomass renewable share of EU electricity mix</t>
        </is>
      </c>
      <c r="C127" s="22" t="inlineStr">
        <is>
          <t>Energy supply</t>
        </is>
      </c>
      <c r="D127" s="22" t="inlineStr">
        <is>
          <t>%</t>
        </is>
      </c>
      <c r="E127" s="65" t="n">
        <v>2010</v>
      </c>
      <c r="F127" s="66" t="n">
        <v>19.14</v>
      </c>
      <c r="G127" s="67" t="inlineStr">
        <is>
          <t>In the 2024 report</t>
        </is>
      </c>
      <c r="H127" s="22" t="inlineStr">
        <is>
          <t>Eurostat (nrg_bal_peh)</t>
        </is>
      </c>
      <c r="I127" s="35" t="inlineStr">
        <is>
          <t>esabcc-e2-res-noBio-power-share</t>
        </is>
      </c>
    </row>
    <row r="128" ht="14" customHeight="1">
      <c r="A128" s="15" t="inlineStr">
        <is>
          <t>E2 (RES)</t>
        </is>
      </c>
      <c r="B128" s="15" t="inlineStr">
        <is>
          <t>Non-biomass renewable share of EU electricity mix</t>
        </is>
      </c>
      <c r="C128" s="15" t="inlineStr">
        <is>
          <t>Energy supply</t>
        </is>
      </c>
      <c r="D128" s="15" t="inlineStr">
        <is>
          <t>%</t>
        </is>
      </c>
      <c r="E128" s="63" t="n">
        <v>2011</v>
      </c>
      <c r="F128" s="64" t="n">
        <v>18.79</v>
      </c>
      <c r="G128" s="14" t="inlineStr">
        <is>
          <t>In the 2024 report</t>
        </is>
      </c>
      <c r="H128" s="15" t="inlineStr">
        <is>
          <t>Eurostat (nrg_bal_peh)</t>
        </is>
      </c>
      <c r="I128" s="34" t="inlineStr">
        <is>
          <t>esabcc-e2-res-noBio-power-share</t>
        </is>
      </c>
    </row>
    <row r="129" ht="14" customHeight="1">
      <c r="A129" s="22" t="inlineStr">
        <is>
          <t>E2 (RES)</t>
        </is>
      </c>
      <c r="B129" s="22" t="inlineStr">
        <is>
          <t>Non-biomass renewable share of EU electricity mix</t>
        </is>
      </c>
      <c r="C129" s="22" t="inlineStr">
        <is>
          <t>Energy supply</t>
        </is>
      </c>
      <c r="D129" s="22" t="inlineStr">
        <is>
          <t>%</t>
        </is>
      </c>
      <c r="E129" s="65" t="n">
        <v>2012</v>
      </c>
      <c r="F129" s="66" t="n">
        <v>21.25</v>
      </c>
      <c r="G129" s="67" t="inlineStr">
        <is>
          <t>In the 2024 report</t>
        </is>
      </c>
      <c r="H129" s="22" t="inlineStr">
        <is>
          <t>Eurostat (nrg_bal_peh)</t>
        </is>
      </c>
      <c r="I129" s="35" t="inlineStr">
        <is>
          <t>esabcc-e2-res-noBio-power-share</t>
        </is>
      </c>
    </row>
    <row r="130" ht="14" customHeight="1">
      <c r="A130" s="15" t="inlineStr">
        <is>
          <t>E2 (RES)</t>
        </is>
      </c>
      <c r="B130" s="15" t="inlineStr">
        <is>
          <t>Non-biomass renewable share of EU electricity mix</t>
        </is>
      </c>
      <c r="C130" s="15" t="inlineStr">
        <is>
          <t>Energy supply</t>
        </is>
      </c>
      <c r="D130" s="15" t="inlineStr">
        <is>
          <t>%</t>
        </is>
      </c>
      <c r="E130" s="63" t="n">
        <v>2013</v>
      </c>
      <c r="F130" s="64" t="n">
        <v>23.89</v>
      </c>
      <c r="G130" s="14" t="inlineStr">
        <is>
          <t>In the 2024 report</t>
        </is>
      </c>
      <c r="H130" s="15" t="inlineStr">
        <is>
          <t>Eurostat (nrg_bal_peh)</t>
        </is>
      </c>
      <c r="I130" s="34" t="inlineStr">
        <is>
          <t>esabcc-e2-res-noBio-power-share</t>
        </is>
      </c>
    </row>
    <row r="131" ht="14" customHeight="1">
      <c r="A131" s="22" t="inlineStr">
        <is>
          <t>E2 (RES)</t>
        </is>
      </c>
      <c r="B131" s="22" t="inlineStr">
        <is>
          <t>Non-biomass renewable share of EU electricity mix</t>
        </is>
      </c>
      <c r="C131" s="22" t="inlineStr">
        <is>
          <t>Energy supply</t>
        </is>
      </c>
      <c r="D131" s="22" t="inlineStr">
        <is>
          <t>%</t>
        </is>
      </c>
      <c r="E131" s="65" t="n">
        <v>2014</v>
      </c>
      <c r="F131" s="66" t="n">
        <v>25.27</v>
      </c>
      <c r="G131" s="67" t="inlineStr">
        <is>
          <t>In the 2024 report</t>
        </is>
      </c>
      <c r="H131" s="22" t="inlineStr">
        <is>
          <t>Eurostat (nrg_bal_peh)</t>
        </is>
      </c>
      <c r="I131" s="35" t="inlineStr">
        <is>
          <t>esabcc-e2-res-noBio-power-share</t>
        </is>
      </c>
    </row>
    <row r="132" ht="14" customHeight="1">
      <c r="A132" s="15" t="inlineStr">
        <is>
          <t>E2 (RES)</t>
        </is>
      </c>
      <c r="B132" s="15" t="inlineStr">
        <is>
          <t>Non-biomass renewable share of EU electricity mix</t>
        </is>
      </c>
      <c r="C132" s="15" t="inlineStr">
        <is>
          <t>Energy supply</t>
        </is>
      </c>
      <c r="D132" s="15" t="inlineStr">
        <is>
          <t>%</t>
        </is>
      </c>
      <c r="E132" s="63" t="n">
        <v>2015</v>
      </c>
      <c r="F132" s="64" t="n">
        <v>25.32</v>
      </c>
      <c r="G132" s="14" t="inlineStr">
        <is>
          <t>In the 2024 report</t>
        </is>
      </c>
      <c r="H132" s="15" t="inlineStr">
        <is>
          <t>Eurostat (nrg_bal_peh)</t>
        </is>
      </c>
      <c r="I132" s="34" t="inlineStr">
        <is>
          <t>esabcc-e2-res-noBio-power-share</t>
        </is>
      </c>
    </row>
    <row r="133" ht="14" customHeight="1">
      <c r="A133" s="22" t="inlineStr">
        <is>
          <t>E2 (RES)</t>
        </is>
      </c>
      <c r="B133" s="22" t="inlineStr">
        <is>
          <t>Non-biomass renewable share of EU electricity mix</t>
        </is>
      </c>
      <c r="C133" s="22" t="inlineStr">
        <is>
          <t>Energy supply</t>
        </is>
      </c>
      <c r="D133" s="22" t="inlineStr">
        <is>
          <t>%</t>
        </is>
      </c>
      <c r="E133" s="65" t="n">
        <v>2016</v>
      </c>
      <c r="F133" s="66" t="n">
        <v>25.59</v>
      </c>
      <c r="G133" s="67" t="inlineStr">
        <is>
          <t>In the 2024 report</t>
        </is>
      </c>
      <c r="H133" s="22" t="inlineStr">
        <is>
          <t>Eurostat (nrg_bal_peh)</t>
        </is>
      </c>
      <c r="I133" s="35" t="inlineStr">
        <is>
          <t>esabcc-e2-res-noBio-power-share</t>
        </is>
      </c>
    </row>
    <row r="134" ht="14" customHeight="1">
      <c r="A134" s="15" t="inlineStr">
        <is>
          <t>E2 (RES)</t>
        </is>
      </c>
      <c r="B134" s="15" t="inlineStr">
        <is>
          <t>Non-biomass renewable share of EU electricity mix</t>
        </is>
      </c>
      <c r="C134" s="15" t="inlineStr">
        <is>
          <t>Energy supply</t>
        </is>
      </c>
      <c r="D134" s="15" t="inlineStr">
        <is>
          <t>%</t>
        </is>
      </c>
      <c r="E134" s="63" t="n">
        <v>2017</v>
      </c>
      <c r="F134" s="64" t="n">
        <v>25.38</v>
      </c>
      <c r="G134" s="14" t="inlineStr">
        <is>
          <t>In the 2024 report</t>
        </is>
      </c>
      <c r="H134" s="15" t="inlineStr">
        <is>
          <t>Eurostat (nrg_bal_peh)</t>
        </is>
      </c>
      <c r="I134" s="34" t="inlineStr">
        <is>
          <t>esabcc-e2-res-noBio-power-share</t>
        </is>
      </c>
    </row>
    <row r="135" ht="14" customHeight="1">
      <c r="A135" s="22" t="inlineStr">
        <is>
          <t>E2 (RES)</t>
        </is>
      </c>
      <c r="B135" s="22" t="inlineStr">
        <is>
          <t>Non-biomass renewable share of EU electricity mix</t>
        </is>
      </c>
      <c r="C135" s="22" t="inlineStr">
        <is>
          <t>Energy supply</t>
        </is>
      </c>
      <c r="D135" s="22" t="inlineStr">
        <is>
          <t>%</t>
        </is>
      </c>
      <c r="E135" s="65" t="n">
        <v>2018</v>
      </c>
      <c r="F135" s="66" t="n">
        <v>27.61</v>
      </c>
      <c r="G135" s="67" t="inlineStr">
        <is>
          <t>In the 2024 report</t>
        </is>
      </c>
      <c r="H135" s="22" t="inlineStr">
        <is>
          <t>Eurostat (nrg_bal_peh)</t>
        </is>
      </c>
      <c r="I135" s="35" t="inlineStr">
        <is>
          <t>esabcc-e2-res-noBio-power-share</t>
        </is>
      </c>
    </row>
    <row r="136" ht="14" customHeight="1">
      <c r="A136" s="15" t="inlineStr">
        <is>
          <t>E2 (RES)</t>
        </is>
      </c>
      <c r="B136" s="15" t="inlineStr">
        <is>
          <t>Non-biomass renewable share of EU electricity mix</t>
        </is>
      </c>
      <c r="C136" s="15" t="inlineStr">
        <is>
          <t>Energy supply</t>
        </is>
      </c>
      <c r="D136" s="15" t="inlineStr">
        <is>
          <t>%</t>
        </is>
      </c>
      <c r="E136" s="63" t="n">
        <v>2019</v>
      </c>
      <c r="F136" s="64" t="n">
        <v>29.08</v>
      </c>
      <c r="G136" s="14" t="inlineStr">
        <is>
          <t>In the 2024 report</t>
        </is>
      </c>
      <c r="H136" s="15" t="inlineStr">
        <is>
          <t>Eurostat (nrg_bal_peh)</t>
        </is>
      </c>
      <c r="I136" s="34" t="inlineStr">
        <is>
          <t>esabcc-e2-res-noBio-power-share</t>
        </is>
      </c>
    </row>
    <row r="137" ht="14" customHeight="1">
      <c r="A137" s="22" t="inlineStr">
        <is>
          <t>E2 (RES)</t>
        </is>
      </c>
      <c r="B137" s="22" t="inlineStr">
        <is>
          <t>Non-biomass renewable share of EU electricity mix</t>
        </is>
      </c>
      <c r="C137" s="22" t="inlineStr">
        <is>
          <t>Energy supply</t>
        </is>
      </c>
      <c r="D137" s="22" t="inlineStr">
        <is>
          <t>%</t>
        </is>
      </c>
      <c r="E137" s="65" t="n">
        <v>2020</v>
      </c>
      <c r="F137" s="66" t="n">
        <v>33.23</v>
      </c>
      <c r="G137" s="67" t="inlineStr">
        <is>
          <t>In the 2024 report</t>
        </is>
      </c>
      <c r="H137" s="22" t="inlineStr">
        <is>
          <t>Eurostat (nrg_bal_peh)</t>
        </is>
      </c>
      <c r="I137" s="35" t="inlineStr">
        <is>
          <t>esabcc-e2-res-noBio-power-share</t>
        </is>
      </c>
    </row>
    <row r="138" ht="14" customHeight="1">
      <c r="A138" s="15" t="inlineStr">
        <is>
          <t>E2 (RES)</t>
        </is>
      </c>
      <c r="B138" s="15" t="inlineStr">
        <is>
          <t>Non-biomass renewable share of EU electricity mix</t>
        </is>
      </c>
      <c r="C138" s="15" t="inlineStr">
        <is>
          <t>Energy supply</t>
        </is>
      </c>
      <c r="D138" s="15" t="inlineStr">
        <is>
          <t>%</t>
        </is>
      </c>
      <c r="E138" s="63" t="n">
        <v>2021</v>
      </c>
      <c r="F138" s="64" t="n">
        <v>32.08</v>
      </c>
      <c r="G138" s="14" t="inlineStr">
        <is>
          <t>In the 2024 report</t>
        </is>
      </c>
      <c r="H138" s="15" t="inlineStr">
        <is>
          <t>Eurostat (nrg_bal_peh)</t>
        </is>
      </c>
      <c r="I138" s="34" t="inlineStr">
        <is>
          <t>esabcc-e2-res-noBio-power-share</t>
        </is>
      </c>
    </row>
    <row r="139" ht="14" customHeight="1">
      <c r="A139" s="22" t="inlineStr">
        <is>
          <t>E2 (RES)</t>
        </is>
      </c>
      <c r="B139" s="22" t="inlineStr">
        <is>
          <t>Non-biomass renewable share of EU electricity mix</t>
        </is>
      </c>
      <c r="C139" s="22" t="inlineStr">
        <is>
          <t>Energy supply</t>
        </is>
      </c>
      <c r="D139" s="22" t="inlineStr">
        <is>
          <t>%</t>
        </is>
      </c>
      <c r="E139" s="65" t="n">
        <v>2022</v>
      </c>
      <c r="F139" s="66" t="n">
        <v>33.76</v>
      </c>
      <c r="G139" s="67" t="inlineStr">
        <is>
          <t>In the 2024 report</t>
        </is>
      </c>
      <c r="H139" s="22" t="inlineStr">
        <is>
          <t>Eurostat (nrg_bal_peh)</t>
        </is>
      </c>
      <c r="I139" s="35" t="inlineStr">
        <is>
          <t>esabcc-e2-res-noBio-power-share</t>
        </is>
      </c>
    </row>
    <row r="140" ht="14" customHeight="1">
      <c r="A140" s="15" t="inlineStr">
        <is>
          <t>E2 (RES)</t>
        </is>
      </c>
      <c r="B140" s="15" t="inlineStr">
        <is>
          <t>Non-biomass renewable share of EU electricity mix</t>
        </is>
      </c>
      <c r="C140" s="15" t="inlineStr">
        <is>
          <t>Energy supply</t>
        </is>
      </c>
      <c r="D140" s="15" t="inlineStr">
        <is>
          <t>%</t>
        </is>
      </c>
      <c r="E140" s="63" t="n">
        <v>2023</v>
      </c>
      <c r="F140" s="64" t="n">
        <v>40.4</v>
      </c>
      <c r="G140" s="68" t="inlineStr">
        <is>
          <t>Added since the report</t>
        </is>
      </c>
      <c r="H140" s="15" t="inlineStr">
        <is>
          <t>Eurostat (nrg_bal_peh)</t>
        </is>
      </c>
      <c r="I140" s="34" t="inlineStr">
        <is>
          <t>esabcc-e2-res-noBio-power-share</t>
        </is>
      </c>
    </row>
    <row r="141" ht="14" customHeight="1">
      <c r="A141" s="22" t="inlineStr">
        <is>
          <t>E2 (RES)</t>
        </is>
      </c>
      <c r="B141" s="22" t="inlineStr">
        <is>
          <t>Non-biomass renewable share of EU electricity mix</t>
        </is>
      </c>
      <c r="C141" s="22" t="inlineStr">
        <is>
          <t>Energy supply</t>
        </is>
      </c>
      <c r="D141" s="22" t="inlineStr">
        <is>
          <t>%</t>
        </is>
      </c>
      <c r="E141" s="65" t="n">
        <v>2024</v>
      </c>
      <c r="F141" s="66" t="n">
        <v>43.21</v>
      </c>
      <c r="G141" s="69" t="inlineStr">
        <is>
          <t>Added since the report</t>
        </is>
      </c>
      <c r="H141" s="22" t="inlineStr">
        <is>
          <t>Eurostat (nrg_bal_peh)</t>
        </is>
      </c>
      <c r="I141" s="35" t="inlineStr">
        <is>
          <t>esabcc-e2-res-noBio-power-share</t>
        </is>
      </c>
    </row>
    <row r="142" ht="14" customHeight="1">
      <c r="A142" s="15" t="inlineStr">
        <is>
          <t>E3</t>
        </is>
      </c>
      <c r="B142" s="15" t="inlineStr">
        <is>
          <t>Average GHG intensity of EU electricity</t>
        </is>
      </c>
      <c r="C142" s="15" t="inlineStr">
        <is>
          <t>Energy supply</t>
        </is>
      </c>
      <c r="D142" s="15" t="inlineStr">
        <is>
          <t>g CO₂eq/kWh</t>
        </is>
      </c>
      <c r="E142" s="63" t="n">
        <v>2005</v>
      </c>
      <c r="F142" s="64" t="n">
        <v>379</v>
      </c>
      <c r="G142" s="14" t="inlineStr">
        <is>
          <t>In the 2024 report</t>
        </is>
      </c>
      <c r="H142" s="15" t="inlineStr">
        <is>
          <t>EEA</t>
        </is>
      </c>
      <c r="I142" s="34" t="inlineStr">
        <is>
          <t>esabcc-e3-grid-co2-intensity</t>
        </is>
      </c>
    </row>
    <row r="143" ht="14" customHeight="1">
      <c r="A143" s="22" t="inlineStr">
        <is>
          <t>E3</t>
        </is>
      </c>
      <c r="B143" s="22" t="inlineStr">
        <is>
          <t>Average GHG intensity of EU electricity</t>
        </is>
      </c>
      <c r="C143" s="22" t="inlineStr">
        <is>
          <t>Energy supply</t>
        </is>
      </c>
      <c r="D143" s="22" t="inlineStr">
        <is>
          <t>g CO₂eq/kWh</t>
        </is>
      </c>
      <c r="E143" s="65" t="n">
        <v>2006</v>
      </c>
      <c r="F143" s="66" t="n">
        <v>377</v>
      </c>
      <c r="G143" s="67" t="inlineStr">
        <is>
          <t>In the 2024 report</t>
        </is>
      </c>
      <c r="H143" s="22" t="inlineStr">
        <is>
          <t>EEA</t>
        </is>
      </c>
      <c r="I143" s="35" t="inlineStr">
        <is>
          <t>esabcc-e3-grid-co2-intensity</t>
        </is>
      </c>
    </row>
    <row r="144" ht="14" customHeight="1">
      <c r="A144" s="15" t="inlineStr">
        <is>
          <t>E3</t>
        </is>
      </c>
      <c r="B144" s="15" t="inlineStr">
        <is>
          <t>Average GHG intensity of EU electricity</t>
        </is>
      </c>
      <c r="C144" s="15" t="inlineStr">
        <is>
          <t>Energy supply</t>
        </is>
      </c>
      <c r="D144" s="15" t="inlineStr">
        <is>
          <t>g CO₂eq/kWh</t>
        </is>
      </c>
      <c r="E144" s="63" t="n">
        <v>2007</v>
      </c>
      <c r="F144" s="64" t="n">
        <v>386</v>
      </c>
      <c r="G144" s="14" t="inlineStr">
        <is>
          <t>In the 2024 report</t>
        </is>
      </c>
      <c r="H144" s="15" t="inlineStr">
        <is>
          <t>EEA</t>
        </is>
      </c>
      <c r="I144" s="34" t="inlineStr">
        <is>
          <t>esabcc-e3-grid-co2-intensity</t>
        </is>
      </c>
    </row>
    <row r="145" ht="14" customHeight="1">
      <c r="A145" s="22" t="inlineStr">
        <is>
          <t>E3</t>
        </is>
      </c>
      <c r="B145" s="22" t="inlineStr">
        <is>
          <t>Average GHG intensity of EU electricity</t>
        </is>
      </c>
      <c r="C145" s="22" t="inlineStr">
        <is>
          <t>Energy supply</t>
        </is>
      </c>
      <c r="D145" s="22" t="inlineStr">
        <is>
          <t>g CO₂eq/kWh</t>
        </is>
      </c>
      <c r="E145" s="65" t="n">
        <v>2008</v>
      </c>
      <c r="F145" s="66" t="n">
        <v>363</v>
      </c>
      <c r="G145" s="67" t="inlineStr">
        <is>
          <t>In the 2024 report</t>
        </is>
      </c>
      <c r="H145" s="22" t="inlineStr">
        <is>
          <t>EEA</t>
        </is>
      </c>
      <c r="I145" s="35" t="inlineStr">
        <is>
          <t>esabcc-e3-grid-co2-intensity</t>
        </is>
      </c>
    </row>
    <row r="146" ht="14" customHeight="1">
      <c r="A146" s="15" t="inlineStr">
        <is>
          <t>E3</t>
        </is>
      </c>
      <c r="B146" s="15" t="inlineStr">
        <is>
          <t>Average GHG intensity of EU electricity</t>
        </is>
      </c>
      <c r="C146" s="15" t="inlineStr">
        <is>
          <t>Energy supply</t>
        </is>
      </c>
      <c r="D146" s="15" t="inlineStr">
        <is>
          <t>g CO₂eq/kWh</t>
        </is>
      </c>
      <c r="E146" s="63" t="n">
        <v>2009</v>
      </c>
      <c r="F146" s="64" t="n">
        <v>350</v>
      </c>
      <c r="G146" s="14" t="inlineStr">
        <is>
          <t>In the 2024 report</t>
        </is>
      </c>
      <c r="H146" s="15" t="inlineStr">
        <is>
          <t>EEA</t>
        </is>
      </c>
      <c r="I146" s="34" t="inlineStr">
        <is>
          <t>esabcc-e3-grid-co2-intensity</t>
        </is>
      </c>
    </row>
    <row r="147" ht="14" customHeight="1">
      <c r="A147" s="22" t="inlineStr">
        <is>
          <t>E3</t>
        </is>
      </c>
      <c r="B147" s="22" t="inlineStr">
        <is>
          <t>Average GHG intensity of EU electricity</t>
        </is>
      </c>
      <c r="C147" s="22" t="inlineStr">
        <is>
          <t>Energy supply</t>
        </is>
      </c>
      <c r="D147" s="22" t="inlineStr">
        <is>
          <t>g CO₂eq/kWh</t>
        </is>
      </c>
      <c r="E147" s="65" t="n">
        <v>2010</v>
      </c>
      <c r="F147" s="66" t="n">
        <v>335</v>
      </c>
      <c r="G147" s="67" t="inlineStr">
        <is>
          <t>In the 2024 report</t>
        </is>
      </c>
      <c r="H147" s="22" t="inlineStr">
        <is>
          <t>EEA</t>
        </is>
      </c>
      <c r="I147" s="35" t="inlineStr">
        <is>
          <t>esabcc-e3-grid-co2-intensity</t>
        </is>
      </c>
    </row>
    <row r="148" ht="14" customHeight="1">
      <c r="A148" s="15" t="inlineStr">
        <is>
          <t>E3</t>
        </is>
      </c>
      <c r="B148" s="15" t="inlineStr">
        <is>
          <t>Average GHG intensity of EU electricity</t>
        </is>
      </c>
      <c r="C148" s="15" t="inlineStr">
        <is>
          <t>Energy supply</t>
        </is>
      </c>
      <c r="D148" s="15" t="inlineStr">
        <is>
          <t>g CO₂eq/kWh</t>
        </is>
      </c>
      <c r="E148" s="63" t="n">
        <v>2011</v>
      </c>
      <c r="F148" s="64" t="n">
        <v>342</v>
      </c>
      <c r="G148" s="14" t="inlineStr">
        <is>
          <t>In the 2024 report</t>
        </is>
      </c>
      <c r="H148" s="15" t="inlineStr">
        <is>
          <t>EEA</t>
        </is>
      </c>
      <c r="I148" s="34" t="inlineStr">
        <is>
          <t>esabcc-e3-grid-co2-intensity</t>
        </is>
      </c>
    </row>
    <row r="149" ht="14" customHeight="1">
      <c r="A149" s="22" t="inlineStr">
        <is>
          <t>E3</t>
        </is>
      </c>
      <c r="B149" s="22" t="inlineStr">
        <is>
          <t>Average GHG intensity of EU electricity</t>
        </is>
      </c>
      <c r="C149" s="22" t="inlineStr">
        <is>
          <t>Energy supply</t>
        </is>
      </c>
      <c r="D149" s="22" t="inlineStr">
        <is>
          <t>g CO₂eq/kWh</t>
        </is>
      </c>
      <c r="E149" s="65" t="n">
        <v>2012</v>
      </c>
      <c r="F149" s="66" t="n">
        <v>339</v>
      </c>
      <c r="G149" s="67" t="inlineStr">
        <is>
          <t>In the 2024 report</t>
        </is>
      </c>
      <c r="H149" s="22" t="inlineStr">
        <is>
          <t>EEA</t>
        </is>
      </c>
      <c r="I149" s="35" t="inlineStr">
        <is>
          <t>esabcc-e3-grid-co2-intensity</t>
        </is>
      </c>
    </row>
    <row r="150" ht="14" customHeight="1">
      <c r="A150" s="15" t="inlineStr">
        <is>
          <t>E3</t>
        </is>
      </c>
      <c r="B150" s="15" t="inlineStr">
        <is>
          <t>Average GHG intensity of EU electricity</t>
        </is>
      </c>
      <c r="C150" s="15" t="inlineStr">
        <is>
          <t>Energy supply</t>
        </is>
      </c>
      <c r="D150" s="15" t="inlineStr">
        <is>
          <t>g CO₂eq/kWh</t>
        </is>
      </c>
      <c r="E150" s="63" t="n">
        <v>2013</v>
      </c>
      <c r="F150" s="64" t="n">
        <v>322</v>
      </c>
      <c r="G150" s="14" t="inlineStr">
        <is>
          <t>In the 2024 report</t>
        </is>
      </c>
      <c r="H150" s="15" t="inlineStr">
        <is>
          <t>EEA</t>
        </is>
      </c>
      <c r="I150" s="34" t="inlineStr">
        <is>
          <t>esabcc-e3-grid-co2-intensity</t>
        </is>
      </c>
    </row>
    <row r="151" ht="14" customHeight="1">
      <c r="A151" s="22" t="inlineStr">
        <is>
          <t>E3</t>
        </is>
      </c>
      <c r="B151" s="22" t="inlineStr">
        <is>
          <t>Average GHG intensity of EU electricity</t>
        </is>
      </c>
      <c r="C151" s="22" t="inlineStr">
        <is>
          <t>Energy supply</t>
        </is>
      </c>
      <c r="D151" s="22" t="inlineStr">
        <is>
          <t>g CO₂eq/kWh</t>
        </is>
      </c>
      <c r="E151" s="65" t="n">
        <v>2014</v>
      </c>
      <c r="F151" s="66" t="n">
        <v>313</v>
      </c>
      <c r="G151" s="67" t="inlineStr">
        <is>
          <t>In the 2024 report</t>
        </is>
      </c>
      <c r="H151" s="22" t="inlineStr">
        <is>
          <t>EEA</t>
        </is>
      </c>
      <c r="I151" s="35" t="inlineStr">
        <is>
          <t>esabcc-e3-grid-co2-intensity</t>
        </is>
      </c>
    </row>
    <row r="152" ht="14" customHeight="1">
      <c r="A152" s="15" t="inlineStr">
        <is>
          <t>E3</t>
        </is>
      </c>
      <c r="B152" s="15" t="inlineStr">
        <is>
          <t>Average GHG intensity of EU electricity</t>
        </is>
      </c>
      <c r="C152" s="15" t="inlineStr">
        <is>
          <t>Energy supply</t>
        </is>
      </c>
      <c r="D152" s="15" t="inlineStr">
        <is>
          <t>g CO₂eq/kWh</t>
        </is>
      </c>
      <c r="E152" s="63" t="n">
        <v>2015</v>
      </c>
      <c r="F152" s="64" t="n">
        <v>313</v>
      </c>
      <c r="G152" s="14" t="inlineStr">
        <is>
          <t>In the 2024 report</t>
        </is>
      </c>
      <c r="H152" s="15" t="inlineStr">
        <is>
          <t>EEA</t>
        </is>
      </c>
      <c r="I152" s="34" t="inlineStr">
        <is>
          <t>esabcc-e3-grid-co2-intensity</t>
        </is>
      </c>
    </row>
    <row r="153" ht="14" customHeight="1">
      <c r="A153" s="22" t="inlineStr">
        <is>
          <t>E3</t>
        </is>
      </c>
      <c r="B153" s="22" t="inlineStr">
        <is>
          <t>Average GHG intensity of EU electricity</t>
        </is>
      </c>
      <c r="C153" s="22" t="inlineStr">
        <is>
          <t>Energy supply</t>
        </is>
      </c>
      <c r="D153" s="22" t="inlineStr">
        <is>
          <t>g CO₂eq/kWh</t>
        </is>
      </c>
      <c r="E153" s="65" t="n">
        <v>2016</v>
      </c>
      <c r="F153" s="66" t="n">
        <v>303</v>
      </c>
      <c r="G153" s="67" t="inlineStr">
        <is>
          <t>In the 2024 report</t>
        </is>
      </c>
      <c r="H153" s="22" t="inlineStr">
        <is>
          <t>EEA</t>
        </is>
      </c>
      <c r="I153" s="35" t="inlineStr">
        <is>
          <t>esabcc-e3-grid-co2-intensity</t>
        </is>
      </c>
    </row>
    <row r="154" ht="14" customHeight="1">
      <c r="A154" s="15" t="inlineStr">
        <is>
          <t>E3</t>
        </is>
      </c>
      <c r="B154" s="15" t="inlineStr">
        <is>
          <t>Average GHG intensity of EU electricity</t>
        </is>
      </c>
      <c r="C154" s="15" t="inlineStr">
        <is>
          <t>Energy supply</t>
        </is>
      </c>
      <c r="D154" s="15" t="inlineStr">
        <is>
          <t>g CO₂eq/kWh</t>
        </is>
      </c>
      <c r="E154" s="63" t="n">
        <v>2017</v>
      </c>
      <c r="F154" s="64" t="n">
        <v>302</v>
      </c>
      <c r="G154" s="14" t="inlineStr">
        <is>
          <t>In the 2024 report</t>
        </is>
      </c>
      <c r="H154" s="15" t="inlineStr">
        <is>
          <t>EEA</t>
        </is>
      </c>
      <c r="I154" s="34" t="inlineStr">
        <is>
          <t>esabcc-e3-grid-co2-intensity</t>
        </is>
      </c>
    </row>
    <row r="155" ht="14" customHeight="1">
      <c r="A155" s="22" t="inlineStr">
        <is>
          <t>E3</t>
        </is>
      </c>
      <c r="B155" s="22" t="inlineStr">
        <is>
          <t>Average GHG intensity of EU electricity</t>
        </is>
      </c>
      <c r="C155" s="22" t="inlineStr">
        <is>
          <t>Energy supply</t>
        </is>
      </c>
      <c r="D155" s="22" t="inlineStr">
        <is>
          <t>g CO₂eq/kWh</t>
        </is>
      </c>
      <c r="E155" s="65" t="n">
        <v>2018</v>
      </c>
      <c r="F155" s="66" t="n">
        <v>289</v>
      </c>
      <c r="G155" s="67" t="inlineStr">
        <is>
          <t>In the 2024 report</t>
        </is>
      </c>
      <c r="H155" s="22" t="inlineStr">
        <is>
          <t>EEA</t>
        </is>
      </c>
      <c r="I155" s="35" t="inlineStr">
        <is>
          <t>esabcc-e3-grid-co2-intensity</t>
        </is>
      </c>
    </row>
    <row r="156" ht="14" customHeight="1">
      <c r="A156" s="15" t="inlineStr">
        <is>
          <t>E3</t>
        </is>
      </c>
      <c r="B156" s="15" t="inlineStr">
        <is>
          <t>Average GHG intensity of EU electricity</t>
        </is>
      </c>
      <c r="C156" s="15" t="inlineStr">
        <is>
          <t>Energy supply</t>
        </is>
      </c>
      <c r="D156" s="15" t="inlineStr">
        <is>
          <t>g CO₂eq/kWh</t>
        </is>
      </c>
      <c r="E156" s="63" t="n">
        <v>2019</v>
      </c>
      <c r="F156" s="64" t="n">
        <v>255</v>
      </c>
      <c r="G156" s="14" t="inlineStr">
        <is>
          <t>In the 2024 report</t>
        </is>
      </c>
      <c r="H156" s="15" t="inlineStr">
        <is>
          <t>EEA</t>
        </is>
      </c>
      <c r="I156" s="34" t="inlineStr">
        <is>
          <t>esabcc-e3-grid-co2-intensity</t>
        </is>
      </c>
    </row>
    <row r="157" ht="14" customHeight="1">
      <c r="A157" s="22" t="inlineStr">
        <is>
          <t>E3</t>
        </is>
      </c>
      <c r="B157" s="22" t="inlineStr">
        <is>
          <t>Average GHG intensity of EU electricity</t>
        </is>
      </c>
      <c r="C157" s="22" t="inlineStr">
        <is>
          <t>Energy supply</t>
        </is>
      </c>
      <c r="D157" s="22" t="inlineStr">
        <is>
          <t>g CO₂eq/kWh</t>
        </is>
      </c>
      <c r="E157" s="65" t="n">
        <v>2020</v>
      </c>
      <c r="F157" s="66" t="n">
        <v>228</v>
      </c>
      <c r="G157" s="67" t="inlineStr">
        <is>
          <t>In the 2024 report</t>
        </is>
      </c>
      <c r="H157" s="22" t="inlineStr">
        <is>
          <t>EEA</t>
        </is>
      </c>
      <c r="I157" s="35" t="inlineStr">
        <is>
          <t>esabcc-e3-grid-co2-intensity</t>
        </is>
      </c>
    </row>
    <row r="158" ht="14" customHeight="1">
      <c r="A158" s="15" t="inlineStr">
        <is>
          <t>E3</t>
        </is>
      </c>
      <c r="B158" s="15" t="inlineStr">
        <is>
          <t>Average GHG intensity of EU electricity</t>
        </is>
      </c>
      <c r="C158" s="15" t="inlineStr">
        <is>
          <t>Energy supply</t>
        </is>
      </c>
      <c r="D158" s="15" t="inlineStr">
        <is>
          <t>g CO₂eq/kWh</t>
        </is>
      </c>
      <c r="E158" s="63" t="n">
        <v>2021</v>
      </c>
      <c r="F158" s="64" t="n">
        <v>238</v>
      </c>
      <c r="G158" s="14" t="inlineStr">
        <is>
          <t>In the 2024 report</t>
        </is>
      </c>
      <c r="H158" s="15" t="inlineStr">
        <is>
          <t>EEA</t>
        </is>
      </c>
      <c r="I158" s="34" t="inlineStr">
        <is>
          <t>esabcc-e3-grid-co2-intensity</t>
        </is>
      </c>
    </row>
    <row r="159" ht="14" customHeight="1">
      <c r="A159" s="22" t="inlineStr">
        <is>
          <t>E3</t>
        </is>
      </c>
      <c r="B159" s="22" t="inlineStr">
        <is>
          <t>Average GHG intensity of EU electricity</t>
        </is>
      </c>
      <c r="C159" s="22" t="inlineStr">
        <is>
          <t>Energy supply</t>
        </is>
      </c>
      <c r="D159" s="22" t="inlineStr">
        <is>
          <t>g CO₂eq/kWh</t>
        </is>
      </c>
      <c r="E159" s="65" t="n">
        <v>2022</v>
      </c>
      <c r="F159" s="66" t="n">
        <v>251</v>
      </c>
      <c r="G159" s="67" t="inlineStr">
        <is>
          <t>In the 2024 report</t>
        </is>
      </c>
      <c r="H159" s="22" t="inlineStr">
        <is>
          <t>EEA</t>
        </is>
      </c>
      <c r="I159" s="35" t="inlineStr">
        <is>
          <t>esabcc-e3-grid-co2-intensity</t>
        </is>
      </c>
    </row>
    <row r="160" ht="14" customHeight="1">
      <c r="A160" s="15" t="inlineStr">
        <is>
          <t>E3</t>
        </is>
      </c>
      <c r="B160" s="15" t="inlineStr">
        <is>
          <t>Average GHG intensity of EU electricity</t>
        </is>
      </c>
      <c r="C160" s="15" t="inlineStr">
        <is>
          <t>Energy supply</t>
        </is>
      </c>
      <c r="D160" s="15" t="inlineStr">
        <is>
          <t>g CO₂eq/kWh</t>
        </is>
      </c>
      <c r="E160" s="63" t="n">
        <v>2023</v>
      </c>
      <c r="F160" s="64" t="n">
        <v>208.7</v>
      </c>
      <c r="G160" s="68" t="inlineStr">
        <is>
          <t>Added since the report</t>
        </is>
      </c>
      <c r="H160" s="15" t="inlineStr">
        <is>
          <t>EEA</t>
        </is>
      </c>
      <c r="I160" s="34" t="inlineStr">
        <is>
          <t>esabcc-e3-grid-co2-intensity</t>
        </is>
      </c>
    </row>
    <row r="161" ht="14" customHeight="1">
      <c r="A161" s="22" t="inlineStr">
        <is>
          <t>E3</t>
        </is>
      </c>
      <c r="B161" s="22" t="inlineStr">
        <is>
          <t>Average GHG intensity of EU electricity</t>
        </is>
      </c>
      <c r="C161" s="22" t="inlineStr">
        <is>
          <t>Energy supply</t>
        </is>
      </c>
      <c r="D161" s="22" t="inlineStr">
        <is>
          <t>g CO₂eq/kWh</t>
        </is>
      </c>
      <c r="E161" s="65" t="n">
        <v>2024</v>
      </c>
      <c r="F161" s="66" t="n">
        <v>187.4</v>
      </c>
      <c r="G161" s="69" t="inlineStr">
        <is>
          <t>Added since the report</t>
        </is>
      </c>
      <c r="H161" s="22" t="inlineStr">
        <is>
          <t>EEA</t>
        </is>
      </c>
      <c r="I161" s="35" t="inlineStr">
        <is>
          <t>esabcc-e3-grid-co2-intensity</t>
        </is>
      </c>
    </row>
    <row r="162" ht="14" customHeight="1">
      <c r="A162" s="15" t="inlineStr">
        <is>
          <t>E4a</t>
        </is>
      </c>
      <c r="B162" s="15" t="inlineStr">
        <is>
          <t>Annual solar PV capacity additions (EU)</t>
        </is>
      </c>
      <c r="C162" s="15" t="inlineStr">
        <is>
          <t>Energy supply</t>
        </is>
      </c>
      <c r="D162" s="15" t="inlineStr">
        <is>
          <t>GW/yr</t>
        </is>
      </c>
      <c r="E162" s="63" t="n">
        <v>2006</v>
      </c>
      <c r="F162" s="64" t="n">
        <v>0.9447</v>
      </c>
      <c r="G162" s="14" t="inlineStr">
        <is>
          <t>In the 2024 report</t>
        </is>
      </c>
      <c r="H162" s="15" t="inlineStr">
        <is>
          <t>Eurostat (nrg_inf_epcrw)</t>
        </is>
      </c>
      <c r="I162" s="34" t="inlineStr">
        <is>
          <t>esabcc-e4a-solar-pv-add</t>
        </is>
      </c>
    </row>
    <row r="163" ht="14" customHeight="1">
      <c r="A163" s="22" t="inlineStr">
        <is>
          <t>E4a</t>
        </is>
      </c>
      <c r="B163" s="22" t="inlineStr">
        <is>
          <t>Annual solar PV capacity additions (EU)</t>
        </is>
      </c>
      <c r="C163" s="22" t="inlineStr">
        <is>
          <t>Energy supply</t>
        </is>
      </c>
      <c r="D163" s="22" t="inlineStr">
        <is>
          <t>GW/yr</t>
        </is>
      </c>
      <c r="E163" s="65" t="n">
        <v>2007</v>
      </c>
      <c r="F163" s="66" t="n">
        <v>1.761</v>
      </c>
      <c r="G163" s="67" t="inlineStr">
        <is>
          <t>In the 2024 report</t>
        </is>
      </c>
      <c r="H163" s="22" t="inlineStr">
        <is>
          <t>Eurostat (nrg_inf_epcrw)</t>
        </is>
      </c>
      <c r="I163" s="35" t="inlineStr">
        <is>
          <t>esabcc-e4a-solar-pv-add</t>
        </is>
      </c>
    </row>
    <row r="164" ht="14" customHeight="1">
      <c r="A164" s="15" t="inlineStr">
        <is>
          <t>E4a</t>
        </is>
      </c>
      <c r="B164" s="15" t="inlineStr">
        <is>
          <t>Annual solar PV capacity additions (EU)</t>
        </is>
      </c>
      <c r="C164" s="15" t="inlineStr">
        <is>
          <t>Energy supply</t>
        </is>
      </c>
      <c r="D164" s="15" t="inlineStr">
        <is>
          <t>GW/yr</t>
        </is>
      </c>
      <c r="E164" s="63" t="n">
        <v>2008</v>
      </c>
      <c r="F164" s="64" t="n">
        <v>5.399</v>
      </c>
      <c r="G164" s="14" t="inlineStr">
        <is>
          <t>In the 2024 report</t>
        </is>
      </c>
      <c r="H164" s="15" t="inlineStr">
        <is>
          <t>Eurostat (nrg_inf_epcrw)</t>
        </is>
      </c>
      <c r="I164" s="34" t="inlineStr">
        <is>
          <t>esabcc-e4a-solar-pv-add</t>
        </is>
      </c>
    </row>
    <row r="165" ht="14" customHeight="1">
      <c r="A165" s="22" t="inlineStr">
        <is>
          <t>E4a</t>
        </is>
      </c>
      <c r="B165" s="22" t="inlineStr">
        <is>
          <t>Annual solar PV capacity additions (EU)</t>
        </is>
      </c>
      <c r="C165" s="22" t="inlineStr">
        <is>
          <t>Energy supply</t>
        </is>
      </c>
      <c r="D165" s="22" t="inlineStr">
        <is>
          <t>GW/yr</t>
        </is>
      </c>
      <c r="E165" s="65" t="n">
        <v>2009</v>
      </c>
      <c r="F165" s="66" t="n">
        <v>6.341</v>
      </c>
      <c r="G165" s="67" t="inlineStr">
        <is>
          <t>In the 2024 report</t>
        </is>
      </c>
      <c r="H165" s="22" t="inlineStr">
        <is>
          <t>Eurostat (nrg_inf_epcrw)</t>
        </is>
      </c>
      <c r="I165" s="35" t="inlineStr">
        <is>
          <t>esabcc-e4a-solar-pv-add</t>
        </is>
      </c>
    </row>
    <row r="166" ht="14" customHeight="1">
      <c r="A166" s="15" t="inlineStr">
        <is>
          <t>E4a</t>
        </is>
      </c>
      <c r="B166" s="15" t="inlineStr">
        <is>
          <t>Annual solar PV capacity additions (EU)</t>
        </is>
      </c>
      <c r="C166" s="15" t="inlineStr">
        <is>
          <t>Energy supply</t>
        </is>
      </c>
      <c r="D166" s="15" t="inlineStr">
        <is>
          <t>GW/yr</t>
        </is>
      </c>
      <c r="E166" s="63" t="n">
        <v>2010</v>
      </c>
      <c r="F166" s="64" t="n">
        <v>13.17</v>
      </c>
      <c r="G166" s="14" t="inlineStr">
        <is>
          <t>In the 2024 report</t>
        </is>
      </c>
      <c r="H166" s="15" t="inlineStr">
        <is>
          <t>Eurostat (nrg_inf_epcrw)</t>
        </is>
      </c>
      <c r="I166" s="34" t="inlineStr">
        <is>
          <t>esabcc-e4a-solar-pv-add</t>
        </is>
      </c>
    </row>
    <row r="167" ht="14" customHeight="1">
      <c r="A167" s="22" t="inlineStr">
        <is>
          <t>E4a</t>
        </is>
      </c>
      <c r="B167" s="22" t="inlineStr">
        <is>
          <t>Annual solar PV capacity additions (EU)</t>
        </is>
      </c>
      <c r="C167" s="22" t="inlineStr">
        <is>
          <t>Energy supply</t>
        </is>
      </c>
      <c r="D167" s="22" t="inlineStr">
        <is>
          <t>GW/yr</t>
        </is>
      </c>
      <c r="E167" s="65" t="n">
        <v>2011</v>
      </c>
      <c r="F167" s="66" t="n">
        <v>22.25</v>
      </c>
      <c r="G167" s="67" t="inlineStr">
        <is>
          <t>In the 2024 report</t>
        </is>
      </c>
      <c r="H167" s="22" t="inlineStr">
        <is>
          <t>Eurostat (nrg_inf_epcrw)</t>
        </is>
      </c>
      <c r="I167" s="35" t="inlineStr">
        <is>
          <t>esabcc-e4a-solar-pv-add</t>
        </is>
      </c>
    </row>
    <row r="168" ht="14" customHeight="1">
      <c r="A168" s="15" t="inlineStr">
        <is>
          <t>E4a</t>
        </is>
      </c>
      <c r="B168" s="15" t="inlineStr">
        <is>
          <t>Annual solar PV capacity additions (EU)</t>
        </is>
      </c>
      <c r="C168" s="15" t="inlineStr">
        <is>
          <t>Energy supply</t>
        </is>
      </c>
      <c r="D168" s="15" t="inlineStr">
        <is>
          <t>GW/yr</t>
        </is>
      </c>
      <c r="E168" s="63" t="n">
        <v>2012</v>
      </c>
      <c r="F168" s="64" t="n">
        <v>16.9</v>
      </c>
      <c r="G168" s="14" t="inlineStr">
        <is>
          <t>In the 2024 report</t>
        </is>
      </c>
      <c r="H168" s="15" t="inlineStr">
        <is>
          <t>Eurostat (nrg_inf_epcrw)</t>
        </is>
      </c>
      <c r="I168" s="34" t="inlineStr">
        <is>
          <t>esabcc-e4a-solar-pv-add</t>
        </is>
      </c>
    </row>
    <row r="169" ht="14" customHeight="1">
      <c r="A169" s="22" t="inlineStr">
        <is>
          <t>E4a</t>
        </is>
      </c>
      <c r="B169" s="22" t="inlineStr">
        <is>
          <t>Annual solar PV capacity additions (EU)</t>
        </is>
      </c>
      <c r="C169" s="22" t="inlineStr">
        <is>
          <t>Energy supply</t>
        </is>
      </c>
      <c r="D169" s="22" t="inlineStr">
        <is>
          <t>GW/yr</t>
        </is>
      </c>
      <c r="E169" s="65" t="n">
        <v>2013</v>
      </c>
      <c r="F169" s="66" t="n">
        <v>8.363</v>
      </c>
      <c r="G169" s="67" t="inlineStr">
        <is>
          <t>In the 2024 report</t>
        </is>
      </c>
      <c r="H169" s="22" t="inlineStr">
        <is>
          <t>Eurostat (nrg_inf_epcrw)</t>
        </is>
      </c>
      <c r="I169" s="35" t="inlineStr">
        <is>
          <t>esabcc-e4a-solar-pv-add</t>
        </is>
      </c>
    </row>
    <row r="170" ht="14" customHeight="1">
      <c r="A170" s="15" t="inlineStr">
        <is>
          <t>E4a</t>
        </is>
      </c>
      <c r="B170" s="15" t="inlineStr">
        <is>
          <t>Annual solar PV capacity additions (EU)</t>
        </is>
      </c>
      <c r="C170" s="15" t="inlineStr">
        <is>
          <t>Energy supply</t>
        </is>
      </c>
      <c r="D170" s="15" t="inlineStr">
        <is>
          <t>GW/yr</t>
        </is>
      </c>
      <c r="E170" s="63" t="n">
        <v>2014</v>
      </c>
      <c r="F170" s="64" t="n">
        <v>3.91</v>
      </c>
      <c r="G170" s="14" t="inlineStr">
        <is>
          <t>In the 2024 report</t>
        </is>
      </c>
      <c r="H170" s="15" t="inlineStr">
        <is>
          <t>Eurostat (nrg_inf_epcrw)</t>
        </is>
      </c>
      <c r="I170" s="34" t="inlineStr">
        <is>
          <t>esabcc-e4a-solar-pv-add</t>
        </is>
      </c>
    </row>
    <row r="171" ht="14" customHeight="1">
      <c r="A171" s="22" t="inlineStr">
        <is>
          <t>E4a</t>
        </is>
      </c>
      <c r="B171" s="22" t="inlineStr">
        <is>
          <t>Annual solar PV capacity additions (EU)</t>
        </is>
      </c>
      <c r="C171" s="22" t="inlineStr">
        <is>
          <t>Energy supply</t>
        </is>
      </c>
      <c r="D171" s="22" t="inlineStr">
        <is>
          <t>GW/yr</t>
        </is>
      </c>
      <c r="E171" s="65" t="n">
        <v>2015</v>
      </c>
      <c r="F171" s="66" t="n">
        <v>4.066</v>
      </c>
      <c r="G171" s="67" t="inlineStr">
        <is>
          <t>In the 2024 report</t>
        </is>
      </c>
      <c r="H171" s="22" t="inlineStr">
        <is>
          <t>Eurostat (nrg_inf_epcrw)</t>
        </is>
      </c>
      <c r="I171" s="35" t="inlineStr">
        <is>
          <t>esabcc-e4a-solar-pv-add</t>
        </is>
      </c>
    </row>
    <row r="172" ht="14" customHeight="1">
      <c r="A172" s="15" t="inlineStr">
        <is>
          <t>E4a</t>
        </is>
      </c>
      <c r="B172" s="15" t="inlineStr">
        <is>
          <t>Annual solar PV capacity additions (EU)</t>
        </is>
      </c>
      <c r="C172" s="15" t="inlineStr">
        <is>
          <t>Energy supply</t>
        </is>
      </c>
      <c r="D172" s="15" t="inlineStr">
        <is>
          <t>GW/yr</t>
        </is>
      </c>
      <c r="E172" s="63" t="n">
        <v>2016</v>
      </c>
      <c r="F172" s="64" t="n">
        <v>3.815</v>
      </c>
      <c r="G172" s="14" t="inlineStr">
        <is>
          <t>In the 2024 report</t>
        </is>
      </c>
      <c r="H172" s="15" t="inlineStr">
        <is>
          <t>Eurostat (nrg_inf_epcrw)</t>
        </is>
      </c>
      <c r="I172" s="34" t="inlineStr">
        <is>
          <t>esabcc-e4a-solar-pv-add</t>
        </is>
      </c>
    </row>
    <row r="173" ht="14" customHeight="1">
      <c r="A173" s="22" t="inlineStr">
        <is>
          <t>E4a</t>
        </is>
      </c>
      <c r="B173" s="22" t="inlineStr">
        <is>
          <t>Annual solar PV capacity additions (EU)</t>
        </is>
      </c>
      <c r="C173" s="22" t="inlineStr">
        <is>
          <t>Energy supply</t>
        </is>
      </c>
      <c r="D173" s="22" t="inlineStr">
        <is>
          <t>GW/yr</t>
        </is>
      </c>
      <c r="E173" s="65" t="n">
        <v>2017</v>
      </c>
      <c r="F173" s="66" t="n">
        <v>4.732</v>
      </c>
      <c r="G173" s="67" t="inlineStr">
        <is>
          <t>In the 2024 report</t>
        </is>
      </c>
      <c r="H173" s="22" t="inlineStr">
        <is>
          <t>Eurostat (nrg_inf_epcrw)</t>
        </is>
      </c>
      <c r="I173" s="35" t="inlineStr">
        <is>
          <t>esabcc-e4a-solar-pv-add</t>
        </is>
      </c>
    </row>
    <row r="174" ht="14" customHeight="1">
      <c r="A174" s="15" t="inlineStr">
        <is>
          <t>E4a</t>
        </is>
      </c>
      <c r="B174" s="15" t="inlineStr">
        <is>
          <t>Annual solar PV capacity additions (EU)</t>
        </is>
      </c>
      <c r="C174" s="15" t="inlineStr">
        <is>
          <t>Energy supply</t>
        </is>
      </c>
      <c r="D174" s="15" t="inlineStr">
        <is>
          <t>GW/yr</t>
        </is>
      </c>
      <c r="E174" s="63" t="n">
        <v>2018</v>
      </c>
      <c r="F174" s="64" t="n">
        <v>7.826</v>
      </c>
      <c r="G174" s="14" t="inlineStr">
        <is>
          <t>In the 2024 report</t>
        </is>
      </c>
      <c r="H174" s="15" t="inlineStr">
        <is>
          <t>Eurostat (nrg_inf_epcrw)</t>
        </is>
      </c>
      <c r="I174" s="34" t="inlineStr">
        <is>
          <t>esabcc-e4a-solar-pv-add</t>
        </is>
      </c>
    </row>
    <row r="175" ht="14" customHeight="1">
      <c r="A175" s="22" t="inlineStr">
        <is>
          <t>E4a</t>
        </is>
      </c>
      <c r="B175" s="22" t="inlineStr">
        <is>
          <t>Annual solar PV capacity additions (EU)</t>
        </is>
      </c>
      <c r="C175" s="22" t="inlineStr">
        <is>
          <t>Energy supply</t>
        </is>
      </c>
      <c r="D175" s="22" t="inlineStr">
        <is>
          <t>GW/yr</t>
        </is>
      </c>
      <c r="E175" s="65" t="n">
        <v>2019</v>
      </c>
      <c r="F175" s="66" t="n">
        <v>16.15</v>
      </c>
      <c r="G175" s="67" t="inlineStr">
        <is>
          <t>In the 2024 report</t>
        </is>
      </c>
      <c r="H175" s="22" t="inlineStr">
        <is>
          <t>Eurostat (nrg_inf_epcrw)</t>
        </is>
      </c>
      <c r="I175" s="35" t="inlineStr">
        <is>
          <t>esabcc-e4a-solar-pv-add</t>
        </is>
      </c>
    </row>
    <row r="176" ht="14" customHeight="1">
      <c r="A176" s="15" t="inlineStr">
        <is>
          <t>E4a</t>
        </is>
      </c>
      <c r="B176" s="15" t="inlineStr">
        <is>
          <t>Annual solar PV capacity additions (EU)</t>
        </is>
      </c>
      <c r="C176" s="15" t="inlineStr">
        <is>
          <t>Energy supply</t>
        </is>
      </c>
      <c r="D176" s="15" t="inlineStr">
        <is>
          <t>GW/yr</t>
        </is>
      </c>
      <c r="E176" s="63" t="n">
        <v>2020</v>
      </c>
      <c r="F176" s="64" t="n">
        <v>18.27</v>
      </c>
      <c r="G176" s="14" t="inlineStr">
        <is>
          <t>In the 2024 report</t>
        </is>
      </c>
      <c r="H176" s="15" t="inlineStr">
        <is>
          <t>Eurostat (nrg_inf_epcrw)</t>
        </is>
      </c>
      <c r="I176" s="34" t="inlineStr">
        <is>
          <t>esabcc-e4a-solar-pv-add</t>
        </is>
      </c>
    </row>
    <row r="177" ht="14" customHeight="1">
      <c r="A177" s="22" t="inlineStr">
        <is>
          <t>E4a</t>
        </is>
      </c>
      <c r="B177" s="22" t="inlineStr">
        <is>
          <t>Annual solar PV capacity additions (EU)</t>
        </is>
      </c>
      <c r="C177" s="22" t="inlineStr">
        <is>
          <t>Energy supply</t>
        </is>
      </c>
      <c r="D177" s="22" t="inlineStr">
        <is>
          <t>GW/yr</t>
        </is>
      </c>
      <c r="E177" s="65" t="n">
        <v>2021</v>
      </c>
      <c r="F177" s="66" t="n">
        <v>25.7</v>
      </c>
      <c r="G177" s="67" t="inlineStr">
        <is>
          <t>In the 2024 report</t>
        </is>
      </c>
      <c r="H177" s="22" t="inlineStr">
        <is>
          <t>Eurostat (nrg_inf_epcrw)</t>
        </is>
      </c>
      <c r="I177" s="35" t="inlineStr">
        <is>
          <t>esabcc-e4a-solar-pv-add</t>
        </is>
      </c>
    </row>
    <row r="178" ht="14" customHeight="1">
      <c r="A178" s="15" t="inlineStr">
        <is>
          <t>E4a</t>
        </is>
      </c>
      <c r="B178" s="15" t="inlineStr">
        <is>
          <t>Annual solar PV capacity additions (EU)</t>
        </is>
      </c>
      <c r="C178" s="15" t="inlineStr">
        <is>
          <t>Energy supply</t>
        </is>
      </c>
      <c r="D178" s="15" t="inlineStr">
        <is>
          <t>GW/yr</t>
        </is>
      </c>
      <c r="E178" s="63" t="n">
        <v>2022</v>
      </c>
      <c r="F178" s="64" t="n">
        <v>33.34</v>
      </c>
      <c r="G178" s="68" t="inlineStr">
        <is>
          <t>Added since the report</t>
        </is>
      </c>
      <c r="H178" s="15" t="inlineStr">
        <is>
          <t>Eurostat (nrg_inf_epcrw)</t>
        </is>
      </c>
      <c r="I178" s="34" t="inlineStr">
        <is>
          <t>esabcc-e4a-solar-pv-add</t>
        </is>
      </c>
    </row>
    <row r="179" ht="14" customHeight="1">
      <c r="A179" s="22" t="inlineStr">
        <is>
          <t>E4a</t>
        </is>
      </c>
      <c r="B179" s="22" t="inlineStr">
        <is>
          <t>Annual solar PV capacity additions (EU)</t>
        </is>
      </c>
      <c r="C179" s="22" t="inlineStr">
        <is>
          <t>Energy supply</t>
        </is>
      </c>
      <c r="D179" s="22" t="inlineStr">
        <is>
          <t>GW/yr</t>
        </is>
      </c>
      <c r="E179" s="65" t="n">
        <v>2023</v>
      </c>
      <c r="F179" s="66" t="n">
        <v>51.63</v>
      </c>
      <c r="G179" s="69" t="inlineStr">
        <is>
          <t>Added since the report</t>
        </is>
      </c>
      <c r="H179" s="22" t="inlineStr">
        <is>
          <t>Eurostat (nrg_inf_epcrw)</t>
        </is>
      </c>
      <c r="I179" s="35" t="inlineStr">
        <is>
          <t>esabcc-e4a-solar-pv-add</t>
        </is>
      </c>
    </row>
    <row r="180" ht="14" customHeight="1">
      <c r="A180" s="15" t="inlineStr">
        <is>
          <t>E4a</t>
        </is>
      </c>
      <c r="B180" s="15" t="inlineStr">
        <is>
          <t>Annual solar PV capacity additions (EU)</t>
        </is>
      </c>
      <c r="C180" s="15" t="inlineStr">
        <is>
          <t>Energy supply</t>
        </is>
      </c>
      <c r="D180" s="15" t="inlineStr">
        <is>
          <t>GW/yr</t>
        </is>
      </c>
      <c r="E180" s="63" t="n">
        <v>2024</v>
      </c>
      <c r="F180" s="64" t="n">
        <v>60.96</v>
      </c>
      <c r="G180" s="68" t="inlineStr">
        <is>
          <t>Added since the report</t>
        </is>
      </c>
      <c r="H180" s="15" t="inlineStr">
        <is>
          <t>Eurostat (nrg_inf_epcrw)</t>
        </is>
      </c>
      <c r="I180" s="34" t="inlineStr">
        <is>
          <t>esabcc-e4a-solar-pv-add</t>
        </is>
      </c>
    </row>
    <row r="181" ht="14" customHeight="1">
      <c r="A181" s="22" t="inlineStr">
        <is>
          <t>E4b/c</t>
        </is>
      </c>
      <c r="B181" s="22" t="inlineStr">
        <is>
          <t>Annual wind capacity additions (EU)</t>
        </is>
      </c>
      <c r="C181" s="22" t="inlineStr">
        <is>
          <t>Energy supply</t>
        </is>
      </c>
      <c r="D181" s="22" t="inlineStr">
        <is>
          <t>GW/yr</t>
        </is>
      </c>
      <c r="E181" s="65" t="n">
        <v>2006</v>
      </c>
      <c r="F181" s="66" t="n">
        <v>5.932</v>
      </c>
      <c r="G181" s="67" t="inlineStr">
        <is>
          <t>In the 2024 report</t>
        </is>
      </c>
      <c r="H181" s="22" t="inlineStr">
        <is>
          <t>Eurostat (nrg_inf_epcrw)</t>
        </is>
      </c>
      <c r="I181" s="35" t="inlineStr">
        <is>
          <t>esabcc-e4b-wind-add</t>
        </is>
      </c>
    </row>
    <row r="182" ht="14" customHeight="1">
      <c r="A182" s="15" t="inlineStr">
        <is>
          <t>E4b/c</t>
        </is>
      </c>
      <c r="B182" s="15" t="inlineStr">
        <is>
          <t>Annual wind capacity additions (EU)</t>
        </is>
      </c>
      <c r="C182" s="15" t="inlineStr">
        <is>
          <t>Energy supply</t>
        </is>
      </c>
      <c r="D182" s="15" t="inlineStr">
        <is>
          <t>GW/yr</t>
        </is>
      </c>
      <c r="E182" s="63" t="n">
        <v>2007</v>
      </c>
      <c r="F182" s="64" t="n">
        <v>6.821</v>
      </c>
      <c r="G182" s="14" t="inlineStr">
        <is>
          <t>In the 2024 report</t>
        </is>
      </c>
      <c r="H182" s="15" t="inlineStr">
        <is>
          <t>Eurostat (nrg_inf_epcrw)</t>
        </is>
      </c>
      <c r="I182" s="34" t="inlineStr">
        <is>
          <t>esabcc-e4b-wind-add</t>
        </is>
      </c>
    </row>
    <row r="183" ht="14" customHeight="1">
      <c r="A183" s="22" t="inlineStr">
        <is>
          <t>E4b/c</t>
        </is>
      </c>
      <c r="B183" s="22" t="inlineStr">
        <is>
          <t>Annual wind capacity additions (EU)</t>
        </is>
      </c>
      <c r="C183" s="22" t="inlineStr">
        <is>
          <t>Energy supply</t>
        </is>
      </c>
      <c r="D183" s="22" t="inlineStr">
        <is>
          <t>GW/yr</t>
        </is>
      </c>
      <c r="E183" s="65" t="n">
        <v>2008</v>
      </c>
      <c r="F183" s="66" t="n">
        <v>5.309</v>
      </c>
      <c r="G183" s="67" t="inlineStr">
        <is>
          <t>In the 2024 report</t>
        </is>
      </c>
      <c r="H183" s="22" t="inlineStr">
        <is>
          <t>Eurostat (nrg_inf_epcrw)</t>
        </is>
      </c>
      <c r="I183" s="35" t="inlineStr">
        <is>
          <t>esabcc-e4b-wind-add</t>
        </is>
      </c>
    </row>
    <row r="184" ht="14" customHeight="1">
      <c r="A184" s="15" t="inlineStr">
        <is>
          <t>E4b/c</t>
        </is>
      </c>
      <c r="B184" s="15" t="inlineStr">
        <is>
          <t>Annual wind capacity additions (EU)</t>
        </is>
      </c>
      <c r="C184" s="15" t="inlineStr">
        <is>
          <t>Energy supply</t>
        </is>
      </c>
      <c r="D184" s="15" t="inlineStr">
        <is>
          <t>GW/yr</t>
        </is>
      </c>
      <c r="E184" s="63" t="n">
        <v>2009</v>
      </c>
      <c r="F184" s="64" t="n">
        <v>9.323</v>
      </c>
      <c r="G184" s="14" t="inlineStr">
        <is>
          <t>In the 2024 report</t>
        </is>
      </c>
      <c r="H184" s="15" t="inlineStr">
        <is>
          <t>Eurostat (nrg_inf_epcrw)</t>
        </is>
      </c>
      <c r="I184" s="34" t="inlineStr">
        <is>
          <t>esabcc-e4b-wind-add</t>
        </is>
      </c>
    </row>
    <row r="185" ht="14" customHeight="1">
      <c r="A185" s="22" t="inlineStr">
        <is>
          <t>E4b/c</t>
        </is>
      </c>
      <c r="B185" s="22" t="inlineStr">
        <is>
          <t>Annual wind capacity additions (EU)</t>
        </is>
      </c>
      <c r="C185" s="22" t="inlineStr">
        <is>
          <t>Energy supply</t>
        </is>
      </c>
      <c r="D185" s="22" t="inlineStr">
        <is>
          <t>GW/yr</t>
        </is>
      </c>
      <c r="E185" s="65" t="n">
        <v>2010</v>
      </c>
      <c r="F185" s="66" t="n">
        <v>5.807</v>
      </c>
      <c r="G185" s="67" t="inlineStr">
        <is>
          <t>In the 2024 report</t>
        </is>
      </c>
      <c r="H185" s="22" t="inlineStr">
        <is>
          <t>Eurostat (nrg_inf_epcrw)</t>
        </is>
      </c>
      <c r="I185" s="35" t="inlineStr">
        <is>
          <t>esabcc-e4b-wind-add</t>
        </is>
      </c>
    </row>
    <row r="186" ht="14" customHeight="1">
      <c r="A186" s="15" t="inlineStr">
        <is>
          <t>E4b/c</t>
        </is>
      </c>
      <c r="B186" s="15" t="inlineStr">
        <is>
          <t>Annual wind capacity additions (EU)</t>
        </is>
      </c>
      <c r="C186" s="15" t="inlineStr">
        <is>
          <t>Energy supply</t>
        </is>
      </c>
      <c r="D186" s="15" t="inlineStr">
        <is>
          <t>GW/yr</t>
        </is>
      </c>
      <c r="E186" s="63" t="n">
        <v>2011</v>
      </c>
      <c r="F186" s="64" t="n">
        <v>13.62</v>
      </c>
      <c r="G186" s="14" t="inlineStr">
        <is>
          <t>In the 2024 report</t>
        </is>
      </c>
      <c r="H186" s="15" t="inlineStr">
        <is>
          <t>Eurostat (nrg_inf_epcrw)</t>
        </is>
      </c>
      <c r="I186" s="34" t="inlineStr">
        <is>
          <t>esabcc-e4b-wind-add</t>
        </is>
      </c>
    </row>
    <row r="187" ht="14" customHeight="1">
      <c r="A187" s="22" t="inlineStr">
        <is>
          <t>E4b/c</t>
        </is>
      </c>
      <c r="B187" s="22" t="inlineStr">
        <is>
          <t>Annual wind capacity additions (EU)</t>
        </is>
      </c>
      <c r="C187" s="22" t="inlineStr">
        <is>
          <t>Energy supply</t>
        </is>
      </c>
      <c r="D187" s="22" t="inlineStr">
        <is>
          <t>GW/yr</t>
        </is>
      </c>
      <c r="E187" s="65" t="n">
        <v>2012</v>
      </c>
      <c r="F187" s="66" t="n">
        <v>8.452999999999999</v>
      </c>
      <c r="G187" s="67" t="inlineStr">
        <is>
          <t>In the 2024 report</t>
        </is>
      </c>
      <c r="H187" s="22" t="inlineStr">
        <is>
          <t>Eurostat (nrg_inf_epcrw)</t>
        </is>
      </c>
      <c r="I187" s="35" t="inlineStr">
        <is>
          <t>esabcc-e4b-wind-add</t>
        </is>
      </c>
    </row>
    <row r="188" ht="14" customHeight="1">
      <c r="A188" s="15" t="inlineStr">
        <is>
          <t>E4b/c</t>
        </is>
      </c>
      <c r="B188" s="15" t="inlineStr">
        <is>
          <t>Annual wind capacity additions (EU)</t>
        </is>
      </c>
      <c r="C188" s="15" t="inlineStr">
        <is>
          <t>Energy supply</t>
        </is>
      </c>
      <c r="D188" s="15" t="inlineStr">
        <is>
          <t>GW/yr</t>
        </is>
      </c>
      <c r="E188" s="63" t="n">
        <v>2013</v>
      </c>
      <c r="F188" s="64" t="n">
        <v>6.559</v>
      </c>
      <c r="G188" s="14" t="inlineStr">
        <is>
          <t>In the 2024 report</t>
        </is>
      </c>
      <c r="H188" s="15" t="inlineStr">
        <is>
          <t>Eurostat (nrg_inf_epcrw)</t>
        </is>
      </c>
      <c r="I188" s="34" t="inlineStr">
        <is>
          <t>esabcc-e4b-wind-add</t>
        </is>
      </c>
    </row>
    <row r="189" ht="14" customHeight="1">
      <c r="A189" s="22" t="inlineStr">
        <is>
          <t>E4b/c</t>
        </is>
      </c>
      <c r="B189" s="22" t="inlineStr">
        <is>
          <t>Annual wind capacity additions (EU)</t>
        </is>
      </c>
      <c r="C189" s="22" t="inlineStr">
        <is>
          <t>Energy supply</t>
        </is>
      </c>
      <c r="D189" s="22" t="inlineStr">
        <is>
          <t>GW/yr</t>
        </is>
      </c>
      <c r="E189" s="65" t="n">
        <v>2014</v>
      </c>
      <c r="F189" s="66" t="n">
        <v>9.016999999999999</v>
      </c>
      <c r="G189" s="67" t="inlineStr">
        <is>
          <t>In the 2024 report</t>
        </is>
      </c>
      <c r="H189" s="22" t="inlineStr">
        <is>
          <t>Eurostat (nrg_inf_epcrw)</t>
        </is>
      </c>
      <c r="I189" s="35" t="inlineStr">
        <is>
          <t>esabcc-e4b-wind-add</t>
        </is>
      </c>
    </row>
    <row r="190" ht="14" customHeight="1">
      <c r="A190" s="15" t="inlineStr">
        <is>
          <t>E4b/c</t>
        </is>
      </c>
      <c r="B190" s="15" t="inlineStr">
        <is>
          <t>Annual wind capacity additions (EU)</t>
        </is>
      </c>
      <c r="C190" s="15" t="inlineStr">
        <is>
          <t>Energy supply</t>
        </is>
      </c>
      <c r="D190" s="15" t="inlineStr">
        <is>
          <t>GW/yr</t>
        </is>
      </c>
      <c r="E190" s="63" t="n">
        <v>2015</v>
      </c>
      <c r="F190" s="64" t="n">
        <v>9.246</v>
      </c>
      <c r="G190" s="14" t="inlineStr">
        <is>
          <t>In the 2024 report</t>
        </is>
      </c>
      <c r="H190" s="15" t="inlineStr">
        <is>
          <t>Eurostat (nrg_inf_epcrw)</t>
        </is>
      </c>
      <c r="I190" s="34" t="inlineStr">
        <is>
          <t>esabcc-e4b-wind-add</t>
        </is>
      </c>
    </row>
    <row r="191" ht="14" customHeight="1">
      <c r="A191" s="22" t="inlineStr">
        <is>
          <t>E4b/c</t>
        </is>
      </c>
      <c r="B191" s="22" t="inlineStr">
        <is>
          <t>Annual wind capacity additions (EU)</t>
        </is>
      </c>
      <c r="C191" s="22" t="inlineStr">
        <is>
          <t>Energy supply</t>
        </is>
      </c>
      <c r="D191" s="22" t="inlineStr">
        <is>
          <t>GW/yr</t>
        </is>
      </c>
      <c r="E191" s="65" t="n">
        <v>2016</v>
      </c>
      <c r="F191" s="66" t="n">
        <v>9.449</v>
      </c>
      <c r="G191" s="67" t="inlineStr">
        <is>
          <t>In the 2024 report</t>
        </is>
      </c>
      <c r="H191" s="22" t="inlineStr">
        <is>
          <t>Eurostat (nrg_inf_epcrw)</t>
        </is>
      </c>
      <c r="I191" s="35" t="inlineStr">
        <is>
          <t>esabcc-e4b-wind-add</t>
        </is>
      </c>
    </row>
    <row r="192" ht="14" customHeight="1">
      <c r="A192" s="15" t="inlineStr">
        <is>
          <t>E4b/c</t>
        </is>
      </c>
      <c r="B192" s="15" t="inlineStr">
        <is>
          <t>Annual wind capacity additions (EU)</t>
        </is>
      </c>
      <c r="C192" s="15" t="inlineStr">
        <is>
          <t>Energy supply</t>
        </is>
      </c>
      <c r="D192" s="15" t="inlineStr">
        <is>
          <t>GW/yr</t>
        </is>
      </c>
      <c r="E192" s="63" t="n">
        <v>2017</v>
      </c>
      <c r="F192" s="64" t="n">
        <v>13.18</v>
      </c>
      <c r="G192" s="14" t="inlineStr">
        <is>
          <t>In the 2024 report</t>
        </is>
      </c>
      <c r="H192" s="15" t="inlineStr">
        <is>
          <t>Eurostat (nrg_inf_epcrw)</t>
        </is>
      </c>
      <c r="I192" s="34" t="inlineStr">
        <is>
          <t>esabcc-e4b-wind-add</t>
        </is>
      </c>
    </row>
    <row r="193" ht="14" customHeight="1">
      <c r="A193" s="22" t="inlineStr">
        <is>
          <t>E4b/c</t>
        </is>
      </c>
      <c r="B193" s="22" t="inlineStr">
        <is>
          <t>Annual wind capacity additions (EU)</t>
        </is>
      </c>
      <c r="C193" s="22" t="inlineStr">
        <is>
          <t>Energy supply</t>
        </is>
      </c>
      <c r="D193" s="22" t="inlineStr">
        <is>
          <t>GW/yr</t>
        </is>
      </c>
      <c r="E193" s="65" t="n">
        <v>2018</v>
      </c>
      <c r="F193" s="66" t="n">
        <v>6.566</v>
      </c>
      <c r="G193" s="67" t="inlineStr">
        <is>
          <t>In the 2024 report</t>
        </is>
      </c>
      <c r="H193" s="22" t="inlineStr">
        <is>
          <t>Eurostat (nrg_inf_epcrw)</t>
        </is>
      </c>
      <c r="I193" s="35" t="inlineStr">
        <is>
          <t>esabcc-e4b-wind-add</t>
        </is>
      </c>
    </row>
    <row r="194" ht="14" customHeight="1">
      <c r="A194" s="15" t="inlineStr">
        <is>
          <t>E4b/c</t>
        </is>
      </c>
      <c r="B194" s="15" t="inlineStr">
        <is>
          <t>Annual wind capacity additions (EU)</t>
        </is>
      </c>
      <c r="C194" s="15" t="inlineStr">
        <is>
          <t>Energy supply</t>
        </is>
      </c>
      <c r="D194" s="15" t="inlineStr">
        <is>
          <t>GW/yr</t>
        </is>
      </c>
      <c r="E194" s="63" t="n">
        <v>2019</v>
      </c>
      <c r="F194" s="64" t="n">
        <v>8.396000000000001</v>
      </c>
      <c r="G194" s="14" t="inlineStr">
        <is>
          <t>In the 2024 report</t>
        </is>
      </c>
      <c r="H194" s="15" t="inlineStr">
        <is>
          <t>Eurostat (nrg_inf_epcrw)</t>
        </is>
      </c>
      <c r="I194" s="34" t="inlineStr">
        <is>
          <t>esabcc-e4b-wind-add</t>
        </is>
      </c>
    </row>
    <row r="195" ht="14" customHeight="1">
      <c r="A195" s="22" t="inlineStr">
        <is>
          <t>E4b/c</t>
        </is>
      </c>
      <c r="B195" s="22" t="inlineStr">
        <is>
          <t>Annual wind capacity additions (EU)</t>
        </is>
      </c>
      <c r="C195" s="22" t="inlineStr">
        <is>
          <t>Energy supply</t>
        </is>
      </c>
      <c r="D195" s="22" t="inlineStr">
        <is>
          <t>GW/yr</t>
        </is>
      </c>
      <c r="E195" s="65" t="n">
        <v>2020</v>
      </c>
      <c r="F195" s="66" t="n">
        <v>7.454</v>
      </c>
      <c r="G195" s="67" t="inlineStr">
        <is>
          <t>In the 2024 report</t>
        </is>
      </c>
      <c r="H195" s="22" t="inlineStr">
        <is>
          <t>Eurostat (nrg_inf_epcrw)</t>
        </is>
      </c>
      <c r="I195" s="35" t="inlineStr">
        <is>
          <t>esabcc-e4b-wind-add</t>
        </is>
      </c>
    </row>
    <row r="196" ht="14" customHeight="1">
      <c r="A196" s="15" t="inlineStr">
        <is>
          <t>E4b/c</t>
        </is>
      </c>
      <c r="B196" s="15" t="inlineStr">
        <is>
          <t>Annual wind capacity additions (EU)</t>
        </is>
      </c>
      <c r="C196" s="15" t="inlineStr">
        <is>
          <t>Energy supply</t>
        </is>
      </c>
      <c r="D196" s="15" t="inlineStr">
        <is>
          <t>GW/yr</t>
        </is>
      </c>
      <c r="E196" s="63" t="n">
        <v>2021</v>
      </c>
      <c r="F196" s="64" t="n">
        <v>10.72</v>
      </c>
      <c r="G196" s="14" t="inlineStr">
        <is>
          <t>In the 2024 report</t>
        </is>
      </c>
      <c r="H196" s="15" t="inlineStr">
        <is>
          <t>Eurostat (nrg_inf_epcrw)</t>
        </is>
      </c>
      <c r="I196" s="34" t="inlineStr">
        <is>
          <t>esabcc-e4b-wind-add</t>
        </is>
      </c>
    </row>
    <row r="197" ht="14" customHeight="1">
      <c r="A197" s="22" t="inlineStr">
        <is>
          <t>E4b/c</t>
        </is>
      </c>
      <c r="B197" s="22" t="inlineStr">
        <is>
          <t>Annual wind capacity additions (EU)</t>
        </is>
      </c>
      <c r="C197" s="22" t="inlineStr">
        <is>
          <t>Energy supply</t>
        </is>
      </c>
      <c r="D197" s="22" t="inlineStr">
        <is>
          <t>GW/yr</t>
        </is>
      </c>
      <c r="E197" s="65" t="n">
        <v>2022</v>
      </c>
      <c r="F197" s="66" t="n">
        <v>15.88</v>
      </c>
      <c r="G197" s="69" t="inlineStr">
        <is>
          <t>Added since the report</t>
        </is>
      </c>
      <c r="H197" s="22" t="inlineStr">
        <is>
          <t>Eurostat (nrg_inf_epcrw)</t>
        </is>
      </c>
      <c r="I197" s="35" t="inlineStr">
        <is>
          <t>esabcc-e4b-wind-add</t>
        </is>
      </c>
    </row>
    <row r="198" ht="14" customHeight="1">
      <c r="A198" s="15" t="inlineStr">
        <is>
          <t>E4b/c</t>
        </is>
      </c>
      <c r="B198" s="15" t="inlineStr">
        <is>
          <t>Annual wind capacity additions (EU)</t>
        </is>
      </c>
      <c r="C198" s="15" t="inlineStr">
        <is>
          <t>Energy supply</t>
        </is>
      </c>
      <c r="D198" s="15" t="inlineStr">
        <is>
          <t>GW/yr</t>
        </is>
      </c>
      <c r="E198" s="63" t="n">
        <v>2023</v>
      </c>
      <c r="F198" s="64" t="n">
        <v>12.12</v>
      </c>
      <c r="G198" s="68" t="inlineStr">
        <is>
          <t>Added since the report</t>
        </is>
      </c>
      <c r="H198" s="15" t="inlineStr">
        <is>
          <t>Eurostat (nrg_inf_epcrw)</t>
        </is>
      </c>
      <c r="I198" s="34" t="inlineStr">
        <is>
          <t>esabcc-e4b-wind-add</t>
        </is>
      </c>
    </row>
    <row r="199" ht="14" customHeight="1">
      <c r="A199" s="22" t="inlineStr">
        <is>
          <t>E4b/c</t>
        </is>
      </c>
      <c r="B199" s="22" t="inlineStr">
        <is>
          <t>Annual wind capacity additions (EU)</t>
        </is>
      </c>
      <c r="C199" s="22" t="inlineStr">
        <is>
          <t>Energy supply</t>
        </is>
      </c>
      <c r="D199" s="22" t="inlineStr">
        <is>
          <t>GW/yr</t>
        </is>
      </c>
      <c r="E199" s="65" t="n">
        <v>2024</v>
      </c>
      <c r="F199" s="66" t="n">
        <v>15.32</v>
      </c>
      <c r="G199" s="69" t="inlineStr">
        <is>
          <t>Added since the report</t>
        </is>
      </c>
      <c r="H199" s="22" t="inlineStr">
        <is>
          <t>Eurostat (nrg_inf_epcrw)</t>
        </is>
      </c>
      <c r="I199" s="35" t="inlineStr">
        <is>
          <t>esabcc-e4b-wind-add</t>
        </is>
      </c>
    </row>
    <row r="200" ht="14" customHeight="1">
      <c r="A200" s="15" t="inlineStr">
        <is>
          <t>E5</t>
        </is>
      </c>
      <c r="B200" s="15" t="inlineStr">
        <is>
          <t>Electrification rate of final energy use</t>
        </is>
      </c>
      <c r="C200" s="15" t="inlineStr">
        <is>
          <t>Energy demand</t>
        </is>
      </c>
      <c r="D200" s="15" t="inlineStr">
        <is>
          <t>%</t>
        </is>
      </c>
      <c r="E200" s="63" t="n">
        <v>2005</v>
      </c>
      <c r="F200" s="64" t="n">
        <v>21.23</v>
      </c>
      <c r="G200" s="14" t="inlineStr">
        <is>
          <t>In the 2024 report</t>
        </is>
      </c>
      <c r="H200" s="15" t="inlineStr">
        <is>
          <t>Eurostat (nrg_bal_c)</t>
        </is>
      </c>
      <c r="I200" s="34" t="inlineStr">
        <is>
          <t>esabcc-e5-electrification</t>
        </is>
      </c>
    </row>
    <row r="201" ht="14" customHeight="1">
      <c r="A201" s="22" t="inlineStr">
        <is>
          <t>E5</t>
        </is>
      </c>
      <c r="B201" s="22" t="inlineStr">
        <is>
          <t>Electrification rate of final energy use</t>
        </is>
      </c>
      <c r="C201" s="22" t="inlineStr">
        <is>
          <t>Energy demand</t>
        </is>
      </c>
      <c r="D201" s="22" t="inlineStr">
        <is>
          <t>%</t>
        </is>
      </c>
      <c r="E201" s="65" t="n">
        <v>2006</v>
      </c>
      <c r="F201" s="66" t="n">
        <v>21.61</v>
      </c>
      <c r="G201" s="67" t="inlineStr">
        <is>
          <t>In the 2024 report</t>
        </is>
      </c>
      <c r="H201" s="22" t="inlineStr">
        <is>
          <t>Eurostat (nrg_bal_c)</t>
        </is>
      </c>
      <c r="I201" s="35" t="inlineStr">
        <is>
          <t>esabcc-e5-electrification</t>
        </is>
      </c>
    </row>
    <row r="202" ht="14" customHeight="1">
      <c r="A202" s="15" t="inlineStr">
        <is>
          <t>E5</t>
        </is>
      </c>
      <c r="B202" s="15" t="inlineStr">
        <is>
          <t>Electrification rate of final energy use</t>
        </is>
      </c>
      <c r="C202" s="15" t="inlineStr">
        <is>
          <t>Energy demand</t>
        </is>
      </c>
      <c r="D202" s="15" t="inlineStr">
        <is>
          <t>%</t>
        </is>
      </c>
      <c r="E202" s="63" t="n">
        <v>2007</v>
      </c>
      <c r="F202" s="64" t="n">
        <v>22.2</v>
      </c>
      <c r="G202" s="14" t="inlineStr">
        <is>
          <t>In the 2024 report</t>
        </is>
      </c>
      <c r="H202" s="15" t="inlineStr">
        <is>
          <t>Eurostat (nrg_bal_c)</t>
        </is>
      </c>
      <c r="I202" s="34" t="inlineStr">
        <is>
          <t>esabcc-e5-electrification</t>
        </is>
      </c>
    </row>
    <row r="203" ht="14" customHeight="1">
      <c r="A203" s="22" t="inlineStr">
        <is>
          <t>E5</t>
        </is>
      </c>
      <c r="B203" s="22" t="inlineStr">
        <is>
          <t>Electrification rate of final energy use</t>
        </is>
      </c>
      <c r="C203" s="22" t="inlineStr">
        <is>
          <t>Energy demand</t>
        </is>
      </c>
      <c r="D203" s="22" t="inlineStr">
        <is>
          <t>%</t>
        </is>
      </c>
      <c r="E203" s="65" t="n">
        <v>2008</v>
      </c>
      <c r="F203" s="66" t="n">
        <v>22.1</v>
      </c>
      <c r="G203" s="67" t="inlineStr">
        <is>
          <t>In the 2024 report</t>
        </is>
      </c>
      <c r="H203" s="22" t="inlineStr">
        <is>
          <t>Eurostat (nrg_bal_c)</t>
        </is>
      </c>
      <c r="I203" s="35" t="inlineStr">
        <is>
          <t>esabcc-e5-electrification</t>
        </is>
      </c>
    </row>
    <row r="204" ht="14" customHeight="1">
      <c r="A204" s="15" t="inlineStr">
        <is>
          <t>E5</t>
        </is>
      </c>
      <c r="B204" s="15" t="inlineStr">
        <is>
          <t>Electrification rate of final energy use</t>
        </is>
      </c>
      <c r="C204" s="15" t="inlineStr">
        <is>
          <t>Energy demand</t>
        </is>
      </c>
      <c r="D204" s="15" t="inlineStr">
        <is>
          <t>%</t>
        </is>
      </c>
      <c r="E204" s="63" t="n">
        <v>2009</v>
      </c>
      <c r="F204" s="64" t="n">
        <v>22</v>
      </c>
      <c r="G204" s="14" t="inlineStr">
        <is>
          <t>In the 2024 report</t>
        </is>
      </c>
      <c r="H204" s="15" t="inlineStr">
        <is>
          <t>Eurostat (nrg_bal_c)</t>
        </is>
      </c>
      <c r="I204" s="34" t="inlineStr">
        <is>
          <t>esabcc-e5-electrification</t>
        </is>
      </c>
    </row>
    <row r="205" ht="14" customHeight="1">
      <c r="A205" s="22" t="inlineStr">
        <is>
          <t>E5</t>
        </is>
      </c>
      <c r="B205" s="22" t="inlineStr">
        <is>
          <t>Electrification rate of final energy use</t>
        </is>
      </c>
      <c r="C205" s="22" t="inlineStr">
        <is>
          <t>Energy demand</t>
        </is>
      </c>
      <c r="D205" s="22" t="inlineStr">
        <is>
          <t>%</t>
        </is>
      </c>
      <c r="E205" s="65" t="n">
        <v>2010</v>
      </c>
      <c r="F205" s="66" t="n">
        <v>22.18</v>
      </c>
      <c r="G205" s="67" t="inlineStr">
        <is>
          <t>In the 2024 report</t>
        </is>
      </c>
      <c r="H205" s="22" t="inlineStr">
        <is>
          <t>Eurostat (nrg_bal_c)</t>
        </is>
      </c>
      <c r="I205" s="35" t="inlineStr">
        <is>
          <t>esabcc-e5-electrification</t>
        </is>
      </c>
    </row>
    <row r="206" ht="14" customHeight="1">
      <c r="A206" s="15" t="inlineStr">
        <is>
          <t>E5</t>
        </is>
      </c>
      <c r="B206" s="15" t="inlineStr">
        <is>
          <t>Electrification rate of final energy use</t>
        </is>
      </c>
      <c r="C206" s="15" t="inlineStr">
        <is>
          <t>Energy demand</t>
        </is>
      </c>
      <c r="D206" s="15" t="inlineStr">
        <is>
          <t>%</t>
        </is>
      </c>
      <c r="E206" s="63" t="n">
        <v>2011</v>
      </c>
      <c r="F206" s="64" t="n">
        <v>22.79</v>
      </c>
      <c r="G206" s="14" t="inlineStr">
        <is>
          <t>In the 2024 report</t>
        </is>
      </c>
      <c r="H206" s="15" t="inlineStr">
        <is>
          <t>Eurostat (nrg_bal_c)</t>
        </is>
      </c>
      <c r="I206" s="34" t="inlineStr">
        <is>
          <t>esabcc-e5-electrification</t>
        </is>
      </c>
    </row>
    <row r="207" ht="14" customHeight="1">
      <c r="A207" s="22" t="inlineStr">
        <is>
          <t>E5</t>
        </is>
      </c>
      <c r="B207" s="22" t="inlineStr">
        <is>
          <t>Electrification rate of final energy use</t>
        </is>
      </c>
      <c r="C207" s="22" t="inlineStr">
        <is>
          <t>Energy demand</t>
        </is>
      </c>
      <c r="D207" s="22" t="inlineStr">
        <is>
          <t>%</t>
        </is>
      </c>
      <c r="E207" s="65" t="n">
        <v>2012</v>
      </c>
      <c r="F207" s="66" t="n">
        <v>22.89</v>
      </c>
      <c r="G207" s="67" t="inlineStr">
        <is>
          <t>In the 2024 report</t>
        </is>
      </c>
      <c r="H207" s="22" t="inlineStr">
        <is>
          <t>Eurostat (nrg_bal_c)</t>
        </is>
      </c>
      <c r="I207" s="35" t="inlineStr">
        <is>
          <t>esabcc-e5-electrification</t>
        </is>
      </c>
    </row>
    <row r="208" ht="14" customHeight="1">
      <c r="A208" s="15" t="inlineStr">
        <is>
          <t>E5</t>
        </is>
      </c>
      <c r="B208" s="15" t="inlineStr">
        <is>
          <t>Electrification rate of final energy use</t>
        </is>
      </c>
      <c r="C208" s="15" t="inlineStr">
        <is>
          <t>Energy demand</t>
        </is>
      </c>
      <c r="D208" s="15" t="inlineStr">
        <is>
          <t>%</t>
        </is>
      </c>
      <c r="E208" s="63" t="n">
        <v>2013</v>
      </c>
      <c r="F208" s="64" t="n">
        <v>22.72</v>
      </c>
      <c r="G208" s="14" t="inlineStr">
        <is>
          <t>In the 2024 report</t>
        </is>
      </c>
      <c r="H208" s="15" t="inlineStr">
        <is>
          <t>Eurostat (nrg_bal_c)</t>
        </is>
      </c>
      <c r="I208" s="34" t="inlineStr">
        <is>
          <t>esabcc-e5-electrification</t>
        </is>
      </c>
    </row>
    <row r="209" ht="14" customHeight="1">
      <c r="A209" s="22" t="inlineStr">
        <is>
          <t>E5</t>
        </is>
      </c>
      <c r="B209" s="22" t="inlineStr">
        <is>
          <t>Electrification rate of final energy use</t>
        </is>
      </c>
      <c r="C209" s="22" t="inlineStr">
        <is>
          <t>Energy demand</t>
        </is>
      </c>
      <c r="D209" s="22" t="inlineStr">
        <is>
          <t>%</t>
        </is>
      </c>
      <c r="E209" s="65" t="n">
        <v>2014</v>
      </c>
      <c r="F209" s="66" t="n">
        <v>23.28</v>
      </c>
      <c r="G209" s="67" t="inlineStr">
        <is>
          <t>In the 2024 report</t>
        </is>
      </c>
      <c r="H209" s="22" t="inlineStr">
        <is>
          <t>Eurostat (nrg_bal_c)</t>
        </is>
      </c>
      <c r="I209" s="35" t="inlineStr">
        <is>
          <t>esabcc-e5-electrification</t>
        </is>
      </c>
    </row>
    <row r="210" ht="14" customHeight="1">
      <c r="A210" s="15" t="inlineStr">
        <is>
          <t>E5</t>
        </is>
      </c>
      <c r="B210" s="15" t="inlineStr">
        <is>
          <t>Electrification rate of final energy use</t>
        </is>
      </c>
      <c r="C210" s="15" t="inlineStr">
        <is>
          <t>Energy demand</t>
        </is>
      </c>
      <c r="D210" s="15" t="inlineStr">
        <is>
          <t>%</t>
        </is>
      </c>
      <c r="E210" s="63" t="n">
        <v>2015</v>
      </c>
      <c r="F210" s="64" t="n">
        <v>23.18</v>
      </c>
      <c r="G210" s="14" t="inlineStr">
        <is>
          <t>In the 2024 report</t>
        </is>
      </c>
      <c r="H210" s="15" t="inlineStr">
        <is>
          <t>Eurostat (nrg_bal_c)</t>
        </is>
      </c>
      <c r="I210" s="34" t="inlineStr">
        <is>
          <t>esabcc-e5-electrification</t>
        </is>
      </c>
    </row>
    <row r="211" ht="14" customHeight="1">
      <c r="A211" s="22" t="inlineStr">
        <is>
          <t>E5</t>
        </is>
      </c>
      <c r="B211" s="22" t="inlineStr">
        <is>
          <t>Electrification rate of final energy use</t>
        </is>
      </c>
      <c r="C211" s="22" t="inlineStr">
        <is>
          <t>Energy demand</t>
        </is>
      </c>
      <c r="D211" s="22" t="inlineStr">
        <is>
          <t>%</t>
        </is>
      </c>
      <c r="E211" s="65" t="n">
        <v>2016</v>
      </c>
      <c r="F211" s="66" t="n">
        <v>23.01</v>
      </c>
      <c r="G211" s="67" t="inlineStr">
        <is>
          <t>In the 2024 report</t>
        </is>
      </c>
      <c r="H211" s="22" t="inlineStr">
        <is>
          <t>Eurostat (nrg_bal_c)</t>
        </is>
      </c>
      <c r="I211" s="35" t="inlineStr">
        <is>
          <t>esabcc-e5-electrification</t>
        </is>
      </c>
    </row>
    <row r="212" ht="14" customHeight="1">
      <c r="A212" s="15" t="inlineStr">
        <is>
          <t>E5</t>
        </is>
      </c>
      <c r="B212" s="15" t="inlineStr">
        <is>
          <t>Electrification rate of final energy use</t>
        </is>
      </c>
      <c r="C212" s="15" t="inlineStr">
        <is>
          <t>Energy demand</t>
        </is>
      </c>
      <c r="D212" s="15" t="inlineStr">
        <is>
          <t>%</t>
        </is>
      </c>
      <c r="E212" s="63" t="n">
        <v>2017</v>
      </c>
      <c r="F212" s="64" t="n">
        <v>22.92</v>
      </c>
      <c r="G212" s="14" t="inlineStr">
        <is>
          <t>In the 2024 report</t>
        </is>
      </c>
      <c r="H212" s="15" t="inlineStr">
        <is>
          <t>Eurostat (nrg_bal_c)</t>
        </is>
      </c>
      <c r="I212" s="34" t="inlineStr">
        <is>
          <t>esabcc-e5-electrification</t>
        </is>
      </c>
    </row>
    <row r="213" ht="14" customHeight="1">
      <c r="A213" s="22" t="inlineStr">
        <is>
          <t>E5</t>
        </is>
      </c>
      <c r="B213" s="22" t="inlineStr">
        <is>
          <t>Electrification rate of final energy use</t>
        </is>
      </c>
      <c r="C213" s="22" t="inlineStr">
        <is>
          <t>Energy demand</t>
        </is>
      </c>
      <c r="D213" s="22" t="inlineStr">
        <is>
          <t>%</t>
        </is>
      </c>
      <c r="E213" s="65" t="n">
        <v>2018</v>
      </c>
      <c r="F213" s="66" t="n">
        <v>22.87</v>
      </c>
      <c r="G213" s="67" t="inlineStr">
        <is>
          <t>In the 2024 report</t>
        </is>
      </c>
      <c r="H213" s="22" t="inlineStr">
        <is>
          <t>Eurostat (nrg_bal_c)</t>
        </is>
      </c>
      <c r="I213" s="35" t="inlineStr">
        <is>
          <t>esabcc-e5-electrification</t>
        </is>
      </c>
    </row>
    <row r="214" ht="14" customHeight="1">
      <c r="A214" s="15" t="inlineStr">
        <is>
          <t>E5</t>
        </is>
      </c>
      <c r="B214" s="15" t="inlineStr">
        <is>
          <t>Electrification rate of final energy use</t>
        </is>
      </c>
      <c r="C214" s="15" t="inlineStr">
        <is>
          <t>Energy demand</t>
        </is>
      </c>
      <c r="D214" s="15" t="inlineStr">
        <is>
          <t>%</t>
        </is>
      </c>
      <c r="E214" s="63" t="n">
        <v>2019</v>
      </c>
      <c r="F214" s="64" t="n">
        <v>22.74</v>
      </c>
      <c r="G214" s="14" t="inlineStr">
        <is>
          <t>In the 2024 report</t>
        </is>
      </c>
      <c r="H214" s="15" t="inlineStr">
        <is>
          <t>Eurostat (nrg_bal_c)</t>
        </is>
      </c>
      <c r="I214" s="34" t="inlineStr">
        <is>
          <t>esabcc-e5-electrification</t>
        </is>
      </c>
    </row>
    <row r="215" ht="14" customHeight="1">
      <c r="A215" s="22" t="inlineStr">
        <is>
          <t>E5</t>
        </is>
      </c>
      <c r="B215" s="22" t="inlineStr">
        <is>
          <t>Electrification rate of final energy use</t>
        </is>
      </c>
      <c r="C215" s="22" t="inlineStr">
        <is>
          <t>Energy demand</t>
        </is>
      </c>
      <c r="D215" s="22" t="inlineStr">
        <is>
          <t>%</t>
        </is>
      </c>
      <c r="E215" s="65" t="n">
        <v>2020</v>
      </c>
      <c r="F215" s="66" t="n">
        <v>23.16</v>
      </c>
      <c r="G215" s="67" t="inlineStr">
        <is>
          <t>In the 2024 report</t>
        </is>
      </c>
      <c r="H215" s="22" t="inlineStr">
        <is>
          <t>Eurostat (nrg_bal_c)</t>
        </is>
      </c>
      <c r="I215" s="35" t="inlineStr">
        <is>
          <t>esabcc-e5-electrification</t>
        </is>
      </c>
    </row>
    <row r="216" ht="14" customHeight="1">
      <c r="A216" s="15" t="inlineStr">
        <is>
          <t>E5</t>
        </is>
      </c>
      <c r="B216" s="15" t="inlineStr">
        <is>
          <t>Electrification rate of final energy use</t>
        </is>
      </c>
      <c r="C216" s="15" t="inlineStr">
        <is>
          <t>Energy demand</t>
        </is>
      </c>
      <c r="D216" s="15" t="inlineStr">
        <is>
          <t>%</t>
        </is>
      </c>
      <c r="E216" s="63" t="n">
        <v>2021</v>
      </c>
      <c r="F216" s="64" t="n">
        <v>22.75</v>
      </c>
      <c r="G216" s="14" t="inlineStr">
        <is>
          <t>In the 2024 report</t>
        </is>
      </c>
      <c r="H216" s="15" t="inlineStr">
        <is>
          <t>Eurostat (nrg_bal_c)</t>
        </is>
      </c>
      <c r="I216" s="34" t="inlineStr">
        <is>
          <t>esabcc-e5-electrification</t>
        </is>
      </c>
    </row>
    <row r="217" ht="14" customHeight="1">
      <c r="A217" s="22" t="inlineStr">
        <is>
          <t>E5</t>
        </is>
      </c>
      <c r="B217" s="22" t="inlineStr">
        <is>
          <t>Electrification rate of final energy use</t>
        </is>
      </c>
      <c r="C217" s="22" t="inlineStr">
        <is>
          <t>Energy demand</t>
        </is>
      </c>
      <c r="D217" s="22" t="inlineStr">
        <is>
          <t>%</t>
        </is>
      </c>
      <c r="E217" s="65" t="n">
        <v>2022</v>
      </c>
      <c r="F217" s="66" t="n">
        <v>22.93</v>
      </c>
      <c r="G217" s="69" t="inlineStr">
        <is>
          <t>Added since the report</t>
        </is>
      </c>
      <c r="H217" s="22" t="inlineStr">
        <is>
          <t>Eurostat (nrg_bal_c)</t>
        </is>
      </c>
      <c r="I217" s="35" t="inlineStr">
        <is>
          <t>esabcc-e5-electrification</t>
        </is>
      </c>
    </row>
    <row r="218" ht="14" customHeight="1">
      <c r="A218" s="15" t="inlineStr">
        <is>
          <t>E5</t>
        </is>
      </c>
      <c r="B218" s="15" t="inlineStr">
        <is>
          <t>Electrification rate of final energy use</t>
        </is>
      </c>
      <c r="C218" s="15" t="inlineStr">
        <is>
          <t>Energy demand</t>
        </is>
      </c>
      <c r="D218" s="15" t="inlineStr">
        <is>
          <t>%</t>
        </is>
      </c>
      <c r="E218" s="63" t="n">
        <v>2023</v>
      </c>
      <c r="F218" s="64" t="n">
        <v>23.08</v>
      </c>
      <c r="G218" s="68" t="inlineStr">
        <is>
          <t>Added since the report</t>
        </is>
      </c>
      <c r="H218" s="15" t="inlineStr">
        <is>
          <t>Eurostat (nrg_bal_c)</t>
        </is>
      </c>
      <c r="I218" s="34" t="inlineStr">
        <is>
          <t>esabcc-e5-electrification</t>
        </is>
      </c>
    </row>
    <row r="219" ht="14" customHeight="1">
      <c r="A219" s="22" t="inlineStr">
        <is>
          <t>E5</t>
        </is>
      </c>
      <c r="B219" s="22" t="inlineStr">
        <is>
          <t>Electrification rate of final energy use</t>
        </is>
      </c>
      <c r="C219" s="22" t="inlineStr">
        <is>
          <t>Energy demand</t>
        </is>
      </c>
      <c r="D219" s="22" t="inlineStr">
        <is>
          <t>%</t>
        </is>
      </c>
      <c r="E219" s="65" t="n">
        <v>2024</v>
      </c>
      <c r="F219" s="66" t="n">
        <v>23.44</v>
      </c>
      <c r="G219" s="69" t="inlineStr">
        <is>
          <t>Added since the report</t>
        </is>
      </c>
      <c r="H219" s="22" t="inlineStr">
        <is>
          <t>Eurostat (nrg_bal_c)</t>
        </is>
      </c>
      <c r="I219" s="35" t="inlineStr">
        <is>
          <t>esabcc-e5-electrification</t>
        </is>
      </c>
    </row>
    <row r="220" ht="14" customHeight="1">
      <c r="A220" s="15" t="inlineStr">
        <is>
          <t>E6</t>
        </is>
      </c>
      <c r="B220" s="15" t="inlineStr">
        <is>
          <t>Energy-related methane emissions (EU-27)</t>
        </is>
      </c>
      <c r="C220" s="15" t="inlineStr">
        <is>
          <t>Energy supply</t>
        </is>
      </c>
      <c r="D220" s="15" t="inlineStr">
        <is>
          <t>Mt CO₂eq</t>
        </is>
      </c>
      <c r="E220" s="63" t="n">
        <v>2005</v>
      </c>
      <c r="F220" s="64" t="n">
        <v>110.1</v>
      </c>
      <c r="G220" s="14" t="inlineStr">
        <is>
          <t>In the 2024 report</t>
        </is>
      </c>
      <c r="H220" s="15" t="inlineStr">
        <is>
          <t>EEA GHG data viewer; 2022+ Eurostat (env_air_gge)</t>
        </is>
      </c>
      <c r="I220" s="34" t="inlineStr">
        <is>
          <t>esabcc-e6-energy-ch4</t>
        </is>
      </c>
    </row>
    <row r="221" ht="14" customHeight="1">
      <c r="A221" s="22" t="inlineStr">
        <is>
          <t>E6</t>
        </is>
      </c>
      <c r="B221" s="22" t="inlineStr">
        <is>
          <t>Energy-related methane emissions (EU-27)</t>
        </is>
      </c>
      <c r="C221" s="22" t="inlineStr">
        <is>
          <t>Energy supply</t>
        </is>
      </c>
      <c r="D221" s="22" t="inlineStr">
        <is>
          <t>Mt CO₂eq</t>
        </is>
      </c>
      <c r="E221" s="65" t="n">
        <v>2006</v>
      </c>
      <c r="F221" s="66" t="n">
        <v>105.8</v>
      </c>
      <c r="G221" s="67" t="inlineStr">
        <is>
          <t>In the 2024 report</t>
        </is>
      </c>
      <c r="H221" s="22" t="inlineStr">
        <is>
          <t>EEA GHG data viewer; 2022+ Eurostat (env_air_gge)</t>
        </is>
      </c>
      <c r="I221" s="35" t="inlineStr">
        <is>
          <t>esabcc-e6-energy-ch4</t>
        </is>
      </c>
    </row>
    <row r="222" ht="14" customHeight="1">
      <c r="A222" s="15" t="inlineStr">
        <is>
          <t>E6</t>
        </is>
      </c>
      <c r="B222" s="15" t="inlineStr">
        <is>
          <t>Energy-related methane emissions (EU-27)</t>
        </is>
      </c>
      <c r="C222" s="15" t="inlineStr">
        <is>
          <t>Energy supply</t>
        </is>
      </c>
      <c r="D222" s="15" t="inlineStr">
        <is>
          <t>Mt CO₂eq</t>
        </is>
      </c>
      <c r="E222" s="63" t="n">
        <v>2007</v>
      </c>
      <c r="F222" s="64" t="n">
        <v>101.9</v>
      </c>
      <c r="G222" s="14" t="inlineStr">
        <is>
          <t>In the 2024 report</t>
        </is>
      </c>
      <c r="H222" s="15" t="inlineStr">
        <is>
          <t>EEA GHG data viewer; 2022+ Eurostat (env_air_gge)</t>
        </is>
      </c>
      <c r="I222" s="34" t="inlineStr">
        <is>
          <t>esabcc-e6-energy-ch4</t>
        </is>
      </c>
    </row>
    <row r="223" ht="14" customHeight="1">
      <c r="A223" s="22" t="inlineStr">
        <is>
          <t>E6</t>
        </is>
      </c>
      <c r="B223" s="22" t="inlineStr">
        <is>
          <t>Energy-related methane emissions (EU-27)</t>
        </is>
      </c>
      <c r="C223" s="22" t="inlineStr">
        <is>
          <t>Energy supply</t>
        </is>
      </c>
      <c r="D223" s="22" t="inlineStr">
        <is>
          <t>Mt CO₂eq</t>
        </is>
      </c>
      <c r="E223" s="65" t="n">
        <v>2008</v>
      </c>
      <c r="F223" s="66" t="n">
        <v>102.1</v>
      </c>
      <c r="G223" s="67" t="inlineStr">
        <is>
          <t>In the 2024 report</t>
        </is>
      </c>
      <c r="H223" s="22" t="inlineStr">
        <is>
          <t>EEA GHG data viewer; 2022+ Eurostat (env_air_gge)</t>
        </is>
      </c>
      <c r="I223" s="35" t="inlineStr">
        <is>
          <t>esabcc-e6-energy-ch4</t>
        </is>
      </c>
    </row>
    <row r="224" ht="14" customHeight="1">
      <c r="A224" s="15" t="inlineStr">
        <is>
          <t>E6</t>
        </is>
      </c>
      <c r="B224" s="15" t="inlineStr">
        <is>
          <t>Energy-related methane emissions (EU-27)</t>
        </is>
      </c>
      <c r="C224" s="15" t="inlineStr">
        <is>
          <t>Energy supply</t>
        </is>
      </c>
      <c r="D224" s="15" t="inlineStr">
        <is>
          <t>Mt CO₂eq</t>
        </is>
      </c>
      <c r="E224" s="63" t="n">
        <v>2009</v>
      </c>
      <c r="F224" s="64" t="n">
        <v>96.45</v>
      </c>
      <c r="G224" s="14" t="inlineStr">
        <is>
          <t>In the 2024 report</t>
        </is>
      </c>
      <c r="H224" s="15" t="inlineStr">
        <is>
          <t>EEA GHG data viewer; 2022+ Eurostat (env_air_gge)</t>
        </is>
      </c>
      <c r="I224" s="34" t="inlineStr">
        <is>
          <t>esabcc-e6-energy-ch4</t>
        </is>
      </c>
    </row>
    <row r="225" ht="14" customHeight="1">
      <c r="A225" s="22" t="inlineStr">
        <is>
          <t>E6</t>
        </is>
      </c>
      <c r="B225" s="22" t="inlineStr">
        <is>
          <t>Energy-related methane emissions (EU-27)</t>
        </is>
      </c>
      <c r="C225" s="22" t="inlineStr">
        <is>
          <t>Energy supply</t>
        </is>
      </c>
      <c r="D225" s="22" t="inlineStr">
        <is>
          <t>Mt CO₂eq</t>
        </is>
      </c>
      <c r="E225" s="65" t="n">
        <v>2010</v>
      </c>
      <c r="F225" s="66" t="n">
        <v>97.02</v>
      </c>
      <c r="G225" s="67" t="inlineStr">
        <is>
          <t>In the 2024 report</t>
        </is>
      </c>
      <c r="H225" s="22" t="inlineStr">
        <is>
          <t>EEA GHG data viewer; 2022+ Eurostat (env_air_gge)</t>
        </is>
      </c>
      <c r="I225" s="35" t="inlineStr">
        <is>
          <t>esabcc-e6-energy-ch4</t>
        </is>
      </c>
    </row>
    <row r="226" ht="14" customHeight="1">
      <c r="A226" s="15" t="inlineStr">
        <is>
          <t>E6</t>
        </is>
      </c>
      <c r="B226" s="15" t="inlineStr">
        <is>
          <t>Energy-related methane emissions (EU-27)</t>
        </is>
      </c>
      <c r="C226" s="15" t="inlineStr">
        <is>
          <t>Energy supply</t>
        </is>
      </c>
      <c r="D226" s="15" t="inlineStr">
        <is>
          <t>Mt CO₂eq</t>
        </is>
      </c>
      <c r="E226" s="63" t="n">
        <v>2011</v>
      </c>
      <c r="F226" s="64" t="n">
        <v>93.06999999999999</v>
      </c>
      <c r="G226" s="14" t="inlineStr">
        <is>
          <t>In the 2024 report</t>
        </is>
      </c>
      <c r="H226" s="15" t="inlineStr">
        <is>
          <t>EEA GHG data viewer; 2022+ Eurostat (env_air_gge)</t>
        </is>
      </c>
      <c r="I226" s="34" t="inlineStr">
        <is>
          <t>esabcc-e6-energy-ch4</t>
        </is>
      </c>
    </row>
    <row r="227" ht="14" customHeight="1">
      <c r="A227" s="22" t="inlineStr">
        <is>
          <t>E6</t>
        </is>
      </c>
      <c r="B227" s="22" t="inlineStr">
        <is>
          <t>Energy-related methane emissions (EU-27)</t>
        </is>
      </c>
      <c r="C227" s="22" t="inlineStr">
        <is>
          <t>Energy supply</t>
        </is>
      </c>
      <c r="D227" s="22" t="inlineStr">
        <is>
          <t>Mt CO₂eq</t>
        </is>
      </c>
      <c r="E227" s="65" t="n">
        <v>2012</v>
      </c>
      <c r="F227" s="66" t="n">
        <v>93.86</v>
      </c>
      <c r="G227" s="67" t="inlineStr">
        <is>
          <t>In the 2024 report</t>
        </is>
      </c>
      <c r="H227" s="22" t="inlineStr">
        <is>
          <t>EEA GHG data viewer; 2022+ Eurostat (env_air_gge)</t>
        </is>
      </c>
      <c r="I227" s="35" t="inlineStr">
        <is>
          <t>esabcc-e6-energy-ch4</t>
        </is>
      </c>
    </row>
    <row r="228" ht="14" customHeight="1">
      <c r="A228" s="15" t="inlineStr">
        <is>
          <t>E6</t>
        </is>
      </c>
      <c r="B228" s="15" t="inlineStr">
        <is>
          <t>Energy-related methane emissions (EU-27)</t>
        </is>
      </c>
      <c r="C228" s="15" t="inlineStr">
        <is>
          <t>Energy supply</t>
        </is>
      </c>
      <c r="D228" s="15" t="inlineStr">
        <is>
          <t>Mt CO₂eq</t>
        </is>
      </c>
      <c r="E228" s="63" t="n">
        <v>2013</v>
      </c>
      <c r="F228" s="64" t="n">
        <v>90.94</v>
      </c>
      <c r="G228" s="14" t="inlineStr">
        <is>
          <t>In the 2024 report</t>
        </is>
      </c>
      <c r="H228" s="15" t="inlineStr">
        <is>
          <t>EEA GHG data viewer; 2022+ Eurostat (env_air_gge)</t>
        </is>
      </c>
      <c r="I228" s="34" t="inlineStr">
        <is>
          <t>esabcc-e6-energy-ch4</t>
        </is>
      </c>
    </row>
    <row r="229" ht="14" customHeight="1">
      <c r="A229" s="22" t="inlineStr">
        <is>
          <t>E6</t>
        </is>
      </c>
      <c r="B229" s="22" t="inlineStr">
        <is>
          <t>Energy-related methane emissions (EU-27)</t>
        </is>
      </c>
      <c r="C229" s="22" t="inlineStr">
        <is>
          <t>Energy supply</t>
        </is>
      </c>
      <c r="D229" s="22" t="inlineStr">
        <is>
          <t>Mt CO₂eq</t>
        </is>
      </c>
      <c r="E229" s="65" t="n">
        <v>2014</v>
      </c>
      <c r="F229" s="66" t="n">
        <v>85.81999999999999</v>
      </c>
      <c r="G229" s="67" t="inlineStr">
        <is>
          <t>In the 2024 report</t>
        </is>
      </c>
      <c r="H229" s="22" t="inlineStr">
        <is>
          <t>EEA GHG data viewer; 2022+ Eurostat (env_air_gge)</t>
        </is>
      </c>
      <c r="I229" s="35" t="inlineStr">
        <is>
          <t>esabcc-e6-energy-ch4</t>
        </is>
      </c>
    </row>
    <row r="230" ht="14" customHeight="1">
      <c r="A230" s="15" t="inlineStr">
        <is>
          <t>E6</t>
        </is>
      </c>
      <c r="B230" s="15" t="inlineStr">
        <is>
          <t>Energy-related methane emissions (EU-27)</t>
        </is>
      </c>
      <c r="C230" s="15" t="inlineStr">
        <is>
          <t>Energy supply</t>
        </is>
      </c>
      <c r="D230" s="15" t="inlineStr">
        <is>
          <t>Mt CO₂eq</t>
        </is>
      </c>
      <c r="E230" s="63" t="n">
        <v>2015</v>
      </c>
      <c r="F230" s="64" t="n">
        <v>86.3</v>
      </c>
      <c r="G230" s="14" t="inlineStr">
        <is>
          <t>In the 2024 report</t>
        </is>
      </c>
      <c r="H230" s="15" t="inlineStr">
        <is>
          <t>EEA GHG data viewer; 2022+ Eurostat (env_air_gge)</t>
        </is>
      </c>
      <c r="I230" s="34" t="inlineStr">
        <is>
          <t>esabcc-e6-energy-ch4</t>
        </is>
      </c>
    </row>
    <row r="231" ht="14" customHeight="1">
      <c r="A231" s="22" t="inlineStr">
        <is>
          <t>E6</t>
        </is>
      </c>
      <c r="B231" s="22" t="inlineStr">
        <is>
          <t>Energy-related methane emissions (EU-27)</t>
        </is>
      </c>
      <c r="C231" s="22" t="inlineStr">
        <is>
          <t>Energy supply</t>
        </is>
      </c>
      <c r="D231" s="22" t="inlineStr">
        <is>
          <t>Mt CO₂eq</t>
        </is>
      </c>
      <c r="E231" s="65" t="n">
        <v>2016</v>
      </c>
      <c r="F231" s="66" t="n">
        <v>83.53</v>
      </c>
      <c r="G231" s="67" t="inlineStr">
        <is>
          <t>In the 2024 report</t>
        </is>
      </c>
      <c r="H231" s="22" t="inlineStr">
        <is>
          <t>EEA GHG data viewer; 2022+ Eurostat (env_air_gge)</t>
        </is>
      </c>
      <c r="I231" s="35" t="inlineStr">
        <is>
          <t>esabcc-e6-energy-ch4</t>
        </is>
      </c>
    </row>
    <row r="232" ht="14" customHeight="1">
      <c r="A232" s="15" t="inlineStr">
        <is>
          <t>E6</t>
        </is>
      </c>
      <c r="B232" s="15" t="inlineStr">
        <is>
          <t>Energy-related methane emissions (EU-27)</t>
        </is>
      </c>
      <c r="C232" s="15" t="inlineStr">
        <is>
          <t>Energy supply</t>
        </is>
      </c>
      <c r="D232" s="15" t="inlineStr">
        <is>
          <t>Mt CO₂eq</t>
        </is>
      </c>
      <c r="E232" s="63" t="n">
        <v>2017</v>
      </c>
      <c r="F232" s="64" t="n">
        <v>82.7</v>
      </c>
      <c r="G232" s="14" t="inlineStr">
        <is>
          <t>In the 2024 report</t>
        </is>
      </c>
      <c r="H232" s="15" t="inlineStr">
        <is>
          <t>EEA GHG data viewer; 2022+ Eurostat (env_air_gge)</t>
        </is>
      </c>
      <c r="I232" s="34" t="inlineStr">
        <is>
          <t>esabcc-e6-energy-ch4</t>
        </is>
      </c>
    </row>
    <row r="233" ht="14" customHeight="1">
      <c r="A233" s="22" t="inlineStr">
        <is>
          <t>E6</t>
        </is>
      </c>
      <c r="B233" s="22" t="inlineStr">
        <is>
          <t>Energy-related methane emissions (EU-27)</t>
        </is>
      </c>
      <c r="C233" s="22" t="inlineStr">
        <is>
          <t>Energy supply</t>
        </is>
      </c>
      <c r="D233" s="22" t="inlineStr">
        <is>
          <t>Mt CO₂eq</t>
        </is>
      </c>
      <c r="E233" s="65" t="n">
        <v>2018</v>
      </c>
      <c r="F233" s="66" t="n">
        <v>79.69</v>
      </c>
      <c r="G233" s="67" t="inlineStr">
        <is>
          <t>In the 2024 report</t>
        </is>
      </c>
      <c r="H233" s="22" t="inlineStr">
        <is>
          <t>EEA GHG data viewer; 2022+ Eurostat (env_air_gge)</t>
        </is>
      </c>
      <c r="I233" s="35" t="inlineStr">
        <is>
          <t>esabcc-e6-energy-ch4</t>
        </is>
      </c>
    </row>
    <row r="234" ht="14" customHeight="1">
      <c r="A234" s="15" t="inlineStr">
        <is>
          <t>E6</t>
        </is>
      </c>
      <c r="B234" s="15" t="inlineStr">
        <is>
          <t>Energy-related methane emissions (EU-27)</t>
        </is>
      </c>
      <c r="C234" s="15" t="inlineStr">
        <is>
          <t>Energy supply</t>
        </is>
      </c>
      <c r="D234" s="15" t="inlineStr">
        <is>
          <t>Mt CO₂eq</t>
        </is>
      </c>
      <c r="E234" s="63" t="n">
        <v>2019</v>
      </c>
      <c r="F234" s="64" t="n">
        <v>73.20999999999999</v>
      </c>
      <c r="G234" s="14" t="inlineStr">
        <is>
          <t>In the 2024 report</t>
        </is>
      </c>
      <c r="H234" s="15" t="inlineStr">
        <is>
          <t>EEA GHG data viewer; 2022+ Eurostat (env_air_gge)</t>
        </is>
      </c>
      <c r="I234" s="34" t="inlineStr">
        <is>
          <t>esabcc-e6-energy-ch4</t>
        </is>
      </c>
    </row>
    <row r="235" ht="14" customHeight="1">
      <c r="A235" s="22" t="inlineStr">
        <is>
          <t>E6</t>
        </is>
      </c>
      <c r="B235" s="22" t="inlineStr">
        <is>
          <t>Energy-related methane emissions (EU-27)</t>
        </is>
      </c>
      <c r="C235" s="22" t="inlineStr">
        <is>
          <t>Energy supply</t>
        </is>
      </c>
      <c r="D235" s="22" t="inlineStr">
        <is>
          <t>Mt CO₂eq</t>
        </is>
      </c>
      <c r="E235" s="65" t="n">
        <v>2020</v>
      </c>
      <c r="F235" s="66" t="n">
        <v>69.62</v>
      </c>
      <c r="G235" s="67" t="inlineStr">
        <is>
          <t>In the 2024 report</t>
        </is>
      </c>
      <c r="H235" s="22" t="inlineStr">
        <is>
          <t>EEA GHG data viewer; 2022+ Eurostat (env_air_gge)</t>
        </is>
      </c>
      <c r="I235" s="35" t="inlineStr">
        <is>
          <t>esabcc-e6-energy-ch4</t>
        </is>
      </c>
    </row>
    <row r="236" ht="14" customHeight="1">
      <c r="A236" s="15" t="inlineStr">
        <is>
          <t>E6</t>
        </is>
      </c>
      <c r="B236" s="15" t="inlineStr">
        <is>
          <t>Energy-related methane emissions (EU-27)</t>
        </is>
      </c>
      <c r="C236" s="15" t="inlineStr">
        <is>
          <t>Energy supply</t>
        </is>
      </c>
      <c r="D236" s="15" t="inlineStr">
        <is>
          <t>Mt CO₂eq</t>
        </is>
      </c>
      <c r="E236" s="63" t="n">
        <v>2021</v>
      </c>
      <c r="F236" s="64" t="n">
        <v>69.91</v>
      </c>
      <c r="G236" s="14" t="inlineStr">
        <is>
          <t>In the 2024 report</t>
        </is>
      </c>
      <c r="H236" s="15" t="inlineStr">
        <is>
          <t>EEA GHG data viewer; 2022+ Eurostat (env_air_gge)</t>
        </is>
      </c>
      <c r="I236" s="34" t="inlineStr">
        <is>
          <t>esabcc-e6-energy-ch4</t>
        </is>
      </c>
    </row>
    <row r="237" ht="14" customHeight="1">
      <c r="A237" s="22" t="inlineStr">
        <is>
          <t>E6</t>
        </is>
      </c>
      <c r="B237" s="22" t="inlineStr">
        <is>
          <t>Energy-related methane emissions (EU-27)</t>
        </is>
      </c>
      <c r="C237" s="22" t="inlineStr">
        <is>
          <t>Energy supply</t>
        </is>
      </c>
      <c r="D237" s="22" t="inlineStr">
        <is>
          <t>Mt CO₂eq</t>
        </is>
      </c>
      <c r="E237" s="65" t="n">
        <v>2022</v>
      </c>
      <c r="F237" s="66" t="n">
        <v>64.45999999999999</v>
      </c>
      <c r="G237" s="69" t="inlineStr">
        <is>
          <t>Added since the report</t>
        </is>
      </c>
      <c r="H237" s="22" t="inlineStr">
        <is>
          <t>EEA GHG data viewer; 2022+ Eurostat (env_air_gge)</t>
        </is>
      </c>
      <c r="I237" s="35" t="inlineStr">
        <is>
          <t>esabcc-e6-energy-ch4</t>
        </is>
      </c>
    </row>
    <row r="238" ht="14" customHeight="1">
      <c r="A238" s="15" t="inlineStr">
        <is>
          <t>E6</t>
        </is>
      </c>
      <c r="B238" s="15" t="inlineStr">
        <is>
          <t>Energy-related methane emissions (EU-27)</t>
        </is>
      </c>
      <c r="C238" s="15" t="inlineStr">
        <is>
          <t>Energy supply</t>
        </is>
      </c>
      <c r="D238" s="15" t="inlineStr">
        <is>
          <t>Mt CO₂eq</t>
        </is>
      </c>
      <c r="E238" s="63" t="n">
        <v>2023</v>
      </c>
      <c r="F238" s="64" t="n">
        <v>60.05</v>
      </c>
      <c r="G238" s="68" t="inlineStr">
        <is>
          <t>Added since the report</t>
        </is>
      </c>
      <c r="H238" s="15" t="inlineStr">
        <is>
          <t>EEA GHG data viewer; 2022+ Eurostat (env_air_gge)</t>
        </is>
      </c>
      <c r="I238" s="34" t="inlineStr">
        <is>
          <t>esabcc-e6-energy-ch4</t>
        </is>
      </c>
    </row>
    <row r="239" ht="14" customHeight="1">
      <c r="A239" s="22" t="inlineStr">
        <is>
          <t>E6</t>
        </is>
      </c>
      <c r="B239" s="22" t="inlineStr">
        <is>
          <t>Energy-related methane emissions (EU-27)</t>
        </is>
      </c>
      <c r="C239" s="22" t="inlineStr">
        <is>
          <t>Energy supply</t>
        </is>
      </c>
      <c r="D239" s="22" t="inlineStr">
        <is>
          <t>Mt CO₂eq</t>
        </is>
      </c>
      <c r="E239" s="65" t="n">
        <v>2024</v>
      </c>
      <c r="F239" s="66" t="n">
        <v>57.77</v>
      </c>
      <c r="G239" s="69" t="inlineStr">
        <is>
          <t>Added since the report</t>
        </is>
      </c>
      <c r="H239" s="22" t="inlineStr">
        <is>
          <t>EEA GHG data viewer; 2022+ Eurostat (env_air_gge)</t>
        </is>
      </c>
      <c r="I239" s="35" t="inlineStr">
        <is>
          <t>esabcc-e6-energy-ch4</t>
        </is>
      </c>
    </row>
    <row r="240" ht="14" customHeight="1">
      <c r="A240" s="15" t="inlineStr">
        <is>
          <t>I1</t>
        </is>
      </c>
      <c r="B240" s="15" t="inlineStr">
        <is>
          <t>Industrial GHG emissions</t>
        </is>
      </c>
      <c r="C240" s="15" t="inlineStr">
        <is>
          <t>Industry</t>
        </is>
      </c>
      <c r="D240" s="15" t="inlineStr">
        <is>
          <t>Mt CO₂eq</t>
        </is>
      </c>
      <c r="E240" s="63" t="n">
        <v>2005</v>
      </c>
      <c r="F240" s="64" t="n">
        <v>981.3</v>
      </c>
      <c r="G240" s="14" t="inlineStr">
        <is>
          <t>In the 2024 report</t>
        </is>
      </c>
      <c r="H240" s="15" t="inlineStr">
        <is>
          <t>EEA GHG data viewer (Eurostat env_air_gge mirror)</t>
        </is>
      </c>
      <c r="I240" s="34" t="inlineStr">
        <is>
          <t>esabcc-i1-industry-ghg</t>
        </is>
      </c>
    </row>
    <row r="241" ht="14" customHeight="1">
      <c r="A241" s="22" t="inlineStr">
        <is>
          <t>I1</t>
        </is>
      </c>
      <c r="B241" s="22" t="inlineStr">
        <is>
          <t>Industrial GHG emissions</t>
        </is>
      </c>
      <c r="C241" s="22" t="inlineStr">
        <is>
          <t>Industry</t>
        </is>
      </c>
      <c r="D241" s="22" t="inlineStr">
        <is>
          <t>Mt CO₂eq</t>
        </is>
      </c>
      <c r="E241" s="65" t="n">
        <v>2006</v>
      </c>
      <c r="F241" s="66" t="n">
        <v>973.8</v>
      </c>
      <c r="G241" s="67" t="inlineStr">
        <is>
          <t>In the 2024 report</t>
        </is>
      </c>
      <c r="H241" s="22" t="inlineStr">
        <is>
          <t>EEA GHG data viewer (Eurostat env_air_gge mirror)</t>
        </is>
      </c>
      <c r="I241" s="35" t="inlineStr">
        <is>
          <t>esabcc-i1-industry-ghg</t>
        </is>
      </c>
    </row>
    <row r="242" ht="14" customHeight="1">
      <c r="A242" s="15" t="inlineStr">
        <is>
          <t>I1</t>
        </is>
      </c>
      <c r="B242" s="15" t="inlineStr">
        <is>
          <t>Industrial GHG emissions</t>
        </is>
      </c>
      <c r="C242" s="15" t="inlineStr">
        <is>
          <t>Industry</t>
        </is>
      </c>
      <c r="D242" s="15" t="inlineStr">
        <is>
          <t>Mt CO₂eq</t>
        </is>
      </c>
      <c r="E242" s="63" t="n">
        <v>2007</v>
      </c>
      <c r="F242" s="64" t="n">
        <v>995.6</v>
      </c>
      <c r="G242" s="14" t="inlineStr">
        <is>
          <t>In the 2024 report</t>
        </is>
      </c>
      <c r="H242" s="15" t="inlineStr">
        <is>
          <t>EEA GHG data viewer (Eurostat env_air_gge mirror)</t>
        </is>
      </c>
      <c r="I242" s="34" t="inlineStr">
        <is>
          <t>esabcc-i1-industry-ghg</t>
        </is>
      </c>
    </row>
    <row r="243" ht="14" customHeight="1">
      <c r="A243" s="22" t="inlineStr">
        <is>
          <t>I1</t>
        </is>
      </c>
      <c r="B243" s="22" t="inlineStr">
        <is>
          <t>Industrial GHG emissions</t>
        </is>
      </c>
      <c r="C243" s="22" t="inlineStr">
        <is>
          <t>Industry</t>
        </is>
      </c>
      <c r="D243" s="22" t="inlineStr">
        <is>
          <t>Mt CO₂eq</t>
        </is>
      </c>
      <c r="E243" s="65" t="n">
        <v>2008</v>
      </c>
      <c r="F243" s="66" t="n">
        <v>952.3</v>
      </c>
      <c r="G243" s="67" t="inlineStr">
        <is>
          <t>In the 2024 report</t>
        </is>
      </c>
      <c r="H243" s="22" t="inlineStr">
        <is>
          <t>EEA GHG data viewer (Eurostat env_air_gge mirror)</t>
        </is>
      </c>
      <c r="I243" s="35" t="inlineStr">
        <is>
          <t>esabcc-i1-industry-ghg</t>
        </is>
      </c>
    </row>
    <row r="244" ht="14" customHeight="1">
      <c r="A244" s="15" t="inlineStr">
        <is>
          <t>I1</t>
        </is>
      </c>
      <c r="B244" s="15" t="inlineStr">
        <is>
          <t>Industrial GHG emissions</t>
        </is>
      </c>
      <c r="C244" s="15" t="inlineStr">
        <is>
          <t>Industry</t>
        </is>
      </c>
      <c r="D244" s="15" t="inlineStr">
        <is>
          <t>Mt CO₂eq</t>
        </is>
      </c>
      <c r="E244" s="63" t="n">
        <v>2009</v>
      </c>
      <c r="F244" s="64" t="n">
        <v>789.4</v>
      </c>
      <c r="G244" s="14" t="inlineStr">
        <is>
          <t>In the 2024 report</t>
        </is>
      </c>
      <c r="H244" s="15" t="inlineStr">
        <is>
          <t>EEA GHG data viewer (Eurostat env_air_gge mirror)</t>
        </is>
      </c>
      <c r="I244" s="34" t="inlineStr">
        <is>
          <t>esabcc-i1-industry-ghg</t>
        </is>
      </c>
    </row>
    <row r="245" ht="14" customHeight="1">
      <c r="A245" s="22" t="inlineStr">
        <is>
          <t>I1</t>
        </is>
      </c>
      <c r="B245" s="22" t="inlineStr">
        <is>
          <t>Industrial GHG emissions</t>
        </is>
      </c>
      <c r="C245" s="22" t="inlineStr">
        <is>
          <t>Industry</t>
        </is>
      </c>
      <c r="D245" s="22" t="inlineStr">
        <is>
          <t>Mt CO₂eq</t>
        </is>
      </c>
      <c r="E245" s="65" t="n">
        <v>2010</v>
      </c>
      <c r="F245" s="66" t="n">
        <v>838.8</v>
      </c>
      <c r="G245" s="67" t="inlineStr">
        <is>
          <t>In the 2024 report</t>
        </is>
      </c>
      <c r="H245" s="22" t="inlineStr">
        <is>
          <t>EEA GHG data viewer (Eurostat env_air_gge mirror)</t>
        </is>
      </c>
      <c r="I245" s="35" t="inlineStr">
        <is>
          <t>esabcc-i1-industry-ghg</t>
        </is>
      </c>
    </row>
    <row r="246" ht="14" customHeight="1">
      <c r="A246" s="15" t="inlineStr">
        <is>
          <t>I1</t>
        </is>
      </c>
      <c r="B246" s="15" t="inlineStr">
        <is>
          <t>Industrial GHG emissions</t>
        </is>
      </c>
      <c r="C246" s="15" t="inlineStr">
        <is>
          <t>Industry</t>
        </is>
      </c>
      <c r="D246" s="15" t="inlineStr">
        <is>
          <t>Mt CO₂eq</t>
        </is>
      </c>
      <c r="E246" s="63" t="n">
        <v>2011</v>
      </c>
      <c r="F246" s="64" t="n">
        <v>826.2</v>
      </c>
      <c r="G246" s="14" t="inlineStr">
        <is>
          <t>In the 2024 report</t>
        </is>
      </c>
      <c r="H246" s="15" t="inlineStr">
        <is>
          <t>EEA GHG data viewer (Eurostat env_air_gge mirror)</t>
        </is>
      </c>
      <c r="I246" s="34" t="inlineStr">
        <is>
          <t>esabcc-i1-industry-ghg</t>
        </is>
      </c>
    </row>
    <row r="247" ht="14" customHeight="1">
      <c r="A247" s="22" t="inlineStr">
        <is>
          <t>I1</t>
        </is>
      </c>
      <c r="B247" s="22" t="inlineStr">
        <is>
          <t>Industrial GHG emissions</t>
        </is>
      </c>
      <c r="C247" s="22" t="inlineStr">
        <is>
          <t>Industry</t>
        </is>
      </c>
      <c r="D247" s="22" t="inlineStr">
        <is>
          <t>Mt CO₂eq</t>
        </is>
      </c>
      <c r="E247" s="65" t="n">
        <v>2012</v>
      </c>
      <c r="F247" s="66" t="n">
        <v>795.7</v>
      </c>
      <c r="G247" s="67" t="inlineStr">
        <is>
          <t>In the 2024 report</t>
        </is>
      </c>
      <c r="H247" s="22" t="inlineStr">
        <is>
          <t>EEA GHG data viewer (Eurostat env_air_gge mirror)</t>
        </is>
      </c>
      <c r="I247" s="35" t="inlineStr">
        <is>
          <t>esabcc-i1-industry-ghg</t>
        </is>
      </c>
    </row>
    <row r="248" ht="14" customHeight="1">
      <c r="A248" s="15" t="inlineStr">
        <is>
          <t>I1</t>
        </is>
      </c>
      <c r="B248" s="15" t="inlineStr">
        <is>
          <t>Industrial GHG emissions</t>
        </is>
      </c>
      <c r="C248" s="15" t="inlineStr">
        <is>
          <t>Industry</t>
        </is>
      </c>
      <c r="D248" s="15" t="inlineStr">
        <is>
          <t>Mt CO₂eq</t>
        </is>
      </c>
      <c r="E248" s="63" t="n">
        <v>2013</v>
      </c>
      <c r="F248" s="64" t="n">
        <v>775.5</v>
      </c>
      <c r="G248" s="14" t="inlineStr">
        <is>
          <t>In the 2024 report</t>
        </is>
      </c>
      <c r="H248" s="15" t="inlineStr">
        <is>
          <t>EEA GHG data viewer (Eurostat env_air_gge mirror)</t>
        </is>
      </c>
      <c r="I248" s="34" t="inlineStr">
        <is>
          <t>esabcc-i1-industry-ghg</t>
        </is>
      </c>
    </row>
    <row r="249" ht="14" customHeight="1">
      <c r="A249" s="22" t="inlineStr">
        <is>
          <t>I1</t>
        </is>
      </c>
      <c r="B249" s="22" t="inlineStr">
        <is>
          <t>Industrial GHG emissions</t>
        </is>
      </c>
      <c r="C249" s="22" t="inlineStr">
        <is>
          <t>Industry</t>
        </is>
      </c>
      <c r="D249" s="22" t="inlineStr">
        <is>
          <t>Mt CO₂eq</t>
        </is>
      </c>
      <c r="E249" s="65" t="n">
        <v>2014</v>
      </c>
      <c r="F249" s="66" t="n">
        <v>769.2</v>
      </c>
      <c r="G249" s="67" t="inlineStr">
        <is>
          <t>In the 2024 report</t>
        </is>
      </c>
      <c r="H249" s="22" t="inlineStr">
        <is>
          <t>EEA GHG data viewer (Eurostat env_air_gge mirror)</t>
        </is>
      </c>
      <c r="I249" s="35" t="inlineStr">
        <is>
          <t>esabcc-i1-industry-ghg</t>
        </is>
      </c>
    </row>
    <row r="250" ht="14" customHeight="1">
      <c r="A250" s="15" t="inlineStr">
        <is>
          <t>I1</t>
        </is>
      </c>
      <c r="B250" s="15" t="inlineStr">
        <is>
          <t>Industrial GHG emissions</t>
        </is>
      </c>
      <c r="C250" s="15" t="inlineStr">
        <is>
          <t>Industry</t>
        </is>
      </c>
      <c r="D250" s="15" t="inlineStr">
        <is>
          <t>Mt CO₂eq</t>
        </is>
      </c>
      <c r="E250" s="63" t="n">
        <v>2015</v>
      </c>
      <c r="F250" s="64" t="n">
        <v>768.8</v>
      </c>
      <c r="G250" s="14" t="inlineStr">
        <is>
          <t>In the 2024 report</t>
        </is>
      </c>
      <c r="H250" s="15" t="inlineStr">
        <is>
          <t>EEA GHG data viewer (Eurostat env_air_gge mirror)</t>
        </is>
      </c>
      <c r="I250" s="34" t="inlineStr">
        <is>
          <t>esabcc-i1-industry-ghg</t>
        </is>
      </c>
    </row>
    <row r="251" ht="14" customHeight="1">
      <c r="A251" s="22" t="inlineStr">
        <is>
          <t>I1</t>
        </is>
      </c>
      <c r="B251" s="22" t="inlineStr">
        <is>
          <t>Industrial GHG emissions</t>
        </is>
      </c>
      <c r="C251" s="22" t="inlineStr">
        <is>
          <t>Industry</t>
        </is>
      </c>
      <c r="D251" s="22" t="inlineStr">
        <is>
          <t>Mt CO₂eq</t>
        </is>
      </c>
      <c r="E251" s="65" t="n">
        <v>2016</v>
      </c>
      <c r="F251" s="66" t="n">
        <v>776.2</v>
      </c>
      <c r="G251" s="67" t="inlineStr">
        <is>
          <t>In the 2024 report</t>
        </is>
      </c>
      <c r="H251" s="22" t="inlineStr">
        <is>
          <t>EEA GHG data viewer (Eurostat env_air_gge mirror)</t>
        </is>
      </c>
      <c r="I251" s="35" t="inlineStr">
        <is>
          <t>esabcc-i1-industry-ghg</t>
        </is>
      </c>
    </row>
    <row r="252" ht="14" customHeight="1">
      <c r="A252" s="15" t="inlineStr">
        <is>
          <t>I1</t>
        </is>
      </c>
      <c r="B252" s="15" t="inlineStr">
        <is>
          <t>Industrial GHG emissions</t>
        </is>
      </c>
      <c r="C252" s="15" t="inlineStr">
        <is>
          <t>Industry</t>
        </is>
      </c>
      <c r="D252" s="15" t="inlineStr">
        <is>
          <t>Mt CO₂eq</t>
        </is>
      </c>
      <c r="E252" s="63" t="n">
        <v>2017</v>
      </c>
      <c r="F252" s="64" t="n">
        <v>791</v>
      </c>
      <c r="G252" s="14" t="inlineStr">
        <is>
          <t>In the 2024 report</t>
        </is>
      </c>
      <c r="H252" s="15" t="inlineStr">
        <is>
          <t>EEA GHG data viewer (Eurostat env_air_gge mirror)</t>
        </is>
      </c>
      <c r="I252" s="34" t="inlineStr">
        <is>
          <t>esabcc-i1-industry-ghg</t>
        </is>
      </c>
    </row>
    <row r="253" ht="14" customHeight="1">
      <c r="A253" s="22" t="inlineStr">
        <is>
          <t>I1</t>
        </is>
      </c>
      <c r="B253" s="22" t="inlineStr">
        <is>
          <t>Industrial GHG emissions</t>
        </is>
      </c>
      <c r="C253" s="22" t="inlineStr">
        <is>
          <t>Industry</t>
        </is>
      </c>
      <c r="D253" s="22" t="inlineStr">
        <is>
          <t>Mt CO₂eq</t>
        </is>
      </c>
      <c r="E253" s="65" t="n">
        <v>2018</v>
      </c>
      <c r="F253" s="66" t="n">
        <v>785.3</v>
      </c>
      <c r="G253" s="67" t="inlineStr">
        <is>
          <t>In the 2024 report</t>
        </is>
      </c>
      <c r="H253" s="22" t="inlineStr">
        <is>
          <t>EEA GHG data viewer (Eurostat env_air_gge mirror)</t>
        </is>
      </c>
      <c r="I253" s="35" t="inlineStr">
        <is>
          <t>esabcc-i1-industry-ghg</t>
        </is>
      </c>
    </row>
    <row r="254" ht="14" customHeight="1">
      <c r="A254" s="15" t="inlineStr">
        <is>
          <t>I1</t>
        </is>
      </c>
      <c r="B254" s="15" t="inlineStr">
        <is>
          <t>Industrial GHG emissions</t>
        </is>
      </c>
      <c r="C254" s="15" t="inlineStr">
        <is>
          <t>Industry</t>
        </is>
      </c>
      <c r="D254" s="15" t="inlineStr">
        <is>
          <t>Mt CO₂eq</t>
        </is>
      </c>
      <c r="E254" s="63" t="n">
        <v>2019</v>
      </c>
      <c r="F254" s="64" t="n">
        <v>760.1</v>
      </c>
      <c r="G254" s="14" t="inlineStr">
        <is>
          <t>In the 2024 report</t>
        </is>
      </c>
      <c r="H254" s="15" t="inlineStr">
        <is>
          <t>EEA GHG data viewer (Eurostat env_air_gge mirror)</t>
        </is>
      </c>
      <c r="I254" s="34" t="inlineStr">
        <is>
          <t>esabcc-i1-industry-ghg</t>
        </is>
      </c>
    </row>
    <row r="255" ht="14" customHeight="1">
      <c r="A255" s="22" t="inlineStr">
        <is>
          <t>I1</t>
        </is>
      </c>
      <c r="B255" s="22" t="inlineStr">
        <is>
          <t>Industrial GHG emissions</t>
        </is>
      </c>
      <c r="C255" s="22" t="inlineStr">
        <is>
          <t>Industry</t>
        </is>
      </c>
      <c r="D255" s="22" t="inlineStr">
        <is>
          <t>Mt CO₂eq</t>
        </is>
      </c>
      <c r="E255" s="65" t="n">
        <v>2020</v>
      </c>
      <c r="F255" s="66" t="n">
        <v>719.6</v>
      </c>
      <c r="G255" s="67" t="inlineStr">
        <is>
          <t>In the 2024 report</t>
        </is>
      </c>
      <c r="H255" s="22" t="inlineStr">
        <is>
          <t>EEA GHG data viewer (Eurostat env_air_gge mirror)</t>
        </is>
      </c>
      <c r="I255" s="35" t="inlineStr">
        <is>
          <t>esabcc-i1-industry-ghg</t>
        </is>
      </c>
    </row>
    <row r="256" ht="14" customHeight="1">
      <c r="A256" s="15" t="inlineStr">
        <is>
          <t>I1</t>
        </is>
      </c>
      <c r="B256" s="15" t="inlineStr">
        <is>
          <t>Industrial GHG emissions</t>
        </is>
      </c>
      <c r="C256" s="15" t="inlineStr">
        <is>
          <t>Industry</t>
        </is>
      </c>
      <c r="D256" s="15" t="inlineStr">
        <is>
          <t>Mt CO₂eq</t>
        </is>
      </c>
      <c r="E256" s="63" t="n">
        <v>2021</v>
      </c>
      <c r="F256" s="64" t="n">
        <v>757.5</v>
      </c>
      <c r="G256" s="14" t="inlineStr">
        <is>
          <t>In the 2024 report</t>
        </is>
      </c>
      <c r="H256" s="15" t="inlineStr">
        <is>
          <t>EEA GHG data viewer (Eurostat env_air_gge mirror)</t>
        </is>
      </c>
      <c r="I256" s="34" t="inlineStr">
        <is>
          <t>esabcc-i1-industry-ghg</t>
        </is>
      </c>
    </row>
    <row r="257" ht="14" customHeight="1">
      <c r="A257" s="22" t="inlineStr">
        <is>
          <t>I1</t>
        </is>
      </c>
      <c r="B257" s="22" t="inlineStr">
        <is>
          <t>Industrial GHG emissions</t>
        </is>
      </c>
      <c r="C257" s="22" t="inlineStr">
        <is>
          <t>Industry</t>
        </is>
      </c>
      <c r="D257" s="22" t="inlineStr">
        <is>
          <t>Mt CO₂eq</t>
        </is>
      </c>
      <c r="E257" s="65" t="n">
        <v>2022</v>
      </c>
      <c r="F257" s="66" t="n">
        <v>691.3</v>
      </c>
      <c r="G257" s="67" t="inlineStr">
        <is>
          <t>In the 2024 report</t>
        </is>
      </c>
      <c r="H257" s="22" t="inlineStr">
        <is>
          <t>EEA GHG data viewer (Eurostat env_air_gge mirror)</t>
        </is>
      </c>
      <c r="I257" s="35" t="inlineStr">
        <is>
          <t>esabcc-i1-industry-ghg</t>
        </is>
      </c>
    </row>
    <row r="258" ht="14" customHeight="1">
      <c r="A258" s="15" t="inlineStr">
        <is>
          <t>I1</t>
        </is>
      </c>
      <c r="B258" s="15" t="inlineStr">
        <is>
          <t>Industrial GHG emissions</t>
        </is>
      </c>
      <c r="C258" s="15" t="inlineStr">
        <is>
          <t>Industry</t>
        </is>
      </c>
      <c r="D258" s="15" t="inlineStr">
        <is>
          <t>Mt CO₂eq</t>
        </is>
      </c>
      <c r="E258" s="63" t="n">
        <v>2023</v>
      </c>
      <c r="F258" s="64" t="n">
        <v>622.1</v>
      </c>
      <c r="G258" s="68" t="inlineStr">
        <is>
          <t>Added since the report</t>
        </is>
      </c>
      <c r="H258" s="15" t="inlineStr">
        <is>
          <t>EEA GHG data viewer (Eurostat env_air_gge mirror)</t>
        </is>
      </c>
      <c r="I258" s="34" t="inlineStr">
        <is>
          <t>esabcc-i1-industry-ghg</t>
        </is>
      </c>
    </row>
    <row r="259" ht="14" customHeight="1">
      <c r="A259" s="22" t="inlineStr">
        <is>
          <t>I1</t>
        </is>
      </c>
      <c r="B259" s="22" t="inlineStr">
        <is>
          <t>Industrial GHG emissions</t>
        </is>
      </c>
      <c r="C259" s="22" t="inlineStr">
        <is>
          <t>Industry</t>
        </is>
      </c>
      <c r="D259" s="22" t="inlineStr">
        <is>
          <t>Mt CO₂eq</t>
        </is>
      </c>
      <c r="E259" s="65" t="n">
        <v>2024</v>
      </c>
      <c r="F259" s="66" t="n">
        <v>611.4</v>
      </c>
      <c r="G259" s="69" t="inlineStr">
        <is>
          <t>Added since the report</t>
        </is>
      </c>
      <c r="H259" s="22" t="inlineStr">
        <is>
          <t>EEA GHG data viewer (Eurostat env_air_gge mirror)</t>
        </is>
      </c>
      <c r="I259" s="35" t="inlineStr">
        <is>
          <t>esabcc-i1-industry-ghg</t>
        </is>
      </c>
    </row>
    <row r="260" ht="14" customHeight="1">
      <c r="A260" s="15" t="inlineStr">
        <is>
          <t>I3</t>
        </is>
      </c>
      <c r="B260" s="15" t="inlineStr">
        <is>
          <t>Circular material use rate (EU)</t>
        </is>
      </c>
      <c r="C260" s="15" t="inlineStr">
        <is>
          <t>Industry</t>
        </is>
      </c>
      <c r="D260" s="15" t="inlineStr">
        <is>
          <t>%</t>
        </is>
      </c>
      <c r="E260" s="63" t="n">
        <v>2010</v>
      </c>
      <c r="F260" s="64" t="n">
        <v>10.8</v>
      </c>
      <c r="G260" s="14" t="inlineStr">
        <is>
          <t>In the 2024 report</t>
        </is>
      </c>
      <c r="H260" s="15" t="inlineStr">
        <is>
          <t>Eurostat (cei_srm030)</t>
        </is>
      </c>
      <c r="I260" s="34" t="inlineStr">
        <is>
          <t>esabcc-i3-circular-mat-use</t>
        </is>
      </c>
    </row>
    <row r="261" ht="14" customHeight="1">
      <c r="A261" s="22" t="inlineStr">
        <is>
          <t>I3</t>
        </is>
      </c>
      <c r="B261" s="22" t="inlineStr">
        <is>
          <t>Circular material use rate (EU)</t>
        </is>
      </c>
      <c r="C261" s="22" t="inlineStr">
        <is>
          <t>Industry</t>
        </is>
      </c>
      <c r="D261" s="22" t="inlineStr">
        <is>
          <t>%</t>
        </is>
      </c>
      <c r="E261" s="65" t="n">
        <v>2011</v>
      </c>
      <c r="F261" s="66" t="n">
        <v>10.3</v>
      </c>
      <c r="G261" s="67" t="inlineStr">
        <is>
          <t>In the 2024 report</t>
        </is>
      </c>
      <c r="H261" s="22" t="inlineStr">
        <is>
          <t>Eurostat (cei_srm030)</t>
        </is>
      </c>
      <c r="I261" s="35" t="inlineStr">
        <is>
          <t>esabcc-i3-circular-mat-use</t>
        </is>
      </c>
    </row>
    <row r="262" ht="14" customHeight="1">
      <c r="A262" s="15" t="inlineStr">
        <is>
          <t>I3</t>
        </is>
      </c>
      <c r="B262" s="15" t="inlineStr">
        <is>
          <t>Circular material use rate (EU)</t>
        </is>
      </c>
      <c r="C262" s="15" t="inlineStr">
        <is>
          <t>Industry</t>
        </is>
      </c>
      <c r="D262" s="15" t="inlineStr">
        <is>
          <t>%</t>
        </is>
      </c>
      <c r="E262" s="63" t="n">
        <v>2012</v>
      </c>
      <c r="F262" s="64" t="n">
        <v>11.1</v>
      </c>
      <c r="G262" s="14" t="inlineStr">
        <is>
          <t>In the 2024 report</t>
        </is>
      </c>
      <c r="H262" s="15" t="inlineStr">
        <is>
          <t>Eurostat (cei_srm030)</t>
        </is>
      </c>
      <c r="I262" s="34" t="inlineStr">
        <is>
          <t>esabcc-i3-circular-mat-use</t>
        </is>
      </c>
    </row>
    <row r="263" ht="14" customHeight="1">
      <c r="A263" s="22" t="inlineStr">
        <is>
          <t>I3</t>
        </is>
      </c>
      <c r="B263" s="22" t="inlineStr">
        <is>
          <t>Circular material use rate (EU)</t>
        </is>
      </c>
      <c r="C263" s="22" t="inlineStr">
        <is>
          <t>Industry</t>
        </is>
      </c>
      <c r="D263" s="22" t="inlineStr">
        <is>
          <t>%</t>
        </is>
      </c>
      <c r="E263" s="65" t="n">
        <v>2013</v>
      </c>
      <c r="F263" s="66" t="n">
        <v>11.3</v>
      </c>
      <c r="G263" s="67" t="inlineStr">
        <is>
          <t>In the 2024 report</t>
        </is>
      </c>
      <c r="H263" s="22" t="inlineStr">
        <is>
          <t>Eurostat (cei_srm030)</t>
        </is>
      </c>
      <c r="I263" s="35" t="inlineStr">
        <is>
          <t>esabcc-i3-circular-mat-use</t>
        </is>
      </c>
    </row>
    <row r="264" ht="14" customHeight="1">
      <c r="A264" s="15" t="inlineStr">
        <is>
          <t>I3</t>
        </is>
      </c>
      <c r="B264" s="15" t="inlineStr">
        <is>
          <t>Circular material use rate (EU)</t>
        </is>
      </c>
      <c r="C264" s="15" t="inlineStr">
        <is>
          <t>Industry</t>
        </is>
      </c>
      <c r="D264" s="15" t="inlineStr">
        <is>
          <t>%</t>
        </is>
      </c>
      <c r="E264" s="63" t="n">
        <v>2014</v>
      </c>
      <c r="F264" s="64" t="n">
        <v>11.2</v>
      </c>
      <c r="G264" s="14" t="inlineStr">
        <is>
          <t>In the 2024 report</t>
        </is>
      </c>
      <c r="H264" s="15" t="inlineStr">
        <is>
          <t>Eurostat (cei_srm030)</t>
        </is>
      </c>
      <c r="I264" s="34" t="inlineStr">
        <is>
          <t>esabcc-i3-circular-mat-use</t>
        </is>
      </c>
    </row>
    <row r="265" ht="14" customHeight="1">
      <c r="A265" s="22" t="inlineStr">
        <is>
          <t>I3</t>
        </is>
      </c>
      <c r="B265" s="22" t="inlineStr">
        <is>
          <t>Circular material use rate (EU)</t>
        </is>
      </c>
      <c r="C265" s="22" t="inlineStr">
        <is>
          <t>Industry</t>
        </is>
      </c>
      <c r="D265" s="22" t="inlineStr">
        <is>
          <t>%</t>
        </is>
      </c>
      <c r="E265" s="65" t="n">
        <v>2015</v>
      </c>
      <c r="F265" s="66" t="n">
        <v>11.3</v>
      </c>
      <c r="G265" s="67" t="inlineStr">
        <is>
          <t>In the 2024 report</t>
        </is>
      </c>
      <c r="H265" s="22" t="inlineStr">
        <is>
          <t>Eurostat (cei_srm030)</t>
        </is>
      </c>
      <c r="I265" s="35" t="inlineStr">
        <is>
          <t>esabcc-i3-circular-mat-use</t>
        </is>
      </c>
    </row>
    <row r="266" ht="14" customHeight="1">
      <c r="A266" s="15" t="inlineStr">
        <is>
          <t>I3</t>
        </is>
      </c>
      <c r="B266" s="15" t="inlineStr">
        <is>
          <t>Circular material use rate (EU)</t>
        </is>
      </c>
      <c r="C266" s="15" t="inlineStr">
        <is>
          <t>Industry</t>
        </is>
      </c>
      <c r="D266" s="15" t="inlineStr">
        <is>
          <t>%</t>
        </is>
      </c>
      <c r="E266" s="63" t="n">
        <v>2016</v>
      </c>
      <c r="F266" s="64" t="n">
        <v>11.5</v>
      </c>
      <c r="G266" s="14" t="inlineStr">
        <is>
          <t>In the 2024 report</t>
        </is>
      </c>
      <c r="H266" s="15" t="inlineStr">
        <is>
          <t>Eurostat (cei_srm030)</t>
        </is>
      </c>
      <c r="I266" s="34" t="inlineStr">
        <is>
          <t>esabcc-i3-circular-mat-use</t>
        </is>
      </c>
    </row>
    <row r="267" ht="14" customHeight="1">
      <c r="A267" s="22" t="inlineStr">
        <is>
          <t>I3</t>
        </is>
      </c>
      <c r="B267" s="22" t="inlineStr">
        <is>
          <t>Circular material use rate (EU)</t>
        </is>
      </c>
      <c r="C267" s="22" t="inlineStr">
        <is>
          <t>Industry</t>
        </is>
      </c>
      <c r="D267" s="22" t="inlineStr">
        <is>
          <t>%</t>
        </is>
      </c>
      <c r="E267" s="65" t="n">
        <v>2017</v>
      </c>
      <c r="F267" s="66" t="n">
        <v>11.5</v>
      </c>
      <c r="G267" s="67" t="inlineStr">
        <is>
          <t>In the 2024 report</t>
        </is>
      </c>
      <c r="H267" s="22" t="inlineStr">
        <is>
          <t>Eurostat (cei_srm030)</t>
        </is>
      </c>
      <c r="I267" s="35" t="inlineStr">
        <is>
          <t>esabcc-i3-circular-mat-use</t>
        </is>
      </c>
    </row>
    <row r="268" ht="14" customHeight="1">
      <c r="A268" s="15" t="inlineStr">
        <is>
          <t>I3</t>
        </is>
      </c>
      <c r="B268" s="15" t="inlineStr">
        <is>
          <t>Circular material use rate (EU)</t>
        </is>
      </c>
      <c r="C268" s="15" t="inlineStr">
        <is>
          <t>Industry</t>
        </is>
      </c>
      <c r="D268" s="15" t="inlineStr">
        <is>
          <t>%</t>
        </is>
      </c>
      <c r="E268" s="63" t="n">
        <v>2018</v>
      </c>
      <c r="F268" s="64" t="n">
        <v>11.7</v>
      </c>
      <c r="G268" s="14" t="inlineStr">
        <is>
          <t>In the 2024 report</t>
        </is>
      </c>
      <c r="H268" s="15" t="inlineStr">
        <is>
          <t>Eurostat (cei_srm030)</t>
        </is>
      </c>
      <c r="I268" s="34" t="inlineStr">
        <is>
          <t>esabcc-i3-circular-mat-use</t>
        </is>
      </c>
    </row>
    <row r="269" ht="14" customHeight="1">
      <c r="A269" s="22" t="inlineStr">
        <is>
          <t>I3</t>
        </is>
      </c>
      <c r="B269" s="22" t="inlineStr">
        <is>
          <t>Circular material use rate (EU)</t>
        </is>
      </c>
      <c r="C269" s="22" t="inlineStr">
        <is>
          <t>Industry</t>
        </is>
      </c>
      <c r="D269" s="22" t="inlineStr">
        <is>
          <t>%</t>
        </is>
      </c>
      <c r="E269" s="65" t="n">
        <v>2019</v>
      </c>
      <c r="F269" s="66" t="n">
        <v>12</v>
      </c>
      <c r="G269" s="67" t="inlineStr">
        <is>
          <t>In the 2024 report</t>
        </is>
      </c>
      <c r="H269" s="22" t="inlineStr">
        <is>
          <t>Eurostat (cei_srm030)</t>
        </is>
      </c>
      <c r="I269" s="35" t="inlineStr">
        <is>
          <t>esabcc-i3-circular-mat-use</t>
        </is>
      </c>
    </row>
    <row r="270" ht="14" customHeight="1">
      <c r="A270" s="15" t="inlineStr">
        <is>
          <t>I3</t>
        </is>
      </c>
      <c r="B270" s="15" t="inlineStr">
        <is>
          <t>Circular material use rate (EU)</t>
        </is>
      </c>
      <c r="C270" s="15" t="inlineStr">
        <is>
          <t>Industry</t>
        </is>
      </c>
      <c r="D270" s="15" t="inlineStr">
        <is>
          <t>%</t>
        </is>
      </c>
      <c r="E270" s="63" t="n">
        <v>2020</v>
      </c>
      <c r="F270" s="64" t="n">
        <v>11.7</v>
      </c>
      <c r="G270" s="14" t="inlineStr">
        <is>
          <t>In the 2024 report</t>
        </is>
      </c>
      <c r="H270" s="15" t="inlineStr">
        <is>
          <t>Eurostat (cei_srm030)</t>
        </is>
      </c>
      <c r="I270" s="34" t="inlineStr">
        <is>
          <t>esabcc-i3-circular-mat-use</t>
        </is>
      </c>
    </row>
    <row r="271" ht="14" customHeight="1">
      <c r="A271" s="22" t="inlineStr">
        <is>
          <t>I3</t>
        </is>
      </c>
      <c r="B271" s="22" t="inlineStr">
        <is>
          <t>Circular material use rate (EU)</t>
        </is>
      </c>
      <c r="C271" s="22" t="inlineStr">
        <is>
          <t>Industry</t>
        </is>
      </c>
      <c r="D271" s="22" t="inlineStr">
        <is>
          <t>%</t>
        </is>
      </c>
      <c r="E271" s="65" t="n">
        <v>2021</v>
      </c>
      <c r="F271" s="66" t="n">
        <v>11.7</v>
      </c>
      <c r="G271" s="67" t="inlineStr">
        <is>
          <t>In the 2024 report</t>
        </is>
      </c>
      <c r="H271" s="22" t="inlineStr">
        <is>
          <t>Eurostat (cei_srm030)</t>
        </is>
      </c>
      <c r="I271" s="35" t="inlineStr">
        <is>
          <t>esabcc-i3-circular-mat-use</t>
        </is>
      </c>
    </row>
    <row r="272" ht="14" customHeight="1">
      <c r="A272" s="15" t="inlineStr">
        <is>
          <t>I3</t>
        </is>
      </c>
      <c r="B272" s="15" t="inlineStr">
        <is>
          <t>Circular material use rate (EU)</t>
        </is>
      </c>
      <c r="C272" s="15" t="inlineStr">
        <is>
          <t>Industry</t>
        </is>
      </c>
      <c r="D272" s="15" t="inlineStr">
        <is>
          <t>%</t>
        </is>
      </c>
      <c r="E272" s="63" t="n">
        <v>2022</v>
      </c>
      <c r="F272" s="64" t="n">
        <v>11.4</v>
      </c>
      <c r="G272" s="68" t="inlineStr">
        <is>
          <t>Added since the report</t>
        </is>
      </c>
      <c r="H272" s="15" t="inlineStr">
        <is>
          <t>Eurostat (cei_srm030)</t>
        </is>
      </c>
      <c r="I272" s="34" t="inlineStr">
        <is>
          <t>esabcc-i3-circular-mat-use</t>
        </is>
      </c>
    </row>
    <row r="273" ht="14" customHeight="1">
      <c r="A273" s="22" t="inlineStr">
        <is>
          <t>I3</t>
        </is>
      </c>
      <c r="B273" s="22" t="inlineStr">
        <is>
          <t>Circular material use rate (EU)</t>
        </is>
      </c>
      <c r="C273" s="22" t="inlineStr">
        <is>
          <t>Industry</t>
        </is>
      </c>
      <c r="D273" s="22" t="inlineStr">
        <is>
          <t>%</t>
        </is>
      </c>
      <c r="E273" s="65" t="n">
        <v>2023</v>
      </c>
      <c r="F273" s="66" t="n">
        <v>12.1</v>
      </c>
      <c r="G273" s="69" t="inlineStr">
        <is>
          <t>Added since the report</t>
        </is>
      </c>
      <c r="H273" s="22" t="inlineStr">
        <is>
          <t>Eurostat (cei_srm030)</t>
        </is>
      </c>
      <c r="I273" s="35" t="inlineStr">
        <is>
          <t>esabcc-i3-circular-mat-use</t>
        </is>
      </c>
    </row>
    <row r="274" ht="14" customHeight="1">
      <c r="A274" s="15" t="inlineStr">
        <is>
          <t>I3</t>
        </is>
      </c>
      <c r="B274" s="15" t="inlineStr">
        <is>
          <t>Circular material use rate (EU)</t>
        </is>
      </c>
      <c r="C274" s="15" t="inlineStr">
        <is>
          <t>Industry</t>
        </is>
      </c>
      <c r="D274" s="15" t="inlineStr">
        <is>
          <t>%</t>
        </is>
      </c>
      <c r="E274" s="63" t="n">
        <v>2024</v>
      </c>
      <c r="F274" s="64" t="n">
        <v>12.2</v>
      </c>
      <c r="G274" s="68" t="inlineStr">
        <is>
          <t>Added since the report</t>
        </is>
      </c>
      <c r="H274" s="15" t="inlineStr">
        <is>
          <t>Eurostat (cei_srm030)</t>
        </is>
      </c>
      <c r="I274" s="34" t="inlineStr">
        <is>
          <t>esabcc-i3-circular-mat-use</t>
        </is>
      </c>
    </row>
    <row r="275" ht="14" customHeight="1">
      <c r="A275" s="22" t="inlineStr">
        <is>
          <t>I4 (steel)</t>
        </is>
      </c>
      <c r="B275" s="22" t="inlineStr">
        <is>
          <t>GHG intensity of EU steel production</t>
        </is>
      </c>
      <c r="C275" s="22" t="inlineStr">
        <is>
          <t>Industry</t>
        </is>
      </c>
      <c r="D275" s="22" t="inlineStr">
        <is>
          <t>t CO₂eq/t</t>
        </is>
      </c>
      <c r="E275" s="65" t="n">
        <v>2008</v>
      </c>
      <c r="F275" s="66" t="n">
        <v>1.01</v>
      </c>
      <c r="G275" s="67" t="inlineStr">
        <is>
          <t>In the 2024 report</t>
        </is>
      </c>
      <c r="H275" s="22" t="inlineStr">
        <is>
          <t>EEA + Eurofer</t>
        </is>
      </c>
      <c r="I275" s="35" t="inlineStr">
        <is>
          <t>esabcc-i4-steel-ghg-intensity</t>
        </is>
      </c>
    </row>
    <row r="276" ht="14" customHeight="1">
      <c r="A276" s="15" t="inlineStr">
        <is>
          <t>I4 (steel)</t>
        </is>
      </c>
      <c r="B276" s="15" t="inlineStr">
        <is>
          <t>GHG intensity of EU steel production</t>
        </is>
      </c>
      <c r="C276" s="15" t="inlineStr">
        <is>
          <t>Industry</t>
        </is>
      </c>
      <c r="D276" s="15" t="inlineStr">
        <is>
          <t>t CO₂eq/t</t>
        </is>
      </c>
      <c r="E276" s="63" t="n">
        <v>2009</v>
      </c>
      <c r="F276" s="64" t="n">
        <v>1.002</v>
      </c>
      <c r="G276" s="14" t="inlineStr">
        <is>
          <t>In the 2024 report</t>
        </is>
      </c>
      <c r="H276" s="15" t="inlineStr">
        <is>
          <t>EEA + Eurofer</t>
        </is>
      </c>
      <c r="I276" s="34" t="inlineStr">
        <is>
          <t>esabcc-i4-steel-ghg-intensity</t>
        </is>
      </c>
    </row>
    <row r="277" ht="14" customHeight="1">
      <c r="A277" s="22" t="inlineStr">
        <is>
          <t>I4 (steel)</t>
        </is>
      </c>
      <c r="B277" s="22" t="inlineStr">
        <is>
          <t>GHG intensity of EU steel production</t>
        </is>
      </c>
      <c r="C277" s="22" t="inlineStr">
        <is>
          <t>Industry</t>
        </is>
      </c>
      <c r="D277" s="22" t="inlineStr">
        <is>
          <t>t CO₂eq/t</t>
        </is>
      </c>
      <c r="E277" s="65" t="n">
        <v>2010</v>
      </c>
      <c r="F277" s="66" t="n">
        <v>0.9942</v>
      </c>
      <c r="G277" s="67" t="inlineStr">
        <is>
          <t>In the 2024 report</t>
        </is>
      </c>
      <c r="H277" s="22" t="inlineStr">
        <is>
          <t>EEA + Eurofer</t>
        </is>
      </c>
      <c r="I277" s="35" t="inlineStr">
        <is>
          <t>esabcc-i4-steel-ghg-intensity</t>
        </is>
      </c>
    </row>
    <row r="278" ht="14" customHeight="1">
      <c r="A278" s="15" t="inlineStr">
        <is>
          <t>I4 (steel)</t>
        </is>
      </c>
      <c r="B278" s="15" t="inlineStr">
        <is>
          <t>GHG intensity of EU steel production</t>
        </is>
      </c>
      <c r="C278" s="15" t="inlineStr">
        <is>
          <t>Industry</t>
        </is>
      </c>
      <c r="D278" s="15" t="inlineStr">
        <is>
          <t>t CO₂eq/t</t>
        </is>
      </c>
      <c r="E278" s="63" t="n">
        <v>2011</v>
      </c>
      <c r="F278" s="64" t="n">
        <v>0.9446</v>
      </c>
      <c r="G278" s="14" t="inlineStr">
        <is>
          <t>In the 2024 report</t>
        </is>
      </c>
      <c r="H278" s="15" t="inlineStr">
        <is>
          <t>EEA + Eurofer</t>
        </is>
      </c>
      <c r="I278" s="34" t="inlineStr">
        <is>
          <t>esabcc-i4-steel-ghg-intensity</t>
        </is>
      </c>
    </row>
    <row r="279" ht="14" customHeight="1">
      <c r="A279" s="22" t="inlineStr">
        <is>
          <t>I4 (steel)</t>
        </is>
      </c>
      <c r="B279" s="22" t="inlineStr">
        <is>
          <t>GHG intensity of EU steel production</t>
        </is>
      </c>
      <c r="C279" s="22" t="inlineStr">
        <is>
          <t>Industry</t>
        </is>
      </c>
      <c r="D279" s="22" t="inlineStr">
        <is>
          <t>t CO₂eq/t</t>
        </is>
      </c>
      <c r="E279" s="65" t="n">
        <v>2012</v>
      </c>
      <c r="F279" s="66" t="n">
        <v>0.9371</v>
      </c>
      <c r="G279" s="67" t="inlineStr">
        <is>
          <t>In the 2024 report</t>
        </is>
      </c>
      <c r="H279" s="22" t="inlineStr">
        <is>
          <t>EEA + Eurofer</t>
        </is>
      </c>
      <c r="I279" s="35" t="inlineStr">
        <is>
          <t>esabcc-i4-steel-ghg-intensity</t>
        </is>
      </c>
    </row>
    <row r="280" ht="14" customHeight="1">
      <c r="A280" s="15" t="inlineStr">
        <is>
          <t>I4 (steel)</t>
        </is>
      </c>
      <c r="B280" s="15" t="inlineStr">
        <is>
          <t>GHG intensity of EU steel production</t>
        </is>
      </c>
      <c r="C280" s="15" t="inlineStr">
        <is>
          <t>Industry</t>
        </is>
      </c>
      <c r="D280" s="15" t="inlineStr">
        <is>
          <t>t CO₂eq/t</t>
        </is>
      </c>
      <c r="E280" s="63" t="n">
        <v>2013</v>
      </c>
      <c r="F280" s="64" t="n">
        <v>0.9499</v>
      </c>
      <c r="G280" s="14" t="inlineStr">
        <is>
          <t>In the 2024 report</t>
        </is>
      </c>
      <c r="H280" s="15" t="inlineStr">
        <is>
          <t>EEA + Eurofer</t>
        </is>
      </c>
      <c r="I280" s="34" t="inlineStr">
        <is>
          <t>esabcc-i4-steel-ghg-intensity</t>
        </is>
      </c>
    </row>
    <row r="281" ht="14" customHeight="1">
      <c r="A281" s="22" t="inlineStr">
        <is>
          <t>I4 (steel)</t>
        </is>
      </c>
      <c r="B281" s="22" t="inlineStr">
        <is>
          <t>GHG intensity of EU steel production</t>
        </is>
      </c>
      <c r="C281" s="22" t="inlineStr">
        <is>
          <t>Industry</t>
        </is>
      </c>
      <c r="D281" s="22" t="inlineStr">
        <is>
          <t>t CO₂eq/t</t>
        </is>
      </c>
      <c r="E281" s="65" t="n">
        <v>2014</v>
      </c>
      <c r="F281" s="66" t="n">
        <v>0.9378</v>
      </c>
      <c r="G281" s="67" t="inlineStr">
        <is>
          <t>In the 2024 report</t>
        </is>
      </c>
      <c r="H281" s="22" t="inlineStr">
        <is>
          <t>EEA + Eurofer</t>
        </is>
      </c>
      <c r="I281" s="35" t="inlineStr">
        <is>
          <t>esabcc-i4-steel-ghg-intensity</t>
        </is>
      </c>
    </row>
    <row r="282" ht="14" customHeight="1">
      <c r="A282" s="15" t="inlineStr">
        <is>
          <t>I4 (steel)</t>
        </is>
      </c>
      <c r="B282" s="15" t="inlineStr">
        <is>
          <t>GHG intensity of EU steel production</t>
        </is>
      </c>
      <c r="C282" s="15" t="inlineStr">
        <is>
          <t>Industry</t>
        </is>
      </c>
      <c r="D282" s="15" t="inlineStr">
        <is>
          <t>t CO₂eq/t</t>
        </is>
      </c>
      <c r="E282" s="63" t="n">
        <v>2015</v>
      </c>
      <c r="F282" s="64" t="n">
        <v>0.9871</v>
      </c>
      <c r="G282" s="14" t="inlineStr">
        <is>
          <t>In the 2024 report</t>
        </is>
      </c>
      <c r="H282" s="15" t="inlineStr">
        <is>
          <t>EEA + Eurofer</t>
        </is>
      </c>
      <c r="I282" s="34" t="inlineStr">
        <is>
          <t>esabcc-i4-steel-ghg-intensity</t>
        </is>
      </c>
    </row>
    <row r="283" ht="14" customHeight="1">
      <c r="A283" s="22" t="inlineStr">
        <is>
          <t>I4 (steel)</t>
        </is>
      </c>
      <c r="B283" s="22" t="inlineStr">
        <is>
          <t>GHG intensity of EU steel production</t>
        </is>
      </c>
      <c r="C283" s="22" t="inlineStr">
        <is>
          <t>Industry</t>
        </is>
      </c>
      <c r="D283" s="22" t="inlineStr">
        <is>
          <t>t CO₂eq/t</t>
        </is>
      </c>
      <c r="E283" s="65" t="n">
        <v>2016</v>
      </c>
      <c r="F283" s="66" t="n">
        <v>0.9861</v>
      </c>
      <c r="G283" s="67" t="inlineStr">
        <is>
          <t>In the 2024 report</t>
        </is>
      </c>
      <c r="H283" s="22" t="inlineStr">
        <is>
          <t>EEA + Eurofer</t>
        </is>
      </c>
      <c r="I283" s="35" t="inlineStr">
        <is>
          <t>esabcc-i4-steel-ghg-intensity</t>
        </is>
      </c>
    </row>
    <row r="284" ht="14" customHeight="1">
      <c r="A284" s="15" t="inlineStr">
        <is>
          <t>I4 (steel)</t>
        </is>
      </c>
      <c r="B284" s="15" t="inlineStr">
        <is>
          <t>GHG intensity of EU steel production</t>
        </is>
      </c>
      <c r="C284" s="15" t="inlineStr">
        <is>
          <t>Industry</t>
        </is>
      </c>
      <c r="D284" s="15" t="inlineStr">
        <is>
          <t>t CO₂eq/t</t>
        </is>
      </c>
      <c r="E284" s="63" t="n">
        <v>2017</v>
      </c>
      <c r="F284" s="64" t="n">
        <v>0.9656</v>
      </c>
      <c r="G284" s="14" t="inlineStr">
        <is>
          <t>In the 2024 report</t>
        </is>
      </c>
      <c r="H284" s="15" t="inlineStr">
        <is>
          <t>EEA + Eurofer</t>
        </is>
      </c>
      <c r="I284" s="34" t="inlineStr">
        <is>
          <t>esabcc-i4-steel-ghg-intensity</t>
        </is>
      </c>
    </row>
    <row r="285" ht="14" customHeight="1">
      <c r="A285" s="22" t="inlineStr">
        <is>
          <t>I4 (steel)</t>
        </is>
      </c>
      <c r="B285" s="22" t="inlineStr">
        <is>
          <t>GHG intensity of EU steel production</t>
        </is>
      </c>
      <c r="C285" s="22" t="inlineStr">
        <is>
          <t>Industry</t>
        </is>
      </c>
      <c r="D285" s="22" t="inlineStr">
        <is>
          <t>t CO₂eq/t</t>
        </is>
      </c>
      <c r="E285" s="65" t="n">
        <v>2018</v>
      </c>
      <c r="F285" s="66" t="n">
        <v>0.9526</v>
      </c>
      <c r="G285" s="67" t="inlineStr">
        <is>
          <t>In the 2024 report</t>
        </is>
      </c>
      <c r="H285" s="22" t="inlineStr">
        <is>
          <t>EEA + Eurofer</t>
        </is>
      </c>
      <c r="I285" s="35" t="inlineStr">
        <is>
          <t>esabcc-i4-steel-ghg-intensity</t>
        </is>
      </c>
    </row>
    <row r="286" ht="14" customHeight="1">
      <c r="A286" s="15" t="inlineStr">
        <is>
          <t>I4 (steel)</t>
        </is>
      </c>
      <c r="B286" s="15" t="inlineStr">
        <is>
          <t>GHG intensity of EU steel production</t>
        </is>
      </c>
      <c r="C286" s="15" t="inlineStr">
        <is>
          <t>Industry</t>
        </is>
      </c>
      <c r="D286" s="15" t="inlineStr">
        <is>
          <t>t CO₂eq/t</t>
        </is>
      </c>
      <c r="E286" s="63" t="n">
        <v>2019</v>
      </c>
      <c r="F286" s="64" t="n">
        <v>0.9675</v>
      </c>
      <c r="G286" s="14" t="inlineStr">
        <is>
          <t>In the 2024 report</t>
        </is>
      </c>
      <c r="H286" s="15" t="inlineStr">
        <is>
          <t>EEA + Eurofer</t>
        </is>
      </c>
      <c r="I286" s="34" t="inlineStr">
        <is>
          <t>esabcc-i4-steel-ghg-intensity</t>
        </is>
      </c>
    </row>
    <row r="287" ht="14" customHeight="1">
      <c r="A287" s="22" t="inlineStr">
        <is>
          <t>I4 (steel)</t>
        </is>
      </c>
      <c r="B287" s="22" t="inlineStr">
        <is>
          <t>GHG intensity of EU steel production</t>
        </is>
      </c>
      <c r="C287" s="22" t="inlineStr">
        <is>
          <t>Industry</t>
        </is>
      </c>
      <c r="D287" s="22" t="inlineStr">
        <is>
          <t>t CO₂eq/t</t>
        </is>
      </c>
      <c r="E287" s="65" t="n">
        <v>2020</v>
      </c>
      <c r="F287" s="66" t="n">
        <v>0.9605</v>
      </c>
      <c r="G287" s="67" t="inlineStr">
        <is>
          <t>In the 2024 report</t>
        </is>
      </c>
      <c r="H287" s="22" t="inlineStr">
        <is>
          <t>EEA + Eurofer</t>
        </is>
      </c>
      <c r="I287" s="35" t="inlineStr">
        <is>
          <t>esabcc-i4-steel-ghg-intensity</t>
        </is>
      </c>
    </row>
    <row r="288" ht="14" customHeight="1">
      <c r="A288" s="15" t="inlineStr">
        <is>
          <t>I4 (steel)</t>
        </is>
      </c>
      <c r="B288" s="15" t="inlineStr">
        <is>
          <t>GHG intensity of EU steel production</t>
        </is>
      </c>
      <c r="C288" s="15" t="inlineStr">
        <is>
          <t>Industry</t>
        </is>
      </c>
      <c r="D288" s="15" t="inlineStr">
        <is>
          <t>t CO₂eq/t</t>
        </is>
      </c>
      <c r="E288" s="63" t="n">
        <v>2021</v>
      </c>
      <c r="F288" s="64" t="n">
        <v>0.9623</v>
      </c>
      <c r="G288" s="14" t="inlineStr">
        <is>
          <t>In the 2024 report</t>
        </is>
      </c>
      <c r="H288" s="15" t="inlineStr">
        <is>
          <t>EEA + Eurofer</t>
        </is>
      </c>
      <c r="I288" s="34" t="inlineStr">
        <is>
          <t>esabcc-i4-steel-ghg-intensity</t>
        </is>
      </c>
    </row>
    <row r="289" ht="14" customHeight="1">
      <c r="A289" s="22" t="inlineStr">
        <is>
          <t>I4 (cement)</t>
        </is>
      </c>
      <c r="B289" s="22" t="inlineStr">
        <is>
          <t>GHG intensity of EU cement production</t>
        </is>
      </c>
      <c r="C289" s="22" t="inlineStr">
        <is>
          <t>Industry</t>
        </is>
      </c>
      <c r="D289" s="22" t="inlineStr">
        <is>
          <t>t CO₂eq/t</t>
        </is>
      </c>
      <c r="E289" s="65" t="n">
        <v>2005</v>
      </c>
      <c r="F289" s="66" t="n">
        <v>0.5987</v>
      </c>
      <c r="G289" s="67" t="inlineStr">
        <is>
          <t>In the 2024 report</t>
        </is>
      </c>
      <c r="H289" s="22" t="inlineStr">
        <is>
          <t>EEA + Cembureau</t>
        </is>
      </c>
      <c r="I289" s="35" t="inlineStr">
        <is>
          <t>esabcc-i4-cement-ghg-intensity</t>
        </is>
      </c>
    </row>
    <row r="290" ht="14" customHeight="1">
      <c r="A290" s="15" t="inlineStr">
        <is>
          <t>I4 (cement)</t>
        </is>
      </c>
      <c r="B290" s="15" t="inlineStr">
        <is>
          <t>GHG intensity of EU cement production</t>
        </is>
      </c>
      <c r="C290" s="15" t="inlineStr">
        <is>
          <t>Industry</t>
        </is>
      </c>
      <c r="D290" s="15" t="inlineStr">
        <is>
          <t>t CO₂eq/t</t>
        </is>
      </c>
      <c r="E290" s="63" t="n">
        <v>2006</v>
      </c>
      <c r="F290" s="64" t="n">
        <v>0.5744</v>
      </c>
      <c r="G290" s="14" t="inlineStr">
        <is>
          <t>In the 2024 report</t>
        </is>
      </c>
      <c r="H290" s="15" t="inlineStr">
        <is>
          <t>EEA + Cembureau</t>
        </is>
      </c>
      <c r="I290" s="34" t="inlineStr">
        <is>
          <t>esabcc-i4-cement-ghg-intensity</t>
        </is>
      </c>
    </row>
    <row r="291" ht="14" customHeight="1">
      <c r="A291" s="22" t="inlineStr">
        <is>
          <t>I4 (cement)</t>
        </is>
      </c>
      <c r="B291" s="22" t="inlineStr">
        <is>
          <t>GHG intensity of EU cement production</t>
        </is>
      </c>
      <c r="C291" s="22" t="inlineStr">
        <is>
          <t>Industry</t>
        </is>
      </c>
      <c r="D291" s="22" t="inlineStr">
        <is>
          <t>t CO₂eq/t</t>
        </is>
      </c>
      <c r="E291" s="65" t="n">
        <v>2007</v>
      </c>
      <c r="F291" s="66" t="n">
        <v>0.623</v>
      </c>
      <c r="G291" s="67" t="inlineStr">
        <is>
          <t>In the 2024 report</t>
        </is>
      </c>
      <c r="H291" s="22" t="inlineStr">
        <is>
          <t>EEA + Cembureau</t>
        </is>
      </c>
      <c r="I291" s="35" t="inlineStr">
        <is>
          <t>esabcc-i4-cement-ghg-intensity</t>
        </is>
      </c>
    </row>
    <row r="292" ht="14" customHeight="1">
      <c r="A292" s="15" t="inlineStr">
        <is>
          <t>I4 (cement)</t>
        </is>
      </c>
      <c r="B292" s="15" t="inlineStr">
        <is>
          <t>GHG intensity of EU cement production</t>
        </is>
      </c>
      <c r="C292" s="15" t="inlineStr">
        <is>
          <t>Industry</t>
        </is>
      </c>
      <c r="D292" s="15" t="inlineStr">
        <is>
          <t>t CO₂eq/t</t>
        </is>
      </c>
      <c r="E292" s="63" t="n">
        <v>2008</v>
      </c>
      <c r="F292" s="64" t="n">
        <v>0.6159</v>
      </c>
      <c r="G292" s="14" t="inlineStr">
        <is>
          <t>In the 2024 report</t>
        </is>
      </c>
      <c r="H292" s="15" t="inlineStr">
        <is>
          <t>EEA + Cembureau</t>
        </is>
      </c>
      <c r="I292" s="34" t="inlineStr">
        <is>
          <t>esabcc-i4-cement-ghg-intensity</t>
        </is>
      </c>
    </row>
    <row r="293" ht="14" customHeight="1">
      <c r="A293" s="22" t="inlineStr">
        <is>
          <t>I4 (cement)</t>
        </is>
      </c>
      <c r="B293" s="22" t="inlineStr">
        <is>
          <t>GHG intensity of EU cement production</t>
        </is>
      </c>
      <c r="C293" s="22" t="inlineStr">
        <is>
          <t>Industry</t>
        </is>
      </c>
      <c r="D293" s="22" t="inlineStr">
        <is>
          <t>t CO₂eq/t</t>
        </is>
      </c>
      <c r="E293" s="65" t="n">
        <v>2009</v>
      </c>
      <c r="F293" s="66" t="n">
        <v>0.613</v>
      </c>
      <c r="G293" s="67" t="inlineStr">
        <is>
          <t>In the 2024 report</t>
        </is>
      </c>
      <c r="H293" s="22" t="inlineStr">
        <is>
          <t>EEA + Cembureau</t>
        </is>
      </c>
      <c r="I293" s="35" t="inlineStr">
        <is>
          <t>esabcc-i4-cement-ghg-intensity</t>
        </is>
      </c>
    </row>
    <row r="294" ht="14" customHeight="1">
      <c r="A294" s="15" t="inlineStr">
        <is>
          <t>I4 (cement)</t>
        </is>
      </c>
      <c r="B294" s="15" t="inlineStr">
        <is>
          <t>GHG intensity of EU cement production</t>
        </is>
      </c>
      <c r="C294" s="15" t="inlineStr">
        <is>
          <t>Industry</t>
        </is>
      </c>
      <c r="D294" s="15" t="inlineStr">
        <is>
          <t>t CO₂eq/t</t>
        </is>
      </c>
      <c r="E294" s="63" t="n">
        <v>2010</v>
      </c>
      <c r="F294" s="64" t="n">
        <v>0.6429</v>
      </c>
      <c r="G294" s="14" t="inlineStr">
        <is>
          <t>In the 2024 report</t>
        </is>
      </c>
      <c r="H294" s="15" t="inlineStr">
        <is>
          <t>EEA + Cembureau</t>
        </is>
      </c>
      <c r="I294" s="34" t="inlineStr">
        <is>
          <t>esabcc-i4-cement-ghg-intensity</t>
        </is>
      </c>
    </row>
    <row r="295" ht="14" customHeight="1">
      <c r="A295" s="22" t="inlineStr">
        <is>
          <t>I4 (cement)</t>
        </is>
      </c>
      <c r="B295" s="22" t="inlineStr">
        <is>
          <t>GHG intensity of EU cement production</t>
        </is>
      </c>
      <c r="C295" s="22" t="inlineStr">
        <is>
          <t>Industry</t>
        </is>
      </c>
      <c r="D295" s="22" t="inlineStr">
        <is>
          <t>t CO₂eq/t</t>
        </is>
      </c>
      <c r="E295" s="65" t="n">
        <v>2011</v>
      </c>
      <c r="F295" s="66" t="n">
        <v>0.6248</v>
      </c>
      <c r="G295" s="67" t="inlineStr">
        <is>
          <t>In the 2024 report</t>
        </is>
      </c>
      <c r="H295" s="22" t="inlineStr">
        <is>
          <t>EEA + Cembureau</t>
        </is>
      </c>
      <c r="I295" s="35" t="inlineStr">
        <is>
          <t>esabcc-i4-cement-ghg-intensity</t>
        </is>
      </c>
    </row>
    <row r="296" ht="14" customHeight="1">
      <c r="A296" s="15" t="inlineStr">
        <is>
          <t>I4 (cement)</t>
        </is>
      </c>
      <c r="B296" s="15" t="inlineStr">
        <is>
          <t>GHG intensity of EU cement production</t>
        </is>
      </c>
      <c r="C296" s="15" t="inlineStr">
        <is>
          <t>Industry</t>
        </is>
      </c>
      <c r="D296" s="15" t="inlineStr">
        <is>
          <t>t CO₂eq/t</t>
        </is>
      </c>
      <c r="E296" s="63" t="n">
        <v>2012</v>
      </c>
      <c r="F296" s="64" t="n">
        <v>0.6673</v>
      </c>
      <c r="G296" s="14" t="inlineStr">
        <is>
          <t>In the 2024 report</t>
        </is>
      </c>
      <c r="H296" s="15" t="inlineStr">
        <is>
          <t>EEA + Cembureau</t>
        </is>
      </c>
      <c r="I296" s="34" t="inlineStr">
        <is>
          <t>esabcc-i4-cement-ghg-intensity</t>
        </is>
      </c>
    </row>
    <row r="297" ht="14" customHeight="1">
      <c r="A297" s="22" t="inlineStr">
        <is>
          <t>I4 (cement)</t>
        </is>
      </c>
      <c r="B297" s="22" t="inlineStr">
        <is>
          <t>GHG intensity of EU cement production</t>
        </is>
      </c>
      <c r="C297" s="22" t="inlineStr">
        <is>
          <t>Industry</t>
        </is>
      </c>
      <c r="D297" s="22" t="inlineStr">
        <is>
          <t>t CO₂eq/t</t>
        </is>
      </c>
      <c r="E297" s="65" t="n">
        <v>2013</v>
      </c>
      <c r="F297" s="66" t="n">
        <v>0.674</v>
      </c>
      <c r="G297" s="67" t="inlineStr">
        <is>
          <t>In the 2024 report</t>
        </is>
      </c>
      <c r="H297" s="22" t="inlineStr">
        <is>
          <t>EEA + Cembureau</t>
        </is>
      </c>
      <c r="I297" s="35" t="inlineStr">
        <is>
          <t>esabcc-i4-cement-ghg-intensity</t>
        </is>
      </c>
    </row>
    <row r="298" ht="14" customHeight="1">
      <c r="A298" s="15" t="inlineStr">
        <is>
          <t>I4 (cement)</t>
        </is>
      </c>
      <c r="B298" s="15" t="inlineStr">
        <is>
          <t>GHG intensity of EU cement production</t>
        </is>
      </c>
      <c r="C298" s="15" t="inlineStr">
        <is>
          <t>Industry</t>
        </is>
      </c>
      <c r="D298" s="15" t="inlineStr">
        <is>
          <t>t CO₂eq/t</t>
        </is>
      </c>
      <c r="E298" s="63" t="n">
        <v>2014</v>
      </c>
      <c r="F298" s="64" t="n">
        <v>0.7029</v>
      </c>
      <c r="G298" s="14" t="inlineStr">
        <is>
          <t>In the 2024 report</t>
        </is>
      </c>
      <c r="H298" s="15" t="inlineStr">
        <is>
          <t>EEA + Cembureau</t>
        </is>
      </c>
      <c r="I298" s="34" t="inlineStr">
        <is>
          <t>esabcc-i4-cement-ghg-intensity</t>
        </is>
      </c>
    </row>
    <row r="299" ht="14" customHeight="1">
      <c r="A299" s="22" t="inlineStr">
        <is>
          <t>I4 (cement)</t>
        </is>
      </c>
      <c r="B299" s="22" t="inlineStr">
        <is>
          <t>GHG intensity of EU cement production</t>
        </is>
      </c>
      <c r="C299" s="22" t="inlineStr">
        <is>
          <t>Industry</t>
        </is>
      </c>
      <c r="D299" s="22" t="inlineStr">
        <is>
          <t>t CO₂eq/t</t>
        </is>
      </c>
      <c r="E299" s="65" t="n">
        <v>2015</v>
      </c>
      <c r="F299" s="66" t="n">
        <v>0.6895</v>
      </c>
      <c r="G299" s="67" t="inlineStr">
        <is>
          <t>In the 2024 report</t>
        </is>
      </c>
      <c r="H299" s="22" t="inlineStr">
        <is>
          <t>EEA + Cembureau</t>
        </is>
      </c>
      <c r="I299" s="35" t="inlineStr">
        <is>
          <t>esabcc-i4-cement-ghg-intensity</t>
        </is>
      </c>
    </row>
    <row r="300" ht="14" customHeight="1">
      <c r="A300" s="15" t="inlineStr">
        <is>
          <t>I4 (cement)</t>
        </is>
      </c>
      <c r="B300" s="15" t="inlineStr">
        <is>
          <t>GHG intensity of EU cement production</t>
        </is>
      </c>
      <c r="C300" s="15" t="inlineStr">
        <is>
          <t>Industry</t>
        </is>
      </c>
      <c r="D300" s="15" t="inlineStr">
        <is>
          <t>t CO₂eq/t</t>
        </is>
      </c>
      <c r="E300" s="63" t="n">
        <v>2016</v>
      </c>
      <c r="F300" s="64" t="n">
        <v>0.6825</v>
      </c>
      <c r="G300" s="14" t="inlineStr">
        <is>
          <t>In the 2024 report</t>
        </is>
      </c>
      <c r="H300" s="15" t="inlineStr">
        <is>
          <t>EEA + Cembureau</t>
        </is>
      </c>
      <c r="I300" s="34" t="inlineStr">
        <is>
          <t>esabcc-i4-cement-ghg-intensity</t>
        </is>
      </c>
    </row>
    <row r="301" ht="14" customHeight="1">
      <c r="A301" s="22" t="inlineStr">
        <is>
          <t>I4 (cement)</t>
        </is>
      </c>
      <c r="B301" s="22" t="inlineStr">
        <is>
          <t>GHG intensity of EU cement production</t>
        </is>
      </c>
      <c r="C301" s="22" t="inlineStr">
        <is>
          <t>Industry</t>
        </is>
      </c>
      <c r="D301" s="22" t="inlineStr">
        <is>
          <t>t CO₂eq/t</t>
        </is>
      </c>
      <c r="E301" s="65" t="n">
        <v>2017</v>
      </c>
      <c r="F301" s="66" t="n">
        <v>0.6751</v>
      </c>
      <c r="G301" s="67" t="inlineStr">
        <is>
          <t>In the 2024 report</t>
        </is>
      </c>
      <c r="H301" s="22" t="inlineStr">
        <is>
          <t>EEA + Cembureau</t>
        </is>
      </c>
      <c r="I301" s="35" t="inlineStr">
        <is>
          <t>esabcc-i4-cement-ghg-intensity</t>
        </is>
      </c>
    </row>
    <row r="302" ht="14" customHeight="1">
      <c r="A302" s="15" t="inlineStr">
        <is>
          <t>I4 (cement)</t>
        </is>
      </c>
      <c r="B302" s="15" t="inlineStr">
        <is>
          <t>GHG intensity of EU cement production</t>
        </is>
      </c>
      <c r="C302" s="15" t="inlineStr">
        <is>
          <t>Industry</t>
        </is>
      </c>
      <c r="D302" s="15" t="inlineStr">
        <is>
          <t>t CO₂eq/t</t>
        </is>
      </c>
      <c r="E302" s="63" t="n">
        <v>2018</v>
      </c>
      <c r="F302" s="64" t="n">
        <v>0.6324</v>
      </c>
      <c r="G302" s="14" t="inlineStr">
        <is>
          <t>In the 2024 report</t>
        </is>
      </c>
      <c r="H302" s="15" t="inlineStr">
        <is>
          <t>EEA + Cembureau</t>
        </is>
      </c>
      <c r="I302" s="34" t="inlineStr">
        <is>
          <t>esabcc-i4-cement-ghg-intensity</t>
        </is>
      </c>
    </row>
    <row r="303" ht="14" customHeight="1">
      <c r="A303" s="22" t="inlineStr">
        <is>
          <t>I4 (cement)</t>
        </is>
      </c>
      <c r="B303" s="22" t="inlineStr">
        <is>
          <t>GHG intensity of EU cement production</t>
        </is>
      </c>
      <c r="C303" s="22" t="inlineStr">
        <is>
          <t>Industry</t>
        </is>
      </c>
      <c r="D303" s="22" t="inlineStr">
        <is>
          <t>t CO₂eq/t</t>
        </is>
      </c>
      <c r="E303" s="65" t="n">
        <v>2019</v>
      </c>
      <c r="F303" s="66" t="n">
        <v>0.6535</v>
      </c>
      <c r="G303" s="67" t="inlineStr">
        <is>
          <t>In the 2024 report</t>
        </is>
      </c>
      <c r="H303" s="22" t="inlineStr">
        <is>
          <t>EEA + Cembureau</t>
        </is>
      </c>
      <c r="I303" s="35" t="inlineStr">
        <is>
          <t>esabcc-i4-cement-ghg-intensity</t>
        </is>
      </c>
    </row>
    <row r="304" ht="14" customHeight="1">
      <c r="A304" s="15" t="inlineStr">
        <is>
          <t>I4 (cement)</t>
        </is>
      </c>
      <c r="B304" s="15" t="inlineStr">
        <is>
          <t>GHG intensity of EU cement production</t>
        </is>
      </c>
      <c r="C304" s="15" t="inlineStr">
        <is>
          <t>Industry</t>
        </is>
      </c>
      <c r="D304" s="15" t="inlineStr">
        <is>
          <t>t CO₂eq/t</t>
        </is>
      </c>
      <c r="E304" s="63" t="n">
        <v>2020</v>
      </c>
      <c r="F304" s="64" t="n">
        <v>0.6237</v>
      </c>
      <c r="G304" s="14" t="inlineStr">
        <is>
          <t>In the 2024 report</t>
        </is>
      </c>
      <c r="H304" s="15" t="inlineStr">
        <is>
          <t>EEA + Cembureau</t>
        </is>
      </c>
      <c r="I304" s="34" t="inlineStr">
        <is>
          <t>esabcc-i4-cement-ghg-intensity</t>
        </is>
      </c>
    </row>
    <row r="305" ht="14" customHeight="1">
      <c r="A305" s="22" t="inlineStr">
        <is>
          <t>I4 (cement)</t>
        </is>
      </c>
      <c r="B305" s="22" t="inlineStr">
        <is>
          <t>GHG intensity of EU cement production</t>
        </is>
      </c>
      <c r="C305" s="22" t="inlineStr">
        <is>
          <t>Industry</t>
        </is>
      </c>
      <c r="D305" s="22" t="inlineStr">
        <is>
          <t>t CO₂eq/t</t>
        </is>
      </c>
      <c r="E305" s="65" t="n">
        <v>2021</v>
      </c>
      <c r="F305" s="66" t="n">
        <v>0.6038</v>
      </c>
      <c r="G305" s="67" t="inlineStr">
        <is>
          <t>In the 2024 report</t>
        </is>
      </c>
      <c r="H305" s="22" t="inlineStr">
        <is>
          <t>EEA + Cembureau</t>
        </is>
      </c>
      <c r="I305" s="35" t="inlineStr">
        <is>
          <t>esabcc-i4-cement-ghg-intensity</t>
        </is>
      </c>
    </row>
    <row r="306" ht="14" customHeight="1">
      <c r="A306" s="15" t="inlineStr">
        <is>
          <t>I4 (chemicals)</t>
        </is>
      </c>
      <c r="B306" s="15" t="inlineStr">
        <is>
          <t>GHG intensity of EU base organic chemicals</t>
        </is>
      </c>
      <c r="C306" s="15" t="inlineStr">
        <is>
          <t>Industry</t>
        </is>
      </c>
      <c r="D306" s="15" t="inlineStr">
        <is>
          <t>t CO₂eq/t</t>
        </is>
      </c>
      <c r="E306" s="63" t="n">
        <v>2013</v>
      </c>
      <c r="F306" s="64" t="n">
        <v>0.8043</v>
      </c>
      <c r="G306" s="14" t="inlineStr">
        <is>
          <t>In the 2024 report</t>
        </is>
      </c>
      <c r="H306" s="15" t="inlineStr">
        <is>
          <t>EEA + Eurostat (DS-056120)</t>
        </is>
      </c>
      <c r="I306" s="34" t="inlineStr">
        <is>
          <t>esabcc-i4-chemicals-ghg-intensity</t>
        </is>
      </c>
    </row>
    <row r="307" ht="14" customHeight="1">
      <c r="A307" s="22" t="inlineStr">
        <is>
          <t>I4 (chemicals)</t>
        </is>
      </c>
      <c r="B307" s="22" t="inlineStr">
        <is>
          <t>GHG intensity of EU base organic chemicals</t>
        </is>
      </c>
      <c r="C307" s="22" t="inlineStr">
        <is>
          <t>Industry</t>
        </is>
      </c>
      <c r="D307" s="22" t="inlineStr">
        <is>
          <t>t CO₂eq/t</t>
        </is>
      </c>
      <c r="E307" s="65" t="n">
        <v>2014</v>
      </c>
      <c r="F307" s="66" t="n">
        <v>0.7313</v>
      </c>
      <c r="G307" s="67" t="inlineStr">
        <is>
          <t>In the 2024 report</t>
        </is>
      </c>
      <c r="H307" s="22" t="inlineStr">
        <is>
          <t>EEA + Eurostat (DS-056120)</t>
        </is>
      </c>
      <c r="I307" s="35" t="inlineStr">
        <is>
          <t>esabcc-i4-chemicals-ghg-intensity</t>
        </is>
      </c>
    </row>
    <row r="308" ht="14" customHeight="1">
      <c r="A308" s="15" t="inlineStr">
        <is>
          <t>I4 (chemicals)</t>
        </is>
      </c>
      <c r="B308" s="15" t="inlineStr">
        <is>
          <t>GHG intensity of EU base organic chemicals</t>
        </is>
      </c>
      <c r="C308" s="15" t="inlineStr">
        <is>
          <t>Industry</t>
        </is>
      </c>
      <c r="D308" s="15" t="inlineStr">
        <is>
          <t>t CO₂eq/t</t>
        </is>
      </c>
      <c r="E308" s="63" t="n">
        <v>2015</v>
      </c>
      <c r="F308" s="64" t="n">
        <v>0.7874</v>
      </c>
      <c r="G308" s="14" t="inlineStr">
        <is>
          <t>In the 2024 report</t>
        </is>
      </c>
      <c r="H308" s="15" t="inlineStr">
        <is>
          <t>EEA + Eurostat (DS-056120)</t>
        </is>
      </c>
      <c r="I308" s="34" t="inlineStr">
        <is>
          <t>esabcc-i4-chemicals-ghg-intensity</t>
        </is>
      </c>
    </row>
    <row r="309" ht="14" customHeight="1">
      <c r="A309" s="22" t="inlineStr">
        <is>
          <t>I4 (chemicals)</t>
        </is>
      </c>
      <c r="B309" s="22" t="inlineStr">
        <is>
          <t>GHG intensity of EU base organic chemicals</t>
        </is>
      </c>
      <c r="C309" s="22" t="inlineStr">
        <is>
          <t>Industry</t>
        </is>
      </c>
      <c r="D309" s="22" t="inlineStr">
        <is>
          <t>t CO₂eq/t</t>
        </is>
      </c>
      <c r="E309" s="65" t="n">
        <v>2016</v>
      </c>
      <c r="F309" s="66" t="n">
        <v>0.7514</v>
      </c>
      <c r="G309" s="67" t="inlineStr">
        <is>
          <t>In the 2024 report</t>
        </is>
      </c>
      <c r="H309" s="22" t="inlineStr">
        <is>
          <t>EEA + Eurostat (DS-056120)</t>
        </is>
      </c>
      <c r="I309" s="35" t="inlineStr">
        <is>
          <t>esabcc-i4-chemicals-ghg-intensity</t>
        </is>
      </c>
    </row>
    <row r="310" ht="14" customHeight="1">
      <c r="A310" s="15" t="inlineStr">
        <is>
          <t>I4 (chemicals)</t>
        </is>
      </c>
      <c r="B310" s="15" t="inlineStr">
        <is>
          <t>GHG intensity of EU base organic chemicals</t>
        </is>
      </c>
      <c r="C310" s="15" t="inlineStr">
        <is>
          <t>Industry</t>
        </is>
      </c>
      <c r="D310" s="15" t="inlineStr">
        <is>
          <t>t CO₂eq/t</t>
        </is>
      </c>
      <c r="E310" s="63" t="n">
        <v>2017</v>
      </c>
      <c r="F310" s="64" t="n">
        <v>0.7791</v>
      </c>
      <c r="G310" s="14" t="inlineStr">
        <is>
          <t>In the 2024 report</t>
        </is>
      </c>
      <c r="H310" s="15" t="inlineStr">
        <is>
          <t>EEA + Eurostat (DS-056120)</t>
        </is>
      </c>
      <c r="I310" s="34" t="inlineStr">
        <is>
          <t>esabcc-i4-chemicals-ghg-intensity</t>
        </is>
      </c>
    </row>
    <row r="311" ht="14" customHeight="1">
      <c r="A311" s="22" t="inlineStr">
        <is>
          <t>I4 (chemicals)</t>
        </is>
      </c>
      <c r="B311" s="22" t="inlineStr">
        <is>
          <t>GHG intensity of EU base organic chemicals</t>
        </is>
      </c>
      <c r="C311" s="22" t="inlineStr">
        <is>
          <t>Industry</t>
        </is>
      </c>
      <c r="D311" s="22" t="inlineStr">
        <is>
          <t>t CO₂eq/t</t>
        </is>
      </c>
      <c r="E311" s="65" t="n">
        <v>2018</v>
      </c>
      <c r="F311" s="66" t="n">
        <v>0.7905</v>
      </c>
      <c r="G311" s="67" t="inlineStr">
        <is>
          <t>In the 2024 report</t>
        </is>
      </c>
      <c r="H311" s="22" t="inlineStr">
        <is>
          <t>EEA + Eurostat (DS-056120)</t>
        </is>
      </c>
      <c r="I311" s="35" t="inlineStr">
        <is>
          <t>esabcc-i4-chemicals-ghg-intensity</t>
        </is>
      </c>
    </row>
    <row r="312" ht="14" customHeight="1">
      <c r="A312" s="15" t="inlineStr">
        <is>
          <t>I4 (chemicals)</t>
        </is>
      </c>
      <c r="B312" s="15" t="inlineStr">
        <is>
          <t>GHG intensity of EU base organic chemicals</t>
        </is>
      </c>
      <c r="C312" s="15" t="inlineStr">
        <is>
          <t>Industry</t>
        </is>
      </c>
      <c r="D312" s="15" t="inlineStr">
        <is>
          <t>t CO₂eq/t</t>
        </is>
      </c>
      <c r="E312" s="63" t="n">
        <v>2019</v>
      </c>
      <c r="F312" s="64" t="n">
        <v>0.7683</v>
      </c>
      <c r="G312" s="14" t="inlineStr">
        <is>
          <t>In the 2024 report</t>
        </is>
      </c>
      <c r="H312" s="15" t="inlineStr">
        <is>
          <t>EEA + Eurostat (DS-056120)</t>
        </is>
      </c>
      <c r="I312" s="34" t="inlineStr">
        <is>
          <t>esabcc-i4-chemicals-ghg-intensity</t>
        </is>
      </c>
    </row>
    <row r="313" ht="14" customHeight="1">
      <c r="A313" s="22" t="inlineStr">
        <is>
          <t>I4 (chemicals)</t>
        </is>
      </c>
      <c r="B313" s="22" t="inlineStr">
        <is>
          <t>GHG intensity of EU base organic chemicals</t>
        </is>
      </c>
      <c r="C313" s="22" t="inlineStr">
        <is>
          <t>Industry</t>
        </is>
      </c>
      <c r="D313" s="22" t="inlineStr">
        <is>
          <t>t CO₂eq/t</t>
        </is>
      </c>
      <c r="E313" s="65" t="n">
        <v>2020</v>
      </c>
      <c r="F313" s="66" t="n">
        <v>0.788</v>
      </c>
      <c r="G313" s="67" t="inlineStr">
        <is>
          <t>In the 2024 report</t>
        </is>
      </c>
      <c r="H313" s="22" t="inlineStr">
        <is>
          <t>EEA + Eurostat (DS-056120)</t>
        </is>
      </c>
      <c r="I313" s="35" t="inlineStr">
        <is>
          <t>esabcc-i4-chemicals-ghg-intensity</t>
        </is>
      </c>
    </row>
    <row r="314" ht="14" customHeight="1">
      <c r="A314" s="15" t="inlineStr">
        <is>
          <t>I4 (chemicals)</t>
        </is>
      </c>
      <c r="B314" s="15" t="inlineStr">
        <is>
          <t>GHG intensity of EU base organic chemicals</t>
        </is>
      </c>
      <c r="C314" s="15" t="inlineStr">
        <is>
          <t>Industry</t>
        </is>
      </c>
      <c r="D314" s="15" t="inlineStr">
        <is>
          <t>t CO₂eq/t</t>
        </is>
      </c>
      <c r="E314" s="63" t="n">
        <v>2021</v>
      </c>
      <c r="F314" s="64" t="n">
        <v>0.8663999999999999</v>
      </c>
      <c r="G314" s="14" t="inlineStr">
        <is>
          <t>In the 2024 report</t>
        </is>
      </c>
      <c r="H314" s="15" t="inlineStr">
        <is>
          <t>EEA + Eurostat (DS-056120)</t>
        </is>
      </c>
      <c r="I314" s="34" t="inlineStr">
        <is>
          <t>esabcc-i4-chemicals-ghg-intensity</t>
        </is>
      </c>
    </row>
    <row r="315" ht="14" customHeight="1">
      <c r="A315" s="22" t="inlineStr">
        <is>
          <t>I4 (chemicals)</t>
        </is>
      </c>
      <c r="B315" s="22" t="inlineStr">
        <is>
          <t>GHG intensity of EU base organic chemicals</t>
        </is>
      </c>
      <c r="C315" s="22" t="inlineStr">
        <is>
          <t>Industry</t>
        </is>
      </c>
      <c r="D315" s="22" t="inlineStr">
        <is>
          <t>t CO₂eq/t</t>
        </is>
      </c>
      <c r="E315" s="65" t="n">
        <v>2022</v>
      </c>
      <c r="F315" s="66" t="n">
        <v>0.767</v>
      </c>
      <c r="G315" s="67" t="inlineStr">
        <is>
          <t>In the 2024 report</t>
        </is>
      </c>
      <c r="H315" s="22" t="inlineStr">
        <is>
          <t>EEA + Eurostat (DS-056120)</t>
        </is>
      </c>
      <c r="I315" s="35" t="inlineStr">
        <is>
          <t>esabcc-i4-chemicals-ghg-intensity</t>
        </is>
      </c>
    </row>
    <row r="316" ht="14" customHeight="1">
      <c r="A316" s="15" t="inlineStr">
        <is>
          <t>I5</t>
        </is>
      </c>
      <c r="B316" s="15" t="inlineStr">
        <is>
          <t>Industrial final energy consumption (EU)</t>
        </is>
      </c>
      <c r="C316" s="15" t="inlineStr">
        <is>
          <t>Industry</t>
        </is>
      </c>
      <c r="D316" s="15" t="inlineStr">
        <is>
          <t>TWh</t>
        </is>
      </c>
      <c r="E316" s="63" t="n">
        <v>2005</v>
      </c>
      <c r="F316" s="64" t="n">
        <v>3199.7</v>
      </c>
      <c r="G316" s="14" t="inlineStr">
        <is>
          <t>In the 2024 report</t>
        </is>
      </c>
      <c r="H316" s="15" t="inlineStr">
        <is>
          <t>Eurostat (nrg_bal_c)</t>
        </is>
      </c>
      <c r="I316" s="34" t="inlineStr">
        <is>
          <t>esabcc-i5-industry-fec</t>
        </is>
      </c>
    </row>
    <row r="317" ht="14" customHeight="1">
      <c r="A317" s="22" t="inlineStr">
        <is>
          <t>I5</t>
        </is>
      </c>
      <c r="B317" s="22" t="inlineStr">
        <is>
          <t>Industrial final energy consumption (EU)</t>
        </is>
      </c>
      <c r="C317" s="22" t="inlineStr">
        <is>
          <t>Industry</t>
        </is>
      </c>
      <c r="D317" s="22" t="inlineStr">
        <is>
          <t>TWh</t>
        </is>
      </c>
      <c r="E317" s="65" t="n">
        <v>2006</v>
      </c>
      <c r="F317" s="66" t="n">
        <v>3135.2</v>
      </c>
      <c r="G317" s="67" t="inlineStr">
        <is>
          <t>In the 2024 report</t>
        </is>
      </c>
      <c r="H317" s="22" t="inlineStr">
        <is>
          <t>Eurostat (nrg_bal_c)</t>
        </is>
      </c>
      <c r="I317" s="35" t="inlineStr">
        <is>
          <t>esabcc-i5-industry-fec</t>
        </is>
      </c>
    </row>
    <row r="318" ht="14" customHeight="1">
      <c r="A318" s="15" t="inlineStr">
        <is>
          <t>I5</t>
        </is>
      </c>
      <c r="B318" s="15" t="inlineStr">
        <is>
          <t>Industrial final energy consumption (EU)</t>
        </is>
      </c>
      <c r="C318" s="15" t="inlineStr">
        <is>
          <t>Industry</t>
        </is>
      </c>
      <c r="D318" s="15" t="inlineStr">
        <is>
          <t>TWh</t>
        </is>
      </c>
      <c r="E318" s="63" t="n">
        <v>2007</v>
      </c>
      <c r="F318" s="64" t="n">
        <v>3189.8</v>
      </c>
      <c r="G318" s="14" t="inlineStr">
        <is>
          <t>In the 2024 report</t>
        </is>
      </c>
      <c r="H318" s="15" t="inlineStr">
        <is>
          <t>Eurostat (nrg_bal_c)</t>
        </is>
      </c>
      <c r="I318" s="34" t="inlineStr">
        <is>
          <t>esabcc-i5-industry-fec</t>
        </is>
      </c>
    </row>
    <row r="319" ht="14" customHeight="1">
      <c r="A319" s="22" t="inlineStr">
        <is>
          <t>I5</t>
        </is>
      </c>
      <c r="B319" s="22" t="inlineStr">
        <is>
          <t>Industrial final energy consumption (EU)</t>
        </is>
      </c>
      <c r="C319" s="22" t="inlineStr">
        <is>
          <t>Industry</t>
        </is>
      </c>
      <c r="D319" s="22" t="inlineStr">
        <is>
          <t>TWh</t>
        </is>
      </c>
      <c r="E319" s="65" t="n">
        <v>2008</v>
      </c>
      <c r="F319" s="66" t="n">
        <v>3083.2</v>
      </c>
      <c r="G319" s="67" t="inlineStr">
        <is>
          <t>In the 2024 report</t>
        </is>
      </c>
      <c r="H319" s="22" t="inlineStr">
        <is>
          <t>Eurostat (nrg_bal_c)</t>
        </is>
      </c>
      <c r="I319" s="35" t="inlineStr">
        <is>
          <t>esabcc-i5-industry-fec</t>
        </is>
      </c>
    </row>
    <row r="320" ht="14" customHeight="1">
      <c r="A320" s="15" t="inlineStr">
        <is>
          <t>I5</t>
        </is>
      </c>
      <c r="B320" s="15" t="inlineStr">
        <is>
          <t>Industrial final energy consumption (EU)</t>
        </is>
      </c>
      <c r="C320" s="15" t="inlineStr">
        <is>
          <t>Industry</t>
        </is>
      </c>
      <c r="D320" s="15" t="inlineStr">
        <is>
          <t>TWh</t>
        </is>
      </c>
      <c r="E320" s="63" t="n">
        <v>2009</v>
      </c>
      <c r="F320" s="64" t="n">
        <v>2665.4</v>
      </c>
      <c r="G320" s="14" t="inlineStr">
        <is>
          <t>In the 2024 report</t>
        </is>
      </c>
      <c r="H320" s="15" t="inlineStr">
        <is>
          <t>Eurostat (nrg_bal_c)</t>
        </is>
      </c>
      <c r="I320" s="34" t="inlineStr">
        <is>
          <t>esabcc-i5-industry-fec</t>
        </is>
      </c>
    </row>
    <row r="321" ht="14" customHeight="1">
      <c r="A321" s="22" t="inlineStr">
        <is>
          <t>I5</t>
        </is>
      </c>
      <c r="B321" s="22" t="inlineStr">
        <is>
          <t>Industrial final energy consumption (EU)</t>
        </is>
      </c>
      <c r="C321" s="22" t="inlineStr">
        <is>
          <t>Industry</t>
        </is>
      </c>
      <c r="D321" s="22" t="inlineStr">
        <is>
          <t>TWh</t>
        </is>
      </c>
      <c r="E321" s="65" t="n">
        <v>2010</v>
      </c>
      <c r="F321" s="66" t="n">
        <v>2836.2</v>
      </c>
      <c r="G321" s="67" t="inlineStr">
        <is>
          <t>In the 2024 report</t>
        </is>
      </c>
      <c r="H321" s="22" t="inlineStr">
        <is>
          <t>Eurostat (nrg_bal_c)</t>
        </is>
      </c>
      <c r="I321" s="35" t="inlineStr">
        <is>
          <t>esabcc-i5-industry-fec</t>
        </is>
      </c>
    </row>
    <row r="322" ht="14" customHeight="1">
      <c r="A322" s="15" t="inlineStr">
        <is>
          <t>I5</t>
        </is>
      </c>
      <c r="B322" s="15" t="inlineStr">
        <is>
          <t>Industrial final energy consumption (EU)</t>
        </is>
      </c>
      <c r="C322" s="15" t="inlineStr">
        <is>
          <t>Industry</t>
        </is>
      </c>
      <c r="D322" s="15" t="inlineStr">
        <is>
          <t>TWh</t>
        </is>
      </c>
      <c r="E322" s="63" t="n">
        <v>2011</v>
      </c>
      <c r="F322" s="64" t="n">
        <v>2841.2</v>
      </c>
      <c r="G322" s="14" t="inlineStr">
        <is>
          <t>In the 2024 report</t>
        </is>
      </c>
      <c r="H322" s="15" t="inlineStr">
        <is>
          <t>Eurostat (nrg_bal_c)</t>
        </is>
      </c>
      <c r="I322" s="34" t="inlineStr">
        <is>
          <t>esabcc-i5-industry-fec</t>
        </is>
      </c>
    </row>
    <row r="323" ht="14" customHeight="1">
      <c r="A323" s="22" t="inlineStr">
        <is>
          <t>I5</t>
        </is>
      </c>
      <c r="B323" s="22" t="inlineStr">
        <is>
          <t>Industrial final energy consumption (EU)</t>
        </is>
      </c>
      <c r="C323" s="22" t="inlineStr">
        <is>
          <t>Industry</t>
        </is>
      </c>
      <c r="D323" s="22" t="inlineStr">
        <is>
          <t>TWh</t>
        </is>
      </c>
      <c r="E323" s="65" t="n">
        <v>2012</v>
      </c>
      <c r="F323" s="66" t="n">
        <v>2787.7</v>
      </c>
      <c r="G323" s="67" t="inlineStr">
        <is>
          <t>In the 2024 report</t>
        </is>
      </c>
      <c r="H323" s="22" t="inlineStr">
        <is>
          <t>Eurostat (nrg_bal_c)</t>
        </is>
      </c>
      <c r="I323" s="35" t="inlineStr">
        <is>
          <t>esabcc-i5-industry-fec</t>
        </is>
      </c>
    </row>
    <row r="324" ht="14" customHeight="1">
      <c r="A324" s="15" t="inlineStr">
        <is>
          <t>I5</t>
        </is>
      </c>
      <c r="B324" s="15" t="inlineStr">
        <is>
          <t>Industrial final energy consumption (EU)</t>
        </is>
      </c>
      <c r="C324" s="15" t="inlineStr">
        <is>
          <t>Industry</t>
        </is>
      </c>
      <c r="D324" s="15" t="inlineStr">
        <is>
          <t>TWh</t>
        </is>
      </c>
      <c r="E324" s="63" t="n">
        <v>2013</v>
      </c>
      <c r="F324" s="64" t="n">
        <v>2753.4</v>
      </c>
      <c r="G324" s="14" t="inlineStr">
        <is>
          <t>In the 2024 report</t>
        </is>
      </c>
      <c r="H324" s="15" t="inlineStr">
        <is>
          <t>Eurostat (nrg_bal_c)</t>
        </is>
      </c>
      <c r="I324" s="34" t="inlineStr">
        <is>
          <t>esabcc-i5-industry-fec</t>
        </is>
      </c>
    </row>
    <row r="325" ht="14" customHeight="1">
      <c r="A325" s="22" t="inlineStr">
        <is>
          <t>I5</t>
        </is>
      </c>
      <c r="B325" s="22" t="inlineStr">
        <is>
          <t>Industrial final energy consumption (EU)</t>
        </is>
      </c>
      <c r="C325" s="22" t="inlineStr">
        <is>
          <t>Industry</t>
        </is>
      </c>
      <c r="D325" s="22" t="inlineStr">
        <is>
          <t>TWh</t>
        </is>
      </c>
      <c r="E325" s="65" t="n">
        <v>2014</v>
      </c>
      <c r="F325" s="66" t="n">
        <v>2713.3</v>
      </c>
      <c r="G325" s="67" t="inlineStr">
        <is>
          <t>In the 2024 report</t>
        </is>
      </c>
      <c r="H325" s="22" t="inlineStr">
        <is>
          <t>Eurostat (nrg_bal_c)</t>
        </is>
      </c>
      <c r="I325" s="35" t="inlineStr">
        <is>
          <t>esabcc-i5-industry-fec</t>
        </is>
      </c>
    </row>
    <row r="326" ht="14" customHeight="1">
      <c r="A326" s="15" t="inlineStr">
        <is>
          <t>I5</t>
        </is>
      </c>
      <c r="B326" s="15" t="inlineStr">
        <is>
          <t>Industrial final energy consumption (EU)</t>
        </is>
      </c>
      <c r="C326" s="15" t="inlineStr">
        <is>
          <t>Industry</t>
        </is>
      </c>
      <c r="D326" s="15" t="inlineStr">
        <is>
          <t>TWh</t>
        </is>
      </c>
      <c r="E326" s="63" t="n">
        <v>2015</v>
      </c>
      <c r="F326" s="64" t="n">
        <v>2715.7</v>
      </c>
      <c r="G326" s="14" t="inlineStr">
        <is>
          <t>In the 2024 report</t>
        </is>
      </c>
      <c r="H326" s="15" t="inlineStr">
        <is>
          <t>Eurostat (nrg_bal_c)</t>
        </is>
      </c>
      <c r="I326" s="34" t="inlineStr">
        <is>
          <t>esabcc-i5-industry-fec</t>
        </is>
      </c>
    </row>
    <row r="327" ht="14" customHeight="1">
      <c r="A327" s="22" t="inlineStr">
        <is>
          <t>I5</t>
        </is>
      </c>
      <c r="B327" s="22" t="inlineStr">
        <is>
          <t>Industrial final energy consumption (EU)</t>
        </is>
      </c>
      <c r="C327" s="22" t="inlineStr">
        <is>
          <t>Industry</t>
        </is>
      </c>
      <c r="D327" s="22" t="inlineStr">
        <is>
          <t>TWh</t>
        </is>
      </c>
      <c r="E327" s="65" t="n">
        <v>2016</v>
      </c>
      <c r="F327" s="66" t="n">
        <v>2765.6</v>
      </c>
      <c r="G327" s="67" t="inlineStr">
        <is>
          <t>In the 2024 report</t>
        </is>
      </c>
      <c r="H327" s="22" t="inlineStr">
        <is>
          <t>Eurostat (nrg_bal_c)</t>
        </is>
      </c>
      <c r="I327" s="35" t="inlineStr">
        <is>
          <t>esabcc-i5-industry-fec</t>
        </is>
      </c>
    </row>
    <row r="328" ht="14" customHeight="1">
      <c r="A328" s="15" t="inlineStr">
        <is>
          <t>I5</t>
        </is>
      </c>
      <c r="B328" s="15" t="inlineStr">
        <is>
          <t>Industrial final energy consumption (EU)</t>
        </is>
      </c>
      <c r="C328" s="15" t="inlineStr">
        <is>
          <t>Industry</t>
        </is>
      </c>
      <c r="D328" s="15" t="inlineStr">
        <is>
          <t>TWh</t>
        </is>
      </c>
      <c r="E328" s="63" t="n">
        <v>2017</v>
      </c>
      <c r="F328" s="64" t="n">
        <v>2791.9</v>
      </c>
      <c r="G328" s="14" t="inlineStr">
        <is>
          <t>In the 2024 report</t>
        </is>
      </c>
      <c r="H328" s="15" t="inlineStr">
        <is>
          <t>Eurostat (nrg_bal_c)</t>
        </is>
      </c>
      <c r="I328" s="34" t="inlineStr">
        <is>
          <t>esabcc-i5-industry-fec</t>
        </is>
      </c>
    </row>
    <row r="329" ht="14" customHeight="1">
      <c r="A329" s="22" t="inlineStr">
        <is>
          <t>I5</t>
        </is>
      </c>
      <c r="B329" s="22" t="inlineStr">
        <is>
          <t>Industrial final energy consumption (EU)</t>
        </is>
      </c>
      <c r="C329" s="22" t="inlineStr">
        <is>
          <t>Industry</t>
        </is>
      </c>
      <c r="D329" s="22" t="inlineStr">
        <is>
          <t>TWh</t>
        </is>
      </c>
      <c r="E329" s="65" t="n">
        <v>2018</v>
      </c>
      <c r="F329" s="66" t="n">
        <v>2819.9</v>
      </c>
      <c r="G329" s="67" t="inlineStr">
        <is>
          <t>In the 2024 report</t>
        </is>
      </c>
      <c r="H329" s="22" t="inlineStr">
        <is>
          <t>Eurostat (nrg_bal_c)</t>
        </is>
      </c>
      <c r="I329" s="35" t="inlineStr">
        <is>
          <t>esabcc-i5-industry-fec</t>
        </is>
      </c>
    </row>
    <row r="330" ht="14" customHeight="1">
      <c r="A330" s="15" t="inlineStr">
        <is>
          <t>I5</t>
        </is>
      </c>
      <c r="B330" s="15" t="inlineStr">
        <is>
          <t>Industrial final energy consumption (EU)</t>
        </is>
      </c>
      <c r="C330" s="15" t="inlineStr">
        <is>
          <t>Industry</t>
        </is>
      </c>
      <c r="D330" s="15" t="inlineStr">
        <is>
          <t>TWh</t>
        </is>
      </c>
      <c r="E330" s="63" t="n">
        <v>2019</v>
      </c>
      <c r="F330" s="64" t="n">
        <v>2782.4</v>
      </c>
      <c r="G330" s="14" t="inlineStr">
        <is>
          <t>In the 2024 report</t>
        </is>
      </c>
      <c r="H330" s="15" t="inlineStr">
        <is>
          <t>Eurostat (nrg_bal_c)</t>
        </is>
      </c>
      <c r="I330" s="34" t="inlineStr">
        <is>
          <t>esabcc-i5-industry-fec</t>
        </is>
      </c>
    </row>
    <row r="331" ht="14" customHeight="1">
      <c r="A331" s="22" t="inlineStr">
        <is>
          <t>I5</t>
        </is>
      </c>
      <c r="B331" s="22" t="inlineStr">
        <is>
          <t>Industrial final energy consumption (EU)</t>
        </is>
      </c>
      <c r="C331" s="22" t="inlineStr">
        <is>
          <t>Industry</t>
        </is>
      </c>
      <c r="D331" s="22" t="inlineStr">
        <is>
          <t>TWh</t>
        </is>
      </c>
      <c r="E331" s="65" t="n">
        <v>2020</v>
      </c>
      <c r="F331" s="66" t="n">
        <v>2685.6</v>
      </c>
      <c r="G331" s="67" t="inlineStr">
        <is>
          <t>In the 2024 report</t>
        </is>
      </c>
      <c r="H331" s="22" t="inlineStr">
        <is>
          <t>Eurostat (nrg_bal_c)</t>
        </is>
      </c>
      <c r="I331" s="35" t="inlineStr">
        <is>
          <t>esabcc-i5-industry-fec</t>
        </is>
      </c>
    </row>
    <row r="332" ht="14" customHeight="1">
      <c r="A332" s="15" t="inlineStr">
        <is>
          <t>I5</t>
        </is>
      </c>
      <c r="B332" s="15" t="inlineStr">
        <is>
          <t>Industrial final energy consumption (EU)</t>
        </is>
      </c>
      <c r="C332" s="15" t="inlineStr">
        <is>
          <t>Industry</t>
        </is>
      </c>
      <c r="D332" s="15" t="inlineStr">
        <is>
          <t>TWh</t>
        </is>
      </c>
      <c r="E332" s="63" t="n">
        <v>2021</v>
      </c>
      <c r="F332" s="64" t="n">
        <v>2795.2</v>
      </c>
      <c r="G332" s="14" t="inlineStr">
        <is>
          <t>In the 2024 report</t>
        </is>
      </c>
      <c r="H332" s="15" t="inlineStr">
        <is>
          <t>Eurostat (nrg_bal_c)</t>
        </is>
      </c>
      <c r="I332" s="34" t="inlineStr">
        <is>
          <t>esabcc-i5-industry-fec</t>
        </is>
      </c>
    </row>
    <row r="333" ht="14" customHeight="1">
      <c r="A333" s="22" t="inlineStr">
        <is>
          <t>I5</t>
        </is>
      </c>
      <c r="B333" s="22" t="inlineStr">
        <is>
          <t>Industrial final energy consumption (EU)</t>
        </is>
      </c>
      <c r="C333" s="22" t="inlineStr">
        <is>
          <t>Industry</t>
        </is>
      </c>
      <c r="D333" s="22" t="inlineStr">
        <is>
          <t>TWh</t>
        </is>
      </c>
      <c r="E333" s="65" t="n">
        <v>2022</v>
      </c>
      <c r="F333" s="66" t="n">
        <v>2638.9</v>
      </c>
      <c r="G333" s="69" t="inlineStr">
        <is>
          <t>Added since the report</t>
        </is>
      </c>
      <c r="H333" s="22" t="inlineStr">
        <is>
          <t>Eurostat (nrg_bal_c)</t>
        </is>
      </c>
      <c r="I333" s="35" t="inlineStr">
        <is>
          <t>esabcc-i5-industry-fec</t>
        </is>
      </c>
    </row>
    <row r="334" ht="14" customHeight="1">
      <c r="A334" s="15" t="inlineStr">
        <is>
          <t>I5</t>
        </is>
      </c>
      <c r="B334" s="15" t="inlineStr">
        <is>
          <t>Industrial final energy consumption (EU)</t>
        </is>
      </c>
      <c r="C334" s="15" t="inlineStr">
        <is>
          <t>Industry</t>
        </is>
      </c>
      <c r="D334" s="15" t="inlineStr">
        <is>
          <t>TWh</t>
        </is>
      </c>
      <c r="E334" s="63" t="n">
        <v>2023</v>
      </c>
      <c r="F334" s="64" t="n">
        <v>2501.3</v>
      </c>
      <c r="G334" s="68" t="inlineStr">
        <is>
          <t>Added since the report</t>
        </is>
      </c>
      <c r="H334" s="15" t="inlineStr">
        <is>
          <t>Eurostat (nrg_bal_c)</t>
        </is>
      </c>
      <c r="I334" s="34" t="inlineStr">
        <is>
          <t>esabcc-i5-industry-fec</t>
        </is>
      </c>
    </row>
    <row r="335" ht="14" customHeight="1">
      <c r="A335" s="22" t="inlineStr">
        <is>
          <t>I6</t>
        </is>
      </c>
      <c r="B335" s="22" t="inlineStr">
        <is>
          <t>Electricity share of industrial final energy use</t>
        </is>
      </c>
      <c r="C335" s="22" t="inlineStr">
        <is>
          <t>Industry</t>
        </is>
      </c>
      <c r="D335" s="22" t="inlineStr">
        <is>
          <t>%</t>
        </is>
      </c>
      <c r="E335" s="65" t="n">
        <v>2005</v>
      </c>
      <c r="F335" s="66" t="n">
        <v>31.71</v>
      </c>
      <c r="G335" s="67" t="inlineStr">
        <is>
          <t>In the 2024 report</t>
        </is>
      </c>
      <c r="H335" s="22" t="inlineStr">
        <is>
          <t>Eurostat (nrg_bal_c)</t>
        </is>
      </c>
      <c r="I335" s="35" t="inlineStr">
        <is>
          <t>esabcc-i6-industry-electrification</t>
        </is>
      </c>
    </row>
    <row r="336" ht="14" customHeight="1">
      <c r="A336" s="15" t="inlineStr">
        <is>
          <t>I6</t>
        </is>
      </c>
      <c r="B336" s="15" t="inlineStr">
        <is>
          <t>Electricity share of industrial final energy use</t>
        </is>
      </c>
      <c r="C336" s="15" t="inlineStr">
        <is>
          <t>Industry</t>
        </is>
      </c>
      <c r="D336" s="15" t="inlineStr">
        <is>
          <t>%</t>
        </is>
      </c>
      <c r="E336" s="63" t="n">
        <v>2006</v>
      </c>
      <c r="F336" s="64" t="n">
        <v>32.35</v>
      </c>
      <c r="G336" s="14" t="inlineStr">
        <is>
          <t>In the 2024 report</t>
        </is>
      </c>
      <c r="H336" s="15" t="inlineStr">
        <is>
          <t>Eurostat (nrg_bal_c)</t>
        </is>
      </c>
      <c r="I336" s="34" t="inlineStr">
        <is>
          <t>esabcc-i6-industry-electrification</t>
        </is>
      </c>
    </row>
    <row r="337" ht="14" customHeight="1">
      <c r="A337" s="22" t="inlineStr">
        <is>
          <t>I6</t>
        </is>
      </c>
      <c r="B337" s="22" t="inlineStr">
        <is>
          <t>Electricity share of industrial final energy use</t>
        </is>
      </c>
      <c r="C337" s="22" t="inlineStr">
        <is>
          <t>Industry</t>
        </is>
      </c>
      <c r="D337" s="22" t="inlineStr">
        <is>
          <t>%</t>
        </is>
      </c>
      <c r="E337" s="65" t="n">
        <v>2007</v>
      </c>
      <c r="F337" s="66" t="n">
        <v>32.22</v>
      </c>
      <c r="G337" s="67" t="inlineStr">
        <is>
          <t>In the 2024 report</t>
        </is>
      </c>
      <c r="H337" s="22" t="inlineStr">
        <is>
          <t>Eurostat (nrg_bal_c)</t>
        </is>
      </c>
      <c r="I337" s="35" t="inlineStr">
        <is>
          <t>esabcc-i6-industry-electrification</t>
        </is>
      </c>
    </row>
    <row r="338" ht="14" customHeight="1">
      <c r="A338" s="15" t="inlineStr">
        <is>
          <t>I6</t>
        </is>
      </c>
      <c r="B338" s="15" t="inlineStr">
        <is>
          <t>Electricity share of industrial final energy use</t>
        </is>
      </c>
      <c r="C338" s="15" t="inlineStr">
        <is>
          <t>Industry</t>
        </is>
      </c>
      <c r="D338" s="15" t="inlineStr">
        <is>
          <t>%</t>
        </is>
      </c>
      <c r="E338" s="63" t="n">
        <v>2008</v>
      </c>
      <c r="F338" s="64" t="n">
        <v>32.54</v>
      </c>
      <c r="G338" s="14" t="inlineStr">
        <is>
          <t>In the 2024 report</t>
        </is>
      </c>
      <c r="H338" s="15" t="inlineStr">
        <is>
          <t>Eurostat (nrg_bal_c)</t>
        </is>
      </c>
      <c r="I338" s="34" t="inlineStr">
        <is>
          <t>esabcc-i6-industry-electrification</t>
        </is>
      </c>
    </row>
    <row r="339" ht="14" customHeight="1">
      <c r="A339" s="22" t="inlineStr">
        <is>
          <t>I6</t>
        </is>
      </c>
      <c r="B339" s="22" t="inlineStr">
        <is>
          <t>Electricity share of industrial final energy use</t>
        </is>
      </c>
      <c r="C339" s="22" t="inlineStr">
        <is>
          <t>Industry</t>
        </is>
      </c>
      <c r="D339" s="22" t="inlineStr">
        <is>
          <t>%</t>
        </is>
      </c>
      <c r="E339" s="65" t="n">
        <v>2009</v>
      </c>
      <c r="F339" s="66" t="n">
        <v>32.42</v>
      </c>
      <c r="G339" s="67" t="inlineStr">
        <is>
          <t>In the 2024 report</t>
        </is>
      </c>
      <c r="H339" s="22" t="inlineStr">
        <is>
          <t>Eurostat (nrg_bal_c)</t>
        </is>
      </c>
      <c r="I339" s="35" t="inlineStr">
        <is>
          <t>esabcc-i6-industry-electrification</t>
        </is>
      </c>
    </row>
    <row r="340" ht="14" customHeight="1">
      <c r="A340" s="15" t="inlineStr">
        <is>
          <t>I6</t>
        </is>
      </c>
      <c r="B340" s="15" t="inlineStr">
        <is>
          <t>Electricity share of industrial final energy use</t>
        </is>
      </c>
      <c r="C340" s="15" t="inlineStr">
        <is>
          <t>Industry</t>
        </is>
      </c>
      <c r="D340" s="15" t="inlineStr">
        <is>
          <t>%</t>
        </is>
      </c>
      <c r="E340" s="63" t="n">
        <v>2010</v>
      </c>
      <c r="F340" s="64" t="n">
        <v>32.64</v>
      </c>
      <c r="G340" s="14" t="inlineStr">
        <is>
          <t>In the 2024 report</t>
        </is>
      </c>
      <c r="H340" s="15" t="inlineStr">
        <is>
          <t>Eurostat (nrg_bal_c)</t>
        </is>
      </c>
      <c r="I340" s="34" t="inlineStr">
        <is>
          <t>esabcc-i6-industry-electrification</t>
        </is>
      </c>
    </row>
    <row r="341" ht="14" customHeight="1">
      <c r="A341" s="22" t="inlineStr">
        <is>
          <t>I6</t>
        </is>
      </c>
      <c r="B341" s="22" t="inlineStr">
        <is>
          <t>Electricity share of industrial final energy use</t>
        </is>
      </c>
      <c r="C341" s="22" t="inlineStr">
        <is>
          <t>Industry</t>
        </is>
      </c>
      <c r="D341" s="22" t="inlineStr">
        <is>
          <t>%</t>
        </is>
      </c>
      <c r="E341" s="65" t="n">
        <v>2011</v>
      </c>
      <c r="F341" s="66" t="n">
        <v>32.96</v>
      </c>
      <c r="G341" s="67" t="inlineStr">
        <is>
          <t>In the 2024 report</t>
        </is>
      </c>
      <c r="H341" s="22" t="inlineStr">
        <is>
          <t>Eurostat (nrg_bal_c)</t>
        </is>
      </c>
      <c r="I341" s="35" t="inlineStr">
        <is>
          <t>esabcc-i6-industry-electrification</t>
        </is>
      </c>
    </row>
    <row r="342" ht="14" customHeight="1">
      <c r="A342" s="15" t="inlineStr">
        <is>
          <t>I6</t>
        </is>
      </c>
      <c r="B342" s="15" t="inlineStr">
        <is>
          <t>Electricity share of industrial final energy use</t>
        </is>
      </c>
      <c r="C342" s="15" t="inlineStr">
        <is>
          <t>Industry</t>
        </is>
      </c>
      <c r="D342" s="15" t="inlineStr">
        <is>
          <t>%</t>
        </is>
      </c>
      <c r="E342" s="63" t="n">
        <v>2012</v>
      </c>
      <c r="F342" s="64" t="n">
        <v>33.01</v>
      </c>
      <c r="G342" s="14" t="inlineStr">
        <is>
          <t>In the 2024 report</t>
        </is>
      </c>
      <c r="H342" s="15" t="inlineStr">
        <is>
          <t>Eurostat (nrg_bal_c)</t>
        </is>
      </c>
      <c r="I342" s="34" t="inlineStr">
        <is>
          <t>esabcc-i6-industry-electrification</t>
        </is>
      </c>
    </row>
    <row r="343" ht="14" customHeight="1">
      <c r="A343" s="22" t="inlineStr">
        <is>
          <t>I6</t>
        </is>
      </c>
      <c r="B343" s="22" t="inlineStr">
        <is>
          <t>Electricity share of industrial final energy use</t>
        </is>
      </c>
      <c r="C343" s="22" t="inlineStr">
        <is>
          <t>Industry</t>
        </is>
      </c>
      <c r="D343" s="22" t="inlineStr">
        <is>
          <t>%</t>
        </is>
      </c>
      <c r="E343" s="65" t="n">
        <v>2013</v>
      </c>
      <c r="F343" s="66" t="n">
        <v>32.92</v>
      </c>
      <c r="G343" s="67" t="inlineStr">
        <is>
          <t>In the 2024 report</t>
        </is>
      </c>
      <c r="H343" s="22" t="inlineStr">
        <is>
          <t>Eurostat (nrg_bal_c)</t>
        </is>
      </c>
      <c r="I343" s="35" t="inlineStr">
        <is>
          <t>esabcc-i6-industry-electrification</t>
        </is>
      </c>
    </row>
    <row r="344" ht="14" customHeight="1">
      <c r="A344" s="15" t="inlineStr">
        <is>
          <t>I6</t>
        </is>
      </c>
      <c r="B344" s="15" t="inlineStr">
        <is>
          <t>Electricity share of industrial final energy use</t>
        </is>
      </c>
      <c r="C344" s="15" t="inlineStr">
        <is>
          <t>Industry</t>
        </is>
      </c>
      <c r="D344" s="15" t="inlineStr">
        <is>
          <t>%</t>
        </is>
      </c>
      <c r="E344" s="63" t="n">
        <v>2014</v>
      </c>
      <c r="F344" s="64" t="n">
        <v>33.54</v>
      </c>
      <c r="G344" s="14" t="inlineStr">
        <is>
          <t>In the 2024 report</t>
        </is>
      </c>
      <c r="H344" s="15" t="inlineStr">
        <is>
          <t>Eurostat (nrg_bal_c)</t>
        </is>
      </c>
      <c r="I344" s="34" t="inlineStr">
        <is>
          <t>esabcc-i6-industry-electrification</t>
        </is>
      </c>
    </row>
    <row r="345" ht="14" customHeight="1">
      <c r="A345" s="22" t="inlineStr">
        <is>
          <t>I6</t>
        </is>
      </c>
      <c r="B345" s="22" t="inlineStr">
        <is>
          <t>Electricity share of industrial final energy use</t>
        </is>
      </c>
      <c r="C345" s="22" t="inlineStr">
        <is>
          <t>Industry</t>
        </is>
      </c>
      <c r="D345" s="22" t="inlineStr">
        <is>
          <t>%</t>
        </is>
      </c>
      <c r="E345" s="65" t="n">
        <v>2015</v>
      </c>
      <c r="F345" s="66" t="n">
        <v>33.65</v>
      </c>
      <c r="G345" s="67" t="inlineStr">
        <is>
          <t>In the 2024 report</t>
        </is>
      </c>
      <c r="H345" s="22" t="inlineStr">
        <is>
          <t>Eurostat (nrg_bal_c)</t>
        </is>
      </c>
      <c r="I345" s="35" t="inlineStr">
        <is>
          <t>esabcc-i6-industry-electrification</t>
        </is>
      </c>
    </row>
    <row r="346" ht="14" customHeight="1">
      <c r="A346" s="15" t="inlineStr">
        <is>
          <t>I6</t>
        </is>
      </c>
      <c r="B346" s="15" t="inlineStr">
        <is>
          <t>Electricity share of industrial final energy use</t>
        </is>
      </c>
      <c r="C346" s="15" t="inlineStr">
        <is>
          <t>Industry</t>
        </is>
      </c>
      <c r="D346" s="15" t="inlineStr">
        <is>
          <t>%</t>
        </is>
      </c>
      <c r="E346" s="63" t="n">
        <v>2016</v>
      </c>
      <c r="F346" s="64" t="n">
        <v>33.48</v>
      </c>
      <c r="G346" s="14" t="inlineStr">
        <is>
          <t>In the 2024 report</t>
        </is>
      </c>
      <c r="H346" s="15" t="inlineStr">
        <is>
          <t>Eurostat (nrg_bal_c)</t>
        </is>
      </c>
      <c r="I346" s="34" t="inlineStr">
        <is>
          <t>esabcc-i6-industry-electrification</t>
        </is>
      </c>
    </row>
    <row r="347" ht="14" customHeight="1">
      <c r="A347" s="22" t="inlineStr">
        <is>
          <t>I6</t>
        </is>
      </c>
      <c r="B347" s="22" t="inlineStr">
        <is>
          <t>Electricity share of industrial final energy use</t>
        </is>
      </c>
      <c r="C347" s="22" t="inlineStr">
        <is>
          <t>Industry</t>
        </is>
      </c>
      <c r="D347" s="22" t="inlineStr">
        <is>
          <t>%</t>
        </is>
      </c>
      <c r="E347" s="65" t="n">
        <v>2017</v>
      </c>
      <c r="F347" s="66" t="n">
        <v>33.76</v>
      </c>
      <c r="G347" s="67" t="inlineStr">
        <is>
          <t>In the 2024 report</t>
        </is>
      </c>
      <c r="H347" s="22" t="inlineStr">
        <is>
          <t>Eurostat (nrg_bal_c)</t>
        </is>
      </c>
      <c r="I347" s="35" t="inlineStr">
        <is>
          <t>esabcc-i6-industry-electrification</t>
        </is>
      </c>
    </row>
    <row r="348" ht="14" customHeight="1">
      <c r="A348" s="15" t="inlineStr">
        <is>
          <t>I6</t>
        </is>
      </c>
      <c r="B348" s="15" t="inlineStr">
        <is>
          <t>Electricity share of industrial final energy use</t>
        </is>
      </c>
      <c r="C348" s="15" t="inlineStr">
        <is>
          <t>Industry</t>
        </is>
      </c>
      <c r="D348" s="15" t="inlineStr">
        <is>
          <t>%</t>
        </is>
      </c>
      <c r="E348" s="63" t="n">
        <v>2018</v>
      </c>
      <c r="F348" s="64" t="n">
        <v>33.53</v>
      </c>
      <c r="G348" s="14" t="inlineStr">
        <is>
          <t>In the 2024 report</t>
        </is>
      </c>
      <c r="H348" s="15" t="inlineStr">
        <is>
          <t>Eurostat (nrg_bal_c)</t>
        </is>
      </c>
      <c r="I348" s="34" t="inlineStr">
        <is>
          <t>esabcc-i6-industry-electrification</t>
        </is>
      </c>
    </row>
    <row r="349" ht="14" customHeight="1">
      <c r="A349" s="22" t="inlineStr">
        <is>
          <t>I6</t>
        </is>
      </c>
      <c r="B349" s="22" t="inlineStr">
        <is>
          <t>Electricity share of industrial final energy use</t>
        </is>
      </c>
      <c r="C349" s="22" t="inlineStr">
        <is>
          <t>Industry</t>
        </is>
      </c>
      <c r="D349" s="22" t="inlineStr">
        <is>
          <t>%</t>
        </is>
      </c>
      <c r="E349" s="65" t="n">
        <v>2019</v>
      </c>
      <c r="F349" s="66" t="n">
        <v>33.54</v>
      </c>
      <c r="G349" s="67" t="inlineStr">
        <is>
          <t>In the 2024 report</t>
        </is>
      </c>
      <c r="H349" s="22" t="inlineStr">
        <is>
          <t>Eurostat (nrg_bal_c)</t>
        </is>
      </c>
      <c r="I349" s="35" t="inlineStr">
        <is>
          <t>esabcc-i6-industry-electrification</t>
        </is>
      </c>
    </row>
    <row r="350" ht="14" customHeight="1">
      <c r="A350" s="15" t="inlineStr">
        <is>
          <t>I6</t>
        </is>
      </c>
      <c r="B350" s="15" t="inlineStr">
        <is>
          <t>Electricity share of industrial final energy use</t>
        </is>
      </c>
      <c r="C350" s="15" t="inlineStr">
        <is>
          <t>Industry</t>
        </is>
      </c>
      <c r="D350" s="15" t="inlineStr">
        <is>
          <t>%</t>
        </is>
      </c>
      <c r="E350" s="63" t="n">
        <v>2020</v>
      </c>
      <c r="F350" s="64" t="n">
        <v>32.93</v>
      </c>
      <c r="G350" s="14" t="inlineStr">
        <is>
          <t>In the 2024 report</t>
        </is>
      </c>
      <c r="H350" s="15" t="inlineStr">
        <is>
          <t>Eurostat (nrg_bal_c)</t>
        </is>
      </c>
      <c r="I350" s="34" t="inlineStr">
        <is>
          <t>esabcc-i6-industry-electrification</t>
        </is>
      </c>
    </row>
    <row r="351" ht="14" customHeight="1">
      <c r="A351" s="22" t="inlineStr">
        <is>
          <t>I6</t>
        </is>
      </c>
      <c r="B351" s="22" t="inlineStr">
        <is>
          <t>Electricity share of industrial final energy use</t>
        </is>
      </c>
      <c r="C351" s="22" t="inlineStr">
        <is>
          <t>Industry</t>
        </is>
      </c>
      <c r="D351" s="22" t="inlineStr">
        <is>
          <t>%</t>
        </is>
      </c>
      <c r="E351" s="65" t="n">
        <v>2021</v>
      </c>
      <c r="F351" s="66" t="n">
        <v>33.22</v>
      </c>
      <c r="G351" s="67" t="inlineStr">
        <is>
          <t>In the 2024 report</t>
        </is>
      </c>
      <c r="H351" s="22" t="inlineStr">
        <is>
          <t>Eurostat (nrg_bal_c)</t>
        </is>
      </c>
      <c r="I351" s="35" t="inlineStr">
        <is>
          <t>esabcc-i6-industry-electrification</t>
        </is>
      </c>
    </row>
    <row r="352" ht="14" customHeight="1">
      <c r="A352" s="15" t="inlineStr">
        <is>
          <t>I6</t>
        </is>
      </c>
      <c r="B352" s="15" t="inlineStr">
        <is>
          <t>Electricity share of industrial final energy use</t>
        </is>
      </c>
      <c r="C352" s="15" t="inlineStr">
        <is>
          <t>Industry</t>
        </is>
      </c>
      <c r="D352" s="15" t="inlineStr">
        <is>
          <t>%</t>
        </is>
      </c>
      <c r="E352" s="63" t="n">
        <v>2022</v>
      </c>
      <c r="F352" s="64" t="n">
        <v>33.62</v>
      </c>
      <c r="G352" s="68" t="inlineStr">
        <is>
          <t>Added since the report</t>
        </is>
      </c>
      <c r="H352" s="15" t="inlineStr">
        <is>
          <t>Eurostat (nrg_bal_c)</t>
        </is>
      </c>
      <c r="I352" s="34" t="inlineStr">
        <is>
          <t>esabcc-i6-industry-electrification</t>
        </is>
      </c>
    </row>
    <row r="353" ht="14" customHeight="1">
      <c r="A353" s="22" t="inlineStr">
        <is>
          <t>I6</t>
        </is>
      </c>
      <c r="B353" s="22" t="inlineStr">
        <is>
          <t>Electricity share of industrial final energy use</t>
        </is>
      </c>
      <c r="C353" s="22" t="inlineStr">
        <is>
          <t>Industry</t>
        </is>
      </c>
      <c r="D353" s="22" t="inlineStr">
        <is>
          <t>%</t>
        </is>
      </c>
      <c r="E353" s="65" t="n">
        <v>2023</v>
      </c>
      <c r="F353" s="66" t="n">
        <v>33.59</v>
      </c>
      <c r="G353" s="69" t="inlineStr">
        <is>
          <t>Added since the report</t>
        </is>
      </c>
      <c r="H353" s="22" t="inlineStr">
        <is>
          <t>Eurostat (nrg_bal_c)</t>
        </is>
      </c>
      <c r="I353" s="35" t="inlineStr">
        <is>
          <t>esabcc-i6-industry-electrification</t>
        </is>
      </c>
    </row>
    <row r="354" ht="14" customHeight="1">
      <c r="A354" s="15" t="inlineStr">
        <is>
          <t>I6</t>
        </is>
      </c>
      <c r="B354" s="15" t="inlineStr">
        <is>
          <t>Electricity share of industrial final energy use</t>
        </is>
      </c>
      <c r="C354" s="15" t="inlineStr">
        <is>
          <t>Industry</t>
        </is>
      </c>
      <c r="D354" s="15" t="inlineStr">
        <is>
          <t>%</t>
        </is>
      </c>
      <c r="E354" s="63" t="n">
        <v>2024</v>
      </c>
      <c r="F354" s="64" t="n">
        <v>34.02</v>
      </c>
      <c r="G354" s="68" t="inlineStr">
        <is>
          <t>Added since the report</t>
        </is>
      </c>
      <c r="H354" s="15" t="inlineStr">
        <is>
          <t>Eurostat (nrg_bal_c)</t>
        </is>
      </c>
      <c r="I354" s="34" t="inlineStr">
        <is>
          <t>esabcc-i6-industry-electrification</t>
        </is>
      </c>
    </row>
    <row r="355" ht="14" customHeight="1">
      <c r="A355" s="22" t="inlineStr">
        <is>
          <t>T1</t>
        </is>
      </c>
      <c r="B355" s="22" t="inlineStr">
        <is>
          <t>Transport GHG emissions (EU)</t>
        </is>
      </c>
      <c r="C355" s="22" t="inlineStr">
        <is>
          <t>Transport</t>
        </is>
      </c>
      <c r="D355" s="22" t="inlineStr">
        <is>
          <t>Mt CO₂eq</t>
        </is>
      </c>
      <c r="E355" s="65" t="n">
        <v>2005</v>
      </c>
      <c r="F355" s="66" t="n">
        <v>943.5</v>
      </c>
      <c r="G355" s="67" t="inlineStr">
        <is>
          <t>In the 2024 report</t>
        </is>
      </c>
      <c r="H355" s="22" t="inlineStr">
        <is>
          <t>EEA GHG data viewer (Eurostat env_air_gge mirror)</t>
        </is>
      </c>
      <c r="I355" s="35" t="inlineStr">
        <is>
          <t>esabcc-t1-transport-ghg</t>
        </is>
      </c>
    </row>
    <row r="356" ht="14" customHeight="1">
      <c r="A356" s="15" t="inlineStr">
        <is>
          <t>T1</t>
        </is>
      </c>
      <c r="B356" s="15" t="inlineStr">
        <is>
          <t>Transport GHG emissions (EU)</t>
        </is>
      </c>
      <c r="C356" s="15" t="inlineStr">
        <is>
          <t>Transport</t>
        </is>
      </c>
      <c r="D356" s="15" t="inlineStr">
        <is>
          <t>Mt CO₂eq</t>
        </is>
      </c>
      <c r="E356" s="63" t="n">
        <v>2006</v>
      </c>
      <c r="F356" s="64" t="n">
        <v>956.7</v>
      </c>
      <c r="G356" s="14" t="inlineStr">
        <is>
          <t>In the 2024 report</t>
        </is>
      </c>
      <c r="H356" s="15" t="inlineStr">
        <is>
          <t>EEA GHG data viewer (Eurostat env_air_gge mirror)</t>
        </is>
      </c>
      <c r="I356" s="34" t="inlineStr">
        <is>
          <t>esabcc-t1-transport-ghg</t>
        </is>
      </c>
    </row>
    <row r="357" ht="14" customHeight="1">
      <c r="A357" s="22" t="inlineStr">
        <is>
          <t>T1</t>
        </is>
      </c>
      <c r="B357" s="22" t="inlineStr">
        <is>
          <t>Transport GHG emissions (EU)</t>
        </is>
      </c>
      <c r="C357" s="22" t="inlineStr">
        <is>
          <t>Transport</t>
        </is>
      </c>
      <c r="D357" s="22" t="inlineStr">
        <is>
          <t>Mt CO₂eq</t>
        </is>
      </c>
      <c r="E357" s="65" t="n">
        <v>2007</v>
      </c>
      <c r="F357" s="66" t="n">
        <v>969.8</v>
      </c>
      <c r="G357" s="67" t="inlineStr">
        <is>
          <t>In the 2024 report</t>
        </is>
      </c>
      <c r="H357" s="22" t="inlineStr">
        <is>
          <t>EEA GHG data viewer (Eurostat env_air_gge mirror)</t>
        </is>
      </c>
      <c r="I357" s="35" t="inlineStr">
        <is>
          <t>esabcc-t1-transport-ghg</t>
        </is>
      </c>
    </row>
    <row r="358" ht="14" customHeight="1">
      <c r="A358" s="15" t="inlineStr">
        <is>
          <t>T1</t>
        </is>
      </c>
      <c r="B358" s="15" t="inlineStr">
        <is>
          <t>Transport GHG emissions (EU)</t>
        </is>
      </c>
      <c r="C358" s="15" t="inlineStr">
        <is>
          <t>Transport</t>
        </is>
      </c>
      <c r="D358" s="15" t="inlineStr">
        <is>
          <t>Mt CO₂eq</t>
        </is>
      </c>
      <c r="E358" s="63" t="n">
        <v>2008</v>
      </c>
      <c r="F358" s="64" t="n">
        <v>952.3</v>
      </c>
      <c r="G358" s="14" t="inlineStr">
        <is>
          <t>In the 2024 report</t>
        </is>
      </c>
      <c r="H358" s="15" t="inlineStr">
        <is>
          <t>EEA GHG data viewer (Eurostat env_air_gge mirror)</t>
        </is>
      </c>
      <c r="I358" s="34" t="inlineStr">
        <is>
          <t>esabcc-t1-transport-ghg</t>
        </is>
      </c>
    </row>
    <row r="359" ht="14" customHeight="1">
      <c r="A359" s="22" t="inlineStr">
        <is>
          <t>T1</t>
        </is>
      </c>
      <c r="B359" s="22" t="inlineStr">
        <is>
          <t>Transport GHG emissions (EU)</t>
        </is>
      </c>
      <c r="C359" s="22" t="inlineStr">
        <is>
          <t>Transport</t>
        </is>
      </c>
      <c r="D359" s="22" t="inlineStr">
        <is>
          <t>Mt CO₂eq</t>
        </is>
      </c>
      <c r="E359" s="65" t="n">
        <v>2009</v>
      </c>
      <c r="F359" s="66" t="n">
        <v>921.9</v>
      </c>
      <c r="G359" s="67" t="inlineStr">
        <is>
          <t>In the 2024 report</t>
        </is>
      </c>
      <c r="H359" s="22" t="inlineStr">
        <is>
          <t>EEA GHG data viewer (Eurostat env_air_gge mirror)</t>
        </is>
      </c>
      <c r="I359" s="35" t="inlineStr">
        <is>
          <t>esabcc-t1-transport-ghg</t>
        </is>
      </c>
    </row>
    <row r="360" ht="14" customHeight="1">
      <c r="A360" s="15" t="inlineStr">
        <is>
          <t>T1</t>
        </is>
      </c>
      <c r="B360" s="15" t="inlineStr">
        <is>
          <t>Transport GHG emissions (EU)</t>
        </is>
      </c>
      <c r="C360" s="15" t="inlineStr">
        <is>
          <t>Transport</t>
        </is>
      </c>
      <c r="D360" s="15" t="inlineStr">
        <is>
          <t>Mt CO₂eq</t>
        </is>
      </c>
      <c r="E360" s="63" t="n">
        <v>2010</v>
      </c>
      <c r="F360" s="64" t="n">
        <v>918</v>
      </c>
      <c r="G360" s="14" t="inlineStr">
        <is>
          <t>In the 2024 report</t>
        </is>
      </c>
      <c r="H360" s="15" t="inlineStr">
        <is>
          <t>EEA GHG data viewer (Eurostat env_air_gge mirror)</t>
        </is>
      </c>
      <c r="I360" s="34" t="inlineStr">
        <is>
          <t>esabcc-t1-transport-ghg</t>
        </is>
      </c>
    </row>
    <row r="361" ht="14" customHeight="1">
      <c r="A361" s="22" t="inlineStr">
        <is>
          <t>T1</t>
        </is>
      </c>
      <c r="B361" s="22" t="inlineStr">
        <is>
          <t>Transport GHG emissions (EU)</t>
        </is>
      </c>
      <c r="C361" s="22" t="inlineStr">
        <is>
          <t>Transport</t>
        </is>
      </c>
      <c r="D361" s="22" t="inlineStr">
        <is>
          <t>Mt CO₂eq</t>
        </is>
      </c>
      <c r="E361" s="65" t="n">
        <v>2011</v>
      </c>
      <c r="F361" s="66" t="n">
        <v>911.1</v>
      </c>
      <c r="G361" s="67" t="inlineStr">
        <is>
          <t>In the 2024 report</t>
        </is>
      </c>
      <c r="H361" s="22" t="inlineStr">
        <is>
          <t>EEA GHG data viewer (Eurostat env_air_gge mirror)</t>
        </is>
      </c>
      <c r="I361" s="35" t="inlineStr">
        <is>
          <t>esabcc-t1-transport-ghg</t>
        </is>
      </c>
    </row>
    <row r="362" ht="14" customHeight="1">
      <c r="A362" s="15" t="inlineStr">
        <is>
          <t>T1</t>
        </is>
      </c>
      <c r="B362" s="15" t="inlineStr">
        <is>
          <t>Transport GHG emissions (EU)</t>
        </is>
      </c>
      <c r="C362" s="15" t="inlineStr">
        <is>
          <t>Transport</t>
        </is>
      </c>
      <c r="D362" s="15" t="inlineStr">
        <is>
          <t>Mt CO₂eq</t>
        </is>
      </c>
      <c r="E362" s="63" t="n">
        <v>2012</v>
      </c>
      <c r="F362" s="64" t="n">
        <v>880.4</v>
      </c>
      <c r="G362" s="14" t="inlineStr">
        <is>
          <t>In the 2024 report</t>
        </is>
      </c>
      <c r="H362" s="15" t="inlineStr">
        <is>
          <t>EEA GHG data viewer (Eurostat env_air_gge mirror)</t>
        </is>
      </c>
      <c r="I362" s="34" t="inlineStr">
        <is>
          <t>esabcc-t1-transport-ghg</t>
        </is>
      </c>
    </row>
    <row r="363" ht="14" customHeight="1">
      <c r="A363" s="22" t="inlineStr">
        <is>
          <t>T1</t>
        </is>
      </c>
      <c r="B363" s="22" t="inlineStr">
        <is>
          <t>Transport GHG emissions (EU)</t>
        </is>
      </c>
      <c r="C363" s="22" t="inlineStr">
        <is>
          <t>Transport</t>
        </is>
      </c>
      <c r="D363" s="22" t="inlineStr">
        <is>
          <t>Mt CO₂eq</t>
        </is>
      </c>
      <c r="E363" s="65" t="n">
        <v>2013</v>
      </c>
      <c r="F363" s="66" t="n">
        <v>875.4</v>
      </c>
      <c r="G363" s="67" t="inlineStr">
        <is>
          <t>In the 2024 report</t>
        </is>
      </c>
      <c r="H363" s="22" t="inlineStr">
        <is>
          <t>EEA GHG data viewer (Eurostat env_air_gge mirror)</t>
        </is>
      </c>
      <c r="I363" s="35" t="inlineStr">
        <is>
          <t>esabcc-t1-transport-ghg</t>
        </is>
      </c>
    </row>
    <row r="364" ht="14" customHeight="1">
      <c r="A364" s="15" t="inlineStr">
        <is>
          <t>T1</t>
        </is>
      </c>
      <c r="B364" s="15" t="inlineStr">
        <is>
          <t>Transport GHG emissions (EU)</t>
        </is>
      </c>
      <c r="C364" s="15" t="inlineStr">
        <is>
          <t>Transport</t>
        </is>
      </c>
      <c r="D364" s="15" t="inlineStr">
        <is>
          <t>Mt CO₂eq</t>
        </is>
      </c>
      <c r="E364" s="63" t="n">
        <v>2014</v>
      </c>
      <c r="F364" s="64" t="n">
        <v>882.7</v>
      </c>
      <c r="G364" s="14" t="inlineStr">
        <is>
          <t>In the 2024 report</t>
        </is>
      </c>
      <c r="H364" s="15" t="inlineStr">
        <is>
          <t>EEA GHG data viewer (Eurostat env_air_gge mirror)</t>
        </is>
      </c>
      <c r="I364" s="34" t="inlineStr">
        <is>
          <t>esabcc-t1-transport-ghg</t>
        </is>
      </c>
    </row>
    <row r="365" ht="14" customHeight="1">
      <c r="A365" s="22" t="inlineStr">
        <is>
          <t>T1</t>
        </is>
      </c>
      <c r="B365" s="22" t="inlineStr">
        <is>
          <t>Transport GHG emissions (EU)</t>
        </is>
      </c>
      <c r="C365" s="22" t="inlineStr">
        <is>
          <t>Transport</t>
        </is>
      </c>
      <c r="D365" s="22" t="inlineStr">
        <is>
          <t>Mt CO₂eq</t>
        </is>
      </c>
      <c r="E365" s="65" t="n">
        <v>2015</v>
      </c>
      <c r="F365" s="66" t="n">
        <v>901.8</v>
      </c>
      <c r="G365" s="67" t="inlineStr">
        <is>
          <t>In the 2024 report</t>
        </is>
      </c>
      <c r="H365" s="22" t="inlineStr">
        <is>
          <t>EEA GHG data viewer (Eurostat env_air_gge mirror)</t>
        </is>
      </c>
      <c r="I365" s="35" t="inlineStr">
        <is>
          <t>esabcc-t1-transport-ghg</t>
        </is>
      </c>
    </row>
    <row r="366" ht="14" customHeight="1">
      <c r="A366" s="15" t="inlineStr">
        <is>
          <t>T1</t>
        </is>
      </c>
      <c r="B366" s="15" t="inlineStr">
        <is>
          <t>Transport GHG emissions (EU)</t>
        </is>
      </c>
      <c r="C366" s="15" t="inlineStr">
        <is>
          <t>Transport</t>
        </is>
      </c>
      <c r="D366" s="15" t="inlineStr">
        <is>
          <t>Mt CO₂eq</t>
        </is>
      </c>
      <c r="E366" s="63" t="n">
        <v>2016</v>
      </c>
      <c r="F366" s="64" t="n">
        <v>925.8</v>
      </c>
      <c r="G366" s="14" t="inlineStr">
        <is>
          <t>In the 2024 report</t>
        </is>
      </c>
      <c r="H366" s="15" t="inlineStr">
        <is>
          <t>EEA GHG data viewer (Eurostat env_air_gge mirror)</t>
        </is>
      </c>
      <c r="I366" s="34" t="inlineStr">
        <is>
          <t>esabcc-t1-transport-ghg</t>
        </is>
      </c>
    </row>
    <row r="367" ht="14" customHeight="1">
      <c r="A367" s="22" t="inlineStr">
        <is>
          <t>T1</t>
        </is>
      </c>
      <c r="B367" s="22" t="inlineStr">
        <is>
          <t>Transport GHG emissions (EU)</t>
        </is>
      </c>
      <c r="C367" s="22" t="inlineStr">
        <is>
          <t>Transport</t>
        </is>
      </c>
      <c r="D367" s="22" t="inlineStr">
        <is>
          <t>Mt CO₂eq</t>
        </is>
      </c>
      <c r="E367" s="65" t="n">
        <v>2017</v>
      </c>
      <c r="F367" s="66" t="n">
        <v>949.1</v>
      </c>
      <c r="G367" s="67" t="inlineStr">
        <is>
          <t>In the 2024 report</t>
        </is>
      </c>
      <c r="H367" s="22" t="inlineStr">
        <is>
          <t>EEA GHG data viewer (Eurostat env_air_gge mirror)</t>
        </is>
      </c>
      <c r="I367" s="35" t="inlineStr">
        <is>
          <t>esabcc-t1-transport-ghg</t>
        </is>
      </c>
    </row>
    <row r="368" ht="14" customHeight="1">
      <c r="A368" s="15" t="inlineStr">
        <is>
          <t>T1</t>
        </is>
      </c>
      <c r="B368" s="15" t="inlineStr">
        <is>
          <t>Transport GHG emissions (EU)</t>
        </is>
      </c>
      <c r="C368" s="15" t="inlineStr">
        <is>
          <t>Transport</t>
        </is>
      </c>
      <c r="D368" s="15" t="inlineStr">
        <is>
          <t>Mt CO₂eq</t>
        </is>
      </c>
      <c r="E368" s="63" t="n">
        <v>2018</v>
      </c>
      <c r="F368" s="64" t="n">
        <v>956.8</v>
      </c>
      <c r="G368" s="14" t="inlineStr">
        <is>
          <t>In the 2024 report</t>
        </is>
      </c>
      <c r="H368" s="15" t="inlineStr">
        <is>
          <t>EEA GHG data viewer (Eurostat env_air_gge mirror)</t>
        </is>
      </c>
      <c r="I368" s="34" t="inlineStr">
        <is>
          <t>esabcc-t1-transport-ghg</t>
        </is>
      </c>
    </row>
    <row r="369" ht="14" customHeight="1">
      <c r="A369" s="22" t="inlineStr">
        <is>
          <t>T1</t>
        </is>
      </c>
      <c r="B369" s="22" t="inlineStr">
        <is>
          <t>Transport GHG emissions (EU)</t>
        </is>
      </c>
      <c r="C369" s="22" t="inlineStr">
        <is>
          <t>Transport</t>
        </is>
      </c>
      <c r="D369" s="22" t="inlineStr">
        <is>
          <t>Mt CO₂eq</t>
        </is>
      </c>
      <c r="E369" s="65" t="n">
        <v>2019</v>
      </c>
      <c r="F369" s="66" t="n">
        <v>965.7</v>
      </c>
      <c r="G369" s="67" t="inlineStr">
        <is>
          <t>In the 2024 report</t>
        </is>
      </c>
      <c r="H369" s="22" t="inlineStr">
        <is>
          <t>EEA GHG data viewer (Eurostat env_air_gge mirror)</t>
        </is>
      </c>
      <c r="I369" s="35" t="inlineStr">
        <is>
          <t>esabcc-t1-transport-ghg</t>
        </is>
      </c>
    </row>
    <row r="370" ht="14" customHeight="1">
      <c r="A370" s="15" t="inlineStr">
        <is>
          <t>T1</t>
        </is>
      </c>
      <c r="B370" s="15" t="inlineStr">
        <is>
          <t>Transport GHG emissions (EU)</t>
        </is>
      </c>
      <c r="C370" s="15" t="inlineStr">
        <is>
          <t>Transport</t>
        </is>
      </c>
      <c r="D370" s="15" t="inlineStr">
        <is>
          <t>Mt CO₂eq</t>
        </is>
      </c>
      <c r="E370" s="63" t="n">
        <v>2020</v>
      </c>
      <c r="F370" s="64" t="n">
        <v>776.3</v>
      </c>
      <c r="G370" s="14" t="inlineStr">
        <is>
          <t>In the 2024 report</t>
        </is>
      </c>
      <c r="H370" s="15" t="inlineStr">
        <is>
          <t>EEA GHG data viewer (Eurostat env_air_gge mirror)</t>
        </is>
      </c>
      <c r="I370" s="34" t="inlineStr">
        <is>
          <t>esabcc-t1-transport-ghg</t>
        </is>
      </c>
    </row>
    <row r="371" ht="14" customHeight="1">
      <c r="A371" s="22" t="inlineStr">
        <is>
          <t>T1</t>
        </is>
      </c>
      <c r="B371" s="22" t="inlineStr">
        <is>
          <t>Transport GHG emissions (EU)</t>
        </is>
      </c>
      <c r="C371" s="22" t="inlineStr">
        <is>
          <t>Transport</t>
        </is>
      </c>
      <c r="D371" s="22" t="inlineStr">
        <is>
          <t>Mt CO₂eq</t>
        </is>
      </c>
      <c r="E371" s="65" t="n">
        <v>2021</v>
      </c>
      <c r="F371" s="66" t="n">
        <v>851.9</v>
      </c>
      <c r="G371" s="67" t="inlineStr">
        <is>
          <t>In the 2024 report</t>
        </is>
      </c>
      <c r="H371" s="22" t="inlineStr">
        <is>
          <t>EEA GHG data viewer (Eurostat env_air_gge mirror)</t>
        </is>
      </c>
      <c r="I371" s="35" t="inlineStr">
        <is>
          <t>esabcc-t1-transport-ghg</t>
        </is>
      </c>
    </row>
    <row r="372" ht="14" customHeight="1">
      <c r="A372" s="15" t="inlineStr">
        <is>
          <t>T1</t>
        </is>
      </c>
      <c r="B372" s="15" t="inlineStr">
        <is>
          <t>Transport GHG emissions (EU)</t>
        </is>
      </c>
      <c r="C372" s="15" t="inlineStr">
        <is>
          <t>Transport</t>
        </is>
      </c>
      <c r="D372" s="15" t="inlineStr">
        <is>
          <t>Mt CO₂eq</t>
        </is>
      </c>
      <c r="E372" s="63" t="n">
        <v>2022</v>
      </c>
      <c r="F372" s="64" t="n">
        <v>906.6</v>
      </c>
      <c r="G372" s="14" t="inlineStr">
        <is>
          <t>In the 2024 report</t>
        </is>
      </c>
      <c r="H372" s="15" t="inlineStr">
        <is>
          <t>EEA GHG data viewer (Eurostat env_air_gge mirror)</t>
        </is>
      </c>
      <c r="I372" s="34" t="inlineStr">
        <is>
          <t>esabcc-t1-transport-ghg</t>
        </is>
      </c>
    </row>
    <row r="373" ht="14" customHeight="1">
      <c r="A373" s="22" t="inlineStr">
        <is>
          <t>T1</t>
        </is>
      </c>
      <c r="B373" s="22" t="inlineStr">
        <is>
          <t>Transport GHG emissions (EU)</t>
        </is>
      </c>
      <c r="C373" s="22" t="inlineStr">
        <is>
          <t>Transport</t>
        </is>
      </c>
      <c r="D373" s="22" t="inlineStr">
        <is>
          <t>Mt CO₂eq</t>
        </is>
      </c>
      <c r="E373" s="65" t="n">
        <v>2023</v>
      </c>
      <c r="F373" s="66" t="n">
        <v>901.9</v>
      </c>
      <c r="G373" s="69" t="inlineStr">
        <is>
          <t>Added since the report</t>
        </is>
      </c>
      <c r="H373" s="22" t="inlineStr">
        <is>
          <t>EEA GHG data viewer (Eurostat env_air_gge mirror)</t>
        </is>
      </c>
      <c r="I373" s="35" t="inlineStr">
        <is>
          <t>esabcc-t1-transport-ghg</t>
        </is>
      </c>
    </row>
    <row r="374" ht="14" customHeight="1">
      <c r="A374" s="15" t="inlineStr">
        <is>
          <t>T1</t>
        </is>
      </c>
      <c r="B374" s="15" t="inlineStr">
        <is>
          <t>Transport GHG emissions (EU)</t>
        </is>
      </c>
      <c r="C374" s="15" t="inlineStr">
        <is>
          <t>Transport</t>
        </is>
      </c>
      <c r="D374" s="15" t="inlineStr">
        <is>
          <t>Mt CO₂eq</t>
        </is>
      </c>
      <c r="E374" s="63" t="n">
        <v>2024</v>
      </c>
      <c r="F374" s="64" t="n">
        <v>920</v>
      </c>
      <c r="G374" s="68" t="inlineStr">
        <is>
          <t>Added since the report</t>
        </is>
      </c>
      <c r="H374" s="15" t="inlineStr">
        <is>
          <t>EEA GHG data viewer (Eurostat env_air_gge mirror)</t>
        </is>
      </c>
      <c r="I374" s="34" t="inlineStr">
        <is>
          <t>esabcc-t1-transport-ghg</t>
        </is>
      </c>
    </row>
    <row r="375" ht="14" customHeight="1">
      <c r="A375" s="22" t="inlineStr">
        <is>
          <t>T2a</t>
        </is>
      </c>
      <c r="B375" s="22" t="inlineStr">
        <is>
          <t>Total passenger transport demand</t>
        </is>
      </c>
      <c r="C375" s="22" t="inlineStr">
        <is>
          <t>Transport</t>
        </is>
      </c>
      <c r="D375" s="22" t="inlineStr">
        <is>
          <t>Gpkm</t>
        </is>
      </c>
      <c r="E375" s="65" t="n">
        <v>2005</v>
      </c>
      <c r="F375" s="66" t="n">
        <v>5225.9</v>
      </c>
      <c r="G375" s="67" t="inlineStr">
        <is>
          <t>In the 2024 report</t>
        </is>
      </c>
      <c r="H375" s="22" t="inlineStr">
        <is>
          <t>European Commission, DG MOVE — EU transport in figures: statistical pocketbook</t>
        </is>
      </c>
      <c r="I375" s="35" t="inlineStr">
        <is>
          <t>esabcc-t2a-passenger-demand</t>
        </is>
      </c>
    </row>
    <row r="376" ht="14" customHeight="1">
      <c r="A376" s="15" t="inlineStr">
        <is>
          <t>T2a</t>
        </is>
      </c>
      <c r="B376" s="15" t="inlineStr">
        <is>
          <t>Total passenger transport demand</t>
        </is>
      </c>
      <c r="C376" s="15" t="inlineStr">
        <is>
          <t>Transport</t>
        </is>
      </c>
      <c r="D376" s="15" t="inlineStr">
        <is>
          <t>Gpkm</t>
        </is>
      </c>
      <c r="E376" s="63" t="n">
        <v>2006</v>
      </c>
      <c r="F376" s="64" t="n">
        <v>5287.1</v>
      </c>
      <c r="G376" s="14" t="inlineStr">
        <is>
          <t>In the 2024 report</t>
        </is>
      </c>
      <c r="H376" s="15" t="inlineStr">
        <is>
          <t>European Commission, DG MOVE — EU transport in figures: statistical pocketbook</t>
        </is>
      </c>
      <c r="I376" s="34" t="inlineStr">
        <is>
          <t>esabcc-t2a-passenger-demand</t>
        </is>
      </c>
    </row>
    <row r="377" ht="14" customHeight="1">
      <c r="A377" s="22" t="inlineStr">
        <is>
          <t>T2a</t>
        </is>
      </c>
      <c r="B377" s="22" t="inlineStr">
        <is>
          <t>Total passenger transport demand</t>
        </is>
      </c>
      <c r="C377" s="22" t="inlineStr">
        <is>
          <t>Transport</t>
        </is>
      </c>
      <c r="D377" s="22" t="inlineStr">
        <is>
          <t>Gpkm</t>
        </is>
      </c>
      <c r="E377" s="65" t="n">
        <v>2007</v>
      </c>
      <c r="F377" s="66" t="n">
        <v>5360.8</v>
      </c>
      <c r="G377" s="67" t="inlineStr">
        <is>
          <t>In the 2024 report</t>
        </is>
      </c>
      <c r="H377" s="22" t="inlineStr">
        <is>
          <t>European Commission, DG MOVE — EU transport in figures: statistical pocketbook</t>
        </is>
      </c>
      <c r="I377" s="35" t="inlineStr">
        <is>
          <t>esabcc-t2a-passenger-demand</t>
        </is>
      </c>
    </row>
    <row r="378" ht="14" customHeight="1">
      <c r="A378" s="15" t="inlineStr">
        <is>
          <t>T2a</t>
        </is>
      </c>
      <c r="B378" s="15" t="inlineStr">
        <is>
          <t>Total passenger transport demand</t>
        </is>
      </c>
      <c r="C378" s="15" t="inlineStr">
        <is>
          <t>Transport</t>
        </is>
      </c>
      <c r="D378" s="15" t="inlineStr">
        <is>
          <t>Gpkm</t>
        </is>
      </c>
      <c r="E378" s="63" t="n">
        <v>2008</v>
      </c>
      <c r="F378" s="64" t="n">
        <v>5389.9</v>
      </c>
      <c r="G378" s="14" t="inlineStr">
        <is>
          <t>In the 2024 report</t>
        </is>
      </c>
      <c r="H378" s="15" t="inlineStr">
        <is>
          <t>European Commission, DG MOVE — EU transport in figures: statistical pocketbook</t>
        </is>
      </c>
      <c r="I378" s="34" t="inlineStr">
        <is>
          <t>esabcc-t2a-passenger-demand</t>
        </is>
      </c>
    </row>
    <row r="379" ht="14" customHeight="1">
      <c r="A379" s="22" t="inlineStr">
        <is>
          <t>T2a</t>
        </is>
      </c>
      <c r="B379" s="22" t="inlineStr">
        <is>
          <t>Total passenger transport demand</t>
        </is>
      </c>
      <c r="C379" s="22" t="inlineStr">
        <is>
          <t>Transport</t>
        </is>
      </c>
      <c r="D379" s="22" t="inlineStr">
        <is>
          <t>Gpkm</t>
        </is>
      </c>
      <c r="E379" s="65" t="n">
        <v>2009</v>
      </c>
      <c r="F379" s="66" t="n">
        <v>5410.6</v>
      </c>
      <c r="G379" s="67" t="inlineStr">
        <is>
          <t>In the 2024 report</t>
        </is>
      </c>
      <c r="H379" s="22" t="inlineStr">
        <is>
          <t>European Commission, DG MOVE — EU transport in figures: statistical pocketbook</t>
        </is>
      </c>
      <c r="I379" s="35" t="inlineStr">
        <is>
          <t>esabcc-t2a-passenger-demand</t>
        </is>
      </c>
    </row>
    <row r="380" ht="14" customHeight="1">
      <c r="A380" s="15" t="inlineStr">
        <is>
          <t>T2a</t>
        </is>
      </c>
      <c r="B380" s="15" t="inlineStr">
        <is>
          <t>Total passenger transport demand</t>
        </is>
      </c>
      <c r="C380" s="15" t="inlineStr">
        <is>
          <t>Transport</t>
        </is>
      </c>
      <c r="D380" s="15" t="inlineStr">
        <is>
          <t>Gpkm</t>
        </is>
      </c>
      <c r="E380" s="63" t="n">
        <v>2010</v>
      </c>
      <c r="F380" s="64" t="n">
        <v>5388.2</v>
      </c>
      <c r="G380" s="14" t="inlineStr">
        <is>
          <t>In the 2024 report</t>
        </is>
      </c>
      <c r="H380" s="15" t="inlineStr">
        <is>
          <t>European Commission, DG MOVE — EU transport in figures: statistical pocketbook</t>
        </is>
      </c>
      <c r="I380" s="34" t="inlineStr">
        <is>
          <t>esabcc-t2a-passenger-demand</t>
        </is>
      </c>
    </row>
    <row r="381" ht="14" customHeight="1">
      <c r="A381" s="22" t="inlineStr">
        <is>
          <t>T2a</t>
        </is>
      </c>
      <c r="B381" s="22" t="inlineStr">
        <is>
          <t>Total passenger transport demand</t>
        </is>
      </c>
      <c r="C381" s="22" t="inlineStr">
        <is>
          <t>Transport</t>
        </is>
      </c>
      <c r="D381" s="22" t="inlineStr">
        <is>
          <t>Gpkm</t>
        </is>
      </c>
      <c r="E381" s="65" t="n">
        <v>2011</v>
      </c>
      <c r="F381" s="66" t="n">
        <v>5400.6</v>
      </c>
      <c r="G381" s="67" t="inlineStr">
        <is>
          <t>In the 2024 report</t>
        </is>
      </c>
      <c r="H381" s="22" t="inlineStr">
        <is>
          <t>European Commission, DG MOVE — EU transport in figures: statistical pocketbook</t>
        </is>
      </c>
      <c r="I381" s="35" t="inlineStr">
        <is>
          <t>esabcc-t2a-passenger-demand</t>
        </is>
      </c>
    </row>
    <row r="382" ht="14" customHeight="1">
      <c r="A382" s="15" t="inlineStr">
        <is>
          <t>T2a</t>
        </is>
      </c>
      <c r="B382" s="15" t="inlineStr">
        <is>
          <t>Total passenger transport demand</t>
        </is>
      </c>
      <c r="C382" s="15" t="inlineStr">
        <is>
          <t>Transport</t>
        </is>
      </c>
      <c r="D382" s="15" t="inlineStr">
        <is>
          <t>Gpkm</t>
        </is>
      </c>
      <c r="E382" s="63" t="n">
        <v>2012</v>
      </c>
      <c r="F382" s="64" t="n">
        <v>5346.8</v>
      </c>
      <c r="G382" s="14" t="inlineStr">
        <is>
          <t>In the 2024 report</t>
        </is>
      </c>
      <c r="H382" s="15" t="inlineStr">
        <is>
          <t>European Commission, DG MOVE — EU transport in figures: statistical pocketbook</t>
        </is>
      </c>
      <c r="I382" s="34" t="inlineStr">
        <is>
          <t>esabcc-t2a-passenger-demand</t>
        </is>
      </c>
    </row>
    <row r="383" ht="14" customHeight="1">
      <c r="A383" s="22" t="inlineStr">
        <is>
          <t>T2a</t>
        </is>
      </c>
      <c r="B383" s="22" t="inlineStr">
        <is>
          <t>Total passenger transport demand</t>
        </is>
      </c>
      <c r="C383" s="22" t="inlineStr">
        <is>
          <t>Transport</t>
        </is>
      </c>
      <c r="D383" s="22" t="inlineStr">
        <is>
          <t>Gpkm</t>
        </is>
      </c>
      <c r="E383" s="65" t="n">
        <v>2013</v>
      </c>
      <c r="F383" s="66" t="n">
        <v>5412.2</v>
      </c>
      <c r="G383" s="67" t="inlineStr">
        <is>
          <t>In the 2024 report</t>
        </is>
      </c>
      <c r="H383" s="22" t="inlineStr">
        <is>
          <t>European Commission, DG MOVE — EU transport in figures: statistical pocketbook</t>
        </is>
      </c>
      <c r="I383" s="35" t="inlineStr">
        <is>
          <t>esabcc-t2a-passenger-demand</t>
        </is>
      </c>
    </row>
    <row r="384" ht="14" customHeight="1">
      <c r="A384" s="15" t="inlineStr">
        <is>
          <t>T2a</t>
        </is>
      </c>
      <c r="B384" s="15" t="inlineStr">
        <is>
          <t>Total passenger transport demand</t>
        </is>
      </c>
      <c r="C384" s="15" t="inlineStr">
        <is>
          <t>Transport</t>
        </is>
      </c>
      <c r="D384" s="15" t="inlineStr">
        <is>
          <t>Gpkm</t>
        </is>
      </c>
      <c r="E384" s="63" t="n">
        <v>2014</v>
      </c>
      <c r="F384" s="64" t="n">
        <v>5490.2</v>
      </c>
      <c r="G384" s="14" t="inlineStr">
        <is>
          <t>In the 2024 report</t>
        </is>
      </c>
      <c r="H384" s="15" t="inlineStr">
        <is>
          <t>European Commission, DG MOVE — EU transport in figures: statistical pocketbook</t>
        </is>
      </c>
      <c r="I384" s="34" t="inlineStr">
        <is>
          <t>esabcc-t2a-passenger-demand</t>
        </is>
      </c>
    </row>
    <row r="385" ht="14" customHeight="1">
      <c r="A385" s="22" t="inlineStr">
        <is>
          <t>T2a</t>
        </is>
      </c>
      <c r="B385" s="22" t="inlineStr">
        <is>
          <t>Total passenger transport demand</t>
        </is>
      </c>
      <c r="C385" s="22" t="inlineStr">
        <is>
          <t>Transport</t>
        </is>
      </c>
      <c r="D385" s="22" t="inlineStr">
        <is>
          <t>Gpkm</t>
        </is>
      </c>
      <c r="E385" s="65" t="n">
        <v>2015</v>
      </c>
      <c r="F385" s="66" t="n">
        <v>5625.4</v>
      </c>
      <c r="G385" s="67" t="inlineStr">
        <is>
          <t>In the 2024 report</t>
        </is>
      </c>
      <c r="H385" s="22" t="inlineStr">
        <is>
          <t>European Commission, DG MOVE — EU transport in figures: statistical pocketbook</t>
        </is>
      </c>
      <c r="I385" s="35" t="inlineStr">
        <is>
          <t>esabcc-t2a-passenger-demand</t>
        </is>
      </c>
    </row>
    <row r="386" ht="14" customHeight="1">
      <c r="A386" s="15" t="inlineStr">
        <is>
          <t>T2a</t>
        </is>
      </c>
      <c r="B386" s="15" t="inlineStr">
        <is>
          <t>Total passenger transport demand</t>
        </is>
      </c>
      <c r="C386" s="15" t="inlineStr">
        <is>
          <t>Transport</t>
        </is>
      </c>
      <c r="D386" s="15" t="inlineStr">
        <is>
          <t>Gpkm</t>
        </is>
      </c>
      <c r="E386" s="63" t="n">
        <v>2016</v>
      </c>
      <c r="F386" s="64" t="n">
        <v>5763.7</v>
      </c>
      <c r="G386" s="14" t="inlineStr">
        <is>
          <t>In the 2024 report</t>
        </is>
      </c>
      <c r="H386" s="15" t="inlineStr">
        <is>
          <t>European Commission, DG MOVE — EU transport in figures: statistical pocketbook</t>
        </is>
      </c>
      <c r="I386" s="34" t="inlineStr">
        <is>
          <t>esabcc-t2a-passenger-demand</t>
        </is>
      </c>
    </row>
    <row r="387" ht="14" customHeight="1">
      <c r="A387" s="22" t="inlineStr">
        <is>
          <t>T2a</t>
        </is>
      </c>
      <c r="B387" s="22" t="inlineStr">
        <is>
          <t>Total passenger transport demand</t>
        </is>
      </c>
      <c r="C387" s="22" t="inlineStr">
        <is>
          <t>Transport</t>
        </is>
      </c>
      <c r="D387" s="22" t="inlineStr">
        <is>
          <t>Gpkm</t>
        </is>
      </c>
      <c r="E387" s="65" t="n">
        <v>2017</v>
      </c>
      <c r="F387" s="66" t="n">
        <v>5843.2</v>
      </c>
      <c r="G387" s="67" t="inlineStr">
        <is>
          <t>In the 2024 report</t>
        </is>
      </c>
      <c r="H387" s="22" t="inlineStr">
        <is>
          <t>European Commission, DG MOVE — EU transport in figures: statistical pocketbook</t>
        </is>
      </c>
      <c r="I387" s="35" t="inlineStr">
        <is>
          <t>esabcc-t2a-passenger-demand</t>
        </is>
      </c>
    </row>
    <row r="388" ht="14" customHeight="1">
      <c r="A388" s="15" t="inlineStr">
        <is>
          <t>T2a</t>
        </is>
      </c>
      <c r="B388" s="15" t="inlineStr">
        <is>
          <t>Total passenger transport demand</t>
        </is>
      </c>
      <c r="C388" s="15" t="inlineStr">
        <is>
          <t>Transport</t>
        </is>
      </c>
      <c r="D388" s="15" t="inlineStr">
        <is>
          <t>Gpkm</t>
        </is>
      </c>
      <c r="E388" s="63" t="n">
        <v>2018</v>
      </c>
      <c r="F388" s="64" t="n">
        <v>5913.9</v>
      </c>
      <c r="G388" s="14" t="inlineStr">
        <is>
          <t>In the 2024 report</t>
        </is>
      </c>
      <c r="H388" s="15" t="inlineStr">
        <is>
          <t>European Commission, DG MOVE — EU transport in figures: statistical pocketbook</t>
        </is>
      </c>
      <c r="I388" s="34" t="inlineStr">
        <is>
          <t>esabcc-t2a-passenger-demand</t>
        </is>
      </c>
    </row>
    <row r="389" ht="14" customHeight="1">
      <c r="A389" s="22" t="inlineStr">
        <is>
          <t>T2a</t>
        </is>
      </c>
      <c r="B389" s="22" t="inlineStr">
        <is>
          <t>Total passenger transport demand</t>
        </is>
      </c>
      <c r="C389" s="22" t="inlineStr">
        <is>
          <t>Transport</t>
        </is>
      </c>
      <c r="D389" s="22" t="inlineStr">
        <is>
          <t>Gpkm</t>
        </is>
      </c>
      <c r="E389" s="65" t="n">
        <v>2019</v>
      </c>
      <c r="F389" s="66" t="n">
        <v>5992.2</v>
      </c>
      <c r="G389" s="67" t="inlineStr">
        <is>
          <t>In the 2024 report</t>
        </is>
      </c>
      <c r="H389" s="22" t="inlineStr">
        <is>
          <t>European Commission, DG MOVE — EU transport in figures: statistical pocketbook</t>
        </is>
      </c>
      <c r="I389" s="35" t="inlineStr">
        <is>
          <t>esabcc-t2a-passenger-demand</t>
        </is>
      </c>
    </row>
    <row r="390" ht="14" customHeight="1">
      <c r="A390" s="15" t="inlineStr">
        <is>
          <t>T2a</t>
        </is>
      </c>
      <c r="B390" s="15" t="inlineStr">
        <is>
          <t>Total passenger transport demand</t>
        </is>
      </c>
      <c r="C390" s="15" t="inlineStr">
        <is>
          <t>Transport</t>
        </is>
      </c>
      <c r="D390" s="15" t="inlineStr">
        <is>
          <t>Gpkm</t>
        </is>
      </c>
      <c r="E390" s="63" t="n">
        <v>2020</v>
      </c>
      <c r="F390" s="64" t="n">
        <v>4435.8</v>
      </c>
      <c r="G390" s="14" t="inlineStr">
        <is>
          <t>In the 2024 report</t>
        </is>
      </c>
      <c r="H390" s="15" t="inlineStr">
        <is>
          <t>European Commission, DG MOVE — EU transport in figures: statistical pocketbook</t>
        </is>
      </c>
      <c r="I390" s="34" t="inlineStr">
        <is>
          <t>esabcc-t2a-passenger-demand</t>
        </is>
      </c>
    </row>
    <row r="391" ht="14" customHeight="1">
      <c r="A391" s="22" t="inlineStr">
        <is>
          <t>T2a</t>
        </is>
      </c>
      <c r="B391" s="22" t="inlineStr">
        <is>
          <t>Total passenger transport demand</t>
        </is>
      </c>
      <c r="C391" s="22" t="inlineStr">
        <is>
          <t>Transport</t>
        </is>
      </c>
      <c r="D391" s="22" t="inlineStr">
        <is>
          <t>Gpkm</t>
        </is>
      </c>
      <c r="E391" s="65" t="n">
        <v>2022</v>
      </c>
      <c r="F391" s="66" t="n">
        <v>5625.2</v>
      </c>
      <c r="G391" s="69" t="inlineStr">
        <is>
          <t>Added since the report</t>
        </is>
      </c>
      <c r="H391" s="22" t="inlineStr">
        <is>
          <t>European Commission, DG MOVE — EU transport in figures: statistical pocketbook</t>
        </is>
      </c>
      <c r="I391" s="35" t="inlineStr">
        <is>
          <t>esabcc-t2a-passenger-demand</t>
        </is>
      </c>
    </row>
    <row r="392" ht="14" customHeight="1">
      <c r="A392" s="15" t="inlineStr">
        <is>
          <t>T2a</t>
        </is>
      </c>
      <c r="B392" s="15" t="inlineStr">
        <is>
          <t>Total passenger transport demand</t>
        </is>
      </c>
      <c r="C392" s="15" t="inlineStr">
        <is>
          <t>Transport</t>
        </is>
      </c>
      <c r="D392" s="15" t="inlineStr">
        <is>
          <t>Gpkm</t>
        </is>
      </c>
      <c r="E392" s="63" t="n">
        <v>2023</v>
      </c>
      <c r="F392" s="64" t="n">
        <v>5932</v>
      </c>
      <c r="G392" s="68" t="inlineStr">
        <is>
          <t>Added since the report</t>
        </is>
      </c>
      <c r="H392" s="15" t="inlineStr">
        <is>
          <t>European Commission, DG MOVE — EU transport in figures: statistical pocketbook</t>
        </is>
      </c>
      <c r="I392" s="34" t="inlineStr">
        <is>
          <t>esabcc-t2a-passenger-demand</t>
        </is>
      </c>
    </row>
    <row r="393" ht="14" customHeight="1">
      <c r="A393" s="22" t="inlineStr">
        <is>
          <t>T2b</t>
        </is>
      </c>
      <c r="B393" s="22" t="inlineStr">
        <is>
          <t>Total freight transport demand</t>
        </is>
      </c>
      <c r="C393" s="22" t="inlineStr">
        <is>
          <t>Transport</t>
        </is>
      </c>
      <c r="D393" s="22" t="inlineStr">
        <is>
          <t>Gtkm</t>
        </is>
      </c>
      <c r="E393" s="65" t="n">
        <v>2005</v>
      </c>
      <c r="F393" s="66" t="n">
        <v>2121.4</v>
      </c>
      <c r="G393" s="67" t="inlineStr">
        <is>
          <t>In the 2024 report</t>
        </is>
      </c>
      <c r="H393" s="22" t="inlineStr">
        <is>
          <t>European Commission, DG MOVE — EU transport in figures: statistical pocketbook</t>
        </is>
      </c>
      <c r="I393" s="35" t="inlineStr">
        <is>
          <t>esabcc-t2b-freight-demand</t>
        </is>
      </c>
    </row>
    <row r="394" ht="14" customHeight="1">
      <c r="A394" s="15" t="inlineStr">
        <is>
          <t>T2b</t>
        </is>
      </c>
      <c r="B394" s="15" t="inlineStr">
        <is>
          <t>Total freight transport demand</t>
        </is>
      </c>
      <c r="C394" s="15" t="inlineStr">
        <is>
          <t>Transport</t>
        </is>
      </c>
      <c r="D394" s="15" t="inlineStr">
        <is>
          <t>Gtkm</t>
        </is>
      </c>
      <c r="E394" s="63" t="n">
        <v>2006</v>
      </c>
      <c r="F394" s="64" t="n">
        <v>2193.5</v>
      </c>
      <c r="G394" s="14" t="inlineStr">
        <is>
          <t>In the 2024 report</t>
        </is>
      </c>
      <c r="H394" s="15" t="inlineStr">
        <is>
          <t>European Commission, DG MOVE — EU transport in figures: statistical pocketbook</t>
        </is>
      </c>
      <c r="I394" s="34" t="inlineStr">
        <is>
          <t>esabcc-t2b-freight-demand</t>
        </is>
      </c>
    </row>
    <row r="395" ht="14" customHeight="1">
      <c r="A395" s="22" t="inlineStr">
        <is>
          <t>T2b</t>
        </is>
      </c>
      <c r="B395" s="22" t="inlineStr">
        <is>
          <t>Total freight transport demand</t>
        </is>
      </c>
      <c r="C395" s="22" t="inlineStr">
        <is>
          <t>Transport</t>
        </is>
      </c>
      <c r="D395" s="22" t="inlineStr">
        <is>
          <t>Gtkm</t>
        </is>
      </c>
      <c r="E395" s="65" t="n">
        <v>2007</v>
      </c>
      <c r="F395" s="66" t="n">
        <v>2273.8</v>
      </c>
      <c r="G395" s="67" t="inlineStr">
        <is>
          <t>In the 2024 report</t>
        </is>
      </c>
      <c r="H395" s="22" t="inlineStr">
        <is>
          <t>European Commission, DG MOVE — EU transport in figures: statistical pocketbook</t>
        </is>
      </c>
      <c r="I395" s="35" t="inlineStr">
        <is>
          <t>esabcc-t2b-freight-demand</t>
        </is>
      </c>
    </row>
    <row r="396" ht="14" customHeight="1">
      <c r="A396" s="15" t="inlineStr">
        <is>
          <t>T2b</t>
        </is>
      </c>
      <c r="B396" s="15" t="inlineStr">
        <is>
          <t>Total freight transport demand</t>
        </is>
      </c>
      <c r="C396" s="15" t="inlineStr">
        <is>
          <t>Transport</t>
        </is>
      </c>
      <c r="D396" s="15" t="inlineStr">
        <is>
          <t>Gtkm</t>
        </is>
      </c>
      <c r="E396" s="63" t="n">
        <v>2008</v>
      </c>
      <c r="F396" s="64" t="n">
        <v>2245.1</v>
      </c>
      <c r="G396" s="14" t="inlineStr">
        <is>
          <t>In the 2024 report</t>
        </is>
      </c>
      <c r="H396" s="15" t="inlineStr">
        <is>
          <t>European Commission, DG MOVE — EU transport in figures: statistical pocketbook</t>
        </is>
      </c>
      <c r="I396" s="34" t="inlineStr">
        <is>
          <t>esabcc-t2b-freight-demand</t>
        </is>
      </c>
    </row>
    <row r="397" ht="14" customHeight="1">
      <c r="A397" s="22" t="inlineStr">
        <is>
          <t>T2b</t>
        </is>
      </c>
      <c r="B397" s="22" t="inlineStr">
        <is>
          <t>Total freight transport demand</t>
        </is>
      </c>
      <c r="C397" s="22" t="inlineStr">
        <is>
          <t>Transport</t>
        </is>
      </c>
      <c r="D397" s="22" t="inlineStr">
        <is>
          <t>Gtkm</t>
        </is>
      </c>
      <c r="E397" s="65" t="n">
        <v>2009</v>
      </c>
      <c r="F397" s="66" t="n">
        <v>1992.3</v>
      </c>
      <c r="G397" s="67" t="inlineStr">
        <is>
          <t>In the 2024 report</t>
        </is>
      </c>
      <c r="H397" s="22" t="inlineStr">
        <is>
          <t>European Commission, DG MOVE — EU transport in figures: statistical pocketbook</t>
        </is>
      </c>
      <c r="I397" s="35" t="inlineStr">
        <is>
          <t>esabcc-t2b-freight-demand</t>
        </is>
      </c>
    </row>
    <row r="398" ht="14" customHeight="1">
      <c r="A398" s="15" t="inlineStr">
        <is>
          <t>T2b</t>
        </is>
      </c>
      <c r="B398" s="15" t="inlineStr">
        <is>
          <t>Total freight transport demand</t>
        </is>
      </c>
      <c r="C398" s="15" t="inlineStr">
        <is>
          <t>Transport</t>
        </is>
      </c>
      <c r="D398" s="15" t="inlineStr">
        <is>
          <t>Gtkm</t>
        </is>
      </c>
      <c r="E398" s="63" t="n">
        <v>2010</v>
      </c>
      <c r="F398" s="64" t="n">
        <v>2088.6</v>
      </c>
      <c r="G398" s="14" t="inlineStr">
        <is>
          <t>In the 2024 report</t>
        </is>
      </c>
      <c r="H398" s="15" t="inlineStr">
        <is>
          <t>European Commission, DG MOVE — EU transport in figures: statistical pocketbook</t>
        </is>
      </c>
      <c r="I398" s="34" t="inlineStr">
        <is>
          <t>esabcc-t2b-freight-demand</t>
        </is>
      </c>
    </row>
    <row r="399" ht="14" customHeight="1">
      <c r="A399" s="22" t="inlineStr">
        <is>
          <t>T2b</t>
        </is>
      </c>
      <c r="B399" s="22" t="inlineStr">
        <is>
          <t>Total freight transport demand</t>
        </is>
      </c>
      <c r="C399" s="22" t="inlineStr">
        <is>
          <t>Transport</t>
        </is>
      </c>
      <c r="D399" s="22" t="inlineStr">
        <is>
          <t>Gtkm</t>
        </is>
      </c>
      <c r="E399" s="65" t="n">
        <v>2011</v>
      </c>
      <c r="F399" s="66" t="n">
        <v>2084.6</v>
      </c>
      <c r="G399" s="67" t="inlineStr">
        <is>
          <t>In the 2024 report</t>
        </is>
      </c>
      <c r="H399" s="22" t="inlineStr">
        <is>
          <t>European Commission, DG MOVE — EU transport in figures: statistical pocketbook</t>
        </is>
      </c>
      <c r="I399" s="35" t="inlineStr">
        <is>
          <t>esabcc-t2b-freight-demand</t>
        </is>
      </c>
    </row>
    <row r="400" ht="14" customHeight="1">
      <c r="A400" s="15" t="inlineStr">
        <is>
          <t>T2b</t>
        </is>
      </c>
      <c r="B400" s="15" t="inlineStr">
        <is>
          <t>Total freight transport demand</t>
        </is>
      </c>
      <c r="C400" s="15" t="inlineStr">
        <is>
          <t>Transport</t>
        </is>
      </c>
      <c r="D400" s="15" t="inlineStr">
        <is>
          <t>Gtkm</t>
        </is>
      </c>
      <c r="E400" s="63" t="n">
        <v>2012</v>
      </c>
      <c r="F400" s="64" t="n">
        <v>2016.7</v>
      </c>
      <c r="G400" s="14" t="inlineStr">
        <is>
          <t>In the 2024 report</t>
        </is>
      </c>
      <c r="H400" s="15" t="inlineStr">
        <is>
          <t>European Commission, DG MOVE — EU transport in figures: statistical pocketbook</t>
        </is>
      </c>
      <c r="I400" s="34" t="inlineStr">
        <is>
          <t>esabcc-t2b-freight-demand</t>
        </is>
      </c>
    </row>
    <row r="401" ht="14" customHeight="1">
      <c r="A401" s="22" t="inlineStr">
        <is>
          <t>T2b</t>
        </is>
      </c>
      <c r="B401" s="22" t="inlineStr">
        <is>
          <t>Total freight transport demand</t>
        </is>
      </c>
      <c r="C401" s="22" t="inlineStr">
        <is>
          <t>Transport</t>
        </is>
      </c>
      <c r="D401" s="22" t="inlineStr">
        <is>
          <t>Gtkm</t>
        </is>
      </c>
      <c r="E401" s="65" t="n">
        <v>2013</v>
      </c>
      <c r="F401" s="66" t="n">
        <v>2053.3</v>
      </c>
      <c r="G401" s="67" t="inlineStr">
        <is>
          <t>In the 2024 report</t>
        </is>
      </c>
      <c r="H401" s="22" t="inlineStr">
        <is>
          <t>European Commission, DG MOVE — EU transport in figures: statistical pocketbook</t>
        </is>
      </c>
      <c r="I401" s="35" t="inlineStr">
        <is>
          <t>esabcc-t2b-freight-demand</t>
        </is>
      </c>
    </row>
    <row r="402" ht="14" customHeight="1">
      <c r="A402" s="15" t="inlineStr">
        <is>
          <t>T2b</t>
        </is>
      </c>
      <c r="B402" s="15" t="inlineStr">
        <is>
          <t>Total freight transport demand</t>
        </is>
      </c>
      <c r="C402" s="15" t="inlineStr">
        <is>
          <t>Transport</t>
        </is>
      </c>
      <c r="D402" s="15" t="inlineStr">
        <is>
          <t>Gtkm</t>
        </is>
      </c>
      <c r="E402" s="63" t="n">
        <v>2014</v>
      </c>
      <c r="F402" s="64" t="n">
        <v>2067.1</v>
      </c>
      <c r="G402" s="14" t="inlineStr">
        <is>
          <t>In the 2024 report</t>
        </is>
      </c>
      <c r="H402" s="15" t="inlineStr">
        <is>
          <t>European Commission, DG MOVE — EU transport in figures: statistical pocketbook</t>
        </is>
      </c>
      <c r="I402" s="34" t="inlineStr">
        <is>
          <t>esabcc-t2b-freight-demand</t>
        </is>
      </c>
    </row>
    <row r="403" ht="14" customHeight="1">
      <c r="A403" s="22" t="inlineStr">
        <is>
          <t>T2b</t>
        </is>
      </c>
      <c r="B403" s="22" t="inlineStr">
        <is>
          <t>Total freight transport demand</t>
        </is>
      </c>
      <c r="C403" s="22" t="inlineStr">
        <is>
          <t>Transport</t>
        </is>
      </c>
      <c r="D403" s="22" t="inlineStr">
        <is>
          <t>Gtkm</t>
        </is>
      </c>
      <c r="E403" s="65" t="n">
        <v>2015</v>
      </c>
      <c r="F403" s="66" t="n">
        <v>2107.9</v>
      </c>
      <c r="G403" s="67" t="inlineStr">
        <is>
          <t>In the 2024 report</t>
        </is>
      </c>
      <c r="H403" s="22" t="inlineStr">
        <is>
          <t>European Commission, DG MOVE — EU transport in figures: statistical pocketbook</t>
        </is>
      </c>
      <c r="I403" s="35" t="inlineStr">
        <is>
          <t>esabcc-t2b-freight-demand</t>
        </is>
      </c>
    </row>
    <row r="404" ht="14" customHeight="1">
      <c r="A404" s="15" t="inlineStr">
        <is>
          <t>T2b</t>
        </is>
      </c>
      <c r="B404" s="15" t="inlineStr">
        <is>
          <t>Total freight transport demand</t>
        </is>
      </c>
      <c r="C404" s="15" t="inlineStr">
        <is>
          <t>Transport</t>
        </is>
      </c>
      <c r="D404" s="15" t="inlineStr">
        <is>
          <t>Gtkm</t>
        </is>
      </c>
      <c r="E404" s="63" t="n">
        <v>2016</v>
      </c>
      <c r="F404" s="64" t="n">
        <v>2173.8</v>
      </c>
      <c r="G404" s="14" t="inlineStr">
        <is>
          <t>In the 2024 report</t>
        </is>
      </c>
      <c r="H404" s="15" t="inlineStr">
        <is>
          <t>European Commission, DG MOVE — EU transport in figures: statistical pocketbook</t>
        </is>
      </c>
      <c r="I404" s="34" t="inlineStr">
        <is>
          <t>esabcc-t2b-freight-demand</t>
        </is>
      </c>
    </row>
    <row r="405" ht="14" customHeight="1">
      <c r="A405" s="22" t="inlineStr">
        <is>
          <t>T2b</t>
        </is>
      </c>
      <c r="B405" s="22" t="inlineStr">
        <is>
          <t>Total freight transport demand</t>
        </is>
      </c>
      <c r="C405" s="22" t="inlineStr">
        <is>
          <t>Transport</t>
        </is>
      </c>
      <c r="D405" s="22" t="inlineStr">
        <is>
          <t>Gtkm</t>
        </is>
      </c>
      <c r="E405" s="65" t="n">
        <v>2017</v>
      </c>
      <c r="F405" s="66" t="n">
        <v>2265.8</v>
      </c>
      <c r="G405" s="67" t="inlineStr">
        <is>
          <t>In the 2024 report</t>
        </is>
      </c>
      <c r="H405" s="22" t="inlineStr">
        <is>
          <t>European Commission, DG MOVE — EU transport in figures: statistical pocketbook</t>
        </is>
      </c>
      <c r="I405" s="35" t="inlineStr">
        <is>
          <t>esabcc-t2b-freight-demand</t>
        </is>
      </c>
    </row>
    <row r="406" ht="14" customHeight="1">
      <c r="A406" s="15" t="inlineStr">
        <is>
          <t>T2b</t>
        </is>
      </c>
      <c r="B406" s="15" t="inlineStr">
        <is>
          <t>Total freight transport demand</t>
        </is>
      </c>
      <c r="C406" s="15" t="inlineStr">
        <is>
          <t>Transport</t>
        </is>
      </c>
      <c r="D406" s="15" t="inlineStr">
        <is>
          <t>Gtkm</t>
        </is>
      </c>
      <c r="E406" s="63" t="n">
        <v>2018</v>
      </c>
      <c r="F406" s="64" t="n">
        <v>2257.1</v>
      </c>
      <c r="G406" s="14" t="inlineStr">
        <is>
          <t>In the 2024 report</t>
        </is>
      </c>
      <c r="H406" s="15" t="inlineStr">
        <is>
          <t>European Commission, DG MOVE — EU transport in figures: statistical pocketbook</t>
        </is>
      </c>
      <c r="I406" s="34" t="inlineStr">
        <is>
          <t>esabcc-t2b-freight-demand</t>
        </is>
      </c>
    </row>
    <row r="407" ht="14" customHeight="1">
      <c r="A407" s="22" t="inlineStr">
        <is>
          <t>T2b</t>
        </is>
      </c>
      <c r="B407" s="22" t="inlineStr">
        <is>
          <t>Total freight transport demand</t>
        </is>
      </c>
      <c r="C407" s="22" t="inlineStr">
        <is>
          <t>Transport</t>
        </is>
      </c>
      <c r="D407" s="22" t="inlineStr">
        <is>
          <t>Gtkm</t>
        </is>
      </c>
      <c r="E407" s="65" t="n">
        <v>2019</v>
      </c>
      <c r="F407" s="66" t="n">
        <v>2312.4</v>
      </c>
      <c r="G407" s="67" t="inlineStr">
        <is>
          <t>In the 2024 report</t>
        </is>
      </c>
      <c r="H407" s="22" t="inlineStr">
        <is>
          <t>European Commission, DG MOVE — EU transport in figures: statistical pocketbook</t>
        </is>
      </c>
      <c r="I407" s="35" t="inlineStr">
        <is>
          <t>esabcc-t2b-freight-demand</t>
        </is>
      </c>
    </row>
    <row r="408" ht="14" customHeight="1">
      <c r="A408" s="15" t="inlineStr">
        <is>
          <t>T2b</t>
        </is>
      </c>
      <c r="B408" s="15" t="inlineStr">
        <is>
          <t>Total freight transport demand</t>
        </is>
      </c>
      <c r="C408" s="15" t="inlineStr">
        <is>
          <t>Transport</t>
        </is>
      </c>
      <c r="D408" s="15" t="inlineStr">
        <is>
          <t>Gtkm</t>
        </is>
      </c>
      <c r="E408" s="63" t="n">
        <v>2020</v>
      </c>
      <c r="F408" s="64" t="n">
        <v>2254</v>
      </c>
      <c r="G408" s="14" t="inlineStr">
        <is>
          <t>In the 2024 report</t>
        </is>
      </c>
      <c r="H408" s="15" t="inlineStr">
        <is>
          <t>European Commission, DG MOVE — EU transport in figures: statistical pocketbook</t>
        </is>
      </c>
      <c r="I408" s="34" t="inlineStr">
        <is>
          <t>esabcc-t2b-freight-demand</t>
        </is>
      </c>
    </row>
    <row r="409" ht="14" customHeight="1">
      <c r="A409" s="22" t="inlineStr">
        <is>
          <t>T2b</t>
        </is>
      </c>
      <c r="B409" s="22" t="inlineStr">
        <is>
          <t>Total freight transport demand</t>
        </is>
      </c>
      <c r="C409" s="22" t="inlineStr">
        <is>
          <t>Transport</t>
        </is>
      </c>
      <c r="D409" s="22" t="inlineStr">
        <is>
          <t>Gtkm</t>
        </is>
      </c>
      <c r="E409" s="65" t="n">
        <v>2023</v>
      </c>
      <c r="F409" s="66" t="n">
        <v>2319</v>
      </c>
      <c r="G409" s="69" t="inlineStr">
        <is>
          <t>Added since the report</t>
        </is>
      </c>
      <c r="H409" s="22" t="inlineStr">
        <is>
          <t>European Commission, DG MOVE — EU transport in figures: statistical pocketbook</t>
        </is>
      </c>
      <c r="I409" s="35" t="inlineStr">
        <is>
          <t>esabcc-t2b-freight-demand</t>
        </is>
      </c>
    </row>
    <row r="410" ht="14" customHeight="1">
      <c r="A410" s="15" t="inlineStr">
        <is>
          <t>T3a</t>
        </is>
      </c>
      <c r="B410" s="15" t="inlineStr">
        <is>
          <t>Road share of motorised inland passenger transport</t>
        </is>
      </c>
      <c r="C410" s="15" t="inlineStr">
        <is>
          <t>Transport</t>
        </is>
      </c>
      <c r="D410" s="15" t="inlineStr">
        <is>
          <t>%</t>
        </is>
      </c>
      <c r="E410" s="63" t="n">
        <v>2005</v>
      </c>
      <c r="F410" s="64" t="n">
        <v>81.28</v>
      </c>
      <c r="G410" s="14" t="inlineStr">
        <is>
          <t>In the 2024 report</t>
        </is>
      </c>
      <c r="H410" s="15" t="inlineStr">
        <is>
          <t>European Commission, DG MOVE — EU transport in figures: statistical pocketbook</t>
        </is>
      </c>
      <c r="I410" s="34" t="inlineStr">
        <is>
          <t>esabcc-t3a-road-share-passenger</t>
        </is>
      </c>
    </row>
    <row r="411" ht="14" customHeight="1">
      <c r="A411" s="22" t="inlineStr">
        <is>
          <t>T3a</t>
        </is>
      </c>
      <c r="B411" s="22" t="inlineStr">
        <is>
          <t>Road share of motorised inland passenger transport</t>
        </is>
      </c>
      <c r="C411" s="22" t="inlineStr">
        <is>
          <t>Transport</t>
        </is>
      </c>
      <c r="D411" s="22" t="inlineStr">
        <is>
          <t>%</t>
        </is>
      </c>
      <c r="E411" s="65" t="n">
        <v>2006</v>
      </c>
      <c r="F411" s="66" t="n">
        <v>81.23</v>
      </c>
      <c r="G411" s="67" t="inlineStr">
        <is>
          <t>In the 2024 report</t>
        </is>
      </c>
      <c r="H411" s="22" t="inlineStr">
        <is>
          <t>European Commission, DG MOVE — EU transport in figures: statistical pocketbook</t>
        </is>
      </c>
      <c r="I411" s="35" t="inlineStr">
        <is>
          <t>esabcc-t3a-road-share-passenger</t>
        </is>
      </c>
    </row>
    <row r="412" ht="14" customHeight="1">
      <c r="A412" s="15" t="inlineStr">
        <is>
          <t>T3a</t>
        </is>
      </c>
      <c r="B412" s="15" t="inlineStr">
        <is>
          <t>Road share of motorised inland passenger transport</t>
        </is>
      </c>
      <c r="C412" s="15" t="inlineStr">
        <is>
          <t>Transport</t>
        </is>
      </c>
      <c r="D412" s="15" t="inlineStr">
        <is>
          <t>%</t>
        </is>
      </c>
      <c r="E412" s="63" t="n">
        <v>2007</v>
      </c>
      <c r="F412" s="64" t="n">
        <v>81.13</v>
      </c>
      <c r="G412" s="14" t="inlineStr">
        <is>
          <t>In the 2024 report</t>
        </is>
      </c>
      <c r="H412" s="15" t="inlineStr">
        <is>
          <t>European Commission, DG MOVE — EU transport in figures: statistical pocketbook</t>
        </is>
      </c>
      <c r="I412" s="34" t="inlineStr">
        <is>
          <t>esabcc-t3a-road-share-passenger</t>
        </is>
      </c>
    </row>
    <row r="413" ht="14" customHeight="1">
      <c r="A413" s="22" t="inlineStr">
        <is>
          <t>T3a</t>
        </is>
      </c>
      <c r="B413" s="22" t="inlineStr">
        <is>
          <t>Road share of motorised inland passenger transport</t>
        </is>
      </c>
      <c r="C413" s="22" t="inlineStr">
        <is>
          <t>Transport</t>
        </is>
      </c>
      <c r="D413" s="22" t="inlineStr">
        <is>
          <t>%</t>
        </is>
      </c>
      <c r="E413" s="65" t="n">
        <v>2008</v>
      </c>
      <c r="F413" s="66" t="n">
        <v>80.81999999999999</v>
      </c>
      <c r="G413" s="67" t="inlineStr">
        <is>
          <t>In the 2024 report</t>
        </is>
      </c>
      <c r="H413" s="22" t="inlineStr">
        <is>
          <t>European Commission, DG MOVE — EU transport in figures: statistical pocketbook</t>
        </is>
      </c>
      <c r="I413" s="35" t="inlineStr">
        <is>
          <t>esabcc-t3a-road-share-passenger</t>
        </is>
      </c>
    </row>
    <row r="414" ht="14" customHeight="1">
      <c r="A414" s="15" t="inlineStr">
        <is>
          <t>T3a</t>
        </is>
      </c>
      <c r="B414" s="15" t="inlineStr">
        <is>
          <t>Road share of motorised inland passenger transport</t>
        </is>
      </c>
      <c r="C414" s="15" t="inlineStr">
        <is>
          <t>Transport</t>
        </is>
      </c>
      <c r="D414" s="15" t="inlineStr">
        <is>
          <t>%</t>
        </is>
      </c>
      <c r="E414" s="63" t="n">
        <v>2009</v>
      </c>
      <c r="F414" s="64" t="n">
        <v>81.63</v>
      </c>
      <c r="G414" s="14" t="inlineStr">
        <is>
          <t>In the 2024 report</t>
        </is>
      </c>
      <c r="H414" s="15" t="inlineStr">
        <is>
          <t>European Commission, DG MOVE — EU transport in figures: statistical pocketbook</t>
        </is>
      </c>
      <c r="I414" s="34" t="inlineStr">
        <is>
          <t>esabcc-t3a-road-share-passenger</t>
        </is>
      </c>
    </row>
    <row r="415" ht="14" customHeight="1">
      <c r="A415" s="22" t="inlineStr">
        <is>
          <t>T3a</t>
        </is>
      </c>
      <c r="B415" s="22" t="inlineStr">
        <is>
          <t>Road share of motorised inland passenger transport</t>
        </is>
      </c>
      <c r="C415" s="22" t="inlineStr">
        <is>
          <t>Transport</t>
        </is>
      </c>
      <c r="D415" s="22" t="inlineStr">
        <is>
          <t>%</t>
        </is>
      </c>
      <c r="E415" s="65" t="n">
        <v>2010</v>
      </c>
      <c r="F415" s="66" t="n">
        <v>81.62</v>
      </c>
      <c r="G415" s="67" t="inlineStr">
        <is>
          <t>In the 2024 report</t>
        </is>
      </c>
      <c r="H415" s="22" t="inlineStr">
        <is>
          <t>European Commission, DG MOVE — EU transport in figures: statistical pocketbook</t>
        </is>
      </c>
      <c r="I415" s="35" t="inlineStr">
        <is>
          <t>esabcc-t3a-road-share-passenger</t>
        </is>
      </c>
    </row>
    <row r="416" ht="14" customHeight="1">
      <c r="A416" s="15" t="inlineStr">
        <is>
          <t>T3a</t>
        </is>
      </c>
      <c r="B416" s="15" t="inlineStr">
        <is>
          <t>Road share of motorised inland passenger transport</t>
        </is>
      </c>
      <c r="C416" s="15" t="inlineStr">
        <is>
          <t>Transport</t>
        </is>
      </c>
      <c r="D416" s="15" t="inlineStr">
        <is>
          <t>%</t>
        </is>
      </c>
      <c r="E416" s="63" t="n">
        <v>2011</v>
      </c>
      <c r="F416" s="64" t="n">
        <v>81.34999999999999</v>
      </c>
      <c r="G416" s="14" t="inlineStr">
        <is>
          <t>In the 2024 report</t>
        </is>
      </c>
      <c r="H416" s="15" t="inlineStr">
        <is>
          <t>European Commission, DG MOVE — EU transport in figures: statistical pocketbook</t>
        </is>
      </c>
      <c r="I416" s="34" t="inlineStr">
        <is>
          <t>esabcc-t3a-road-share-passenger</t>
        </is>
      </c>
    </row>
    <row r="417" ht="14" customHeight="1">
      <c r="A417" s="22" t="inlineStr">
        <is>
          <t>T3a</t>
        </is>
      </c>
      <c r="B417" s="22" t="inlineStr">
        <is>
          <t>Road share of motorised inland passenger transport</t>
        </is>
      </c>
      <c r="C417" s="22" t="inlineStr">
        <is>
          <t>Transport</t>
        </is>
      </c>
      <c r="D417" s="22" t="inlineStr">
        <is>
          <t>%</t>
        </is>
      </c>
      <c r="E417" s="65" t="n">
        <v>2012</v>
      </c>
      <c r="F417" s="66" t="n">
        <v>81.17</v>
      </c>
      <c r="G417" s="67" t="inlineStr">
        <is>
          <t>In the 2024 report</t>
        </is>
      </c>
      <c r="H417" s="22" t="inlineStr">
        <is>
          <t>European Commission, DG MOVE — EU transport in figures: statistical pocketbook</t>
        </is>
      </c>
      <c r="I417" s="35" t="inlineStr">
        <is>
          <t>esabcc-t3a-road-share-passenger</t>
        </is>
      </c>
    </row>
    <row r="418" ht="14" customHeight="1">
      <c r="A418" s="15" t="inlineStr">
        <is>
          <t>T3a</t>
        </is>
      </c>
      <c r="B418" s="15" t="inlineStr">
        <is>
          <t>Road share of motorised inland passenger transport</t>
        </is>
      </c>
      <c r="C418" s="15" t="inlineStr">
        <is>
          <t>Transport</t>
        </is>
      </c>
      <c r="D418" s="15" t="inlineStr">
        <is>
          <t>%</t>
        </is>
      </c>
      <c r="E418" s="63" t="n">
        <v>2013</v>
      </c>
      <c r="F418" s="64" t="n">
        <v>81.34</v>
      </c>
      <c r="G418" s="14" t="inlineStr">
        <is>
          <t>In the 2024 report</t>
        </is>
      </c>
      <c r="H418" s="15" t="inlineStr">
        <is>
          <t>European Commission, DG MOVE — EU transport in figures: statistical pocketbook</t>
        </is>
      </c>
      <c r="I418" s="34" t="inlineStr">
        <is>
          <t>esabcc-t3a-road-share-passenger</t>
        </is>
      </c>
    </row>
    <row r="419" ht="14" customHeight="1">
      <c r="A419" s="22" t="inlineStr">
        <is>
          <t>T3a</t>
        </is>
      </c>
      <c r="B419" s="22" t="inlineStr">
        <is>
          <t>Road share of motorised inland passenger transport</t>
        </is>
      </c>
      <c r="C419" s="22" t="inlineStr">
        <is>
          <t>Transport</t>
        </is>
      </c>
      <c r="D419" s="22" t="inlineStr">
        <is>
          <t>%</t>
        </is>
      </c>
      <c r="E419" s="65" t="n">
        <v>2014</v>
      </c>
      <c r="F419" s="66" t="n">
        <v>81.54000000000001</v>
      </c>
      <c r="G419" s="67" t="inlineStr">
        <is>
          <t>In the 2024 report</t>
        </is>
      </c>
      <c r="H419" s="22" t="inlineStr">
        <is>
          <t>European Commission, DG MOVE — EU transport in figures: statistical pocketbook</t>
        </is>
      </c>
      <c r="I419" s="35" t="inlineStr">
        <is>
          <t>esabcc-t3a-road-share-passenger</t>
        </is>
      </c>
    </row>
    <row r="420" ht="14" customHeight="1">
      <c r="A420" s="15" t="inlineStr">
        <is>
          <t>T3a</t>
        </is>
      </c>
      <c r="B420" s="15" t="inlineStr">
        <is>
          <t>Road share of motorised inland passenger transport</t>
        </is>
      </c>
      <c r="C420" s="15" t="inlineStr">
        <is>
          <t>Transport</t>
        </is>
      </c>
      <c r="D420" s="15" t="inlineStr">
        <is>
          <t>%</t>
        </is>
      </c>
      <c r="E420" s="63" t="n">
        <v>2015</v>
      </c>
      <c r="F420" s="64" t="n">
        <v>81.54000000000001</v>
      </c>
      <c r="G420" s="14" t="inlineStr">
        <is>
          <t>In the 2024 report</t>
        </is>
      </c>
      <c r="H420" s="15" t="inlineStr">
        <is>
          <t>European Commission, DG MOVE — EU transport in figures: statistical pocketbook</t>
        </is>
      </c>
      <c r="I420" s="34" t="inlineStr">
        <is>
          <t>esabcc-t3a-road-share-passenger</t>
        </is>
      </c>
    </row>
    <row r="421" ht="14" customHeight="1">
      <c r="A421" s="22" t="inlineStr">
        <is>
          <t>T3a</t>
        </is>
      </c>
      <c r="B421" s="22" t="inlineStr">
        <is>
          <t>Road share of motorised inland passenger transport</t>
        </is>
      </c>
      <c r="C421" s="22" t="inlineStr">
        <is>
          <t>Transport</t>
        </is>
      </c>
      <c r="D421" s="22" t="inlineStr">
        <is>
          <t>%</t>
        </is>
      </c>
      <c r="E421" s="65" t="n">
        <v>2016</v>
      </c>
      <c r="F421" s="66" t="n">
        <v>81.65000000000001</v>
      </c>
      <c r="G421" s="67" t="inlineStr">
        <is>
          <t>In the 2024 report</t>
        </is>
      </c>
      <c r="H421" s="22" t="inlineStr">
        <is>
          <t>European Commission, DG MOVE — EU transport in figures: statistical pocketbook</t>
        </is>
      </c>
      <c r="I421" s="35" t="inlineStr">
        <is>
          <t>esabcc-t3a-road-share-passenger</t>
        </is>
      </c>
    </row>
    <row r="422" ht="14" customHeight="1">
      <c r="A422" s="15" t="inlineStr">
        <is>
          <t>T3a</t>
        </is>
      </c>
      <c r="B422" s="15" t="inlineStr">
        <is>
          <t>Road share of motorised inland passenger transport</t>
        </is>
      </c>
      <c r="C422" s="15" t="inlineStr">
        <is>
          <t>Transport</t>
        </is>
      </c>
      <c r="D422" s="15" t="inlineStr">
        <is>
          <t>%</t>
        </is>
      </c>
      <c r="E422" s="63" t="n">
        <v>2017</v>
      </c>
      <c r="F422" s="64" t="n">
        <v>81.83</v>
      </c>
      <c r="G422" s="14" t="inlineStr">
        <is>
          <t>In the 2024 report</t>
        </is>
      </c>
      <c r="H422" s="15" t="inlineStr">
        <is>
          <t>European Commission, DG MOVE — EU transport in figures: statistical pocketbook</t>
        </is>
      </c>
      <c r="I422" s="34" t="inlineStr">
        <is>
          <t>esabcc-t3a-road-share-passenger</t>
        </is>
      </c>
    </row>
    <row r="423" ht="14" customHeight="1">
      <c r="A423" s="22" t="inlineStr">
        <is>
          <t>T3a</t>
        </is>
      </c>
      <c r="B423" s="22" t="inlineStr">
        <is>
          <t>Road share of motorised inland passenger transport</t>
        </is>
      </c>
      <c r="C423" s="22" t="inlineStr">
        <is>
          <t>Transport</t>
        </is>
      </c>
      <c r="D423" s="22" t="inlineStr">
        <is>
          <t>%</t>
        </is>
      </c>
      <c r="E423" s="65" t="n">
        <v>2018</v>
      </c>
      <c r="F423" s="66" t="n">
        <v>81.69</v>
      </c>
      <c r="G423" s="67" t="inlineStr">
        <is>
          <t>In the 2024 report</t>
        </is>
      </c>
      <c r="H423" s="22" t="inlineStr">
        <is>
          <t>European Commission, DG MOVE — EU transport in figures: statistical pocketbook</t>
        </is>
      </c>
      <c r="I423" s="35" t="inlineStr">
        <is>
          <t>esabcc-t3a-road-share-passenger</t>
        </is>
      </c>
    </row>
    <row r="424" ht="14" customHeight="1">
      <c r="A424" s="15" t="inlineStr">
        <is>
          <t>T3a</t>
        </is>
      </c>
      <c r="B424" s="15" t="inlineStr">
        <is>
          <t>Road share of motorised inland passenger transport</t>
        </is>
      </c>
      <c r="C424" s="15" t="inlineStr">
        <is>
          <t>Transport</t>
        </is>
      </c>
      <c r="D424" s="15" t="inlineStr">
        <is>
          <t>%</t>
        </is>
      </c>
      <c r="E424" s="63" t="n">
        <v>2019</v>
      </c>
      <c r="F424" s="64" t="n">
        <v>81.59</v>
      </c>
      <c r="G424" s="14" t="inlineStr">
        <is>
          <t>In the 2024 report</t>
        </is>
      </c>
      <c r="H424" s="15" t="inlineStr">
        <is>
          <t>European Commission, DG MOVE — EU transport in figures: statistical pocketbook</t>
        </is>
      </c>
      <c r="I424" s="34" t="inlineStr">
        <is>
          <t>esabcc-t3a-road-share-passenger</t>
        </is>
      </c>
    </row>
    <row r="425" ht="14" customHeight="1">
      <c r="A425" s="22" t="inlineStr">
        <is>
          <t>T3a</t>
        </is>
      </c>
      <c r="B425" s="22" t="inlineStr">
        <is>
          <t>Road share of motorised inland passenger transport</t>
        </is>
      </c>
      <c r="C425" s="22" t="inlineStr">
        <is>
          <t>Transport</t>
        </is>
      </c>
      <c r="D425" s="22" t="inlineStr">
        <is>
          <t>%</t>
        </is>
      </c>
      <c r="E425" s="65" t="n">
        <v>2020</v>
      </c>
      <c r="F425" s="66" t="n">
        <v>86.5</v>
      </c>
      <c r="G425" s="67" t="inlineStr">
        <is>
          <t>In the 2024 report</t>
        </is>
      </c>
      <c r="H425" s="22" t="inlineStr">
        <is>
          <t>European Commission, DG MOVE — EU transport in figures: statistical pocketbook</t>
        </is>
      </c>
      <c r="I425" s="35" t="inlineStr">
        <is>
          <t>esabcc-t3a-road-share-passenger</t>
        </is>
      </c>
    </row>
    <row r="426" ht="14" customHeight="1">
      <c r="A426" s="15" t="inlineStr">
        <is>
          <t>T3a</t>
        </is>
      </c>
      <c r="B426" s="15" t="inlineStr">
        <is>
          <t>Road share of motorised inland passenger transport</t>
        </is>
      </c>
      <c r="C426" s="15" t="inlineStr">
        <is>
          <t>Transport</t>
        </is>
      </c>
      <c r="D426" s="15" t="inlineStr">
        <is>
          <t>%</t>
        </is>
      </c>
      <c r="E426" s="63" t="n">
        <v>2021</v>
      </c>
      <c r="F426" s="64" t="n">
        <v>86.23</v>
      </c>
      <c r="G426" s="68" t="inlineStr">
        <is>
          <t>Added since the report</t>
        </is>
      </c>
      <c r="H426" s="15" t="inlineStr">
        <is>
          <t>European Commission, DG MOVE — EU transport in figures: statistical pocketbook</t>
        </is>
      </c>
      <c r="I426" s="34" t="inlineStr">
        <is>
          <t>esabcc-t3a-road-share-passenger</t>
        </is>
      </c>
    </row>
    <row r="427" ht="14" customHeight="1">
      <c r="A427" s="22" t="inlineStr">
        <is>
          <t>T3a</t>
        </is>
      </c>
      <c r="B427" s="22" t="inlineStr">
        <is>
          <t>Road share of motorised inland passenger transport</t>
        </is>
      </c>
      <c r="C427" s="22" t="inlineStr">
        <is>
          <t>Transport</t>
        </is>
      </c>
      <c r="D427" s="22" t="inlineStr">
        <is>
          <t>%</t>
        </is>
      </c>
      <c r="E427" s="65" t="n">
        <v>2022</v>
      </c>
      <c r="F427" s="66" t="n">
        <v>84.12</v>
      </c>
      <c r="G427" s="69" t="inlineStr">
        <is>
          <t>Added since the report</t>
        </is>
      </c>
      <c r="H427" s="22" t="inlineStr">
        <is>
          <t>European Commission, DG MOVE — EU transport in figures: statistical pocketbook</t>
        </is>
      </c>
      <c r="I427" s="35" t="inlineStr">
        <is>
          <t>esabcc-t3a-road-share-passenger</t>
        </is>
      </c>
    </row>
    <row r="428" ht="14" customHeight="1">
      <c r="A428" s="15" t="inlineStr">
        <is>
          <t>T3a</t>
        </is>
      </c>
      <c r="B428" s="15" t="inlineStr">
        <is>
          <t>Road share of motorised inland passenger transport</t>
        </is>
      </c>
      <c r="C428" s="15" t="inlineStr">
        <is>
          <t>Transport</t>
        </is>
      </c>
      <c r="D428" s="15" t="inlineStr">
        <is>
          <t>%</t>
        </is>
      </c>
      <c r="E428" s="63" t="n">
        <v>2023</v>
      </c>
      <c r="F428" s="64" t="n">
        <v>83.67</v>
      </c>
      <c r="G428" s="68" t="inlineStr">
        <is>
          <t>Added since the report</t>
        </is>
      </c>
      <c r="H428" s="15" t="inlineStr">
        <is>
          <t>European Commission, DG MOVE — EU transport in figures: statistical pocketbook</t>
        </is>
      </c>
      <c r="I428" s="34" t="inlineStr">
        <is>
          <t>esabcc-t3a-road-share-passenger</t>
        </is>
      </c>
    </row>
    <row r="429" ht="14" customHeight="1">
      <c r="A429" s="22" t="inlineStr">
        <is>
          <t>T3a</t>
        </is>
      </c>
      <c r="B429" s="22" t="inlineStr">
        <is>
          <t>Road share of motorised inland passenger transport</t>
        </is>
      </c>
      <c r="C429" s="22" t="inlineStr">
        <is>
          <t>Transport</t>
        </is>
      </c>
      <c r="D429" s="22" t="inlineStr">
        <is>
          <t>%</t>
        </is>
      </c>
      <c r="E429" s="65" t="n">
        <v>2024</v>
      </c>
      <c r="F429" s="66" t="n">
        <v>83.3</v>
      </c>
      <c r="G429" s="69" t="inlineStr">
        <is>
          <t>Added since the report</t>
        </is>
      </c>
      <c r="H429" s="22" t="inlineStr">
        <is>
          <t>European Commission, DG MOVE — EU transport in figures: statistical pocketbook</t>
        </is>
      </c>
      <c r="I429" s="35" t="inlineStr">
        <is>
          <t>esabcc-t3a-road-share-passenger</t>
        </is>
      </c>
    </row>
    <row r="430" ht="14" customHeight="1">
      <c r="A430" s="15" t="inlineStr">
        <is>
          <t>T3b</t>
        </is>
      </c>
      <c r="B430" s="15" t="inlineStr">
        <is>
          <t>Intra-EU air passenger transport</t>
        </is>
      </c>
      <c r="C430" s="15" t="inlineStr">
        <is>
          <t>Transport</t>
        </is>
      </c>
      <c r="D430" s="15" t="inlineStr">
        <is>
          <t>Gpkm</t>
        </is>
      </c>
      <c r="E430" s="63" t="n">
        <v>2005</v>
      </c>
      <c r="F430" s="64" t="n">
        <v>361.3</v>
      </c>
      <c r="G430" s="14" t="inlineStr">
        <is>
          <t>In the 2024 report</t>
        </is>
      </c>
      <c r="H430" s="15" t="inlineStr">
        <is>
          <t>European Commission, DG MOVE — EU transport in figures: statistical pocketbook</t>
        </is>
      </c>
      <c r="I430" s="34" t="inlineStr">
        <is>
          <t>esabcc-t3b-air-passenger</t>
        </is>
      </c>
    </row>
    <row r="431" ht="14" customHeight="1">
      <c r="A431" s="22" t="inlineStr">
        <is>
          <t>T3b</t>
        </is>
      </c>
      <c r="B431" s="22" t="inlineStr">
        <is>
          <t>Intra-EU air passenger transport</t>
        </is>
      </c>
      <c r="C431" s="22" t="inlineStr">
        <is>
          <t>Transport</t>
        </is>
      </c>
      <c r="D431" s="22" t="inlineStr">
        <is>
          <t>Gpkm</t>
        </is>
      </c>
      <c r="E431" s="65" t="n">
        <v>2006</v>
      </c>
      <c r="F431" s="66" t="n">
        <v>376.4</v>
      </c>
      <c r="G431" s="67" t="inlineStr">
        <is>
          <t>In the 2024 report</t>
        </is>
      </c>
      <c r="H431" s="22" t="inlineStr">
        <is>
          <t>European Commission, DG MOVE — EU transport in figures: statistical pocketbook</t>
        </is>
      </c>
      <c r="I431" s="35" t="inlineStr">
        <is>
          <t>esabcc-t3b-air-passenger</t>
        </is>
      </c>
    </row>
    <row r="432" ht="14" customHeight="1">
      <c r="A432" s="15" t="inlineStr">
        <is>
          <t>T3b</t>
        </is>
      </c>
      <c r="B432" s="15" t="inlineStr">
        <is>
          <t>Intra-EU air passenger transport</t>
        </is>
      </c>
      <c r="C432" s="15" t="inlineStr">
        <is>
          <t>Transport</t>
        </is>
      </c>
      <c r="D432" s="15" t="inlineStr">
        <is>
          <t>Gpkm</t>
        </is>
      </c>
      <c r="E432" s="63" t="n">
        <v>2007</v>
      </c>
      <c r="F432" s="64" t="n">
        <v>392.2</v>
      </c>
      <c r="G432" s="14" t="inlineStr">
        <is>
          <t>In the 2024 report</t>
        </is>
      </c>
      <c r="H432" s="15" t="inlineStr">
        <is>
          <t>European Commission, DG MOVE — EU transport in figures: statistical pocketbook</t>
        </is>
      </c>
      <c r="I432" s="34" t="inlineStr">
        <is>
          <t>esabcc-t3b-air-passenger</t>
        </is>
      </c>
    </row>
    <row r="433" ht="14" customHeight="1">
      <c r="A433" s="22" t="inlineStr">
        <is>
          <t>T3b</t>
        </is>
      </c>
      <c r="B433" s="22" t="inlineStr">
        <is>
          <t>Intra-EU air passenger transport</t>
        </is>
      </c>
      <c r="C433" s="22" t="inlineStr">
        <is>
          <t>Transport</t>
        </is>
      </c>
      <c r="D433" s="22" t="inlineStr">
        <is>
          <t>Gpkm</t>
        </is>
      </c>
      <c r="E433" s="65" t="n">
        <v>2008</v>
      </c>
      <c r="F433" s="66" t="n">
        <v>383.8</v>
      </c>
      <c r="G433" s="67" t="inlineStr">
        <is>
          <t>In the 2024 report</t>
        </is>
      </c>
      <c r="H433" s="22" t="inlineStr">
        <is>
          <t>European Commission, DG MOVE — EU transport in figures: statistical pocketbook</t>
        </is>
      </c>
      <c r="I433" s="35" t="inlineStr">
        <is>
          <t>esabcc-t3b-air-passenger</t>
        </is>
      </c>
    </row>
    <row r="434" ht="14" customHeight="1">
      <c r="A434" s="15" t="inlineStr">
        <is>
          <t>T3b</t>
        </is>
      </c>
      <c r="B434" s="15" t="inlineStr">
        <is>
          <t>Intra-EU air passenger transport</t>
        </is>
      </c>
      <c r="C434" s="15" t="inlineStr">
        <is>
          <t>Transport</t>
        </is>
      </c>
      <c r="D434" s="15" t="inlineStr">
        <is>
          <t>Gpkm</t>
        </is>
      </c>
      <c r="E434" s="63" t="n">
        <v>2009</v>
      </c>
      <c r="F434" s="64" t="n">
        <v>361.8</v>
      </c>
      <c r="G434" s="14" t="inlineStr">
        <is>
          <t>In the 2024 report</t>
        </is>
      </c>
      <c r="H434" s="15" t="inlineStr">
        <is>
          <t>European Commission, DG MOVE — EU transport in figures: statistical pocketbook</t>
        </is>
      </c>
      <c r="I434" s="34" t="inlineStr">
        <is>
          <t>esabcc-t3b-air-passenger</t>
        </is>
      </c>
    </row>
    <row r="435" ht="14" customHeight="1">
      <c r="A435" s="22" t="inlineStr">
        <is>
          <t>T3b</t>
        </is>
      </c>
      <c r="B435" s="22" t="inlineStr">
        <is>
          <t>Intra-EU air passenger transport</t>
        </is>
      </c>
      <c r="C435" s="22" t="inlineStr">
        <is>
          <t>Transport</t>
        </is>
      </c>
      <c r="D435" s="22" t="inlineStr">
        <is>
          <t>Gpkm</t>
        </is>
      </c>
      <c r="E435" s="65" t="n">
        <v>2010</v>
      </c>
      <c r="F435" s="66" t="n">
        <v>377.3</v>
      </c>
      <c r="G435" s="67" t="inlineStr">
        <is>
          <t>In the 2024 report</t>
        </is>
      </c>
      <c r="H435" s="22" t="inlineStr">
        <is>
          <t>European Commission, DG MOVE — EU transport in figures: statistical pocketbook</t>
        </is>
      </c>
      <c r="I435" s="35" t="inlineStr">
        <is>
          <t>esabcc-t3b-air-passenger</t>
        </is>
      </c>
    </row>
    <row r="436" ht="14" customHeight="1">
      <c r="A436" s="15" t="inlineStr">
        <is>
          <t>T3b</t>
        </is>
      </c>
      <c r="B436" s="15" t="inlineStr">
        <is>
          <t>Intra-EU air passenger transport</t>
        </is>
      </c>
      <c r="C436" s="15" t="inlineStr">
        <is>
          <t>Transport</t>
        </is>
      </c>
      <c r="D436" s="15" t="inlineStr">
        <is>
          <t>Gpkm</t>
        </is>
      </c>
      <c r="E436" s="63" t="n">
        <v>2011</v>
      </c>
      <c r="F436" s="64" t="n">
        <v>408.5</v>
      </c>
      <c r="G436" s="14" t="inlineStr">
        <is>
          <t>In the 2024 report</t>
        </is>
      </c>
      <c r="H436" s="15" t="inlineStr">
        <is>
          <t>European Commission, DG MOVE — EU transport in figures: statistical pocketbook</t>
        </is>
      </c>
      <c r="I436" s="34" t="inlineStr">
        <is>
          <t>esabcc-t3b-air-passenger</t>
        </is>
      </c>
    </row>
    <row r="437" ht="14" customHeight="1">
      <c r="A437" s="22" t="inlineStr">
        <is>
          <t>T3b</t>
        </is>
      </c>
      <c r="B437" s="22" t="inlineStr">
        <is>
          <t>Intra-EU air passenger transport</t>
        </is>
      </c>
      <c r="C437" s="22" t="inlineStr">
        <is>
          <t>Transport</t>
        </is>
      </c>
      <c r="D437" s="22" t="inlineStr">
        <is>
          <t>Gpkm</t>
        </is>
      </c>
      <c r="E437" s="65" t="n">
        <v>2012</v>
      </c>
      <c r="F437" s="66" t="n">
        <v>402.1</v>
      </c>
      <c r="G437" s="67" t="inlineStr">
        <is>
          <t>In the 2024 report</t>
        </is>
      </c>
      <c r="H437" s="22" t="inlineStr">
        <is>
          <t>European Commission, DG MOVE — EU transport in figures: statistical pocketbook</t>
        </is>
      </c>
      <c r="I437" s="35" t="inlineStr">
        <is>
          <t>esabcc-t3b-air-passenger</t>
        </is>
      </c>
    </row>
    <row r="438" ht="14" customHeight="1">
      <c r="A438" s="15" t="inlineStr">
        <is>
          <t>T3b</t>
        </is>
      </c>
      <c r="B438" s="15" t="inlineStr">
        <is>
          <t>Intra-EU air passenger transport</t>
        </is>
      </c>
      <c r="C438" s="15" t="inlineStr">
        <is>
          <t>Transport</t>
        </is>
      </c>
      <c r="D438" s="15" t="inlineStr">
        <is>
          <t>Gpkm</t>
        </is>
      </c>
      <c r="E438" s="63" t="n">
        <v>2013</v>
      </c>
      <c r="F438" s="64" t="n">
        <v>406</v>
      </c>
      <c r="G438" s="14" t="inlineStr">
        <is>
          <t>In the 2024 report</t>
        </is>
      </c>
      <c r="H438" s="15" t="inlineStr">
        <is>
          <t>European Commission, DG MOVE — EU transport in figures: statistical pocketbook</t>
        </is>
      </c>
      <c r="I438" s="34" t="inlineStr">
        <is>
          <t>esabcc-t3b-air-passenger</t>
        </is>
      </c>
    </row>
    <row r="439" ht="14" customHeight="1">
      <c r="A439" s="22" t="inlineStr">
        <is>
          <t>T3b</t>
        </is>
      </c>
      <c r="B439" s="22" t="inlineStr">
        <is>
          <t>Intra-EU air passenger transport</t>
        </is>
      </c>
      <c r="C439" s="22" t="inlineStr">
        <is>
          <t>Transport</t>
        </is>
      </c>
      <c r="D439" s="22" t="inlineStr">
        <is>
          <t>Gpkm</t>
        </is>
      </c>
      <c r="E439" s="65" t="n">
        <v>2014</v>
      </c>
      <c r="F439" s="66" t="n">
        <v>425.6</v>
      </c>
      <c r="G439" s="67" t="inlineStr">
        <is>
          <t>In the 2024 report</t>
        </is>
      </c>
      <c r="H439" s="22" t="inlineStr">
        <is>
          <t>European Commission, DG MOVE — EU transport in figures: statistical pocketbook</t>
        </is>
      </c>
      <c r="I439" s="35" t="inlineStr">
        <is>
          <t>esabcc-t3b-air-passenger</t>
        </is>
      </c>
    </row>
    <row r="440" ht="14" customHeight="1">
      <c r="A440" s="15" t="inlineStr">
        <is>
          <t>T3b</t>
        </is>
      </c>
      <c r="B440" s="15" t="inlineStr">
        <is>
          <t>Intra-EU air passenger transport</t>
        </is>
      </c>
      <c r="C440" s="15" t="inlineStr">
        <is>
          <t>Transport</t>
        </is>
      </c>
      <c r="D440" s="15" t="inlineStr">
        <is>
          <t>Gpkm</t>
        </is>
      </c>
      <c r="E440" s="63" t="n">
        <v>2015</v>
      </c>
      <c r="F440" s="64" t="n">
        <v>451.8</v>
      </c>
      <c r="G440" s="14" t="inlineStr">
        <is>
          <t>In the 2024 report</t>
        </is>
      </c>
      <c r="H440" s="15" t="inlineStr">
        <is>
          <t>European Commission, DG MOVE — EU transport in figures: statistical pocketbook</t>
        </is>
      </c>
      <c r="I440" s="34" t="inlineStr">
        <is>
          <t>esabcc-t3b-air-passenger</t>
        </is>
      </c>
    </row>
    <row r="441" ht="14" customHeight="1">
      <c r="A441" s="22" t="inlineStr">
        <is>
          <t>T3b</t>
        </is>
      </c>
      <c r="B441" s="22" t="inlineStr">
        <is>
          <t>Intra-EU air passenger transport</t>
        </is>
      </c>
      <c r="C441" s="22" t="inlineStr">
        <is>
          <t>Transport</t>
        </is>
      </c>
      <c r="D441" s="22" t="inlineStr">
        <is>
          <t>Gpkm</t>
        </is>
      </c>
      <c r="E441" s="65" t="n">
        <v>2016</v>
      </c>
      <c r="F441" s="66" t="n">
        <v>492.6</v>
      </c>
      <c r="G441" s="67" t="inlineStr">
        <is>
          <t>In the 2024 report</t>
        </is>
      </c>
      <c r="H441" s="22" t="inlineStr">
        <is>
          <t>European Commission, DG MOVE — EU transport in figures: statistical pocketbook</t>
        </is>
      </c>
      <c r="I441" s="35" t="inlineStr">
        <is>
          <t>esabcc-t3b-air-passenger</t>
        </is>
      </c>
    </row>
    <row r="442" ht="14" customHeight="1">
      <c r="A442" s="15" t="inlineStr">
        <is>
          <t>T3b</t>
        </is>
      </c>
      <c r="B442" s="15" t="inlineStr">
        <is>
          <t>Intra-EU air passenger transport</t>
        </is>
      </c>
      <c r="C442" s="15" t="inlineStr">
        <is>
          <t>Transport</t>
        </is>
      </c>
      <c r="D442" s="15" t="inlineStr">
        <is>
          <t>Gpkm</t>
        </is>
      </c>
      <c r="E442" s="63" t="n">
        <v>2017</v>
      </c>
      <c r="F442" s="64" t="n">
        <v>538.4</v>
      </c>
      <c r="G442" s="14" t="inlineStr">
        <is>
          <t>In the 2024 report</t>
        </is>
      </c>
      <c r="H442" s="15" t="inlineStr">
        <is>
          <t>European Commission, DG MOVE — EU transport in figures: statistical pocketbook</t>
        </is>
      </c>
      <c r="I442" s="34" t="inlineStr">
        <is>
          <t>esabcc-t3b-air-passenger</t>
        </is>
      </c>
    </row>
    <row r="443" ht="14" customHeight="1">
      <c r="A443" s="22" t="inlineStr">
        <is>
          <t>T3b</t>
        </is>
      </c>
      <c r="B443" s="22" t="inlineStr">
        <is>
          <t>Intra-EU air passenger transport</t>
        </is>
      </c>
      <c r="C443" s="22" t="inlineStr">
        <is>
          <t>Transport</t>
        </is>
      </c>
      <c r="D443" s="22" t="inlineStr">
        <is>
          <t>Gpkm</t>
        </is>
      </c>
      <c r="E443" s="65" t="n">
        <v>2018</v>
      </c>
      <c r="F443" s="66" t="n">
        <v>571.8</v>
      </c>
      <c r="G443" s="67" t="inlineStr">
        <is>
          <t>In the 2024 report</t>
        </is>
      </c>
      <c r="H443" s="22" t="inlineStr">
        <is>
          <t>European Commission, DG MOVE — EU transport in figures: statistical pocketbook</t>
        </is>
      </c>
      <c r="I443" s="35" t="inlineStr">
        <is>
          <t>esabcc-t3b-air-passenger</t>
        </is>
      </c>
    </row>
    <row r="444" ht="14" customHeight="1">
      <c r="A444" s="15" t="inlineStr">
        <is>
          <t>T3b</t>
        </is>
      </c>
      <c r="B444" s="15" t="inlineStr">
        <is>
          <t>Intra-EU air passenger transport</t>
        </is>
      </c>
      <c r="C444" s="15" t="inlineStr">
        <is>
          <t>Transport</t>
        </is>
      </c>
      <c r="D444" s="15" t="inlineStr">
        <is>
          <t>Gpkm</t>
        </is>
      </c>
      <c r="E444" s="63" t="n">
        <v>2019</v>
      </c>
      <c r="F444" s="64" t="n">
        <v>585.5</v>
      </c>
      <c r="G444" s="14" t="inlineStr">
        <is>
          <t>In the 2024 report</t>
        </is>
      </c>
      <c r="H444" s="15" t="inlineStr">
        <is>
          <t>European Commission, DG MOVE — EU transport in figures: statistical pocketbook</t>
        </is>
      </c>
      <c r="I444" s="34" t="inlineStr">
        <is>
          <t>esabcc-t3b-air-passenger</t>
        </is>
      </c>
    </row>
    <row r="445" ht="14" customHeight="1">
      <c r="A445" s="22" t="inlineStr">
        <is>
          <t>T3b</t>
        </is>
      </c>
      <c r="B445" s="22" t="inlineStr">
        <is>
          <t>Intra-EU air passenger transport</t>
        </is>
      </c>
      <c r="C445" s="22" t="inlineStr">
        <is>
          <t>Transport</t>
        </is>
      </c>
      <c r="D445" s="22" t="inlineStr">
        <is>
          <t>Gpkm</t>
        </is>
      </c>
      <c r="E445" s="65" t="n">
        <v>2020</v>
      </c>
      <c r="F445" s="66" t="n">
        <v>177.9</v>
      </c>
      <c r="G445" s="67" t="inlineStr">
        <is>
          <t>In the 2024 report</t>
        </is>
      </c>
      <c r="H445" s="22" t="inlineStr">
        <is>
          <t>European Commission, DG MOVE — EU transport in figures: statistical pocketbook</t>
        </is>
      </c>
      <c r="I445" s="35" t="inlineStr">
        <is>
          <t>esabcc-t3b-air-passenger</t>
        </is>
      </c>
    </row>
    <row r="446" ht="14" customHeight="1">
      <c r="A446" s="15" t="inlineStr">
        <is>
          <t>T3b</t>
        </is>
      </c>
      <c r="B446" s="15" t="inlineStr">
        <is>
          <t>Intra-EU air passenger transport</t>
        </is>
      </c>
      <c r="C446" s="15" t="inlineStr">
        <is>
          <t>Transport</t>
        </is>
      </c>
      <c r="D446" s="15" t="inlineStr">
        <is>
          <t>Gpkm</t>
        </is>
      </c>
      <c r="E446" s="63" t="n">
        <v>2022</v>
      </c>
      <c r="F446" s="64" t="n">
        <v>512</v>
      </c>
      <c r="G446" s="68" t="inlineStr">
        <is>
          <t>Added since the report</t>
        </is>
      </c>
      <c r="H446" s="15" t="inlineStr">
        <is>
          <t>European Commission, DG MOVE — EU transport in figures: statistical pocketbook</t>
        </is>
      </c>
      <c r="I446" s="34" t="inlineStr">
        <is>
          <t>esabcc-t3b-air-passenger</t>
        </is>
      </c>
    </row>
    <row r="447" ht="14" customHeight="1">
      <c r="A447" s="22" t="inlineStr">
        <is>
          <t>T3b</t>
        </is>
      </c>
      <c r="B447" s="22" t="inlineStr">
        <is>
          <t>Intra-EU air passenger transport</t>
        </is>
      </c>
      <c r="C447" s="22" t="inlineStr">
        <is>
          <t>Transport</t>
        </is>
      </c>
      <c r="D447" s="22" t="inlineStr">
        <is>
          <t>Gpkm</t>
        </is>
      </c>
      <c r="E447" s="65" t="n">
        <v>2023</v>
      </c>
      <c r="F447" s="66" t="n">
        <v>582</v>
      </c>
      <c r="G447" s="69" t="inlineStr">
        <is>
          <t>Added since the report</t>
        </is>
      </c>
      <c r="H447" s="22" t="inlineStr">
        <is>
          <t>European Commission, DG MOVE — EU transport in figures: statistical pocketbook</t>
        </is>
      </c>
      <c r="I447" s="35" t="inlineStr">
        <is>
          <t>esabcc-t3b-air-passenger</t>
        </is>
      </c>
    </row>
    <row r="448" ht="14" customHeight="1">
      <c r="A448" s="15" t="inlineStr">
        <is>
          <t>T4</t>
        </is>
      </c>
      <c r="B448" s="15" t="inlineStr">
        <is>
          <t>Average CO₂ intensity of new passenger cars (WLTP)</t>
        </is>
      </c>
      <c r="C448" s="15" t="inlineStr">
        <is>
          <t>Transport</t>
        </is>
      </c>
      <c r="D448" s="15" t="inlineStr">
        <is>
          <t>g CO₂/km</t>
        </is>
      </c>
      <c r="E448" s="63" t="n">
        <v>2020</v>
      </c>
      <c r="F448" s="64" t="n">
        <v>130.3</v>
      </c>
      <c r="G448" s="14" t="inlineStr">
        <is>
          <t>In the 2024 report</t>
        </is>
      </c>
      <c r="H448" s="15" t="inlineStr">
        <is>
          <t>EEA</t>
        </is>
      </c>
      <c r="I448" s="34" t="inlineStr">
        <is>
          <t>esabcc-t4-car-co2-intensity</t>
        </is>
      </c>
    </row>
    <row r="449" ht="14" customHeight="1">
      <c r="A449" s="22" t="inlineStr">
        <is>
          <t>T4</t>
        </is>
      </c>
      <c r="B449" s="22" t="inlineStr">
        <is>
          <t>Average CO₂ intensity of new passenger cars (WLTP)</t>
        </is>
      </c>
      <c r="C449" s="22" t="inlineStr">
        <is>
          <t>Transport</t>
        </is>
      </c>
      <c r="D449" s="22" t="inlineStr">
        <is>
          <t>g CO₂/km</t>
        </is>
      </c>
      <c r="E449" s="65" t="n">
        <v>2021</v>
      </c>
      <c r="F449" s="66" t="n">
        <v>114.1</v>
      </c>
      <c r="G449" s="67" t="inlineStr">
        <is>
          <t>In the 2024 report</t>
        </is>
      </c>
      <c r="H449" s="22" t="inlineStr">
        <is>
          <t>EEA</t>
        </is>
      </c>
      <c r="I449" s="35" t="inlineStr">
        <is>
          <t>esabcc-t4-car-co2-intensity</t>
        </is>
      </c>
    </row>
    <row r="450" ht="14" customHeight="1">
      <c r="A450" s="15" t="inlineStr">
        <is>
          <t>T4</t>
        </is>
      </c>
      <c r="B450" s="15" t="inlineStr">
        <is>
          <t>Average CO₂ intensity of new passenger cars (WLTP)</t>
        </is>
      </c>
      <c r="C450" s="15" t="inlineStr">
        <is>
          <t>Transport</t>
        </is>
      </c>
      <c r="D450" s="15" t="inlineStr">
        <is>
          <t>g CO₂/km</t>
        </is>
      </c>
      <c r="E450" s="63" t="n">
        <v>2022</v>
      </c>
      <c r="F450" s="64" t="n">
        <v>108.2</v>
      </c>
      <c r="G450" s="14" t="inlineStr">
        <is>
          <t>In the 2024 report</t>
        </is>
      </c>
      <c r="H450" s="15" t="inlineStr">
        <is>
          <t>EEA</t>
        </is>
      </c>
      <c r="I450" s="34" t="inlineStr">
        <is>
          <t>esabcc-t4-car-co2-intensity</t>
        </is>
      </c>
    </row>
    <row r="451" ht="14" customHeight="1">
      <c r="A451" s="22" t="inlineStr">
        <is>
          <t>T4</t>
        </is>
      </c>
      <c r="B451" s="22" t="inlineStr">
        <is>
          <t>Average CO₂ intensity of new passenger cars (WLTP)</t>
        </is>
      </c>
      <c r="C451" s="22" t="inlineStr">
        <is>
          <t>Transport</t>
        </is>
      </c>
      <c r="D451" s="22" t="inlineStr">
        <is>
          <t>g CO₂/km</t>
        </is>
      </c>
      <c r="E451" s="65" t="n">
        <v>2023</v>
      </c>
      <c r="F451" s="66" t="n">
        <v>106.4</v>
      </c>
      <c r="G451" s="69" t="inlineStr">
        <is>
          <t>Added since the report</t>
        </is>
      </c>
      <c r="H451" s="22" t="inlineStr">
        <is>
          <t>EEA</t>
        </is>
      </c>
      <c r="I451" s="35" t="inlineStr">
        <is>
          <t>esabcc-t4-car-co2-intensity</t>
        </is>
      </c>
    </row>
    <row r="452" ht="14" customHeight="1">
      <c r="A452" s="15" t="inlineStr">
        <is>
          <t>T4</t>
        </is>
      </c>
      <c r="B452" s="15" t="inlineStr">
        <is>
          <t>Average CO₂ intensity of new passenger cars (WLTP)</t>
        </is>
      </c>
      <c r="C452" s="15" t="inlineStr">
        <is>
          <t>Transport</t>
        </is>
      </c>
      <c r="D452" s="15" t="inlineStr">
        <is>
          <t>g CO₂/km</t>
        </is>
      </c>
      <c r="E452" s="63" t="n">
        <v>2024</v>
      </c>
      <c r="F452" s="64" t="n">
        <v>106.8</v>
      </c>
      <c r="G452" s="68" t="inlineStr">
        <is>
          <t>Added since the report</t>
        </is>
      </c>
      <c r="H452" s="15" t="inlineStr">
        <is>
          <t>EEA</t>
        </is>
      </c>
      <c r="I452" s="34" t="inlineStr">
        <is>
          <t>esabcc-t4-car-co2-intensity</t>
        </is>
      </c>
    </row>
    <row r="453" ht="14" customHeight="1">
      <c r="A453" s="22" t="inlineStr">
        <is>
          <t>T4</t>
        </is>
      </c>
      <c r="B453" s="22" t="inlineStr">
        <is>
          <t>Average CO₂ intensity of new passenger cars (WLTP)</t>
        </is>
      </c>
      <c r="C453" s="22" t="inlineStr">
        <is>
          <t>Transport</t>
        </is>
      </c>
      <c r="D453" s="22" t="inlineStr">
        <is>
          <t>g CO₂/km</t>
        </is>
      </c>
      <c r="E453" s="65" t="n">
        <v>2025</v>
      </c>
      <c r="F453" s="66" t="n">
        <v>96.7</v>
      </c>
      <c r="G453" s="69" t="inlineStr">
        <is>
          <t>Added since the report</t>
        </is>
      </c>
      <c r="H453" s="22" t="inlineStr">
        <is>
          <t>EEA</t>
        </is>
      </c>
      <c r="I453" s="35" t="inlineStr">
        <is>
          <t>esabcc-t4-car-co2-intensity</t>
        </is>
      </c>
    </row>
    <row r="454" ht="14" customHeight="1">
      <c r="A454" s="15" t="inlineStr">
        <is>
          <t>T5a</t>
        </is>
      </c>
      <c r="B454" s="15" t="inlineStr">
        <is>
          <t>ZEV share of new passenger car registrations</t>
        </is>
      </c>
      <c r="C454" s="15" t="inlineStr">
        <is>
          <t>Transport</t>
        </is>
      </c>
      <c r="D454" s="15" t="inlineStr">
        <is>
          <t>%</t>
        </is>
      </c>
      <c r="E454" s="63" t="n">
        <v>2010</v>
      </c>
      <c r="F454" s="64" t="n">
        <v>0.01</v>
      </c>
      <c r="G454" s="14" t="inlineStr">
        <is>
          <t>In the 2024 report</t>
        </is>
      </c>
      <c r="H454" s="15" t="inlineStr">
        <is>
          <t>EU Alternative Fuels Observatory</t>
        </is>
      </c>
      <c r="I454" s="34" t="inlineStr">
        <is>
          <t>esabcc-t5a-zev-share-newcars</t>
        </is>
      </c>
    </row>
    <row r="455" ht="14" customHeight="1">
      <c r="A455" s="22" t="inlineStr">
        <is>
          <t>T5a</t>
        </is>
      </c>
      <c r="B455" s="22" t="inlineStr">
        <is>
          <t>ZEV share of new passenger car registrations</t>
        </is>
      </c>
      <c r="C455" s="22" t="inlineStr">
        <is>
          <t>Transport</t>
        </is>
      </c>
      <c r="D455" s="22" t="inlineStr">
        <is>
          <t>%</t>
        </is>
      </c>
      <c r="E455" s="65" t="n">
        <v>2011</v>
      </c>
      <c r="F455" s="66" t="n">
        <v>0.07000000000000001</v>
      </c>
      <c r="G455" s="67" t="inlineStr">
        <is>
          <t>In the 2024 report</t>
        </is>
      </c>
      <c r="H455" s="22" t="inlineStr">
        <is>
          <t>EU Alternative Fuels Observatory</t>
        </is>
      </c>
      <c r="I455" s="35" t="inlineStr">
        <is>
          <t>esabcc-t5a-zev-share-newcars</t>
        </is>
      </c>
    </row>
    <row r="456" ht="14" customHeight="1">
      <c r="A456" s="15" t="inlineStr">
        <is>
          <t>T5a</t>
        </is>
      </c>
      <c r="B456" s="15" t="inlineStr">
        <is>
          <t>ZEV share of new passenger car registrations</t>
        </is>
      </c>
      <c r="C456" s="15" t="inlineStr">
        <is>
          <t>Transport</t>
        </is>
      </c>
      <c r="D456" s="15" t="inlineStr">
        <is>
          <t>%</t>
        </is>
      </c>
      <c r="E456" s="63" t="n">
        <v>2012</v>
      </c>
      <c r="F456" s="64" t="n">
        <v>0.13</v>
      </c>
      <c r="G456" s="14" t="inlineStr">
        <is>
          <t>In the 2024 report</t>
        </is>
      </c>
      <c r="H456" s="15" t="inlineStr">
        <is>
          <t>EU Alternative Fuels Observatory</t>
        </is>
      </c>
      <c r="I456" s="34" t="inlineStr">
        <is>
          <t>esabcc-t5a-zev-share-newcars</t>
        </is>
      </c>
    </row>
    <row r="457" ht="14" customHeight="1">
      <c r="A457" s="22" t="inlineStr">
        <is>
          <t>T5a</t>
        </is>
      </c>
      <c r="B457" s="22" t="inlineStr">
        <is>
          <t>ZEV share of new passenger car registrations</t>
        </is>
      </c>
      <c r="C457" s="22" t="inlineStr">
        <is>
          <t>Transport</t>
        </is>
      </c>
      <c r="D457" s="22" t="inlineStr">
        <is>
          <t>%</t>
        </is>
      </c>
      <c r="E457" s="65" t="n">
        <v>2013</v>
      </c>
      <c r="F457" s="66" t="n">
        <v>0.22</v>
      </c>
      <c r="G457" s="67" t="inlineStr">
        <is>
          <t>In the 2024 report</t>
        </is>
      </c>
      <c r="H457" s="22" t="inlineStr">
        <is>
          <t>EU Alternative Fuels Observatory</t>
        </is>
      </c>
      <c r="I457" s="35" t="inlineStr">
        <is>
          <t>esabcc-t5a-zev-share-newcars</t>
        </is>
      </c>
    </row>
    <row r="458" ht="14" customHeight="1">
      <c r="A458" s="15" t="inlineStr">
        <is>
          <t>T5a</t>
        </is>
      </c>
      <c r="B458" s="15" t="inlineStr">
        <is>
          <t>ZEV share of new passenger car registrations</t>
        </is>
      </c>
      <c r="C458" s="15" t="inlineStr">
        <is>
          <t>Transport</t>
        </is>
      </c>
      <c r="D458" s="15" t="inlineStr">
        <is>
          <t>%</t>
        </is>
      </c>
      <c r="E458" s="63" t="n">
        <v>2014</v>
      </c>
      <c r="F458" s="64" t="n">
        <v>0.33</v>
      </c>
      <c r="G458" s="14" t="inlineStr">
        <is>
          <t>In the 2024 report</t>
        </is>
      </c>
      <c r="H458" s="15" t="inlineStr">
        <is>
          <t>EU Alternative Fuels Observatory</t>
        </is>
      </c>
      <c r="I458" s="34" t="inlineStr">
        <is>
          <t>esabcc-t5a-zev-share-newcars</t>
        </is>
      </c>
    </row>
    <row r="459" ht="14" customHeight="1">
      <c r="A459" s="22" t="inlineStr">
        <is>
          <t>T5a</t>
        </is>
      </c>
      <c r="B459" s="22" t="inlineStr">
        <is>
          <t>ZEV share of new passenger car registrations</t>
        </is>
      </c>
      <c r="C459" s="22" t="inlineStr">
        <is>
          <t>Transport</t>
        </is>
      </c>
      <c r="D459" s="22" t="inlineStr">
        <is>
          <t>%</t>
        </is>
      </c>
      <c r="E459" s="65" t="n">
        <v>2015</v>
      </c>
      <c r="F459" s="66" t="n">
        <v>0.46</v>
      </c>
      <c r="G459" s="67" t="inlineStr">
        <is>
          <t>In the 2024 report</t>
        </is>
      </c>
      <c r="H459" s="22" t="inlineStr">
        <is>
          <t>EU Alternative Fuels Observatory</t>
        </is>
      </c>
      <c r="I459" s="35" t="inlineStr">
        <is>
          <t>esabcc-t5a-zev-share-newcars</t>
        </is>
      </c>
    </row>
    <row r="460" ht="14" customHeight="1">
      <c r="A460" s="15" t="inlineStr">
        <is>
          <t>T5a</t>
        </is>
      </c>
      <c r="B460" s="15" t="inlineStr">
        <is>
          <t>ZEV share of new passenger car registrations</t>
        </is>
      </c>
      <c r="C460" s="15" t="inlineStr">
        <is>
          <t>Transport</t>
        </is>
      </c>
      <c r="D460" s="15" t="inlineStr">
        <is>
          <t>%</t>
        </is>
      </c>
      <c r="E460" s="63" t="n">
        <v>2016</v>
      </c>
      <c r="F460" s="64" t="n">
        <v>0.47</v>
      </c>
      <c r="G460" s="14" t="inlineStr">
        <is>
          <t>In the 2024 report</t>
        </is>
      </c>
      <c r="H460" s="15" t="inlineStr">
        <is>
          <t>EU Alternative Fuels Observatory</t>
        </is>
      </c>
      <c r="I460" s="34" t="inlineStr">
        <is>
          <t>esabcc-t5a-zev-share-newcars</t>
        </is>
      </c>
    </row>
    <row r="461" ht="14" customHeight="1">
      <c r="A461" s="22" t="inlineStr">
        <is>
          <t>T5a</t>
        </is>
      </c>
      <c r="B461" s="22" t="inlineStr">
        <is>
          <t>ZEV share of new passenger car registrations</t>
        </is>
      </c>
      <c r="C461" s="22" t="inlineStr">
        <is>
          <t>Transport</t>
        </is>
      </c>
      <c r="D461" s="22" t="inlineStr">
        <is>
          <t>%</t>
        </is>
      </c>
      <c r="E461" s="65" t="n">
        <v>2017</v>
      </c>
      <c r="F461" s="66" t="n">
        <v>0.68</v>
      </c>
      <c r="G461" s="67" t="inlineStr">
        <is>
          <t>In the 2024 report</t>
        </is>
      </c>
      <c r="H461" s="22" t="inlineStr">
        <is>
          <t>EU Alternative Fuels Observatory</t>
        </is>
      </c>
      <c r="I461" s="35" t="inlineStr">
        <is>
          <t>esabcc-t5a-zev-share-newcars</t>
        </is>
      </c>
    </row>
    <row r="462" ht="14" customHeight="1">
      <c r="A462" s="15" t="inlineStr">
        <is>
          <t>T5a</t>
        </is>
      </c>
      <c r="B462" s="15" t="inlineStr">
        <is>
          <t>ZEV share of new passenger car registrations</t>
        </is>
      </c>
      <c r="C462" s="15" t="inlineStr">
        <is>
          <t>Transport</t>
        </is>
      </c>
      <c r="D462" s="15" t="inlineStr">
        <is>
          <t>%</t>
        </is>
      </c>
      <c r="E462" s="63" t="n">
        <v>2018</v>
      </c>
      <c r="F462" s="64" t="n">
        <v>1.06</v>
      </c>
      <c r="G462" s="14" t="inlineStr">
        <is>
          <t>In the 2024 report</t>
        </is>
      </c>
      <c r="H462" s="15" t="inlineStr">
        <is>
          <t>EU Alternative Fuels Observatory</t>
        </is>
      </c>
      <c r="I462" s="34" t="inlineStr">
        <is>
          <t>esabcc-t5a-zev-share-newcars</t>
        </is>
      </c>
    </row>
    <row r="463" ht="14" customHeight="1">
      <c r="A463" s="22" t="inlineStr">
        <is>
          <t>T5a</t>
        </is>
      </c>
      <c r="B463" s="22" t="inlineStr">
        <is>
          <t>ZEV share of new passenger car registrations</t>
        </is>
      </c>
      <c r="C463" s="22" t="inlineStr">
        <is>
          <t>Transport</t>
        </is>
      </c>
      <c r="D463" s="22" t="inlineStr">
        <is>
          <t>%</t>
        </is>
      </c>
      <c r="E463" s="65" t="n">
        <v>2019</v>
      </c>
      <c r="F463" s="66" t="n">
        <v>1.9</v>
      </c>
      <c r="G463" s="67" t="inlineStr">
        <is>
          <t>In the 2024 report</t>
        </is>
      </c>
      <c r="H463" s="22" t="inlineStr">
        <is>
          <t>EU Alternative Fuels Observatory</t>
        </is>
      </c>
      <c r="I463" s="35" t="inlineStr">
        <is>
          <t>esabcc-t5a-zev-share-newcars</t>
        </is>
      </c>
    </row>
    <row r="464" ht="14" customHeight="1">
      <c r="A464" s="15" t="inlineStr">
        <is>
          <t>T5a</t>
        </is>
      </c>
      <c r="B464" s="15" t="inlineStr">
        <is>
          <t>ZEV share of new passenger car registrations</t>
        </is>
      </c>
      <c r="C464" s="15" t="inlineStr">
        <is>
          <t>Transport</t>
        </is>
      </c>
      <c r="D464" s="15" t="inlineStr">
        <is>
          <t>%</t>
        </is>
      </c>
      <c r="E464" s="63" t="n">
        <v>2020</v>
      </c>
      <c r="F464" s="64" t="n">
        <v>5.39</v>
      </c>
      <c r="G464" s="14" t="inlineStr">
        <is>
          <t>In the 2024 report</t>
        </is>
      </c>
      <c r="H464" s="15" t="inlineStr">
        <is>
          <t>EU Alternative Fuels Observatory</t>
        </is>
      </c>
      <c r="I464" s="34" t="inlineStr">
        <is>
          <t>esabcc-t5a-zev-share-newcars</t>
        </is>
      </c>
    </row>
    <row r="465" ht="14" customHeight="1">
      <c r="A465" s="22" t="inlineStr">
        <is>
          <t>T5a</t>
        </is>
      </c>
      <c r="B465" s="22" t="inlineStr">
        <is>
          <t>ZEV share of new passenger car registrations</t>
        </is>
      </c>
      <c r="C465" s="22" t="inlineStr">
        <is>
          <t>Transport</t>
        </is>
      </c>
      <c r="D465" s="22" t="inlineStr">
        <is>
          <t>%</t>
        </is>
      </c>
      <c r="E465" s="65" t="n">
        <v>2021</v>
      </c>
      <c r="F465" s="66" t="n">
        <v>8.869999999999999</v>
      </c>
      <c r="G465" s="67" t="inlineStr">
        <is>
          <t>In the 2024 report</t>
        </is>
      </c>
      <c r="H465" s="22" t="inlineStr">
        <is>
          <t>EU Alternative Fuels Observatory</t>
        </is>
      </c>
      <c r="I465" s="35" t="inlineStr">
        <is>
          <t>esabcc-t5a-zev-share-newcars</t>
        </is>
      </c>
    </row>
    <row r="466" ht="14" customHeight="1">
      <c r="A466" s="15" t="inlineStr">
        <is>
          <t>T5a</t>
        </is>
      </c>
      <c r="B466" s="15" t="inlineStr">
        <is>
          <t>ZEV share of new passenger car registrations</t>
        </is>
      </c>
      <c r="C466" s="15" t="inlineStr">
        <is>
          <t>Transport</t>
        </is>
      </c>
      <c r="D466" s="15" t="inlineStr">
        <is>
          <t>%</t>
        </is>
      </c>
      <c r="E466" s="63" t="n">
        <v>2022</v>
      </c>
      <c r="F466" s="64" t="n">
        <v>13.41</v>
      </c>
      <c r="G466" s="14" t="inlineStr">
        <is>
          <t>In the 2024 report</t>
        </is>
      </c>
      <c r="H466" s="15" t="inlineStr">
        <is>
          <t>EU Alternative Fuels Observatory</t>
        </is>
      </c>
      <c r="I466" s="34" t="inlineStr">
        <is>
          <t>esabcc-t5a-zev-share-newcars</t>
        </is>
      </c>
    </row>
    <row r="467" ht="14" customHeight="1">
      <c r="A467" s="22" t="inlineStr">
        <is>
          <t>T5a</t>
        </is>
      </c>
      <c r="B467" s="22" t="inlineStr">
        <is>
          <t>ZEV share of new passenger car registrations</t>
        </is>
      </c>
      <c r="C467" s="22" t="inlineStr">
        <is>
          <t>Transport</t>
        </is>
      </c>
      <c r="D467" s="22" t="inlineStr">
        <is>
          <t>%</t>
        </is>
      </c>
      <c r="E467" s="65" t="n">
        <v>2023</v>
      </c>
      <c r="F467" s="66" t="n">
        <v>14.6</v>
      </c>
      <c r="G467" s="69" t="inlineStr">
        <is>
          <t>Added since the report</t>
        </is>
      </c>
      <c r="H467" s="22" t="inlineStr">
        <is>
          <t>EU Alternative Fuels Observatory</t>
        </is>
      </c>
      <c r="I467" s="35" t="inlineStr">
        <is>
          <t>esabcc-t5a-zev-share-newcars</t>
        </is>
      </c>
    </row>
    <row r="468" ht="14" customHeight="1">
      <c r="A468" s="15" t="inlineStr">
        <is>
          <t>T5a</t>
        </is>
      </c>
      <c r="B468" s="15" t="inlineStr">
        <is>
          <t>ZEV share of new passenger car registrations</t>
        </is>
      </c>
      <c r="C468" s="15" t="inlineStr">
        <is>
          <t>Transport</t>
        </is>
      </c>
      <c r="D468" s="15" t="inlineStr">
        <is>
          <t>%</t>
        </is>
      </c>
      <c r="E468" s="63" t="n">
        <v>2024</v>
      </c>
      <c r="F468" s="64" t="n">
        <v>13.6</v>
      </c>
      <c r="G468" s="68" t="inlineStr">
        <is>
          <t>Added since the report</t>
        </is>
      </c>
      <c r="H468" s="15" t="inlineStr">
        <is>
          <t>EU Alternative Fuels Observatory</t>
        </is>
      </c>
      <c r="I468" s="34" t="inlineStr">
        <is>
          <t>esabcc-t5a-zev-share-newcars</t>
        </is>
      </c>
    </row>
    <row r="469" ht="14" customHeight="1">
      <c r="A469" s="22" t="inlineStr">
        <is>
          <t>T5a</t>
        </is>
      </c>
      <c r="B469" s="22" t="inlineStr">
        <is>
          <t>ZEV share of new passenger car registrations</t>
        </is>
      </c>
      <c r="C469" s="22" t="inlineStr">
        <is>
          <t>Transport</t>
        </is>
      </c>
      <c r="D469" s="22" t="inlineStr">
        <is>
          <t>%</t>
        </is>
      </c>
      <c r="E469" s="65" t="n">
        <v>2025</v>
      </c>
      <c r="F469" s="66" t="n">
        <v>17.4</v>
      </c>
      <c r="G469" s="69" t="inlineStr">
        <is>
          <t>Added since the report</t>
        </is>
      </c>
      <c r="H469" s="22" t="inlineStr">
        <is>
          <t>EU Alternative Fuels Observatory</t>
        </is>
      </c>
      <c r="I469" s="35" t="inlineStr">
        <is>
          <t>esabcc-t5a-zev-share-newcars</t>
        </is>
      </c>
    </row>
    <row r="470" ht="14" customHeight="1">
      <c r="A470" s="15" t="inlineStr">
        <is>
          <t>T5b</t>
        </is>
      </c>
      <c r="B470" s="15" t="inlineStr">
        <is>
          <t>Zero-emission lorries in the EU fleet</t>
        </is>
      </c>
      <c r="C470" s="15" t="inlineStr">
        <is>
          <t>Transport</t>
        </is>
      </c>
      <c r="D470" s="15" t="inlineStr">
        <is>
          <t>vehicles</t>
        </is>
      </c>
      <c r="E470" s="63" t="n">
        <v>2015</v>
      </c>
      <c r="F470" s="64" t="n">
        <v>71</v>
      </c>
      <c r="G470" s="14" t="inlineStr">
        <is>
          <t>In the 2024 report</t>
        </is>
      </c>
      <c r="H470" s="15" t="inlineStr">
        <is>
          <t>EU Alternative Fuels Observatory; EEA for 2022</t>
        </is>
      </c>
      <c r="I470" s="34" t="inlineStr">
        <is>
          <t>esabcc-t5b-zev-lorries-stock</t>
        </is>
      </c>
    </row>
    <row r="471" ht="14" customHeight="1">
      <c r="A471" s="22" t="inlineStr">
        <is>
          <t>T5b</t>
        </is>
      </c>
      <c r="B471" s="22" t="inlineStr">
        <is>
          <t>Zero-emission lorries in the EU fleet</t>
        </is>
      </c>
      <c r="C471" s="22" t="inlineStr">
        <is>
          <t>Transport</t>
        </is>
      </c>
      <c r="D471" s="22" t="inlineStr">
        <is>
          <t>vehicles</t>
        </is>
      </c>
      <c r="E471" s="65" t="n">
        <v>2016</v>
      </c>
      <c r="F471" s="66" t="n">
        <v>117</v>
      </c>
      <c r="G471" s="67" t="inlineStr">
        <is>
          <t>In the 2024 report</t>
        </is>
      </c>
      <c r="H471" s="22" t="inlineStr">
        <is>
          <t>EU Alternative Fuels Observatory; EEA for 2022</t>
        </is>
      </c>
      <c r="I471" s="35" t="inlineStr">
        <is>
          <t>esabcc-t5b-zev-lorries-stock</t>
        </is>
      </c>
    </row>
    <row r="472" ht="14" customHeight="1">
      <c r="A472" s="15" t="inlineStr">
        <is>
          <t>T5b</t>
        </is>
      </c>
      <c r="B472" s="15" t="inlineStr">
        <is>
          <t>Zero-emission lorries in the EU fleet</t>
        </is>
      </c>
      <c r="C472" s="15" t="inlineStr">
        <is>
          <t>Transport</t>
        </is>
      </c>
      <c r="D472" s="15" t="inlineStr">
        <is>
          <t>vehicles</t>
        </is>
      </c>
      <c r="E472" s="63" t="n">
        <v>2017</v>
      </c>
      <c r="F472" s="64" t="n">
        <v>151</v>
      </c>
      <c r="G472" s="14" t="inlineStr">
        <is>
          <t>In the 2024 report</t>
        </is>
      </c>
      <c r="H472" s="15" t="inlineStr">
        <is>
          <t>EU Alternative Fuels Observatory; EEA for 2022</t>
        </is>
      </c>
      <c r="I472" s="34" t="inlineStr">
        <is>
          <t>esabcc-t5b-zev-lorries-stock</t>
        </is>
      </c>
    </row>
    <row r="473" ht="14" customHeight="1">
      <c r="A473" s="22" t="inlineStr">
        <is>
          <t>T5b</t>
        </is>
      </c>
      <c r="B473" s="22" t="inlineStr">
        <is>
          <t>Zero-emission lorries in the EU fleet</t>
        </is>
      </c>
      <c r="C473" s="22" t="inlineStr">
        <is>
          <t>Transport</t>
        </is>
      </c>
      <c r="D473" s="22" t="inlineStr">
        <is>
          <t>vehicles</t>
        </is>
      </c>
      <c r="E473" s="65" t="n">
        <v>2018</v>
      </c>
      <c r="F473" s="66" t="n">
        <v>227</v>
      </c>
      <c r="G473" s="67" t="inlineStr">
        <is>
          <t>In the 2024 report</t>
        </is>
      </c>
      <c r="H473" s="22" t="inlineStr">
        <is>
          <t>EU Alternative Fuels Observatory; EEA for 2022</t>
        </is>
      </c>
      <c r="I473" s="35" t="inlineStr">
        <is>
          <t>esabcc-t5b-zev-lorries-stock</t>
        </is>
      </c>
    </row>
    <row r="474" ht="14" customHeight="1">
      <c r="A474" s="15" t="inlineStr">
        <is>
          <t>T5b</t>
        </is>
      </c>
      <c r="B474" s="15" t="inlineStr">
        <is>
          <t>Zero-emission lorries in the EU fleet</t>
        </is>
      </c>
      <c r="C474" s="15" t="inlineStr">
        <is>
          <t>Transport</t>
        </is>
      </c>
      <c r="D474" s="15" t="inlineStr">
        <is>
          <t>vehicles</t>
        </is>
      </c>
      <c r="E474" s="63" t="n">
        <v>2019</v>
      </c>
      <c r="F474" s="64" t="n">
        <v>601</v>
      </c>
      <c r="G474" s="14" t="inlineStr">
        <is>
          <t>In the 2024 report</t>
        </is>
      </c>
      <c r="H474" s="15" t="inlineStr">
        <is>
          <t>EU Alternative Fuels Observatory; EEA for 2022</t>
        </is>
      </c>
      <c r="I474" s="34" t="inlineStr">
        <is>
          <t>esabcc-t5b-zev-lorries-stock</t>
        </is>
      </c>
    </row>
    <row r="475" ht="14" customHeight="1">
      <c r="A475" s="22" t="inlineStr">
        <is>
          <t>T5b</t>
        </is>
      </c>
      <c r="B475" s="22" t="inlineStr">
        <is>
          <t>Zero-emission lorries in the EU fleet</t>
        </is>
      </c>
      <c r="C475" s="22" t="inlineStr">
        <is>
          <t>Transport</t>
        </is>
      </c>
      <c r="D475" s="22" t="inlineStr">
        <is>
          <t>vehicles</t>
        </is>
      </c>
      <c r="E475" s="65" t="n">
        <v>2020</v>
      </c>
      <c r="F475" s="66" t="n">
        <v>964</v>
      </c>
      <c r="G475" s="67" t="inlineStr">
        <is>
          <t>In the 2024 report</t>
        </is>
      </c>
      <c r="H475" s="22" t="inlineStr">
        <is>
          <t>EU Alternative Fuels Observatory; EEA for 2022</t>
        </is>
      </c>
      <c r="I475" s="35" t="inlineStr">
        <is>
          <t>esabcc-t5b-zev-lorries-stock</t>
        </is>
      </c>
    </row>
    <row r="476" ht="14" customHeight="1">
      <c r="A476" s="15" t="inlineStr">
        <is>
          <t>T5b</t>
        </is>
      </c>
      <c r="B476" s="15" t="inlineStr">
        <is>
          <t>Zero-emission lorries in the EU fleet</t>
        </is>
      </c>
      <c r="C476" s="15" t="inlineStr">
        <is>
          <t>Transport</t>
        </is>
      </c>
      <c r="D476" s="15" t="inlineStr">
        <is>
          <t>vehicles</t>
        </is>
      </c>
      <c r="E476" s="63" t="n">
        <v>2021</v>
      </c>
      <c r="F476" s="64" t="n">
        <v>2150</v>
      </c>
      <c r="G476" s="14" t="inlineStr">
        <is>
          <t>In the 2024 report</t>
        </is>
      </c>
      <c r="H476" s="15" t="inlineStr">
        <is>
          <t>EU Alternative Fuels Observatory; EEA for 2022</t>
        </is>
      </c>
      <c r="I476" s="34" t="inlineStr">
        <is>
          <t>esabcc-t5b-zev-lorries-stock</t>
        </is>
      </c>
    </row>
    <row r="477" ht="14" customHeight="1">
      <c r="A477" s="22" t="inlineStr">
        <is>
          <t>T5b</t>
        </is>
      </c>
      <c r="B477" s="22" t="inlineStr">
        <is>
          <t>Zero-emission lorries in the EU fleet</t>
        </is>
      </c>
      <c r="C477" s="22" t="inlineStr">
        <is>
          <t>Transport</t>
        </is>
      </c>
      <c r="D477" s="22" t="inlineStr">
        <is>
          <t>vehicles</t>
        </is>
      </c>
      <c r="E477" s="65" t="n">
        <v>2022</v>
      </c>
      <c r="F477" s="66" t="n">
        <v>3794</v>
      </c>
      <c r="G477" s="67" t="inlineStr">
        <is>
          <t>In the 2024 report</t>
        </is>
      </c>
      <c r="H477" s="22" t="inlineStr">
        <is>
          <t>EU Alternative Fuels Observatory; EEA for 2022</t>
        </is>
      </c>
      <c r="I477" s="35" t="inlineStr">
        <is>
          <t>esabcc-t5b-zev-lorries-stock</t>
        </is>
      </c>
    </row>
    <row r="478" ht="14" customHeight="1">
      <c r="A478" s="15" t="inlineStr">
        <is>
          <t>T5b</t>
        </is>
      </c>
      <c r="B478" s="15" t="inlineStr">
        <is>
          <t>Zero-emission lorries in the EU fleet</t>
        </is>
      </c>
      <c r="C478" s="15" t="inlineStr">
        <is>
          <t>Transport</t>
        </is>
      </c>
      <c r="D478" s="15" t="inlineStr">
        <is>
          <t>vehicles</t>
        </is>
      </c>
      <c r="E478" s="63" t="n">
        <v>2023</v>
      </c>
      <c r="F478" s="64" t="n">
        <v>6513</v>
      </c>
      <c r="G478" s="68" t="inlineStr">
        <is>
          <t>Added since the report</t>
        </is>
      </c>
      <c r="H478" s="15" t="inlineStr">
        <is>
          <t>EU Alternative Fuels Observatory; EEA for 2022</t>
        </is>
      </c>
      <c r="I478" s="34" t="inlineStr">
        <is>
          <t>esabcc-t5b-zev-lorries-stock</t>
        </is>
      </c>
    </row>
    <row r="479" ht="14" customHeight="1">
      <c r="A479" s="22" t="inlineStr">
        <is>
          <t>T5b</t>
        </is>
      </c>
      <c r="B479" s="22" t="inlineStr">
        <is>
          <t>Zero-emission lorries in the EU fleet</t>
        </is>
      </c>
      <c r="C479" s="22" t="inlineStr">
        <is>
          <t>Transport</t>
        </is>
      </c>
      <c r="D479" s="22" t="inlineStr">
        <is>
          <t>vehicles</t>
        </is>
      </c>
      <c r="E479" s="65" t="n">
        <v>2024</v>
      </c>
      <c r="F479" s="66" t="n">
        <v>9831</v>
      </c>
      <c r="G479" s="69" t="inlineStr">
        <is>
          <t>Added since the report</t>
        </is>
      </c>
      <c r="H479" s="22" t="inlineStr">
        <is>
          <t>EU Alternative Fuels Observatory; EEA for 2022</t>
        </is>
      </c>
      <c r="I479" s="35" t="inlineStr">
        <is>
          <t>esabcc-t5b-zev-lorries-stock</t>
        </is>
      </c>
    </row>
    <row r="480" ht="14" customHeight="1">
      <c r="A480" s="15" t="inlineStr">
        <is>
          <t>T6a</t>
        </is>
      </c>
      <c r="B480" s="15" t="inlineStr">
        <is>
          <t>Fossil share of transport energy use</t>
        </is>
      </c>
      <c r="C480" s="15" t="inlineStr">
        <is>
          <t>Transport</t>
        </is>
      </c>
      <c r="D480" s="15" t="inlineStr">
        <is>
          <t>%</t>
        </is>
      </c>
      <c r="E480" s="63" t="n">
        <v>2005</v>
      </c>
      <c r="F480" s="64" t="n">
        <v>97.69</v>
      </c>
      <c r="G480" s="14" t="inlineStr">
        <is>
          <t>In the 2024 report</t>
        </is>
      </c>
      <c r="H480" s="15" t="inlineStr">
        <is>
          <t>Eurostat (nrg_bal_s)</t>
        </is>
      </c>
      <c r="I480" s="34" t="inlineStr">
        <is>
          <t>esabcc-t6a-fossil-transport-share</t>
        </is>
      </c>
    </row>
    <row r="481" ht="14" customHeight="1">
      <c r="A481" s="22" t="inlineStr">
        <is>
          <t>T6a</t>
        </is>
      </c>
      <c r="B481" s="22" t="inlineStr">
        <is>
          <t>Fossil share of transport energy use</t>
        </is>
      </c>
      <c r="C481" s="22" t="inlineStr">
        <is>
          <t>Transport</t>
        </is>
      </c>
      <c r="D481" s="22" t="inlineStr">
        <is>
          <t>%</t>
        </is>
      </c>
      <c r="E481" s="65" t="n">
        <v>2006</v>
      </c>
      <c r="F481" s="66" t="n">
        <v>97.25</v>
      </c>
      <c r="G481" s="67" t="inlineStr">
        <is>
          <t>In the 2024 report</t>
        </is>
      </c>
      <c r="H481" s="22" t="inlineStr">
        <is>
          <t>Eurostat (nrg_bal_s)</t>
        </is>
      </c>
      <c r="I481" s="35" t="inlineStr">
        <is>
          <t>esabcc-t6a-fossil-transport-share</t>
        </is>
      </c>
    </row>
    <row r="482" ht="14" customHeight="1">
      <c r="A482" s="15" t="inlineStr">
        <is>
          <t>T6a</t>
        </is>
      </c>
      <c r="B482" s="15" t="inlineStr">
        <is>
          <t>Fossil share of transport energy use</t>
        </is>
      </c>
      <c r="C482" s="15" t="inlineStr">
        <is>
          <t>Transport</t>
        </is>
      </c>
      <c r="D482" s="15" t="inlineStr">
        <is>
          <t>%</t>
        </is>
      </c>
      <c r="E482" s="63" t="n">
        <v>2007</v>
      </c>
      <c r="F482" s="64" t="n">
        <v>96.78</v>
      </c>
      <c r="G482" s="14" t="inlineStr">
        <is>
          <t>In the 2024 report</t>
        </is>
      </c>
      <c r="H482" s="15" t="inlineStr">
        <is>
          <t>Eurostat (nrg_bal_s)</t>
        </is>
      </c>
      <c r="I482" s="34" t="inlineStr">
        <is>
          <t>esabcc-t6a-fossil-transport-share</t>
        </is>
      </c>
    </row>
    <row r="483" ht="14" customHeight="1">
      <c r="A483" s="22" t="inlineStr">
        <is>
          <t>T6a</t>
        </is>
      </c>
      <c r="B483" s="22" t="inlineStr">
        <is>
          <t>Fossil share of transport energy use</t>
        </is>
      </c>
      <c r="C483" s="22" t="inlineStr">
        <is>
          <t>Transport</t>
        </is>
      </c>
      <c r="D483" s="22" t="inlineStr">
        <is>
          <t>%</t>
        </is>
      </c>
      <c r="E483" s="65" t="n">
        <v>2008</v>
      </c>
      <c r="F483" s="66" t="n">
        <v>96.31</v>
      </c>
      <c r="G483" s="67" t="inlineStr">
        <is>
          <t>In the 2024 report</t>
        </is>
      </c>
      <c r="H483" s="22" t="inlineStr">
        <is>
          <t>Eurostat (nrg_bal_s)</t>
        </is>
      </c>
      <c r="I483" s="35" t="inlineStr">
        <is>
          <t>esabcc-t6a-fossil-transport-share</t>
        </is>
      </c>
    </row>
    <row r="484" ht="14" customHeight="1">
      <c r="A484" s="15" t="inlineStr">
        <is>
          <t>T6a</t>
        </is>
      </c>
      <c r="B484" s="15" t="inlineStr">
        <is>
          <t>Fossil share of transport energy use</t>
        </is>
      </c>
      <c r="C484" s="15" t="inlineStr">
        <is>
          <t>Transport</t>
        </is>
      </c>
      <c r="D484" s="15" t="inlineStr">
        <is>
          <t>%</t>
        </is>
      </c>
      <c r="E484" s="63" t="n">
        <v>2009</v>
      </c>
      <c r="F484" s="64" t="n">
        <v>95.72</v>
      </c>
      <c r="G484" s="14" t="inlineStr">
        <is>
          <t>In the 2024 report</t>
        </is>
      </c>
      <c r="H484" s="15" t="inlineStr">
        <is>
          <t>Eurostat (nrg_bal_s)</t>
        </is>
      </c>
      <c r="I484" s="34" t="inlineStr">
        <is>
          <t>esabcc-t6a-fossil-transport-share</t>
        </is>
      </c>
    </row>
    <row r="485" ht="14" customHeight="1">
      <c r="A485" s="22" t="inlineStr">
        <is>
          <t>T6a</t>
        </is>
      </c>
      <c r="B485" s="22" t="inlineStr">
        <is>
          <t>Fossil share of transport energy use</t>
        </is>
      </c>
      <c r="C485" s="22" t="inlineStr">
        <is>
          <t>Transport</t>
        </is>
      </c>
      <c r="D485" s="22" t="inlineStr">
        <is>
          <t>%</t>
        </is>
      </c>
      <c r="E485" s="65" t="n">
        <v>2010</v>
      </c>
      <c r="F485" s="66" t="n">
        <v>95.31</v>
      </c>
      <c r="G485" s="67" t="inlineStr">
        <is>
          <t>In the 2024 report</t>
        </is>
      </c>
      <c r="H485" s="22" t="inlineStr">
        <is>
          <t>Eurostat (nrg_bal_s)</t>
        </is>
      </c>
      <c r="I485" s="35" t="inlineStr">
        <is>
          <t>esabcc-t6a-fossil-transport-share</t>
        </is>
      </c>
    </row>
    <row r="486" ht="14" customHeight="1">
      <c r="A486" s="15" t="inlineStr">
        <is>
          <t>T6a</t>
        </is>
      </c>
      <c r="B486" s="15" t="inlineStr">
        <is>
          <t>Fossil share of transport energy use</t>
        </is>
      </c>
      <c r="C486" s="15" t="inlineStr">
        <is>
          <t>Transport</t>
        </is>
      </c>
      <c r="D486" s="15" t="inlineStr">
        <is>
          <t>%</t>
        </is>
      </c>
      <c r="E486" s="63" t="n">
        <v>2011</v>
      </c>
      <c r="F486" s="64" t="n">
        <v>95.08</v>
      </c>
      <c r="G486" s="14" t="inlineStr">
        <is>
          <t>In the 2024 report</t>
        </is>
      </c>
      <c r="H486" s="15" t="inlineStr">
        <is>
          <t>Eurostat (nrg_bal_s)</t>
        </is>
      </c>
      <c r="I486" s="34" t="inlineStr">
        <is>
          <t>esabcc-t6a-fossil-transport-share</t>
        </is>
      </c>
    </row>
    <row r="487" ht="14" customHeight="1">
      <c r="A487" s="22" t="inlineStr">
        <is>
          <t>T6a</t>
        </is>
      </c>
      <c r="B487" s="22" t="inlineStr">
        <is>
          <t>Fossil share of transport energy use</t>
        </is>
      </c>
      <c r="C487" s="22" t="inlineStr">
        <is>
          <t>Transport</t>
        </is>
      </c>
      <c r="D487" s="22" t="inlineStr">
        <is>
          <t>%</t>
        </is>
      </c>
      <c r="E487" s="65" t="n">
        <v>2012</v>
      </c>
      <c r="F487" s="66" t="n">
        <v>94.66</v>
      </c>
      <c r="G487" s="67" t="inlineStr">
        <is>
          <t>In the 2024 report</t>
        </is>
      </c>
      <c r="H487" s="22" t="inlineStr">
        <is>
          <t>Eurostat (nrg_bal_s)</t>
        </is>
      </c>
      <c r="I487" s="35" t="inlineStr">
        <is>
          <t>esabcc-t6a-fossil-transport-share</t>
        </is>
      </c>
    </row>
    <row r="488" ht="14" customHeight="1">
      <c r="A488" s="15" t="inlineStr">
        <is>
          <t>T6a</t>
        </is>
      </c>
      <c r="B488" s="15" t="inlineStr">
        <is>
          <t>Fossil share of transport energy use</t>
        </is>
      </c>
      <c r="C488" s="15" t="inlineStr">
        <is>
          <t>Transport</t>
        </is>
      </c>
      <c r="D488" s="15" t="inlineStr">
        <is>
          <t>%</t>
        </is>
      </c>
      <c r="E488" s="63" t="n">
        <v>2013</v>
      </c>
      <c r="F488" s="64" t="n">
        <v>95</v>
      </c>
      <c r="G488" s="14" t="inlineStr">
        <is>
          <t>In the 2024 report</t>
        </is>
      </c>
      <c r="H488" s="15" t="inlineStr">
        <is>
          <t>Eurostat (nrg_bal_s)</t>
        </is>
      </c>
      <c r="I488" s="34" t="inlineStr">
        <is>
          <t>esabcc-t6a-fossil-transport-share</t>
        </is>
      </c>
    </row>
    <row r="489" ht="14" customHeight="1">
      <c r="A489" s="22" t="inlineStr">
        <is>
          <t>T6a</t>
        </is>
      </c>
      <c r="B489" s="22" t="inlineStr">
        <is>
          <t>Fossil share of transport energy use</t>
        </is>
      </c>
      <c r="C489" s="22" t="inlineStr">
        <is>
          <t>Transport</t>
        </is>
      </c>
      <c r="D489" s="22" t="inlineStr">
        <is>
          <t>%</t>
        </is>
      </c>
      <c r="E489" s="65" t="n">
        <v>2014</v>
      </c>
      <c r="F489" s="66" t="n">
        <v>94.8</v>
      </c>
      <c r="G489" s="67" t="inlineStr">
        <is>
          <t>In the 2024 report</t>
        </is>
      </c>
      <c r="H489" s="22" t="inlineStr">
        <is>
          <t>Eurostat (nrg_bal_s)</t>
        </is>
      </c>
      <c r="I489" s="35" t="inlineStr">
        <is>
          <t>esabcc-t6a-fossil-transport-share</t>
        </is>
      </c>
    </row>
    <row r="490" ht="14" customHeight="1">
      <c r="A490" s="15" t="inlineStr">
        <is>
          <t>T6a</t>
        </is>
      </c>
      <c r="B490" s="15" t="inlineStr">
        <is>
          <t>Fossil share of transport energy use</t>
        </is>
      </c>
      <c r="C490" s="15" t="inlineStr">
        <is>
          <t>Transport</t>
        </is>
      </c>
      <c r="D490" s="15" t="inlineStr">
        <is>
          <t>%</t>
        </is>
      </c>
      <c r="E490" s="63" t="n">
        <v>2015</v>
      </c>
      <c r="F490" s="64" t="n">
        <v>94.86</v>
      </c>
      <c r="G490" s="14" t="inlineStr">
        <is>
          <t>In the 2024 report</t>
        </is>
      </c>
      <c r="H490" s="15" t="inlineStr">
        <is>
          <t>Eurostat (nrg_bal_s)</t>
        </is>
      </c>
      <c r="I490" s="34" t="inlineStr">
        <is>
          <t>esabcc-t6a-fossil-transport-share</t>
        </is>
      </c>
    </row>
    <row r="491" ht="14" customHeight="1">
      <c r="A491" s="22" t="inlineStr">
        <is>
          <t>T6a</t>
        </is>
      </c>
      <c r="B491" s="22" t="inlineStr">
        <is>
          <t>Fossil share of transport energy use</t>
        </is>
      </c>
      <c r="C491" s="22" t="inlineStr">
        <is>
          <t>Transport</t>
        </is>
      </c>
      <c r="D491" s="22" t="inlineStr">
        <is>
          <t>%</t>
        </is>
      </c>
      <c r="E491" s="65" t="n">
        <v>2016</v>
      </c>
      <c r="F491" s="66" t="n">
        <v>95.06</v>
      </c>
      <c r="G491" s="67" t="inlineStr">
        <is>
          <t>In the 2024 report</t>
        </is>
      </c>
      <c r="H491" s="22" t="inlineStr">
        <is>
          <t>Eurostat (nrg_bal_s)</t>
        </is>
      </c>
      <c r="I491" s="35" t="inlineStr">
        <is>
          <t>esabcc-t6a-fossil-transport-share</t>
        </is>
      </c>
    </row>
    <row r="492" ht="14" customHeight="1">
      <c r="A492" s="15" t="inlineStr">
        <is>
          <t>T6a</t>
        </is>
      </c>
      <c r="B492" s="15" t="inlineStr">
        <is>
          <t>Fossil share of transport energy use</t>
        </is>
      </c>
      <c r="C492" s="15" t="inlineStr">
        <is>
          <t>Transport</t>
        </is>
      </c>
      <c r="D492" s="15" t="inlineStr">
        <is>
          <t>%</t>
        </is>
      </c>
      <c r="E492" s="63" t="n">
        <v>2017</v>
      </c>
      <c r="F492" s="64" t="n">
        <v>94.84</v>
      </c>
      <c r="G492" s="14" t="inlineStr">
        <is>
          <t>In the 2024 report</t>
        </is>
      </c>
      <c r="H492" s="15" t="inlineStr">
        <is>
          <t>Eurostat (nrg_bal_s)</t>
        </is>
      </c>
      <c r="I492" s="34" t="inlineStr">
        <is>
          <t>esabcc-t6a-fossil-transport-share</t>
        </is>
      </c>
    </row>
    <row r="493" ht="14" customHeight="1">
      <c r="A493" s="22" t="inlineStr">
        <is>
          <t>T6a</t>
        </is>
      </c>
      <c r="B493" s="22" t="inlineStr">
        <is>
          <t>Fossil share of transport energy use</t>
        </is>
      </c>
      <c r="C493" s="22" t="inlineStr">
        <is>
          <t>Transport</t>
        </is>
      </c>
      <c r="D493" s="22" t="inlineStr">
        <is>
          <t>%</t>
        </is>
      </c>
      <c r="E493" s="65" t="n">
        <v>2018</v>
      </c>
      <c r="F493" s="66" t="n">
        <v>94.51000000000001</v>
      </c>
      <c r="G493" s="67" t="inlineStr">
        <is>
          <t>In the 2024 report</t>
        </is>
      </c>
      <c r="H493" s="22" t="inlineStr">
        <is>
          <t>Eurostat (nrg_bal_s)</t>
        </is>
      </c>
      <c r="I493" s="35" t="inlineStr">
        <is>
          <t>esabcc-t6a-fossil-transport-share</t>
        </is>
      </c>
    </row>
    <row r="494" ht="14" customHeight="1">
      <c r="A494" s="15" t="inlineStr">
        <is>
          <t>T6a</t>
        </is>
      </c>
      <c r="B494" s="15" t="inlineStr">
        <is>
          <t>Fossil share of transport energy use</t>
        </is>
      </c>
      <c r="C494" s="15" t="inlineStr">
        <is>
          <t>Transport</t>
        </is>
      </c>
      <c r="D494" s="15" t="inlineStr">
        <is>
          <t>%</t>
        </is>
      </c>
      <c r="E494" s="63" t="n">
        <v>2019</v>
      </c>
      <c r="F494" s="64" t="n">
        <v>94.40000000000001</v>
      </c>
      <c r="G494" s="14" t="inlineStr">
        <is>
          <t>In the 2024 report</t>
        </is>
      </c>
      <c r="H494" s="15" t="inlineStr">
        <is>
          <t>Eurostat (nrg_bal_s)</t>
        </is>
      </c>
      <c r="I494" s="34" t="inlineStr">
        <is>
          <t>esabcc-t6a-fossil-transport-share</t>
        </is>
      </c>
    </row>
    <row r="495" ht="14" customHeight="1">
      <c r="A495" s="22" t="inlineStr">
        <is>
          <t>T6a</t>
        </is>
      </c>
      <c r="B495" s="22" t="inlineStr">
        <is>
          <t>Fossil share of transport energy use</t>
        </is>
      </c>
      <c r="C495" s="22" t="inlineStr">
        <is>
          <t>Transport</t>
        </is>
      </c>
      <c r="D495" s="22" t="inlineStr">
        <is>
          <t>%</t>
        </is>
      </c>
      <c r="E495" s="65" t="n">
        <v>2020</v>
      </c>
      <c r="F495" s="66" t="n">
        <v>93.22</v>
      </c>
      <c r="G495" s="67" t="inlineStr">
        <is>
          <t>In the 2024 report</t>
        </is>
      </c>
      <c r="H495" s="22" t="inlineStr">
        <is>
          <t>Eurostat (nrg_bal_s)</t>
        </is>
      </c>
      <c r="I495" s="35" t="inlineStr">
        <is>
          <t>esabcc-t6a-fossil-transport-share</t>
        </is>
      </c>
    </row>
    <row r="496" ht="14" customHeight="1">
      <c r="A496" s="15" t="inlineStr">
        <is>
          <t>T6a</t>
        </is>
      </c>
      <c r="B496" s="15" t="inlineStr">
        <is>
          <t>Fossil share of transport energy use</t>
        </is>
      </c>
      <c r="C496" s="15" t="inlineStr">
        <is>
          <t>Transport</t>
        </is>
      </c>
      <c r="D496" s="15" t="inlineStr">
        <is>
          <t>%</t>
        </is>
      </c>
      <c r="E496" s="63" t="n">
        <v>2021</v>
      </c>
      <c r="F496" s="64" t="n">
        <v>93.44</v>
      </c>
      <c r="G496" s="14" t="inlineStr">
        <is>
          <t>In the 2024 report</t>
        </is>
      </c>
      <c r="H496" s="15" t="inlineStr">
        <is>
          <t>Eurostat (nrg_bal_s)</t>
        </is>
      </c>
      <c r="I496" s="34" t="inlineStr">
        <is>
          <t>esabcc-t6a-fossil-transport-share</t>
        </is>
      </c>
    </row>
    <row r="497" ht="14" customHeight="1">
      <c r="A497" s="22" t="inlineStr">
        <is>
          <t>T6a</t>
        </is>
      </c>
      <c r="B497" s="22" t="inlineStr">
        <is>
          <t>Fossil share of transport energy use</t>
        </is>
      </c>
      <c r="C497" s="22" t="inlineStr">
        <is>
          <t>Transport</t>
        </is>
      </c>
      <c r="D497" s="22" t="inlineStr">
        <is>
          <t>%</t>
        </is>
      </c>
      <c r="E497" s="65" t="n">
        <v>2022</v>
      </c>
      <c r="F497" s="66" t="n">
        <v>93.41</v>
      </c>
      <c r="G497" s="69" t="inlineStr">
        <is>
          <t>Added since the report</t>
        </is>
      </c>
      <c r="H497" s="22" t="inlineStr">
        <is>
          <t>Eurostat (nrg_bal_s)</t>
        </is>
      </c>
      <c r="I497" s="35" t="inlineStr">
        <is>
          <t>esabcc-t6a-fossil-transport-share</t>
        </is>
      </c>
    </row>
    <row r="498" ht="14" customHeight="1">
      <c r="A498" s="15" t="inlineStr">
        <is>
          <t>T6a</t>
        </is>
      </c>
      <c r="B498" s="15" t="inlineStr">
        <is>
          <t>Fossil share of transport energy use</t>
        </is>
      </c>
      <c r="C498" s="15" t="inlineStr">
        <is>
          <t>Transport</t>
        </is>
      </c>
      <c r="D498" s="15" t="inlineStr">
        <is>
          <t>%</t>
        </is>
      </c>
      <c r="E498" s="63" t="n">
        <v>2023</v>
      </c>
      <c r="F498" s="64" t="n">
        <v>92.91</v>
      </c>
      <c r="G498" s="68" t="inlineStr">
        <is>
          <t>Added since the report</t>
        </is>
      </c>
      <c r="H498" s="15" t="inlineStr">
        <is>
          <t>Eurostat (nrg_bal_s)</t>
        </is>
      </c>
      <c r="I498" s="34" t="inlineStr">
        <is>
          <t>esabcc-t6a-fossil-transport-share</t>
        </is>
      </c>
    </row>
    <row r="499" ht="14" customHeight="1">
      <c r="A499" s="22" t="inlineStr">
        <is>
          <t>T6a</t>
        </is>
      </c>
      <c r="B499" s="22" t="inlineStr">
        <is>
          <t>Fossil share of transport energy use</t>
        </is>
      </c>
      <c r="C499" s="22" t="inlineStr">
        <is>
          <t>Transport</t>
        </is>
      </c>
      <c r="D499" s="22" t="inlineStr">
        <is>
          <t>%</t>
        </is>
      </c>
      <c r="E499" s="65" t="n">
        <v>2024</v>
      </c>
      <c r="F499" s="66" t="n">
        <v>93.17</v>
      </c>
      <c r="G499" s="69" t="inlineStr">
        <is>
          <t>Added since the report</t>
        </is>
      </c>
      <c r="H499" s="22" t="inlineStr">
        <is>
          <t>Eurostat (nrg_bal_s)</t>
        </is>
      </c>
      <c r="I499" s="35" t="inlineStr">
        <is>
          <t>esabcc-t6a-fossil-transport-share</t>
        </is>
      </c>
    </row>
    <row r="500" ht="14" customHeight="1">
      <c r="A500" s="15" t="inlineStr">
        <is>
          <t>T6b</t>
        </is>
      </c>
      <c r="B500" s="15" t="inlineStr">
        <is>
          <t>Use of first-generation (food-crop) biofuels in transport</t>
        </is>
      </c>
      <c r="C500" s="15" t="inlineStr">
        <is>
          <t>Transport</t>
        </is>
      </c>
      <c r="D500" s="15" t="inlineStr">
        <is>
          <t>TWh</t>
        </is>
      </c>
      <c r="E500" s="63" t="n">
        <v>2005</v>
      </c>
      <c r="F500" s="64" t="n">
        <v>80.36</v>
      </c>
      <c r="G500" s="14" t="inlineStr">
        <is>
          <t>In the 2024 report</t>
        </is>
      </c>
      <c r="H500" s="15" t="inlineStr">
        <is>
          <t>SHARES summary</t>
        </is>
      </c>
      <c r="I500" s="34" t="inlineStr">
        <is>
          <t>esabcc-t6b-foodcrop-biofuels</t>
        </is>
      </c>
    </row>
    <row r="501" ht="14" customHeight="1">
      <c r="A501" s="22" t="inlineStr">
        <is>
          <t>T6b</t>
        </is>
      </c>
      <c r="B501" s="22" t="inlineStr">
        <is>
          <t>Use of first-generation (food-crop) biofuels in transport</t>
        </is>
      </c>
      <c r="C501" s="22" t="inlineStr">
        <is>
          <t>Transport</t>
        </is>
      </c>
      <c r="D501" s="22" t="inlineStr">
        <is>
          <t>TWh</t>
        </is>
      </c>
      <c r="E501" s="65" t="n">
        <v>2006</v>
      </c>
      <c r="F501" s="66" t="n">
        <v>107.1</v>
      </c>
      <c r="G501" s="67" t="inlineStr">
        <is>
          <t>In the 2024 report</t>
        </is>
      </c>
      <c r="H501" s="22" t="inlineStr">
        <is>
          <t>SHARES summary</t>
        </is>
      </c>
      <c r="I501" s="35" t="inlineStr">
        <is>
          <t>esabcc-t6b-foodcrop-biofuels</t>
        </is>
      </c>
    </row>
    <row r="502" ht="14" customHeight="1">
      <c r="A502" s="15" t="inlineStr">
        <is>
          <t>T6b</t>
        </is>
      </c>
      <c r="B502" s="15" t="inlineStr">
        <is>
          <t>Use of first-generation (food-crop) biofuels in transport</t>
        </is>
      </c>
      <c r="C502" s="15" t="inlineStr">
        <is>
          <t>Transport</t>
        </is>
      </c>
      <c r="D502" s="15" t="inlineStr">
        <is>
          <t>TWh</t>
        </is>
      </c>
      <c r="E502" s="63" t="n">
        <v>2007</v>
      </c>
      <c r="F502" s="64" t="n">
        <v>104.8</v>
      </c>
      <c r="G502" s="14" t="inlineStr">
        <is>
          <t>In the 2024 report</t>
        </is>
      </c>
      <c r="H502" s="15" t="inlineStr">
        <is>
          <t>SHARES summary</t>
        </is>
      </c>
      <c r="I502" s="34" t="inlineStr">
        <is>
          <t>esabcc-t6b-foodcrop-biofuels</t>
        </is>
      </c>
    </row>
    <row r="503" ht="14" customHeight="1">
      <c r="A503" s="22" t="inlineStr">
        <is>
          <t>T6b</t>
        </is>
      </c>
      <c r="B503" s="22" t="inlineStr">
        <is>
          <t>Use of first-generation (food-crop) biofuels in transport</t>
        </is>
      </c>
      <c r="C503" s="22" t="inlineStr">
        <is>
          <t>Transport</t>
        </is>
      </c>
      <c r="D503" s="22" t="inlineStr">
        <is>
          <t>TWh</t>
        </is>
      </c>
      <c r="E503" s="65" t="n">
        <v>2008</v>
      </c>
      <c r="F503" s="66" t="n">
        <v>111.3</v>
      </c>
      <c r="G503" s="67" t="inlineStr">
        <is>
          <t>In the 2024 report</t>
        </is>
      </c>
      <c r="H503" s="22" t="inlineStr">
        <is>
          <t>SHARES summary</t>
        </is>
      </c>
      <c r="I503" s="35" t="inlineStr">
        <is>
          <t>esabcc-t6b-foodcrop-biofuels</t>
        </is>
      </c>
    </row>
    <row r="504" ht="14" customHeight="1">
      <c r="A504" s="15" t="inlineStr">
        <is>
          <t>T6b</t>
        </is>
      </c>
      <c r="B504" s="15" t="inlineStr">
        <is>
          <t>Use of first-generation (food-crop) biofuels in transport</t>
        </is>
      </c>
      <c r="C504" s="15" t="inlineStr">
        <is>
          <t>Transport</t>
        </is>
      </c>
      <c r="D504" s="15" t="inlineStr">
        <is>
          <t>TWh</t>
        </is>
      </c>
      <c r="E504" s="63" t="n">
        <v>2009</v>
      </c>
      <c r="F504" s="64" t="n">
        <v>109.7</v>
      </c>
      <c r="G504" s="14" t="inlineStr">
        <is>
          <t>In the 2024 report</t>
        </is>
      </c>
      <c r="H504" s="15" t="inlineStr">
        <is>
          <t>SHARES summary</t>
        </is>
      </c>
      <c r="I504" s="34" t="inlineStr">
        <is>
          <t>esabcc-t6b-foodcrop-biofuels</t>
        </is>
      </c>
    </row>
    <row r="505" ht="14" customHeight="1">
      <c r="A505" s="22" t="inlineStr">
        <is>
          <t>T6b</t>
        </is>
      </c>
      <c r="B505" s="22" t="inlineStr">
        <is>
          <t>Use of first-generation (food-crop) biofuels in transport</t>
        </is>
      </c>
      <c r="C505" s="22" t="inlineStr">
        <is>
          <t>Transport</t>
        </is>
      </c>
      <c r="D505" s="22" t="inlineStr">
        <is>
          <t>TWh</t>
        </is>
      </c>
      <c r="E505" s="65" t="n">
        <v>2010</v>
      </c>
      <c r="F505" s="66" t="n">
        <v>110.7</v>
      </c>
      <c r="G505" s="67" t="inlineStr">
        <is>
          <t>In the 2024 report</t>
        </is>
      </c>
      <c r="H505" s="22" t="inlineStr">
        <is>
          <t>SHARES summary</t>
        </is>
      </c>
      <c r="I505" s="35" t="inlineStr">
        <is>
          <t>esabcc-t6b-foodcrop-biofuels</t>
        </is>
      </c>
    </row>
    <row r="506" ht="14" customHeight="1">
      <c r="A506" s="15" t="inlineStr">
        <is>
          <t>T6b</t>
        </is>
      </c>
      <c r="B506" s="15" t="inlineStr">
        <is>
          <t>Use of first-generation (food-crop) biofuels in transport</t>
        </is>
      </c>
      <c r="C506" s="15" t="inlineStr">
        <is>
          <t>Transport</t>
        </is>
      </c>
      <c r="D506" s="15" t="inlineStr">
        <is>
          <t>TWh</t>
        </is>
      </c>
      <c r="E506" s="63" t="n">
        <v>2011</v>
      </c>
      <c r="F506" s="64" t="n">
        <v>116.8</v>
      </c>
      <c r="G506" s="14" t="inlineStr">
        <is>
          <t>In the 2024 report</t>
        </is>
      </c>
      <c r="H506" s="15" t="inlineStr">
        <is>
          <t>SHARES summary</t>
        </is>
      </c>
      <c r="I506" s="34" t="inlineStr">
        <is>
          <t>esabcc-t6b-foodcrop-biofuels</t>
        </is>
      </c>
    </row>
    <row r="507" ht="14" customHeight="1">
      <c r="A507" s="22" t="inlineStr">
        <is>
          <t>T6b</t>
        </is>
      </c>
      <c r="B507" s="22" t="inlineStr">
        <is>
          <t>Use of first-generation (food-crop) biofuels in transport</t>
        </is>
      </c>
      <c r="C507" s="22" t="inlineStr">
        <is>
          <t>Transport</t>
        </is>
      </c>
      <c r="D507" s="22" t="inlineStr">
        <is>
          <t>TWh</t>
        </is>
      </c>
      <c r="E507" s="65" t="n">
        <v>2012</v>
      </c>
      <c r="F507" s="66" t="n">
        <v>124.9</v>
      </c>
      <c r="G507" s="67" t="inlineStr">
        <is>
          <t>In the 2024 report</t>
        </is>
      </c>
      <c r="H507" s="22" t="inlineStr">
        <is>
          <t>SHARES summary</t>
        </is>
      </c>
      <c r="I507" s="35" t="inlineStr">
        <is>
          <t>esabcc-t6b-foodcrop-biofuels</t>
        </is>
      </c>
    </row>
    <row r="508" ht="14" customHeight="1">
      <c r="A508" s="15" t="inlineStr">
        <is>
          <t>T6b</t>
        </is>
      </c>
      <c r="B508" s="15" t="inlineStr">
        <is>
          <t>Use of first-generation (food-crop) biofuels in transport</t>
        </is>
      </c>
      <c r="C508" s="15" t="inlineStr">
        <is>
          <t>Transport</t>
        </is>
      </c>
      <c r="D508" s="15" t="inlineStr">
        <is>
          <t>TWh</t>
        </is>
      </c>
      <c r="E508" s="63" t="n">
        <v>2013</v>
      </c>
      <c r="F508" s="64" t="n">
        <v>128.3</v>
      </c>
      <c r="G508" s="14" t="inlineStr">
        <is>
          <t>In the 2024 report</t>
        </is>
      </c>
      <c r="H508" s="15" t="inlineStr">
        <is>
          <t>SHARES summary</t>
        </is>
      </c>
      <c r="I508" s="34" t="inlineStr">
        <is>
          <t>esabcc-t6b-foodcrop-biofuels</t>
        </is>
      </c>
    </row>
    <row r="509" ht="14" customHeight="1">
      <c r="A509" s="22" t="inlineStr">
        <is>
          <t>T6b</t>
        </is>
      </c>
      <c r="B509" s="22" t="inlineStr">
        <is>
          <t>Use of first-generation (food-crop) biofuels in transport</t>
        </is>
      </c>
      <c r="C509" s="22" t="inlineStr">
        <is>
          <t>Transport</t>
        </is>
      </c>
      <c r="D509" s="22" t="inlineStr">
        <is>
          <t>TWh</t>
        </is>
      </c>
      <c r="E509" s="65" t="n">
        <v>2014</v>
      </c>
      <c r="F509" s="66" t="n">
        <v>122.9</v>
      </c>
      <c r="G509" s="67" t="inlineStr">
        <is>
          <t>In the 2024 report</t>
        </is>
      </c>
      <c r="H509" s="22" t="inlineStr">
        <is>
          <t>SHARES summary</t>
        </is>
      </c>
      <c r="I509" s="35" t="inlineStr">
        <is>
          <t>esabcc-t6b-foodcrop-biofuels</t>
        </is>
      </c>
    </row>
    <row r="510" ht="14" customHeight="1">
      <c r="A510" s="15" t="inlineStr">
        <is>
          <t>T6b</t>
        </is>
      </c>
      <c r="B510" s="15" t="inlineStr">
        <is>
          <t>Use of first-generation (food-crop) biofuels in transport</t>
        </is>
      </c>
      <c r="C510" s="15" t="inlineStr">
        <is>
          <t>Transport</t>
        </is>
      </c>
      <c r="D510" s="15" t="inlineStr">
        <is>
          <t>TWh</t>
        </is>
      </c>
      <c r="E510" s="63" t="n">
        <v>2015</v>
      </c>
      <c r="F510" s="64" t="n">
        <v>118.1</v>
      </c>
      <c r="G510" s="14" t="inlineStr">
        <is>
          <t>In the 2024 report</t>
        </is>
      </c>
      <c r="H510" s="15" t="inlineStr">
        <is>
          <t>SHARES summary</t>
        </is>
      </c>
      <c r="I510" s="34" t="inlineStr">
        <is>
          <t>esabcc-t6b-foodcrop-biofuels</t>
        </is>
      </c>
    </row>
    <row r="511" ht="14" customHeight="1">
      <c r="A511" s="22" t="inlineStr">
        <is>
          <t>B1</t>
        </is>
      </c>
      <c r="B511" s="22" t="inlineStr">
        <is>
          <t>Residential + tertiary building GHG emissions</t>
        </is>
      </c>
      <c r="C511" s="22" t="inlineStr">
        <is>
          <t>Buildings</t>
        </is>
      </c>
      <c r="D511" s="22" t="inlineStr">
        <is>
          <t>Mt CO₂eq</t>
        </is>
      </c>
      <c r="E511" s="65" t="n">
        <v>2005</v>
      </c>
      <c r="F511" s="66" t="n">
        <v>665</v>
      </c>
      <c r="G511" s="67" t="inlineStr">
        <is>
          <t>In the 2024 report</t>
        </is>
      </c>
      <c r="H511" s="22" t="inlineStr">
        <is>
          <t>EEA GHG data viewer; 2023+ Eurostat (env_air_gge)</t>
        </is>
      </c>
      <c r="I511" s="35" t="inlineStr">
        <is>
          <t>esabcc-b1-buildings-ghg</t>
        </is>
      </c>
    </row>
    <row r="512" ht="14" customHeight="1">
      <c r="A512" s="15" t="inlineStr">
        <is>
          <t>B1</t>
        </is>
      </c>
      <c r="B512" s="15" t="inlineStr">
        <is>
          <t>Residential + tertiary building GHG emissions</t>
        </is>
      </c>
      <c r="C512" s="15" t="inlineStr">
        <is>
          <t>Buildings</t>
        </is>
      </c>
      <c r="D512" s="15" t="inlineStr">
        <is>
          <t>Mt CO₂eq</t>
        </is>
      </c>
      <c r="E512" s="63" t="n">
        <v>2006</v>
      </c>
      <c r="F512" s="64" t="n">
        <v>663.4</v>
      </c>
      <c r="G512" s="14" t="inlineStr">
        <is>
          <t>In the 2024 report</t>
        </is>
      </c>
      <c r="H512" s="15" t="inlineStr">
        <is>
          <t>EEA GHG data viewer; 2023+ Eurostat (env_air_gge)</t>
        </is>
      </c>
      <c r="I512" s="34" t="inlineStr">
        <is>
          <t>esabcc-b1-buildings-ghg</t>
        </is>
      </c>
    </row>
    <row r="513" ht="14" customHeight="1">
      <c r="A513" s="22" t="inlineStr">
        <is>
          <t>B1</t>
        </is>
      </c>
      <c r="B513" s="22" t="inlineStr">
        <is>
          <t>Residential + tertiary building GHG emissions</t>
        </is>
      </c>
      <c r="C513" s="22" t="inlineStr">
        <is>
          <t>Buildings</t>
        </is>
      </c>
      <c r="D513" s="22" t="inlineStr">
        <is>
          <t>Mt CO₂eq</t>
        </is>
      </c>
      <c r="E513" s="65" t="n">
        <v>2007</v>
      </c>
      <c r="F513" s="66" t="n">
        <v>589.5</v>
      </c>
      <c r="G513" s="67" t="inlineStr">
        <is>
          <t>In the 2024 report</t>
        </is>
      </c>
      <c r="H513" s="22" t="inlineStr">
        <is>
          <t>EEA GHG data viewer; 2023+ Eurostat (env_air_gge)</t>
        </is>
      </c>
      <c r="I513" s="35" t="inlineStr">
        <is>
          <t>esabcc-b1-buildings-ghg</t>
        </is>
      </c>
    </row>
    <row r="514" ht="14" customHeight="1">
      <c r="A514" s="15" t="inlineStr">
        <is>
          <t>B1</t>
        </is>
      </c>
      <c r="B514" s="15" t="inlineStr">
        <is>
          <t>Residential + tertiary building GHG emissions</t>
        </is>
      </c>
      <c r="C514" s="15" t="inlineStr">
        <is>
          <t>Buildings</t>
        </is>
      </c>
      <c r="D514" s="15" t="inlineStr">
        <is>
          <t>Mt CO₂eq</t>
        </is>
      </c>
      <c r="E514" s="63" t="n">
        <v>2008</v>
      </c>
      <c r="F514" s="64" t="n">
        <v>635.1</v>
      </c>
      <c r="G514" s="14" t="inlineStr">
        <is>
          <t>In the 2024 report</t>
        </is>
      </c>
      <c r="H514" s="15" t="inlineStr">
        <is>
          <t>EEA GHG data viewer; 2023+ Eurostat (env_air_gge)</t>
        </is>
      </c>
      <c r="I514" s="34" t="inlineStr">
        <is>
          <t>esabcc-b1-buildings-ghg</t>
        </is>
      </c>
    </row>
    <row r="515" ht="14" customHeight="1">
      <c r="A515" s="22" t="inlineStr">
        <is>
          <t>B1</t>
        </is>
      </c>
      <c r="B515" s="22" t="inlineStr">
        <is>
          <t>Residential + tertiary building GHG emissions</t>
        </is>
      </c>
      <c r="C515" s="22" t="inlineStr">
        <is>
          <t>Buildings</t>
        </is>
      </c>
      <c r="D515" s="22" t="inlineStr">
        <is>
          <t>Mt CO₂eq</t>
        </is>
      </c>
      <c r="E515" s="65" t="n">
        <v>2009</v>
      </c>
      <c r="F515" s="66" t="n">
        <v>621.4</v>
      </c>
      <c r="G515" s="67" t="inlineStr">
        <is>
          <t>In the 2024 report</t>
        </is>
      </c>
      <c r="H515" s="22" t="inlineStr">
        <is>
          <t>EEA GHG data viewer; 2023+ Eurostat (env_air_gge)</t>
        </is>
      </c>
      <c r="I515" s="35" t="inlineStr">
        <is>
          <t>esabcc-b1-buildings-ghg</t>
        </is>
      </c>
    </row>
    <row r="516" ht="14" customHeight="1">
      <c r="A516" s="15" t="inlineStr">
        <is>
          <t>B1</t>
        </is>
      </c>
      <c r="B516" s="15" t="inlineStr">
        <is>
          <t>Residential + tertiary building GHG emissions</t>
        </is>
      </c>
      <c r="C516" s="15" t="inlineStr">
        <is>
          <t>Buildings</t>
        </is>
      </c>
      <c r="D516" s="15" t="inlineStr">
        <is>
          <t>Mt CO₂eq</t>
        </is>
      </c>
      <c r="E516" s="63" t="n">
        <v>2010</v>
      </c>
      <c r="F516" s="64" t="n">
        <v>656.1</v>
      </c>
      <c r="G516" s="14" t="inlineStr">
        <is>
          <t>In the 2024 report</t>
        </is>
      </c>
      <c r="H516" s="15" t="inlineStr">
        <is>
          <t>EEA GHG data viewer; 2023+ Eurostat (env_air_gge)</t>
        </is>
      </c>
      <c r="I516" s="34" t="inlineStr">
        <is>
          <t>esabcc-b1-buildings-ghg</t>
        </is>
      </c>
    </row>
    <row r="517" ht="14" customHeight="1">
      <c r="A517" s="22" t="inlineStr">
        <is>
          <t>B1</t>
        </is>
      </c>
      <c r="B517" s="22" t="inlineStr">
        <is>
          <t>Residential + tertiary building GHG emissions</t>
        </is>
      </c>
      <c r="C517" s="22" t="inlineStr">
        <is>
          <t>Buildings</t>
        </is>
      </c>
      <c r="D517" s="22" t="inlineStr">
        <is>
          <t>Mt CO₂eq</t>
        </is>
      </c>
      <c r="E517" s="65" t="n">
        <v>2011</v>
      </c>
      <c r="F517" s="66" t="n">
        <v>581.5</v>
      </c>
      <c r="G517" s="67" t="inlineStr">
        <is>
          <t>In the 2024 report</t>
        </is>
      </c>
      <c r="H517" s="22" t="inlineStr">
        <is>
          <t>EEA GHG data viewer; 2023+ Eurostat (env_air_gge)</t>
        </is>
      </c>
      <c r="I517" s="35" t="inlineStr">
        <is>
          <t>esabcc-b1-buildings-ghg</t>
        </is>
      </c>
    </row>
    <row r="518" ht="14" customHeight="1">
      <c r="A518" s="15" t="inlineStr">
        <is>
          <t>B1</t>
        </is>
      </c>
      <c r="B518" s="15" t="inlineStr">
        <is>
          <t>Residential + tertiary building GHG emissions</t>
        </is>
      </c>
      <c r="C518" s="15" t="inlineStr">
        <is>
          <t>Buildings</t>
        </is>
      </c>
      <c r="D518" s="15" t="inlineStr">
        <is>
          <t>Mt CO₂eq</t>
        </is>
      </c>
      <c r="E518" s="63" t="n">
        <v>2012</v>
      </c>
      <c r="F518" s="64" t="n">
        <v>589.6</v>
      </c>
      <c r="G518" s="14" t="inlineStr">
        <is>
          <t>In the 2024 report</t>
        </is>
      </c>
      <c r="H518" s="15" t="inlineStr">
        <is>
          <t>EEA GHG data viewer; 2023+ Eurostat (env_air_gge)</t>
        </is>
      </c>
      <c r="I518" s="34" t="inlineStr">
        <is>
          <t>esabcc-b1-buildings-ghg</t>
        </is>
      </c>
    </row>
    <row r="519" ht="14" customHeight="1">
      <c r="A519" s="22" t="inlineStr">
        <is>
          <t>B1</t>
        </is>
      </c>
      <c r="B519" s="22" t="inlineStr">
        <is>
          <t>Residential + tertiary building GHG emissions</t>
        </is>
      </c>
      <c r="C519" s="22" t="inlineStr">
        <is>
          <t>Buildings</t>
        </is>
      </c>
      <c r="D519" s="22" t="inlineStr">
        <is>
          <t>Mt CO₂eq</t>
        </is>
      </c>
      <c r="E519" s="65" t="n">
        <v>2013</v>
      </c>
      <c r="F519" s="66" t="n">
        <v>593.9</v>
      </c>
      <c r="G519" s="67" t="inlineStr">
        <is>
          <t>In the 2024 report</t>
        </is>
      </c>
      <c r="H519" s="22" t="inlineStr">
        <is>
          <t>EEA GHG data viewer; 2023+ Eurostat (env_air_gge)</t>
        </is>
      </c>
      <c r="I519" s="35" t="inlineStr">
        <is>
          <t>esabcc-b1-buildings-ghg</t>
        </is>
      </c>
    </row>
    <row r="520" ht="14" customHeight="1">
      <c r="A520" s="15" t="inlineStr">
        <is>
          <t>B1</t>
        </is>
      </c>
      <c r="B520" s="15" t="inlineStr">
        <is>
          <t>Residential + tertiary building GHG emissions</t>
        </is>
      </c>
      <c r="C520" s="15" t="inlineStr">
        <is>
          <t>Buildings</t>
        </is>
      </c>
      <c r="D520" s="15" t="inlineStr">
        <is>
          <t>Mt CO₂eq</t>
        </is>
      </c>
      <c r="E520" s="63" t="n">
        <v>2014</v>
      </c>
      <c r="F520" s="64" t="n">
        <v>517.8</v>
      </c>
      <c r="G520" s="14" t="inlineStr">
        <is>
          <t>In the 2024 report</t>
        </is>
      </c>
      <c r="H520" s="15" t="inlineStr">
        <is>
          <t>EEA GHG data viewer; 2023+ Eurostat (env_air_gge)</t>
        </is>
      </c>
      <c r="I520" s="34" t="inlineStr">
        <is>
          <t>esabcc-b1-buildings-ghg</t>
        </is>
      </c>
    </row>
    <row r="521" ht="14" customHeight="1">
      <c r="A521" s="22" t="inlineStr">
        <is>
          <t>B1</t>
        </is>
      </c>
      <c r="B521" s="22" t="inlineStr">
        <is>
          <t>Residential + tertiary building GHG emissions</t>
        </is>
      </c>
      <c r="C521" s="22" t="inlineStr">
        <is>
          <t>Buildings</t>
        </is>
      </c>
      <c r="D521" s="22" t="inlineStr">
        <is>
          <t>Mt CO₂eq</t>
        </is>
      </c>
      <c r="E521" s="65" t="n">
        <v>2015</v>
      </c>
      <c r="F521" s="66" t="n">
        <v>541</v>
      </c>
      <c r="G521" s="67" t="inlineStr">
        <is>
          <t>In the 2024 report</t>
        </is>
      </c>
      <c r="H521" s="22" t="inlineStr">
        <is>
          <t>EEA GHG data viewer; 2023+ Eurostat (env_air_gge)</t>
        </is>
      </c>
      <c r="I521" s="35" t="inlineStr">
        <is>
          <t>esabcc-b1-buildings-ghg</t>
        </is>
      </c>
    </row>
    <row r="522" ht="14" customHeight="1">
      <c r="A522" s="15" t="inlineStr">
        <is>
          <t>B1</t>
        </is>
      </c>
      <c r="B522" s="15" t="inlineStr">
        <is>
          <t>Residential + tertiary building GHG emissions</t>
        </is>
      </c>
      <c r="C522" s="15" t="inlineStr">
        <is>
          <t>Buildings</t>
        </is>
      </c>
      <c r="D522" s="15" t="inlineStr">
        <is>
          <t>Mt CO₂eq</t>
        </is>
      </c>
      <c r="E522" s="63" t="n">
        <v>2016</v>
      </c>
      <c r="F522" s="64" t="n">
        <v>547.7</v>
      </c>
      <c r="G522" s="14" t="inlineStr">
        <is>
          <t>In the 2024 report</t>
        </is>
      </c>
      <c r="H522" s="15" t="inlineStr">
        <is>
          <t>EEA GHG data viewer; 2023+ Eurostat (env_air_gge)</t>
        </is>
      </c>
      <c r="I522" s="34" t="inlineStr">
        <is>
          <t>esabcc-b1-buildings-ghg</t>
        </is>
      </c>
    </row>
    <row r="523" ht="14" customHeight="1">
      <c r="A523" s="22" t="inlineStr">
        <is>
          <t>B1</t>
        </is>
      </c>
      <c r="B523" s="22" t="inlineStr">
        <is>
          <t>Residential + tertiary building GHG emissions</t>
        </is>
      </c>
      <c r="C523" s="22" t="inlineStr">
        <is>
          <t>Buildings</t>
        </is>
      </c>
      <c r="D523" s="22" t="inlineStr">
        <is>
          <t>Mt CO₂eq</t>
        </is>
      </c>
      <c r="E523" s="65" t="n">
        <v>2017</v>
      </c>
      <c r="F523" s="66" t="n">
        <v>545.7</v>
      </c>
      <c r="G523" s="67" t="inlineStr">
        <is>
          <t>In the 2024 report</t>
        </is>
      </c>
      <c r="H523" s="22" t="inlineStr">
        <is>
          <t>EEA GHG data viewer; 2023+ Eurostat (env_air_gge)</t>
        </is>
      </c>
      <c r="I523" s="35" t="inlineStr">
        <is>
          <t>esabcc-b1-buildings-ghg</t>
        </is>
      </c>
    </row>
    <row r="524" ht="14" customHeight="1">
      <c r="A524" s="15" t="inlineStr">
        <is>
          <t>B1</t>
        </is>
      </c>
      <c r="B524" s="15" t="inlineStr">
        <is>
          <t>Residential + tertiary building GHG emissions</t>
        </is>
      </c>
      <c r="C524" s="15" t="inlineStr">
        <is>
          <t>Buildings</t>
        </is>
      </c>
      <c r="D524" s="15" t="inlineStr">
        <is>
          <t>Mt CO₂eq</t>
        </is>
      </c>
      <c r="E524" s="63" t="n">
        <v>2018</v>
      </c>
      <c r="F524" s="64" t="n">
        <v>532.9</v>
      </c>
      <c r="G524" s="14" t="inlineStr">
        <is>
          <t>In the 2024 report</t>
        </is>
      </c>
      <c r="H524" s="15" t="inlineStr">
        <is>
          <t>EEA GHG data viewer; 2023+ Eurostat (env_air_gge)</t>
        </is>
      </c>
      <c r="I524" s="34" t="inlineStr">
        <is>
          <t>esabcc-b1-buildings-ghg</t>
        </is>
      </c>
    </row>
    <row r="525" ht="14" customHeight="1">
      <c r="A525" s="22" t="inlineStr">
        <is>
          <t>B1</t>
        </is>
      </c>
      <c r="B525" s="22" t="inlineStr">
        <is>
          <t>Residential + tertiary building GHG emissions</t>
        </is>
      </c>
      <c r="C525" s="22" t="inlineStr">
        <is>
          <t>Buildings</t>
        </is>
      </c>
      <c r="D525" s="22" t="inlineStr">
        <is>
          <t>Mt CO₂eq</t>
        </is>
      </c>
      <c r="E525" s="65" t="n">
        <v>2019</v>
      </c>
      <c r="F525" s="66" t="n">
        <v>522.8</v>
      </c>
      <c r="G525" s="67" t="inlineStr">
        <is>
          <t>In the 2024 report</t>
        </is>
      </c>
      <c r="H525" s="22" t="inlineStr">
        <is>
          <t>EEA GHG data viewer; 2023+ Eurostat (env_air_gge)</t>
        </is>
      </c>
      <c r="I525" s="35" t="inlineStr">
        <is>
          <t>esabcc-b1-buildings-ghg</t>
        </is>
      </c>
    </row>
    <row r="526" ht="14" customHeight="1">
      <c r="A526" s="15" t="inlineStr">
        <is>
          <t>B1</t>
        </is>
      </c>
      <c r="B526" s="15" t="inlineStr">
        <is>
          <t>Residential + tertiary building GHG emissions</t>
        </is>
      </c>
      <c r="C526" s="15" t="inlineStr">
        <is>
          <t>Buildings</t>
        </is>
      </c>
      <c r="D526" s="15" t="inlineStr">
        <is>
          <t>Mt CO₂eq</t>
        </is>
      </c>
      <c r="E526" s="63" t="n">
        <v>2020</v>
      </c>
      <c r="F526" s="64" t="n">
        <v>519.7</v>
      </c>
      <c r="G526" s="14" t="inlineStr">
        <is>
          <t>In the 2024 report</t>
        </is>
      </c>
      <c r="H526" s="15" t="inlineStr">
        <is>
          <t>EEA GHG data viewer; 2023+ Eurostat (env_air_gge)</t>
        </is>
      </c>
      <c r="I526" s="34" t="inlineStr">
        <is>
          <t>esabcc-b1-buildings-ghg</t>
        </is>
      </c>
    </row>
    <row r="527" ht="14" customHeight="1">
      <c r="A527" s="22" t="inlineStr">
        <is>
          <t>B1</t>
        </is>
      </c>
      <c r="B527" s="22" t="inlineStr">
        <is>
          <t>Residential + tertiary building GHG emissions</t>
        </is>
      </c>
      <c r="C527" s="22" t="inlineStr">
        <is>
          <t>Buildings</t>
        </is>
      </c>
      <c r="D527" s="22" t="inlineStr">
        <is>
          <t>Mt CO₂eq</t>
        </is>
      </c>
      <c r="E527" s="65" t="n">
        <v>2021</v>
      </c>
      <c r="F527" s="66" t="n">
        <v>532.5</v>
      </c>
      <c r="G527" s="67" t="inlineStr">
        <is>
          <t>In the 2024 report</t>
        </is>
      </c>
      <c r="H527" s="22" t="inlineStr">
        <is>
          <t>EEA GHG data viewer; 2023+ Eurostat (env_air_gge)</t>
        </is>
      </c>
      <c r="I527" s="35" t="inlineStr">
        <is>
          <t>esabcc-b1-buildings-ghg</t>
        </is>
      </c>
    </row>
    <row r="528" ht="14" customHeight="1">
      <c r="A528" s="15" t="inlineStr">
        <is>
          <t>B1</t>
        </is>
      </c>
      <c r="B528" s="15" t="inlineStr">
        <is>
          <t>Residential + tertiary building GHG emissions</t>
        </is>
      </c>
      <c r="C528" s="15" t="inlineStr">
        <is>
          <t>Buildings</t>
        </is>
      </c>
      <c r="D528" s="15" t="inlineStr">
        <is>
          <t>Mt CO₂eq</t>
        </is>
      </c>
      <c r="E528" s="63" t="n">
        <v>2022</v>
      </c>
      <c r="F528" s="64" t="n">
        <v>481.8</v>
      </c>
      <c r="G528" s="14" t="inlineStr">
        <is>
          <t>In the 2024 report</t>
        </is>
      </c>
      <c r="H528" s="15" t="inlineStr">
        <is>
          <t>EEA GHG data viewer; 2023+ Eurostat (env_air_gge)</t>
        </is>
      </c>
      <c r="I528" s="34" t="inlineStr">
        <is>
          <t>esabcc-b1-buildings-ghg</t>
        </is>
      </c>
    </row>
    <row r="529" ht="14" customHeight="1">
      <c r="A529" s="22" t="inlineStr">
        <is>
          <t>B1</t>
        </is>
      </c>
      <c r="B529" s="22" t="inlineStr">
        <is>
          <t>Residential + tertiary building GHG emissions</t>
        </is>
      </c>
      <c r="C529" s="22" t="inlineStr">
        <is>
          <t>Buildings</t>
        </is>
      </c>
      <c r="D529" s="22" t="inlineStr">
        <is>
          <t>Mt CO₂eq</t>
        </is>
      </c>
      <c r="E529" s="65" t="n">
        <v>2023</v>
      </c>
      <c r="F529" s="66" t="n">
        <v>437.3</v>
      </c>
      <c r="G529" s="69" t="inlineStr">
        <is>
          <t>Added since the report</t>
        </is>
      </c>
      <c r="H529" s="22" t="inlineStr">
        <is>
          <t>EEA GHG data viewer; 2023+ Eurostat (env_air_gge)</t>
        </is>
      </c>
      <c r="I529" s="35" t="inlineStr">
        <is>
          <t>esabcc-b1-buildings-ghg</t>
        </is>
      </c>
    </row>
    <row r="530" ht="14" customHeight="1">
      <c r="A530" s="15" t="inlineStr">
        <is>
          <t>B1</t>
        </is>
      </c>
      <c r="B530" s="15" t="inlineStr">
        <is>
          <t>Residential + tertiary building GHG emissions</t>
        </is>
      </c>
      <c r="C530" s="15" t="inlineStr">
        <is>
          <t>Buildings</t>
        </is>
      </c>
      <c r="D530" s="15" t="inlineStr">
        <is>
          <t>Mt CO₂eq</t>
        </is>
      </c>
      <c r="E530" s="63" t="n">
        <v>2024</v>
      </c>
      <c r="F530" s="64" t="n">
        <v>430.7</v>
      </c>
      <c r="G530" s="68" t="inlineStr">
        <is>
          <t>Added since the report</t>
        </is>
      </c>
      <c r="H530" s="15" t="inlineStr">
        <is>
          <t>EEA GHG data viewer; 2023+ Eurostat (env_air_gge)</t>
        </is>
      </c>
      <c r="I530" s="34" t="inlineStr">
        <is>
          <t>esabcc-b1-buildings-ghg</t>
        </is>
      </c>
    </row>
    <row r="531" ht="14" customHeight="1">
      <c r="A531" s="22" t="inlineStr">
        <is>
          <t>B2</t>
        </is>
      </c>
      <c r="B531" s="22" t="inlineStr">
        <is>
          <t>Final energy consumption in buildings</t>
        </is>
      </c>
      <c r="C531" s="22" t="inlineStr">
        <is>
          <t>Buildings</t>
        </is>
      </c>
      <c r="D531" s="22" t="inlineStr">
        <is>
          <t>TWh</t>
        </is>
      </c>
      <c r="E531" s="65" t="n">
        <v>2005</v>
      </c>
      <c r="F531" s="66" t="n">
        <v>4899.7</v>
      </c>
      <c r="G531" s="67" t="inlineStr">
        <is>
          <t>In the 2024 report</t>
        </is>
      </c>
      <c r="H531" s="22" t="inlineStr">
        <is>
          <t>Eurostat (nrg_bal_c)</t>
        </is>
      </c>
      <c r="I531" s="35" t="inlineStr">
        <is>
          <t>esabcc-b2-buildings-fec</t>
        </is>
      </c>
    </row>
    <row r="532" ht="14" customHeight="1">
      <c r="A532" s="15" t="inlineStr">
        <is>
          <t>B2</t>
        </is>
      </c>
      <c r="B532" s="15" t="inlineStr">
        <is>
          <t>Final energy consumption in buildings</t>
        </is>
      </c>
      <c r="C532" s="15" t="inlineStr">
        <is>
          <t>Buildings</t>
        </is>
      </c>
      <c r="D532" s="15" t="inlineStr">
        <is>
          <t>TWh</t>
        </is>
      </c>
      <c r="E532" s="63" t="n">
        <v>2006</v>
      </c>
      <c r="F532" s="64" t="n">
        <v>4928.3</v>
      </c>
      <c r="G532" s="14" t="inlineStr">
        <is>
          <t>In the 2024 report</t>
        </is>
      </c>
      <c r="H532" s="15" t="inlineStr">
        <is>
          <t>Eurostat (nrg_bal_c)</t>
        </is>
      </c>
      <c r="I532" s="34" t="inlineStr">
        <is>
          <t>esabcc-b2-buildings-fec</t>
        </is>
      </c>
    </row>
    <row r="533" ht="14" customHeight="1">
      <c r="A533" s="22" t="inlineStr">
        <is>
          <t>B2</t>
        </is>
      </c>
      <c r="B533" s="22" t="inlineStr">
        <is>
          <t>Final energy consumption in buildings</t>
        </is>
      </c>
      <c r="C533" s="22" t="inlineStr">
        <is>
          <t>Buildings</t>
        </is>
      </c>
      <c r="D533" s="22" t="inlineStr">
        <is>
          <t>TWh</t>
        </is>
      </c>
      <c r="E533" s="65" t="n">
        <v>2007</v>
      </c>
      <c r="F533" s="66" t="n">
        <v>4656.5</v>
      </c>
      <c r="G533" s="67" t="inlineStr">
        <is>
          <t>In the 2024 report</t>
        </is>
      </c>
      <c r="H533" s="22" t="inlineStr">
        <is>
          <t>Eurostat (nrg_bal_c)</t>
        </is>
      </c>
      <c r="I533" s="35" t="inlineStr">
        <is>
          <t>esabcc-b2-buildings-fec</t>
        </is>
      </c>
    </row>
    <row r="534" ht="14" customHeight="1">
      <c r="A534" s="15" t="inlineStr">
        <is>
          <t>B2</t>
        </is>
      </c>
      <c r="B534" s="15" t="inlineStr">
        <is>
          <t>Final energy consumption in buildings</t>
        </is>
      </c>
      <c r="C534" s="15" t="inlineStr">
        <is>
          <t>Buildings</t>
        </is>
      </c>
      <c r="D534" s="15" t="inlineStr">
        <is>
          <t>TWh</t>
        </is>
      </c>
      <c r="E534" s="63" t="n">
        <v>2008</v>
      </c>
      <c r="F534" s="64" t="n">
        <v>4921.5</v>
      </c>
      <c r="G534" s="14" t="inlineStr">
        <is>
          <t>In the 2024 report</t>
        </is>
      </c>
      <c r="H534" s="15" t="inlineStr">
        <is>
          <t>Eurostat (nrg_bal_c)</t>
        </is>
      </c>
      <c r="I534" s="34" t="inlineStr">
        <is>
          <t>esabcc-b2-buildings-fec</t>
        </is>
      </c>
    </row>
    <row r="535" ht="14" customHeight="1">
      <c r="A535" s="22" t="inlineStr">
        <is>
          <t>B2</t>
        </is>
      </c>
      <c r="B535" s="22" t="inlineStr">
        <is>
          <t>Final energy consumption in buildings</t>
        </is>
      </c>
      <c r="C535" s="22" t="inlineStr">
        <is>
          <t>Buildings</t>
        </is>
      </c>
      <c r="D535" s="22" t="inlineStr">
        <is>
          <t>TWh</t>
        </is>
      </c>
      <c r="E535" s="65" t="n">
        <v>2009</v>
      </c>
      <c r="F535" s="66" t="n">
        <v>4894.4</v>
      </c>
      <c r="G535" s="67" t="inlineStr">
        <is>
          <t>In the 2024 report</t>
        </is>
      </c>
      <c r="H535" s="22" t="inlineStr">
        <is>
          <t>Eurostat (nrg_bal_c)</t>
        </is>
      </c>
      <c r="I535" s="35" t="inlineStr">
        <is>
          <t>esabcc-b2-buildings-fec</t>
        </is>
      </c>
    </row>
    <row r="536" ht="14" customHeight="1">
      <c r="A536" s="15" t="inlineStr">
        <is>
          <t>B2</t>
        </is>
      </c>
      <c r="B536" s="15" t="inlineStr">
        <is>
          <t>Final energy consumption in buildings</t>
        </is>
      </c>
      <c r="C536" s="15" t="inlineStr">
        <is>
          <t>Buildings</t>
        </is>
      </c>
      <c r="D536" s="15" t="inlineStr">
        <is>
          <t>TWh</t>
        </is>
      </c>
      <c r="E536" s="63" t="n">
        <v>2010</v>
      </c>
      <c r="F536" s="64" t="n">
        <v>5168.7</v>
      </c>
      <c r="G536" s="14" t="inlineStr">
        <is>
          <t>In the 2024 report</t>
        </is>
      </c>
      <c r="H536" s="15" t="inlineStr">
        <is>
          <t>Eurostat (nrg_bal_c)</t>
        </is>
      </c>
      <c r="I536" s="34" t="inlineStr">
        <is>
          <t>esabcc-b2-buildings-fec</t>
        </is>
      </c>
    </row>
    <row r="537" ht="14" customHeight="1">
      <c r="A537" s="22" t="inlineStr">
        <is>
          <t>B2</t>
        </is>
      </c>
      <c r="B537" s="22" t="inlineStr">
        <is>
          <t>Final energy consumption in buildings</t>
        </is>
      </c>
      <c r="C537" s="22" t="inlineStr">
        <is>
          <t>Buildings</t>
        </is>
      </c>
      <c r="D537" s="22" t="inlineStr">
        <is>
          <t>TWh</t>
        </is>
      </c>
      <c r="E537" s="65" t="n">
        <v>2011</v>
      </c>
      <c r="F537" s="66" t="n">
        <v>4712</v>
      </c>
      <c r="G537" s="67" t="inlineStr">
        <is>
          <t>In the 2024 report</t>
        </is>
      </c>
      <c r="H537" s="22" t="inlineStr">
        <is>
          <t>Eurostat (nrg_bal_c)</t>
        </is>
      </c>
      <c r="I537" s="35" t="inlineStr">
        <is>
          <t>esabcc-b2-buildings-fec</t>
        </is>
      </c>
    </row>
    <row r="538" ht="14" customHeight="1">
      <c r="A538" s="15" t="inlineStr">
        <is>
          <t>B2</t>
        </is>
      </c>
      <c r="B538" s="15" t="inlineStr">
        <is>
          <t>Final energy consumption in buildings</t>
        </is>
      </c>
      <c r="C538" s="15" t="inlineStr">
        <is>
          <t>Buildings</t>
        </is>
      </c>
      <c r="D538" s="15" t="inlineStr">
        <is>
          <t>TWh</t>
        </is>
      </c>
      <c r="E538" s="63" t="n">
        <v>2012</v>
      </c>
      <c r="F538" s="64" t="n">
        <v>4871.4</v>
      </c>
      <c r="G538" s="14" t="inlineStr">
        <is>
          <t>In the 2024 report</t>
        </is>
      </c>
      <c r="H538" s="15" t="inlineStr">
        <is>
          <t>Eurostat (nrg_bal_c)</t>
        </is>
      </c>
      <c r="I538" s="34" t="inlineStr">
        <is>
          <t>esabcc-b2-buildings-fec</t>
        </is>
      </c>
    </row>
    <row r="539" ht="14" customHeight="1">
      <c r="A539" s="22" t="inlineStr">
        <is>
          <t>B2</t>
        </is>
      </c>
      <c r="B539" s="22" t="inlineStr">
        <is>
          <t>Final energy consumption in buildings</t>
        </is>
      </c>
      <c r="C539" s="22" t="inlineStr">
        <is>
          <t>Buildings</t>
        </is>
      </c>
      <c r="D539" s="22" t="inlineStr">
        <is>
          <t>TWh</t>
        </is>
      </c>
      <c r="E539" s="65" t="n">
        <v>2013</v>
      </c>
      <c r="F539" s="66" t="n">
        <v>4929.8</v>
      </c>
      <c r="G539" s="67" t="inlineStr">
        <is>
          <t>In the 2024 report</t>
        </is>
      </c>
      <c r="H539" s="22" t="inlineStr">
        <is>
          <t>Eurostat (nrg_bal_c)</t>
        </is>
      </c>
      <c r="I539" s="35" t="inlineStr">
        <is>
          <t>esabcc-b2-buildings-fec</t>
        </is>
      </c>
    </row>
    <row r="540" ht="14" customHeight="1">
      <c r="A540" s="15" t="inlineStr">
        <is>
          <t>B2</t>
        </is>
      </c>
      <c r="B540" s="15" t="inlineStr">
        <is>
          <t>Final energy consumption in buildings</t>
        </is>
      </c>
      <c r="C540" s="15" t="inlineStr">
        <is>
          <t>Buildings</t>
        </is>
      </c>
      <c r="D540" s="15" t="inlineStr">
        <is>
          <t>TWh</t>
        </is>
      </c>
      <c r="E540" s="63" t="n">
        <v>2014</v>
      </c>
      <c r="F540" s="64" t="n">
        <v>4449.7</v>
      </c>
      <c r="G540" s="14" t="inlineStr">
        <is>
          <t>In the 2024 report</t>
        </is>
      </c>
      <c r="H540" s="15" t="inlineStr">
        <is>
          <t>Eurostat (nrg_bal_c)</t>
        </is>
      </c>
      <c r="I540" s="34" t="inlineStr">
        <is>
          <t>esabcc-b2-buildings-fec</t>
        </is>
      </c>
    </row>
    <row r="541" ht="14" customHeight="1">
      <c r="A541" s="22" t="inlineStr">
        <is>
          <t>B2</t>
        </is>
      </c>
      <c r="B541" s="22" t="inlineStr">
        <is>
          <t>Final energy consumption in buildings</t>
        </is>
      </c>
      <c r="C541" s="22" t="inlineStr">
        <is>
          <t>Buildings</t>
        </is>
      </c>
      <c r="D541" s="22" t="inlineStr">
        <is>
          <t>TWh</t>
        </is>
      </c>
      <c r="E541" s="65" t="n">
        <v>2015</v>
      </c>
      <c r="F541" s="66" t="n">
        <v>4629.8</v>
      </c>
      <c r="G541" s="67" t="inlineStr">
        <is>
          <t>In the 2024 report</t>
        </is>
      </c>
      <c r="H541" s="22" t="inlineStr">
        <is>
          <t>Eurostat (nrg_bal_c)</t>
        </is>
      </c>
      <c r="I541" s="35" t="inlineStr">
        <is>
          <t>esabcc-b2-buildings-fec</t>
        </is>
      </c>
    </row>
    <row r="542" ht="14" customHeight="1">
      <c r="A542" s="15" t="inlineStr">
        <is>
          <t>B2</t>
        </is>
      </c>
      <c r="B542" s="15" t="inlineStr">
        <is>
          <t>Final energy consumption in buildings</t>
        </is>
      </c>
      <c r="C542" s="15" t="inlineStr">
        <is>
          <t>Buildings</t>
        </is>
      </c>
      <c r="D542" s="15" t="inlineStr">
        <is>
          <t>TWh</t>
        </is>
      </c>
      <c r="E542" s="63" t="n">
        <v>2016</v>
      </c>
      <c r="F542" s="64" t="n">
        <v>4721.9</v>
      </c>
      <c r="G542" s="14" t="inlineStr">
        <is>
          <t>In the 2024 report</t>
        </is>
      </c>
      <c r="H542" s="15" t="inlineStr">
        <is>
          <t>Eurostat (nrg_bal_c)</t>
        </is>
      </c>
      <c r="I542" s="34" t="inlineStr">
        <is>
          <t>esabcc-b2-buildings-fec</t>
        </is>
      </c>
    </row>
    <row r="543" ht="14" customHeight="1">
      <c r="A543" s="22" t="inlineStr">
        <is>
          <t>B2</t>
        </is>
      </c>
      <c r="B543" s="22" t="inlineStr">
        <is>
          <t>Final energy consumption in buildings</t>
        </is>
      </c>
      <c r="C543" s="22" t="inlineStr">
        <is>
          <t>Buildings</t>
        </is>
      </c>
      <c r="D543" s="22" t="inlineStr">
        <is>
          <t>TWh</t>
        </is>
      </c>
      <c r="E543" s="65" t="n">
        <v>2017</v>
      </c>
      <c r="F543" s="66" t="n">
        <v>4778.3</v>
      </c>
      <c r="G543" s="67" t="inlineStr">
        <is>
          <t>In the 2024 report</t>
        </is>
      </c>
      <c r="H543" s="22" t="inlineStr">
        <is>
          <t>Eurostat (nrg_bal_c)</t>
        </is>
      </c>
      <c r="I543" s="35" t="inlineStr">
        <is>
          <t>esabcc-b2-buildings-fec</t>
        </is>
      </c>
    </row>
    <row r="544" ht="14" customHeight="1">
      <c r="A544" s="15" t="inlineStr">
        <is>
          <t>B2</t>
        </is>
      </c>
      <c r="B544" s="15" t="inlineStr">
        <is>
          <t>Final energy consumption in buildings</t>
        </is>
      </c>
      <c r="C544" s="15" t="inlineStr">
        <is>
          <t>Buildings</t>
        </is>
      </c>
      <c r="D544" s="15" t="inlineStr">
        <is>
          <t>TWh</t>
        </is>
      </c>
      <c r="E544" s="63" t="n">
        <v>2018</v>
      </c>
      <c r="F544" s="64" t="n">
        <v>4757</v>
      </c>
      <c r="G544" s="14" t="inlineStr">
        <is>
          <t>In the 2024 report</t>
        </is>
      </c>
      <c r="H544" s="15" t="inlineStr">
        <is>
          <t>Eurostat (nrg_bal_c)</t>
        </is>
      </c>
      <c r="I544" s="34" t="inlineStr">
        <is>
          <t>esabcc-b2-buildings-fec</t>
        </is>
      </c>
    </row>
    <row r="545" ht="14" customHeight="1">
      <c r="A545" s="22" t="inlineStr">
        <is>
          <t>B2</t>
        </is>
      </c>
      <c r="B545" s="22" t="inlineStr">
        <is>
          <t>Final energy consumption in buildings</t>
        </is>
      </c>
      <c r="C545" s="22" t="inlineStr">
        <is>
          <t>Buildings</t>
        </is>
      </c>
      <c r="D545" s="22" t="inlineStr">
        <is>
          <t>TWh</t>
        </is>
      </c>
      <c r="E545" s="65" t="n">
        <v>2019</v>
      </c>
      <c r="F545" s="66" t="n">
        <v>4707.6</v>
      </c>
      <c r="G545" s="67" t="inlineStr">
        <is>
          <t>In the 2024 report</t>
        </is>
      </c>
      <c r="H545" s="22" t="inlineStr">
        <is>
          <t>Eurostat (nrg_bal_c)</t>
        </is>
      </c>
      <c r="I545" s="35" t="inlineStr">
        <is>
          <t>esabcc-b2-buildings-fec</t>
        </is>
      </c>
    </row>
    <row r="546" ht="14" customHeight="1">
      <c r="A546" s="15" t="inlineStr">
        <is>
          <t>B2</t>
        </is>
      </c>
      <c r="B546" s="15" t="inlineStr">
        <is>
          <t>Final energy consumption in buildings</t>
        </is>
      </c>
      <c r="C546" s="15" t="inlineStr">
        <is>
          <t>Buildings</t>
        </is>
      </c>
      <c r="D546" s="15" t="inlineStr">
        <is>
          <t>TWh</t>
        </is>
      </c>
      <c r="E546" s="63" t="n">
        <v>2020</v>
      </c>
      <c r="F546" s="64" t="n">
        <v>4625.9</v>
      </c>
      <c r="G546" s="14" t="inlineStr">
        <is>
          <t>In the 2024 report</t>
        </is>
      </c>
      <c r="H546" s="15" t="inlineStr">
        <is>
          <t>Eurostat (nrg_bal_c)</t>
        </is>
      </c>
      <c r="I546" s="34" t="inlineStr">
        <is>
          <t>esabcc-b2-buildings-fec</t>
        </is>
      </c>
    </row>
    <row r="547" ht="14" customHeight="1">
      <c r="A547" s="22" t="inlineStr">
        <is>
          <t>B2</t>
        </is>
      </c>
      <c r="B547" s="22" t="inlineStr">
        <is>
          <t>Final energy consumption in buildings</t>
        </is>
      </c>
      <c r="C547" s="22" t="inlineStr">
        <is>
          <t>Buildings</t>
        </is>
      </c>
      <c r="D547" s="22" t="inlineStr">
        <is>
          <t>TWh</t>
        </is>
      </c>
      <c r="E547" s="65" t="n">
        <v>2021</v>
      </c>
      <c r="F547" s="66" t="n">
        <v>4878.7</v>
      </c>
      <c r="G547" s="67" t="inlineStr">
        <is>
          <t>In the 2024 report</t>
        </is>
      </c>
      <c r="H547" s="22" t="inlineStr">
        <is>
          <t>Eurostat (nrg_bal_c)</t>
        </is>
      </c>
      <c r="I547" s="35" t="inlineStr">
        <is>
          <t>esabcc-b2-buildings-fec</t>
        </is>
      </c>
    </row>
    <row r="548" ht="14" customHeight="1">
      <c r="A548" s="15" t="inlineStr">
        <is>
          <t>B2</t>
        </is>
      </c>
      <c r="B548" s="15" t="inlineStr">
        <is>
          <t>Final energy consumption in buildings</t>
        </is>
      </c>
      <c r="C548" s="15" t="inlineStr">
        <is>
          <t>Buildings</t>
        </is>
      </c>
      <c r="D548" s="15" t="inlineStr">
        <is>
          <t>TWh</t>
        </is>
      </c>
      <c r="E548" s="63" t="n">
        <v>2022</v>
      </c>
      <c r="F548" s="64" t="n">
        <v>4524.2</v>
      </c>
      <c r="G548" s="68" t="inlineStr">
        <is>
          <t>Added since the report</t>
        </is>
      </c>
      <c r="H548" s="15" t="inlineStr">
        <is>
          <t>Eurostat (nrg_bal_c)</t>
        </is>
      </c>
      <c r="I548" s="34" t="inlineStr">
        <is>
          <t>esabcc-b2-buildings-fec</t>
        </is>
      </c>
    </row>
    <row r="549" ht="14" customHeight="1">
      <c r="A549" s="22" t="inlineStr">
        <is>
          <t>B2</t>
        </is>
      </c>
      <c r="B549" s="22" t="inlineStr">
        <is>
          <t>Final energy consumption in buildings</t>
        </is>
      </c>
      <c r="C549" s="22" t="inlineStr">
        <is>
          <t>Buildings</t>
        </is>
      </c>
      <c r="D549" s="22" t="inlineStr">
        <is>
          <t>TWh</t>
        </is>
      </c>
      <c r="E549" s="65" t="n">
        <v>2023</v>
      </c>
      <c r="F549" s="66" t="n">
        <v>4324.2</v>
      </c>
      <c r="G549" s="69" t="inlineStr">
        <is>
          <t>Added since the report</t>
        </is>
      </c>
      <c r="H549" s="22" t="inlineStr">
        <is>
          <t>Eurostat (nrg_bal_c)</t>
        </is>
      </c>
      <c r="I549" s="35" t="inlineStr">
        <is>
          <t>esabcc-b2-buildings-fec</t>
        </is>
      </c>
    </row>
    <row r="550" ht="14" customHeight="1">
      <c r="A550" s="15" t="inlineStr">
        <is>
          <t>B5a</t>
        </is>
      </c>
      <c r="B550" s="15" t="inlineStr">
        <is>
          <t>Fossil share of residential energy mix</t>
        </is>
      </c>
      <c r="C550" s="15" t="inlineStr">
        <is>
          <t>Buildings</t>
        </is>
      </c>
      <c r="D550" s="15" t="inlineStr">
        <is>
          <t>%</t>
        </is>
      </c>
      <c r="E550" s="63" t="n">
        <v>2005</v>
      </c>
      <c r="F550" s="64" t="n">
        <v>56.61</v>
      </c>
      <c r="G550" s="14" t="inlineStr">
        <is>
          <t>In the 2024 report</t>
        </is>
      </c>
      <c r="H550" s="15" t="inlineStr">
        <is>
          <t>Eurostat (nrg_bal_c)</t>
        </is>
      </c>
      <c r="I550" s="34" t="inlineStr">
        <is>
          <t>esabcc-b5a-residential-fossil-share</t>
        </is>
      </c>
    </row>
    <row r="551" ht="14" customHeight="1">
      <c r="A551" s="22" t="inlineStr">
        <is>
          <t>B5a</t>
        </is>
      </c>
      <c r="B551" s="22" t="inlineStr">
        <is>
          <t>Fossil share of residential energy mix</t>
        </is>
      </c>
      <c r="C551" s="22" t="inlineStr">
        <is>
          <t>Buildings</t>
        </is>
      </c>
      <c r="D551" s="22" t="inlineStr">
        <is>
          <t>%</t>
        </is>
      </c>
      <c r="E551" s="65" t="n">
        <v>2006</v>
      </c>
      <c r="F551" s="66" t="n">
        <v>55.73</v>
      </c>
      <c r="G551" s="67" t="inlineStr">
        <is>
          <t>In the 2024 report</t>
        </is>
      </c>
      <c r="H551" s="22" t="inlineStr">
        <is>
          <t>Eurostat (nrg_bal_c)</t>
        </is>
      </c>
      <c r="I551" s="35" t="inlineStr">
        <is>
          <t>esabcc-b5a-residential-fossil-share</t>
        </is>
      </c>
    </row>
    <row r="552" ht="14" customHeight="1">
      <c r="A552" s="15" t="inlineStr">
        <is>
          <t>B5a</t>
        </is>
      </c>
      <c r="B552" s="15" t="inlineStr">
        <is>
          <t>Fossil share of residential energy mix</t>
        </is>
      </c>
      <c r="C552" s="15" t="inlineStr">
        <is>
          <t>Buildings</t>
        </is>
      </c>
      <c r="D552" s="15" t="inlineStr">
        <is>
          <t>%</t>
        </is>
      </c>
      <c r="E552" s="63" t="n">
        <v>2007</v>
      </c>
      <c r="F552" s="64" t="n">
        <v>51.74</v>
      </c>
      <c r="G552" s="14" t="inlineStr">
        <is>
          <t>In the 2024 report</t>
        </is>
      </c>
      <c r="H552" s="15" t="inlineStr">
        <is>
          <t>Eurostat (nrg_bal_c)</t>
        </is>
      </c>
      <c r="I552" s="34" t="inlineStr">
        <is>
          <t>esabcc-b5a-residential-fossil-share</t>
        </is>
      </c>
    </row>
    <row r="553" ht="14" customHeight="1">
      <c r="A553" s="22" t="inlineStr">
        <is>
          <t>B5a</t>
        </is>
      </c>
      <c r="B553" s="22" t="inlineStr">
        <is>
          <t>Fossil share of residential energy mix</t>
        </is>
      </c>
      <c r="C553" s="22" t="inlineStr">
        <is>
          <t>Buildings</t>
        </is>
      </c>
      <c r="D553" s="22" t="inlineStr">
        <is>
          <t>%</t>
        </is>
      </c>
      <c r="E553" s="65" t="n">
        <v>2008</v>
      </c>
      <c r="F553" s="66" t="n">
        <v>52.64</v>
      </c>
      <c r="G553" s="67" t="inlineStr">
        <is>
          <t>In the 2024 report</t>
        </is>
      </c>
      <c r="H553" s="22" t="inlineStr">
        <is>
          <t>Eurostat (nrg_bal_c)</t>
        </is>
      </c>
      <c r="I553" s="35" t="inlineStr">
        <is>
          <t>esabcc-b5a-residential-fossil-share</t>
        </is>
      </c>
    </row>
    <row r="554" ht="14" customHeight="1">
      <c r="A554" s="15" t="inlineStr">
        <is>
          <t>B5a</t>
        </is>
      </c>
      <c r="B554" s="15" t="inlineStr">
        <is>
          <t>Fossil share of residential energy mix</t>
        </is>
      </c>
      <c r="C554" s="15" t="inlineStr">
        <is>
          <t>Buildings</t>
        </is>
      </c>
      <c r="D554" s="15" t="inlineStr">
        <is>
          <t>%</t>
        </is>
      </c>
      <c r="E554" s="63" t="n">
        <v>2009</v>
      </c>
      <c r="F554" s="64" t="n">
        <v>51.88</v>
      </c>
      <c r="G554" s="14" t="inlineStr">
        <is>
          <t>In the 2024 report</t>
        </is>
      </c>
      <c r="H554" s="15" t="inlineStr">
        <is>
          <t>Eurostat (nrg_bal_c)</t>
        </is>
      </c>
      <c r="I554" s="34" t="inlineStr">
        <is>
          <t>esabcc-b5a-residential-fossil-share</t>
        </is>
      </c>
    </row>
    <row r="555" ht="14" customHeight="1">
      <c r="A555" s="22" t="inlineStr">
        <is>
          <t>B5a</t>
        </is>
      </c>
      <c r="B555" s="22" t="inlineStr">
        <is>
          <t>Fossil share of residential energy mix</t>
        </is>
      </c>
      <c r="C555" s="22" t="inlineStr">
        <is>
          <t>Buildings</t>
        </is>
      </c>
      <c r="D555" s="22" t="inlineStr">
        <is>
          <t>%</t>
        </is>
      </c>
      <c r="E555" s="65" t="n">
        <v>2010</v>
      </c>
      <c r="F555" s="66" t="n">
        <v>51.87</v>
      </c>
      <c r="G555" s="67" t="inlineStr">
        <is>
          <t>In the 2024 report</t>
        </is>
      </c>
      <c r="H555" s="22" t="inlineStr">
        <is>
          <t>Eurostat (nrg_bal_c)</t>
        </is>
      </c>
      <c r="I555" s="35" t="inlineStr">
        <is>
          <t>esabcc-b5a-residential-fossil-share</t>
        </is>
      </c>
    </row>
    <row r="556" ht="14" customHeight="1">
      <c r="A556" s="15" t="inlineStr">
        <is>
          <t>B5a</t>
        </is>
      </c>
      <c r="B556" s="15" t="inlineStr">
        <is>
          <t>Fossil share of residential energy mix</t>
        </is>
      </c>
      <c r="C556" s="15" t="inlineStr">
        <is>
          <t>Buildings</t>
        </is>
      </c>
      <c r="D556" s="15" t="inlineStr">
        <is>
          <t>%</t>
        </is>
      </c>
      <c r="E556" s="63" t="n">
        <v>2011</v>
      </c>
      <c r="F556" s="64" t="n">
        <v>50.36</v>
      </c>
      <c r="G556" s="14" t="inlineStr">
        <is>
          <t>In the 2024 report</t>
        </is>
      </c>
      <c r="H556" s="15" t="inlineStr">
        <is>
          <t>Eurostat (nrg_bal_c)</t>
        </is>
      </c>
      <c r="I556" s="34" t="inlineStr">
        <is>
          <t>esabcc-b5a-residential-fossil-share</t>
        </is>
      </c>
    </row>
    <row r="557" ht="14" customHeight="1">
      <c r="A557" s="22" t="inlineStr">
        <is>
          <t>B5a</t>
        </is>
      </c>
      <c r="B557" s="22" t="inlineStr">
        <is>
          <t>Fossil share of residential energy mix</t>
        </is>
      </c>
      <c r="C557" s="22" t="inlineStr">
        <is>
          <t>Buildings</t>
        </is>
      </c>
      <c r="D557" s="22" t="inlineStr">
        <is>
          <t>%</t>
        </is>
      </c>
      <c r="E557" s="65" t="n">
        <v>2012</v>
      </c>
      <c r="F557" s="66" t="n">
        <v>49.74</v>
      </c>
      <c r="G557" s="67" t="inlineStr">
        <is>
          <t>In the 2024 report</t>
        </is>
      </c>
      <c r="H557" s="22" t="inlineStr">
        <is>
          <t>Eurostat (nrg_bal_c)</t>
        </is>
      </c>
      <c r="I557" s="35" t="inlineStr">
        <is>
          <t>esabcc-b5a-residential-fossil-share</t>
        </is>
      </c>
    </row>
    <row r="558" ht="14" customHeight="1">
      <c r="A558" s="15" t="inlineStr">
        <is>
          <t>B5a</t>
        </is>
      </c>
      <c r="B558" s="15" t="inlineStr">
        <is>
          <t>Fossil share of residential energy mix</t>
        </is>
      </c>
      <c r="C558" s="15" t="inlineStr">
        <is>
          <t>Buildings</t>
        </is>
      </c>
      <c r="D558" s="15" t="inlineStr">
        <is>
          <t>%</t>
        </is>
      </c>
      <c r="E558" s="63" t="n">
        <v>2013</v>
      </c>
      <c r="F558" s="64" t="n">
        <v>49.65</v>
      </c>
      <c r="G558" s="14" t="inlineStr">
        <is>
          <t>In the 2024 report</t>
        </is>
      </c>
      <c r="H558" s="15" t="inlineStr">
        <is>
          <t>Eurostat (nrg_bal_c)</t>
        </is>
      </c>
      <c r="I558" s="34" t="inlineStr">
        <is>
          <t>esabcc-b5a-residential-fossil-share</t>
        </is>
      </c>
    </row>
    <row r="559" ht="14" customHeight="1">
      <c r="A559" s="22" t="inlineStr">
        <is>
          <t>B5a</t>
        </is>
      </c>
      <c r="B559" s="22" t="inlineStr">
        <is>
          <t>Fossil share of residential energy mix</t>
        </is>
      </c>
      <c r="C559" s="22" t="inlineStr">
        <is>
          <t>Buildings</t>
        </is>
      </c>
      <c r="D559" s="22" t="inlineStr">
        <is>
          <t>%</t>
        </is>
      </c>
      <c r="E559" s="65" t="n">
        <v>2014</v>
      </c>
      <c r="F559" s="66" t="n">
        <v>47.28</v>
      </c>
      <c r="G559" s="67" t="inlineStr">
        <is>
          <t>In the 2024 report</t>
        </is>
      </c>
      <c r="H559" s="22" t="inlineStr">
        <is>
          <t>Eurostat (nrg_bal_c)</t>
        </is>
      </c>
      <c r="I559" s="35" t="inlineStr">
        <is>
          <t>esabcc-b5a-residential-fossil-share</t>
        </is>
      </c>
    </row>
    <row r="560" ht="14" customHeight="1">
      <c r="A560" s="15" t="inlineStr">
        <is>
          <t>B5a</t>
        </is>
      </c>
      <c r="B560" s="15" t="inlineStr">
        <is>
          <t>Fossil share of residential energy mix</t>
        </is>
      </c>
      <c r="C560" s="15" t="inlineStr">
        <is>
          <t>Buildings</t>
        </is>
      </c>
      <c r="D560" s="15" t="inlineStr">
        <is>
          <t>%</t>
        </is>
      </c>
      <c r="E560" s="63" t="n">
        <v>2015</v>
      </c>
      <c r="F560" s="64" t="n">
        <v>47.99</v>
      </c>
      <c r="G560" s="14" t="inlineStr">
        <is>
          <t>In the 2024 report</t>
        </is>
      </c>
      <c r="H560" s="15" t="inlineStr">
        <is>
          <t>Eurostat (nrg_bal_c)</t>
        </is>
      </c>
      <c r="I560" s="34" t="inlineStr">
        <is>
          <t>esabcc-b5a-residential-fossil-share</t>
        </is>
      </c>
    </row>
    <row r="561" ht="14" customHeight="1">
      <c r="A561" s="22" t="inlineStr">
        <is>
          <t>B5a</t>
        </is>
      </c>
      <c r="B561" s="22" t="inlineStr">
        <is>
          <t>Fossil share of residential energy mix</t>
        </is>
      </c>
      <c r="C561" s="22" t="inlineStr">
        <is>
          <t>Buildings</t>
        </is>
      </c>
      <c r="D561" s="22" t="inlineStr">
        <is>
          <t>%</t>
        </is>
      </c>
      <c r="E561" s="65" t="n">
        <v>2016</v>
      </c>
      <c r="F561" s="66" t="n">
        <v>48.44</v>
      </c>
      <c r="G561" s="67" t="inlineStr">
        <is>
          <t>In the 2024 report</t>
        </is>
      </c>
      <c r="H561" s="22" t="inlineStr">
        <is>
          <t>Eurostat (nrg_bal_c)</t>
        </is>
      </c>
      <c r="I561" s="35" t="inlineStr">
        <is>
          <t>esabcc-b5a-residential-fossil-share</t>
        </is>
      </c>
    </row>
    <row r="562" ht="14" customHeight="1">
      <c r="A562" s="15" t="inlineStr">
        <is>
          <t>B5a</t>
        </is>
      </c>
      <c r="B562" s="15" t="inlineStr">
        <is>
          <t>Fossil share of residential energy mix</t>
        </is>
      </c>
      <c r="C562" s="15" t="inlineStr">
        <is>
          <t>Buildings</t>
        </is>
      </c>
      <c r="D562" s="15" t="inlineStr">
        <is>
          <t>%</t>
        </is>
      </c>
      <c r="E562" s="63" t="n">
        <v>2017</v>
      </c>
      <c r="F562" s="64" t="n">
        <v>47.89</v>
      </c>
      <c r="G562" s="14" t="inlineStr">
        <is>
          <t>In the 2024 report</t>
        </is>
      </c>
      <c r="H562" s="15" t="inlineStr">
        <is>
          <t>Eurostat (nrg_bal_c)</t>
        </is>
      </c>
      <c r="I562" s="34" t="inlineStr">
        <is>
          <t>esabcc-b5a-residential-fossil-share</t>
        </is>
      </c>
    </row>
    <row r="563" ht="14" customHeight="1">
      <c r="A563" s="22" t="inlineStr">
        <is>
          <t>B5a</t>
        </is>
      </c>
      <c r="B563" s="22" t="inlineStr">
        <is>
          <t>Fossil share of residential energy mix</t>
        </is>
      </c>
      <c r="C563" s="22" t="inlineStr">
        <is>
          <t>Buildings</t>
        </is>
      </c>
      <c r="D563" s="22" t="inlineStr">
        <is>
          <t>%</t>
        </is>
      </c>
      <c r="E563" s="65" t="n">
        <v>2018</v>
      </c>
      <c r="F563" s="66" t="n">
        <v>46.98</v>
      </c>
      <c r="G563" s="67" t="inlineStr">
        <is>
          <t>In the 2024 report</t>
        </is>
      </c>
      <c r="H563" s="22" t="inlineStr">
        <is>
          <t>Eurostat (nrg_bal_c)</t>
        </is>
      </c>
      <c r="I563" s="35" t="inlineStr">
        <is>
          <t>esabcc-b5a-residential-fossil-share</t>
        </is>
      </c>
    </row>
    <row r="564" ht="14" customHeight="1">
      <c r="A564" s="15" t="inlineStr">
        <is>
          <t>B5a</t>
        </is>
      </c>
      <c r="B564" s="15" t="inlineStr">
        <is>
          <t>Fossil share of residential energy mix</t>
        </is>
      </c>
      <c r="C564" s="15" t="inlineStr">
        <is>
          <t>Buildings</t>
        </is>
      </c>
      <c r="D564" s="15" t="inlineStr">
        <is>
          <t>%</t>
        </is>
      </c>
      <c r="E564" s="63" t="n">
        <v>2019</v>
      </c>
      <c r="F564" s="64" t="n">
        <v>46.53</v>
      </c>
      <c r="G564" s="14" t="inlineStr">
        <is>
          <t>In the 2024 report</t>
        </is>
      </c>
      <c r="H564" s="15" t="inlineStr">
        <is>
          <t>Eurostat (nrg_bal_c)</t>
        </is>
      </c>
      <c r="I564" s="34" t="inlineStr">
        <is>
          <t>esabcc-b5a-residential-fossil-share</t>
        </is>
      </c>
    </row>
    <row r="565" ht="14" customHeight="1">
      <c r="A565" s="22" t="inlineStr">
        <is>
          <t>B5a</t>
        </is>
      </c>
      <c r="B565" s="22" t="inlineStr">
        <is>
          <t>Fossil share of residential energy mix</t>
        </is>
      </c>
      <c r="C565" s="22" t="inlineStr">
        <is>
          <t>Buildings</t>
        </is>
      </c>
      <c r="D565" s="22" t="inlineStr">
        <is>
          <t>%</t>
        </is>
      </c>
      <c r="E565" s="65" t="n">
        <v>2020</v>
      </c>
      <c r="F565" s="66" t="n">
        <v>46.74</v>
      </c>
      <c r="G565" s="67" t="inlineStr">
        <is>
          <t>In the 2024 report</t>
        </is>
      </c>
      <c r="H565" s="22" t="inlineStr">
        <is>
          <t>Eurostat (nrg_bal_c)</t>
        </is>
      </c>
      <c r="I565" s="35" t="inlineStr">
        <is>
          <t>esabcc-b5a-residential-fossil-share</t>
        </is>
      </c>
    </row>
    <row r="566" ht="14" customHeight="1">
      <c r="A566" s="15" t="inlineStr">
        <is>
          <t>B5a</t>
        </is>
      </c>
      <c r="B566" s="15" t="inlineStr">
        <is>
          <t>Fossil share of residential energy mix</t>
        </is>
      </c>
      <c r="C566" s="15" t="inlineStr">
        <is>
          <t>Buildings</t>
        </is>
      </c>
      <c r="D566" s="15" t="inlineStr">
        <is>
          <t>%</t>
        </is>
      </c>
      <c r="E566" s="63" t="n">
        <v>2021</v>
      </c>
      <c r="F566" s="64" t="n">
        <v>45.58</v>
      </c>
      <c r="G566" s="14" t="inlineStr">
        <is>
          <t>In the 2024 report</t>
        </is>
      </c>
      <c r="H566" s="15" t="inlineStr">
        <is>
          <t>Eurostat (nrg_bal_c)</t>
        </is>
      </c>
      <c r="I566" s="34" t="inlineStr">
        <is>
          <t>esabcc-b5a-residential-fossil-share</t>
        </is>
      </c>
    </row>
    <row r="567" ht="14" customHeight="1">
      <c r="A567" s="22" t="inlineStr">
        <is>
          <t>B5a</t>
        </is>
      </c>
      <c r="B567" s="22" t="inlineStr">
        <is>
          <t>Fossil share of residential energy mix</t>
        </is>
      </c>
      <c r="C567" s="22" t="inlineStr">
        <is>
          <t>Buildings</t>
        </is>
      </c>
      <c r="D567" s="22" t="inlineStr">
        <is>
          <t>%</t>
        </is>
      </c>
      <c r="E567" s="65" t="n">
        <v>2023</v>
      </c>
      <c r="F567" s="66" t="n">
        <v>42</v>
      </c>
      <c r="G567" s="69" t="inlineStr">
        <is>
          <t>Added since the report</t>
        </is>
      </c>
      <c r="H567" s="22" t="inlineStr">
        <is>
          <t>Eurostat (nrg_bal_c)</t>
        </is>
      </c>
      <c r="I567" s="35" t="inlineStr">
        <is>
          <t>esabcc-b5a-residential-fossil-share</t>
        </is>
      </c>
    </row>
    <row r="568" ht="14" customHeight="1">
      <c r="A568" s="15" t="inlineStr">
        <is>
          <t>B5b</t>
        </is>
      </c>
      <c r="B568" s="15" t="inlineStr">
        <is>
          <t>Fossil share of tertiary energy mix</t>
        </is>
      </c>
      <c r="C568" s="15" t="inlineStr">
        <is>
          <t>Buildings</t>
        </is>
      </c>
      <c r="D568" s="15" t="inlineStr">
        <is>
          <t>%</t>
        </is>
      </c>
      <c r="E568" s="63" t="n">
        <v>2005</v>
      </c>
      <c r="F568" s="64" t="n">
        <v>46.98</v>
      </c>
      <c r="G568" s="14" t="inlineStr">
        <is>
          <t>In the 2024 report</t>
        </is>
      </c>
      <c r="H568" s="15" t="inlineStr">
        <is>
          <t>Eurostat (nrg_bal_c)</t>
        </is>
      </c>
      <c r="I568" s="34" t="inlineStr">
        <is>
          <t>esabcc-b5b-tertiary-fossil-share</t>
        </is>
      </c>
    </row>
    <row r="569" ht="14" customHeight="1">
      <c r="A569" s="22" t="inlineStr">
        <is>
          <t>B5b</t>
        </is>
      </c>
      <c r="B569" s="22" t="inlineStr">
        <is>
          <t>Fossil share of tertiary energy mix</t>
        </is>
      </c>
      <c r="C569" s="22" t="inlineStr">
        <is>
          <t>Buildings</t>
        </is>
      </c>
      <c r="D569" s="22" t="inlineStr">
        <is>
          <t>%</t>
        </is>
      </c>
      <c r="E569" s="65" t="n">
        <v>2006</v>
      </c>
      <c r="F569" s="66" t="n">
        <v>46.65</v>
      </c>
      <c r="G569" s="67" t="inlineStr">
        <is>
          <t>In the 2024 report</t>
        </is>
      </c>
      <c r="H569" s="22" t="inlineStr">
        <is>
          <t>Eurostat (nrg_bal_c)</t>
        </is>
      </c>
      <c r="I569" s="35" t="inlineStr">
        <is>
          <t>esabcc-b5b-tertiary-fossil-share</t>
        </is>
      </c>
    </row>
    <row r="570" ht="14" customHeight="1">
      <c r="A570" s="15" t="inlineStr">
        <is>
          <t>B5b</t>
        </is>
      </c>
      <c r="B570" s="15" t="inlineStr">
        <is>
          <t>Fossil share of tertiary energy mix</t>
        </is>
      </c>
      <c r="C570" s="15" t="inlineStr">
        <is>
          <t>Buildings</t>
        </is>
      </c>
      <c r="D570" s="15" t="inlineStr">
        <is>
          <t>%</t>
        </is>
      </c>
      <c r="E570" s="63" t="n">
        <v>2007</v>
      </c>
      <c r="F570" s="64" t="n">
        <v>42.85</v>
      </c>
      <c r="G570" s="14" t="inlineStr">
        <is>
          <t>In the 2024 report</t>
        </is>
      </c>
      <c r="H570" s="15" t="inlineStr">
        <is>
          <t>Eurostat (nrg_bal_c)</t>
        </is>
      </c>
      <c r="I570" s="34" t="inlineStr">
        <is>
          <t>esabcc-b5b-tertiary-fossil-share</t>
        </is>
      </c>
    </row>
    <row r="571" ht="14" customHeight="1">
      <c r="A571" s="22" t="inlineStr">
        <is>
          <t>B5b</t>
        </is>
      </c>
      <c r="B571" s="22" t="inlineStr">
        <is>
          <t>Fossil share of tertiary energy mix</t>
        </is>
      </c>
      <c r="C571" s="22" t="inlineStr">
        <is>
          <t>Buildings</t>
        </is>
      </c>
      <c r="D571" s="22" t="inlineStr">
        <is>
          <t>%</t>
        </is>
      </c>
      <c r="E571" s="65" t="n">
        <v>2008</v>
      </c>
      <c r="F571" s="66" t="n">
        <v>43.89</v>
      </c>
      <c r="G571" s="67" t="inlineStr">
        <is>
          <t>In the 2024 report</t>
        </is>
      </c>
      <c r="H571" s="22" t="inlineStr">
        <is>
          <t>Eurostat (nrg_bal_c)</t>
        </is>
      </c>
      <c r="I571" s="35" t="inlineStr">
        <is>
          <t>esabcc-b5b-tertiary-fossil-share</t>
        </is>
      </c>
    </row>
    <row r="572" ht="14" customHeight="1">
      <c r="A572" s="15" t="inlineStr">
        <is>
          <t>B5b</t>
        </is>
      </c>
      <c r="B572" s="15" t="inlineStr">
        <is>
          <t>Fossil share of tertiary energy mix</t>
        </is>
      </c>
      <c r="C572" s="15" t="inlineStr">
        <is>
          <t>Buildings</t>
        </is>
      </c>
      <c r="D572" s="15" t="inlineStr">
        <is>
          <t>%</t>
        </is>
      </c>
      <c r="E572" s="63" t="n">
        <v>2009</v>
      </c>
      <c r="F572" s="64" t="n">
        <v>43.26</v>
      </c>
      <c r="G572" s="14" t="inlineStr">
        <is>
          <t>In the 2024 report</t>
        </is>
      </c>
      <c r="H572" s="15" t="inlineStr">
        <is>
          <t>Eurostat (nrg_bal_c)</t>
        </is>
      </c>
      <c r="I572" s="34" t="inlineStr">
        <is>
          <t>esabcc-b5b-tertiary-fossil-share</t>
        </is>
      </c>
    </row>
    <row r="573" ht="14" customHeight="1">
      <c r="A573" s="22" t="inlineStr">
        <is>
          <t>B5b</t>
        </is>
      </c>
      <c r="B573" s="22" t="inlineStr">
        <is>
          <t>Fossil share of tertiary energy mix</t>
        </is>
      </c>
      <c r="C573" s="22" t="inlineStr">
        <is>
          <t>Buildings</t>
        </is>
      </c>
      <c r="D573" s="22" t="inlineStr">
        <is>
          <t>%</t>
        </is>
      </c>
      <c r="E573" s="65" t="n">
        <v>2010</v>
      </c>
      <c r="F573" s="66" t="n">
        <v>42.84</v>
      </c>
      <c r="G573" s="67" t="inlineStr">
        <is>
          <t>In the 2024 report</t>
        </is>
      </c>
      <c r="H573" s="22" t="inlineStr">
        <is>
          <t>Eurostat (nrg_bal_c)</t>
        </is>
      </c>
      <c r="I573" s="35" t="inlineStr">
        <is>
          <t>esabcc-b5b-tertiary-fossil-share</t>
        </is>
      </c>
    </row>
    <row r="574" ht="14" customHeight="1">
      <c r="A574" s="15" t="inlineStr">
        <is>
          <t>B5b</t>
        </is>
      </c>
      <c r="B574" s="15" t="inlineStr">
        <is>
          <t>Fossil share of tertiary energy mix</t>
        </is>
      </c>
      <c r="C574" s="15" t="inlineStr">
        <is>
          <t>Buildings</t>
        </is>
      </c>
      <c r="D574" s="15" t="inlineStr">
        <is>
          <t>%</t>
        </is>
      </c>
      <c r="E574" s="63" t="n">
        <v>2011</v>
      </c>
      <c r="F574" s="64" t="n">
        <v>40.8</v>
      </c>
      <c r="G574" s="14" t="inlineStr">
        <is>
          <t>In the 2024 report</t>
        </is>
      </c>
      <c r="H574" s="15" t="inlineStr">
        <is>
          <t>Eurostat (nrg_bal_c)</t>
        </is>
      </c>
      <c r="I574" s="34" t="inlineStr">
        <is>
          <t>esabcc-b5b-tertiary-fossil-share</t>
        </is>
      </c>
    </row>
    <row r="575" ht="14" customHeight="1">
      <c r="A575" s="22" t="inlineStr">
        <is>
          <t>B5b</t>
        </is>
      </c>
      <c r="B575" s="22" t="inlineStr">
        <is>
          <t>Fossil share of tertiary energy mix</t>
        </is>
      </c>
      <c r="C575" s="22" t="inlineStr">
        <is>
          <t>Buildings</t>
        </is>
      </c>
      <c r="D575" s="22" t="inlineStr">
        <is>
          <t>%</t>
        </is>
      </c>
      <c r="E575" s="65" t="n">
        <v>2012</v>
      </c>
      <c r="F575" s="66" t="n">
        <v>40.9</v>
      </c>
      <c r="G575" s="67" t="inlineStr">
        <is>
          <t>In the 2024 report</t>
        </is>
      </c>
      <c r="H575" s="22" t="inlineStr">
        <is>
          <t>Eurostat (nrg_bal_c)</t>
        </is>
      </c>
      <c r="I575" s="35" t="inlineStr">
        <is>
          <t>esabcc-b5b-tertiary-fossil-share</t>
        </is>
      </c>
    </row>
    <row r="576" ht="14" customHeight="1">
      <c r="A576" s="15" t="inlineStr">
        <is>
          <t>B5b</t>
        </is>
      </c>
      <c r="B576" s="15" t="inlineStr">
        <is>
          <t>Fossil share of tertiary energy mix</t>
        </is>
      </c>
      <c r="C576" s="15" t="inlineStr">
        <is>
          <t>Buildings</t>
        </is>
      </c>
      <c r="D576" s="15" t="inlineStr">
        <is>
          <t>%</t>
        </is>
      </c>
      <c r="E576" s="63" t="n">
        <v>2013</v>
      </c>
      <c r="F576" s="64" t="n">
        <v>42.42</v>
      </c>
      <c r="G576" s="14" t="inlineStr">
        <is>
          <t>In the 2024 report</t>
        </is>
      </c>
      <c r="H576" s="15" t="inlineStr">
        <is>
          <t>Eurostat (nrg_bal_c)</t>
        </is>
      </c>
      <c r="I576" s="34" t="inlineStr">
        <is>
          <t>esabcc-b5b-tertiary-fossil-share</t>
        </is>
      </c>
    </row>
    <row r="577" ht="14" customHeight="1">
      <c r="A577" s="22" t="inlineStr">
        <is>
          <t>B5b</t>
        </is>
      </c>
      <c r="B577" s="22" t="inlineStr">
        <is>
          <t>Fossil share of tertiary energy mix</t>
        </is>
      </c>
      <c r="C577" s="22" t="inlineStr">
        <is>
          <t>Buildings</t>
        </is>
      </c>
      <c r="D577" s="22" t="inlineStr">
        <is>
          <t>%</t>
        </is>
      </c>
      <c r="E577" s="65" t="n">
        <v>2014</v>
      </c>
      <c r="F577" s="66" t="n">
        <v>39.98</v>
      </c>
      <c r="G577" s="67" t="inlineStr">
        <is>
          <t>In the 2024 report</t>
        </is>
      </c>
      <c r="H577" s="22" t="inlineStr">
        <is>
          <t>Eurostat (nrg_bal_c)</t>
        </is>
      </c>
      <c r="I577" s="35" t="inlineStr">
        <is>
          <t>esabcc-b5b-tertiary-fossil-share</t>
        </is>
      </c>
    </row>
    <row r="578" ht="14" customHeight="1">
      <c r="A578" s="15" t="inlineStr">
        <is>
          <t>B5b</t>
        </is>
      </c>
      <c r="B578" s="15" t="inlineStr">
        <is>
          <t>Fossil share of tertiary energy mix</t>
        </is>
      </c>
      <c r="C578" s="15" t="inlineStr">
        <is>
          <t>Buildings</t>
        </is>
      </c>
      <c r="D578" s="15" t="inlineStr">
        <is>
          <t>%</t>
        </is>
      </c>
      <c r="E578" s="63" t="n">
        <v>2015</v>
      </c>
      <c r="F578" s="64" t="n">
        <v>40.36</v>
      </c>
      <c r="G578" s="14" t="inlineStr">
        <is>
          <t>In the 2024 report</t>
        </is>
      </c>
      <c r="H578" s="15" t="inlineStr">
        <is>
          <t>Eurostat (nrg_bal_c)</t>
        </is>
      </c>
      <c r="I578" s="34" t="inlineStr">
        <is>
          <t>esabcc-b5b-tertiary-fossil-share</t>
        </is>
      </c>
    </row>
    <row r="579" ht="14" customHeight="1">
      <c r="A579" s="22" t="inlineStr">
        <is>
          <t>B5b</t>
        </is>
      </c>
      <c r="B579" s="22" t="inlineStr">
        <is>
          <t>Fossil share of tertiary energy mix</t>
        </is>
      </c>
      <c r="C579" s="22" t="inlineStr">
        <is>
          <t>Buildings</t>
        </is>
      </c>
      <c r="D579" s="22" t="inlineStr">
        <is>
          <t>%</t>
        </is>
      </c>
      <c r="E579" s="65" t="n">
        <v>2016</v>
      </c>
      <c r="F579" s="66" t="n">
        <v>40.13</v>
      </c>
      <c r="G579" s="67" t="inlineStr">
        <is>
          <t>In the 2024 report</t>
        </is>
      </c>
      <c r="H579" s="22" t="inlineStr">
        <is>
          <t>Eurostat (nrg_bal_c)</t>
        </is>
      </c>
      <c r="I579" s="35" t="inlineStr">
        <is>
          <t>esabcc-b5b-tertiary-fossil-share</t>
        </is>
      </c>
    </row>
    <row r="580" ht="14" customHeight="1">
      <c r="A580" s="15" t="inlineStr">
        <is>
          <t>B5b</t>
        </is>
      </c>
      <c r="B580" s="15" t="inlineStr">
        <is>
          <t>Fossil share of tertiary energy mix</t>
        </is>
      </c>
      <c r="C580" s="15" t="inlineStr">
        <is>
          <t>Buildings</t>
        </is>
      </c>
      <c r="D580" s="15" t="inlineStr">
        <is>
          <t>%</t>
        </is>
      </c>
      <c r="E580" s="63" t="n">
        <v>2017</v>
      </c>
      <c r="F580" s="64" t="n">
        <v>38.97</v>
      </c>
      <c r="G580" s="14" t="inlineStr">
        <is>
          <t>In the 2024 report</t>
        </is>
      </c>
      <c r="H580" s="15" t="inlineStr">
        <is>
          <t>Eurostat (nrg_bal_c)</t>
        </is>
      </c>
      <c r="I580" s="34" t="inlineStr">
        <is>
          <t>esabcc-b5b-tertiary-fossil-share</t>
        </is>
      </c>
    </row>
    <row r="581" ht="14" customHeight="1">
      <c r="A581" s="22" t="inlineStr">
        <is>
          <t>B5b</t>
        </is>
      </c>
      <c r="B581" s="22" t="inlineStr">
        <is>
          <t>Fossil share of tertiary energy mix</t>
        </is>
      </c>
      <c r="C581" s="22" t="inlineStr">
        <is>
          <t>Buildings</t>
        </is>
      </c>
      <c r="D581" s="22" t="inlineStr">
        <is>
          <t>%</t>
        </is>
      </c>
      <c r="E581" s="65" t="n">
        <v>2018</v>
      </c>
      <c r="F581" s="66" t="n">
        <v>37.71</v>
      </c>
      <c r="G581" s="67" t="inlineStr">
        <is>
          <t>In the 2024 report</t>
        </is>
      </c>
      <c r="H581" s="22" t="inlineStr">
        <is>
          <t>Eurostat (nrg_bal_c)</t>
        </is>
      </c>
      <c r="I581" s="35" t="inlineStr">
        <is>
          <t>esabcc-b5b-tertiary-fossil-share</t>
        </is>
      </c>
    </row>
    <row r="582" ht="14" customHeight="1">
      <c r="A582" s="15" t="inlineStr">
        <is>
          <t>B5b</t>
        </is>
      </c>
      <c r="B582" s="15" t="inlineStr">
        <is>
          <t>Fossil share of tertiary energy mix</t>
        </is>
      </c>
      <c r="C582" s="15" t="inlineStr">
        <is>
          <t>Buildings</t>
        </is>
      </c>
      <c r="D582" s="15" t="inlineStr">
        <is>
          <t>%</t>
        </is>
      </c>
      <c r="E582" s="63" t="n">
        <v>2019</v>
      </c>
      <c r="F582" s="64" t="n">
        <v>37.13</v>
      </c>
      <c r="G582" s="14" t="inlineStr">
        <is>
          <t>In the 2024 report</t>
        </is>
      </c>
      <c r="H582" s="15" t="inlineStr">
        <is>
          <t>Eurostat (nrg_bal_c)</t>
        </is>
      </c>
      <c r="I582" s="34" t="inlineStr">
        <is>
          <t>esabcc-b5b-tertiary-fossil-share</t>
        </is>
      </c>
    </row>
    <row r="583" ht="14" customHeight="1">
      <c r="A583" s="22" t="inlineStr">
        <is>
          <t>B5b</t>
        </is>
      </c>
      <c r="B583" s="22" t="inlineStr">
        <is>
          <t>Fossil share of tertiary energy mix</t>
        </is>
      </c>
      <c r="C583" s="22" t="inlineStr">
        <is>
          <t>Buildings</t>
        </is>
      </c>
      <c r="D583" s="22" t="inlineStr">
        <is>
          <t>%</t>
        </is>
      </c>
      <c r="E583" s="65" t="n">
        <v>2020</v>
      </c>
      <c r="F583" s="66" t="n">
        <v>37.28</v>
      </c>
      <c r="G583" s="67" t="inlineStr">
        <is>
          <t>In the 2024 report</t>
        </is>
      </c>
      <c r="H583" s="22" t="inlineStr">
        <is>
          <t>Eurostat (nrg_bal_c)</t>
        </is>
      </c>
      <c r="I583" s="35" t="inlineStr">
        <is>
          <t>esabcc-b5b-tertiary-fossil-share</t>
        </is>
      </c>
    </row>
    <row r="584" ht="14" customHeight="1">
      <c r="A584" s="15" t="inlineStr">
        <is>
          <t>B5b</t>
        </is>
      </c>
      <c r="B584" s="15" t="inlineStr">
        <is>
          <t>Fossil share of tertiary energy mix</t>
        </is>
      </c>
      <c r="C584" s="15" t="inlineStr">
        <is>
          <t>Buildings</t>
        </is>
      </c>
      <c r="D584" s="15" t="inlineStr">
        <is>
          <t>%</t>
        </is>
      </c>
      <c r="E584" s="63" t="n">
        <v>2021</v>
      </c>
      <c r="F584" s="64" t="n">
        <v>38.74</v>
      </c>
      <c r="G584" s="14" t="inlineStr">
        <is>
          <t>In the 2024 report</t>
        </is>
      </c>
      <c r="H584" s="15" t="inlineStr">
        <is>
          <t>Eurostat (nrg_bal_c)</t>
        </is>
      </c>
      <c r="I584" s="34" t="inlineStr">
        <is>
          <t>esabcc-b5b-tertiary-fossil-share</t>
        </is>
      </c>
    </row>
    <row r="585" ht="14" customHeight="1">
      <c r="A585" s="22" t="inlineStr">
        <is>
          <t>B5b</t>
        </is>
      </c>
      <c r="B585" s="22" t="inlineStr">
        <is>
          <t>Fossil share of tertiary energy mix</t>
        </is>
      </c>
      <c r="C585" s="22" t="inlineStr">
        <is>
          <t>Buildings</t>
        </is>
      </c>
      <c r="D585" s="22" t="inlineStr">
        <is>
          <t>%</t>
        </is>
      </c>
      <c r="E585" s="65" t="n">
        <v>2023</v>
      </c>
      <c r="F585" s="66" t="n">
        <v>32.2</v>
      </c>
      <c r="G585" s="69" t="inlineStr">
        <is>
          <t>Added since the report</t>
        </is>
      </c>
      <c r="H585" s="22" t="inlineStr">
        <is>
          <t>Eurostat (nrg_bal_c)</t>
        </is>
      </c>
      <c r="I585" s="35" t="inlineStr">
        <is>
          <t>esabcc-b5b-tertiary-fossil-share</t>
        </is>
      </c>
    </row>
    <row r="586" ht="14" customHeight="1">
      <c r="A586" s="15" t="inlineStr">
        <is>
          <t>B6</t>
        </is>
      </c>
      <c r="B586" s="15" t="inlineStr">
        <is>
          <t>EU stock of installed heat pumps</t>
        </is>
      </c>
      <c r="C586" s="15" t="inlineStr">
        <is>
          <t>Buildings</t>
        </is>
      </c>
      <c r="D586" s="15" t="inlineStr">
        <is>
          <t>million units</t>
        </is>
      </c>
      <c r="E586" s="63" t="n">
        <v>2005</v>
      </c>
      <c r="F586" s="64" t="n">
        <v>1.1</v>
      </c>
      <c r="G586" s="14" t="inlineStr">
        <is>
          <t>In the 2024 report</t>
        </is>
      </c>
      <c r="H586" s="15" t="inlineStr">
        <is>
          <t>European Heat Pump Association</t>
        </is>
      </c>
      <c r="I586" s="34" t="inlineStr">
        <is>
          <t>esabcc-b6-heat-pump-stock</t>
        </is>
      </c>
    </row>
    <row r="587" ht="14" customHeight="1">
      <c r="A587" s="22" t="inlineStr">
        <is>
          <t>B6</t>
        </is>
      </c>
      <c r="B587" s="22" t="inlineStr">
        <is>
          <t>EU stock of installed heat pumps</t>
        </is>
      </c>
      <c r="C587" s="22" t="inlineStr">
        <is>
          <t>Buildings</t>
        </is>
      </c>
      <c r="D587" s="22" t="inlineStr">
        <is>
          <t>million units</t>
        </is>
      </c>
      <c r="E587" s="65" t="n">
        <v>2006</v>
      </c>
      <c r="F587" s="66" t="n">
        <v>1.6</v>
      </c>
      <c r="G587" s="67" t="inlineStr">
        <is>
          <t>In the 2024 report</t>
        </is>
      </c>
      <c r="H587" s="22" t="inlineStr">
        <is>
          <t>European Heat Pump Association</t>
        </is>
      </c>
      <c r="I587" s="35" t="inlineStr">
        <is>
          <t>esabcc-b6-heat-pump-stock</t>
        </is>
      </c>
    </row>
    <row r="588" ht="14" customHeight="1">
      <c r="A588" s="15" t="inlineStr">
        <is>
          <t>B6</t>
        </is>
      </c>
      <c r="B588" s="15" t="inlineStr">
        <is>
          <t>EU stock of installed heat pumps</t>
        </is>
      </c>
      <c r="C588" s="15" t="inlineStr">
        <is>
          <t>Buildings</t>
        </is>
      </c>
      <c r="D588" s="15" t="inlineStr">
        <is>
          <t>million units</t>
        </is>
      </c>
      <c r="E588" s="63" t="n">
        <v>2007</v>
      </c>
      <c r="F588" s="64" t="n">
        <v>2.17</v>
      </c>
      <c r="G588" s="14" t="inlineStr">
        <is>
          <t>In the 2024 report</t>
        </is>
      </c>
      <c r="H588" s="15" t="inlineStr">
        <is>
          <t>European Heat Pump Association</t>
        </is>
      </c>
      <c r="I588" s="34" t="inlineStr">
        <is>
          <t>esabcc-b6-heat-pump-stock</t>
        </is>
      </c>
    </row>
    <row r="589" ht="14" customHeight="1">
      <c r="A589" s="22" t="inlineStr">
        <is>
          <t>B6</t>
        </is>
      </c>
      <c r="B589" s="22" t="inlineStr">
        <is>
          <t>EU stock of installed heat pumps</t>
        </is>
      </c>
      <c r="C589" s="22" t="inlineStr">
        <is>
          <t>Buildings</t>
        </is>
      </c>
      <c r="D589" s="22" t="inlineStr">
        <is>
          <t>million units</t>
        </is>
      </c>
      <c r="E589" s="65" t="n">
        <v>2008</v>
      </c>
      <c r="F589" s="66" t="n">
        <v>2.98</v>
      </c>
      <c r="G589" s="67" t="inlineStr">
        <is>
          <t>In the 2024 report</t>
        </is>
      </c>
      <c r="H589" s="22" t="inlineStr">
        <is>
          <t>European Heat Pump Association</t>
        </is>
      </c>
      <c r="I589" s="35" t="inlineStr">
        <is>
          <t>esabcc-b6-heat-pump-stock</t>
        </is>
      </c>
    </row>
    <row r="590" ht="14" customHeight="1">
      <c r="A590" s="15" t="inlineStr">
        <is>
          <t>B6</t>
        </is>
      </c>
      <c r="B590" s="15" t="inlineStr">
        <is>
          <t>EU stock of installed heat pumps</t>
        </is>
      </c>
      <c r="C590" s="15" t="inlineStr">
        <is>
          <t>Buildings</t>
        </is>
      </c>
      <c r="D590" s="15" t="inlineStr">
        <is>
          <t>million units</t>
        </is>
      </c>
      <c r="E590" s="63" t="n">
        <v>2009</v>
      </c>
      <c r="F590" s="64" t="n">
        <v>3.71</v>
      </c>
      <c r="G590" s="14" t="inlineStr">
        <is>
          <t>In the 2024 report</t>
        </is>
      </c>
      <c r="H590" s="15" t="inlineStr">
        <is>
          <t>European Heat Pump Association</t>
        </is>
      </c>
      <c r="I590" s="34" t="inlineStr">
        <is>
          <t>esabcc-b6-heat-pump-stock</t>
        </is>
      </c>
    </row>
    <row r="591" ht="14" customHeight="1">
      <c r="A591" s="22" t="inlineStr">
        <is>
          <t>B6</t>
        </is>
      </c>
      <c r="B591" s="22" t="inlineStr">
        <is>
          <t>EU stock of installed heat pumps</t>
        </is>
      </c>
      <c r="C591" s="22" t="inlineStr">
        <is>
          <t>Buildings</t>
        </is>
      </c>
      <c r="D591" s="22" t="inlineStr">
        <is>
          <t>million units</t>
        </is>
      </c>
      <c r="E591" s="65" t="n">
        <v>2010</v>
      </c>
      <c r="F591" s="66" t="n">
        <v>4.5</v>
      </c>
      <c r="G591" s="67" t="inlineStr">
        <is>
          <t>In the 2024 report</t>
        </is>
      </c>
      <c r="H591" s="22" t="inlineStr">
        <is>
          <t>European Heat Pump Association</t>
        </is>
      </c>
      <c r="I591" s="35" t="inlineStr">
        <is>
          <t>esabcc-b6-heat-pump-stock</t>
        </is>
      </c>
    </row>
    <row r="592" ht="14" customHeight="1">
      <c r="A592" s="15" t="inlineStr">
        <is>
          <t>B6</t>
        </is>
      </c>
      <c r="B592" s="15" t="inlineStr">
        <is>
          <t>EU stock of installed heat pumps</t>
        </is>
      </c>
      <c r="C592" s="15" t="inlineStr">
        <is>
          <t>Buildings</t>
        </is>
      </c>
      <c r="D592" s="15" t="inlineStr">
        <is>
          <t>million units</t>
        </is>
      </c>
      <c r="E592" s="63" t="n">
        <v>2011</v>
      </c>
      <c r="F592" s="64" t="n">
        <v>5.3</v>
      </c>
      <c r="G592" s="14" t="inlineStr">
        <is>
          <t>In the 2024 report</t>
        </is>
      </c>
      <c r="H592" s="15" t="inlineStr">
        <is>
          <t>European Heat Pump Association</t>
        </is>
      </c>
      <c r="I592" s="34" t="inlineStr">
        <is>
          <t>esabcc-b6-heat-pump-stock</t>
        </is>
      </c>
    </row>
    <row r="593" ht="14" customHeight="1">
      <c r="A593" s="22" t="inlineStr">
        <is>
          <t>B6</t>
        </is>
      </c>
      <c r="B593" s="22" t="inlineStr">
        <is>
          <t>EU stock of installed heat pumps</t>
        </is>
      </c>
      <c r="C593" s="22" t="inlineStr">
        <is>
          <t>Buildings</t>
        </is>
      </c>
      <c r="D593" s="22" t="inlineStr">
        <is>
          <t>million units</t>
        </is>
      </c>
      <c r="E593" s="65" t="n">
        <v>2012</v>
      </c>
      <c r="F593" s="66" t="n">
        <v>6.03</v>
      </c>
      <c r="G593" s="67" t="inlineStr">
        <is>
          <t>In the 2024 report</t>
        </is>
      </c>
      <c r="H593" s="22" t="inlineStr">
        <is>
          <t>European Heat Pump Association</t>
        </is>
      </c>
      <c r="I593" s="35" t="inlineStr">
        <is>
          <t>esabcc-b6-heat-pump-stock</t>
        </is>
      </c>
    </row>
    <row r="594" ht="14" customHeight="1">
      <c r="A594" s="15" t="inlineStr">
        <is>
          <t>B6</t>
        </is>
      </c>
      <c r="B594" s="15" t="inlineStr">
        <is>
          <t>EU stock of installed heat pumps</t>
        </is>
      </c>
      <c r="C594" s="15" t="inlineStr">
        <is>
          <t>Buildings</t>
        </is>
      </c>
      <c r="D594" s="15" t="inlineStr">
        <is>
          <t>million units</t>
        </is>
      </c>
      <c r="E594" s="63" t="n">
        <v>2013</v>
      </c>
      <c r="F594" s="64" t="n">
        <v>6.78</v>
      </c>
      <c r="G594" s="14" t="inlineStr">
        <is>
          <t>In the 2024 report</t>
        </is>
      </c>
      <c r="H594" s="15" t="inlineStr">
        <is>
          <t>European Heat Pump Association</t>
        </is>
      </c>
      <c r="I594" s="34" t="inlineStr">
        <is>
          <t>esabcc-b6-heat-pump-stock</t>
        </is>
      </c>
    </row>
    <row r="595" ht="14" customHeight="1">
      <c r="A595" s="22" t="inlineStr">
        <is>
          <t>B6</t>
        </is>
      </c>
      <c r="B595" s="22" t="inlineStr">
        <is>
          <t>EU stock of installed heat pumps</t>
        </is>
      </c>
      <c r="C595" s="22" t="inlineStr">
        <is>
          <t>Buildings</t>
        </is>
      </c>
      <c r="D595" s="22" t="inlineStr">
        <is>
          <t>million units</t>
        </is>
      </c>
      <c r="E595" s="65" t="n">
        <v>2014</v>
      </c>
      <c r="F595" s="66" t="n">
        <v>7.55</v>
      </c>
      <c r="G595" s="67" t="inlineStr">
        <is>
          <t>In the 2024 report</t>
        </is>
      </c>
      <c r="H595" s="22" t="inlineStr">
        <is>
          <t>European Heat Pump Association</t>
        </is>
      </c>
      <c r="I595" s="35" t="inlineStr">
        <is>
          <t>esabcc-b6-heat-pump-stock</t>
        </is>
      </c>
    </row>
    <row r="596" ht="14" customHeight="1">
      <c r="A596" s="15" t="inlineStr">
        <is>
          <t>B6</t>
        </is>
      </c>
      <c r="B596" s="15" t="inlineStr">
        <is>
          <t>EU stock of installed heat pumps</t>
        </is>
      </c>
      <c r="C596" s="15" t="inlineStr">
        <is>
          <t>Buildings</t>
        </is>
      </c>
      <c r="D596" s="15" t="inlineStr">
        <is>
          <t>million units</t>
        </is>
      </c>
      <c r="E596" s="63" t="n">
        <v>2015</v>
      </c>
      <c r="F596" s="64" t="n">
        <v>8.43</v>
      </c>
      <c r="G596" s="14" t="inlineStr">
        <is>
          <t>In the 2024 report</t>
        </is>
      </c>
      <c r="H596" s="15" t="inlineStr">
        <is>
          <t>European Heat Pump Association</t>
        </is>
      </c>
      <c r="I596" s="34" t="inlineStr">
        <is>
          <t>esabcc-b6-heat-pump-stock</t>
        </is>
      </c>
    </row>
    <row r="597" ht="14" customHeight="1">
      <c r="A597" s="22" t="inlineStr">
        <is>
          <t>B6</t>
        </is>
      </c>
      <c r="B597" s="22" t="inlineStr">
        <is>
          <t>EU stock of installed heat pumps</t>
        </is>
      </c>
      <c r="C597" s="22" t="inlineStr">
        <is>
          <t>Buildings</t>
        </is>
      </c>
      <c r="D597" s="22" t="inlineStr">
        <is>
          <t>million units</t>
        </is>
      </c>
      <c r="E597" s="65" t="n">
        <v>2016</v>
      </c>
      <c r="F597" s="66" t="n">
        <v>9.41</v>
      </c>
      <c r="G597" s="67" t="inlineStr">
        <is>
          <t>In the 2024 report</t>
        </is>
      </c>
      <c r="H597" s="22" t="inlineStr">
        <is>
          <t>European Heat Pump Association</t>
        </is>
      </c>
      <c r="I597" s="35" t="inlineStr">
        <is>
          <t>esabcc-b6-heat-pump-stock</t>
        </is>
      </c>
    </row>
    <row r="598" ht="14" customHeight="1">
      <c r="A598" s="15" t="inlineStr">
        <is>
          <t>B6</t>
        </is>
      </c>
      <c r="B598" s="15" t="inlineStr">
        <is>
          <t>EU stock of installed heat pumps</t>
        </is>
      </c>
      <c r="C598" s="15" t="inlineStr">
        <is>
          <t>Buildings</t>
        </is>
      </c>
      <c r="D598" s="15" t="inlineStr">
        <is>
          <t>million units</t>
        </is>
      </c>
      <c r="E598" s="63" t="n">
        <v>2017</v>
      </c>
      <c r="F598" s="64" t="n">
        <v>10.5</v>
      </c>
      <c r="G598" s="14" t="inlineStr">
        <is>
          <t>In the 2024 report</t>
        </is>
      </c>
      <c r="H598" s="15" t="inlineStr">
        <is>
          <t>European Heat Pump Association</t>
        </is>
      </c>
      <c r="I598" s="34" t="inlineStr">
        <is>
          <t>esabcc-b6-heat-pump-stock</t>
        </is>
      </c>
    </row>
    <row r="599" ht="14" customHeight="1">
      <c r="A599" s="22" t="inlineStr">
        <is>
          <t>B6</t>
        </is>
      </c>
      <c r="B599" s="22" t="inlineStr">
        <is>
          <t>EU stock of installed heat pumps</t>
        </is>
      </c>
      <c r="C599" s="22" t="inlineStr">
        <is>
          <t>Buildings</t>
        </is>
      </c>
      <c r="D599" s="22" t="inlineStr">
        <is>
          <t>million units</t>
        </is>
      </c>
      <c r="E599" s="65" t="n">
        <v>2018</v>
      </c>
      <c r="F599" s="66" t="n">
        <v>11.78</v>
      </c>
      <c r="G599" s="67" t="inlineStr">
        <is>
          <t>In the 2024 report</t>
        </is>
      </c>
      <c r="H599" s="22" t="inlineStr">
        <is>
          <t>European Heat Pump Association</t>
        </is>
      </c>
      <c r="I599" s="35" t="inlineStr">
        <is>
          <t>esabcc-b6-heat-pump-stock</t>
        </is>
      </c>
    </row>
    <row r="600" ht="14" customHeight="1">
      <c r="A600" s="15" t="inlineStr">
        <is>
          <t>B6</t>
        </is>
      </c>
      <c r="B600" s="15" t="inlineStr">
        <is>
          <t>EU stock of installed heat pumps</t>
        </is>
      </c>
      <c r="C600" s="15" t="inlineStr">
        <is>
          <t>Buildings</t>
        </is>
      </c>
      <c r="D600" s="15" t="inlineStr">
        <is>
          <t>million units</t>
        </is>
      </c>
      <c r="E600" s="63" t="n">
        <v>2019</v>
      </c>
      <c r="F600" s="64" t="n">
        <v>13.21</v>
      </c>
      <c r="G600" s="14" t="inlineStr">
        <is>
          <t>In the 2024 report</t>
        </is>
      </c>
      <c r="H600" s="15" t="inlineStr">
        <is>
          <t>European Heat Pump Association</t>
        </is>
      </c>
      <c r="I600" s="34" t="inlineStr">
        <is>
          <t>esabcc-b6-heat-pump-stock</t>
        </is>
      </c>
    </row>
    <row r="601" ht="14" customHeight="1">
      <c r="A601" s="22" t="inlineStr">
        <is>
          <t>B6</t>
        </is>
      </c>
      <c r="B601" s="22" t="inlineStr">
        <is>
          <t>EU stock of installed heat pumps</t>
        </is>
      </c>
      <c r="C601" s="22" t="inlineStr">
        <is>
          <t>Buildings</t>
        </is>
      </c>
      <c r="D601" s="22" t="inlineStr">
        <is>
          <t>million units</t>
        </is>
      </c>
      <c r="E601" s="65" t="n">
        <v>2020</v>
      </c>
      <c r="F601" s="66" t="n">
        <v>14.77</v>
      </c>
      <c r="G601" s="67" t="inlineStr">
        <is>
          <t>In the 2024 report</t>
        </is>
      </c>
      <c r="H601" s="22" t="inlineStr">
        <is>
          <t>European Heat Pump Association</t>
        </is>
      </c>
      <c r="I601" s="35" t="inlineStr">
        <is>
          <t>esabcc-b6-heat-pump-stock</t>
        </is>
      </c>
    </row>
    <row r="602" ht="14" customHeight="1">
      <c r="A602" s="15" t="inlineStr">
        <is>
          <t>B6</t>
        </is>
      </c>
      <c r="B602" s="15" t="inlineStr">
        <is>
          <t>EU stock of installed heat pumps</t>
        </is>
      </c>
      <c r="C602" s="15" t="inlineStr">
        <is>
          <t>Buildings</t>
        </is>
      </c>
      <c r="D602" s="15" t="inlineStr">
        <is>
          <t>million units</t>
        </is>
      </c>
      <c r="E602" s="63" t="n">
        <v>2021</v>
      </c>
      <c r="F602" s="64" t="n">
        <v>16.87</v>
      </c>
      <c r="G602" s="14" t="inlineStr">
        <is>
          <t>In the 2024 report</t>
        </is>
      </c>
      <c r="H602" s="15" t="inlineStr">
        <is>
          <t>European Heat Pump Association</t>
        </is>
      </c>
      <c r="I602" s="34" t="inlineStr">
        <is>
          <t>esabcc-b6-heat-pump-stock</t>
        </is>
      </c>
    </row>
    <row r="603" ht="14" customHeight="1">
      <c r="A603" s="22" t="inlineStr">
        <is>
          <t>B6</t>
        </is>
      </c>
      <c r="B603" s="22" t="inlineStr">
        <is>
          <t>EU stock of installed heat pumps</t>
        </is>
      </c>
      <c r="C603" s="22" t="inlineStr">
        <is>
          <t>Buildings</t>
        </is>
      </c>
      <c r="D603" s="22" t="inlineStr">
        <is>
          <t>million units</t>
        </is>
      </c>
      <c r="E603" s="65" t="n">
        <v>2022</v>
      </c>
      <c r="F603" s="66" t="n">
        <v>19.79</v>
      </c>
      <c r="G603" s="67" t="inlineStr">
        <is>
          <t>In the 2024 report</t>
        </is>
      </c>
      <c r="H603" s="22" t="inlineStr">
        <is>
          <t>European Heat Pump Association</t>
        </is>
      </c>
      <c r="I603" s="35" t="inlineStr">
        <is>
          <t>esabcc-b6-heat-pump-stock</t>
        </is>
      </c>
    </row>
    <row r="604" ht="14" customHeight="1">
      <c r="A604" s="15" t="inlineStr">
        <is>
          <t>B6</t>
        </is>
      </c>
      <c r="B604" s="15" t="inlineStr">
        <is>
          <t>EU stock of installed heat pumps</t>
        </is>
      </c>
      <c r="C604" s="15" t="inlineStr">
        <is>
          <t>Buildings</t>
        </is>
      </c>
      <c r="D604" s="15" t="inlineStr">
        <is>
          <t>million units</t>
        </is>
      </c>
      <c r="E604" s="63" t="n">
        <v>2023</v>
      </c>
      <c r="F604" s="64" t="n">
        <v>23.96</v>
      </c>
      <c r="G604" s="68" t="inlineStr">
        <is>
          <t>Added since the report</t>
        </is>
      </c>
      <c r="H604" s="15" t="inlineStr">
        <is>
          <t>European Heat Pump Association</t>
        </is>
      </c>
      <c r="I604" s="34" t="inlineStr">
        <is>
          <t>esabcc-b6-heat-pump-stock</t>
        </is>
      </c>
    </row>
    <row r="605" ht="14" customHeight="1">
      <c r="A605" s="22" t="inlineStr">
        <is>
          <t>B6</t>
        </is>
      </c>
      <c r="B605" s="22" t="inlineStr">
        <is>
          <t>EU stock of installed heat pumps</t>
        </is>
      </c>
      <c r="C605" s="22" t="inlineStr">
        <is>
          <t>Buildings</t>
        </is>
      </c>
      <c r="D605" s="22" t="inlineStr">
        <is>
          <t>million units</t>
        </is>
      </c>
      <c r="E605" s="65" t="n">
        <v>2024</v>
      </c>
      <c r="F605" s="66" t="n">
        <v>25.5</v>
      </c>
      <c r="G605" s="69" t="inlineStr">
        <is>
          <t>Added since the report</t>
        </is>
      </c>
      <c r="H605" s="22" t="inlineStr">
        <is>
          <t>European Heat Pump Association</t>
        </is>
      </c>
      <c r="I605" s="35" t="inlineStr">
        <is>
          <t>esabcc-b6-heat-pump-stock</t>
        </is>
      </c>
    </row>
    <row r="606" ht="14" customHeight="1">
      <c r="A606" s="15" t="inlineStr">
        <is>
          <t>A1</t>
        </is>
      </c>
      <c r="B606" s="15" t="inlineStr">
        <is>
          <t>Agricultural non-CO₂ emissions</t>
        </is>
      </c>
      <c r="C606" s="15" t="inlineStr">
        <is>
          <t>Agriculture</t>
        </is>
      </c>
      <c r="D606" s="15" t="inlineStr">
        <is>
          <t>Mt CO₂eq</t>
        </is>
      </c>
      <c r="E606" s="63" t="n">
        <v>2005</v>
      </c>
      <c r="F606" s="64" t="n">
        <v>380.1</v>
      </c>
      <c r="G606" s="14" t="inlineStr">
        <is>
          <t>In the 2024 report</t>
        </is>
      </c>
      <c r="H606" s="15" t="inlineStr">
        <is>
          <t>EEA GHG data viewer; 2023+ Eurostat (env_air_gge, GWP-weighted)</t>
        </is>
      </c>
      <c r="I606" s="34" t="inlineStr">
        <is>
          <t>esabcc-a1-agri-nonco2</t>
        </is>
      </c>
    </row>
    <row r="607" ht="14" customHeight="1">
      <c r="A607" s="22" t="inlineStr">
        <is>
          <t>A1</t>
        </is>
      </c>
      <c r="B607" s="22" t="inlineStr">
        <is>
          <t>Agricultural non-CO₂ emissions</t>
        </is>
      </c>
      <c r="C607" s="22" t="inlineStr">
        <is>
          <t>Agriculture</t>
        </is>
      </c>
      <c r="D607" s="22" t="inlineStr">
        <is>
          <t>Mt CO₂eq</t>
        </is>
      </c>
      <c r="E607" s="65" t="n">
        <v>2006</v>
      </c>
      <c r="F607" s="66" t="n">
        <v>377.3</v>
      </c>
      <c r="G607" s="67" t="inlineStr">
        <is>
          <t>In the 2024 report</t>
        </is>
      </c>
      <c r="H607" s="22" t="inlineStr">
        <is>
          <t>EEA GHG data viewer; 2023+ Eurostat (env_air_gge, GWP-weighted)</t>
        </is>
      </c>
      <c r="I607" s="35" t="inlineStr">
        <is>
          <t>esabcc-a1-agri-nonco2</t>
        </is>
      </c>
    </row>
    <row r="608" ht="14" customHeight="1">
      <c r="A608" s="15" t="inlineStr">
        <is>
          <t>A1</t>
        </is>
      </c>
      <c r="B608" s="15" t="inlineStr">
        <is>
          <t>Agricultural non-CO₂ emissions</t>
        </is>
      </c>
      <c r="C608" s="15" t="inlineStr">
        <is>
          <t>Agriculture</t>
        </is>
      </c>
      <c r="D608" s="15" t="inlineStr">
        <is>
          <t>Mt CO₂eq</t>
        </is>
      </c>
      <c r="E608" s="63" t="n">
        <v>2007</v>
      </c>
      <c r="F608" s="64" t="n">
        <v>380.2</v>
      </c>
      <c r="G608" s="14" t="inlineStr">
        <is>
          <t>In the 2024 report</t>
        </is>
      </c>
      <c r="H608" s="15" t="inlineStr">
        <is>
          <t>EEA GHG data viewer; 2023+ Eurostat (env_air_gge, GWP-weighted)</t>
        </is>
      </c>
      <c r="I608" s="34" t="inlineStr">
        <is>
          <t>esabcc-a1-agri-nonco2</t>
        </is>
      </c>
    </row>
    <row r="609" ht="14" customHeight="1">
      <c r="A609" s="22" t="inlineStr">
        <is>
          <t>A1</t>
        </is>
      </c>
      <c r="B609" s="22" t="inlineStr">
        <is>
          <t>Agricultural non-CO₂ emissions</t>
        </is>
      </c>
      <c r="C609" s="22" t="inlineStr">
        <is>
          <t>Agriculture</t>
        </is>
      </c>
      <c r="D609" s="22" t="inlineStr">
        <is>
          <t>Mt CO₂eq</t>
        </is>
      </c>
      <c r="E609" s="65" t="n">
        <v>2008</v>
      </c>
      <c r="F609" s="66" t="n">
        <v>377.8</v>
      </c>
      <c r="G609" s="67" t="inlineStr">
        <is>
          <t>In the 2024 report</t>
        </is>
      </c>
      <c r="H609" s="22" t="inlineStr">
        <is>
          <t>EEA GHG data viewer; 2023+ Eurostat (env_air_gge, GWP-weighted)</t>
        </is>
      </c>
      <c r="I609" s="35" t="inlineStr">
        <is>
          <t>esabcc-a1-agri-nonco2</t>
        </is>
      </c>
    </row>
    <row r="610" ht="14" customHeight="1">
      <c r="A610" s="15" t="inlineStr">
        <is>
          <t>A1</t>
        </is>
      </c>
      <c r="B610" s="15" t="inlineStr">
        <is>
          <t>Agricultural non-CO₂ emissions</t>
        </is>
      </c>
      <c r="C610" s="15" t="inlineStr">
        <is>
          <t>Agriculture</t>
        </is>
      </c>
      <c r="D610" s="15" t="inlineStr">
        <is>
          <t>Mt CO₂eq</t>
        </is>
      </c>
      <c r="E610" s="63" t="n">
        <v>2009</v>
      </c>
      <c r="F610" s="64" t="n">
        <v>372.7</v>
      </c>
      <c r="G610" s="14" t="inlineStr">
        <is>
          <t>In the 2024 report</t>
        </is>
      </c>
      <c r="H610" s="15" t="inlineStr">
        <is>
          <t>EEA GHG data viewer; 2023+ Eurostat (env_air_gge, GWP-weighted)</t>
        </is>
      </c>
      <c r="I610" s="34" t="inlineStr">
        <is>
          <t>esabcc-a1-agri-nonco2</t>
        </is>
      </c>
    </row>
    <row r="611" ht="14" customHeight="1">
      <c r="A611" s="22" t="inlineStr">
        <is>
          <t>A1</t>
        </is>
      </c>
      <c r="B611" s="22" t="inlineStr">
        <is>
          <t>Agricultural non-CO₂ emissions</t>
        </is>
      </c>
      <c r="C611" s="22" t="inlineStr">
        <is>
          <t>Agriculture</t>
        </is>
      </c>
      <c r="D611" s="22" t="inlineStr">
        <is>
          <t>Mt CO₂eq</t>
        </is>
      </c>
      <c r="E611" s="65" t="n">
        <v>2010</v>
      </c>
      <c r="F611" s="66" t="n">
        <v>367.5</v>
      </c>
      <c r="G611" s="67" t="inlineStr">
        <is>
          <t>In the 2024 report</t>
        </is>
      </c>
      <c r="H611" s="22" t="inlineStr">
        <is>
          <t>EEA GHG data viewer; 2023+ Eurostat (env_air_gge, GWP-weighted)</t>
        </is>
      </c>
      <c r="I611" s="35" t="inlineStr">
        <is>
          <t>esabcc-a1-agri-nonco2</t>
        </is>
      </c>
    </row>
    <row r="612" ht="14" customHeight="1">
      <c r="A612" s="15" t="inlineStr">
        <is>
          <t>A1</t>
        </is>
      </c>
      <c r="B612" s="15" t="inlineStr">
        <is>
          <t>Agricultural non-CO₂ emissions</t>
        </is>
      </c>
      <c r="C612" s="15" t="inlineStr">
        <is>
          <t>Agriculture</t>
        </is>
      </c>
      <c r="D612" s="15" t="inlineStr">
        <is>
          <t>Mt CO₂eq</t>
        </is>
      </c>
      <c r="E612" s="63" t="n">
        <v>2011</v>
      </c>
      <c r="F612" s="64" t="n">
        <v>366.7</v>
      </c>
      <c r="G612" s="14" t="inlineStr">
        <is>
          <t>In the 2024 report</t>
        </is>
      </c>
      <c r="H612" s="15" t="inlineStr">
        <is>
          <t>EEA GHG data viewer; 2023+ Eurostat (env_air_gge, GWP-weighted)</t>
        </is>
      </c>
      <c r="I612" s="34" t="inlineStr">
        <is>
          <t>esabcc-a1-agri-nonco2</t>
        </is>
      </c>
    </row>
    <row r="613" ht="14" customHeight="1">
      <c r="A613" s="22" t="inlineStr">
        <is>
          <t>A1</t>
        </is>
      </c>
      <c r="B613" s="22" t="inlineStr">
        <is>
          <t>Agricultural non-CO₂ emissions</t>
        </is>
      </c>
      <c r="C613" s="22" t="inlineStr">
        <is>
          <t>Agriculture</t>
        </is>
      </c>
      <c r="D613" s="22" t="inlineStr">
        <is>
          <t>Mt CO₂eq</t>
        </is>
      </c>
      <c r="E613" s="65" t="n">
        <v>2012</v>
      </c>
      <c r="F613" s="66" t="n">
        <v>366.3</v>
      </c>
      <c r="G613" s="67" t="inlineStr">
        <is>
          <t>In the 2024 report</t>
        </is>
      </c>
      <c r="H613" s="22" t="inlineStr">
        <is>
          <t>EEA GHG data viewer; 2023+ Eurostat (env_air_gge, GWP-weighted)</t>
        </is>
      </c>
      <c r="I613" s="35" t="inlineStr">
        <is>
          <t>esabcc-a1-agri-nonco2</t>
        </is>
      </c>
    </row>
    <row r="614" ht="14" customHeight="1">
      <c r="A614" s="15" t="inlineStr">
        <is>
          <t>A1</t>
        </is>
      </c>
      <c r="B614" s="15" t="inlineStr">
        <is>
          <t>Agricultural non-CO₂ emissions</t>
        </is>
      </c>
      <c r="C614" s="15" t="inlineStr">
        <is>
          <t>Agriculture</t>
        </is>
      </c>
      <c r="D614" s="15" t="inlineStr">
        <is>
          <t>Mt CO₂eq</t>
        </is>
      </c>
      <c r="E614" s="63" t="n">
        <v>2013</v>
      </c>
      <c r="F614" s="64" t="n">
        <v>367.9</v>
      </c>
      <c r="G614" s="14" t="inlineStr">
        <is>
          <t>In the 2024 report</t>
        </is>
      </c>
      <c r="H614" s="15" t="inlineStr">
        <is>
          <t>EEA GHG data viewer; 2023+ Eurostat (env_air_gge, GWP-weighted)</t>
        </is>
      </c>
      <c r="I614" s="34" t="inlineStr">
        <is>
          <t>esabcc-a1-agri-nonco2</t>
        </is>
      </c>
    </row>
    <row r="615" ht="14" customHeight="1">
      <c r="A615" s="22" t="inlineStr">
        <is>
          <t>A1</t>
        </is>
      </c>
      <c r="B615" s="22" t="inlineStr">
        <is>
          <t>Agricultural non-CO₂ emissions</t>
        </is>
      </c>
      <c r="C615" s="22" t="inlineStr">
        <is>
          <t>Agriculture</t>
        </is>
      </c>
      <c r="D615" s="22" t="inlineStr">
        <is>
          <t>Mt CO₂eq</t>
        </is>
      </c>
      <c r="E615" s="65" t="n">
        <v>2014</v>
      </c>
      <c r="F615" s="66" t="n">
        <v>372.9</v>
      </c>
      <c r="G615" s="67" t="inlineStr">
        <is>
          <t>In the 2024 report</t>
        </is>
      </c>
      <c r="H615" s="22" t="inlineStr">
        <is>
          <t>EEA GHG data viewer; 2023+ Eurostat (env_air_gge, GWP-weighted)</t>
        </is>
      </c>
      <c r="I615" s="35" t="inlineStr">
        <is>
          <t>esabcc-a1-agri-nonco2</t>
        </is>
      </c>
    </row>
    <row r="616" ht="14" customHeight="1">
      <c r="A616" s="15" t="inlineStr">
        <is>
          <t>A1</t>
        </is>
      </c>
      <c r="B616" s="15" t="inlineStr">
        <is>
          <t>Agricultural non-CO₂ emissions</t>
        </is>
      </c>
      <c r="C616" s="15" t="inlineStr">
        <is>
          <t>Agriculture</t>
        </is>
      </c>
      <c r="D616" s="15" t="inlineStr">
        <is>
          <t>Mt CO₂eq</t>
        </is>
      </c>
      <c r="E616" s="63" t="n">
        <v>2015</v>
      </c>
      <c r="F616" s="64" t="n">
        <v>374.5</v>
      </c>
      <c r="G616" s="14" t="inlineStr">
        <is>
          <t>In the 2024 report</t>
        </is>
      </c>
      <c r="H616" s="15" t="inlineStr">
        <is>
          <t>EEA GHG data viewer; 2023+ Eurostat (env_air_gge, GWP-weighted)</t>
        </is>
      </c>
      <c r="I616" s="34" t="inlineStr">
        <is>
          <t>esabcc-a1-agri-nonco2</t>
        </is>
      </c>
    </row>
    <row r="617" ht="14" customHeight="1">
      <c r="A617" s="22" t="inlineStr">
        <is>
          <t>A1</t>
        </is>
      </c>
      <c r="B617" s="22" t="inlineStr">
        <is>
          <t>Agricultural non-CO₂ emissions</t>
        </is>
      </c>
      <c r="C617" s="22" t="inlineStr">
        <is>
          <t>Agriculture</t>
        </is>
      </c>
      <c r="D617" s="22" t="inlineStr">
        <is>
          <t>Mt CO₂eq</t>
        </is>
      </c>
      <c r="E617" s="65" t="n">
        <v>2016</v>
      </c>
      <c r="F617" s="66" t="n">
        <v>375.9</v>
      </c>
      <c r="G617" s="67" t="inlineStr">
        <is>
          <t>In the 2024 report</t>
        </is>
      </c>
      <c r="H617" s="22" t="inlineStr">
        <is>
          <t>EEA GHG data viewer; 2023+ Eurostat (env_air_gge, GWP-weighted)</t>
        </is>
      </c>
      <c r="I617" s="35" t="inlineStr">
        <is>
          <t>esabcc-a1-agri-nonco2</t>
        </is>
      </c>
    </row>
    <row r="618" ht="14" customHeight="1">
      <c r="A618" s="15" t="inlineStr">
        <is>
          <t>A1</t>
        </is>
      </c>
      <c r="B618" s="15" t="inlineStr">
        <is>
          <t>Agricultural non-CO₂ emissions</t>
        </is>
      </c>
      <c r="C618" s="15" t="inlineStr">
        <is>
          <t>Agriculture</t>
        </is>
      </c>
      <c r="D618" s="15" t="inlineStr">
        <is>
          <t>Mt CO₂eq</t>
        </is>
      </c>
      <c r="E618" s="63" t="n">
        <v>2017</v>
      </c>
      <c r="F618" s="64" t="n">
        <v>378.2</v>
      </c>
      <c r="G618" s="14" t="inlineStr">
        <is>
          <t>In the 2024 report</t>
        </is>
      </c>
      <c r="H618" s="15" t="inlineStr">
        <is>
          <t>EEA GHG data viewer; 2023+ Eurostat (env_air_gge, GWP-weighted)</t>
        </is>
      </c>
      <c r="I618" s="34" t="inlineStr">
        <is>
          <t>esabcc-a1-agri-nonco2</t>
        </is>
      </c>
    </row>
    <row r="619" ht="14" customHeight="1">
      <c r="A619" s="22" t="inlineStr">
        <is>
          <t>A1</t>
        </is>
      </c>
      <c r="B619" s="22" t="inlineStr">
        <is>
          <t>Agricultural non-CO₂ emissions</t>
        </is>
      </c>
      <c r="C619" s="22" t="inlineStr">
        <is>
          <t>Agriculture</t>
        </is>
      </c>
      <c r="D619" s="22" t="inlineStr">
        <is>
          <t>Mt CO₂eq</t>
        </is>
      </c>
      <c r="E619" s="65" t="n">
        <v>2018</v>
      </c>
      <c r="F619" s="66" t="n">
        <v>375</v>
      </c>
      <c r="G619" s="67" t="inlineStr">
        <is>
          <t>In the 2024 report</t>
        </is>
      </c>
      <c r="H619" s="22" t="inlineStr">
        <is>
          <t>EEA GHG data viewer; 2023+ Eurostat (env_air_gge, GWP-weighted)</t>
        </is>
      </c>
      <c r="I619" s="35" t="inlineStr">
        <is>
          <t>esabcc-a1-agri-nonco2</t>
        </is>
      </c>
    </row>
    <row r="620" ht="14" customHeight="1">
      <c r="A620" s="15" t="inlineStr">
        <is>
          <t>A1</t>
        </is>
      </c>
      <c r="B620" s="15" t="inlineStr">
        <is>
          <t>Agricultural non-CO₂ emissions</t>
        </is>
      </c>
      <c r="C620" s="15" t="inlineStr">
        <is>
          <t>Agriculture</t>
        </is>
      </c>
      <c r="D620" s="15" t="inlineStr">
        <is>
          <t>Mt CO₂eq</t>
        </is>
      </c>
      <c r="E620" s="63" t="n">
        <v>2019</v>
      </c>
      <c r="F620" s="64" t="n">
        <v>370.9</v>
      </c>
      <c r="G620" s="14" t="inlineStr">
        <is>
          <t>In the 2024 report</t>
        </is>
      </c>
      <c r="H620" s="15" t="inlineStr">
        <is>
          <t>EEA GHG data viewer; 2023+ Eurostat (env_air_gge, GWP-weighted)</t>
        </is>
      </c>
      <c r="I620" s="34" t="inlineStr">
        <is>
          <t>esabcc-a1-agri-nonco2</t>
        </is>
      </c>
    </row>
    <row r="621" ht="14" customHeight="1">
      <c r="A621" s="22" t="inlineStr">
        <is>
          <t>A1</t>
        </is>
      </c>
      <c r="B621" s="22" t="inlineStr">
        <is>
          <t>Agricultural non-CO₂ emissions</t>
        </is>
      </c>
      <c r="C621" s="22" t="inlineStr">
        <is>
          <t>Agriculture</t>
        </is>
      </c>
      <c r="D621" s="22" t="inlineStr">
        <is>
          <t>Mt CO₂eq</t>
        </is>
      </c>
      <c r="E621" s="65" t="n">
        <v>2020</v>
      </c>
      <c r="F621" s="66" t="n">
        <v>371.9</v>
      </c>
      <c r="G621" s="67" t="inlineStr">
        <is>
          <t>In the 2024 report</t>
        </is>
      </c>
      <c r="H621" s="22" t="inlineStr">
        <is>
          <t>EEA GHG data viewer; 2023+ Eurostat (env_air_gge, GWP-weighted)</t>
        </is>
      </c>
      <c r="I621" s="35" t="inlineStr">
        <is>
          <t>esabcc-a1-agri-nonco2</t>
        </is>
      </c>
    </row>
    <row r="622" ht="14" customHeight="1">
      <c r="A622" s="15" t="inlineStr">
        <is>
          <t>A1</t>
        </is>
      </c>
      <c r="B622" s="15" t="inlineStr">
        <is>
          <t>Agricultural non-CO₂ emissions</t>
        </is>
      </c>
      <c r="C622" s="15" t="inlineStr">
        <is>
          <t>Agriculture</t>
        </is>
      </c>
      <c r="D622" s="15" t="inlineStr">
        <is>
          <t>Mt CO₂eq</t>
        </is>
      </c>
      <c r="E622" s="63" t="n">
        <v>2021</v>
      </c>
      <c r="F622" s="64" t="n">
        <v>368.6</v>
      </c>
      <c r="G622" s="14" t="inlineStr">
        <is>
          <t>In the 2024 report</t>
        </is>
      </c>
      <c r="H622" s="15" t="inlineStr">
        <is>
          <t>EEA GHG data viewer; 2023+ Eurostat (env_air_gge, GWP-weighted)</t>
        </is>
      </c>
      <c r="I622" s="34" t="inlineStr">
        <is>
          <t>esabcc-a1-agri-nonco2</t>
        </is>
      </c>
    </row>
    <row r="623" ht="14" customHeight="1">
      <c r="A623" s="22" t="inlineStr">
        <is>
          <t>A1</t>
        </is>
      </c>
      <c r="B623" s="22" t="inlineStr">
        <is>
          <t>Agricultural non-CO₂ emissions</t>
        </is>
      </c>
      <c r="C623" s="22" t="inlineStr">
        <is>
          <t>Agriculture</t>
        </is>
      </c>
      <c r="D623" s="22" t="inlineStr">
        <is>
          <t>Mt CO₂eq</t>
        </is>
      </c>
      <c r="E623" s="65" t="n">
        <v>2022</v>
      </c>
      <c r="F623" s="66" t="n">
        <v>360.9</v>
      </c>
      <c r="G623" s="67" t="inlineStr">
        <is>
          <t>In the 2024 report</t>
        </is>
      </c>
      <c r="H623" s="22" t="inlineStr">
        <is>
          <t>EEA GHG data viewer; 2023+ Eurostat (env_air_gge, GWP-weighted)</t>
        </is>
      </c>
      <c r="I623" s="35" t="inlineStr">
        <is>
          <t>esabcc-a1-agri-nonco2</t>
        </is>
      </c>
    </row>
    <row r="624" ht="14" customHeight="1">
      <c r="A624" s="15" t="inlineStr">
        <is>
          <t>A1</t>
        </is>
      </c>
      <c r="B624" s="15" t="inlineStr">
        <is>
          <t>Agricultural non-CO₂ emissions</t>
        </is>
      </c>
      <c r="C624" s="15" t="inlineStr">
        <is>
          <t>Agriculture</t>
        </is>
      </c>
      <c r="D624" s="15" t="inlineStr">
        <is>
          <t>Mt CO₂eq</t>
        </is>
      </c>
      <c r="E624" s="63" t="n">
        <v>2023</v>
      </c>
      <c r="F624" s="64" t="n">
        <v>359.9</v>
      </c>
      <c r="G624" s="68" t="inlineStr">
        <is>
          <t>Added since the report</t>
        </is>
      </c>
      <c r="H624" s="15" t="inlineStr">
        <is>
          <t>EEA GHG data viewer; 2023+ Eurostat (env_air_gge, GWP-weighted)</t>
        </is>
      </c>
      <c r="I624" s="34" t="inlineStr">
        <is>
          <t>esabcc-a1-agri-nonco2</t>
        </is>
      </c>
    </row>
    <row r="625" ht="14" customHeight="1">
      <c r="A625" s="22" t="inlineStr">
        <is>
          <t>A1</t>
        </is>
      </c>
      <c r="B625" s="22" t="inlineStr">
        <is>
          <t>Agricultural non-CO₂ emissions</t>
        </is>
      </c>
      <c r="C625" s="22" t="inlineStr">
        <is>
          <t>Agriculture</t>
        </is>
      </c>
      <c r="D625" s="22" t="inlineStr">
        <is>
          <t>Mt CO₂eq</t>
        </is>
      </c>
      <c r="E625" s="65" t="n">
        <v>2024</v>
      </c>
      <c r="F625" s="66" t="n">
        <v>355.7</v>
      </c>
      <c r="G625" s="69" t="inlineStr">
        <is>
          <t>Added since the report</t>
        </is>
      </c>
      <c r="H625" s="22" t="inlineStr">
        <is>
          <t>EEA GHG data viewer; 2023+ Eurostat (env_air_gge, GWP-weighted)</t>
        </is>
      </c>
      <c r="I625" s="35" t="inlineStr">
        <is>
          <t>esabcc-a1-agri-nonco2</t>
        </is>
      </c>
    </row>
    <row r="626" ht="14" customHeight="1">
      <c r="A626" s="15" t="inlineStr">
        <is>
          <t>A3 (use)</t>
        </is>
      </c>
      <c r="B626" s="15" t="inlineStr">
        <is>
          <t>Total fertiliser nitrogen use (EU)</t>
        </is>
      </c>
      <c r="C626" s="15" t="inlineStr">
        <is>
          <t>Agriculture</t>
        </is>
      </c>
      <c r="D626" s="15" t="inlineStr">
        <is>
          <t>Mt N</t>
        </is>
      </c>
      <c r="E626" s="63" t="n">
        <v>2005</v>
      </c>
      <c r="F626" s="64" t="n">
        <v>14.9</v>
      </c>
      <c r="G626" s="14" t="inlineStr">
        <is>
          <t>In the 2024 report</t>
        </is>
      </c>
      <c r="H626" s="15" t="inlineStr">
        <is>
          <t>EU GHG inventory (CRF)</t>
        </is>
      </c>
      <c r="I626" s="34" t="inlineStr">
        <is>
          <t>esabcc-a3-fertiliser-use</t>
        </is>
      </c>
    </row>
    <row r="627" ht="14" customHeight="1">
      <c r="A627" s="22" t="inlineStr">
        <is>
          <t>A3 (use)</t>
        </is>
      </c>
      <c r="B627" s="22" t="inlineStr">
        <is>
          <t>Total fertiliser nitrogen use (EU)</t>
        </is>
      </c>
      <c r="C627" s="22" t="inlineStr">
        <is>
          <t>Agriculture</t>
        </is>
      </c>
      <c r="D627" s="22" t="inlineStr">
        <is>
          <t>Mt N</t>
        </is>
      </c>
      <c r="E627" s="65" t="n">
        <v>2006</v>
      </c>
      <c r="F627" s="66" t="n">
        <v>14.81</v>
      </c>
      <c r="G627" s="67" t="inlineStr">
        <is>
          <t>In the 2024 report</t>
        </is>
      </c>
      <c r="H627" s="22" t="inlineStr">
        <is>
          <t>EU GHG inventory (CRF)</t>
        </is>
      </c>
      <c r="I627" s="35" t="inlineStr">
        <is>
          <t>esabcc-a3-fertiliser-use</t>
        </is>
      </c>
    </row>
    <row r="628" ht="14" customHeight="1">
      <c r="A628" s="15" t="inlineStr">
        <is>
          <t>A3 (use)</t>
        </is>
      </c>
      <c r="B628" s="15" t="inlineStr">
        <is>
          <t>Total fertiliser nitrogen use (EU)</t>
        </is>
      </c>
      <c r="C628" s="15" t="inlineStr">
        <is>
          <t>Agriculture</t>
        </is>
      </c>
      <c r="D628" s="15" t="inlineStr">
        <is>
          <t>Mt N</t>
        </is>
      </c>
      <c r="E628" s="63" t="n">
        <v>2007</v>
      </c>
      <c r="F628" s="64" t="n">
        <v>15.01</v>
      </c>
      <c r="G628" s="14" t="inlineStr">
        <is>
          <t>In the 2024 report</t>
        </is>
      </c>
      <c r="H628" s="15" t="inlineStr">
        <is>
          <t>EU GHG inventory (CRF)</t>
        </is>
      </c>
      <c r="I628" s="34" t="inlineStr">
        <is>
          <t>esabcc-a3-fertiliser-use</t>
        </is>
      </c>
    </row>
    <row r="629" ht="14" customHeight="1">
      <c r="A629" s="22" t="inlineStr">
        <is>
          <t>A3 (use)</t>
        </is>
      </c>
      <c r="B629" s="22" t="inlineStr">
        <is>
          <t>Total fertiliser nitrogen use (EU)</t>
        </is>
      </c>
      <c r="C629" s="22" t="inlineStr">
        <is>
          <t>Agriculture</t>
        </is>
      </c>
      <c r="D629" s="22" t="inlineStr">
        <is>
          <t>Mt N</t>
        </is>
      </c>
      <c r="E629" s="65" t="n">
        <v>2008</v>
      </c>
      <c r="F629" s="66" t="n">
        <v>14.78</v>
      </c>
      <c r="G629" s="67" t="inlineStr">
        <is>
          <t>In the 2024 report</t>
        </is>
      </c>
      <c r="H629" s="22" t="inlineStr">
        <is>
          <t>EU GHG inventory (CRF)</t>
        </is>
      </c>
      <c r="I629" s="35" t="inlineStr">
        <is>
          <t>esabcc-a3-fertiliser-use</t>
        </is>
      </c>
    </row>
    <row r="630" ht="14" customHeight="1">
      <c r="A630" s="15" t="inlineStr">
        <is>
          <t>A3 (use)</t>
        </is>
      </c>
      <c r="B630" s="15" t="inlineStr">
        <is>
          <t>Total fertiliser nitrogen use (EU)</t>
        </is>
      </c>
      <c r="C630" s="15" t="inlineStr">
        <is>
          <t>Agriculture</t>
        </is>
      </c>
      <c r="D630" s="15" t="inlineStr">
        <is>
          <t>Mt N</t>
        </is>
      </c>
      <c r="E630" s="63" t="n">
        <v>2009</v>
      </c>
      <c r="F630" s="64" t="n">
        <v>14.3</v>
      </c>
      <c r="G630" s="14" t="inlineStr">
        <is>
          <t>In the 2024 report</t>
        </is>
      </c>
      <c r="H630" s="15" t="inlineStr">
        <is>
          <t>EU GHG inventory (CRF)</t>
        </is>
      </c>
      <c r="I630" s="34" t="inlineStr">
        <is>
          <t>esabcc-a3-fertiliser-use</t>
        </is>
      </c>
    </row>
    <row r="631" ht="14" customHeight="1">
      <c r="A631" s="22" t="inlineStr">
        <is>
          <t>A3 (use)</t>
        </is>
      </c>
      <c r="B631" s="22" t="inlineStr">
        <is>
          <t>Total fertiliser nitrogen use (EU)</t>
        </is>
      </c>
      <c r="C631" s="22" t="inlineStr">
        <is>
          <t>Agriculture</t>
        </is>
      </c>
      <c r="D631" s="22" t="inlineStr">
        <is>
          <t>Mt N</t>
        </is>
      </c>
      <c r="E631" s="65" t="n">
        <v>2010</v>
      </c>
      <c r="F631" s="66" t="n">
        <v>14.37</v>
      </c>
      <c r="G631" s="67" t="inlineStr">
        <is>
          <t>In the 2024 report</t>
        </is>
      </c>
      <c r="H631" s="22" t="inlineStr">
        <is>
          <t>EU GHG inventory (CRF)</t>
        </is>
      </c>
      <c r="I631" s="35" t="inlineStr">
        <is>
          <t>esabcc-a3-fertiliser-use</t>
        </is>
      </c>
    </row>
    <row r="632" ht="14" customHeight="1">
      <c r="A632" s="15" t="inlineStr">
        <is>
          <t>A3 (use)</t>
        </is>
      </c>
      <c r="B632" s="15" t="inlineStr">
        <is>
          <t>Total fertiliser nitrogen use (EU)</t>
        </is>
      </c>
      <c r="C632" s="15" t="inlineStr">
        <is>
          <t>Agriculture</t>
        </is>
      </c>
      <c r="D632" s="15" t="inlineStr">
        <is>
          <t>Mt N</t>
        </is>
      </c>
      <c r="E632" s="63" t="n">
        <v>2011</v>
      </c>
      <c r="F632" s="64" t="n">
        <v>14.6</v>
      </c>
      <c r="G632" s="14" t="inlineStr">
        <is>
          <t>In the 2024 report</t>
        </is>
      </c>
      <c r="H632" s="15" t="inlineStr">
        <is>
          <t>EU GHG inventory (CRF)</t>
        </is>
      </c>
      <c r="I632" s="34" t="inlineStr">
        <is>
          <t>esabcc-a3-fertiliser-use</t>
        </is>
      </c>
    </row>
    <row r="633" ht="14" customHeight="1">
      <c r="A633" s="22" t="inlineStr">
        <is>
          <t>A3 (use)</t>
        </is>
      </c>
      <c r="B633" s="22" t="inlineStr">
        <is>
          <t>Total fertiliser nitrogen use (EU)</t>
        </is>
      </c>
      <c r="C633" s="22" t="inlineStr">
        <is>
          <t>Agriculture</t>
        </is>
      </c>
      <c r="D633" s="22" t="inlineStr">
        <is>
          <t>Mt N</t>
        </is>
      </c>
      <c r="E633" s="65" t="n">
        <v>2012</v>
      </c>
      <c r="F633" s="66" t="n">
        <v>14.72</v>
      </c>
      <c r="G633" s="67" t="inlineStr">
        <is>
          <t>In the 2024 report</t>
        </is>
      </c>
      <c r="H633" s="22" t="inlineStr">
        <is>
          <t>EU GHG inventory (CRF)</t>
        </is>
      </c>
      <c r="I633" s="35" t="inlineStr">
        <is>
          <t>esabcc-a3-fertiliser-use</t>
        </is>
      </c>
    </row>
    <row r="634" ht="14" customHeight="1">
      <c r="A634" s="15" t="inlineStr">
        <is>
          <t>A3 (use)</t>
        </is>
      </c>
      <c r="B634" s="15" t="inlineStr">
        <is>
          <t>Total fertiliser nitrogen use (EU)</t>
        </is>
      </c>
      <c r="C634" s="15" t="inlineStr">
        <is>
          <t>Agriculture</t>
        </is>
      </c>
      <c r="D634" s="15" t="inlineStr">
        <is>
          <t>Mt N</t>
        </is>
      </c>
      <c r="E634" s="63" t="n">
        <v>2013</v>
      </c>
      <c r="F634" s="64" t="n">
        <v>14.9</v>
      </c>
      <c r="G634" s="14" t="inlineStr">
        <is>
          <t>In the 2024 report</t>
        </is>
      </c>
      <c r="H634" s="15" t="inlineStr">
        <is>
          <t>EU GHG inventory (CRF)</t>
        </is>
      </c>
      <c r="I634" s="34" t="inlineStr">
        <is>
          <t>esabcc-a3-fertiliser-use</t>
        </is>
      </c>
    </row>
    <row r="635" ht="14" customHeight="1">
      <c r="A635" s="22" t="inlineStr">
        <is>
          <t>A3 (use)</t>
        </is>
      </c>
      <c r="B635" s="22" t="inlineStr">
        <is>
          <t>Total fertiliser nitrogen use (EU)</t>
        </is>
      </c>
      <c r="C635" s="22" t="inlineStr">
        <is>
          <t>Agriculture</t>
        </is>
      </c>
      <c r="D635" s="22" t="inlineStr">
        <is>
          <t>Mt N</t>
        </is>
      </c>
      <c r="E635" s="65" t="n">
        <v>2014</v>
      </c>
      <c r="F635" s="66" t="n">
        <v>15.2</v>
      </c>
      <c r="G635" s="67" t="inlineStr">
        <is>
          <t>In the 2024 report</t>
        </is>
      </c>
      <c r="H635" s="22" t="inlineStr">
        <is>
          <t>EU GHG inventory (CRF)</t>
        </is>
      </c>
      <c r="I635" s="35" t="inlineStr">
        <is>
          <t>esabcc-a3-fertiliser-use</t>
        </is>
      </c>
    </row>
    <row r="636" ht="14" customHeight="1">
      <c r="A636" s="15" t="inlineStr">
        <is>
          <t>A3 (use)</t>
        </is>
      </c>
      <c r="B636" s="15" t="inlineStr">
        <is>
          <t>Total fertiliser nitrogen use (EU)</t>
        </is>
      </c>
      <c r="C636" s="15" t="inlineStr">
        <is>
          <t>Agriculture</t>
        </is>
      </c>
      <c r="D636" s="15" t="inlineStr">
        <is>
          <t>Mt N</t>
        </is>
      </c>
      <c r="E636" s="63" t="n">
        <v>2015</v>
      </c>
      <c r="F636" s="64" t="n">
        <v>15.41</v>
      </c>
      <c r="G636" s="14" t="inlineStr">
        <is>
          <t>In the 2024 report</t>
        </is>
      </c>
      <c r="H636" s="15" t="inlineStr">
        <is>
          <t>EU GHG inventory (CRF)</t>
        </is>
      </c>
      <c r="I636" s="34" t="inlineStr">
        <is>
          <t>esabcc-a3-fertiliser-use</t>
        </is>
      </c>
    </row>
    <row r="637" ht="14" customHeight="1">
      <c r="A637" s="22" t="inlineStr">
        <is>
          <t>A3 (use)</t>
        </is>
      </c>
      <c r="B637" s="22" t="inlineStr">
        <is>
          <t>Total fertiliser nitrogen use (EU)</t>
        </is>
      </c>
      <c r="C637" s="22" t="inlineStr">
        <is>
          <t>Agriculture</t>
        </is>
      </c>
      <c r="D637" s="22" t="inlineStr">
        <is>
          <t>Mt N</t>
        </is>
      </c>
      <c r="E637" s="65" t="n">
        <v>2016</v>
      </c>
      <c r="F637" s="66" t="n">
        <v>15.51</v>
      </c>
      <c r="G637" s="67" t="inlineStr">
        <is>
          <t>In the 2024 report</t>
        </is>
      </c>
      <c r="H637" s="22" t="inlineStr">
        <is>
          <t>EU GHG inventory (CRF)</t>
        </is>
      </c>
      <c r="I637" s="35" t="inlineStr">
        <is>
          <t>esabcc-a3-fertiliser-use</t>
        </is>
      </c>
    </row>
    <row r="638" ht="14" customHeight="1">
      <c r="A638" s="15" t="inlineStr">
        <is>
          <t>A3 (use)</t>
        </is>
      </c>
      <c r="B638" s="15" t="inlineStr">
        <is>
          <t>Total fertiliser nitrogen use (EU)</t>
        </is>
      </c>
      <c r="C638" s="15" t="inlineStr">
        <is>
          <t>Agriculture</t>
        </is>
      </c>
      <c r="D638" s="15" t="inlineStr">
        <is>
          <t>Mt N</t>
        </is>
      </c>
      <c r="E638" s="63" t="n">
        <v>2017</v>
      </c>
      <c r="F638" s="64" t="n">
        <v>15.72</v>
      </c>
      <c r="G638" s="14" t="inlineStr">
        <is>
          <t>In the 2024 report</t>
        </is>
      </c>
      <c r="H638" s="15" t="inlineStr">
        <is>
          <t>EU GHG inventory (CRF)</t>
        </is>
      </c>
      <c r="I638" s="34" t="inlineStr">
        <is>
          <t>esabcc-a3-fertiliser-use</t>
        </is>
      </c>
    </row>
    <row r="639" ht="14" customHeight="1">
      <c r="A639" s="22" t="inlineStr">
        <is>
          <t>A3 (use)</t>
        </is>
      </c>
      <c r="B639" s="22" t="inlineStr">
        <is>
          <t>Total fertiliser nitrogen use (EU)</t>
        </is>
      </c>
      <c r="C639" s="22" t="inlineStr">
        <is>
          <t>Agriculture</t>
        </is>
      </c>
      <c r="D639" s="22" t="inlineStr">
        <is>
          <t>Mt N</t>
        </is>
      </c>
      <c r="E639" s="65" t="n">
        <v>2018</v>
      </c>
      <c r="F639" s="66" t="n">
        <v>15.57</v>
      </c>
      <c r="G639" s="67" t="inlineStr">
        <is>
          <t>In the 2024 report</t>
        </is>
      </c>
      <c r="H639" s="22" t="inlineStr">
        <is>
          <t>EU GHG inventory (CRF)</t>
        </is>
      </c>
      <c r="I639" s="35" t="inlineStr">
        <is>
          <t>esabcc-a3-fertiliser-use</t>
        </is>
      </c>
    </row>
    <row r="640" ht="14" customHeight="1">
      <c r="A640" s="15" t="inlineStr">
        <is>
          <t>A3 (use)</t>
        </is>
      </c>
      <c r="B640" s="15" t="inlineStr">
        <is>
          <t>Total fertiliser nitrogen use (EU)</t>
        </is>
      </c>
      <c r="C640" s="15" t="inlineStr">
        <is>
          <t>Agriculture</t>
        </is>
      </c>
      <c r="D640" s="15" t="inlineStr">
        <is>
          <t>Mt N</t>
        </is>
      </c>
      <c r="E640" s="63" t="n">
        <v>2019</v>
      </c>
      <c r="F640" s="64" t="n">
        <v>15.05</v>
      </c>
      <c r="G640" s="14" t="inlineStr">
        <is>
          <t>In the 2024 report</t>
        </is>
      </c>
      <c r="H640" s="15" t="inlineStr">
        <is>
          <t>EU GHG inventory (CRF)</t>
        </is>
      </c>
      <c r="I640" s="34" t="inlineStr">
        <is>
          <t>esabcc-a3-fertiliser-use</t>
        </is>
      </c>
    </row>
    <row r="641" ht="14" customHeight="1">
      <c r="A641" s="22" t="inlineStr">
        <is>
          <t>A3 (use)</t>
        </is>
      </c>
      <c r="B641" s="22" t="inlineStr">
        <is>
          <t>Total fertiliser nitrogen use (EU)</t>
        </is>
      </c>
      <c r="C641" s="22" t="inlineStr">
        <is>
          <t>Agriculture</t>
        </is>
      </c>
      <c r="D641" s="22" t="inlineStr">
        <is>
          <t>Mt N</t>
        </is>
      </c>
      <c r="E641" s="65" t="n">
        <v>2020</v>
      </c>
      <c r="F641" s="66" t="n">
        <v>15.24</v>
      </c>
      <c r="G641" s="67" t="inlineStr">
        <is>
          <t>In the 2024 report</t>
        </is>
      </c>
      <c r="H641" s="22" t="inlineStr">
        <is>
          <t>EU GHG inventory (CRF)</t>
        </is>
      </c>
      <c r="I641" s="35" t="inlineStr">
        <is>
          <t>esabcc-a3-fertiliser-use</t>
        </is>
      </c>
    </row>
    <row r="642" ht="14" customHeight="1">
      <c r="A642" s="15" t="inlineStr">
        <is>
          <t>A3 (use)</t>
        </is>
      </c>
      <c r="B642" s="15" t="inlineStr">
        <is>
          <t>Total fertiliser nitrogen use (EU)</t>
        </is>
      </c>
      <c r="C642" s="15" t="inlineStr">
        <is>
          <t>Agriculture</t>
        </is>
      </c>
      <c r="D642" s="15" t="inlineStr">
        <is>
          <t>Mt N</t>
        </is>
      </c>
      <c r="E642" s="63" t="n">
        <v>2021</v>
      </c>
      <c r="F642" s="64" t="n">
        <v>15.01</v>
      </c>
      <c r="G642" s="14" t="inlineStr">
        <is>
          <t>In the 2024 report</t>
        </is>
      </c>
      <c r="H642" s="15" t="inlineStr">
        <is>
          <t>EU GHG inventory (CRF)</t>
        </is>
      </c>
      <c r="I642" s="34" t="inlineStr">
        <is>
          <t>esabcc-a3-fertiliser-use</t>
        </is>
      </c>
    </row>
    <row r="643" ht="14" customHeight="1">
      <c r="A643" s="22" t="inlineStr">
        <is>
          <t>A3 (NUE)</t>
        </is>
      </c>
      <c r="B643" s="22" t="inlineStr">
        <is>
          <t>Nitrogen use efficiency in EU agriculture</t>
        </is>
      </c>
      <c r="C643" s="22" t="inlineStr">
        <is>
          <t>Agriculture</t>
        </is>
      </c>
      <c r="D643" s="22" t="inlineStr">
        <is>
          <t>%</t>
        </is>
      </c>
      <c r="E643" s="65" t="n">
        <v>2005</v>
      </c>
      <c r="F643" s="66" t="n">
        <v>46.82</v>
      </c>
      <c r="G643" s="67" t="inlineStr">
        <is>
          <t>In the 2024 report</t>
        </is>
      </c>
      <c r="H643" s="22" t="inlineStr">
        <is>
          <t>Ludemann et al. 2023</t>
        </is>
      </c>
      <c r="I643" s="35" t="inlineStr">
        <is>
          <t>esabcc-a3-nue</t>
        </is>
      </c>
    </row>
    <row r="644" ht="14" customHeight="1">
      <c r="A644" s="15" t="inlineStr">
        <is>
          <t>A3 (NUE)</t>
        </is>
      </c>
      <c r="B644" s="15" t="inlineStr">
        <is>
          <t>Nitrogen use efficiency in EU agriculture</t>
        </is>
      </c>
      <c r="C644" s="15" t="inlineStr">
        <is>
          <t>Agriculture</t>
        </is>
      </c>
      <c r="D644" s="15" t="inlineStr">
        <is>
          <t>%</t>
        </is>
      </c>
      <c r="E644" s="63" t="n">
        <v>2006</v>
      </c>
      <c r="F644" s="64" t="n">
        <v>44.64</v>
      </c>
      <c r="G644" s="14" t="inlineStr">
        <is>
          <t>In the 2024 report</t>
        </is>
      </c>
      <c r="H644" s="15" t="inlineStr">
        <is>
          <t>Ludemann et al. 2023</t>
        </is>
      </c>
      <c r="I644" s="34" t="inlineStr">
        <is>
          <t>esabcc-a3-nue</t>
        </is>
      </c>
    </row>
    <row r="645" ht="14" customHeight="1">
      <c r="A645" s="22" t="inlineStr">
        <is>
          <t>A3 (NUE)</t>
        </is>
      </c>
      <c r="B645" s="22" t="inlineStr">
        <is>
          <t>Nitrogen use efficiency in EU agriculture</t>
        </is>
      </c>
      <c r="C645" s="22" t="inlineStr">
        <is>
          <t>Agriculture</t>
        </is>
      </c>
      <c r="D645" s="22" t="inlineStr">
        <is>
          <t>%</t>
        </is>
      </c>
      <c r="E645" s="65" t="n">
        <v>2007</v>
      </c>
      <c r="F645" s="66" t="n">
        <v>42.01</v>
      </c>
      <c r="G645" s="67" t="inlineStr">
        <is>
          <t>In the 2024 report</t>
        </is>
      </c>
      <c r="H645" s="22" t="inlineStr">
        <is>
          <t>Ludemann et al. 2023</t>
        </is>
      </c>
      <c r="I645" s="35" t="inlineStr">
        <is>
          <t>esabcc-a3-nue</t>
        </is>
      </c>
    </row>
    <row r="646" ht="14" customHeight="1">
      <c r="A646" s="15" t="inlineStr">
        <is>
          <t>A3 (NUE)</t>
        </is>
      </c>
      <c r="B646" s="15" t="inlineStr">
        <is>
          <t>Nitrogen use efficiency in EU agriculture</t>
        </is>
      </c>
      <c r="C646" s="15" t="inlineStr">
        <is>
          <t>Agriculture</t>
        </is>
      </c>
      <c r="D646" s="15" t="inlineStr">
        <is>
          <t>%</t>
        </is>
      </c>
      <c r="E646" s="63" t="n">
        <v>2008</v>
      </c>
      <c r="F646" s="64" t="n">
        <v>52.45</v>
      </c>
      <c r="G646" s="14" t="inlineStr">
        <is>
          <t>In the 2024 report</t>
        </is>
      </c>
      <c r="H646" s="15" t="inlineStr">
        <is>
          <t>Ludemann et al. 2023</t>
        </is>
      </c>
      <c r="I646" s="34" t="inlineStr">
        <is>
          <t>esabcc-a3-nue</t>
        </is>
      </c>
    </row>
    <row r="647" ht="14" customHeight="1">
      <c r="A647" s="22" t="inlineStr">
        <is>
          <t>A3 (NUE)</t>
        </is>
      </c>
      <c r="B647" s="22" t="inlineStr">
        <is>
          <t>Nitrogen use efficiency in EU agriculture</t>
        </is>
      </c>
      <c r="C647" s="22" t="inlineStr">
        <is>
          <t>Agriculture</t>
        </is>
      </c>
      <c r="D647" s="22" t="inlineStr">
        <is>
          <t>%</t>
        </is>
      </c>
      <c r="E647" s="65" t="n">
        <v>2009</v>
      </c>
      <c r="F647" s="66" t="n">
        <v>52.29</v>
      </c>
      <c r="G647" s="67" t="inlineStr">
        <is>
          <t>In the 2024 report</t>
        </is>
      </c>
      <c r="H647" s="22" t="inlineStr">
        <is>
          <t>Ludemann et al. 2023</t>
        </is>
      </c>
      <c r="I647" s="35" t="inlineStr">
        <is>
          <t>esabcc-a3-nue</t>
        </is>
      </c>
    </row>
    <row r="648" ht="14" customHeight="1">
      <c r="A648" s="15" t="inlineStr">
        <is>
          <t>A3 (NUE)</t>
        </is>
      </c>
      <c r="B648" s="15" t="inlineStr">
        <is>
          <t>Nitrogen use efficiency in EU agriculture</t>
        </is>
      </c>
      <c r="C648" s="15" t="inlineStr">
        <is>
          <t>Agriculture</t>
        </is>
      </c>
      <c r="D648" s="15" t="inlineStr">
        <is>
          <t>%</t>
        </is>
      </c>
      <c r="E648" s="63" t="n">
        <v>2010</v>
      </c>
      <c r="F648" s="64" t="n">
        <v>46.9</v>
      </c>
      <c r="G648" s="14" t="inlineStr">
        <is>
          <t>In the 2024 report</t>
        </is>
      </c>
      <c r="H648" s="15" t="inlineStr">
        <is>
          <t>Ludemann et al. 2023</t>
        </is>
      </c>
      <c r="I648" s="34" t="inlineStr">
        <is>
          <t>esabcc-a3-nue</t>
        </is>
      </c>
    </row>
    <row r="649" ht="14" customHeight="1">
      <c r="A649" s="22" t="inlineStr">
        <is>
          <t>A3 (NUE)</t>
        </is>
      </c>
      <c r="B649" s="22" t="inlineStr">
        <is>
          <t>Nitrogen use efficiency in EU agriculture</t>
        </is>
      </c>
      <c r="C649" s="22" t="inlineStr">
        <is>
          <t>Agriculture</t>
        </is>
      </c>
      <c r="D649" s="22" t="inlineStr">
        <is>
          <t>%</t>
        </is>
      </c>
      <c r="E649" s="65" t="n">
        <v>2011</v>
      </c>
      <c r="F649" s="66" t="n">
        <v>49.5</v>
      </c>
      <c r="G649" s="67" t="inlineStr">
        <is>
          <t>In the 2024 report</t>
        </is>
      </c>
      <c r="H649" s="22" t="inlineStr">
        <is>
          <t>Ludemann et al. 2023</t>
        </is>
      </c>
      <c r="I649" s="35" t="inlineStr">
        <is>
          <t>esabcc-a3-nue</t>
        </is>
      </c>
    </row>
    <row r="650" ht="14" customHeight="1">
      <c r="A650" s="15" t="inlineStr">
        <is>
          <t>A3 (NUE)</t>
        </is>
      </c>
      <c r="B650" s="15" t="inlineStr">
        <is>
          <t>Nitrogen use efficiency in EU agriculture</t>
        </is>
      </c>
      <c r="C650" s="15" t="inlineStr">
        <is>
          <t>Agriculture</t>
        </is>
      </c>
      <c r="D650" s="15" t="inlineStr">
        <is>
          <t>%</t>
        </is>
      </c>
      <c r="E650" s="63" t="n">
        <v>2012</v>
      </c>
      <c r="F650" s="64" t="n">
        <v>46.84</v>
      </c>
      <c r="G650" s="14" t="inlineStr">
        <is>
          <t>In the 2024 report</t>
        </is>
      </c>
      <c r="H650" s="15" t="inlineStr">
        <is>
          <t>Ludemann et al. 2023</t>
        </is>
      </c>
      <c r="I650" s="34" t="inlineStr">
        <is>
          <t>esabcc-a3-nue</t>
        </is>
      </c>
    </row>
    <row r="651" ht="14" customHeight="1">
      <c r="A651" s="22" t="inlineStr">
        <is>
          <t>A3 (NUE)</t>
        </is>
      </c>
      <c r="B651" s="22" t="inlineStr">
        <is>
          <t>Nitrogen use efficiency in EU agriculture</t>
        </is>
      </c>
      <c r="C651" s="22" t="inlineStr">
        <is>
          <t>Agriculture</t>
        </is>
      </c>
      <c r="D651" s="22" t="inlineStr">
        <is>
          <t>%</t>
        </is>
      </c>
      <c r="E651" s="65" t="n">
        <v>2013</v>
      </c>
      <c r="F651" s="66" t="n">
        <v>50.19</v>
      </c>
      <c r="G651" s="67" t="inlineStr">
        <is>
          <t>In the 2024 report</t>
        </is>
      </c>
      <c r="H651" s="22" t="inlineStr">
        <is>
          <t>Ludemann et al. 2023</t>
        </is>
      </c>
      <c r="I651" s="35" t="inlineStr">
        <is>
          <t>esabcc-a3-nue</t>
        </is>
      </c>
    </row>
    <row r="652" ht="14" customHeight="1">
      <c r="A652" s="15" t="inlineStr">
        <is>
          <t>A3 (NUE)</t>
        </is>
      </c>
      <c r="B652" s="15" t="inlineStr">
        <is>
          <t>Nitrogen use efficiency in EU agriculture</t>
        </is>
      </c>
      <c r="C652" s="15" t="inlineStr">
        <is>
          <t>Agriculture</t>
        </is>
      </c>
      <c r="D652" s="15" t="inlineStr">
        <is>
          <t>%</t>
        </is>
      </c>
      <c r="E652" s="63" t="n">
        <v>2014</v>
      </c>
      <c r="F652" s="64" t="n">
        <v>52.69</v>
      </c>
      <c r="G652" s="14" t="inlineStr">
        <is>
          <t>In the 2024 report</t>
        </is>
      </c>
      <c r="H652" s="15" t="inlineStr">
        <is>
          <t>Ludemann et al. 2023</t>
        </is>
      </c>
      <c r="I652" s="34" t="inlineStr">
        <is>
          <t>esabcc-a3-nue</t>
        </is>
      </c>
    </row>
    <row r="653" ht="14" customHeight="1">
      <c r="A653" s="22" t="inlineStr">
        <is>
          <t>A3 (NUE)</t>
        </is>
      </c>
      <c r="B653" s="22" t="inlineStr">
        <is>
          <t>Nitrogen use efficiency in EU agriculture</t>
        </is>
      </c>
      <c r="C653" s="22" t="inlineStr">
        <is>
          <t>Agriculture</t>
        </is>
      </c>
      <c r="D653" s="22" t="inlineStr">
        <is>
          <t>%</t>
        </is>
      </c>
      <c r="E653" s="65" t="n">
        <v>2015</v>
      </c>
      <c r="F653" s="66" t="n">
        <v>49.93</v>
      </c>
      <c r="G653" s="67" t="inlineStr">
        <is>
          <t>In the 2024 report</t>
        </is>
      </c>
      <c r="H653" s="22" t="inlineStr">
        <is>
          <t>Ludemann et al. 2023</t>
        </is>
      </c>
      <c r="I653" s="35" t="inlineStr">
        <is>
          <t>esabcc-a3-nue</t>
        </is>
      </c>
    </row>
    <row r="654" ht="14" customHeight="1">
      <c r="A654" s="15" t="inlineStr">
        <is>
          <t>A3 (NUE)</t>
        </is>
      </c>
      <c r="B654" s="15" t="inlineStr">
        <is>
          <t>Nitrogen use efficiency in EU agriculture</t>
        </is>
      </c>
      <c r="C654" s="15" t="inlineStr">
        <is>
          <t>Agriculture</t>
        </is>
      </c>
      <c r="D654" s="15" t="inlineStr">
        <is>
          <t>%</t>
        </is>
      </c>
      <c r="E654" s="63" t="n">
        <v>2016</v>
      </c>
      <c r="F654" s="64" t="n">
        <v>47.75</v>
      </c>
      <c r="G654" s="14" t="inlineStr">
        <is>
          <t>In the 2024 report</t>
        </is>
      </c>
      <c r="H654" s="15" t="inlineStr">
        <is>
          <t>Ludemann et al. 2023</t>
        </is>
      </c>
      <c r="I654" s="34" t="inlineStr">
        <is>
          <t>esabcc-a3-nue</t>
        </is>
      </c>
    </row>
    <row r="655" ht="14" customHeight="1">
      <c r="A655" s="22" t="inlineStr">
        <is>
          <t>A3 (NUE)</t>
        </is>
      </c>
      <c r="B655" s="22" t="inlineStr">
        <is>
          <t>Nitrogen use efficiency in EU agriculture</t>
        </is>
      </c>
      <c r="C655" s="22" t="inlineStr">
        <is>
          <t>Agriculture</t>
        </is>
      </c>
      <c r="D655" s="22" t="inlineStr">
        <is>
          <t>%</t>
        </is>
      </c>
      <c r="E655" s="65" t="n">
        <v>2017</v>
      </c>
      <c r="F655" s="66" t="n">
        <v>49.6</v>
      </c>
      <c r="G655" s="67" t="inlineStr">
        <is>
          <t>In the 2024 report</t>
        </is>
      </c>
      <c r="H655" s="22" t="inlineStr">
        <is>
          <t>Ludemann et al. 2023</t>
        </is>
      </c>
      <c r="I655" s="35" t="inlineStr">
        <is>
          <t>esabcc-a3-nue</t>
        </is>
      </c>
    </row>
    <row r="656" ht="14" customHeight="1">
      <c r="A656" s="15" t="inlineStr">
        <is>
          <t>A3 (NUE)</t>
        </is>
      </c>
      <c r="B656" s="15" t="inlineStr">
        <is>
          <t>Nitrogen use efficiency in EU agriculture</t>
        </is>
      </c>
      <c r="C656" s="15" t="inlineStr">
        <is>
          <t>Agriculture</t>
        </is>
      </c>
      <c r="D656" s="15" t="inlineStr">
        <is>
          <t>%</t>
        </is>
      </c>
      <c r="E656" s="63" t="n">
        <v>2018</v>
      </c>
      <c r="F656" s="64" t="n">
        <v>47.74</v>
      </c>
      <c r="G656" s="14" t="inlineStr">
        <is>
          <t>In the 2024 report</t>
        </is>
      </c>
      <c r="H656" s="15" t="inlineStr">
        <is>
          <t>Ludemann et al. 2023</t>
        </is>
      </c>
      <c r="I656" s="34" t="inlineStr">
        <is>
          <t>esabcc-a3-nue</t>
        </is>
      </c>
    </row>
    <row r="657" ht="14" customHeight="1">
      <c r="A657" s="22" t="inlineStr">
        <is>
          <t>A3 (NUE)</t>
        </is>
      </c>
      <c r="B657" s="22" t="inlineStr">
        <is>
          <t>Nitrogen use efficiency in EU agriculture</t>
        </is>
      </c>
      <c r="C657" s="22" t="inlineStr">
        <is>
          <t>Agriculture</t>
        </is>
      </c>
      <c r="D657" s="22" t="inlineStr">
        <is>
          <t>%</t>
        </is>
      </c>
      <c r="E657" s="65" t="n">
        <v>2019</v>
      </c>
      <c r="F657" s="66" t="n">
        <v>50.9</v>
      </c>
      <c r="G657" s="67" t="inlineStr">
        <is>
          <t>In the 2024 report</t>
        </is>
      </c>
      <c r="H657" s="22" t="inlineStr">
        <is>
          <t>Ludemann et al. 2023</t>
        </is>
      </c>
      <c r="I657" s="35" t="inlineStr">
        <is>
          <t>esabcc-a3-nue</t>
        </is>
      </c>
    </row>
    <row r="658" ht="14" customHeight="1">
      <c r="A658" s="15" t="inlineStr">
        <is>
          <t>A3 (NUE)</t>
        </is>
      </c>
      <c r="B658" s="15" t="inlineStr">
        <is>
          <t>Nitrogen use efficiency in EU agriculture</t>
        </is>
      </c>
      <c r="C658" s="15" t="inlineStr">
        <is>
          <t>Agriculture</t>
        </is>
      </c>
      <c r="D658" s="15" t="inlineStr">
        <is>
          <t>%</t>
        </is>
      </c>
      <c r="E658" s="63" t="n">
        <v>2020</v>
      </c>
      <c r="F658" s="64" t="n">
        <v>49.03</v>
      </c>
      <c r="G658" s="14" t="inlineStr">
        <is>
          <t>In the 2024 report</t>
        </is>
      </c>
      <c r="H658" s="15" t="inlineStr">
        <is>
          <t>Ludemann et al. 2023</t>
        </is>
      </c>
      <c r="I658" s="34" t="inlineStr">
        <is>
          <t>esabcc-a3-nue</t>
        </is>
      </c>
    </row>
    <row r="659" ht="14" customHeight="1">
      <c r="A659" s="22" t="inlineStr">
        <is>
          <t>A7</t>
        </is>
      </c>
      <c r="B659" s="22" t="inlineStr">
        <is>
          <t>Agricultural products used as bioenergy feedstock</t>
        </is>
      </c>
      <c r="C659" s="22" t="inlineStr">
        <is>
          <t>Agriculture</t>
        </is>
      </c>
      <c r="D659" s="22" t="inlineStr">
        <is>
          <t>Mt fresh</t>
        </is>
      </c>
      <c r="E659" s="65" t="n">
        <v>2005</v>
      </c>
      <c r="F659" s="66" t="n">
        <v>7.021</v>
      </c>
      <c r="G659" s="67" t="inlineStr">
        <is>
          <t>In the 2024 report</t>
        </is>
      </c>
      <c r="H659" s="22" t="inlineStr">
        <is>
          <t>JRC medium-term outlook</t>
        </is>
      </c>
      <c r="I659" s="35" t="inlineStr">
        <is>
          <t>esabcc-a7-bioenergy-feedstock</t>
        </is>
      </c>
    </row>
    <row r="660" ht="14" customHeight="1">
      <c r="A660" s="15" t="inlineStr">
        <is>
          <t>A7</t>
        </is>
      </c>
      <c r="B660" s="15" t="inlineStr">
        <is>
          <t>Agricultural products used as bioenergy feedstock</t>
        </is>
      </c>
      <c r="C660" s="15" t="inlineStr">
        <is>
          <t>Agriculture</t>
        </is>
      </c>
      <c r="D660" s="15" t="inlineStr">
        <is>
          <t>Mt fresh</t>
        </is>
      </c>
      <c r="E660" s="63" t="n">
        <v>2006</v>
      </c>
      <c r="F660" s="64" t="n">
        <v>9.012</v>
      </c>
      <c r="G660" s="14" t="inlineStr">
        <is>
          <t>In the 2024 report</t>
        </is>
      </c>
      <c r="H660" s="15" t="inlineStr">
        <is>
          <t>JRC medium-term outlook</t>
        </is>
      </c>
      <c r="I660" s="34" t="inlineStr">
        <is>
          <t>esabcc-a7-bioenergy-feedstock</t>
        </is>
      </c>
    </row>
    <row r="661" ht="14" customHeight="1">
      <c r="A661" s="22" t="inlineStr">
        <is>
          <t>A7</t>
        </is>
      </c>
      <c r="B661" s="22" t="inlineStr">
        <is>
          <t>Agricultural products used as bioenergy feedstock</t>
        </is>
      </c>
      <c r="C661" s="22" t="inlineStr">
        <is>
          <t>Agriculture</t>
        </is>
      </c>
      <c r="D661" s="22" t="inlineStr">
        <is>
          <t>Mt fresh</t>
        </is>
      </c>
      <c r="E661" s="65" t="n">
        <v>2007</v>
      </c>
      <c r="F661" s="66" t="n">
        <v>11.5</v>
      </c>
      <c r="G661" s="67" t="inlineStr">
        <is>
          <t>In the 2024 report</t>
        </is>
      </c>
      <c r="H661" s="22" t="inlineStr">
        <is>
          <t>JRC medium-term outlook</t>
        </is>
      </c>
      <c r="I661" s="35" t="inlineStr">
        <is>
          <t>esabcc-a7-bioenergy-feedstock</t>
        </is>
      </c>
    </row>
    <row r="662" ht="14" customHeight="1">
      <c r="A662" s="15" t="inlineStr">
        <is>
          <t>A7</t>
        </is>
      </c>
      <c r="B662" s="15" t="inlineStr">
        <is>
          <t>Agricultural products used as bioenergy feedstock</t>
        </is>
      </c>
      <c r="C662" s="15" t="inlineStr">
        <is>
          <t>Agriculture</t>
        </is>
      </c>
      <c r="D662" s="15" t="inlineStr">
        <is>
          <t>Mt fresh</t>
        </is>
      </c>
      <c r="E662" s="63" t="n">
        <v>2008</v>
      </c>
      <c r="F662" s="64" t="n">
        <v>13.99</v>
      </c>
      <c r="G662" s="14" t="inlineStr">
        <is>
          <t>In the 2024 report</t>
        </is>
      </c>
      <c r="H662" s="15" t="inlineStr">
        <is>
          <t>JRC medium-term outlook</t>
        </is>
      </c>
      <c r="I662" s="34" t="inlineStr">
        <is>
          <t>esabcc-a7-bioenergy-feedstock</t>
        </is>
      </c>
    </row>
    <row r="663" ht="14" customHeight="1">
      <c r="A663" s="22" t="inlineStr">
        <is>
          <t>A7</t>
        </is>
      </c>
      <c r="B663" s="22" t="inlineStr">
        <is>
          <t>Agricultural products used as bioenergy feedstock</t>
        </is>
      </c>
      <c r="C663" s="22" t="inlineStr">
        <is>
          <t>Agriculture</t>
        </is>
      </c>
      <c r="D663" s="22" t="inlineStr">
        <is>
          <t>Mt fresh</t>
        </is>
      </c>
      <c r="E663" s="65" t="n">
        <v>2009</v>
      </c>
      <c r="F663" s="66" t="n">
        <v>16.88</v>
      </c>
      <c r="G663" s="67" t="inlineStr">
        <is>
          <t>In the 2024 report</t>
        </is>
      </c>
      <c r="H663" s="22" t="inlineStr">
        <is>
          <t>JRC medium-term outlook</t>
        </is>
      </c>
      <c r="I663" s="35" t="inlineStr">
        <is>
          <t>esabcc-a7-bioenergy-feedstock</t>
        </is>
      </c>
    </row>
    <row r="664" ht="14" customHeight="1">
      <c r="A664" s="15" t="inlineStr">
        <is>
          <t>A7</t>
        </is>
      </c>
      <c r="B664" s="15" t="inlineStr">
        <is>
          <t>Agricultural products used as bioenergy feedstock</t>
        </is>
      </c>
      <c r="C664" s="15" t="inlineStr">
        <is>
          <t>Agriculture</t>
        </is>
      </c>
      <c r="D664" s="15" t="inlineStr">
        <is>
          <t>Mt fresh</t>
        </is>
      </c>
      <c r="E664" s="63" t="n">
        <v>2010</v>
      </c>
      <c r="F664" s="64" t="n">
        <v>18.76</v>
      </c>
      <c r="G664" s="14" t="inlineStr">
        <is>
          <t>In the 2024 report</t>
        </is>
      </c>
      <c r="H664" s="15" t="inlineStr">
        <is>
          <t>JRC medium-term outlook</t>
        </is>
      </c>
      <c r="I664" s="34" t="inlineStr">
        <is>
          <t>esabcc-a7-bioenergy-feedstock</t>
        </is>
      </c>
    </row>
    <row r="665" ht="14" customHeight="1">
      <c r="A665" s="22" t="inlineStr">
        <is>
          <t>A7</t>
        </is>
      </c>
      <c r="B665" s="22" t="inlineStr">
        <is>
          <t>Agricultural products used as bioenergy feedstock</t>
        </is>
      </c>
      <c r="C665" s="22" t="inlineStr">
        <is>
          <t>Agriculture</t>
        </is>
      </c>
      <c r="D665" s="22" t="inlineStr">
        <is>
          <t>Mt fresh</t>
        </is>
      </c>
      <c r="E665" s="65" t="n">
        <v>2011</v>
      </c>
      <c r="F665" s="66" t="n">
        <v>19.87</v>
      </c>
      <c r="G665" s="67" t="inlineStr">
        <is>
          <t>In the 2024 report</t>
        </is>
      </c>
      <c r="H665" s="22" t="inlineStr">
        <is>
          <t>JRC medium-term outlook</t>
        </is>
      </c>
      <c r="I665" s="35" t="inlineStr">
        <is>
          <t>esabcc-a7-bioenergy-feedstock</t>
        </is>
      </c>
    </row>
    <row r="666" ht="14" customHeight="1">
      <c r="A666" s="15" t="inlineStr">
        <is>
          <t>A7</t>
        </is>
      </c>
      <c r="B666" s="15" t="inlineStr">
        <is>
          <t>Agricultural products used as bioenergy feedstock</t>
        </is>
      </c>
      <c r="C666" s="15" t="inlineStr">
        <is>
          <t>Agriculture</t>
        </is>
      </c>
      <c r="D666" s="15" t="inlineStr">
        <is>
          <t>Mt fresh</t>
        </is>
      </c>
      <c r="E666" s="63" t="n">
        <v>2012</v>
      </c>
      <c r="F666" s="64" t="n">
        <v>19.58</v>
      </c>
      <c r="G666" s="14" t="inlineStr">
        <is>
          <t>In the 2024 report</t>
        </is>
      </c>
      <c r="H666" s="15" t="inlineStr">
        <is>
          <t>JRC medium-term outlook</t>
        </is>
      </c>
      <c r="I666" s="34" t="inlineStr">
        <is>
          <t>esabcc-a7-bioenergy-feedstock</t>
        </is>
      </c>
    </row>
    <row r="667" ht="14" customHeight="1">
      <c r="A667" s="22" t="inlineStr">
        <is>
          <t>A7</t>
        </is>
      </c>
      <c r="B667" s="22" t="inlineStr">
        <is>
          <t>Agricultural products used as bioenergy feedstock</t>
        </is>
      </c>
      <c r="C667" s="22" t="inlineStr">
        <is>
          <t>Agriculture</t>
        </is>
      </c>
      <c r="D667" s="22" t="inlineStr">
        <is>
          <t>Mt fresh</t>
        </is>
      </c>
      <c r="E667" s="65" t="n">
        <v>2013</v>
      </c>
      <c r="F667" s="66" t="n">
        <v>20.4</v>
      </c>
      <c r="G667" s="67" t="inlineStr">
        <is>
          <t>In the 2024 report</t>
        </is>
      </c>
      <c r="H667" s="22" t="inlineStr">
        <is>
          <t>JRC medium-term outlook</t>
        </is>
      </c>
      <c r="I667" s="35" t="inlineStr">
        <is>
          <t>esabcc-a7-bioenergy-feedstock</t>
        </is>
      </c>
    </row>
    <row r="668" ht="14" customHeight="1">
      <c r="A668" s="15" t="inlineStr">
        <is>
          <t>A7</t>
        </is>
      </c>
      <c r="B668" s="15" t="inlineStr">
        <is>
          <t>Agricultural products used as bioenergy feedstock</t>
        </is>
      </c>
      <c r="C668" s="15" t="inlineStr">
        <is>
          <t>Agriculture</t>
        </is>
      </c>
      <c r="D668" s="15" t="inlineStr">
        <is>
          <t>Mt fresh</t>
        </is>
      </c>
      <c r="E668" s="63" t="n">
        <v>2014</v>
      </c>
      <c r="F668" s="64" t="n">
        <v>22.09</v>
      </c>
      <c r="G668" s="14" t="inlineStr">
        <is>
          <t>In the 2024 report</t>
        </is>
      </c>
      <c r="H668" s="15" t="inlineStr">
        <is>
          <t>JRC medium-term outlook</t>
        </is>
      </c>
      <c r="I668" s="34" t="inlineStr">
        <is>
          <t>esabcc-a7-bioenergy-feedstock</t>
        </is>
      </c>
    </row>
    <row r="669" ht="14" customHeight="1">
      <c r="A669" s="22" t="inlineStr">
        <is>
          <t>A7</t>
        </is>
      </c>
      <c r="B669" s="22" t="inlineStr">
        <is>
          <t>Agricultural products used as bioenergy feedstock</t>
        </is>
      </c>
      <c r="C669" s="22" t="inlineStr">
        <is>
          <t>Agriculture</t>
        </is>
      </c>
      <c r="D669" s="22" t="inlineStr">
        <is>
          <t>Mt fresh</t>
        </is>
      </c>
      <c r="E669" s="65" t="n">
        <v>2015</v>
      </c>
      <c r="F669" s="66" t="n">
        <v>20.52</v>
      </c>
      <c r="G669" s="67" t="inlineStr">
        <is>
          <t>In the 2024 report</t>
        </is>
      </c>
      <c r="H669" s="22" t="inlineStr">
        <is>
          <t>JRC medium-term outlook</t>
        </is>
      </c>
      <c r="I669" s="35" t="inlineStr">
        <is>
          <t>esabcc-a7-bioenergy-feedstock</t>
        </is>
      </c>
    </row>
    <row r="670" ht="14" customHeight="1">
      <c r="A670" s="15" t="inlineStr">
        <is>
          <t>A7</t>
        </is>
      </c>
      <c r="B670" s="15" t="inlineStr">
        <is>
          <t>Agricultural products used as bioenergy feedstock</t>
        </is>
      </c>
      <c r="C670" s="15" t="inlineStr">
        <is>
          <t>Agriculture</t>
        </is>
      </c>
      <c r="D670" s="15" t="inlineStr">
        <is>
          <t>Mt fresh</t>
        </is>
      </c>
      <c r="E670" s="63" t="n">
        <v>2016</v>
      </c>
      <c r="F670" s="64" t="n">
        <v>20.36</v>
      </c>
      <c r="G670" s="14" t="inlineStr">
        <is>
          <t>In the 2024 report</t>
        </is>
      </c>
      <c r="H670" s="15" t="inlineStr">
        <is>
          <t>JRC medium-term outlook</t>
        </is>
      </c>
      <c r="I670" s="34" t="inlineStr">
        <is>
          <t>esabcc-a7-bioenergy-feedstock</t>
        </is>
      </c>
    </row>
    <row r="671" ht="14" customHeight="1">
      <c r="A671" s="22" t="inlineStr">
        <is>
          <t>A7</t>
        </is>
      </c>
      <c r="B671" s="22" t="inlineStr">
        <is>
          <t>Agricultural products used as bioenergy feedstock</t>
        </is>
      </c>
      <c r="C671" s="22" t="inlineStr">
        <is>
          <t>Agriculture</t>
        </is>
      </c>
      <c r="D671" s="22" t="inlineStr">
        <is>
          <t>Mt fresh</t>
        </is>
      </c>
      <c r="E671" s="65" t="n">
        <v>2017</v>
      </c>
      <c r="F671" s="66" t="n">
        <v>22.28</v>
      </c>
      <c r="G671" s="67" t="inlineStr">
        <is>
          <t>In the 2024 report</t>
        </is>
      </c>
      <c r="H671" s="22" t="inlineStr">
        <is>
          <t>JRC medium-term outlook</t>
        </is>
      </c>
      <c r="I671" s="35" t="inlineStr">
        <is>
          <t>esabcc-a7-bioenergy-feedstock</t>
        </is>
      </c>
    </row>
    <row r="672" ht="14" customHeight="1">
      <c r="A672" s="15" t="inlineStr">
        <is>
          <t>A7</t>
        </is>
      </c>
      <c r="B672" s="15" t="inlineStr">
        <is>
          <t>Agricultural products used as bioenergy feedstock</t>
        </is>
      </c>
      <c r="C672" s="15" t="inlineStr">
        <is>
          <t>Agriculture</t>
        </is>
      </c>
      <c r="D672" s="15" t="inlineStr">
        <is>
          <t>Mt fresh</t>
        </is>
      </c>
      <c r="E672" s="63" t="n">
        <v>2018</v>
      </c>
      <c r="F672" s="64" t="n">
        <v>22.29</v>
      </c>
      <c r="G672" s="14" t="inlineStr">
        <is>
          <t>In the 2024 report</t>
        </is>
      </c>
      <c r="H672" s="15" t="inlineStr">
        <is>
          <t>JRC medium-term outlook</t>
        </is>
      </c>
      <c r="I672" s="34" t="inlineStr">
        <is>
          <t>esabcc-a7-bioenergy-feedstock</t>
        </is>
      </c>
    </row>
    <row r="673" ht="14" customHeight="1">
      <c r="A673" s="22" t="inlineStr">
        <is>
          <t>A7</t>
        </is>
      </c>
      <c r="B673" s="22" t="inlineStr">
        <is>
          <t>Agricultural products used as bioenergy feedstock</t>
        </is>
      </c>
      <c r="C673" s="22" t="inlineStr">
        <is>
          <t>Agriculture</t>
        </is>
      </c>
      <c r="D673" s="22" t="inlineStr">
        <is>
          <t>Mt fresh</t>
        </is>
      </c>
      <c r="E673" s="65" t="n">
        <v>2019</v>
      </c>
      <c r="F673" s="66" t="n">
        <v>22.14</v>
      </c>
      <c r="G673" s="67" t="inlineStr">
        <is>
          <t>In the 2024 report</t>
        </is>
      </c>
      <c r="H673" s="22" t="inlineStr">
        <is>
          <t>JRC medium-term outlook</t>
        </is>
      </c>
      <c r="I673" s="35" t="inlineStr">
        <is>
          <t>esabcc-a7-bioenergy-feedstock</t>
        </is>
      </c>
    </row>
    <row r="674" ht="14" customHeight="1">
      <c r="A674" s="15" t="inlineStr">
        <is>
          <t>A7</t>
        </is>
      </c>
      <c r="B674" s="15" t="inlineStr">
        <is>
          <t>Agricultural products used as bioenergy feedstock</t>
        </is>
      </c>
      <c r="C674" s="15" t="inlineStr">
        <is>
          <t>Agriculture</t>
        </is>
      </c>
      <c r="D674" s="15" t="inlineStr">
        <is>
          <t>Mt fresh</t>
        </is>
      </c>
      <c r="E674" s="63" t="n">
        <v>2020</v>
      </c>
      <c r="F674" s="64" t="n">
        <v>22.95</v>
      </c>
      <c r="G674" s="14" t="inlineStr">
        <is>
          <t>In the 2024 report</t>
        </is>
      </c>
      <c r="H674" s="15" t="inlineStr">
        <is>
          <t>JRC medium-term outlook</t>
        </is>
      </c>
      <c r="I674" s="34" t="inlineStr">
        <is>
          <t>esabcc-a7-bioenergy-feedstock</t>
        </is>
      </c>
    </row>
    <row r="675" ht="14" customHeight="1">
      <c r="A675" s="22" t="inlineStr">
        <is>
          <t>A7</t>
        </is>
      </c>
      <c r="B675" s="22" t="inlineStr">
        <is>
          <t>Agricultural products used as bioenergy feedstock</t>
        </is>
      </c>
      <c r="C675" s="22" t="inlineStr">
        <is>
          <t>Agriculture</t>
        </is>
      </c>
      <c r="D675" s="22" t="inlineStr">
        <is>
          <t>Mt fresh</t>
        </is>
      </c>
      <c r="E675" s="65" t="n">
        <v>2021</v>
      </c>
      <c r="F675" s="66" t="n">
        <v>23.89</v>
      </c>
      <c r="G675" s="67" t="inlineStr">
        <is>
          <t>In the 2024 report</t>
        </is>
      </c>
      <c r="H675" s="22" t="inlineStr">
        <is>
          <t>JRC medium-term outlook</t>
        </is>
      </c>
      <c r="I675" s="35" t="inlineStr">
        <is>
          <t>esabcc-a7-bioenergy-feedstock</t>
        </is>
      </c>
    </row>
    <row r="676" ht="14" customHeight="1">
      <c r="A676" s="15" t="inlineStr">
        <is>
          <t>L1</t>
        </is>
      </c>
      <c r="B676" s="15" t="inlineStr">
        <is>
          <t>LULUCF net GHG balance</t>
        </is>
      </c>
      <c r="C676" s="15" t="inlineStr">
        <is>
          <t>LULUCF</t>
        </is>
      </c>
      <c r="D676" s="15" t="inlineStr">
        <is>
          <t>Mt CO₂eq</t>
        </is>
      </c>
      <c r="E676" s="63" t="n">
        <v>2005</v>
      </c>
      <c r="F676" s="64" t="n">
        <v>-342</v>
      </c>
      <c r="G676" s="14" t="inlineStr">
        <is>
          <t>In the 2024 report</t>
        </is>
      </c>
      <c r="H676" s="15" t="inlineStr">
        <is>
          <t>EEA GHG data viewer; 2023+ Eurostat (env_air_gge)</t>
        </is>
      </c>
      <c r="I676" s="34" t="inlineStr">
        <is>
          <t>esabcc-l1-lulucf-net</t>
        </is>
      </c>
    </row>
    <row r="677" ht="14" customHeight="1">
      <c r="A677" s="22" t="inlineStr">
        <is>
          <t>L1</t>
        </is>
      </c>
      <c r="B677" s="22" t="inlineStr">
        <is>
          <t>LULUCF net GHG balance</t>
        </is>
      </c>
      <c r="C677" s="22" t="inlineStr">
        <is>
          <t>LULUCF</t>
        </is>
      </c>
      <c r="D677" s="22" t="inlineStr">
        <is>
          <t>Mt CO₂eq</t>
        </is>
      </c>
      <c r="E677" s="65" t="n">
        <v>2006</v>
      </c>
      <c r="F677" s="66" t="n">
        <v>-351</v>
      </c>
      <c r="G677" s="67" t="inlineStr">
        <is>
          <t>In the 2024 report</t>
        </is>
      </c>
      <c r="H677" s="22" t="inlineStr">
        <is>
          <t>EEA GHG data viewer; 2023+ Eurostat (env_air_gge)</t>
        </is>
      </c>
      <c r="I677" s="35" t="inlineStr">
        <is>
          <t>esabcc-l1-lulucf-net</t>
        </is>
      </c>
    </row>
    <row r="678" ht="14" customHeight="1">
      <c r="A678" s="15" t="inlineStr">
        <is>
          <t>L1</t>
        </is>
      </c>
      <c r="B678" s="15" t="inlineStr">
        <is>
          <t>LULUCF net GHG balance</t>
        </is>
      </c>
      <c r="C678" s="15" t="inlineStr">
        <is>
          <t>LULUCF</t>
        </is>
      </c>
      <c r="D678" s="15" t="inlineStr">
        <is>
          <t>Mt CO₂eq</t>
        </is>
      </c>
      <c r="E678" s="63" t="n">
        <v>2007</v>
      </c>
      <c r="F678" s="64" t="n">
        <v>-301</v>
      </c>
      <c r="G678" s="14" t="inlineStr">
        <is>
          <t>In the 2024 report</t>
        </is>
      </c>
      <c r="H678" s="15" t="inlineStr">
        <is>
          <t>EEA GHG data viewer; 2023+ Eurostat (env_air_gge)</t>
        </is>
      </c>
      <c r="I678" s="34" t="inlineStr">
        <is>
          <t>esabcc-l1-lulucf-net</t>
        </is>
      </c>
    </row>
    <row r="679" ht="14" customHeight="1">
      <c r="A679" s="22" t="inlineStr">
        <is>
          <t>L1</t>
        </is>
      </c>
      <c r="B679" s="22" t="inlineStr">
        <is>
          <t>LULUCF net GHG balance</t>
        </is>
      </c>
      <c r="C679" s="22" t="inlineStr">
        <is>
          <t>LULUCF</t>
        </is>
      </c>
      <c r="D679" s="22" t="inlineStr">
        <is>
          <t>Mt CO₂eq</t>
        </is>
      </c>
      <c r="E679" s="65" t="n">
        <v>2008</v>
      </c>
      <c r="F679" s="66" t="n">
        <v>-344</v>
      </c>
      <c r="G679" s="67" t="inlineStr">
        <is>
          <t>In the 2024 report</t>
        </is>
      </c>
      <c r="H679" s="22" t="inlineStr">
        <is>
          <t>EEA GHG data viewer; 2023+ Eurostat (env_air_gge)</t>
        </is>
      </c>
      <c r="I679" s="35" t="inlineStr">
        <is>
          <t>esabcc-l1-lulucf-net</t>
        </is>
      </c>
    </row>
    <row r="680" ht="14" customHeight="1">
      <c r="A680" s="15" t="inlineStr">
        <is>
          <t>L1</t>
        </is>
      </c>
      <c r="B680" s="15" t="inlineStr">
        <is>
          <t>LULUCF net GHG balance</t>
        </is>
      </c>
      <c r="C680" s="15" t="inlineStr">
        <is>
          <t>LULUCF</t>
        </is>
      </c>
      <c r="D680" s="15" t="inlineStr">
        <is>
          <t>Mt CO₂eq</t>
        </is>
      </c>
      <c r="E680" s="63" t="n">
        <v>2009</v>
      </c>
      <c r="F680" s="64" t="n">
        <v>-347</v>
      </c>
      <c r="G680" s="14" t="inlineStr">
        <is>
          <t>In the 2024 report</t>
        </is>
      </c>
      <c r="H680" s="15" t="inlineStr">
        <is>
          <t>EEA GHG data viewer; 2023+ Eurostat (env_air_gge)</t>
        </is>
      </c>
      <c r="I680" s="34" t="inlineStr">
        <is>
          <t>esabcc-l1-lulucf-net</t>
        </is>
      </c>
    </row>
    <row r="681" ht="14" customHeight="1">
      <c r="A681" s="22" t="inlineStr">
        <is>
          <t>L1</t>
        </is>
      </c>
      <c r="B681" s="22" t="inlineStr">
        <is>
          <t>LULUCF net GHG balance</t>
        </is>
      </c>
      <c r="C681" s="22" t="inlineStr">
        <is>
          <t>LULUCF</t>
        </is>
      </c>
      <c r="D681" s="22" t="inlineStr">
        <is>
          <t>Mt CO₂eq</t>
        </is>
      </c>
      <c r="E681" s="65" t="n">
        <v>2010</v>
      </c>
      <c r="F681" s="66" t="n">
        <v>-353</v>
      </c>
      <c r="G681" s="67" t="inlineStr">
        <is>
          <t>In the 2024 report</t>
        </is>
      </c>
      <c r="H681" s="22" t="inlineStr">
        <is>
          <t>EEA GHG data viewer; 2023+ Eurostat (env_air_gge)</t>
        </is>
      </c>
      <c r="I681" s="35" t="inlineStr">
        <is>
          <t>esabcc-l1-lulucf-net</t>
        </is>
      </c>
    </row>
    <row r="682" ht="14" customHeight="1">
      <c r="A682" s="15" t="inlineStr">
        <is>
          <t>L1</t>
        </is>
      </c>
      <c r="B682" s="15" t="inlineStr">
        <is>
          <t>LULUCF net GHG balance</t>
        </is>
      </c>
      <c r="C682" s="15" t="inlineStr">
        <is>
          <t>LULUCF</t>
        </is>
      </c>
      <c r="D682" s="15" t="inlineStr">
        <is>
          <t>Mt CO₂eq</t>
        </is>
      </c>
      <c r="E682" s="63" t="n">
        <v>2011</v>
      </c>
      <c r="F682" s="64" t="n">
        <v>-347</v>
      </c>
      <c r="G682" s="14" t="inlineStr">
        <is>
          <t>In the 2024 report</t>
        </is>
      </c>
      <c r="H682" s="15" t="inlineStr">
        <is>
          <t>EEA GHG data viewer; 2023+ Eurostat (env_air_gge)</t>
        </is>
      </c>
      <c r="I682" s="34" t="inlineStr">
        <is>
          <t>esabcc-l1-lulucf-net</t>
        </is>
      </c>
    </row>
    <row r="683" ht="14" customHeight="1">
      <c r="A683" s="22" t="inlineStr">
        <is>
          <t>L1</t>
        </is>
      </c>
      <c r="B683" s="22" t="inlineStr">
        <is>
          <t>LULUCF net GHG balance</t>
        </is>
      </c>
      <c r="C683" s="22" t="inlineStr">
        <is>
          <t>LULUCF</t>
        </is>
      </c>
      <c r="D683" s="22" t="inlineStr">
        <is>
          <t>Mt CO₂eq</t>
        </is>
      </c>
      <c r="E683" s="65" t="n">
        <v>2012</v>
      </c>
      <c r="F683" s="66" t="n">
        <v>-343</v>
      </c>
      <c r="G683" s="67" t="inlineStr">
        <is>
          <t>In the 2024 report</t>
        </is>
      </c>
      <c r="H683" s="22" t="inlineStr">
        <is>
          <t>EEA GHG data viewer; 2023+ Eurostat (env_air_gge)</t>
        </is>
      </c>
      <c r="I683" s="35" t="inlineStr">
        <is>
          <t>esabcc-l1-lulucf-net</t>
        </is>
      </c>
    </row>
    <row r="684" ht="14" customHeight="1">
      <c r="A684" s="15" t="inlineStr">
        <is>
          <t>L1</t>
        </is>
      </c>
      <c r="B684" s="15" t="inlineStr">
        <is>
          <t>LULUCF net GHG balance</t>
        </is>
      </c>
      <c r="C684" s="15" t="inlineStr">
        <is>
          <t>LULUCF</t>
        </is>
      </c>
      <c r="D684" s="15" t="inlineStr">
        <is>
          <t>Mt CO₂eq</t>
        </is>
      </c>
      <c r="E684" s="63" t="n">
        <v>2013</v>
      </c>
      <c r="F684" s="64" t="n">
        <v>-343</v>
      </c>
      <c r="G684" s="14" t="inlineStr">
        <is>
          <t>In the 2024 report</t>
        </is>
      </c>
      <c r="H684" s="15" t="inlineStr">
        <is>
          <t>EEA GHG data viewer; 2023+ Eurostat (env_air_gge)</t>
        </is>
      </c>
      <c r="I684" s="34" t="inlineStr">
        <is>
          <t>esabcc-l1-lulucf-net</t>
        </is>
      </c>
    </row>
    <row r="685" ht="14" customHeight="1">
      <c r="A685" s="22" t="inlineStr">
        <is>
          <t>L1</t>
        </is>
      </c>
      <c r="B685" s="22" t="inlineStr">
        <is>
          <t>LULUCF net GHG balance</t>
        </is>
      </c>
      <c r="C685" s="22" t="inlineStr">
        <is>
          <t>LULUCF</t>
        </is>
      </c>
      <c r="D685" s="22" t="inlineStr">
        <is>
          <t>Mt CO₂eq</t>
        </is>
      </c>
      <c r="E685" s="65" t="n">
        <v>2014</v>
      </c>
      <c r="F685" s="66" t="n">
        <v>-328</v>
      </c>
      <c r="G685" s="67" t="inlineStr">
        <is>
          <t>In the 2024 report</t>
        </is>
      </c>
      <c r="H685" s="22" t="inlineStr">
        <is>
          <t>EEA GHG data viewer; 2023+ Eurostat (env_air_gge)</t>
        </is>
      </c>
      <c r="I685" s="35" t="inlineStr">
        <is>
          <t>esabcc-l1-lulucf-net</t>
        </is>
      </c>
    </row>
    <row r="686" ht="14" customHeight="1">
      <c r="A686" s="15" t="inlineStr">
        <is>
          <t>L1</t>
        </is>
      </c>
      <c r="B686" s="15" t="inlineStr">
        <is>
          <t>LULUCF net GHG balance</t>
        </is>
      </c>
      <c r="C686" s="15" t="inlineStr">
        <is>
          <t>LULUCF</t>
        </is>
      </c>
      <c r="D686" s="15" t="inlineStr">
        <is>
          <t>Mt CO₂eq</t>
        </is>
      </c>
      <c r="E686" s="63" t="n">
        <v>2015</v>
      </c>
      <c r="F686" s="64" t="n">
        <v>-322</v>
      </c>
      <c r="G686" s="14" t="inlineStr">
        <is>
          <t>In the 2024 report</t>
        </is>
      </c>
      <c r="H686" s="15" t="inlineStr">
        <is>
          <t>EEA GHG data viewer; 2023+ Eurostat (env_air_gge)</t>
        </is>
      </c>
      <c r="I686" s="34" t="inlineStr">
        <is>
          <t>esabcc-l1-lulucf-net</t>
        </is>
      </c>
    </row>
    <row r="687" ht="14" customHeight="1">
      <c r="A687" s="22" t="inlineStr">
        <is>
          <t>L1</t>
        </is>
      </c>
      <c r="B687" s="22" t="inlineStr">
        <is>
          <t>LULUCF net GHG balance</t>
        </is>
      </c>
      <c r="C687" s="22" t="inlineStr">
        <is>
          <t>LULUCF</t>
        </is>
      </c>
      <c r="D687" s="22" t="inlineStr">
        <is>
          <t>Mt CO₂eq</t>
        </is>
      </c>
      <c r="E687" s="65" t="n">
        <v>2016</v>
      </c>
      <c r="F687" s="66" t="n">
        <v>-318</v>
      </c>
      <c r="G687" s="67" t="inlineStr">
        <is>
          <t>In the 2024 report</t>
        </is>
      </c>
      <c r="H687" s="22" t="inlineStr">
        <is>
          <t>EEA GHG data viewer; 2023+ Eurostat (env_air_gge)</t>
        </is>
      </c>
      <c r="I687" s="35" t="inlineStr">
        <is>
          <t>esabcc-l1-lulucf-net</t>
        </is>
      </c>
    </row>
    <row r="688" ht="14" customHeight="1">
      <c r="A688" s="15" t="inlineStr">
        <is>
          <t>L1</t>
        </is>
      </c>
      <c r="B688" s="15" t="inlineStr">
        <is>
          <t>LULUCF net GHG balance</t>
        </is>
      </c>
      <c r="C688" s="15" t="inlineStr">
        <is>
          <t>LULUCF</t>
        </is>
      </c>
      <c r="D688" s="15" t="inlineStr">
        <is>
          <t>Mt CO₂eq</t>
        </is>
      </c>
      <c r="E688" s="63" t="n">
        <v>2017</v>
      </c>
      <c r="F688" s="64" t="n">
        <v>-250</v>
      </c>
      <c r="G688" s="14" t="inlineStr">
        <is>
          <t>In the 2024 report</t>
        </is>
      </c>
      <c r="H688" s="15" t="inlineStr">
        <is>
          <t>EEA GHG data viewer; 2023+ Eurostat (env_air_gge)</t>
        </is>
      </c>
      <c r="I688" s="34" t="inlineStr">
        <is>
          <t>esabcc-l1-lulucf-net</t>
        </is>
      </c>
    </row>
    <row r="689" ht="14" customHeight="1">
      <c r="A689" s="22" t="inlineStr">
        <is>
          <t>L1</t>
        </is>
      </c>
      <c r="B689" s="22" t="inlineStr">
        <is>
          <t>LULUCF net GHG balance</t>
        </is>
      </c>
      <c r="C689" s="22" t="inlineStr">
        <is>
          <t>LULUCF</t>
        </is>
      </c>
      <c r="D689" s="22" t="inlineStr">
        <is>
          <t>Mt CO₂eq</t>
        </is>
      </c>
      <c r="E689" s="65" t="n">
        <v>2018</v>
      </c>
      <c r="F689" s="66" t="n">
        <v>-258</v>
      </c>
      <c r="G689" s="67" t="inlineStr">
        <is>
          <t>In the 2024 report</t>
        </is>
      </c>
      <c r="H689" s="22" t="inlineStr">
        <is>
          <t>EEA GHG data viewer; 2023+ Eurostat (env_air_gge)</t>
        </is>
      </c>
      <c r="I689" s="35" t="inlineStr">
        <is>
          <t>esabcc-l1-lulucf-net</t>
        </is>
      </c>
    </row>
    <row r="690" ht="14" customHeight="1">
      <c r="A690" s="15" t="inlineStr">
        <is>
          <t>L1</t>
        </is>
      </c>
      <c r="B690" s="15" t="inlineStr">
        <is>
          <t>LULUCF net GHG balance</t>
        </is>
      </c>
      <c r="C690" s="15" t="inlineStr">
        <is>
          <t>LULUCF</t>
        </is>
      </c>
      <c r="D690" s="15" t="inlineStr">
        <is>
          <t>Mt CO₂eq</t>
        </is>
      </c>
      <c r="E690" s="63" t="n">
        <v>2019</v>
      </c>
      <c r="F690" s="64" t="n">
        <v>-247</v>
      </c>
      <c r="G690" s="14" t="inlineStr">
        <is>
          <t>In the 2024 report</t>
        </is>
      </c>
      <c r="H690" s="15" t="inlineStr">
        <is>
          <t>EEA GHG data viewer; 2023+ Eurostat (env_air_gge)</t>
        </is>
      </c>
      <c r="I690" s="34" t="inlineStr">
        <is>
          <t>esabcc-l1-lulucf-net</t>
        </is>
      </c>
    </row>
    <row r="691" ht="14" customHeight="1">
      <c r="A691" s="22" t="inlineStr">
        <is>
          <t>L1</t>
        </is>
      </c>
      <c r="B691" s="22" t="inlineStr">
        <is>
          <t>LULUCF net GHG balance</t>
        </is>
      </c>
      <c r="C691" s="22" t="inlineStr">
        <is>
          <t>LULUCF</t>
        </is>
      </c>
      <c r="D691" s="22" t="inlineStr">
        <is>
          <t>Mt CO₂eq</t>
        </is>
      </c>
      <c r="E691" s="65" t="n">
        <v>2020</v>
      </c>
      <c r="F691" s="66" t="n">
        <v>-241</v>
      </c>
      <c r="G691" s="67" t="inlineStr">
        <is>
          <t>In the 2024 report</t>
        </is>
      </c>
      <c r="H691" s="22" t="inlineStr">
        <is>
          <t>EEA GHG data viewer; 2023+ Eurostat (env_air_gge)</t>
        </is>
      </c>
      <c r="I691" s="35" t="inlineStr">
        <is>
          <t>esabcc-l1-lulucf-net</t>
        </is>
      </c>
    </row>
    <row r="692" ht="14" customHeight="1">
      <c r="A692" s="15" t="inlineStr">
        <is>
          <t>L1</t>
        </is>
      </c>
      <c r="B692" s="15" t="inlineStr">
        <is>
          <t>LULUCF net GHG balance</t>
        </is>
      </c>
      <c r="C692" s="15" t="inlineStr">
        <is>
          <t>LULUCF</t>
        </is>
      </c>
      <c r="D692" s="15" t="inlineStr">
        <is>
          <t>Mt CO₂eq</t>
        </is>
      </c>
      <c r="E692" s="63" t="n">
        <v>2021</v>
      </c>
      <c r="F692" s="64" t="n">
        <v>-230</v>
      </c>
      <c r="G692" s="14" t="inlineStr">
        <is>
          <t>In the 2024 report</t>
        </is>
      </c>
      <c r="H692" s="15" t="inlineStr">
        <is>
          <t>EEA GHG data viewer; 2023+ Eurostat (env_air_gge)</t>
        </is>
      </c>
      <c r="I692" s="34" t="inlineStr">
        <is>
          <t>esabcc-l1-lulucf-net</t>
        </is>
      </c>
    </row>
    <row r="693" ht="14" customHeight="1">
      <c r="A693" s="22" t="inlineStr">
        <is>
          <t>L1</t>
        </is>
      </c>
      <c r="B693" s="22" t="inlineStr">
        <is>
          <t>LULUCF net GHG balance</t>
        </is>
      </c>
      <c r="C693" s="22" t="inlineStr">
        <is>
          <t>LULUCF</t>
        </is>
      </c>
      <c r="D693" s="22" t="inlineStr">
        <is>
          <t>Mt CO₂eq</t>
        </is>
      </c>
      <c r="E693" s="65" t="n">
        <v>2022</v>
      </c>
      <c r="F693" s="66" t="n">
        <v>-244</v>
      </c>
      <c r="G693" s="67" t="inlineStr">
        <is>
          <t>In the 2024 report</t>
        </is>
      </c>
      <c r="H693" s="22" t="inlineStr">
        <is>
          <t>EEA GHG data viewer; 2023+ Eurostat (env_air_gge)</t>
        </is>
      </c>
      <c r="I693" s="35" t="inlineStr">
        <is>
          <t>esabcc-l1-lulucf-net</t>
        </is>
      </c>
    </row>
    <row r="694" ht="14" customHeight="1">
      <c r="A694" s="15" t="inlineStr">
        <is>
          <t>L1</t>
        </is>
      </c>
      <c r="B694" s="15" t="inlineStr">
        <is>
          <t>LULUCF net GHG balance</t>
        </is>
      </c>
      <c r="C694" s="15" t="inlineStr">
        <is>
          <t>LULUCF</t>
        </is>
      </c>
      <c r="D694" s="15" t="inlineStr">
        <is>
          <t>Mt CO₂eq</t>
        </is>
      </c>
      <c r="E694" s="63" t="n">
        <v>2023</v>
      </c>
      <c r="F694" s="64" t="n">
        <v>-215.5</v>
      </c>
      <c r="G694" s="68" t="inlineStr">
        <is>
          <t>Added since the report</t>
        </is>
      </c>
      <c r="H694" s="15" t="inlineStr">
        <is>
          <t>EEA GHG data viewer; 2023+ Eurostat (env_air_gge)</t>
        </is>
      </c>
      <c r="I694" s="34" t="inlineStr">
        <is>
          <t>esabcc-l1-lulucf-net</t>
        </is>
      </c>
    </row>
    <row r="695" ht="14" customHeight="1">
      <c r="A695" s="22" t="inlineStr">
        <is>
          <t>L1</t>
        </is>
      </c>
      <c r="B695" s="22" t="inlineStr">
        <is>
          <t>LULUCF net GHG balance</t>
        </is>
      </c>
      <c r="C695" s="22" t="inlineStr">
        <is>
          <t>LULUCF</t>
        </is>
      </c>
      <c r="D695" s="22" t="inlineStr">
        <is>
          <t>Mt CO₂eq</t>
        </is>
      </c>
      <c r="E695" s="65" t="n">
        <v>2024</v>
      </c>
      <c r="F695" s="66" t="n">
        <v>-231</v>
      </c>
      <c r="G695" s="69" t="inlineStr">
        <is>
          <t>Added since the report</t>
        </is>
      </c>
      <c r="H695" s="22" t="inlineStr">
        <is>
          <t>EEA GHG data viewer; 2023+ Eurostat (env_air_gge)</t>
        </is>
      </c>
      <c r="I695" s="35" t="inlineStr">
        <is>
          <t>esabcc-l1-lulucf-net</t>
        </is>
      </c>
    </row>
    <row r="696" ht="14" customHeight="1">
      <c r="A696" s="15" t="inlineStr">
        <is>
          <t>L3</t>
        </is>
      </c>
      <c r="B696" s="15" t="inlineStr">
        <is>
          <t>Annual afforested area</t>
        </is>
      </c>
      <c r="C696" s="15" t="inlineStr">
        <is>
          <t>LULUCF</t>
        </is>
      </c>
      <c r="D696" s="15" t="inlineStr">
        <is>
          <t>thousand ha/yr</t>
        </is>
      </c>
      <c r="E696" s="63" t="n">
        <v>2005</v>
      </c>
      <c r="F696" s="64" t="n">
        <v>488</v>
      </c>
      <c r="G696" s="14" t="inlineStr">
        <is>
          <t>In the 2024 report</t>
        </is>
      </c>
      <c r="H696" s="15" t="inlineStr">
        <is>
          <t>EU GHG inventory (CRF)</t>
        </is>
      </c>
      <c r="I696" s="34" t="inlineStr">
        <is>
          <t>esabcc-l3-afforestation</t>
        </is>
      </c>
    </row>
    <row r="697" ht="14" customHeight="1">
      <c r="A697" s="22" t="inlineStr">
        <is>
          <t>L3</t>
        </is>
      </c>
      <c r="B697" s="22" t="inlineStr">
        <is>
          <t>Annual afforested area</t>
        </is>
      </c>
      <c r="C697" s="22" t="inlineStr">
        <is>
          <t>LULUCF</t>
        </is>
      </c>
      <c r="D697" s="22" t="inlineStr">
        <is>
          <t>thousand ha/yr</t>
        </is>
      </c>
      <c r="E697" s="65" t="n">
        <v>2006</v>
      </c>
      <c r="F697" s="66" t="n">
        <v>435.7</v>
      </c>
      <c r="G697" s="67" t="inlineStr">
        <is>
          <t>In the 2024 report</t>
        </is>
      </c>
      <c r="H697" s="22" t="inlineStr">
        <is>
          <t>EU GHG inventory (CRF)</t>
        </is>
      </c>
      <c r="I697" s="35" t="inlineStr">
        <is>
          <t>esabcc-l3-afforestation</t>
        </is>
      </c>
    </row>
    <row r="698" ht="14" customHeight="1">
      <c r="A698" s="15" t="inlineStr">
        <is>
          <t>L3</t>
        </is>
      </c>
      <c r="B698" s="15" t="inlineStr">
        <is>
          <t>Annual afforested area</t>
        </is>
      </c>
      <c r="C698" s="15" t="inlineStr">
        <is>
          <t>LULUCF</t>
        </is>
      </c>
      <c r="D698" s="15" t="inlineStr">
        <is>
          <t>thousand ha/yr</t>
        </is>
      </c>
      <c r="E698" s="63" t="n">
        <v>2007</v>
      </c>
      <c r="F698" s="64" t="n">
        <v>407.4</v>
      </c>
      <c r="G698" s="14" t="inlineStr">
        <is>
          <t>In the 2024 report</t>
        </is>
      </c>
      <c r="H698" s="15" t="inlineStr">
        <is>
          <t>EU GHG inventory (CRF)</t>
        </is>
      </c>
      <c r="I698" s="34" t="inlineStr">
        <is>
          <t>esabcc-l3-afforestation</t>
        </is>
      </c>
    </row>
    <row r="699" ht="14" customHeight="1">
      <c r="A699" s="22" t="inlineStr">
        <is>
          <t>L3</t>
        </is>
      </c>
      <c r="B699" s="22" t="inlineStr">
        <is>
          <t>Annual afforested area</t>
        </is>
      </c>
      <c r="C699" s="22" t="inlineStr">
        <is>
          <t>LULUCF</t>
        </is>
      </c>
      <c r="D699" s="22" t="inlineStr">
        <is>
          <t>thousand ha/yr</t>
        </is>
      </c>
      <c r="E699" s="65" t="n">
        <v>2008</v>
      </c>
      <c r="F699" s="66" t="n">
        <v>338</v>
      </c>
      <c r="G699" s="67" t="inlineStr">
        <is>
          <t>In the 2024 report</t>
        </is>
      </c>
      <c r="H699" s="22" t="inlineStr">
        <is>
          <t>EU GHG inventory (CRF)</t>
        </is>
      </c>
      <c r="I699" s="35" t="inlineStr">
        <is>
          <t>esabcc-l3-afforestation</t>
        </is>
      </c>
    </row>
    <row r="700" ht="14" customHeight="1">
      <c r="A700" s="15" t="inlineStr">
        <is>
          <t>L3</t>
        </is>
      </c>
      <c r="B700" s="15" t="inlineStr">
        <is>
          <t>Annual afforested area</t>
        </is>
      </c>
      <c r="C700" s="15" t="inlineStr">
        <is>
          <t>LULUCF</t>
        </is>
      </c>
      <c r="D700" s="15" t="inlineStr">
        <is>
          <t>thousand ha/yr</t>
        </is>
      </c>
      <c r="E700" s="63" t="n">
        <v>2009</v>
      </c>
      <c r="F700" s="64" t="n">
        <v>334</v>
      </c>
      <c r="G700" s="14" t="inlineStr">
        <is>
          <t>In the 2024 report</t>
        </is>
      </c>
      <c r="H700" s="15" t="inlineStr">
        <is>
          <t>EU GHG inventory (CRF)</t>
        </is>
      </c>
      <c r="I700" s="34" t="inlineStr">
        <is>
          <t>esabcc-l3-afforestation</t>
        </is>
      </c>
    </row>
    <row r="701" ht="14" customHeight="1">
      <c r="A701" s="22" t="inlineStr">
        <is>
          <t>L3</t>
        </is>
      </c>
      <c r="B701" s="22" t="inlineStr">
        <is>
          <t>Annual afforested area</t>
        </is>
      </c>
      <c r="C701" s="22" t="inlineStr">
        <is>
          <t>LULUCF</t>
        </is>
      </c>
      <c r="D701" s="22" t="inlineStr">
        <is>
          <t>thousand ha/yr</t>
        </is>
      </c>
      <c r="E701" s="65" t="n">
        <v>2010</v>
      </c>
      <c r="F701" s="66" t="n">
        <v>301</v>
      </c>
      <c r="G701" s="67" t="inlineStr">
        <is>
          <t>In the 2024 report</t>
        </is>
      </c>
      <c r="H701" s="22" t="inlineStr">
        <is>
          <t>EU GHG inventory (CRF)</t>
        </is>
      </c>
      <c r="I701" s="35" t="inlineStr">
        <is>
          <t>esabcc-l3-afforestation</t>
        </is>
      </c>
    </row>
    <row r="702" ht="14" customHeight="1">
      <c r="A702" s="15" t="inlineStr">
        <is>
          <t>L3</t>
        </is>
      </c>
      <c r="B702" s="15" t="inlineStr">
        <is>
          <t>Annual afforested area</t>
        </is>
      </c>
      <c r="C702" s="15" t="inlineStr">
        <is>
          <t>LULUCF</t>
        </is>
      </c>
      <c r="D702" s="15" t="inlineStr">
        <is>
          <t>thousand ha/yr</t>
        </is>
      </c>
      <c r="E702" s="63" t="n">
        <v>2011</v>
      </c>
      <c r="F702" s="64" t="n">
        <v>288.3</v>
      </c>
      <c r="G702" s="14" t="inlineStr">
        <is>
          <t>In the 2024 report</t>
        </is>
      </c>
      <c r="H702" s="15" t="inlineStr">
        <is>
          <t>EU GHG inventory (CRF)</t>
        </is>
      </c>
      <c r="I702" s="34" t="inlineStr">
        <is>
          <t>esabcc-l3-afforestation</t>
        </is>
      </c>
    </row>
    <row r="703" ht="14" customHeight="1">
      <c r="A703" s="22" t="inlineStr">
        <is>
          <t>L3</t>
        </is>
      </c>
      <c r="B703" s="22" t="inlineStr">
        <is>
          <t>Annual afforested area</t>
        </is>
      </c>
      <c r="C703" s="22" t="inlineStr">
        <is>
          <t>LULUCF</t>
        </is>
      </c>
      <c r="D703" s="22" t="inlineStr">
        <is>
          <t>thousand ha/yr</t>
        </is>
      </c>
      <c r="E703" s="65" t="n">
        <v>2012</v>
      </c>
      <c r="F703" s="66" t="n">
        <v>282.8</v>
      </c>
      <c r="G703" s="67" t="inlineStr">
        <is>
          <t>In the 2024 report</t>
        </is>
      </c>
      <c r="H703" s="22" t="inlineStr">
        <is>
          <t>EU GHG inventory (CRF)</t>
        </is>
      </c>
      <c r="I703" s="35" t="inlineStr">
        <is>
          <t>esabcc-l3-afforestation</t>
        </is>
      </c>
    </row>
    <row r="704" ht="14" customHeight="1">
      <c r="A704" s="15" t="inlineStr">
        <is>
          <t>L3</t>
        </is>
      </c>
      <c r="B704" s="15" t="inlineStr">
        <is>
          <t>Annual afforested area</t>
        </is>
      </c>
      <c r="C704" s="15" t="inlineStr">
        <is>
          <t>LULUCF</t>
        </is>
      </c>
      <c r="D704" s="15" t="inlineStr">
        <is>
          <t>thousand ha/yr</t>
        </is>
      </c>
      <c r="E704" s="63" t="n">
        <v>2013</v>
      </c>
      <c r="F704" s="64" t="n">
        <v>294.5</v>
      </c>
      <c r="G704" s="14" t="inlineStr">
        <is>
          <t>In the 2024 report</t>
        </is>
      </c>
      <c r="H704" s="15" t="inlineStr">
        <is>
          <t>EU GHG inventory (CRF)</t>
        </is>
      </c>
      <c r="I704" s="34" t="inlineStr">
        <is>
          <t>esabcc-l3-afforestation</t>
        </is>
      </c>
    </row>
    <row r="705" ht="14" customHeight="1">
      <c r="A705" s="22" t="inlineStr">
        <is>
          <t>L3</t>
        </is>
      </c>
      <c r="B705" s="22" t="inlineStr">
        <is>
          <t>Annual afforested area</t>
        </is>
      </c>
      <c r="C705" s="22" t="inlineStr">
        <is>
          <t>LULUCF</t>
        </is>
      </c>
      <c r="D705" s="22" t="inlineStr">
        <is>
          <t>thousand ha/yr</t>
        </is>
      </c>
      <c r="E705" s="65" t="n">
        <v>2014</v>
      </c>
      <c r="F705" s="66" t="n">
        <v>266.7</v>
      </c>
      <c r="G705" s="67" t="inlineStr">
        <is>
          <t>In the 2024 report</t>
        </is>
      </c>
      <c r="H705" s="22" t="inlineStr">
        <is>
          <t>EU GHG inventory (CRF)</t>
        </is>
      </c>
      <c r="I705" s="35" t="inlineStr">
        <is>
          <t>esabcc-l3-afforestation</t>
        </is>
      </c>
    </row>
    <row r="706" ht="14" customHeight="1">
      <c r="A706" s="15" t="inlineStr">
        <is>
          <t>L3</t>
        </is>
      </c>
      <c r="B706" s="15" t="inlineStr">
        <is>
          <t>Annual afforested area</t>
        </is>
      </c>
      <c r="C706" s="15" t="inlineStr">
        <is>
          <t>LULUCF</t>
        </is>
      </c>
      <c r="D706" s="15" t="inlineStr">
        <is>
          <t>thousand ha/yr</t>
        </is>
      </c>
      <c r="E706" s="63" t="n">
        <v>2015</v>
      </c>
      <c r="F706" s="64" t="n">
        <v>272.8</v>
      </c>
      <c r="G706" s="14" t="inlineStr">
        <is>
          <t>In the 2024 report</t>
        </is>
      </c>
      <c r="H706" s="15" t="inlineStr">
        <is>
          <t>EU GHG inventory (CRF)</t>
        </is>
      </c>
      <c r="I706" s="34" t="inlineStr">
        <is>
          <t>esabcc-l3-afforestation</t>
        </is>
      </c>
    </row>
    <row r="707" ht="14" customHeight="1">
      <c r="A707" s="22" t="inlineStr">
        <is>
          <t>L3</t>
        </is>
      </c>
      <c r="B707" s="22" t="inlineStr">
        <is>
          <t>Annual afforested area</t>
        </is>
      </c>
      <c r="C707" s="22" t="inlineStr">
        <is>
          <t>LULUCF</t>
        </is>
      </c>
      <c r="D707" s="22" t="inlineStr">
        <is>
          <t>thousand ha/yr</t>
        </is>
      </c>
      <c r="E707" s="65" t="n">
        <v>2016</v>
      </c>
      <c r="F707" s="66" t="n">
        <v>298.1</v>
      </c>
      <c r="G707" s="67" t="inlineStr">
        <is>
          <t>In the 2024 report</t>
        </is>
      </c>
      <c r="H707" s="22" t="inlineStr">
        <is>
          <t>EU GHG inventory (CRF)</t>
        </is>
      </c>
      <c r="I707" s="35" t="inlineStr">
        <is>
          <t>esabcc-l3-afforestation</t>
        </is>
      </c>
    </row>
    <row r="708" ht="14" customHeight="1">
      <c r="A708" s="15" t="inlineStr">
        <is>
          <t>L3</t>
        </is>
      </c>
      <c r="B708" s="15" t="inlineStr">
        <is>
          <t>Annual afforested area</t>
        </is>
      </c>
      <c r="C708" s="15" t="inlineStr">
        <is>
          <t>LULUCF</t>
        </is>
      </c>
      <c r="D708" s="15" t="inlineStr">
        <is>
          <t>thousand ha/yr</t>
        </is>
      </c>
      <c r="E708" s="63" t="n">
        <v>2017</v>
      </c>
      <c r="F708" s="64" t="n">
        <v>343.2</v>
      </c>
      <c r="G708" s="14" t="inlineStr">
        <is>
          <t>In the 2024 report</t>
        </is>
      </c>
      <c r="H708" s="15" t="inlineStr">
        <is>
          <t>EU GHG inventory (CRF)</t>
        </is>
      </c>
      <c r="I708" s="34" t="inlineStr">
        <is>
          <t>esabcc-l3-afforestation</t>
        </is>
      </c>
    </row>
    <row r="709" ht="14" customHeight="1">
      <c r="A709" s="22" t="inlineStr">
        <is>
          <t>L3</t>
        </is>
      </c>
      <c r="B709" s="22" t="inlineStr">
        <is>
          <t>Annual afforested area</t>
        </is>
      </c>
      <c r="C709" s="22" t="inlineStr">
        <is>
          <t>LULUCF</t>
        </is>
      </c>
      <c r="D709" s="22" t="inlineStr">
        <is>
          <t>thousand ha/yr</t>
        </is>
      </c>
      <c r="E709" s="65" t="n">
        <v>2018</v>
      </c>
      <c r="F709" s="66" t="n">
        <v>299.8</v>
      </c>
      <c r="G709" s="67" t="inlineStr">
        <is>
          <t>In the 2024 report</t>
        </is>
      </c>
      <c r="H709" s="22" t="inlineStr">
        <is>
          <t>EU GHG inventory (CRF)</t>
        </is>
      </c>
      <c r="I709" s="35" t="inlineStr">
        <is>
          <t>esabcc-l3-afforestation</t>
        </is>
      </c>
    </row>
    <row r="710" ht="14" customHeight="1">
      <c r="A710" s="15" t="inlineStr">
        <is>
          <t>L3</t>
        </is>
      </c>
      <c r="B710" s="15" t="inlineStr">
        <is>
          <t>Annual afforested area</t>
        </is>
      </c>
      <c r="C710" s="15" t="inlineStr">
        <is>
          <t>LULUCF</t>
        </is>
      </c>
      <c r="D710" s="15" t="inlineStr">
        <is>
          <t>thousand ha/yr</t>
        </is>
      </c>
      <c r="E710" s="63" t="n">
        <v>2019</v>
      </c>
      <c r="F710" s="64" t="n">
        <v>310.2</v>
      </c>
      <c r="G710" s="14" t="inlineStr">
        <is>
          <t>In the 2024 report</t>
        </is>
      </c>
      <c r="H710" s="15" t="inlineStr">
        <is>
          <t>EU GHG inventory (CRF)</t>
        </is>
      </c>
      <c r="I710" s="34" t="inlineStr">
        <is>
          <t>esabcc-l3-afforestation</t>
        </is>
      </c>
    </row>
    <row r="711" ht="14" customHeight="1">
      <c r="A711" s="22" t="inlineStr">
        <is>
          <t>L3</t>
        </is>
      </c>
      <c r="B711" s="22" t="inlineStr">
        <is>
          <t>Annual afforested area</t>
        </is>
      </c>
      <c r="C711" s="22" t="inlineStr">
        <is>
          <t>LULUCF</t>
        </is>
      </c>
      <c r="D711" s="22" t="inlineStr">
        <is>
          <t>thousand ha/yr</t>
        </is>
      </c>
      <c r="E711" s="65" t="n">
        <v>2020</v>
      </c>
      <c r="F711" s="66" t="n">
        <v>297.7</v>
      </c>
      <c r="G711" s="67" t="inlineStr">
        <is>
          <t>In the 2024 report</t>
        </is>
      </c>
      <c r="H711" s="22" t="inlineStr">
        <is>
          <t>EU GHG inventory (CRF)</t>
        </is>
      </c>
      <c r="I711" s="35" t="inlineStr">
        <is>
          <t>esabcc-l3-afforestation</t>
        </is>
      </c>
    </row>
    <row r="712" ht="14" customHeight="1">
      <c r="A712" s="15" t="inlineStr">
        <is>
          <t>L3</t>
        </is>
      </c>
      <c r="B712" s="15" t="inlineStr">
        <is>
          <t>Annual afforested area</t>
        </is>
      </c>
      <c r="C712" s="15" t="inlineStr">
        <is>
          <t>LULUCF</t>
        </is>
      </c>
      <c r="D712" s="15" t="inlineStr">
        <is>
          <t>thousand ha/yr</t>
        </is>
      </c>
      <c r="E712" s="63" t="n">
        <v>2021</v>
      </c>
      <c r="F712" s="64" t="n">
        <v>326.8</v>
      </c>
      <c r="G712" s="14" t="inlineStr">
        <is>
          <t>In the 2024 report</t>
        </is>
      </c>
      <c r="H712" s="15" t="inlineStr">
        <is>
          <t>EU GHG inventory (CRF)</t>
        </is>
      </c>
      <c r="I712" s="34" t="inlineStr">
        <is>
          <t>esabcc-l3-afforestation</t>
        </is>
      </c>
    </row>
    <row r="713" ht="14" customHeight="1">
      <c r="A713" s="22" t="inlineStr">
        <is>
          <t>L4</t>
        </is>
      </c>
      <c r="B713" s="22" t="inlineStr">
        <is>
          <t>Annual deforested area</t>
        </is>
      </c>
      <c r="C713" s="22" t="inlineStr">
        <is>
          <t>LULUCF</t>
        </is>
      </c>
      <c r="D713" s="22" t="inlineStr">
        <is>
          <t>thousand ha/yr</t>
        </is>
      </c>
      <c r="E713" s="65" t="n">
        <v>2005</v>
      </c>
      <c r="F713" s="66" t="n">
        <v>-125.9</v>
      </c>
      <c r="G713" s="67" t="inlineStr">
        <is>
          <t>In the 2024 report</t>
        </is>
      </c>
      <c r="H713" s="22" t="inlineStr">
        <is>
          <t>EU GHG inventory (CRF)</t>
        </is>
      </c>
      <c r="I713" s="35" t="inlineStr">
        <is>
          <t>esabcc-l4-deforestation</t>
        </is>
      </c>
    </row>
    <row r="714" ht="14" customHeight="1">
      <c r="A714" s="15" t="inlineStr">
        <is>
          <t>L4</t>
        </is>
      </c>
      <c r="B714" s="15" t="inlineStr">
        <is>
          <t>Annual deforested area</t>
        </is>
      </c>
      <c r="C714" s="15" t="inlineStr">
        <is>
          <t>LULUCF</t>
        </is>
      </c>
      <c r="D714" s="15" t="inlineStr">
        <is>
          <t>thousand ha/yr</t>
        </is>
      </c>
      <c r="E714" s="63" t="n">
        <v>2006</v>
      </c>
      <c r="F714" s="64" t="n">
        <v>-129.8</v>
      </c>
      <c r="G714" s="14" t="inlineStr">
        <is>
          <t>In the 2024 report</t>
        </is>
      </c>
      <c r="H714" s="15" t="inlineStr">
        <is>
          <t>EU GHG inventory (CRF)</t>
        </is>
      </c>
      <c r="I714" s="34" t="inlineStr">
        <is>
          <t>esabcc-l4-deforestation</t>
        </is>
      </c>
    </row>
    <row r="715" ht="14" customHeight="1">
      <c r="A715" s="22" t="inlineStr">
        <is>
          <t>L4</t>
        </is>
      </c>
      <c r="B715" s="22" t="inlineStr">
        <is>
          <t>Annual deforested area</t>
        </is>
      </c>
      <c r="C715" s="22" t="inlineStr">
        <is>
          <t>LULUCF</t>
        </is>
      </c>
      <c r="D715" s="22" t="inlineStr">
        <is>
          <t>thousand ha/yr</t>
        </is>
      </c>
      <c r="E715" s="65" t="n">
        <v>2007</v>
      </c>
      <c r="F715" s="66" t="n">
        <v>-138.5</v>
      </c>
      <c r="G715" s="67" t="inlineStr">
        <is>
          <t>In the 2024 report</t>
        </is>
      </c>
      <c r="H715" s="22" t="inlineStr">
        <is>
          <t>EU GHG inventory (CRF)</t>
        </is>
      </c>
      <c r="I715" s="35" t="inlineStr">
        <is>
          <t>esabcc-l4-deforestation</t>
        </is>
      </c>
    </row>
    <row r="716" ht="14" customHeight="1">
      <c r="A716" s="15" t="inlineStr">
        <is>
          <t>L4</t>
        </is>
      </c>
      <c r="B716" s="15" t="inlineStr">
        <is>
          <t>Annual deforested area</t>
        </is>
      </c>
      <c r="C716" s="15" t="inlineStr">
        <is>
          <t>LULUCF</t>
        </is>
      </c>
      <c r="D716" s="15" t="inlineStr">
        <is>
          <t>thousand ha/yr</t>
        </is>
      </c>
      <c r="E716" s="63" t="n">
        <v>2008</v>
      </c>
      <c r="F716" s="64" t="n">
        <v>-122.7</v>
      </c>
      <c r="G716" s="14" t="inlineStr">
        <is>
          <t>In the 2024 report</t>
        </is>
      </c>
      <c r="H716" s="15" t="inlineStr">
        <is>
          <t>EU GHG inventory (CRF)</t>
        </is>
      </c>
      <c r="I716" s="34" t="inlineStr">
        <is>
          <t>esabcc-l4-deforestation</t>
        </is>
      </c>
    </row>
    <row r="717" ht="14" customHeight="1">
      <c r="A717" s="22" t="inlineStr">
        <is>
          <t>L4</t>
        </is>
      </c>
      <c r="B717" s="22" t="inlineStr">
        <is>
          <t>Annual deforested area</t>
        </is>
      </c>
      <c r="C717" s="22" t="inlineStr">
        <is>
          <t>LULUCF</t>
        </is>
      </c>
      <c r="D717" s="22" t="inlineStr">
        <is>
          <t>thousand ha/yr</t>
        </is>
      </c>
      <c r="E717" s="65" t="n">
        <v>2009</v>
      </c>
      <c r="F717" s="66" t="n">
        <v>-127.5</v>
      </c>
      <c r="G717" s="67" t="inlineStr">
        <is>
          <t>In the 2024 report</t>
        </is>
      </c>
      <c r="H717" s="22" t="inlineStr">
        <is>
          <t>EU GHG inventory (CRF)</t>
        </is>
      </c>
      <c r="I717" s="35" t="inlineStr">
        <is>
          <t>esabcc-l4-deforestation</t>
        </is>
      </c>
    </row>
    <row r="718" ht="14" customHeight="1">
      <c r="A718" s="15" t="inlineStr">
        <is>
          <t>L4</t>
        </is>
      </c>
      <c r="B718" s="15" t="inlineStr">
        <is>
          <t>Annual deforested area</t>
        </is>
      </c>
      <c r="C718" s="15" t="inlineStr">
        <is>
          <t>LULUCF</t>
        </is>
      </c>
      <c r="D718" s="15" t="inlineStr">
        <is>
          <t>thousand ha/yr</t>
        </is>
      </c>
      <c r="E718" s="63" t="n">
        <v>2010</v>
      </c>
      <c r="F718" s="64" t="n">
        <v>-132.7</v>
      </c>
      <c r="G718" s="14" t="inlineStr">
        <is>
          <t>In the 2024 report</t>
        </is>
      </c>
      <c r="H718" s="15" t="inlineStr">
        <is>
          <t>EU GHG inventory (CRF)</t>
        </is>
      </c>
      <c r="I718" s="34" t="inlineStr">
        <is>
          <t>esabcc-l4-deforestation</t>
        </is>
      </c>
    </row>
    <row r="719" ht="14" customHeight="1">
      <c r="A719" s="22" t="inlineStr">
        <is>
          <t>L4</t>
        </is>
      </c>
      <c r="B719" s="22" t="inlineStr">
        <is>
          <t>Annual deforested area</t>
        </is>
      </c>
      <c r="C719" s="22" t="inlineStr">
        <is>
          <t>LULUCF</t>
        </is>
      </c>
      <c r="D719" s="22" t="inlineStr">
        <is>
          <t>thousand ha/yr</t>
        </is>
      </c>
      <c r="E719" s="65" t="n">
        <v>2011</v>
      </c>
      <c r="F719" s="66" t="n">
        <v>-112.7</v>
      </c>
      <c r="G719" s="67" t="inlineStr">
        <is>
          <t>In the 2024 report</t>
        </is>
      </c>
      <c r="H719" s="22" t="inlineStr">
        <is>
          <t>EU GHG inventory (CRF)</t>
        </is>
      </c>
      <c r="I719" s="35" t="inlineStr">
        <is>
          <t>esabcc-l4-deforestation</t>
        </is>
      </c>
    </row>
    <row r="720" ht="14" customHeight="1">
      <c r="A720" s="15" t="inlineStr">
        <is>
          <t>L4</t>
        </is>
      </c>
      <c r="B720" s="15" t="inlineStr">
        <is>
          <t>Annual deforested area</t>
        </is>
      </c>
      <c r="C720" s="15" t="inlineStr">
        <is>
          <t>LULUCF</t>
        </is>
      </c>
      <c r="D720" s="15" t="inlineStr">
        <is>
          <t>thousand ha/yr</t>
        </is>
      </c>
      <c r="E720" s="63" t="n">
        <v>2012</v>
      </c>
      <c r="F720" s="64" t="n">
        <v>-110.3</v>
      </c>
      <c r="G720" s="14" t="inlineStr">
        <is>
          <t>In the 2024 report</t>
        </is>
      </c>
      <c r="H720" s="15" t="inlineStr">
        <is>
          <t>EU GHG inventory (CRF)</t>
        </is>
      </c>
      <c r="I720" s="34" t="inlineStr">
        <is>
          <t>esabcc-l4-deforestation</t>
        </is>
      </c>
    </row>
    <row r="721" ht="14" customHeight="1">
      <c r="A721" s="22" t="inlineStr">
        <is>
          <t>L4</t>
        </is>
      </c>
      <c r="B721" s="22" t="inlineStr">
        <is>
          <t>Annual deforested area</t>
        </is>
      </c>
      <c r="C721" s="22" t="inlineStr">
        <is>
          <t>LULUCF</t>
        </is>
      </c>
      <c r="D721" s="22" t="inlineStr">
        <is>
          <t>thousand ha/yr</t>
        </is>
      </c>
      <c r="E721" s="65" t="n">
        <v>2013</v>
      </c>
      <c r="F721" s="66" t="n">
        <v>-141.7</v>
      </c>
      <c r="G721" s="67" t="inlineStr">
        <is>
          <t>In the 2024 report</t>
        </is>
      </c>
      <c r="H721" s="22" t="inlineStr">
        <is>
          <t>EU GHG inventory (CRF)</t>
        </is>
      </c>
      <c r="I721" s="35" t="inlineStr">
        <is>
          <t>esabcc-l4-deforestation</t>
        </is>
      </c>
    </row>
    <row r="722" ht="14" customHeight="1">
      <c r="A722" s="15" t="inlineStr">
        <is>
          <t>L4</t>
        </is>
      </c>
      <c r="B722" s="15" t="inlineStr">
        <is>
          <t>Annual deforested area</t>
        </is>
      </c>
      <c r="C722" s="15" t="inlineStr">
        <is>
          <t>LULUCF</t>
        </is>
      </c>
      <c r="D722" s="15" t="inlineStr">
        <is>
          <t>thousand ha/yr</t>
        </is>
      </c>
      <c r="E722" s="63" t="n">
        <v>2014</v>
      </c>
      <c r="F722" s="64" t="n">
        <v>-125.1</v>
      </c>
      <c r="G722" s="14" t="inlineStr">
        <is>
          <t>In the 2024 report</t>
        </is>
      </c>
      <c r="H722" s="15" t="inlineStr">
        <is>
          <t>EU GHG inventory (CRF)</t>
        </is>
      </c>
      <c r="I722" s="34" t="inlineStr">
        <is>
          <t>esabcc-l4-deforestation</t>
        </is>
      </c>
    </row>
    <row r="723" ht="14" customHeight="1">
      <c r="A723" s="22" t="inlineStr">
        <is>
          <t>L4</t>
        </is>
      </c>
      <c r="B723" s="22" t="inlineStr">
        <is>
          <t>Annual deforested area</t>
        </is>
      </c>
      <c r="C723" s="22" t="inlineStr">
        <is>
          <t>LULUCF</t>
        </is>
      </c>
      <c r="D723" s="22" t="inlineStr">
        <is>
          <t>thousand ha/yr</t>
        </is>
      </c>
      <c r="E723" s="65" t="n">
        <v>2015</v>
      </c>
      <c r="F723" s="66" t="n">
        <v>-121.8</v>
      </c>
      <c r="G723" s="67" t="inlineStr">
        <is>
          <t>In the 2024 report</t>
        </is>
      </c>
      <c r="H723" s="22" t="inlineStr">
        <is>
          <t>EU GHG inventory (CRF)</t>
        </is>
      </c>
      <c r="I723" s="35" t="inlineStr">
        <is>
          <t>esabcc-l4-deforestation</t>
        </is>
      </c>
    </row>
    <row r="724" ht="14" customHeight="1">
      <c r="A724" s="15" t="inlineStr">
        <is>
          <t>L4</t>
        </is>
      </c>
      <c r="B724" s="15" t="inlineStr">
        <is>
          <t>Annual deforested area</t>
        </is>
      </c>
      <c r="C724" s="15" t="inlineStr">
        <is>
          <t>LULUCF</t>
        </is>
      </c>
      <c r="D724" s="15" t="inlineStr">
        <is>
          <t>thousand ha/yr</t>
        </is>
      </c>
      <c r="E724" s="63" t="n">
        <v>2016</v>
      </c>
      <c r="F724" s="64" t="n">
        <v>-143.4</v>
      </c>
      <c r="G724" s="14" t="inlineStr">
        <is>
          <t>In the 2024 report</t>
        </is>
      </c>
      <c r="H724" s="15" t="inlineStr">
        <is>
          <t>EU GHG inventory (CRF)</t>
        </is>
      </c>
      <c r="I724" s="34" t="inlineStr">
        <is>
          <t>esabcc-l4-deforestation</t>
        </is>
      </c>
    </row>
    <row r="725" ht="14" customHeight="1">
      <c r="A725" s="22" t="inlineStr">
        <is>
          <t>L4</t>
        </is>
      </c>
      <c r="B725" s="22" t="inlineStr">
        <is>
          <t>Annual deforested area</t>
        </is>
      </c>
      <c r="C725" s="22" t="inlineStr">
        <is>
          <t>LULUCF</t>
        </is>
      </c>
      <c r="D725" s="22" t="inlineStr">
        <is>
          <t>thousand ha/yr</t>
        </is>
      </c>
      <c r="E725" s="65" t="n">
        <v>2017</v>
      </c>
      <c r="F725" s="66" t="n">
        <v>-119.1</v>
      </c>
      <c r="G725" s="67" t="inlineStr">
        <is>
          <t>In the 2024 report</t>
        </is>
      </c>
      <c r="H725" s="22" t="inlineStr">
        <is>
          <t>EU GHG inventory (CRF)</t>
        </is>
      </c>
      <c r="I725" s="35" t="inlineStr">
        <is>
          <t>esabcc-l4-deforestation</t>
        </is>
      </c>
    </row>
    <row r="726" ht="14" customHeight="1">
      <c r="A726" s="15" t="inlineStr">
        <is>
          <t>L4</t>
        </is>
      </c>
      <c r="B726" s="15" t="inlineStr">
        <is>
          <t>Annual deforested area</t>
        </is>
      </c>
      <c r="C726" s="15" t="inlineStr">
        <is>
          <t>LULUCF</t>
        </is>
      </c>
      <c r="D726" s="15" t="inlineStr">
        <is>
          <t>thousand ha/yr</t>
        </is>
      </c>
      <c r="E726" s="63" t="n">
        <v>2018</v>
      </c>
      <c r="F726" s="64" t="n">
        <v>-115.2</v>
      </c>
      <c r="G726" s="14" t="inlineStr">
        <is>
          <t>In the 2024 report</t>
        </is>
      </c>
      <c r="H726" s="15" t="inlineStr">
        <is>
          <t>EU GHG inventory (CRF)</t>
        </is>
      </c>
      <c r="I726" s="34" t="inlineStr">
        <is>
          <t>esabcc-l4-deforestation</t>
        </is>
      </c>
    </row>
    <row r="727" ht="14" customHeight="1">
      <c r="A727" s="22" t="inlineStr">
        <is>
          <t>L4</t>
        </is>
      </c>
      <c r="B727" s="22" t="inlineStr">
        <is>
          <t>Annual deforested area</t>
        </is>
      </c>
      <c r="C727" s="22" t="inlineStr">
        <is>
          <t>LULUCF</t>
        </is>
      </c>
      <c r="D727" s="22" t="inlineStr">
        <is>
          <t>thousand ha/yr</t>
        </is>
      </c>
      <c r="E727" s="65" t="n">
        <v>2019</v>
      </c>
      <c r="F727" s="66" t="n">
        <v>-114</v>
      </c>
      <c r="G727" s="67" t="inlineStr">
        <is>
          <t>In the 2024 report</t>
        </is>
      </c>
      <c r="H727" s="22" t="inlineStr">
        <is>
          <t>EU GHG inventory (CRF)</t>
        </is>
      </c>
      <c r="I727" s="35" t="inlineStr">
        <is>
          <t>esabcc-l4-deforestation</t>
        </is>
      </c>
    </row>
    <row r="728" ht="14" customHeight="1">
      <c r="A728" s="15" t="inlineStr">
        <is>
          <t>L4</t>
        </is>
      </c>
      <c r="B728" s="15" t="inlineStr">
        <is>
          <t>Annual deforested area</t>
        </is>
      </c>
      <c r="C728" s="15" t="inlineStr">
        <is>
          <t>LULUCF</t>
        </is>
      </c>
      <c r="D728" s="15" t="inlineStr">
        <is>
          <t>thousand ha/yr</t>
        </is>
      </c>
      <c r="E728" s="63" t="n">
        <v>2020</v>
      </c>
      <c r="F728" s="64" t="n">
        <v>-112.9</v>
      </c>
      <c r="G728" s="14" t="inlineStr">
        <is>
          <t>In the 2024 report</t>
        </is>
      </c>
      <c r="H728" s="15" t="inlineStr">
        <is>
          <t>EU GHG inventory (CRF)</t>
        </is>
      </c>
      <c r="I728" s="34" t="inlineStr">
        <is>
          <t>esabcc-l4-deforestation</t>
        </is>
      </c>
    </row>
    <row r="729" ht="14" customHeight="1">
      <c r="A729" s="22" t="inlineStr">
        <is>
          <t>L4</t>
        </is>
      </c>
      <c r="B729" s="22" t="inlineStr">
        <is>
          <t>Annual deforested area</t>
        </is>
      </c>
      <c r="C729" s="22" t="inlineStr">
        <is>
          <t>LULUCF</t>
        </is>
      </c>
      <c r="D729" s="22" t="inlineStr">
        <is>
          <t>thousand ha/yr</t>
        </is>
      </c>
      <c r="E729" s="65" t="n">
        <v>2021</v>
      </c>
      <c r="F729" s="66" t="n">
        <v>-114.5</v>
      </c>
      <c r="G729" s="67" t="inlineStr">
        <is>
          <t>In the 2024 report</t>
        </is>
      </c>
      <c r="H729" s="22" t="inlineStr">
        <is>
          <t>EU GHG inventory (CRF)</t>
        </is>
      </c>
      <c r="I729" s="35" t="inlineStr">
        <is>
          <t>esabcc-l4-deforestation</t>
        </is>
      </c>
    </row>
    <row r="730" ht="14" customHeight="1">
      <c r="A730" s="15" t="inlineStr">
        <is>
          <t>L5</t>
        </is>
      </c>
      <c r="B730" s="15" t="inlineStr">
        <is>
          <t>Annual settlement area increase (net land take proxy)</t>
        </is>
      </c>
      <c r="C730" s="15" t="inlineStr">
        <is>
          <t>LULUCF</t>
        </is>
      </c>
      <c r="D730" s="15" t="inlineStr">
        <is>
          <t>thousand ha/yr</t>
        </is>
      </c>
      <c r="E730" s="63" t="n">
        <v>2006</v>
      </c>
      <c r="F730" s="64" t="n">
        <v>401.2</v>
      </c>
      <c r="G730" s="14" t="inlineStr">
        <is>
          <t>In the 2024 report</t>
        </is>
      </c>
      <c r="H730" s="15" t="inlineStr">
        <is>
          <t>EU GHG inventory (CRF)</t>
        </is>
      </c>
      <c r="I730" s="34" t="inlineStr">
        <is>
          <t>esabcc-l5-settlement-area</t>
        </is>
      </c>
    </row>
    <row r="731" ht="14" customHeight="1">
      <c r="A731" s="22" t="inlineStr">
        <is>
          <t>L5</t>
        </is>
      </c>
      <c r="B731" s="22" t="inlineStr">
        <is>
          <t>Annual settlement area increase (net land take proxy)</t>
        </is>
      </c>
      <c r="C731" s="22" t="inlineStr">
        <is>
          <t>LULUCF</t>
        </is>
      </c>
      <c r="D731" s="22" t="inlineStr">
        <is>
          <t>thousand ha/yr</t>
        </is>
      </c>
      <c r="E731" s="65" t="n">
        <v>2007</v>
      </c>
      <c r="F731" s="66" t="n">
        <v>231.9</v>
      </c>
      <c r="G731" s="67" t="inlineStr">
        <is>
          <t>In the 2024 report</t>
        </is>
      </c>
      <c r="H731" s="22" t="inlineStr">
        <is>
          <t>EU GHG inventory (CRF)</t>
        </is>
      </c>
      <c r="I731" s="35" t="inlineStr">
        <is>
          <t>esabcc-l5-settlement-area</t>
        </is>
      </c>
    </row>
    <row r="732" ht="14" customHeight="1">
      <c r="A732" s="15" t="inlineStr">
        <is>
          <t>L5</t>
        </is>
      </c>
      <c r="B732" s="15" t="inlineStr">
        <is>
          <t>Annual settlement area increase (net land take proxy)</t>
        </is>
      </c>
      <c r="C732" s="15" t="inlineStr">
        <is>
          <t>LULUCF</t>
        </is>
      </c>
      <c r="D732" s="15" t="inlineStr">
        <is>
          <t>thousand ha/yr</t>
        </is>
      </c>
      <c r="E732" s="63" t="n">
        <v>2008</v>
      </c>
      <c r="F732" s="64" t="n">
        <v>225.9</v>
      </c>
      <c r="G732" s="14" t="inlineStr">
        <is>
          <t>In the 2024 report</t>
        </is>
      </c>
      <c r="H732" s="15" t="inlineStr">
        <is>
          <t>EU GHG inventory (CRF)</t>
        </is>
      </c>
      <c r="I732" s="34" t="inlineStr">
        <is>
          <t>esabcc-l5-settlement-area</t>
        </is>
      </c>
    </row>
    <row r="733" ht="14" customHeight="1">
      <c r="A733" s="22" t="inlineStr">
        <is>
          <t>L5</t>
        </is>
      </c>
      <c r="B733" s="22" t="inlineStr">
        <is>
          <t>Annual settlement area increase (net land take proxy)</t>
        </is>
      </c>
      <c r="C733" s="22" t="inlineStr">
        <is>
          <t>LULUCF</t>
        </is>
      </c>
      <c r="D733" s="22" t="inlineStr">
        <is>
          <t>thousand ha/yr</t>
        </is>
      </c>
      <c r="E733" s="65" t="n">
        <v>2009</v>
      </c>
      <c r="F733" s="66" t="n">
        <v>236.6</v>
      </c>
      <c r="G733" s="67" t="inlineStr">
        <is>
          <t>In the 2024 report</t>
        </is>
      </c>
      <c r="H733" s="22" t="inlineStr">
        <is>
          <t>EU GHG inventory (CRF)</t>
        </is>
      </c>
      <c r="I733" s="35" t="inlineStr">
        <is>
          <t>esabcc-l5-settlement-area</t>
        </is>
      </c>
    </row>
    <row r="734" ht="14" customHeight="1">
      <c r="A734" s="15" t="inlineStr">
        <is>
          <t>L5</t>
        </is>
      </c>
      <c r="B734" s="15" t="inlineStr">
        <is>
          <t>Annual settlement area increase (net land take proxy)</t>
        </is>
      </c>
      <c r="C734" s="15" t="inlineStr">
        <is>
          <t>LULUCF</t>
        </is>
      </c>
      <c r="D734" s="15" t="inlineStr">
        <is>
          <t>thousand ha/yr</t>
        </is>
      </c>
      <c r="E734" s="63" t="n">
        <v>2010</v>
      </c>
      <c r="F734" s="64" t="n">
        <v>232</v>
      </c>
      <c r="G734" s="14" t="inlineStr">
        <is>
          <t>In the 2024 report</t>
        </is>
      </c>
      <c r="H734" s="15" t="inlineStr">
        <is>
          <t>EU GHG inventory (CRF)</t>
        </is>
      </c>
      <c r="I734" s="34" t="inlineStr">
        <is>
          <t>esabcc-l5-settlement-area</t>
        </is>
      </c>
    </row>
    <row r="735" ht="14" customHeight="1">
      <c r="A735" s="22" t="inlineStr">
        <is>
          <t>L5</t>
        </is>
      </c>
      <c r="B735" s="22" t="inlineStr">
        <is>
          <t>Annual settlement area increase (net land take proxy)</t>
        </is>
      </c>
      <c r="C735" s="22" t="inlineStr">
        <is>
          <t>LULUCF</t>
        </is>
      </c>
      <c r="D735" s="22" t="inlineStr">
        <is>
          <t>thousand ha/yr</t>
        </is>
      </c>
      <c r="E735" s="65" t="n">
        <v>2011</v>
      </c>
      <c r="F735" s="66" t="n">
        <v>228.5</v>
      </c>
      <c r="G735" s="67" t="inlineStr">
        <is>
          <t>In the 2024 report</t>
        </is>
      </c>
      <c r="H735" s="22" t="inlineStr">
        <is>
          <t>EU GHG inventory (CRF)</t>
        </is>
      </c>
      <c r="I735" s="35" t="inlineStr">
        <is>
          <t>esabcc-l5-settlement-area</t>
        </is>
      </c>
    </row>
    <row r="736" ht="14" customHeight="1">
      <c r="A736" s="15" t="inlineStr">
        <is>
          <t>L5</t>
        </is>
      </c>
      <c r="B736" s="15" t="inlineStr">
        <is>
          <t>Annual settlement area increase (net land take proxy)</t>
        </is>
      </c>
      <c r="C736" s="15" t="inlineStr">
        <is>
          <t>LULUCF</t>
        </is>
      </c>
      <c r="D736" s="15" t="inlineStr">
        <is>
          <t>thousand ha/yr</t>
        </is>
      </c>
      <c r="E736" s="63" t="n">
        <v>2012</v>
      </c>
      <c r="F736" s="64" t="n">
        <v>231.9</v>
      </c>
      <c r="G736" s="14" t="inlineStr">
        <is>
          <t>In the 2024 report</t>
        </is>
      </c>
      <c r="H736" s="15" t="inlineStr">
        <is>
          <t>EU GHG inventory (CRF)</t>
        </is>
      </c>
      <c r="I736" s="34" t="inlineStr">
        <is>
          <t>esabcc-l5-settlement-area</t>
        </is>
      </c>
    </row>
    <row r="737" ht="14" customHeight="1">
      <c r="A737" s="22" t="inlineStr">
        <is>
          <t>L5</t>
        </is>
      </c>
      <c r="B737" s="22" t="inlineStr">
        <is>
          <t>Annual settlement area increase (net land take proxy)</t>
        </is>
      </c>
      <c r="C737" s="22" t="inlineStr">
        <is>
          <t>LULUCF</t>
        </is>
      </c>
      <c r="D737" s="22" t="inlineStr">
        <is>
          <t>thousand ha/yr</t>
        </is>
      </c>
      <c r="E737" s="65" t="n">
        <v>2013</v>
      </c>
      <c r="F737" s="66" t="n">
        <v>155.9</v>
      </c>
      <c r="G737" s="67" t="inlineStr">
        <is>
          <t>In the 2024 report</t>
        </is>
      </c>
      <c r="H737" s="22" t="inlineStr">
        <is>
          <t>EU GHG inventory (CRF)</t>
        </is>
      </c>
      <c r="I737" s="35" t="inlineStr">
        <is>
          <t>esabcc-l5-settlement-area</t>
        </is>
      </c>
    </row>
    <row r="738" ht="14" customHeight="1">
      <c r="A738" s="15" t="inlineStr">
        <is>
          <t>L5</t>
        </is>
      </c>
      <c r="B738" s="15" t="inlineStr">
        <is>
          <t>Annual settlement area increase (net land take proxy)</t>
        </is>
      </c>
      <c r="C738" s="15" t="inlineStr">
        <is>
          <t>LULUCF</t>
        </is>
      </c>
      <c r="D738" s="15" t="inlineStr">
        <is>
          <t>thousand ha/yr</t>
        </is>
      </c>
      <c r="E738" s="63" t="n">
        <v>2014</v>
      </c>
      <c r="F738" s="64" t="n">
        <v>265.3</v>
      </c>
      <c r="G738" s="14" t="inlineStr">
        <is>
          <t>In the 2024 report</t>
        </is>
      </c>
      <c r="H738" s="15" t="inlineStr">
        <is>
          <t>EU GHG inventory (CRF)</t>
        </is>
      </c>
      <c r="I738" s="34" t="inlineStr">
        <is>
          <t>esabcc-l5-settlement-area</t>
        </is>
      </c>
    </row>
    <row r="739" ht="14" customHeight="1">
      <c r="A739" s="22" t="inlineStr">
        <is>
          <t>L5</t>
        </is>
      </c>
      <c r="B739" s="22" t="inlineStr">
        <is>
          <t>Annual settlement area increase (net land take proxy)</t>
        </is>
      </c>
      <c r="C739" s="22" t="inlineStr">
        <is>
          <t>LULUCF</t>
        </is>
      </c>
      <c r="D739" s="22" t="inlineStr">
        <is>
          <t>thousand ha/yr</t>
        </is>
      </c>
      <c r="E739" s="65" t="n">
        <v>2015</v>
      </c>
      <c r="F739" s="66" t="n">
        <v>125.6</v>
      </c>
      <c r="G739" s="67" t="inlineStr">
        <is>
          <t>In the 2024 report</t>
        </is>
      </c>
      <c r="H739" s="22" t="inlineStr">
        <is>
          <t>EU GHG inventory (CRF)</t>
        </is>
      </c>
      <c r="I739" s="35" t="inlineStr">
        <is>
          <t>esabcc-l5-settlement-area</t>
        </is>
      </c>
    </row>
    <row r="740" ht="14" customHeight="1">
      <c r="A740" s="15" t="inlineStr">
        <is>
          <t>L5</t>
        </is>
      </c>
      <c r="B740" s="15" t="inlineStr">
        <is>
          <t>Annual settlement area increase (net land take proxy)</t>
        </is>
      </c>
      <c r="C740" s="15" t="inlineStr">
        <is>
          <t>LULUCF</t>
        </is>
      </c>
      <c r="D740" s="15" t="inlineStr">
        <is>
          <t>thousand ha/yr</t>
        </is>
      </c>
      <c r="E740" s="63" t="n">
        <v>2016</v>
      </c>
      <c r="F740" s="64" t="n">
        <v>179.2</v>
      </c>
      <c r="G740" s="14" t="inlineStr">
        <is>
          <t>In the 2024 report</t>
        </is>
      </c>
      <c r="H740" s="15" t="inlineStr">
        <is>
          <t>EU GHG inventory (CRF)</t>
        </is>
      </c>
      <c r="I740" s="34" t="inlineStr">
        <is>
          <t>esabcc-l5-settlement-area</t>
        </is>
      </c>
    </row>
    <row r="741" ht="14" customHeight="1">
      <c r="A741" s="22" t="inlineStr">
        <is>
          <t>L5</t>
        </is>
      </c>
      <c r="B741" s="22" t="inlineStr">
        <is>
          <t>Annual settlement area increase (net land take proxy)</t>
        </is>
      </c>
      <c r="C741" s="22" t="inlineStr">
        <is>
          <t>LULUCF</t>
        </is>
      </c>
      <c r="D741" s="22" t="inlineStr">
        <is>
          <t>thousand ha/yr</t>
        </is>
      </c>
      <c r="E741" s="65" t="n">
        <v>2017</v>
      </c>
      <c r="F741" s="66" t="n">
        <v>141.5</v>
      </c>
      <c r="G741" s="67" t="inlineStr">
        <is>
          <t>In the 2024 report</t>
        </is>
      </c>
      <c r="H741" s="22" t="inlineStr">
        <is>
          <t>EU GHG inventory (CRF)</t>
        </is>
      </c>
      <c r="I741" s="35" t="inlineStr">
        <is>
          <t>esabcc-l5-settlement-area</t>
        </is>
      </c>
    </row>
    <row r="742" ht="14" customHeight="1">
      <c r="A742" s="15" t="inlineStr">
        <is>
          <t>L5</t>
        </is>
      </c>
      <c r="B742" s="15" t="inlineStr">
        <is>
          <t>Annual settlement area increase (net land take proxy)</t>
        </is>
      </c>
      <c r="C742" s="15" t="inlineStr">
        <is>
          <t>LULUCF</t>
        </is>
      </c>
      <c r="D742" s="15" t="inlineStr">
        <is>
          <t>thousand ha/yr</t>
        </is>
      </c>
      <c r="E742" s="63" t="n">
        <v>2018</v>
      </c>
      <c r="F742" s="64" t="n">
        <v>164.3</v>
      </c>
      <c r="G742" s="14" t="inlineStr">
        <is>
          <t>In the 2024 report</t>
        </is>
      </c>
      <c r="H742" s="15" t="inlineStr">
        <is>
          <t>EU GHG inventory (CRF)</t>
        </is>
      </c>
      <c r="I742" s="34" t="inlineStr">
        <is>
          <t>esabcc-l5-settlement-area</t>
        </is>
      </c>
    </row>
    <row r="743" ht="14" customHeight="1">
      <c r="A743" s="22" t="inlineStr">
        <is>
          <t>L5</t>
        </is>
      </c>
      <c r="B743" s="22" t="inlineStr">
        <is>
          <t>Annual settlement area increase (net land take proxy)</t>
        </is>
      </c>
      <c r="C743" s="22" t="inlineStr">
        <is>
          <t>LULUCF</t>
        </is>
      </c>
      <c r="D743" s="22" t="inlineStr">
        <is>
          <t>thousand ha/yr</t>
        </is>
      </c>
      <c r="E743" s="65" t="n">
        <v>2019</v>
      </c>
      <c r="F743" s="66" t="n">
        <v>149.3</v>
      </c>
      <c r="G743" s="67" t="inlineStr">
        <is>
          <t>In the 2024 report</t>
        </is>
      </c>
      <c r="H743" s="22" t="inlineStr">
        <is>
          <t>EU GHG inventory (CRF)</t>
        </is>
      </c>
      <c r="I743" s="35" t="inlineStr">
        <is>
          <t>esabcc-l5-settlement-area</t>
        </is>
      </c>
    </row>
    <row r="744" ht="14" customHeight="1">
      <c r="A744" s="15" t="inlineStr">
        <is>
          <t>L5</t>
        </is>
      </c>
      <c r="B744" s="15" t="inlineStr">
        <is>
          <t>Annual settlement area increase (net land take proxy)</t>
        </is>
      </c>
      <c r="C744" s="15" t="inlineStr">
        <is>
          <t>LULUCF</t>
        </is>
      </c>
      <c r="D744" s="15" t="inlineStr">
        <is>
          <t>thousand ha/yr</t>
        </is>
      </c>
      <c r="E744" s="63" t="n">
        <v>2020</v>
      </c>
      <c r="F744" s="64" t="n">
        <v>157.5</v>
      </c>
      <c r="G744" s="14" t="inlineStr">
        <is>
          <t>In the 2024 report</t>
        </is>
      </c>
      <c r="H744" s="15" t="inlineStr">
        <is>
          <t>EU GHG inventory (CRF)</t>
        </is>
      </c>
      <c r="I744" s="34" t="inlineStr">
        <is>
          <t>esabcc-l5-settlement-area</t>
        </is>
      </c>
    </row>
    <row r="745" ht="14" customHeight="1">
      <c r="A745" s="22" t="inlineStr">
        <is>
          <t>L5</t>
        </is>
      </c>
      <c r="B745" s="22" t="inlineStr">
        <is>
          <t>Annual settlement area increase (net land take proxy)</t>
        </is>
      </c>
      <c r="C745" s="22" t="inlineStr">
        <is>
          <t>LULUCF</t>
        </is>
      </c>
      <c r="D745" s="22" t="inlineStr">
        <is>
          <t>thousand ha/yr</t>
        </is>
      </c>
      <c r="E745" s="65" t="n">
        <v>2021</v>
      </c>
      <c r="F745" s="66" t="n">
        <v>142.2</v>
      </c>
      <c r="G745" s="67" t="inlineStr">
        <is>
          <t>In the 2024 report</t>
        </is>
      </c>
      <c r="H745" s="22" t="inlineStr">
        <is>
          <t>EU GHG inventory (CRF)</t>
        </is>
      </c>
      <c r="I745" s="35" t="inlineStr">
        <is>
          <t>esabcc-l5-settlement-area</t>
        </is>
      </c>
    </row>
    <row r="746" ht="14" customHeight="1">
      <c r="A746" s="15" t="inlineStr">
        <is>
          <t>L6</t>
        </is>
      </c>
      <c r="B746" s="15" t="inlineStr">
        <is>
          <t>Forest land living-biomass carbon sink</t>
        </is>
      </c>
      <c r="C746" s="15" t="inlineStr">
        <is>
          <t>LULUCF</t>
        </is>
      </c>
      <c r="D746" s="15" t="inlineStr">
        <is>
          <t>Mt CO₂eq</t>
        </is>
      </c>
      <c r="E746" s="63" t="n">
        <v>2005</v>
      </c>
      <c r="F746" s="64" t="n">
        <v>361.8</v>
      </c>
      <c r="G746" s="14" t="inlineStr">
        <is>
          <t>In the 2024 report</t>
        </is>
      </c>
      <c r="H746" s="15" t="inlineStr">
        <is>
          <t>EU GHG inventory (CRF); 2022+ calculated from Eurostat (env_air_gge CRF4.A, splice)</t>
        </is>
      </c>
      <c r="I746" s="34" t="inlineStr">
        <is>
          <t>esabcc-l6-forest-sink</t>
        </is>
      </c>
    </row>
    <row r="747" ht="14" customHeight="1">
      <c r="A747" s="22" t="inlineStr">
        <is>
          <t>L6</t>
        </is>
      </c>
      <c r="B747" s="22" t="inlineStr">
        <is>
          <t>Forest land living-biomass carbon sink</t>
        </is>
      </c>
      <c r="C747" s="22" t="inlineStr">
        <is>
          <t>LULUCF</t>
        </is>
      </c>
      <c r="D747" s="22" t="inlineStr">
        <is>
          <t>Mt CO₂eq</t>
        </is>
      </c>
      <c r="E747" s="65" t="n">
        <v>2006</v>
      </c>
      <c r="F747" s="66" t="n">
        <v>356.5</v>
      </c>
      <c r="G747" s="67" t="inlineStr">
        <is>
          <t>In the 2024 report</t>
        </is>
      </c>
      <c r="H747" s="22" t="inlineStr">
        <is>
          <t>EU GHG inventory (CRF); 2022+ calculated from Eurostat (env_air_gge CRF4.A, splice)</t>
        </is>
      </c>
      <c r="I747" s="35" t="inlineStr">
        <is>
          <t>esabcc-l6-forest-sink</t>
        </is>
      </c>
    </row>
    <row r="748" ht="14" customHeight="1">
      <c r="A748" s="15" t="inlineStr">
        <is>
          <t>L6</t>
        </is>
      </c>
      <c r="B748" s="15" t="inlineStr">
        <is>
          <t>Forest land living-biomass carbon sink</t>
        </is>
      </c>
      <c r="C748" s="15" t="inlineStr">
        <is>
          <t>LULUCF</t>
        </is>
      </c>
      <c r="D748" s="15" t="inlineStr">
        <is>
          <t>Mt CO₂eq</t>
        </is>
      </c>
      <c r="E748" s="63" t="n">
        <v>2007</v>
      </c>
      <c r="F748" s="64" t="n">
        <v>319.8</v>
      </c>
      <c r="G748" s="14" t="inlineStr">
        <is>
          <t>In the 2024 report</t>
        </is>
      </c>
      <c r="H748" s="15" t="inlineStr">
        <is>
          <t>EU GHG inventory (CRF); 2022+ calculated from Eurostat (env_air_gge CRF4.A, splice)</t>
        </is>
      </c>
      <c r="I748" s="34" t="inlineStr">
        <is>
          <t>esabcc-l6-forest-sink</t>
        </is>
      </c>
    </row>
    <row r="749" ht="14" customHeight="1">
      <c r="A749" s="22" t="inlineStr">
        <is>
          <t>L6</t>
        </is>
      </c>
      <c r="B749" s="22" t="inlineStr">
        <is>
          <t>Forest land living-biomass carbon sink</t>
        </is>
      </c>
      <c r="C749" s="22" t="inlineStr">
        <is>
          <t>LULUCF</t>
        </is>
      </c>
      <c r="D749" s="22" t="inlineStr">
        <is>
          <t>Mt CO₂eq</t>
        </is>
      </c>
      <c r="E749" s="65" t="n">
        <v>2008</v>
      </c>
      <c r="F749" s="66" t="n">
        <v>392.1</v>
      </c>
      <c r="G749" s="67" t="inlineStr">
        <is>
          <t>In the 2024 report</t>
        </is>
      </c>
      <c r="H749" s="22" t="inlineStr">
        <is>
          <t>EU GHG inventory (CRF); 2022+ calculated from Eurostat (env_air_gge CRF4.A, splice)</t>
        </is>
      </c>
      <c r="I749" s="35" t="inlineStr">
        <is>
          <t>esabcc-l6-forest-sink</t>
        </is>
      </c>
    </row>
    <row r="750" ht="14" customHeight="1">
      <c r="A750" s="15" t="inlineStr">
        <is>
          <t>L6</t>
        </is>
      </c>
      <c r="B750" s="15" t="inlineStr">
        <is>
          <t>Forest land living-biomass carbon sink</t>
        </is>
      </c>
      <c r="C750" s="15" t="inlineStr">
        <is>
          <t>LULUCF</t>
        </is>
      </c>
      <c r="D750" s="15" t="inlineStr">
        <is>
          <t>Mt CO₂eq</t>
        </is>
      </c>
      <c r="E750" s="63" t="n">
        <v>2009</v>
      </c>
      <c r="F750" s="64" t="n">
        <v>397.4</v>
      </c>
      <c r="G750" s="14" t="inlineStr">
        <is>
          <t>In the 2024 report</t>
        </is>
      </c>
      <c r="H750" s="15" t="inlineStr">
        <is>
          <t>EU GHG inventory (CRF); 2022+ calculated from Eurostat (env_air_gge CRF4.A, splice)</t>
        </is>
      </c>
      <c r="I750" s="34" t="inlineStr">
        <is>
          <t>esabcc-l6-forest-sink</t>
        </is>
      </c>
    </row>
    <row r="751" ht="14" customHeight="1">
      <c r="A751" s="22" t="inlineStr">
        <is>
          <t>L6</t>
        </is>
      </c>
      <c r="B751" s="22" t="inlineStr">
        <is>
          <t>Forest land living-biomass carbon sink</t>
        </is>
      </c>
      <c r="C751" s="22" t="inlineStr">
        <is>
          <t>LULUCF</t>
        </is>
      </c>
      <c r="D751" s="22" t="inlineStr">
        <is>
          <t>Mt CO₂eq</t>
        </is>
      </c>
      <c r="E751" s="65" t="n">
        <v>2010</v>
      </c>
      <c r="F751" s="66" t="n">
        <v>389.1</v>
      </c>
      <c r="G751" s="67" t="inlineStr">
        <is>
          <t>In the 2024 report</t>
        </is>
      </c>
      <c r="H751" s="22" t="inlineStr">
        <is>
          <t>EU GHG inventory (CRF); 2022+ calculated from Eurostat (env_air_gge CRF4.A, splice)</t>
        </is>
      </c>
      <c r="I751" s="35" t="inlineStr">
        <is>
          <t>esabcc-l6-forest-sink</t>
        </is>
      </c>
    </row>
    <row r="752" ht="14" customHeight="1">
      <c r="A752" s="15" t="inlineStr">
        <is>
          <t>L6</t>
        </is>
      </c>
      <c r="B752" s="15" t="inlineStr">
        <is>
          <t>Forest land living-biomass carbon sink</t>
        </is>
      </c>
      <c r="C752" s="15" t="inlineStr">
        <is>
          <t>LULUCF</t>
        </is>
      </c>
      <c r="D752" s="15" t="inlineStr">
        <is>
          <t>Mt CO₂eq</t>
        </is>
      </c>
      <c r="E752" s="63" t="n">
        <v>2011</v>
      </c>
      <c r="F752" s="64" t="n">
        <v>380.5</v>
      </c>
      <c r="G752" s="14" t="inlineStr">
        <is>
          <t>In the 2024 report</t>
        </is>
      </c>
      <c r="H752" s="15" t="inlineStr">
        <is>
          <t>EU GHG inventory (CRF); 2022+ calculated from Eurostat (env_air_gge CRF4.A, splice)</t>
        </is>
      </c>
      <c r="I752" s="34" t="inlineStr">
        <is>
          <t>esabcc-l6-forest-sink</t>
        </is>
      </c>
    </row>
    <row r="753" ht="14" customHeight="1">
      <c r="A753" s="22" t="inlineStr">
        <is>
          <t>L6</t>
        </is>
      </c>
      <c r="B753" s="22" t="inlineStr">
        <is>
          <t>Forest land living-biomass carbon sink</t>
        </is>
      </c>
      <c r="C753" s="22" t="inlineStr">
        <is>
          <t>LULUCF</t>
        </is>
      </c>
      <c r="D753" s="22" t="inlineStr">
        <is>
          <t>Mt CO₂eq</t>
        </is>
      </c>
      <c r="E753" s="65" t="n">
        <v>2012</v>
      </c>
      <c r="F753" s="66" t="n">
        <v>382.7</v>
      </c>
      <c r="G753" s="67" t="inlineStr">
        <is>
          <t>In the 2024 report</t>
        </is>
      </c>
      <c r="H753" s="22" t="inlineStr">
        <is>
          <t>EU GHG inventory (CRF); 2022+ calculated from Eurostat (env_air_gge CRF4.A, splice)</t>
        </is>
      </c>
      <c r="I753" s="35" t="inlineStr">
        <is>
          <t>esabcc-l6-forest-sink</t>
        </is>
      </c>
    </row>
    <row r="754" ht="14" customHeight="1">
      <c r="A754" s="15" t="inlineStr">
        <is>
          <t>L6</t>
        </is>
      </c>
      <c r="B754" s="15" t="inlineStr">
        <is>
          <t>Forest land living-biomass carbon sink</t>
        </is>
      </c>
      <c r="C754" s="15" t="inlineStr">
        <is>
          <t>LULUCF</t>
        </is>
      </c>
      <c r="D754" s="15" t="inlineStr">
        <is>
          <t>Mt CO₂eq</t>
        </is>
      </c>
      <c r="E754" s="63" t="n">
        <v>2013</v>
      </c>
      <c r="F754" s="64" t="n">
        <v>391.1</v>
      </c>
      <c r="G754" s="14" t="inlineStr">
        <is>
          <t>In the 2024 report</t>
        </is>
      </c>
      <c r="H754" s="15" t="inlineStr">
        <is>
          <t>EU GHG inventory (CRF); 2022+ calculated from Eurostat (env_air_gge CRF4.A, splice)</t>
        </is>
      </c>
      <c r="I754" s="34" t="inlineStr">
        <is>
          <t>esabcc-l6-forest-sink</t>
        </is>
      </c>
    </row>
    <row r="755" ht="14" customHeight="1">
      <c r="A755" s="22" t="inlineStr">
        <is>
          <t>L6</t>
        </is>
      </c>
      <c r="B755" s="22" t="inlineStr">
        <is>
          <t>Forest land living-biomass carbon sink</t>
        </is>
      </c>
      <c r="C755" s="22" t="inlineStr">
        <is>
          <t>LULUCF</t>
        </is>
      </c>
      <c r="D755" s="22" t="inlineStr">
        <is>
          <t>Mt CO₂eq</t>
        </is>
      </c>
      <c r="E755" s="65" t="n">
        <v>2014</v>
      </c>
      <c r="F755" s="66" t="n">
        <v>362</v>
      </c>
      <c r="G755" s="67" t="inlineStr">
        <is>
          <t>In the 2024 report</t>
        </is>
      </c>
      <c r="H755" s="22" t="inlineStr">
        <is>
          <t>EU GHG inventory (CRF); 2022+ calculated from Eurostat (env_air_gge CRF4.A, splice)</t>
        </is>
      </c>
      <c r="I755" s="35" t="inlineStr">
        <is>
          <t>esabcc-l6-forest-sink</t>
        </is>
      </c>
    </row>
    <row r="756" ht="14" customHeight="1">
      <c r="A756" s="15" t="inlineStr">
        <is>
          <t>L6</t>
        </is>
      </c>
      <c r="B756" s="15" t="inlineStr">
        <is>
          <t>Forest land living-biomass carbon sink</t>
        </is>
      </c>
      <c r="C756" s="15" t="inlineStr">
        <is>
          <t>LULUCF</t>
        </is>
      </c>
      <c r="D756" s="15" t="inlineStr">
        <is>
          <t>Mt CO₂eq</t>
        </is>
      </c>
      <c r="E756" s="63" t="n">
        <v>2015</v>
      </c>
      <c r="F756" s="64" t="n">
        <v>342.9</v>
      </c>
      <c r="G756" s="14" t="inlineStr">
        <is>
          <t>In the 2024 report</t>
        </is>
      </c>
      <c r="H756" s="15" t="inlineStr">
        <is>
          <t>EU GHG inventory (CRF); 2022+ calculated from Eurostat (env_air_gge CRF4.A, splice)</t>
        </is>
      </c>
      <c r="I756" s="34" t="inlineStr">
        <is>
          <t>esabcc-l6-forest-sink</t>
        </is>
      </c>
    </row>
    <row r="757" ht="14" customHeight="1">
      <c r="A757" s="22" t="inlineStr">
        <is>
          <t>L6</t>
        </is>
      </c>
      <c r="B757" s="22" t="inlineStr">
        <is>
          <t>Forest land living-biomass carbon sink</t>
        </is>
      </c>
      <c r="C757" s="22" t="inlineStr">
        <is>
          <t>LULUCF</t>
        </is>
      </c>
      <c r="D757" s="22" t="inlineStr">
        <is>
          <t>Mt CO₂eq</t>
        </is>
      </c>
      <c r="E757" s="65" t="n">
        <v>2016</v>
      </c>
      <c r="F757" s="66" t="n">
        <v>337.4</v>
      </c>
      <c r="G757" s="67" t="inlineStr">
        <is>
          <t>In the 2024 report</t>
        </is>
      </c>
      <c r="H757" s="22" t="inlineStr">
        <is>
          <t>EU GHG inventory (CRF); 2022+ calculated from Eurostat (env_air_gge CRF4.A, splice)</t>
        </is>
      </c>
      <c r="I757" s="35" t="inlineStr">
        <is>
          <t>esabcc-l6-forest-sink</t>
        </is>
      </c>
    </row>
    <row r="758" ht="14" customHeight="1">
      <c r="A758" s="15" t="inlineStr">
        <is>
          <t>L6</t>
        </is>
      </c>
      <c r="B758" s="15" t="inlineStr">
        <is>
          <t>Forest land living-biomass carbon sink</t>
        </is>
      </c>
      <c r="C758" s="15" t="inlineStr">
        <is>
          <t>LULUCF</t>
        </is>
      </c>
      <c r="D758" s="15" t="inlineStr">
        <is>
          <t>Mt CO₂eq</t>
        </is>
      </c>
      <c r="E758" s="63" t="n">
        <v>2017</v>
      </c>
      <c r="F758" s="64" t="n">
        <v>287.6</v>
      </c>
      <c r="G758" s="14" t="inlineStr">
        <is>
          <t>In the 2024 report</t>
        </is>
      </c>
      <c r="H758" s="15" t="inlineStr">
        <is>
          <t>EU GHG inventory (CRF); 2022+ calculated from Eurostat (env_air_gge CRF4.A, splice)</t>
        </is>
      </c>
      <c r="I758" s="34" t="inlineStr">
        <is>
          <t>esabcc-l6-forest-sink</t>
        </is>
      </c>
    </row>
    <row r="759" ht="14" customHeight="1">
      <c r="A759" s="22" t="inlineStr">
        <is>
          <t>L6</t>
        </is>
      </c>
      <c r="B759" s="22" t="inlineStr">
        <is>
          <t>Forest land living-biomass carbon sink</t>
        </is>
      </c>
      <c r="C759" s="22" t="inlineStr">
        <is>
          <t>LULUCF</t>
        </is>
      </c>
      <c r="D759" s="22" t="inlineStr">
        <is>
          <t>Mt CO₂eq</t>
        </is>
      </c>
      <c r="E759" s="65" t="n">
        <v>2018</v>
      </c>
      <c r="F759" s="66" t="n">
        <v>267.2</v>
      </c>
      <c r="G759" s="67" t="inlineStr">
        <is>
          <t>In the 2024 report</t>
        </is>
      </c>
      <c r="H759" s="22" t="inlineStr">
        <is>
          <t>EU GHG inventory (CRF); 2022+ calculated from Eurostat (env_air_gge CRF4.A, splice)</t>
        </is>
      </c>
      <c r="I759" s="35" t="inlineStr">
        <is>
          <t>esabcc-l6-forest-sink</t>
        </is>
      </c>
    </row>
    <row r="760" ht="14" customHeight="1">
      <c r="A760" s="15" t="inlineStr">
        <is>
          <t>L6</t>
        </is>
      </c>
      <c r="B760" s="15" t="inlineStr">
        <is>
          <t>Forest land living-biomass carbon sink</t>
        </is>
      </c>
      <c r="C760" s="15" t="inlineStr">
        <is>
          <t>LULUCF</t>
        </is>
      </c>
      <c r="D760" s="15" t="inlineStr">
        <is>
          <t>Mt CO₂eq</t>
        </is>
      </c>
      <c r="E760" s="63" t="n">
        <v>2019</v>
      </c>
      <c r="F760" s="64" t="n">
        <v>245.1</v>
      </c>
      <c r="G760" s="14" t="inlineStr">
        <is>
          <t>In the 2024 report</t>
        </is>
      </c>
      <c r="H760" s="15" t="inlineStr">
        <is>
          <t>EU GHG inventory (CRF); 2022+ calculated from Eurostat (env_air_gge CRF4.A, splice)</t>
        </is>
      </c>
      <c r="I760" s="34" t="inlineStr">
        <is>
          <t>esabcc-l6-forest-sink</t>
        </is>
      </c>
    </row>
    <row r="761" ht="14" customHeight="1">
      <c r="A761" s="22" t="inlineStr">
        <is>
          <t>L6</t>
        </is>
      </c>
      <c r="B761" s="22" t="inlineStr">
        <is>
          <t>Forest land living-biomass carbon sink</t>
        </is>
      </c>
      <c r="C761" s="22" t="inlineStr">
        <is>
          <t>LULUCF</t>
        </is>
      </c>
      <c r="D761" s="22" t="inlineStr">
        <is>
          <t>Mt CO₂eq</t>
        </is>
      </c>
      <c r="E761" s="65" t="n">
        <v>2020</v>
      </c>
      <c r="F761" s="66" t="n">
        <v>246.7</v>
      </c>
      <c r="G761" s="67" t="inlineStr">
        <is>
          <t>In the 2024 report</t>
        </is>
      </c>
      <c r="H761" s="22" t="inlineStr">
        <is>
          <t>EU GHG inventory (CRF); 2022+ calculated from Eurostat (env_air_gge CRF4.A, splice)</t>
        </is>
      </c>
      <c r="I761" s="35" t="inlineStr">
        <is>
          <t>esabcc-l6-forest-sink</t>
        </is>
      </c>
    </row>
    <row r="762" ht="14" customHeight="1">
      <c r="A762" s="15" t="inlineStr">
        <is>
          <t>L6</t>
        </is>
      </c>
      <c r="B762" s="15" t="inlineStr">
        <is>
          <t>Forest land living-biomass carbon sink</t>
        </is>
      </c>
      <c r="C762" s="15" t="inlineStr">
        <is>
          <t>LULUCF</t>
        </is>
      </c>
      <c r="D762" s="15" t="inlineStr">
        <is>
          <t>Mt CO₂eq</t>
        </is>
      </c>
      <c r="E762" s="63" t="n">
        <v>2021</v>
      </c>
      <c r="F762" s="64" t="n">
        <v>231.8</v>
      </c>
      <c r="G762" s="14" t="inlineStr">
        <is>
          <t>In the 2024 report</t>
        </is>
      </c>
      <c r="H762" s="15" t="inlineStr">
        <is>
          <t>EU GHG inventory (CRF); 2022+ calculated from Eurostat (env_air_gge CRF4.A, splice)</t>
        </is>
      </c>
      <c r="I762" s="34" t="inlineStr">
        <is>
          <t>esabcc-l6-forest-sink</t>
        </is>
      </c>
    </row>
    <row r="763" ht="14" customHeight="1">
      <c r="A763" s="22" t="inlineStr">
        <is>
          <t>L6</t>
        </is>
      </c>
      <c r="B763" s="22" t="inlineStr">
        <is>
          <t>Forest land living-biomass carbon sink</t>
        </is>
      </c>
      <c r="C763" s="22" t="inlineStr">
        <is>
          <t>LULUCF</t>
        </is>
      </c>
      <c r="D763" s="22" t="inlineStr">
        <is>
          <t>Mt CO₂eq</t>
        </is>
      </c>
      <c r="E763" s="65" t="n">
        <v>2022</v>
      </c>
      <c r="F763" s="66" t="n">
        <v>236.7</v>
      </c>
      <c r="G763" s="69" t="inlineStr">
        <is>
          <t>Added since the report</t>
        </is>
      </c>
      <c r="H763" s="22" t="inlineStr">
        <is>
          <t>EU GHG inventory (CRF); 2022+ calculated from Eurostat (env_air_gge CRF4.A, splice)</t>
        </is>
      </c>
      <c r="I763" s="35" t="inlineStr">
        <is>
          <t>esabcc-l6-forest-sink</t>
        </is>
      </c>
    </row>
    <row r="764" ht="14" customHeight="1">
      <c r="A764" s="15" t="inlineStr">
        <is>
          <t>L6</t>
        </is>
      </c>
      <c r="B764" s="15" t="inlineStr">
        <is>
          <t>Forest land living-biomass carbon sink</t>
        </is>
      </c>
      <c r="C764" s="15" t="inlineStr">
        <is>
          <t>LULUCF</t>
        </is>
      </c>
      <c r="D764" s="15" t="inlineStr">
        <is>
          <t>Mt CO₂eq</t>
        </is>
      </c>
      <c r="E764" s="63" t="n">
        <v>2023</v>
      </c>
      <c r="F764" s="64" t="n">
        <v>255.7</v>
      </c>
      <c r="G764" s="68" t="inlineStr">
        <is>
          <t>Added since the report</t>
        </is>
      </c>
      <c r="H764" s="15" t="inlineStr">
        <is>
          <t>EU GHG inventory (CRF); 2022+ calculated from Eurostat (env_air_gge CRF4.A, splice)</t>
        </is>
      </c>
      <c r="I764" s="34" t="inlineStr">
        <is>
          <t>esabcc-l6-forest-sink</t>
        </is>
      </c>
    </row>
    <row r="765" ht="14" customHeight="1">
      <c r="A765" s="22" t="inlineStr">
        <is>
          <t>L6</t>
        </is>
      </c>
      <c r="B765" s="22" t="inlineStr">
        <is>
          <t>Forest land living-biomass carbon sink</t>
        </is>
      </c>
      <c r="C765" s="22" t="inlineStr">
        <is>
          <t>LULUCF</t>
        </is>
      </c>
      <c r="D765" s="22" t="inlineStr">
        <is>
          <t>Mt CO₂eq</t>
        </is>
      </c>
      <c r="E765" s="65" t="n">
        <v>2024</v>
      </c>
      <c r="F765" s="66" t="n">
        <v>258.3</v>
      </c>
      <c r="G765" s="69" t="inlineStr">
        <is>
          <t>Added since the report</t>
        </is>
      </c>
      <c r="H765" s="22" t="inlineStr">
        <is>
          <t>EU GHG inventory (CRF); 2022+ calculated from Eurostat (env_air_gge CRF4.A, splice)</t>
        </is>
      </c>
      <c r="I765" s="35" t="inlineStr">
        <is>
          <t>esabcc-l6-forest-sink</t>
        </is>
      </c>
    </row>
    <row r="766" ht="14" customHeight="1">
      <c r="A766" s="15" t="inlineStr">
        <is>
          <t>L7</t>
        </is>
      </c>
      <c r="B766" s="15" t="inlineStr">
        <is>
          <t>Non-forest LULUCF net GHG emissions</t>
        </is>
      </c>
      <c r="C766" s="15" t="inlineStr">
        <is>
          <t>LULUCF</t>
        </is>
      </c>
      <c r="D766" s="15" t="inlineStr">
        <is>
          <t>Mt CO₂eq</t>
        </is>
      </c>
      <c r="E766" s="63" t="n">
        <v>2005</v>
      </c>
      <c r="F766" s="64" t="n">
        <v>127.8</v>
      </c>
      <c r="G766" s="14" t="inlineStr">
        <is>
          <t>In the 2024 report</t>
        </is>
      </c>
      <c r="H766" s="15" t="inlineStr">
        <is>
          <t>EU GHG inventory (CRF); 2022+ Eurostat (env_air_gge)</t>
        </is>
      </c>
      <c r="I766" s="34" t="inlineStr">
        <is>
          <t>esabcc-l7-nonforest-lulucf</t>
        </is>
      </c>
    </row>
    <row r="767" ht="14" customHeight="1">
      <c r="A767" s="22" t="inlineStr">
        <is>
          <t>L7</t>
        </is>
      </c>
      <c r="B767" s="22" t="inlineStr">
        <is>
          <t>Non-forest LULUCF net GHG emissions</t>
        </is>
      </c>
      <c r="C767" s="22" t="inlineStr">
        <is>
          <t>LULUCF</t>
        </is>
      </c>
      <c r="D767" s="22" t="inlineStr">
        <is>
          <t>Mt CO₂eq</t>
        </is>
      </c>
      <c r="E767" s="65" t="n">
        <v>2006</v>
      </c>
      <c r="F767" s="66" t="n">
        <v>121.8</v>
      </c>
      <c r="G767" s="67" t="inlineStr">
        <is>
          <t>In the 2024 report</t>
        </is>
      </c>
      <c r="H767" s="22" t="inlineStr">
        <is>
          <t>EU GHG inventory (CRF); 2022+ Eurostat (env_air_gge)</t>
        </is>
      </c>
      <c r="I767" s="35" t="inlineStr">
        <is>
          <t>esabcc-l7-nonforest-lulucf</t>
        </is>
      </c>
    </row>
    <row r="768" ht="14" customHeight="1">
      <c r="A768" s="15" t="inlineStr">
        <is>
          <t>L7</t>
        </is>
      </c>
      <c r="B768" s="15" t="inlineStr">
        <is>
          <t>Non-forest LULUCF net GHG emissions</t>
        </is>
      </c>
      <c r="C768" s="15" t="inlineStr">
        <is>
          <t>LULUCF</t>
        </is>
      </c>
      <c r="D768" s="15" t="inlineStr">
        <is>
          <t>Mt CO₂eq</t>
        </is>
      </c>
      <c r="E768" s="63" t="n">
        <v>2007</v>
      </c>
      <c r="F768" s="64" t="n">
        <v>131.9</v>
      </c>
      <c r="G768" s="14" t="inlineStr">
        <is>
          <t>In the 2024 report</t>
        </is>
      </c>
      <c r="H768" s="15" t="inlineStr">
        <is>
          <t>EU GHG inventory (CRF); 2022+ Eurostat (env_air_gge)</t>
        </is>
      </c>
      <c r="I768" s="34" t="inlineStr">
        <is>
          <t>esabcc-l7-nonforest-lulucf</t>
        </is>
      </c>
    </row>
    <row r="769" ht="14" customHeight="1">
      <c r="A769" s="22" t="inlineStr">
        <is>
          <t>L7</t>
        </is>
      </c>
      <c r="B769" s="22" t="inlineStr">
        <is>
          <t>Non-forest LULUCF net GHG emissions</t>
        </is>
      </c>
      <c r="C769" s="22" t="inlineStr">
        <is>
          <t>LULUCF</t>
        </is>
      </c>
      <c r="D769" s="22" t="inlineStr">
        <is>
          <t>Mt CO₂eq</t>
        </is>
      </c>
      <c r="E769" s="65" t="n">
        <v>2008</v>
      </c>
      <c r="F769" s="66" t="n">
        <v>130.7</v>
      </c>
      <c r="G769" s="67" t="inlineStr">
        <is>
          <t>In the 2024 report</t>
        </is>
      </c>
      <c r="H769" s="22" t="inlineStr">
        <is>
          <t>EU GHG inventory (CRF); 2022+ Eurostat (env_air_gge)</t>
        </is>
      </c>
      <c r="I769" s="35" t="inlineStr">
        <is>
          <t>esabcc-l7-nonforest-lulucf</t>
        </is>
      </c>
    </row>
    <row r="770" ht="14" customHeight="1">
      <c r="A770" s="15" t="inlineStr">
        <is>
          <t>L7</t>
        </is>
      </c>
      <c r="B770" s="15" t="inlineStr">
        <is>
          <t>Non-forest LULUCF net GHG emissions</t>
        </is>
      </c>
      <c r="C770" s="15" t="inlineStr">
        <is>
          <t>LULUCF</t>
        </is>
      </c>
      <c r="D770" s="15" t="inlineStr">
        <is>
          <t>Mt CO₂eq</t>
        </is>
      </c>
      <c r="E770" s="63" t="n">
        <v>2009</v>
      </c>
      <c r="F770" s="64" t="n">
        <v>130.9</v>
      </c>
      <c r="G770" s="14" t="inlineStr">
        <is>
          <t>In the 2024 report</t>
        </is>
      </c>
      <c r="H770" s="15" t="inlineStr">
        <is>
          <t>EU GHG inventory (CRF); 2022+ Eurostat (env_air_gge)</t>
        </is>
      </c>
      <c r="I770" s="34" t="inlineStr">
        <is>
          <t>esabcc-l7-nonforest-lulucf</t>
        </is>
      </c>
    </row>
    <row r="771" ht="14" customHeight="1">
      <c r="A771" s="22" t="inlineStr">
        <is>
          <t>L7</t>
        </is>
      </c>
      <c r="B771" s="22" t="inlineStr">
        <is>
          <t>Non-forest LULUCF net GHG emissions</t>
        </is>
      </c>
      <c r="C771" s="22" t="inlineStr">
        <is>
          <t>LULUCF</t>
        </is>
      </c>
      <c r="D771" s="22" t="inlineStr">
        <is>
          <t>Mt CO₂eq</t>
        </is>
      </c>
      <c r="E771" s="65" t="n">
        <v>2010</v>
      </c>
      <c r="F771" s="66" t="n">
        <v>117.8</v>
      </c>
      <c r="G771" s="67" t="inlineStr">
        <is>
          <t>In the 2024 report</t>
        </is>
      </c>
      <c r="H771" s="22" t="inlineStr">
        <is>
          <t>EU GHG inventory (CRF); 2022+ Eurostat (env_air_gge)</t>
        </is>
      </c>
      <c r="I771" s="35" t="inlineStr">
        <is>
          <t>esabcc-l7-nonforest-lulucf</t>
        </is>
      </c>
    </row>
    <row r="772" ht="14" customHeight="1">
      <c r="A772" s="15" t="inlineStr">
        <is>
          <t>L7</t>
        </is>
      </c>
      <c r="B772" s="15" t="inlineStr">
        <is>
          <t>Non-forest LULUCF net GHG emissions</t>
        </is>
      </c>
      <c r="C772" s="15" t="inlineStr">
        <is>
          <t>LULUCF</t>
        </is>
      </c>
      <c r="D772" s="15" t="inlineStr">
        <is>
          <t>Mt CO₂eq</t>
        </is>
      </c>
      <c r="E772" s="63" t="n">
        <v>2011</v>
      </c>
      <c r="F772" s="64" t="n">
        <v>115.9</v>
      </c>
      <c r="G772" s="14" t="inlineStr">
        <is>
          <t>In the 2024 report</t>
        </is>
      </c>
      <c r="H772" s="15" t="inlineStr">
        <is>
          <t>EU GHG inventory (CRF); 2022+ Eurostat (env_air_gge)</t>
        </is>
      </c>
      <c r="I772" s="34" t="inlineStr">
        <is>
          <t>esabcc-l7-nonforest-lulucf</t>
        </is>
      </c>
    </row>
    <row r="773" ht="14" customHeight="1">
      <c r="A773" s="22" t="inlineStr">
        <is>
          <t>L7</t>
        </is>
      </c>
      <c r="B773" s="22" t="inlineStr">
        <is>
          <t>Non-forest LULUCF net GHG emissions</t>
        </is>
      </c>
      <c r="C773" s="22" t="inlineStr">
        <is>
          <t>LULUCF</t>
        </is>
      </c>
      <c r="D773" s="22" t="inlineStr">
        <is>
          <t>Mt CO₂eq</t>
        </is>
      </c>
      <c r="E773" s="65" t="n">
        <v>2012</v>
      </c>
      <c r="F773" s="66" t="n">
        <v>114.6</v>
      </c>
      <c r="G773" s="67" t="inlineStr">
        <is>
          <t>In the 2024 report</t>
        </is>
      </c>
      <c r="H773" s="22" t="inlineStr">
        <is>
          <t>EU GHG inventory (CRF); 2022+ Eurostat (env_air_gge)</t>
        </is>
      </c>
      <c r="I773" s="35" t="inlineStr">
        <is>
          <t>esabcc-l7-nonforest-lulucf</t>
        </is>
      </c>
    </row>
    <row r="774" ht="14" customHeight="1">
      <c r="A774" s="15" t="inlineStr">
        <is>
          <t>L7</t>
        </is>
      </c>
      <c r="B774" s="15" t="inlineStr">
        <is>
          <t>Non-forest LULUCF net GHG emissions</t>
        </is>
      </c>
      <c r="C774" s="15" t="inlineStr">
        <is>
          <t>LULUCF</t>
        </is>
      </c>
      <c r="D774" s="15" t="inlineStr">
        <is>
          <t>Mt CO₂eq</t>
        </is>
      </c>
      <c r="E774" s="63" t="n">
        <v>2013</v>
      </c>
      <c r="F774" s="64" t="n">
        <v>128</v>
      </c>
      <c r="G774" s="14" t="inlineStr">
        <is>
          <t>In the 2024 report</t>
        </is>
      </c>
      <c r="H774" s="15" t="inlineStr">
        <is>
          <t>EU GHG inventory (CRF); 2022+ Eurostat (env_air_gge)</t>
        </is>
      </c>
      <c r="I774" s="34" t="inlineStr">
        <is>
          <t>esabcc-l7-nonforest-lulucf</t>
        </is>
      </c>
    </row>
    <row r="775" ht="14" customHeight="1">
      <c r="A775" s="22" t="inlineStr">
        <is>
          <t>L7</t>
        </is>
      </c>
      <c r="B775" s="22" t="inlineStr">
        <is>
          <t>Non-forest LULUCF net GHG emissions</t>
        </is>
      </c>
      <c r="C775" s="22" t="inlineStr">
        <is>
          <t>LULUCF</t>
        </is>
      </c>
      <c r="D775" s="22" t="inlineStr">
        <is>
          <t>Mt CO₂eq</t>
        </is>
      </c>
      <c r="E775" s="65" t="n">
        <v>2014</v>
      </c>
      <c r="F775" s="66" t="n">
        <v>108.2</v>
      </c>
      <c r="G775" s="67" t="inlineStr">
        <is>
          <t>In the 2024 report</t>
        </is>
      </c>
      <c r="H775" s="22" t="inlineStr">
        <is>
          <t>EU GHG inventory (CRF); 2022+ Eurostat (env_air_gge)</t>
        </is>
      </c>
      <c r="I775" s="35" t="inlineStr">
        <is>
          <t>esabcc-l7-nonforest-lulucf</t>
        </is>
      </c>
    </row>
    <row r="776" ht="14" customHeight="1">
      <c r="A776" s="15" t="inlineStr">
        <is>
          <t>L7</t>
        </is>
      </c>
      <c r="B776" s="15" t="inlineStr">
        <is>
          <t>Non-forest LULUCF net GHG emissions</t>
        </is>
      </c>
      <c r="C776" s="15" t="inlineStr">
        <is>
          <t>LULUCF</t>
        </is>
      </c>
      <c r="D776" s="15" t="inlineStr">
        <is>
          <t>Mt CO₂eq</t>
        </is>
      </c>
      <c r="E776" s="63" t="n">
        <v>2015</v>
      </c>
      <c r="F776" s="64" t="n">
        <v>103.1</v>
      </c>
      <c r="G776" s="14" t="inlineStr">
        <is>
          <t>In the 2024 report</t>
        </is>
      </c>
      <c r="H776" s="15" t="inlineStr">
        <is>
          <t>EU GHG inventory (CRF); 2022+ Eurostat (env_air_gge)</t>
        </is>
      </c>
      <c r="I776" s="34" t="inlineStr">
        <is>
          <t>esabcc-l7-nonforest-lulucf</t>
        </is>
      </c>
    </row>
    <row r="777" ht="14" customHeight="1">
      <c r="A777" s="22" t="inlineStr">
        <is>
          <t>L7</t>
        </is>
      </c>
      <c r="B777" s="22" t="inlineStr">
        <is>
          <t>Non-forest LULUCF net GHG emissions</t>
        </is>
      </c>
      <c r="C777" s="22" t="inlineStr">
        <is>
          <t>LULUCF</t>
        </is>
      </c>
      <c r="D777" s="22" t="inlineStr">
        <is>
          <t>Mt CO₂eq</t>
        </is>
      </c>
      <c r="E777" s="65" t="n">
        <v>2016</v>
      </c>
      <c r="F777" s="66" t="n">
        <v>100.4</v>
      </c>
      <c r="G777" s="67" t="inlineStr">
        <is>
          <t>In the 2024 report</t>
        </is>
      </c>
      <c r="H777" s="22" t="inlineStr">
        <is>
          <t>EU GHG inventory (CRF); 2022+ Eurostat (env_air_gge)</t>
        </is>
      </c>
      <c r="I777" s="35" t="inlineStr">
        <is>
          <t>esabcc-l7-nonforest-lulucf</t>
        </is>
      </c>
    </row>
    <row r="778" ht="14" customHeight="1">
      <c r="A778" s="15" t="inlineStr">
        <is>
          <t>L7</t>
        </is>
      </c>
      <c r="B778" s="15" t="inlineStr">
        <is>
          <t>Non-forest LULUCF net GHG emissions</t>
        </is>
      </c>
      <c r="C778" s="15" t="inlineStr">
        <is>
          <t>LULUCF</t>
        </is>
      </c>
      <c r="D778" s="15" t="inlineStr">
        <is>
          <t>Mt CO₂eq</t>
        </is>
      </c>
      <c r="E778" s="63" t="n">
        <v>2017</v>
      </c>
      <c r="F778" s="64" t="n">
        <v>103.3</v>
      </c>
      <c r="G778" s="14" t="inlineStr">
        <is>
          <t>In the 2024 report</t>
        </is>
      </c>
      <c r="H778" s="15" t="inlineStr">
        <is>
          <t>EU GHG inventory (CRF); 2022+ Eurostat (env_air_gge)</t>
        </is>
      </c>
      <c r="I778" s="34" t="inlineStr">
        <is>
          <t>esabcc-l7-nonforest-lulucf</t>
        </is>
      </c>
    </row>
    <row r="779" ht="14" customHeight="1">
      <c r="A779" s="22" t="inlineStr">
        <is>
          <t>L7</t>
        </is>
      </c>
      <c r="B779" s="22" t="inlineStr">
        <is>
          <t>Non-forest LULUCF net GHG emissions</t>
        </is>
      </c>
      <c r="C779" s="22" t="inlineStr">
        <is>
          <t>LULUCF</t>
        </is>
      </c>
      <c r="D779" s="22" t="inlineStr">
        <is>
          <t>Mt CO₂eq</t>
        </is>
      </c>
      <c r="E779" s="65" t="n">
        <v>2018</v>
      </c>
      <c r="F779" s="66" t="n">
        <v>94</v>
      </c>
      <c r="G779" s="67" t="inlineStr">
        <is>
          <t>In the 2024 report</t>
        </is>
      </c>
      <c r="H779" s="22" t="inlineStr">
        <is>
          <t>EU GHG inventory (CRF); 2022+ Eurostat (env_air_gge)</t>
        </is>
      </c>
      <c r="I779" s="35" t="inlineStr">
        <is>
          <t>esabcc-l7-nonforest-lulucf</t>
        </is>
      </c>
    </row>
    <row r="780" ht="14" customHeight="1">
      <c r="A780" s="15" t="inlineStr">
        <is>
          <t>L7</t>
        </is>
      </c>
      <c r="B780" s="15" t="inlineStr">
        <is>
          <t>Non-forest LULUCF net GHG emissions</t>
        </is>
      </c>
      <c r="C780" s="15" t="inlineStr">
        <is>
          <t>LULUCF</t>
        </is>
      </c>
      <c r="D780" s="15" t="inlineStr">
        <is>
          <t>Mt CO₂eq</t>
        </is>
      </c>
      <c r="E780" s="63" t="n">
        <v>2019</v>
      </c>
      <c r="F780" s="64" t="n">
        <v>89.44</v>
      </c>
      <c r="G780" s="14" t="inlineStr">
        <is>
          <t>In the 2024 report</t>
        </is>
      </c>
      <c r="H780" s="15" t="inlineStr">
        <is>
          <t>EU GHG inventory (CRF); 2022+ Eurostat (env_air_gge)</t>
        </is>
      </c>
      <c r="I780" s="34" t="inlineStr">
        <is>
          <t>esabcc-l7-nonforest-lulucf</t>
        </is>
      </c>
    </row>
    <row r="781" ht="14" customHeight="1">
      <c r="A781" s="22" t="inlineStr">
        <is>
          <t>L7</t>
        </is>
      </c>
      <c r="B781" s="22" t="inlineStr">
        <is>
          <t>Non-forest LULUCF net GHG emissions</t>
        </is>
      </c>
      <c r="C781" s="22" t="inlineStr">
        <is>
          <t>LULUCF</t>
        </is>
      </c>
      <c r="D781" s="22" t="inlineStr">
        <is>
          <t>Mt CO₂eq</t>
        </is>
      </c>
      <c r="E781" s="65" t="n">
        <v>2020</v>
      </c>
      <c r="F781" s="66" t="n">
        <v>91.20999999999999</v>
      </c>
      <c r="G781" s="67" t="inlineStr">
        <is>
          <t>In the 2024 report</t>
        </is>
      </c>
      <c r="H781" s="22" t="inlineStr">
        <is>
          <t>EU GHG inventory (CRF); 2022+ Eurostat (env_air_gge)</t>
        </is>
      </c>
      <c r="I781" s="35" t="inlineStr">
        <is>
          <t>esabcc-l7-nonforest-lulucf</t>
        </is>
      </c>
    </row>
    <row r="782" ht="14" customHeight="1">
      <c r="A782" s="15" t="inlineStr">
        <is>
          <t>L7</t>
        </is>
      </c>
      <c r="B782" s="15" t="inlineStr">
        <is>
          <t>Non-forest LULUCF net GHG emissions</t>
        </is>
      </c>
      <c r="C782" s="15" t="inlineStr">
        <is>
          <t>LULUCF</t>
        </is>
      </c>
      <c r="D782" s="15" t="inlineStr">
        <is>
          <t>Mt CO₂eq</t>
        </is>
      </c>
      <c r="E782" s="63" t="n">
        <v>2021</v>
      </c>
      <c r="F782" s="64" t="n">
        <v>97.44</v>
      </c>
      <c r="G782" s="14" t="inlineStr">
        <is>
          <t>In the 2024 report</t>
        </is>
      </c>
      <c r="H782" s="15" t="inlineStr">
        <is>
          <t>EU GHG inventory (CRF); 2022+ Eurostat (env_air_gge)</t>
        </is>
      </c>
      <c r="I782" s="34" t="inlineStr">
        <is>
          <t>esabcc-l7-nonforest-lulucf</t>
        </is>
      </c>
    </row>
    <row r="783" ht="14" customHeight="1">
      <c r="A783" s="22" t="inlineStr">
        <is>
          <t>L7</t>
        </is>
      </c>
      <c r="B783" s="22" t="inlineStr">
        <is>
          <t>Non-forest LULUCF net GHG emissions</t>
        </is>
      </c>
      <c r="C783" s="22" t="inlineStr">
        <is>
          <t>LULUCF</t>
        </is>
      </c>
      <c r="D783" s="22" t="inlineStr">
        <is>
          <t>Mt CO₂eq</t>
        </is>
      </c>
      <c r="E783" s="65" t="n">
        <v>2022</v>
      </c>
      <c r="F783" s="66" t="n">
        <v>121</v>
      </c>
      <c r="G783" s="69" t="inlineStr">
        <is>
          <t>Added since the report</t>
        </is>
      </c>
      <c r="H783" s="22" t="inlineStr">
        <is>
          <t>EU GHG inventory (CRF); 2022+ Eurostat (env_air_gge)</t>
        </is>
      </c>
      <c r="I783" s="35" t="inlineStr">
        <is>
          <t>esabcc-l7-nonforest-lulucf</t>
        </is>
      </c>
    </row>
    <row r="784" ht="14" customHeight="1">
      <c r="A784" s="15" t="inlineStr">
        <is>
          <t>L7</t>
        </is>
      </c>
      <c r="B784" s="15" t="inlineStr">
        <is>
          <t>Non-forest LULUCF net GHG emissions</t>
        </is>
      </c>
      <c r="C784" s="15" t="inlineStr">
        <is>
          <t>LULUCF</t>
        </is>
      </c>
      <c r="D784" s="15" t="inlineStr">
        <is>
          <t>Mt CO₂eq</t>
        </is>
      </c>
      <c r="E784" s="63" t="n">
        <v>2023</v>
      </c>
      <c r="F784" s="64" t="n">
        <v>135.6</v>
      </c>
      <c r="G784" s="68" t="inlineStr">
        <is>
          <t>Added since the report</t>
        </is>
      </c>
      <c r="H784" s="15" t="inlineStr">
        <is>
          <t>EU GHG inventory (CRF); 2022+ Eurostat (env_air_gge)</t>
        </is>
      </c>
      <c r="I784" s="34" t="inlineStr">
        <is>
          <t>esabcc-l7-nonforest-lulucf</t>
        </is>
      </c>
    </row>
    <row r="785" ht="14" customHeight="1">
      <c r="A785" s="22" t="inlineStr">
        <is>
          <t>L7</t>
        </is>
      </c>
      <c r="B785" s="22" t="inlineStr">
        <is>
          <t>Non-forest LULUCF net GHG emissions</t>
        </is>
      </c>
      <c r="C785" s="22" t="inlineStr">
        <is>
          <t>LULUCF</t>
        </is>
      </c>
      <c r="D785" s="22" t="inlineStr">
        <is>
          <t>Mt CO₂eq</t>
        </is>
      </c>
      <c r="E785" s="65" t="n">
        <v>2024</v>
      </c>
      <c r="F785" s="66" t="n">
        <v>123</v>
      </c>
      <c r="G785" s="69" t="inlineStr">
        <is>
          <t>Added since the report</t>
        </is>
      </c>
      <c r="H785" s="22" t="inlineStr">
        <is>
          <t>EU GHG inventory (CRF); 2022+ Eurostat (env_air_gge)</t>
        </is>
      </c>
      <c r="I785" s="35" t="inlineStr">
        <is>
          <t>esabcc-l7-nonforest-lulucf</t>
        </is>
      </c>
    </row>
    <row r="786" ht="14" customHeight="1">
      <c r="A786" s="15" t="inlineStr">
        <is>
          <t>L8</t>
        </is>
      </c>
      <c r="B786" s="15" t="inlineStr">
        <is>
          <t>Total bioenergy use (EU-27)</t>
        </is>
      </c>
      <c r="C786" s="15" t="inlineStr">
        <is>
          <t>LULUCF</t>
        </is>
      </c>
      <c r="D786" s="15" t="inlineStr">
        <is>
          <t>TWh</t>
        </is>
      </c>
      <c r="E786" s="63" t="n">
        <v>2005</v>
      </c>
      <c r="F786" s="64" t="n">
        <v>896.4</v>
      </c>
      <c r="G786" s="14" t="inlineStr">
        <is>
          <t>In the 2024 report</t>
        </is>
      </c>
      <c r="H786" s="15" t="inlineStr">
        <is>
          <t>Eurostat (nrg_bal_s)</t>
        </is>
      </c>
      <c r="I786" s="34" t="inlineStr">
        <is>
          <t>esabcc-l8-bioenergy-use</t>
        </is>
      </c>
    </row>
    <row r="787" ht="14" customHeight="1">
      <c r="A787" s="22" t="inlineStr">
        <is>
          <t>L8</t>
        </is>
      </c>
      <c r="B787" s="22" t="inlineStr">
        <is>
          <t>Total bioenergy use (EU-27)</t>
        </is>
      </c>
      <c r="C787" s="22" t="inlineStr">
        <is>
          <t>LULUCF</t>
        </is>
      </c>
      <c r="D787" s="22" t="inlineStr">
        <is>
          <t>TWh</t>
        </is>
      </c>
      <c r="E787" s="65" t="n">
        <v>2006</v>
      </c>
      <c r="F787" s="66" t="n">
        <v>972.1</v>
      </c>
      <c r="G787" s="67" t="inlineStr">
        <is>
          <t>In the 2024 report</t>
        </is>
      </c>
      <c r="H787" s="22" t="inlineStr">
        <is>
          <t>Eurostat (nrg_bal_s)</t>
        </is>
      </c>
      <c r="I787" s="35" t="inlineStr">
        <is>
          <t>esabcc-l8-bioenergy-use</t>
        </is>
      </c>
    </row>
    <row r="788" ht="14" customHeight="1">
      <c r="A788" s="15" t="inlineStr">
        <is>
          <t>L8</t>
        </is>
      </c>
      <c r="B788" s="15" t="inlineStr">
        <is>
          <t>Total bioenergy use (EU-27)</t>
        </is>
      </c>
      <c r="C788" s="15" t="inlineStr">
        <is>
          <t>LULUCF</t>
        </is>
      </c>
      <c r="D788" s="15" t="inlineStr">
        <is>
          <t>TWh</t>
        </is>
      </c>
      <c r="E788" s="63" t="n">
        <v>2007</v>
      </c>
      <c r="F788" s="64" t="n">
        <v>1075.9</v>
      </c>
      <c r="G788" s="14" t="inlineStr">
        <is>
          <t>In the 2024 report</t>
        </is>
      </c>
      <c r="H788" s="15" t="inlineStr">
        <is>
          <t>Eurostat (nrg_bal_s)</t>
        </is>
      </c>
      <c r="I788" s="34" t="inlineStr">
        <is>
          <t>esabcc-l8-bioenergy-use</t>
        </is>
      </c>
    </row>
    <row r="789" ht="14" customHeight="1">
      <c r="A789" s="22" t="inlineStr">
        <is>
          <t>L8</t>
        </is>
      </c>
      <c r="B789" s="22" t="inlineStr">
        <is>
          <t>Total bioenergy use (EU-27)</t>
        </is>
      </c>
      <c r="C789" s="22" t="inlineStr">
        <is>
          <t>LULUCF</t>
        </is>
      </c>
      <c r="D789" s="22" t="inlineStr">
        <is>
          <t>TWh</t>
        </is>
      </c>
      <c r="E789" s="65" t="n">
        <v>2008</v>
      </c>
      <c r="F789" s="66" t="n">
        <v>1192.6</v>
      </c>
      <c r="G789" s="67" t="inlineStr">
        <is>
          <t>In the 2024 report</t>
        </is>
      </c>
      <c r="H789" s="22" t="inlineStr">
        <is>
          <t>Eurostat (nrg_bal_s)</t>
        </is>
      </c>
      <c r="I789" s="35" t="inlineStr">
        <is>
          <t>esabcc-l8-bioenergy-use</t>
        </is>
      </c>
    </row>
    <row r="790" ht="14" customHeight="1">
      <c r="A790" s="15" t="inlineStr">
        <is>
          <t>L8</t>
        </is>
      </c>
      <c r="B790" s="15" t="inlineStr">
        <is>
          <t>Total bioenergy use (EU-27)</t>
        </is>
      </c>
      <c r="C790" s="15" t="inlineStr">
        <is>
          <t>LULUCF</t>
        </is>
      </c>
      <c r="D790" s="15" t="inlineStr">
        <is>
          <t>TWh</t>
        </is>
      </c>
      <c r="E790" s="63" t="n">
        <v>2009</v>
      </c>
      <c r="F790" s="64" t="n">
        <v>1270.3</v>
      </c>
      <c r="G790" s="14" t="inlineStr">
        <is>
          <t>In the 2024 report</t>
        </is>
      </c>
      <c r="H790" s="15" t="inlineStr">
        <is>
          <t>Eurostat (nrg_bal_s)</t>
        </is>
      </c>
      <c r="I790" s="34" t="inlineStr">
        <is>
          <t>esabcc-l8-bioenergy-use</t>
        </is>
      </c>
    </row>
    <row r="791" ht="14" customHeight="1">
      <c r="A791" s="22" t="inlineStr">
        <is>
          <t>L8</t>
        </is>
      </c>
      <c r="B791" s="22" t="inlineStr">
        <is>
          <t>Total bioenergy use (EU-27)</t>
        </is>
      </c>
      <c r="C791" s="22" t="inlineStr">
        <is>
          <t>LULUCF</t>
        </is>
      </c>
      <c r="D791" s="22" t="inlineStr">
        <is>
          <t>TWh</t>
        </is>
      </c>
      <c r="E791" s="65" t="n">
        <v>2010</v>
      </c>
      <c r="F791" s="66" t="n">
        <v>1406.2</v>
      </c>
      <c r="G791" s="67" t="inlineStr">
        <is>
          <t>In the 2024 report</t>
        </is>
      </c>
      <c r="H791" s="22" t="inlineStr">
        <is>
          <t>Eurostat (nrg_bal_s)</t>
        </is>
      </c>
      <c r="I791" s="35" t="inlineStr">
        <is>
          <t>esabcc-l8-bioenergy-use</t>
        </is>
      </c>
    </row>
    <row r="792" ht="14" customHeight="1">
      <c r="A792" s="15" t="inlineStr">
        <is>
          <t>L8</t>
        </is>
      </c>
      <c r="B792" s="15" t="inlineStr">
        <is>
          <t>Total bioenergy use (EU-27)</t>
        </is>
      </c>
      <c r="C792" s="15" t="inlineStr">
        <is>
          <t>LULUCF</t>
        </is>
      </c>
      <c r="D792" s="15" t="inlineStr">
        <is>
          <t>TWh</t>
        </is>
      </c>
      <c r="E792" s="63" t="n">
        <v>2011</v>
      </c>
      <c r="F792" s="64" t="n">
        <v>1374</v>
      </c>
      <c r="G792" s="14" t="inlineStr">
        <is>
          <t>In the 2024 report</t>
        </is>
      </c>
      <c r="H792" s="15" t="inlineStr">
        <is>
          <t>Eurostat (nrg_bal_s)</t>
        </is>
      </c>
      <c r="I792" s="34" t="inlineStr">
        <is>
          <t>esabcc-l8-bioenergy-use</t>
        </is>
      </c>
    </row>
    <row r="793" ht="14" customHeight="1">
      <c r="A793" s="22" t="inlineStr">
        <is>
          <t>L8</t>
        </is>
      </c>
      <c r="B793" s="22" t="inlineStr">
        <is>
          <t>Total bioenergy use (EU-27)</t>
        </is>
      </c>
      <c r="C793" s="22" t="inlineStr">
        <is>
          <t>LULUCF</t>
        </is>
      </c>
      <c r="D793" s="22" t="inlineStr">
        <is>
          <t>TWh</t>
        </is>
      </c>
      <c r="E793" s="65" t="n">
        <v>2012</v>
      </c>
      <c r="F793" s="66" t="n">
        <v>1504.2</v>
      </c>
      <c r="G793" s="67" t="inlineStr">
        <is>
          <t>In the 2024 report</t>
        </is>
      </c>
      <c r="H793" s="22" t="inlineStr">
        <is>
          <t>Eurostat (nrg_bal_s)</t>
        </is>
      </c>
      <c r="I793" s="35" t="inlineStr">
        <is>
          <t>esabcc-l8-bioenergy-use</t>
        </is>
      </c>
    </row>
    <row r="794" ht="14" customHeight="1">
      <c r="A794" s="15" t="inlineStr">
        <is>
          <t>L8</t>
        </is>
      </c>
      <c r="B794" s="15" t="inlineStr">
        <is>
          <t>Total bioenergy use (EU-27)</t>
        </is>
      </c>
      <c r="C794" s="15" t="inlineStr">
        <is>
          <t>LULUCF</t>
        </is>
      </c>
      <c r="D794" s="15" t="inlineStr">
        <is>
          <t>TWh</t>
        </is>
      </c>
      <c r="E794" s="63" t="n">
        <v>2013</v>
      </c>
      <c r="F794" s="64" t="n">
        <v>1505.7</v>
      </c>
      <c r="G794" s="14" t="inlineStr">
        <is>
          <t>In the 2024 report</t>
        </is>
      </c>
      <c r="H794" s="15" t="inlineStr">
        <is>
          <t>Eurostat (nrg_bal_s)</t>
        </is>
      </c>
      <c r="I794" s="34" t="inlineStr">
        <is>
          <t>esabcc-l8-bioenergy-use</t>
        </is>
      </c>
    </row>
    <row r="795" ht="14" customHeight="1">
      <c r="A795" s="22" t="inlineStr">
        <is>
          <t>L8</t>
        </is>
      </c>
      <c r="B795" s="22" t="inlineStr">
        <is>
          <t>Total bioenergy use (EU-27)</t>
        </is>
      </c>
      <c r="C795" s="22" t="inlineStr">
        <is>
          <t>LULUCF</t>
        </is>
      </c>
      <c r="D795" s="22" t="inlineStr">
        <is>
          <t>TWh</t>
        </is>
      </c>
      <c r="E795" s="65" t="n">
        <v>2014</v>
      </c>
      <c r="F795" s="66" t="n">
        <v>1474.3</v>
      </c>
      <c r="G795" s="67" t="inlineStr">
        <is>
          <t>In the 2024 report</t>
        </is>
      </c>
      <c r="H795" s="22" t="inlineStr">
        <is>
          <t>Eurostat (nrg_bal_s)</t>
        </is>
      </c>
      <c r="I795" s="35" t="inlineStr">
        <is>
          <t>esabcc-l8-bioenergy-use</t>
        </is>
      </c>
    </row>
    <row r="796" ht="14" customHeight="1">
      <c r="A796" s="15" t="inlineStr">
        <is>
          <t>L8</t>
        </is>
      </c>
      <c r="B796" s="15" t="inlineStr">
        <is>
          <t>Total bioenergy use (EU-27)</t>
        </is>
      </c>
      <c r="C796" s="15" t="inlineStr">
        <is>
          <t>LULUCF</t>
        </is>
      </c>
      <c r="D796" s="15" t="inlineStr">
        <is>
          <t>TWh</t>
        </is>
      </c>
      <c r="E796" s="63" t="n">
        <v>2015</v>
      </c>
      <c r="F796" s="64" t="n">
        <v>1515.4</v>
      </c>
      <c r="G796" s="14" t="inlineStr">
        <is>
          <t>In the 2024 report</t>
        </is>
      </c>
      <c r="H796" s="15" t="inlineStr">
        <is>
          <t>Eurostat (nrg_bal_s)</t>
        </is>
      </c>
      <c r="I796" s="34" t="inlineStr">
        <is>
          <t>esabcc-l8-bioenergy-use</t>
        </is>
      </c>
    </row>
    <row r="797" ht="14" customHeight="1">
      <c r="A797" s="22" t="inlineStr">
        <is>
          <t>L8</t>
        </is>
      </c>
      <c r="B797" s="22" t="inlineStr">
        <is>
          <t>Total bioenergy use (EU-27)</t>
        </is>
      </c>
      <c r="C797" s="22" t="inlineStr">
        <is>
          <t>LULUCF</t>
        </is>
      </c>
      <c r="D797" s="22" t="inlineStr">
        <is>
          <t>TWh</t>
        </is>
      </c>
      <c r="E797" s="65" t="n">
        <v>2016</v>
      </c>
      <c r="F797" s="66" t="n">
        <v>1524.4</v>
      </c>
      <c r="G797" s="67" t="inlineStr">
        <is>
          <t>In the 2024 report</t>
        </is>
      </c>
      <c r="H797" s="22" t="inlineStr">
        <is>
          <t>Eurostat (nrg_bal_s)</t>
        </is>
      </c>
      <c r="I797" s="35" t="inlineStr">
        <is>
          <t>esabcc-l8-bioenergy-use</t>
        </is>
      </c>
    </row>
    <row r="798" ht="14" customHeight="1">
      <c r="A798" s="15" t="inlineStr">
        <is>
          <t>L8</t>
        </is>
      </c>
      <c r="B798" s="15" t="inlineStr">
        <is>
          <t>Total bioenergy use (EU-27)</t>
        </is>
      </c>
      <c r="C798" s="15" t="inlineStr">
        <is>
          <t>LULUCF</t>
        </is>
      </c>
      <c r="D798" s="15" t="inlineStr">
        <is>
          <t>TWh</t>
        </is>
      </c>
      <c r="E798" s="63" t="n">
        <v>2017</v>
      </c>
      <c r="F798" s="64" t="n">
        <v>1570.7</v>
      </c>
      <c r="G798" s="14" t="inlineStr">
        <is>
          <t>In the 2024 report</t>
        </is>
      </c>
      <c r="H798" s="15" t="inlineStr">
        <is>
          <t>Eurostat (nrg_bal_s)</t>
        </is>
      </c>
      <c r="I798" s="34" t="inlineStr">
        <is>
          <t>esabcc-l8-bioenergy-use</t>
        </is>
      </c>
    </row>
    <row r="799" ht="14" customHeight="1">
      <c r="A799" s="22" t="inlineStr">
        <is>
          <t>L8</t>
        </is>
      </c>
      <c r="B799" s="22" t="inlineStr">
        <is>
          <t>Total bioenergy use (EU-27)</t>
        </is>
      </c>
      <c r="C799" s="22" t="inlineStr">
        <is>
          <t>LULUCF</t>
        </is>
      </c>
      <c r="D799" s="22" t="inlineStr">
        <is>
          <t>TWh</t>
        </is>
      </c>
      <c r="E799" s="65" t="n">
        <v>2018</v>
      </c>
      <c r="F799" s="66" t="n">
        <v>1642.1</v>
      </c>
      <c r="G799" s="67" t="inlineStr">
        <is>
          <t>In the 2024 report</t>
        </is>
      </c>
      <c r="H799" s="22" t="inlineStr">
        <is>
          <t>Eurostat (nrg_bal_s)</t>
        </is>
      </c>
      <c r="I799" s="35" t="inlineStr">
        <is>
          <t>esabcc-l8-bioenergy-use</t>
        </is>
      </c>
    </row>
    <row r="800" ht="14" customHeight="1">
      <c r="A800" s="15" t="inlineStr">
        <is>
          <t>L8</t>
        </is>
      </c>
      <c r="B800" s="15" t="inlineStr">
        <is>
          <t>Total bioenergy use (EU-27)</t>
        </is>
      </c>
      <c r="C800" s="15" t="inlineStr">
        <is>
          <t>LULUCF</t>
        </is>
      </c>
      <c r="D800" s="15" t="inlineStr">
        <is>
          <t>TWh</t>
        </is>
      </c>
      <c r="E800" s="63" t="n">
        <v>2019</v>
      </c>
      <c r="F800" s="64" t="n">
        <v>1679</v>
      </c>
      <c r="G800" s="14" t="inlineStr">
        <is>
          <t>In the 2024 report</t>
        </is>
      </c>
      <c r="H800" s="15" t="inlineStr">
        <is>
          <t>Eurostat (nrg_bal_s)</t>
        </is>
      </c>
      <c r="I800" s="34" t="inlineStr">
        <is>
          <t>esabcc-l8-bioenergy-use</t>
        </is>
      </c>
    </row>
    <row r="801" ht="14" customHeight="1">
      <c r="A801" s="22" t="inlineStr">
        <is>
          <t>L8</t>
        </is>
      </c>
      <c r="B801" s="22" t="inlineStr">
        <is>
          <t>Total bioenergy use (EU-27)</t>
        </is>
      </c>
      <c r="C801" s="22" t="inlineStr">
        <is>
          <t>LULUCF</t>
        </is>
      </c>
      <c r="D801" s="22" t="inlineStr">
        <is>
          <t>TWh</t>
        </is>
      </c>
      <c r="E801" s="65" t="n">
        <v>2020</v>
      </c>
      <c r="F801" s="66" t="n">
        <v>1684.1</v>
      </c>
      <c r="G801" s="67" t="inlineStr">
        <is>
          <t>In the 2024 report</t>
        </is>
      </c>
      <c r="H801" s="22" t="inlineStr">
        <is>
          <t>Eurostat (nrg_bal_s)</t>
        </is>
      </c>
      <c r="I801" s="35" t="inlineStr">
        <is>
          <t>esabcc-l8-bioenergy-use</t>
        </is>
      </c>
    </row>
    <row r="802" ht="14" customHeight="1">
      <c r="A802" s="15" t="inlineStr">
        <is>
          <t>L8</t>
        </is>
      </c>
      <c r="B802" s="15" t="inlineStr">
        <is>
          <t>Total bioenergy use (EU-27)</t>
        </is>
      </c>
      <c r="C802" s="15" t="inlineStr">
        <is>
          <t>LULUCF</t>
        </is>
      </c>
      <c r="D802" s="15" t="inlineStr">
        <is>
          <t>TWh</t>
        </is>
      </c>
      <c r="E802" s="63" t="n">
        <v>2021</v>
      </c>
      <c r="F802" s="64" t="n">
        <v>1795.7</v>
      </c>
      <c r="G802" s="14" t="inlineStr">
        <is>
          <t>In the 2024 report</t>
        </is>
      </c>
      <c r="H802" s="15" t="inlineStr">
        <is>
          <t>Eurostat (nrg_bal_s)</t>
        </is>
      </c>
      <c r="I802" s="34" t="inlineStr">
        <is>
          <t>esabcc-l8-bioenergy-use</t>
        </is>
      </c>
    </row>
    <row r="803" ht="14" customHeight="1">
      <c r="A803" s="22" t="inlineStr">
        <is>
          <t>L8</t>
        </is>
      </c>
      <c r="B803" s="22" t="inlineStr">
        <is>
          <t>Total bioenergy use (EU-27)</t>
        </is>
      </c>
      <c r="C803" s="22" t="inlineStr">
        <is>
          <t>LULUCF</t>
        </is>
      </c>
      <c r="D803" s="22" t="inlineStr">
        <is>
          <t>TWh</t>
        </is>
      </c>
      <c r="E803" s="65" t="n">
        <v>2022</v>
      </c>
      <c r="F803" s="66" t="n">
        <v>1811.9</v>
      </c>
      <c r="G803" s="69" t="inlineStr">
        <is>
          <t>Added since the report</t>
        </is>
      </c>
      <c r="H803" s="22" t="inlineStr">
        <is>
          <t>Eurostat (nrg_bal_s)</t>
        </is>
      </c>
      <c r="I803" s="35" t="inlineStr">
        <is>
          <t>esabcc-l8-bioenergy-use</t>
        </is>
      </c>
    </row>
    <row r="804" ht="14" customHeight="1">
      <c r="A804" s="15" t="inlineStr">
        <is>
          <t>L8</t>
        </is>
      </c>
      <c r="B804" s="15" t="inlineStr">
        <is>
          <t>Total bioenergy use (EU-27)</t>
        </is>
      </c>
      <c r="C804" s="15" t="inlineStr">
        <is>
          <t>LULUCF</t>
        </is>
      </c>
      <c r="D804" s="15" t="inlineStr">
        <is>
          <t>TWh</t>
        </is>
      </c>
      <c r="E804" s="63" t="n">
        <v>2023</v>
      </c>
      <c r="F804" s="64" t="n">
        <v>1766.3</v>
      </c>
      <c r="G804" s="68" t="inlineStr">
        <is>
          <t>Added since the report</t>
        </is>
      </c>
      <c r="H804" s="15" t="inlineStr">
        <is>
          <t>Eurostat (nrg_bal_s)</t>
        </is>
      </c>
      <c r="I804" s="34" t="inlineStr">
        <is>
          <t>esabcc-l8-bioenergy-use</t>
        </is>
      </c>
    </row>
    <row r="805" ht="14" customHeight="1">
      <c r="A805" s="22" t="inlineStr">
        <is>
          <t>L8</t>
        </is>
      </c>
      <c r="B805" s="22" t="inlineStr">
        <is>
          <t>Total bioenergy use (EU-27)</t>
        </is>
      </c>
      <c r="C805" s="22" t="inlineStr">
        <is>
          <t>LULUCF</t>
        </is>
      </c>
      <c r="D805" s="22" t="inlineStr">
        <is>
          <t>TWh</t>
        </is>
      </c>
      <c r="E805" s="65" t="n">
        <v>2024</v>
      </c>
      <c r="F805" s="66" t="n">
        <v>1761.2</v>
      </c>
      <c r="G805" s="69" t="inlineStr">
        <is>
          <t>Added since the report</t>
        </is>
      </c>
      <c r="H805" s="22" t="inlineStr">
        <is>
          <t>Eurostat (nrg_bal_s)</t>
        </is>
      </c>
      <c r="I805" s="35" t="inlineStr">
        <is>
          <t>esabcc-l8-bioenergy-use</t>
        </is>
      </c>
    </row>
    <row r="806" ht="14" customHeight="1">
      <c r="A806" s="15" t="inlineStr">
        <is>
          <t>F1</t>
        </is>
      </c>
      <c r="B806" s="15" t="inlineStr">
        <is>
          <t>EU fossil-fuel subsidies (FFST)</t>
        </is>
      </c>
      <c r="C806" s="15" t="inlineStr">
        <is>
          <t>Finance &amp; innovation</t>
        </is>
      </c>
      <c r="D806" s="15" t="inlineStr">
        <is>
          <t>billion EUR</t>
        </is>
      </c>
      <c r="E806" s="63" t="n">
        <v>2010</v>
      </c>
      <c r="F806" s="64" t="n">
        <v>46.1</v>
      </c>
      <c r="G806" s="14" t="inlineStr">
        <is>
          <t>In the 2024 report</t>
        </is>
      </c>
      <c r="H806" s="15" t="inlineStr">
        <is>
          <t>Fossil Fuel Subsidy Tracker; 2023: EC Report on Energy Subsidies in the EU (COM(2025)17)</t>
        </is>
      </c>
      <c r="I806" s="34" t="inlineStr">
        <is>
          <t>esabcc-f-fossil-subsidies</t>
        </is>
      </c>
    </row>
    <row r="807" ht="14" customHeight="1">
      <c r="A807" s="22" t="inlineStr">
        <is>
          <t>F1</t>
        </is>
      </c>
      <c r="B807" s="22" t="inlineStr">
        <is>
          <t>EU fossil-fuel subsidies (FFST)</t>
        </is>
      </c>
      <c r="C807" s="22" t="inlineStr">
        <is>
          <t>Finance &amp; innovation</t>
        </is>
      </c>
      <c r="D807" s="22" t="inlineStr">
        <is>
          <t>billion EUR</t>
        </is>
      </c>
      <c r="E807" s="65" t="n">
        <v>2011</v>
      </c>
      <c r="F807" s="66" t="n">
        <v>49.08</v>
      </c>
      <c r="G807" s="67" t="inlineStr">
        <is>
          <t>In the 2024 report</t>
        </is>
      </c>
      <c r="H807" s="22" t="inlineStr">
        <is>
          <t>Fossil Fuel Subsidy Tracker; 2023: EC Report on Energy Subsidies in the EU (COM(2025)17)</t>
        </is>
      </c>
      <c r="I807" s="35" t="inlineStr">
        <is>
          <t>esabcc-f-fossil-subsidies</t>
        </is>
      </c>
    </row>
    <row r="808" ht="14" customHeight="1">
      <c r="A808" s="15" t="inlineStr">
        <is>
          <t>F1</t>
        </is>
      </c>
      <c r="B808" s="15" t="inlineStr">
        <is>
          <t>EU fossil-fuel subsidies (FFST)</t>
        </is>
      </c>
      <c r="C808" s="15" t="inlineStr">
        <is>
          <t>Finance &amp; innovation</t>
        </is>
      </c>
      <c r="D808" s="15" t="inlineStr">
        <is>
          <t>billion EUR</t>
        </is>
      </c>
      <c r="E808" s="63" t="n">
        <v>2012</v>
      </c>
      <c r="F808" s="64" t="n">
        <v>48.05</v>
      </c>
      <c r="G808" s="14" t="inlineStr">
        <is>
          <t>In the 2024 report</t>
        </is>
      </c>
      <c r="H808" s="15" t="inlineStr">
        <is>
          <t>Fossil Fuel Subsidy Tracker; 2023: EC Report on Energy Subsidies in the EU (COM(2025)17)</t>
        </is>
      </c>
      <c r="I808" s="34" t="inlineStr">
        <is>
          <t>esabcc-f-fossil-subsidies</t>
        </is>
      </c>
    </row>
    <row r="809" ht="14" customHeight="1">
      <c r="A809" s="22" t="inlineStr">
        <is>
          <t>F1</t>
        </is>
      </c>
      <c r="B809" s="22" t="inlineStr">
        <is>
          <t>EU fossil-fuel subsidies (FFST)</t>
        </is>
      </c>
      <c r="C809" s="22" t="inlineStr">
        <is>
          <t>Finance &amp; innovation</t>
        </is>
      </c>
      <c r="D809" s="22" t="inlineStr">
        <is>
          <t>billion EUR</t>
        </is>
      </c>
      <c r="E809" s="65" t="n">
        <v>2013</v>
      </c>
      <c r="F809" s="66" t="n">
        <v>48.38</v>
      </c>
      <c r="G809" s="67" t="inlineStr">
        <is>
          <t>In the 2024 report</t>
        </is>
      </c>
      <c r="H809" s="22" t="inlineStr">
        <is>
          <t>Fossil Fuel Subsidy Tracker; 2023: EC Report on Energy Subsidies in the EU (COM(2025)17)</t>
        </is>
      </c>
      <c r="I809" s="35" t="inlineStr">
        <is>
          <t>esabcc-f-fossil-subsidies</t>
        </is>
      </c>
    </row>
    <row r="810" ht="14" customHeight="1">
      <c r="A810" s="15" t="inlineStr">
        <is>
          <t>F1</t>
        </is>
      </c>
      <c r="B810" s="15" t="inlineStr">
        <is>
          <t>EU fossil-fuel subsidies (FFST)</t>
        </is>
      </c>
      <c r="C810" s="15" t="inlineStr">
        <is>
          <t>Finance &amp; innovation</t>
        </is>
      </c>
      <c r="D810" s="15" t="inlineStr">
        <is>
          <t>billion EUR</t>
        </is>
      </c>
      <c r="E810" s="63" t="n">
        <v>2014</v>
      </c>
      <c r="F810" s="64" t="n">
        <v>48.25</v>
      </c>
      <c r="G810" s="14" t="inlineStr">
        <is>
          <t>In the 2024 report</t>
        </is>
      </c>
      <c r="H810" s="15" t="inlineStr">
        <is>
          <t>Fossil Fuel Subsidy Tracker; 2023: EC Report on Energy Subsidies in the EU (COM(2025)17)</t>
        </is>
      </c>
      <c r="I810" s="34" t="inlineStr">
        <is>
          <t>esabcc-f-fossil-subsidies</t>
        </is>
      </c>
    </row>
    <row r="811" ht="14" customHeight="1">
      <c r="A811" s="22" t="inlineStr">
        <is>
          <t>F1</t>
        </is>
      </c>
      <c r="B811" s="22" t="inlineStr">
        <is>
          <t>EU fossil-fuel subsidies (FFST)</t>
        </is>
      </c>
      <c r="C811" s="22" t="inlineStr">
        <is>
          <t>Finance &amp; innovation</t>
        </is>
      </c>
      <c r="D811" s="22" t="inlineStr">
        <is>
          <t>billion EUR</t>
        </is>
      </c>
      <c r="E811" s="65" t="n">
        <v>2015</v>
      </c>
      <c r="F811" s="66" t="n">
        <v>44.22</v>
      </c>
      <c r="G811" s="67" t="inlineStr">
        <is>
          <t>In the 2024 report</t>
        </is>
      </c>
      <c r="H811" s="22" t="inlineStr">
        <is>
          <t>Fossil Fuel Subsidy Tracker; 2023: EC Report on Energy Subsidies in the EU (COM(2025)17)</t>
        </is>
      </c>
      <c r="I811" s="35" t="inlineStr">
        <is>
          <t>esabcc-f-fossil-subsidies</t>
        </is>
      </c>
    </row>
    <row r="812" ht="14" customHeight="1">
      <c r="A812" s="15" t="inlineStr">
        <is>
          <t>F1</t>
        </is>
      </c>
      <c r="B812" s="15" t="inlineStr">
        <is>
          <t>EU fossil-fuel subsidies (FFST)</t>
        </is>
      </c>
      <c r="C812" s="15" t="inlineStr">
        <is>
          <t>Finance &amp; innovation</t>
        </is>
      </c>
      <c r="D812" s="15" t="inlineStr">
        <is>
          <t>billion EUR</t>
        </is>
      </c>
      <c r="E812" s="63" t="n">
        <v>2016</v>
      </c>
      <c r="F812" s="64" t="n">
        <v>45</v>
      </c>
      <c r="G812" s="14" t="inlineStr">
        <is>
          <t>In the 2024 report</t>
        </is>
      </c>
      <c r="H812" s="15" t="inlineStr">
        <is>
          <t>Fossil Fuel Subsidy Tracker; 2023: EC Report on Energy Subsidies in the EU (COM(2025)17)</t>
        </is>
      </c>
      <c r="I812" s="34" t="inlineStr">
        <is>
          <t>esabcc-f-fossil-subsidies</t>
        </is>
      </c>
    </row>
    <row r="813" ht="14" customHeight="1">
      <c r="A813" s="22" t="inlineStr">
        <is>
          <t>F1</t>
        </is>
      </c>
      <c r="B813" s="22" t="inlineStr">
        <is>
          <t>EU fossil-fuel subsidies (FFST)</t>
        </is>
      </c>
      <c r="C813" s="22" t="inlineStr">
        <is>
          <t>Finance &amp; innovation</t>
        </is>
      </c>
      <c r="D813" s="22" t="inlineStr">
        <is>
          <t>billion EUR</t>
        </is>
      </c>
      <c r="E813" s="65" t="n">
        <v>2017</v>
      </c>
      <c r="F813" s="66" t="n">
        <v>47.59</v>
      </c>
      <c r="G813" s="67" t="inlineStr">
        <is>
          <t>In the 2024 report</t>
        </is>
      </c>
      <c r="H813" s="22" t="inlineStr">
        <is>
          <t>Fossil Fuel Subsidy Tracker; 2023: EC Report on Energy Subsidies in the EU (COM(2025)17)</t>
        </is>
      </c>
      <c r="I813" s="35" t="inlineStr">
        <is>
          <t>esabcc-f-fossil-subsidies</t>
        </is>
      </c>
    </row>
    <row r="814" ht="14" customHeight="1">
      <c r="A814" s="15" t="inlineStr">
        <is>
          <t>F1</t>
        </is>
      </c>
      <c r="B814" s="15" t="inlineStr">
        <is>
          <t>EU fossil-fuel subsidies (FFST)</t>
        </is>
      </c>
      <c r="C814" s="15" t="inlineStr">
        <is>
          <t>Finance &amp; innovation</t>
        </is>
      </c>
      <c r="D814" s="15" t="inlineStr">
        <is>
          <t>billion EUR</t>
        </is>
      </c>
      <c r="E814" s="63" t="n">
        <v>2018</v>
      </c>
      <c r="F814" s="64" t="n">
        <v>53.77</v>
      </c>
      <c r="G814" s="14" t="inlineStr">
        <is>
          <t>In the 2024 report</t>
        </is>
      </c>
      <c r="H814" s="15" t="inlineStr">
        <is>
          <t>Fossil Fuel Subsidy Tracker; 2023: EC Report on Energy Subsidies in the EU (COM(2025)17)</t>
        </is>
      </c>
      <c r="I814" s="34" t="inlineStr">
        <is>
          <t>esabcc-f-fossil-subsidies</t>
        </is>
      </c>
    </row>
    <row r="815" ht="14" customHeight="1">
      <c r="A815" s="22" t="inlineStr">
        <is>
          <t>F1</t>
        </is>
      </c>
      <c r="B815" s="22" t="inlineStr">
        <is>
          <t>EU fossil-fuel subsidies (FFST)</t>
        </is>
      </c>
      <c r="C815" s="22" t="inlineStr">
        <is>
          <t>Finance &amp; innovation</t>
        </is>
      </c>
      <c r="D815" s="22" t="inlineStr">
        <is>
          <t>billion EUR</t>
        </is>
      </c>
      <c r="E815" s="65" t="n">
        <v>2019</v>
      </c>
      <c r="F815" s="66" t="n">
        <v>51.53</v>
      </c>
      <c r="G815" s="67" t="inlineStr">
        <is>
          <t>In the 2024 report</t>
        </is>
      </c>
      <c r="H815" s="22" t="inlineStr">
        <is>
          <t>Fossil Fuel Subsidy Tracker; 2023: EC Report on Energy Subsidies in the EU (COM(2025)17)</t>
        </is>
      </c>
      <c r="I815" s="35" t="inlineStr">
        <is>
          <t>esabcc-f-fossil-subsidies</t>
        </is>
      </c>
    </row>
    <row r="816" ht="14" customHeight="1">
      <c r="A816" s="15" t="inlineStr">
        <is>
          <t>F1</t>
        </is>
      </c>
      <c r="B816" s="15" t="inlineStr">
        <is>
          <t>EU fossil-fuel subsidies (FFST)</t>
        </is>
      </c>
      <c r="C816" s="15" t="inlineStr">
        <is>
          <t>Finance &amp; innovation</t>
        </is>
      </c>
      <c r="D816" s="15" t="inlineStr">
        <is>
          <t>billion EUR</t>
        </is>
      </c>
      <c r="E816" s="63" t="n">
        <v>2020</v>
      </c>
      <c r="F816" s="64" t="n">
        <v>50.78</v>
      </c>
      <c r="G816" s="14" t="inlineStr">
        <is>
          <t>In the 2024 report</t>
        </is>
      </c>
      <c r="H816" s="15" t="inlineStr">
        <is>
          <t>Fossil Fuel Subsidy Tracker; 2023: EC Report on Energy Subsidies in the EU (COM(2025)17)</t>
        </is>
      </c>
      <c r="I816" s="34" t="inlineStr">
        <is>
          <t>esabcc-f-fossil-subsidies</t>
        </is>
      </c>
    </row>
    <row r="817" ht="14" customHeight="1">
      <c r="A817" s="22" t="inlineStr">
        <is>
          <t>F1</t>
        </is>
      </c>
      <c r="B817" s="22" t="inlineStr">
        <is>
          <t>EU fossil-fuel subsidies (FFST)</t>
        </is>
      </c>
      <c r="C817" s="22" t="inlineStr">
        <is>
          <t>Finance &amp; innovation</t>
        </is>
      </c>
      <c r="D817" s="22" t="inlineStr">
        <is>
          <t>billion EUR</t>
        </is>
      </c>
      <c r="E817" s="65" t="n">
        <v>2021</v>
      </c>
      <c r="F817" s="66" t="n">
        <v>56</v>
      </c>
      <c r="G817" s="67" t="inlineStr">
        <is>
          <t>In the 2024 report</t>
        </is>
      </c>
      <c r="H817" s="22" t="inlineStr">
        <is>
          <t>Fossil Fuel Subsidy Tracker; 2023: EC Report on Energy Subsidies in the EU (COM(2025)17)</t>
        </is>
      </c>
      <c r="I817" s="35" t="inlineStr">
        <is>
          <t>esabcc-f-fossil-subsidies</t>
        </is>
      </c>
    </row>
    <row r="818" ht="14" customHeight="1">
      <c r="A818" s="15" t="inlineStr">
        <is>
          <t>F1</t>
        </is>
      </c>
      <c r="B818" s="15" t="inlineStr">
        <is>
          <t>EU fossil-fuel subsidies (FFST)</t>
        </is>
      </c>
      <c r="C818" s="15" t="inlineStr">
        <is>
          <t>Finance &amp; innovation</t>
        </is>
      </c>
      <c r="D818" s="15" t="inlineStr">
        <is>
          <t>billion EUR</t>
        </is>
      </c>
      <c r="E818" s="63" t="n">
        <v>2022</v>
      </c>
      <c r="F818" s="64" t="n">
        <v>122</v>
      </c>
      <c r="G818" s="14" t="inlineStr">
        <is>
          <t>In the 2024 report</t>
        </is>
      </c>
      <c r="H818" s="15" t="inlineStr">
        <is>
          <t>Fossil Fuel Subsidy Tracker; 2023: EC Report on Energy Subsidies in the EU (COM(2025)17)</t>
        </is>
      </c>
      <c r="I818" s="34" t="inlineStr">
        <is>
          <t>esabcc-f-fossil-subsidies</t>
        </is>
      </c>
    </row>
    <row r="819" ht="14" customHeight="1">
      <c r="A819" s="22" t="inlineStr">
        <is>
          <t>F1</t>
        </is>
      </c>
      <c r="B819" s="22" t="inlineStr">
        <is>
          <t>EU fossil-fuel subsidies (FFST)</t>
        </is>
      </c>
      <c r="C819" s="22" t="inlineStr">
        <is>
          <t>Finance &amp; innovation</t>
        </is>
      </c>
      <c r="D819" s="22" t="inlineStr">
        <is>
          <t>billion EUR</t>
        </is>
      </c>
      <c r="E819" s="65" t="n">
        <v>2023</v>
      </c>
      <c r="F819" s="66" t="n">
        <v>111</v>
      </c>
      <c r="G819" s="69" t="inlineStr">
        <is>
          <t>Added since the report</t>
        </is>
      </c>
      <c r="H819" s="22" t="inlineStr">
        <is>
          <t>Fossil Fuel Subsidy Tracker; 2023: EC Report on Energy Subsidies in the EU (COM(2025)17)</t>
        </is>
      </c>
      <c r="I819" s="35" t="inlineStr">
        <is>
          <t>esabcc-f-fossil-subsidies</t>
        </is>
      </c>
    </row>
    <row r="820" ht="14" customHeight="1">
      <c r="A820" s="15" t="inlineStr">
        <is>
          <t>F2</t>
        </is>
      </c>
      <c r="B820" s="15" t="inlineStr">
        <is>
          <t>EU green bond issuance</t>
        </is>
      </c>
      <c r="C820" s="15" t="inlineStr">
        <is>
          <t>Finance &amp; innovation</t>
        </is>
      </c>
      <c r="D820" s="15" t="inlineStr">
        <is>
          <t>billion EUR</t>
        </is>
      </c>
      <c r="E820" s="63" t="n">
        <v>2012</v>
      </c>
      <c r="F820" s="64" t="n">
        <v>0.391</v>
      </c>
      <c r="G820" s="14" t="inlineStr">
        <is>
          <t>In the 2024 report</t>
        </is>
      </c>
      <c r="H820" s="15" t="inlineStr">
        <is>
          <t>BloombergNEF</t>
        </is>
      </c>
      <c r="I820" s="34" t="inlineStr">
        <is>
          <t>esabcc-f-green-bonds</t>
        </is>
      </c>
    </row>
    <row r="821" ht="14" customHeight="1">
      <c r="A821" s="22" t="inlineStr">
        <is>
          <t>F2</t>
        </is>
      </c>
      <c r="B821" s="22" t="inlineStr">
        <is>
          <t>EU green bond issuance</t>
        </is>
      </c>
      <c r="C821" s="22" t="inlineStr">
        <is>
          <t>Finance &amp; innovation</t>
        </is>
      </c>
      <c r="D821" s="22" t="inlineStr">
        <is>
          <t>billion EUR</t>
        </is>
      </c>
      <c r="E821" s="65" t="n">
        <v>2013</v>
      </c>
      <c r="F821" s="66" t="n">
        <v>0.5600000000000001</v>
      </c>
      <c r="G821" s="67" t="inlineStr">
        <is>
          <t>In the 2024 report</t>
        </is>
      </c>
      <c r="H821" s="22" t="inlineStr">
        <is>
          <t>BloombergNEF</t>
        </is>
      </c>
      <c r="I821" s="35" t="inlineStr">
        <is>
          <t>esabcc-f-green-bonds</t>
        </is>
      </c>
    </row>
    <row r="822" ht="14" customHeight="1">
      <c r="A822" s="15" t="inlineStr">
        <is>
          <t>F2</t>
        </is>
      </c>
      <c r="B822" s="15" t="inlineStr">
        <is>
          <t>EU green bond issuance</t>
        </is>
      </c>
      <c r="C822" s="15" t="inlineStr">
        <is>
          <t>Finance &amp; innovation</t>
        </is>
      </c>
      <c r="D822" s="15" t="inlineStr">
        <is>
          <t>billion EUR</t>
        </is>
      </c>
      <c r="E822" s="63" t="n">
        <v>2014</v>
      </c>
      <c r="F822" s="64" t="n">
        <v>7.994</v>
      </c>
      <c r="G822" s="14" t="inlineStr">
        <is>
          <t>In the 2024 report</t>
        </is>
      </c>
      <c r="H822" s="15" t="inlineStr">
        <is>
          <t>BloombergNEF</t>
        </is>
      </c>
      <c r="I822" s="34" t="inlineStr">
        <is>
          <t>esabcc-f-green-bonds</t>
        </is>
      </c>
    </row>
    <row r="823" ht="14" customHeight="1">
      <c r="A823" s="22" t="inlineStr">
        <is>
          <t>F2</t>
        </is>
      </c>
      <c r="B823" s="22" t="inlineStr">
        <is>
          <t>EU green bond issuance</t>
        </is>
      </c>
      <c r="C823" s="22" t="inlineStr">
        <is>
          <t>Finance &amp; innovation</t>
        </is>
      </c>
      <c r="D823" s="22" t="inlineStr">
        <is>
          <t>billion EUR</t>
        </is>
      </c>
      <c r="E823" s="65" t="n">
        <v>2015</v>
      </c>
      <c r="F823" s="66" t="n">
        <v>9.585000000000001</v>
      </c>
      <c r="G823" s="67" t="inlineStr">
        <is>
          <t>In the 2024 report</t>
        </is>
      </c>
      <c r="H823" s="22" t="inlineStr">
        <is>
          <t>BloombergNEF</t>
        </is>
      </c>
      <c r="I823" s="35" t="inlineStr">
        <is>
          <t>esabcc-f-green-bonds</t>
        </is>
      </c>
    </row>
    <row r="824" ht="14" customHeight="1">
      <c r="A824" s="15" t="inlineStr">
        <is>
          <t>F2</t>
        </is>
      </c>
      <c r="B824" s="15" t="inlineStr">
        <is>
          <t>EU green bond issuance</t>
        </is>
      </c>
      <c r="C824" s="15" t="inlineStr">
        <is>
          <t>Finance &amp; innovation</t>
        </is>
      </c>
      <c r="D824" s="15" t="inlineStr">
        <is>
          <t>billion EUR</t>
        </is>
      </c>
      <c r="E824" s="63" t="n">
        <v>2016</v>
      </c>
      <c r="F824" s="64" t="n">
        <v>22.45</v>
      </c>
      <c r="G824" s="14" t="inlineStr">
        <is>
          <t>In the 2024 report</t>
        </is>
      </c>
      <c r="H824" s="15" t="inlineStr">
        <is>
          <t>BloombergNEF</t>
        </is>
      </c>
      <c r="I824" s="34" t="inlineStr">
        <is>
          <t>esabcc-f-green-bonds</t>
        </is>
      </c>
    </row>
    <row r="825" ht="14" customHeight="1">
      <c r="A825" s="22" t="inlineStr">
        <is>
          <t>F2</t>
        </is>
      </c>
      <c r="B825" s="22" t="inlineStr">
        <is>
          <t>EU green bond issuance</t>
        </is>
      </c>
      <c r="C825" s="22" t="inlineStr">
        <is>
          <t>Finance &amp; innovation</t>
        </is>
      </c>
      <c r="D825" s="22" t="inlineStr">
        <is>
          <t>billion EUR</t>
        </is>
      </c>
      <c r="E825" s="65" t="n">
        <v>2017</v>
      </c>
      <c r="F825" s="66" t="n">
        <v>68.98999999999999</v>
      </c>
      <c r="G825" s="67" t="inlineStr">
        <is>
          <t>In the 2024 report</t>
        </is>
      </c>
      <c r="H825" s="22" t="inlineStr">
        <is>
          <t>BloombergNEF</t>
        </is>
      </c>
      <c r="I825" s="35" t="inlineStr">
        <is>
          <t>esabcc-f-green-bonds</t>
        </is>
      </c>
    </row>
    <row r="826" ht="14" customHeight="1">
      <c r="A826" s="15" t="inlineStr">
        <is>
          <t>F2</t>
        </is>
      </c>
      <c r="B826" s="15" t="inlineStr">
        <is>
          <t>EU green bond issuance</t>
        </is>
      </c>
      <c r="C826" s="15" t="inlineStr">
        <is>
          <t>Finance &amp; innovation</t>
        </is>
      </c>
      <c r="D826" s="15" t="inlineStr">
        <is>
          <t>billion EUR</t>
        </is>
      </c>
      <c r="E826" s="63" t="n">
        <v>2018</v>
      </c>
      <c r="F826" s="64" t="n">
        <v>57.2</v>
      </c>
      <c r="G826" s="14" t="inlineStr">
        <is>
          <t>In the 2024 report</t>
        </is>
      </c>
      <c r="H826" s="15" t="inlineStr">
        <is>
          <t>BloombergNEF</t>
        </is>
      </c>
      <c r="I826" s="34" t="inlineStr">
        <is>
          <t>esabcc-f-green-bonds</t>
        </is>
      </c>
    </row>
    <row r="827" ht="14" customHeight="1">
      <c r="A827" s="22" t="inlineStr">
        <is>
          <t>F2</t>
        </is>
      </c>
      <c r="B827" s="22" t="inlineStr">
        <is>
          <t>EU green bond issuance</t>
        </is>
      </c>
      <c r="C827" s="22" t="inlineStr">
        <is>
          <t>Finance &amp; innovation</t>
        </is>
      </c>
      <c r="D827" s="22" t="inlineStr">
        <is>
          <t>billion EUR</t>
        </is>
      </c>
      <c r="E827" s="65" t="n">
        <v>2019</v>
      </c>
      <c r="F827" s="66" t="n">
        <v>113.9</v>
      </c>
      <c r="G827" s="67" t="inlineStr">
        <is>
          <t>In the 2024 report</t>
        </is>
      </c>
      <c r="H827" s="22" t="inlineStr">
        <is>
          <t>BloombergNEF</t>
        </is>
      </c>
      <c r="I827" s="35" t="inlineStr">
        <is>
          <t>esabcc-f-green-bonds</t>
        </is>
      </c>
    </row>
    <row r="828" ht="14" customHeight="1">
      <c r="A828" s="15" t="inlineStr">
        <is>
          <t>F2</t>
        </is>
      </c>
      <c r="B828" s="15" t="inlineStr">
        <is>
          <t>EU green bond issuance</t>
        </is>
      </c>
      <c r="C828" s="15" t="inlineStr">
        <is>
          <t>Finance &amp; innovation</t>
        </is>
      </c>
      <c r="D828" s="15" t="inlineStr">
        <is>
          <t>billion EUR</t>
        </is>
      </c>
      <c r="E828" s="63" t="n">
        <v>2020</v>
      </c>
      <c r="F828" s="64" t="n">
        <v>141.8</v>
      </c>
      <c r="G828" s="14" t="inlineStr">
        <is>
          <t>In the 2024 report</t>
        </is>
      </c>
      <c r="H828" s="15" t="inlineStr">
        <is>
          <t>BloombergNEF</t>
        </is>
      </c>
      <c r="I828" s="34" t="inlineStr">
        <is>
          <t>esabcc-f-green-bonds</t>
        </is>
      </c>
    </row>
    <row r="829" ht="14" customHeight="1">
      <c r="A829" s="22" t="inlineStr">
        <is>
          <t>F2</t>
        </is>
      </c>
      <c r="B829" s="22" t="inlineStr">
        <is>
          <t>EU green bond issuance</t>
        </is>
      </c>
      <c r="C829" s="22" t="inlineStr">
        <is>
          <t>Finance &amp; innovation</t>
        </is>
      </c>
      <c r="D829" s="22" t="inlineStr">
        <is>
          <t>billion EUR</t>
        </is>
      </c>
      <c r="E829" s="65" t="n">
        <v>2021</v>
      </c>
      <c r="F829" s="66" t="n">
        <v>261.5</v>
      </c>
      <c r="G829" s="67" t="inlineStr">
        <is>
          <t>In the 2024 report</t>
        </is>
      </c>
      <c r="H829" s="22" t="inlineStr">
        <is>
          <t>BloombergNEF</t>
        </is>
      </c>
      <c r="I829" s="35" t="inlineStr">
        <is>
          <t>esabcc-f-green-bonds</t>
        </is>
      </c>
    </row>
    <row r="830" ht="14" customHeight="1">
      <c r="A830" s="15" t="inlineStr">
        <is>
          <t>F2</t>
        </is>
      </c>
      <c r="B830" s="15" t="inlineStr">
        <is>
          <t>EU green bond issuance</t>
        </is>
      </c>
      <c r="C830" s="15" t="inlineStr">
        <is>
          <t>Finance &amp; innovation</t>
        </is>
      </c>
      <c r="D830" s="15" t="inlineStr">
        <is>
          <t>billion EUR</t>
        </is>
      </c>
      <c r="E830" s="63" t="n">
        <v>2022</v>
      </c>
      <c r="F830" s="64" t="n">
        <v>243</v>
      </c>
      <c r="G830" s="14" t="inlineStr">
        <is>
          <t>In the 2024 report</t>
        </is>
      </c>
      <c r="H830" s="15" t="inlineStr">
        <is>
          <t>BloombergNEF</t>
        </is>
      </c>
      <c r="I830" s="34" t="inlineStr">
        <is>
          <t>esabcc-f-green-bonds</t>
        </is>
      </c>
    </row>
    <row r="831" ht="14" customHeight="1">
      <c r="A831" s="22" t="inlineStr">
        <is>
          <t>F2 (share)</t>
        </is>
      </c>
      <c r="B831" s="22" t="inlineStr">
        <is>
          <t>Green share of EU bond issuance</t>
        </is>
      </c>
      <c r="C831" s="22" t="inlineStr">
        <is>
          <t>Finance &amp; innovation</t>
        </is>
      </c>
      <c r="D831" s="22" t="inlineStr">
        <is>
          <t>%</t>
        </is>
      </c>
      <c r="E831" s="65" t="n">
        <v>2012</v>
      </c>
      <c r="F831" s="66" t="n">
        <v>0.08</v>
      </c>
      <c r="G831" s="67" t="inlineStr">
        <is>
          <t>In the 2024 report</t>
        </is>
      </c>
      <c r="H831" s="22" t="inlineStr">
        <is>
          <t>BloombergNEF (2012-2022); EEA "Green bonds in Europe", LSEG Data &amp; Analytics (2023+)</t>
        </is>
      </c>
      <c r="I831" s="35" t="inlineStr">
        <is>
          <t>esabcc-f-green-bonds-share</t>
        </is>
      </c>
    </row>
    <row r="832" ht="14" customHeight="1">
      <c r="A832" s="15" t="inlineStr">
        <is>
          <t>F2 (share)</t>
        </is>
      </c>
      <c r="B832" s="15" t="inlineStr">
        <is>
          <t>Green share of EU bond issuance</t>
        </is>
      </c>
      <c r="C832" s="15" t="inlineStr">
        <is>
          <t>Finance &amp; innovation</t>
        </is>
      </c>
      <c r="D832" s="15" t="inlineStr">
        <is>
          <t>%</t>
        </is>
      </c>
      <c r="E832" s="63" t="n">
        <v>2013</v>
      </c>
      <c r="F832" s="64" t="n">
        <v>0.1</v>
      </c>
      <c r="G832" s="14" t="inlineStr">
        <is>
          <t>In the 2024 report</t>
        </is>
      </c>
      <c r="H832" s="15" t="inlineStr">
        <is>
          <t>BloombergNEF (2012-2022); EEA "Green bonds in Europe", LSEG Data &amp; Analytics (2023+)</t>
        </is>
      </c>
      <c r="I832" s="34" t="inlineStr">
        <is>
          <t>esabcc-f-green-bonds-share</t>
        </is>
      </c>
    </row>
    <row r="833" ht="14" customHeight="1">
      <c r="A833" s="22" t="inlineStr">
        <is>
          <t>F2 (share)</t>
        </is>
      </c>
      <c r="B833" s="22" t="inlineStr">
        <is>
          <t>Green share of EU bond issuance</t>
        </is>
      </c>
      <c r="C833" s="22" t="inlineStr">
        <is>
          <t>Finance &amp; innovation</t>
        </is>
      </c>
      <c r="D833" s="22" t="inlineStr">
        <is>
          <t>%</t>
        </is>
      </c>
      <c r="E833" s="65" t="n">
        <v>2014</v>
      </c>
      <c r="F833" s="66" t="n">
        <v>0.83</v>
      </c>
      <c r="G833" s="67" t="inlineStr">
        <is>
          <t>In the 2024 report</t>
        </is>
      </c>
      <c r="H833" s="22" t="inlineStr">
        <is>
          <t>BloombergNEF (2012-2022); EEA "Green bonds in Europe", LSEG Data &amp; Analytics (2023+)</t>
        </is>
      </c>
      <c r="I833" s="35" t="inlineStr">
        <is>
          <t>esabcc-f-green-bonds-share</t>
        </is>
      </c>
    </row>
    <row r="834" ht="14" customHeight="1">
      <c r="A834" s="15" t="inlineStr">
        <is>
          <t>F2 (share)</t>
        </is>
      </c>
      <c r="B834" s="15" t="inlineStr">
        <is>
          <t>Green share of EU bond issuance</t>
        </is>
      </c>
      <c r="C834" s="15" t="inlineStr">
        <is>
          <t>Finance &amp; innovation</t>
        </is>
      </c>
      <c r="D834" s="15" t="inlineStr">
        <is>
          <t>%</t>
        </is>
      </c>
      <c r="E834" s="63" t="n">
        <v>2015</v>
      </c>
      <c r="F834" s="64" t="n">
        <v>0.85</v>
      </c>
      <c r="G834" s="14" t="inlineStr">
        <is>
          <t>In the 2024 report</t>
        </is>
      </c>
      <c r="H834" s="15" t="inlineStr">
        <is>
          <t>BloombergNEF (2012-2022); EEA "Green bonds in Europe", LSEG Data &amp; Analytics (2023+)</t>
        </is>
      </c>
      <c r="I834" s="34" t="inlineStr">
        <is>
          <t>esabcc-f-green-bonds-share</t>
        </is>
      </c>
    </row>
    <row r="835" ht="14" customHeight="1">
      <c r="A835" s="22" t="inlineStr">
        <is>
          <t>F2 (share)</t>
        </is>
      </c>
      <c r="B835" s="22" t="inlineStr">
        <is>
          <t>Green share of EU bond issuance</t>
        </is>
      </c>
      <c r="C835" s="22" t="inlineStr">
        <is>
          <t>Finance &amp; innovation</t>
        </is>
      </c>
      <c r="D835" s="22" t="inlineStr">
        <is>
          <t>%</t>
        </is>
      </c>
      <c r="E835" s="65" t="n">
        <v>2016</v>
      </c>
      <c r="F835" s="66" t="n">
        <v>1.69</v>
      </c>
      <c r="G835" s="67" t="inlineStr">
        <is>
          <t>In the 2024 report</t>
        </is>
      </c>
      <c r="H835" s="22" t="inlineStr">
        <is>
          <t>BloombergNEF (2012-2022); EEA "Green bonds in Europe", LSEG Data &amp; Analytics (2023+)</t>
        </is>
      </c>
      <c r="I835" s="35" t="inlineStr">
        <is>
          <t>esabcc-f-green-bonds-share</t>
        </is>
      </c>
    </row>
    <row r="836" ht="14" customHeight="1">
      <c r="A836" s="15" t="inlineStr">
        <is>
          <t>F2 (share)</t>
        </is>
      </c>
      <c r="B836" s="15" t="inlineStr">
        <is>
          <t>Green share of EU bond issuance</t>
        </is>
      </c>
      <c r="C836" s="15" t="inlineStr">
        <is>
          <t>Finance &amp; innovation</t>
        </is>
      </c>
      <c r="D836" s="15" t="inlineStr">
        <is>
          <t>%</t>
        </is>
      </c>
      <c r="E836" s="63" t="n">
        <v>2017</v>
      </c>
      <c r="F836" s="64" t="n">
        <v>4.18</v>
      </c>
      <c r="G836" s="14" t="inlineStr">
        <is>
          <t>In the 2024 report</t>
        </is>
      </c>
      <c r="H836" s="15" t="inlineStr">
        <is>
          <t>BloombergNEF (2012-2022); EEA "Green bonds in Europe", LSEG Data &amp; Analytics (2023+)</t>
        </is>
      </c>
      <c r="I836" s="34" t="inlineStr">
        <is>
          <t>esabcc-f-green-bonds-share</t>
        </is>
      </c>
    </row>
    <row r="837" ht="14" customHeight="1">
      <c r="A837" s="22" t="inlineStr">
        <is>
          <t>F2 (share)</t>
        </is>
      </c>
      <c r="B837" s="22" t="inlineStr">
        <is>
          <t>Green share of EU bond issuance</t>
        </is>
      </c>
      <c r="C837" s="22" t="inlineStr">
        <is>
          <t>Finance &amp; innovation</t>
        </is>
      </c>
      <c r="D837" s="22" t="inlineStr">
        <is>
          <t>%</t>
        </is>
      </c>
      <c r="E837" s="65" t="n">
        <v>2018</v>
      </c>
      <c r="F837" s="66" t="n">
        <v>3.19</v>
      </c>
      <c r="G837" s="67" t="inlineStr">
        <is>
          <t>In the 2024 report</t>
        </is>
      </c>
      <c r="H837" s="22" t="inlineStr">
        <is>
          <t>BloombergNEF (2012-2022); EEA "Green bonds in Europe", LSEG Data &amp; Analytics (2023+)</t>
        </is>
      </c>
      <c r="I837" s="35" t="inlineStr">
        <is>
          <t>esabcc-f-green-bonds-share</t>
        </is>
      </c>
    </row>
    <row r="838" ht="14" customHeight="1">
      <c r="A838" s="15" t="inlineStr">
        <is>
          <t>F2 (share)</t>
        </is>
      </c>
      <c r="B838" s="15" t="inlineStr">
        <is>
          <t>Green share of EU bond issuance</t>
        </is>
      </c>
      <c r="C838" s="15" t="inlineStr">
        <is>
          <t>Finance &amp; innovation</t>
        </is>
      </c>
      <c r="D838" s="15" t="inlineStr">
        <is>
          <t>%</t>
        </is>
      </c>
      <c r="E838" s="63" t="n">
        <v>2019</v>
      </c>
      <c r="F838" s="64" t="n">
        <v>4.82</v>
      </c>
      <c r="G838" s="14" t="inlineStr">
        <is>
          <t>In the 2024 report</t>
        </is>
      </c>
      <c r="H838" s="15" t="inlineStr">
        <is>
          <t>BloombergNEF (2012-2022); EEA "Green bonds in Europe", LSEG Data &amp; Analytics (2023+)</t>
        </is>
      </c>
      <c r="I838" s="34" t="inlineStr">
        <is>
          <t>esabcc-f-green-bonds-share</t>
        </is>
      </c>
    </row>
    <row r="839" ht="14" customHeight="1">
      <c r="A839" s="22" t="inlineStr">
        <is>
          <t>F2 (share)</t>
        </is>
      </c>
      <c r="B839" s="22" t="inlineStr">
        <is>
          <t>Green share of EU bond issuance</t>
        </is>
      </c>
      <c r="C839" s="22" t="inlineStr">
        <is>
          <t>Finance &amp; innovation</t>
        </is>
      </c>
      <c r="D839" s="22" t="inlineStr">
        <is>
          <t>%</t>
        </is>
      </c>
      <c r="E839" s="65" t="n">
        <v>2020</v>
      </c>
      <c r="F839" s="66" t="n">
        <v>4.57</v>
      </c>
      <c r="G839" s="67" t="inlineStr">
        <is>
          <t>In the 2024 report</t>
        </is>
      </c>
      <c r="H839" s="22" t="inlineStr">
        <is>
          <t>BloombergNEF (2012-2022); EEA "Green bonds in Europe", LSEG Data &amp; Analytics (2023+)</t>
        </is>
      </c>
      <c r="I839" s="35" t="inlineStr">
        <is>
          <t>esabcc-f-green-bonds-share</t>
        </is>
      </c>
    </row>
    <row r="840" ht="14" customHeight="1">
      <c r="A840" s="15" t="inlineStr">
        <is>
          <t>F2 (share)</t>
        </is>
      </c>
      <c r="B840" s="15" t="inlineStr">
        <is>
          <t>Green share of EU bond issuance</t>
        </is>
      </c>
      <c r="C840" s="15" t="inlineStr">
        <is>
          <t>Finance &amp; innovation</t>
        </is>
      </c>
      <c r="D840" s="15" t="inlineStr">
        <is>
          <t>%</t>
        </is>
      </c>
      <c r="E840" s="63" t="n">
        <v>2021</v>
      </c>
      <c r="F840" s="64" t="n">
        <v>8.08</v>
      </c>
      <c r="G840" s="14" t="inlineStr">
        <is>
          <t>In the 2024 report</t>
        </is>
      </c>
      <c r="H840" s="15" t="inlineStr">
        <is>
          <t>BloombergNEF (2012-2022); EEA "Green bonds in Europe", LSEG Data &amp; Analytics (2023+)</t>
        </is>
      </c>
      <c r="I840" s="34" t="inlineStr">
        <is>
          <t>esabcc-f-green-bonds-share</t>
        </is>
      </c>
    </row>
    <row r="841" ht="14" customHeight="1">
      <c r="A841" s="22" t="inlineStr">
        <is>
          <t>F2 (share)</t>
        </is>
      </c>
      <c r="B841" s="22" t="inlineStr">
        <is>
          <t>Green share of EU bond issuance</t>
        </is>
      </c>
      <c r="C841" s="22" t="inlineStr">
        <is>
          <t>Finance &amp; innovation</t>
        </is>
      </c>
      <c r="D841" s="22" t="inlineStr">
        <is>
          <t>%</t>
        </is>
      </c>
      <c r="E841" s="65" t="n">
        <v>2022</v>
      </c>
      <c r="F841" s="66" t="n">
        <v>6.74</v>
      </c>
      <c r="G841" s="67" t="inlineStr">
        <is>
          <t>In the 2024 report</t>
        </is>
      </c>
      <c r="H841" s="22" t="inlineStr">
        <is>
          <t>BloombergNEF (2012-2022); EEA "Green bonds in Europe", LSEG Data &amp; Analytics (2023+)</t>
        </is>
      </c>
      <c r="I841" s="35" t="inlineStr">
        <is>
          <t>esabcc-f-green-bonds-share</t>
        </is>
      </c>
    </row>
    <row r="842" ht="14" customHeight="1">
      <c r="A842" s="15" t="inlineStr">
        <is>
          <t>F2 (share)</t>
        </is>
      </c>
      <c r="B842" s="15" t="inlineStr">
        <is>
          <t>Green share of EU bond issuance</t>
        </is>
      </c>
      <c r="C842" s="15" t="inlineStr">
        <is>
          <t>Finance &amp; innovation</t>
        </is>
      </c>
      <c r="D842" s="15" t="inlineStr">
        <is>
          <t>%</t>
        </is>
      </c>
      <c r="E842" s="63" t="n">
        <v>2023</v>
      </c>
      <c r="F842" s="64" t="n">
        <v>5.3</v>
      </c>
      <c r="G842" s="68" t="inlineStr">
        <is>
          <t>Added since the report</t>
        </is>
      </c>
      <c r="H842" s="15" t="inlineStr">
        <is>
          <t>BloombergNEF (2012-2022); EEA "Green bonds in Europe", LSEG Data &amp; Analytics (2023+)</t>
        </is>
      </c>
      <c r="I842" s="34" t="inlineStr">
        <is>
          <t>esabcc-f-green-bonds-share</t>
        </is>
      </c>
    </row>
    <row r="843" ht="14" customHeight="1">
      <c r="A843" s="22" t="inlineStr">
        <is>
          <t>F2 (share)</t>
        </is>
      </c>
      <c r="B843" s="22" t="inlineStr">
        <is>
          <t>Green share of EU bond issuance</t>
        </is>
      </c>
      <c r="C843" s="22" t="inlineStr">
        <is>
          <t>Finance &amp; innovation</t>
        </is>
      </c>
      <c r="D843" s="22" t="inlineStr">
        <is>
          <t>%</t>
        </is>
      </c>
      <c r="E843" s="65" t="n">
        <v>2024</v>
      </c>
      <c r="F843" s="66" t="n">
        <v>6.9</v>
      </c>
      <c r="G843" s="69" t="inlineStr">
        <is>
          <t>Added since the report</t>
        </is>
      </c>
      <c r="H843" s="22" t="inlineStr">
        <is>
          <t>BloombergNEF (2012-2022); EEA "Green bonds in Europe", LSEG Data &amp; Analytics (2023+)</t>
        </is>
      </c>
      <c r="I843" s="35" t="inlineStr">
        <is>
          <t>esabcc-f-green-bonds-share</t>
        </is>
      </c>
    </row>
    <row r="844" ht="14" customHeight="1">
      <c r="A844" s="15" t="inlineStr">
        <is>
          <t>F3</t>
        </is>
      </c>
      <c r="B844" s="15" t="inlineStr">
        <is>
          <t>EU R&amp;D expenditure (GERD)</t>
        </is>
      </c>
      <c r="C844" s="15" t="inlineStr">
        <is>
          <t>Finance &amp; innovation</t>
        </is>
      </c>
      <c r="D844" s="15" t="inlineStr">
        <is>
          <t>% of GDP</t>
        </is>
      </c>
      <c r="E844" s="63" t="n">
        <v>2012</v>
      </c>
      <c r="F844" s="64" t="n">
        <v>2.02</v>
      </c>
      <c r="G844" s="14" t="inlineStr">
        <is>
          <t>In the 2024 report</t>
        </is>
      </c>
      <c r="H844" s="15" t="inlineStr">
        <is>
          <t>Eurostat (rd_e_gerdtot)</t>
        </is>
      </c>
      <c r="I844" s="34" t="inlineStr">
        <is>
          <t>esabcc-f-gerd</t>
        </is>
      </c>
    </row>
    <row r="845" ht="14" customHeight="1">
      <c r="A845" s="22" t="inlineStr">
        <is>
          <t>F3</t>
        </is>
      </c>
      <c r="B845" s="22" t="inlineStr">
        <is>
          <t>EU R&amp;D expenditure (GERD)</t>
        </is>
      </c>
      <c r="C845" s="22" t="inlineStr">
        <is>
          <t>Finance &amp; innovation</t>
        </is>
      </c>
      <c r="D845" s="22" t="inlineStr">
        <is>
          <t>% of GDP</t>
        </is>
      </c>
      <c r="E845" s="65" t="n">
        <v>2013</v>
      </c>
      <c r="F845" s="66" t="n">
        <v>2.08</v>
      </c>
      <c r="G845" s="67" t="inlineStr">
        <is>
          <t>In the 2024 report</t>
        </is>
      </c>
      <c r="H845" s="22" t="inlineStr">
        <is>
          <t>Eurostat (rd_e_gerdtot)</t>
        </is>
      </c>
      <c r="I845" s="35" t="inlineStr">
        <is>
          <t>esabcc-f-gerd</t>
        </is>
      </c>
    </row>
    <row r="846" ht="14" customHeight="1">
      <c r="A846" s="15" t="inlineStr">
        <is>
          <t>F3</t>
        </is>
      </c>
      <c r="B846" s="15" t="inlineStr">
        <is>
          <t>EU R&amp;D expenditure (GERD)</t>
        </is>
      </c>
      <c r="C846" s="15" t="inlineStr">
        <is>
          <t>Finance &amp; innovation</t>
        </is>
      </c>
      <c r="D846" s="15" t="inlineStr">
        <is>
          <t>% of GDP</t>
        </is>
      </c>
      <c r="E846" s="63" t="n">
        <v>2014</v>
      </c>
      <c r="F846" s="64" t="n">
        <v>2.1</v>
      </c>
      <c r="G846" s="14" t="inlineStr">
        <is>
          <t>In the 2024 report</t>
        </is>
      </c>
      <c r="H846" s="15" t="inlineStr">
        <is>
          <t>Eurostat (rd_e_gerdtot)</t>
        </is>
      </c>
      <c r="I846" s="34" t="inlineStr">
        <is>
          <t>esabcc-f-gerd</t>
        </is>
      </c>
    </row>
    <row r="847" ht="14" customHeight="1">
      <c r="A847" s="22" t="inlineStr">
        <is>
          <t>F3</t>
        </is>
      </c>
      <c r="B847" s="22" t="inlineStr">
        <is>
          <t>EU R&amp;D expenditure (GERD)</t>
        </is>
      </c>
      <c r="C847" s="22" t="inlineStr">
        <is>
          <t>Finance &amp; innovation</t>
        </is>
      </c>
      <c r="D847" s="22" t="inlineStr">
        <is>
          <t>% of GDP</t>
        </is>
      </c>
      <c r="E847" s="65" t="n">
        <v>2015</v>
      </c>
      <c r="F847" s="66" t="n">
        <v>2.11</v>
      </c>
      <c r="G847" s="67" t="inlineStr">
        <is>
          <t>In the 2024 report</t>
        </is>
      </c>
      <c r="H847" s="22" t="inlineStr">
        <is>
          <t>Eurostat (rd_e_gerdtot)</t>
        </is>
      </c>
      <c r="I847" s="35" t="inlineStr">
        <is>
          <t>esabcc-f-gerd</t>
        </is>
      </c>
    </row>
    <row r="848" ht="14" customHeight="1">
      <c r="A848" s="15" t="inlineStr">
        <is>
          <t>F3</t>
        </is>
      </c>
      <c r="B848" s="15" t="inlineStr">
        <is>
          <t>EU R&amp;D expenditure (GERD)</t>
        </is>
      </c>
      <c r="C848" s="15" t="inlineStr">
        <is>
          <t>Finance &amp; innovation</t>
        </is>
      </c>
      <c r="D848" s="15" t="inlineStr">
        <is>
          <t>% of GDP</t>
        </is>
      </c>
      <c r="E848" s="63" t="n">
        <v>2016</v>
      </c>
      <c r="F848" s="64" t="n">
        <v>2.12</v>
      </c>
      <c r="G848" s="14" t="inlineStr">
        <is>
          <t>In the 2024 report</t>
        </is>
      </c>
      <c r="H848" s="15" t="inlineStr">
        <is>
          <t>Eurostat (rd_e_gerdtot)</t>
        </is>
      </c>
      <c r="I848" s="34" t="inlineStr">
        <is>
          <t>esabcc-f-gerd</t>
        </is>
      </c>
    </row>
    <row r="849" ht="14" customHeight="1">
      <c r="A849" s="22" t="inlineStr">
        <is>
          <t>F3</t>
        </is>
      </c>
      <c r="B849" s="22" t="inlineStr">
        <is>
          <t>EU R&amp;D expenditure (GERD)</t>
        </is>
      </c>
      <c r="C849" s="22" t="inlineStr">
        <is>
          <t>Finance &amp; innovation</t>
        </is>
      </c>
      <c r="D849" s="22" t="inlineStr">
        <is>
          <t>% of GDP</t>
        </is>
      </c>
      <c r="E849" s="65" t="n">
        <v>2017</v>
      </c>
      <c r="F849" s="66" t="n">
        <v>2.12</v>
      </c>
      <c r="G849" s="67" t="inlineStr">
        <is>
          <t>In the 2024 report</t>
        </is>
      </c>
      <c r="H849" s="22" t="inlineStr">
        <is>
          <t>Eurostat (rd_e_gerdtot)</t>
        </is>
      </c>
      <c r="I849" s="35" t="inlineStr">
        <is>
          <t>esabcc-f-gerd</t>
        </is>
      </c>
    </row>
    <row r="850" ht="14" customHeight="1">
      <c r="A850" s="15" t="inlineStr">
        <is>
          <t>F3</t>
        </is>
      </c>
      <c r="B850" s="15" t="inlineStr">
        <is>
          <t>EU R&amp;D expenditure (GERD)</t>
        </is>
      </c>
      <c r="C850" s="15" t="inlineStr">
        <is>
          <t>Finance &amp; innovation</t>
        </is>
      </c>
      <c r="D850" s="15" t="inlineStr">
        <is>
          <t>% of GDP</t>
        </is>
      </c>
      <c r="E850" s="63" t="n">
        <v>2018</v>
      </c>
      <c r="F850" s="64" t="n">
        <v>2.15</v>
      </c>
      <c r="G850" s="14" t="inlineStr">
        <is>
          <t>In the 2024 report</t>
        </is>
      </c>
      <c r="H850" s="15" t="inlineStr">
        <is>
          <t>Eurostat (rd_e_gerdtot)</t>
        </is>
      </c>
      <c r="I850" s="34" t="inlineStr">
        <is>
          <t>esabcc-f-gerd</t>
        </is>
      </c>
    </row>
    <row r="851" ht="14" customHeight="1">
      <c r="A851" s="22" t="inlineStr">
        <is>
          <t>F3</t>
        </is>
      </c>
      <c r="B851" s="22" t="inlineStr">
        <is>
          <t>EU R&amp;D expenditure (GERD)</t>
        </is>
      </c>
      <c r="C851" s="22" t="inlineStr">
        <is>
          <t>Finance &amp; innovation</t>
        </is>
      </c>
      <c r="D851" s="22" t="inlineStr">
        <is>
          <t>% of GDP</t>
        </is>
      </c>
      <c r="E851" s="65" t="n">
        <v>2019</v>
      </c>
      <c r="F851" s="66" t="n">
        <v>2.19</v>
      </c>
      <c r="G851" s="67" t="inlineStr">
        <is>
          <t>In the 2024 report</t>
        </is>
      </c>
      <c r="H851" s="22" t="inlineStr">
        <is>
          <t>Eurostat (rd_e_gerdtot)</t>
        </is>
      </c>
      <c r="I851" s="35" t="inlineStr">
        <is>
          <t>esabcc-f-gerd</t>
        </is>
      </c>
    </row>
    <row r="852" ht="14" customHeight="1">
      <c r="A852" s="15" t="inlineStr">
        <is>
          <t>F3</t>
        </is>
      </c>
      <c r="B852" s="15" t="inlineStr">
        <is>
          <t>EU R&amp;D expenditure (GERD)</t>
        </is>
      </c>
      <c r="C852" s="15" t="inlineStr">
        <is>
          <t>Finance &amp; innovation</t>
        </is>
      </c>
      <c r="D852" s="15" t="inlineStr">
        <is>
          <t>% of GDP</t>
        </is>
      </c>
      <c r="E852" s="63" t="n">
        <v>2020</v>
      </c>
      <c r="F852" s="64" t="n">
        <v>2.23</v>
      </c>
      <c r="G852" s="14" t="inlineStr">
        <is>
          <t>In the 2024 report</t>
        </is>
      </c>
      <c r="H852" s="15" t="inlineStr">
        <is>
          <t>Eurostat (rd_e_gerdtot)</t>
        </is>
      </c>
      <c r="I852" s="34" t="inlineStr">
        <is>
          <t>esabcc-f-gerd</t>
        </is>
      </c>
    </row>
    <row r="853" ht="14" customHeight="1">
      <c r="A853" s="22" t="inlineStr">
        <is>
          <t>F3</t>
        </is>
      </c>
      <c r="B853" s="22" t="inlineStr">
        <is>
          <t>EU R&amp;D expenditure (GERD)</t>
        </is>
      </c>
      <c r="C853" s="22" t="inlineStr">
        <is>
          <t>Finance &amp; innovation</t>
        </is>
      </c>
      <c r="D853" s="22" t="inlineStr">
        <is>
          <t>% of GDP</t>
        </is>
      </c>
      <c r="E853" s="65" t="n">
        <v>2021</v>
      </c>
      <c r="F853" s="66" t="n">
        <v>2.31</v>
      </c>
      <c r="G853" s="67" t="inlineStr">
        <is>
          <t>In the 2024 report</t>
        </is>
      </c>
      <c r="H853" s="22" t="inlineStr">
        <is>
          <t>Eurostat (rd_e_gerdtot)</t>
        </is>
      </c>
      <c r="I853" s="35" t="inlineStr">
        <is>
          <t>esabcc-f-gerd</t>
        </is>
      </c>
    </row>
    <row r="854" ht="14" customHeight="1">
      <c r="A854" s="15" t="inlineStr">
        <is>
          <t>F3</t>
        </is>
      </c>
      <c r="B854" s="15" t="inlineStr">
        <is>
          <t>EU R&amp;D expenditure (GERD)</t>
        </is>
      </c>
      <c r="C854" s="15" t="inlineStr">
        <is>
          <t>Finance &amp; innovation</t>
        </is>
      </c>
      <c r="D854" s="15" t="inlineStr">
        <is>
          <t>% of GDP</t>
        </is>
      </c>
      <c r="E854" s="63" t="n">
        <v>2022</v>
      </c>
      <c r="F854" s="64" t="n">
        <v>2.27</v>
      </c>
      <c r="G854" s="14" t="inlineStr">
        <is>
          <t>In the 2024 report</t>
        </is>
      </c>
      <c r="H854" s="15" t="inlineStr">
        <is>
          <t>Eurostat (rd_e_gerdtot)</t>
        </is>
      </c>
      <c r="I854" s="34" t="inlineStr">
        <is>
          <t>esabcc-f-gerd</t>
        </is>
      </c>
    </row>
    <row r="855" ht="14" customHeight="1">
      <c r="A855" s="22" t="inlineStr">
        <is>
          <t>F3</t>
        </is>
      </c>
      <c r="B855" s="22" t="inlineStr">
        <is>
          <t>EU R&amp;D expenditure (GERD)</t>
        </is>
      </c>
      <c r="C855" s="22" t="inlineStr">
        <is>
          <t>Finance &amp; innovation</t>
        </is>
      </c>
      <c r="D855" s="22" t="inlineStr">
        <is>
          <t>% of GDP</t>
        </is>
      </c>
      <c r="E855" s="65" t="n">
        <v>2023</v>
      </c>
      <c r="F855" s="66" t="n">
        <v>2.26</v>
      </c>
      <c r="G855" s="69" t="inlineStr">
        <is>
          <t>Added since the report</t>
        </is>
      </c>
      <c r="H855" s="22" t="inlineStr">
        <is>
          <t>Eurostat (rd_e_gerdtot)</t>
        </is>
      </c>
      <c r="I855" s="35" t="inlineStr">
        <is>
          <t>esabcc-f-gerd</t>
        </is>
      </c>
    </row>
    <row r="856" ht="14" customHeight="1">
      <c r="A856" s="15" t="inlineStr">
        <is>
          <t>F3</t>
        </is>
      </c>
      <c r="B856" s="15" t="inlineStr">
        <is>
          <t>EU R&amp;D expenditure (GERD)</t>
        </is>
      </c>
      <c r="C856" s="15" t="inlineStr">
        <is>
          <t>Finance &amp; innovation</t>
        </is>
      </c>
      <c r="D856" s="15" t="inlineStr">
        <is>
          <t>% of GDP</t>
        </is>
      </c>
      <c r="E856" s="63" t="n">
        <v>2024</v>
      </c>
      <c r="F856" s="64" t="n">
        <v>2.24</v>
      </c>
      <c r="G856" s="68" t="inlineStr">
        <is>
          <t>Added since the report</t>
        </is>
      </c>
      <c r="H856" s="15" t="inlineStr">
        <is>
          <t>Eurostat (rd_e_gerdtot)</t>
        </is>
      </c>
      <c r="I856" s="34" t="inlineStr">
        <is>
          <t>esabcc-f-gerd</t>
        </is>
      </c>
    </row>
    <row r="857" ht="14" customHeight="1">
      <c r="A857" s="22" t="inlineStr">
        <is>
          <t>F4</t>
        </is>
      </c>
      <c r="B857" s="22" t="inlineStr">
        <is>
          <t>Climate-related share of EU patent filings</t>
        </is>
      </c>
      <c r="C857" s="22" t="inlineStr">
        <is>
          <t>Finance &amp; innovation</t>
        </is>
      </c>
      <c r="D857" s="22" t="inlineStr">
        <is>
          <t>%</t>
        </is>
      </c>
      <c r="E857" s="65" t="n">
        <v>2008</v>
      </c>
      <c r="F857" s="66" t="n">
        <v>11.92</v>
      </c>
      <c r="G857" s="67" t="inlineStr">
        <is>
          <t>In the 2024 report</t>
        </is>
      </c>
      <c r="H857" s="22" t="inlineStr">
        <is>
          <t>OECD Green Growth Indicators</t>
        </is>
      </c>
      <c r="I857" s="35" t="inlineStr">
        <is>
          <t>esabcc-f-climate-patents-share</t>
        </is>
      </c>
    </row>
    <row r="858" ht="14" customHeight="1">
      <c r="A858" s="15" t="inlineStr">
        <is>
          <t>F4</t>
        </is>
      </c>
      <c r="B858" s="15" t="inlineStr">
        <is>
          <t>Climate-related share of EU patent filings</t>
        </is>
      </c>
      <c r="C858" s="15" t="inlineStr">
        <is>
          <t>Finance &amp; innovation</t>
        </is>
      </c>
      <c r="D858" s="15" t="inlineStr">
        <is>
          <t>%</t>
        </is>
      </c>
      <c r="E858" s="63" t="n">
        <v>2009</v>
      </c>
      <c r="F858" s="64" t="n">
        <v>13.28</v>
      </c>
      <c r="G858" s="14" t="inlineStr">
        <is>
          <t>In the 2024 report</t>
        </is>
      </c>
      <c r="H858" s="15" t="inlineStr">
        <is>
          <t>OECD Green Growth Indicators</t>
        </is>
      </c>
      <c r="I858" s="34" t="inlineStr">
        <is>
          <t>esabcc-f-climate-patents-share</t>
        </is>
      </c>
    </row>
    <row r="859" ht="14" customHeight="1">
      <c r="A859" s="22" t="inlineStr">
        <is>
          <t>F4</t>
        </is>
      </c>
      <c r="B859" s="22" t="inlineStr">
        <is>
          <t>Climate-related share of EU patent filings</t>
        </is>
      </c>
      <c r="C859" s="22" t="inlineStr">
        <is>
          <t>Finance &amp; innovation</t>
        </is>
      </c>
      <c r="D859" s="22" t="inlineStr">
        <is>
          <t>%</t>
        </is>
      </c>
      <c r="E859" s="65" t="n">
        <v>2010</v>
      </c>
      <c r="F859" s="66" t="n">
        <v>13.76</v>
      </c>
      <c r="G859" s="67" t="inlineStr">
        <is>
          <t>In the 2024 report</t>
        </is>
      </c>
      <c r="H859" s="22" t="inlineStr">
        <is>
          <t>OECD Green Growth Indicators</t>
        </is>
      </c>
      <c r="I859" s="35" t="inlineStr">
        <is>
          <t>esabcc-f-climate-patents-share</t>
        </is>
      </c>
    </row>
    <row r="860" ht="14" customHeight="1">
      <c r="A860" s="15" t="inlineStr">
        <is>
          <t>F4</t>
        </is>
      </c>
      <c r="B860" s="15" t="inlineStr">
        <is>
          <t>Climate-related share of EU patent filings</t>
        </is>
      </c>
      <c r="C860" s="15" t="inlineStr">
        <is>
          <t>Finance &amp; innovation</t>
        </is>
      </c>
      <c r="D860" s="15" t="inlineStr">
        <is>
          <t>%</t>
        </is>
      </c>
      <c r="E860" s="63" t="n">
        <v>2011</v>
      </c>
      <c r="F860" s="64" t="n">
        <v>14.3</v>
      </c>
      <c r="G860" s="14" t="inlineStr">
        <is>
          <t>In the 2024 report</t>
        </is>
      </c>
      <c r="H860" s="15" t="inlineStr">
        <is>
          <t>OECD Green Growth Indicators</t>
        </is>
      </c>
      <c r="I860" s="34" t="inlineStr">
        <is>
          <t>esabcc-f-climate-patents-share</t>
        </is>
      </c>
    </row>
    <row r="861" ht="14" customHeight="1">
      <c r="A861" s="22" t="inlineStr">
        <is>
          <t>F4</t>
        </is>
      </c>
      <c r="B861" s="22" t="inlineStr">
        <is>
          <t>Climate-related share of EU patent filings</t>
        </is>
      </c>
      <c r="C861" s="22" t="inlineStr">
        <is>
          <t>Finance &amp; innovation</t>
        </is>
      </c>
      <c r="D861" s="22" t="inlineStr">
        <is>
          <t>%</t>
        </is>
      </c>
      <c r="E861" s="65" t="n">
        <v>2012</v>
      </c>
      <c r="F861" s="66" t="n">
        <v>14.12</v>
      </c>
      <c r="G861" s="67" t="inlineStr">
        <is>
          <t>In the 2024 report</t>
        </is>
      </c>
      <c r="H861" s="22" t="inlineStr">
        <is>
          <t>OECD Green Growth Indicators</t>
        </is>
      </c>
      <c r="I861" s="35" t="inlineStr">
        <is>
          <t>esabcc-f-climate-patents-share</t>
        </is>
      </c>
    </row>
    <row r="862" ht="14" customHeight="1">
      <c r="A862" s="15" t="inlineStr">
        <is>
          <t>F4</t>
        </is>
      </c>
      <c r="B862" s="15" t="inlineStr">
        <is>
          <t>Climate-related share of EU patent filings</t>
        </is>
      </c>
      <c r="C862" s="15" t="inlineStr">
        <is>
          <t>Finance &amp; innovation</t>
        </is>
      </c>
      <c r="D862" s="15" t="inlineStr">
        <is>
          <t>%</t>
        </is>
      </c>
      <c r="E862" s="63" t="n">
        <v>2013</v>
      </c>
      <c r="F862" s="64" t="n">
        <v>13.13</v>
      </c>
      <c r="G862" s="14" t="inlineStr">
        <is>
          <t>In the 2024 report</t>
        </is>
      </c>
      <c r="H862" s="15" t="inlineStr">
        <is>
          <t>OECD Green Growth Indicators</t>
        </is>
      </c>
      <c r="I862" s="34" t="inlineStr">
        <is>
          <t>esabcc-f-climate-patents-share</t>
        </is>
      </c>
    </row>
    <row r="863" ht="14" customHeight="1">
      <c r="A863" s="22" t="inlineStr">
        <is>
          <t>F4</t>
        </is>
      </c>
      <c r="B863" s="22" t="inlineStr">
        <is>
          <t>Climate-related share of EU patent filings</t>
        </is>
      </c>
      <c r="C863" s="22" t="inlineStr">
        <is>
          <t>Finance &amp; innovation</t>
        </is>
      </c>
      <c r="D863" s="22" t="inlineStr">
        <is>
          <t>%</t>
        </is>
      </c>
      <c r="E863" s="65" t="n">
        <v>2014</v>
      </c>
      <c r="F863" s="66" t="n">
        <v>12.93</v>
      </c>
      <c r="G863" s="67" t="inlineStr">
        <is>
          <t>In the 2024 report</t>
        </is>
      </c>
      <c r="H863" s="22" t="inlineStr">
        <is>
          <t>OECD Green Growth Indicators</t>
        </is>
      </c>
      <c r="I863" s="35" t="inlineStr">
        <is>
          <t>esabcc-f-climate-patents-share</t>
        </is>
      </c>
    </row>
    <row r="864" ht="14" customHeight="1">
      <c r="A864" s="15" t="inlineStr">
        <is>
          <t>F4</t>
        </is>
      </c>
      <c r="B864" s="15" t="inlineStr">
        <is>
          <t>Climate-related share of EU patent filings</t>
        </is>
      </c>
      <c r="C864" s="15" t="inlineStr">
        <is>
          <t>Finance &amp; innovation</t>
        </is>
      </c>
      <c r="D864" s="15" t="inlineStr">
        <is>
          <t>%</t>
        </is>
      </c>
      <c r="E864" s="63" t="n">
        <v>2015</v>
      </c>
      <c r="F864" s="64" t="n">
        <v>12.75</v>
      </c>
      <c r="G864" s="14" t="inlineStr">
        <is>
          <t>In the 2024 report</t>
        </is>
      </c>
      <c r="H864" s="15" t="inlineStr">
        <is>
          <t>OECD Green Growth Indicators</t>
        </is>
      </c>
      <c r="I864" s="34" t="inlineStr">
        <is>
          <t>esabcc-f-climate-patents-share</t>
        </is>
      </c>
    </row>
    <row r="865" ht="14" customHeight="1">
      <c r="A865" s="22" t="inlineStr">
        <is>
          <t>F4</t>
        </is>
      </c>
      <c r="B865" s="22" t="inlineStr">
        <is>
          <t>Climate-related share of EU patent filings</t>
        </is>
      </c>
      <c r="C865" s="22" t="inlineStr">
        <is>
          <t>Finance &amp; innovation</t>
        </is>
      </c>
      <c r="D865" s="22" t="inlineStr">
        <is>
          <t>%</t>
        </is>
      </c>
      <c r="E865" s="65" t="n">
        <v>2016</v>
      </c>
      <c r="F865" s="66" t="n">
        <v>12.65</v>
      </c>
      <c r="G865" s="67" t="inlineStr">
        <is>
          <t>In the 2024 report</t>
        </is>
      </c>
      <c r="H865" s="22" t="inlineStr">
        <is>
          <t>OECD Green Growth Indicators</t>
        </is>
      </c>
      <c r="I865" s="35" t="inlineStr">
        <is>
          <t>esabcc-f-climate-patents-share</t>
        </is>
      </c>
    </row>
    <row r="866" ht="14" customHeight="1">
      <c r="A866" s="15" t="inlineStr">
        <is>
          <t>F4</t>
        </is>
      </c>
      <c r="B866" s="15" t="inlineStr">
        <is>
          <t>Climate-related share of EU patent filings</t>
        </is>
      </c>
      <c r="C866" s="15" t="inlineStr">
        <is>
          <t>Finance &amp; innovation</t>
        </is>
      </c>
      <c r="D866" s="15" t="inlineStr">
        <is>
          <t>%</t>
        </is>
      </c>
      <c r="E866" s="63" t="n">
        <v>2017</v>
      </c>
      <c r="F866" s="64" t="n">
        <v>12.91</v>
      </c>
      <c r="G866" s="14" t="inlineStr">
        <is>
          <t>In the 2024 report</t>
        </is>
      </c>
      <c r="H866" s="15" t="inlineStr">
        <is>
          <t>OECD Green Growth Indicators</t>
        </is>
      </c>
      <c r="I866" s="34" t="inlineStr">
        <is>
          <t>esabcc-f-climate-patents-share</t>
        </is>
      </c>
    </row>
    <row r="867" ht="14" customHeight="1">
      <c r="A867" s="22" t="inlineStr">
        <is>
          <t>F4</t>
        </is>
      </c>
      <c r="B867" s="22" t="inlineStr">
        <is>
          <t>Climate-related share of EU patent filings</t>
        </is>
      </c>
      <c r="C867" s="22" t="inlineStr">
        <is>
          <t>Finance &amp; innovation</t>
        </is>
      </c>
      <c r="D867" s="22" t="inlineStr">
        <is>
          <t>%</t>
        </is>
      </c>
      <c r="E867" s="65" t="n">
        <v>2018</v>
      </c>
      <c r="F867" s="66" t="n">
        <v>12.93</v>
      </c>
      <c r="G867" s="67" t="inlineStr">
        <is>
          <t>In the 2024 report</t>
        </is>
      </c>
      <c r="H867" s="22" t="inlineStr">
        <is>
          <t>OECD Green Growth Indicators</t>
        </is>
      </c>
      <c r="I867" s="35" t="inlineStr">
        <is>
          <t>esabcc-f-climate-patents-share</t>
        </is>
      </c>
    </row>
    <row r="868" ht="14" customHeight="1">
      <c r="A868" s="15" t="inlineStr">
        <is>
          <t>F4</t>
        </is>
      </c>
      <c r="B868" s="15" t="inlineStr">
        <is>
          <t>Climate-related share of EU patent filings</t>
        </is>
      </c>
      <c r="C868" s="15" t="inlineStr">
        <is>
          <t>Finance &amp; innovation</t>
        </is>
      </c>
      <c r="D868" s="15" t="inlineStr">
        <is>
          <t>%</t>
        </is>
      </c>
      <c r="E868" s="63" t="n">
        <v>2019</v>
      </c>
      <c r="F868" s="64" t="n">
        <v>11.94</v>
      </c>
      <c r="G868" s="14" t="inlineStr">
        <is>
          <t>In the 2024 report</t>
        </is>
      </c>
      <c r="H868" s="15" t="inlineStr">
        <is>
          <t>OECD Green Growth Indicators</t>
        </is>
      </c>
      <c r="I868" s="34" t="inlineStr">
        <is>
          <t>esabcc-f-climate-patents-share</t>
        </is>
      </c>
    </row>
    <row r="869" ht="14" customHeight="1">
      <c r="A869" s="22" t="inlineStr">
        <is>
          <t>F5</t>
        </is>
      </c>
      <c r="B869" s="22" t="inlineStr">
        <is>
          <t>Cleantech venture &amp; growth investment in the EU</t>
        </is>
      </c>
      <c r="C869" s="22" t="inlineStr">
        <is>
          <t>Finance &amp; innovation</t>
        </is>
      </c>
      <c r="D869" s="22" t="inlineStr">
        <is>
          <t>% of GDP</t>
        </is>
      </c>
      <c r="E869" s="65" t="n">
        <v>2018</v>
      </c>
      <c r="F869" s="66" t="n">
        <v>0.02</v>
      </c>
      <c r="G869" s="67" t="inlineStr">
        <is>
          <t>In the 2024 report</t>
        </is>
      </c>
      <c r="H869" s="22" t="inlineStr">
        <is>
          <t>Cleantech for Europe</t>
        </is>
      </c>
      <c r="I869" s="35" t="inlineStr">
        <is>
          <t>esabcc-f-cleantech-investment</t>
        </is>
      </c>
    </row>
    <row r="870" ht="14" customHeight="1">
      <c r="A870" s="15" t="inlineStr">
        <is>
          <t>F5</t>
        </is>
      </c>
      <c r="B870" s="15" t="inlineStr">
        <is>
          <t>Cleantech venture &amp; growth investment in the EU</t>
        </is>
      </c>
      <c r="C870" s="15" t="inlineStr">
        <is>
          <t>Finance &amp; innovation</t>
        </is>
      </c>
      <c r="D870" s="15" t="inlineStr">
        <is>
          <t>% of GDP</t>
        </is>
      </c>
      <c r="E870" s="63" t="n">
        <v>2019</v>
      </c>
      <c r="F870" s="64" t="n">
        <v>0.03</v>
      </c>
      <c r="G870" s="14" t="inlineStr">
        <is>
          <t>In the 2024 report</t>
        </is>
      </c>
      <c r="H870" s="15" t="inlineStr">
        <is>
          <t>Cleantech for Europe</t>
        </is>
      </c>
      <c r="I870" s="34" t="inlineStr">
        <is>
          <t>esabcc-f-cleantech-investment</t>
        </is>
      </c>
    </row>
    <row r="871" ht="14" customHeight="1">
      <c r="A871" s="22" t="inlineStr">
        <is>
          <t>F5</t>
        </is>
      </c>
      <c r="B871" s="22" t="inlineStr">
        <is>
          <t>Cleantech venture &amp; growth investment in the EU</t>
        </is>
      </c>
      <c r="C871" s="22" t="inlineStr">
        <is>
          <t>Finance &amp; innovation</t>
        </is>
      </c>
      <c r="D871" s="22" t="inlineStr">
        <is>
          <t>% of GDP</t>
        </is>
      </c>
      <c r="E871" s="65" t="n">
        <v>2020</v>
      </c>
      <c r="F871" s="66" t="n">
        <v>0.03</v>
      </c>
      <c r="G871" s="67" t="inlineStr">
        <is>
          <t>In the 2024 report</t>
        </is>
      </c>
      <c r="H871" s="22" t="inlineStr">
        <is>
          <t>Cleantech for Europe</t>
        </is>
      </c>
      <c r="I871" s="35" t="inlineStr">
        <is>
          <t>esabcc-f-cleantech-investment</t>
        </is>
      </c>
    </row>
    <row r="872" ht="14" customHeight="1">
      <c r="A872" s="15" t="inlineStr">
        <is>
          <t>F5</t>
        </is>
      </c>
      <c r="B872" s="15" t="inlineStr">
        <is>
          <t>Cleantech venture &amp; growth investment in the EU</t>
        </is>
      </c>
      <c r="C872" s="15" t="inlineStr">
        <is>
          <t>Finance &amp; innovation</t>
        </is>
      </c>
      <c r="D872" s="15" t="inlineStr">
        <is>
          <t>% of GDP</t>
        </is>
      </c>
      <c r="E872" s="63" t="n">
        <v>2021</v>
      </c>
      <c r="F872" s="64" t="n">
        <v>0.07000000000000001</v>
      </c>
      <c r="G872" s="14" t="inlineStr">
        <is>
          <t>In the 2024 report</t>
        </is>
      </c>
      <c r="H872" s="15" t="inlineStr">
        <is>
          <t>Cleantech for Europe</t>
        </is>
      </c>
      <c r="I872" s="34" t="inlineStr">
        <is>
          <t>esabcc-f-cleantech-investment</t>
        </is>
      </c>
    </row>
    <row r="873" ht="14" customHeight="1">
      <c r="A873" s="22" t="inlineStr">
        <is>
          <t>F5</t>
        </is>
      </c>
      <c r="B873" s="22" t="inlineStr">
        <is>
          <t>Cleantech venture &amp; growth investment in the EU</t>
        </is>
      </c>
      <c r="C873" s="22" t="inlineStr">
        <is>
          <t>Finance &amp; innovation</t>
        </is>
      </c>
      <c r="D873" s="22" t="inlineStr">
        <is>
          <t>% of GDP</t>
        </is>
      </c>
      <c r="E873" s="65" t="n">
        <v>2022</v>
      </c>
      <c r="F873" s="66" t="n">
        <v>0.06</v>
      </c>
      <c r="G873" s="67" t="inlineStr">
        <is>
          <t>In the 2024 report</t>
        </is>
      </c>
      <c r="H873" s="22" t="inlineStr">
        <is>
          <t>Cleantech for Europe</t>
        </is>
      </c>
      <c r="I873" s="35" t="inlineStr">
        <is>
          <t>esabcc-f-cleantech-investment</t>
        </is>
      </c>
    </row>
    <row r="874" ht="14" customHeight="1">
      <c r="A874" s="15" t="inlineStr">
        <is>
          <t>F5</t>
        </is>
      </c>
      <c r="B874" s="15" t="inlineStr">
        <is>
          <t>Cleantech venture &amp; growth investment in the EU</t>
        </is>
      </c>
      <c r="C874" s="15" t="inlineStr">
        <is>
          <t>Finance &amp; innovation</t>
        </is>
      </c>
      <c r="D874" s="15" t="inlineStr">
        <is>
          <t>% of GDP</t>
        </is>
      </c>
      <c r="E874" s="63" t="n">
        <v>2023</v>
      </c>
      <c r="F874" s="64" t="n">
        <v>0.07000000000000001</v>
      </c>
      <c r="G874" s="68" t="inlineStr">
        <is>
          <t>Added since the report</t>
        </is>
      </c>
      <c r="H874" s="15" t="inlineStr">
        <is>
          <t>Cleantech for Europe</t>
        </is>
      </c>
      <c r="I874" s="34" t="inlineStr">
        <is>
          <t>esabcc-f-cleantech-investment</t>
        </is>
      </c>
    </row>
    <row r="875" ht="14" customHeight="1">
      <c r="A875" s="22" t="inlineStr">
        <is>
          <t>F5</t>
        </is>
      </c>
      <c r="B875" s="22" t="inlineStr">
        <is>
          <t>Cleantech venture &amp; growth investment in the EU</t>
        </is>
      </c>
      <c r="C875" s="22" t="inlineStr">
        <is>
          <t>Finance &amp; innovation</t>
        </is>
      </c>
      <c r="D875" s="22" t="inlineStr">
        <is>
          <t>% of GDP</t>
        </is>
      </c>
      <c r="E875" s="65" t="n">
        <v>2024</v>
      </c>
      <c r="F875" s="66" t="n">
        <v>0.05</v>
      </c>
      <c r="G875" s="69" t="inlineStr">
        <is>
          <t>Added since the report</t>
        </is>
      </c>
      <c r="H875" s="22" t="inlineStr">
        <is>
          <t>Cleantech for Europe</t>
        </is>
      </c>
      <c r="I875" s="35" t="inlineStr">
        <is>
          <t>esabcc-f-cleantech-investment</t>
        </is>
      </c>
    </row>
    <row r="876" ht="14" customHeight="1">
      <c r="A876" s="15" t="inlineStr">
        <is>
          <t>F5</t>
        </is>
      </c>
      <c r="B876" s="15" t="inlineStr">
        <is>
          <t>Cleantech venture &amp; growth investment in the EU</t>
        </is>
      </c>
      <c r="C876" s="15" t="inlineStr">
        <is>
          <t>Finance &amp; innovation</t>
        </is>
      </c>
      <c r="D876" s="15" t="inlineStr">
        <is>
          <t>% of GDP</t>
        </is>
      </c>
      <c r="E876" s="63" t="n">
        <v>2025</v>
      </c>
      <c r="F876" s="64" t="n">
        <v>0.04</v>
      </c>
      <c r="G876" s="68" t="inlineStr">
        <is>
          <t>Added since the report</t>
        </is>
      </c>
      <c r="H876" s="15" t="inlineStr">
        <is>
          <t>Cleantech for Europe</t>
        </is>
      </c>
      <c r="I876" s="34" t="inlineStr">
        <is>
          <t>esabcc-f-cleantech-investment</t>
        </is>
      </c>
    </row>
    <row r="877" ht="14" customHeight="1">
      <c r="A877" s="22" t="inlineStr">
        <is>
          <t>I2 (steel, production)</t>
        </is>
      </c>
      <c r="B877" s="22" t="inlineStr">
        <is>
          <t>Steel production (EU)</t>
        </is>
      </c>
      <c r="C877" s="22" t="inlineStr">
        <is>
          <t>Industry</t>
        </is>
      </c>
      <c r="D877" s="22" t="inlineStr">
        <is>
          <t>Mt</t>
        </is>
      </c>
      <c r="E877" s="65" t="n">
        <v>2008</v>
      </c>
      <c r="F877" s="66" t="n">
        <v>185</v>
      </c>
      <c r="G877" s="67" t="inlineStr">
        <is>
          <t>In the 2024 report</t>
        </is>
      </c>
      <c r="H877" s="22" t="inlineStr">
        <is>
          <t>Eurofer, Steel in figures 2022</t>
        </is>
      </c>
      <c r="I877" s="35" t="inlineStr">
        <is>
          <t>esabcc-i2-steel-production</t>
        </is>
      </c>
    </row>
    <row r="878" ht="14" customHeight="1">
      <c r="A878" s="15" t="inlineStr">
        <is>
          <t>I2 (steel, production)</t>
        </is>
      </c>
      <c r="B878" s="15" t="inlineStr">
        <is>
          <t>Steel production (EU)</t>
        </is>
      </c>
      <c r="C878" s="15" t="inlineStr">
        <is>
          <t>Industry</t>
        </is>
      </c>
      <c r="D878" s="15" t="inlineStr">
        <is>
          <t>Mt</t>
        </is>
      </c>
      <c r="E878" s="63" t="n">
        <v>2009</v>
      </c>
      <c r="F878" s="64" t="n">
        <v>129.3</v>
      </c>
      <c r="G878" s="14" t="inlineStr">
        <is>
          <t>In the 2024 report</t>
        </is>
      </c>
      <c r="H878" s="15" t="inlineStr">
        <is>
          <t>Eurofer, Steel in figures 2022</t>
        </is>
      </c>
      <c r="I878" s="34" t="inlineStr">
        <is>
          <t>esabcc-i2-steel-production</t>
        </is>
      </c>
    </row>
    <row r="879" ht="14" customHeight="1">
      <c r="A879" s="22" t="inlineStr">
        <is>
          <t>I2 (steel, production)</t>
        </is>
      </c>
      <c r="B879" s="22" t="inlineStr">
        <is>
          <t>Steel production (EU)</t>
        </is>
      </c>
      <c r="C879" s="22" t="inlineStr">
        <is>
          <t>Industry</t>
        </is>
      </c>
      <c r="D879" s="22" t="inlineStr">
        <is>
          <t>Mt</t>
        </is>
      </c>
      <c r="E879" s="65" t="n">
        <v>2010</v>
      </c>
      <c r="F879" s="66" t="n">
        <v>163.1</v>
      </c>
      <c r="G879" s="67" t="inlineStr">
        <is>
          <t>In the 2024 report</t>
        </is>
      </c>
      <c r="H879" s="22" t="inlineStr">
        <is>
          <t>Eurofer, Steel in figures 2022</t>
        </is>
      </c>
      <c r="I879" s="35" t="inlineStr">
        <is>
          <t>esabcc-i2-steel-production</t>
        </is>
      </c>
    </row>
    <row r="880" ht="14" customHeight="1">
      <c r="A880" s="15" t="inlineStr">
        <is>
          <t>I2 (steel, production)</t>
        </is>
      </c>
      <c r="B880" s="15" t="inlineStr">
        <is>
          <t>Steel production (EU)</t>
        </is>
      </c>
      <c r="C880" s="15" t="inlineStr">
        <is>
          <t>Industry</t>
        </is>
      </c>
      <c r="D880" s="15" t="inlineStr">
        <is>
          <t>Mt</t>
        </is>
      </c>
      <c r="E880" s="63" t="n">
        <v>2011</v>
      </c>
      <c r="F880" s="64" t="n">
        <v>168.1</v>
      </c>
      <c r="G880" s="14" t="inlineStr">
        <is>
          <t>In the 2024 report</t>
        </is>
      </c>
      <c r="H880" s="15" t="inlineStr">
        <is>
          <t>Eurofer, Steel in figures 2022</t>
        </is>
      </c>
      <c r="I880" s="34" t="inlineStr">
        <is>
          <t>esabcc-i2-steel-production</t>
        </is>
      </c>
    </row>
    <row r="881" ht="14" customHeight="1">
      <c r="A881" s="22" t="inlineStr">
        <is>
          <t>I2 (steel, production)</t>
        </is>
      </c>
      <c r="B881" s="22" t="inlineStr">
        <is>
          <t>Steel production (EU)</t>
        </is>
      </c>
      <c r="C881" s="22" t="inlineStr">
        <is>
          <t>Industry</t>
        </is>
      </c>
      <c r="D881" s="22" t="inlineStr">
        <is>
          <t>Mt</t>
        </is>
      </c>
      <c r="E881" s="65" t="n">
        <v>2012</v>
      </c>
      <c r="F881" s="66" t="n">
        <v>159</v>
      </c>
      <c r="G881" s="67" t="inlineStr">
        <is>
          <t>In the 2024 report</t>
        </is>
      </c>
      <c r="H881" s="22" t="inlineStr">
        <is>
          <t>Eurofer, Steel in figures 2022</t>
        </is>
      </c>
      <c r="I881" s="35" t="inlineStr">
        <is>
          <t>esabcc-i2-steel-production</t>
        </is>
      </c>
    </row>
    <row r="882" ht="14" customHeight="1">
      <c r="A882" s="15" t="inlineStr">
        <is>
          <t>I2 (steel, production)</t>
        </is>
      </c>
      <c r="B882" s="15" t="inlineStr">
        <is>
          <t>Steel production (EU)</t>
        </is>
      </c>
      <c r="C882" s="15" t="inlineStr">
        <is>
          <t>Industry</t>
        </is>
      </c>
      <c r="D882" s="15" t="inlineStr">
        <is>
          <t>Mt</t>
        </is>
      </c>
      <c r="E882" s="63" t="n">
        <v>2013</v>
      </c>
      <c r="F882" s="64" t="n">
        <v>154.3</v>
      </c>
      <c r="G882" s="14" t="inlineStr">
        <is>
          <t>In the 2024 report</t>
        </is>
      </c>
      <c r="H882" s="15" t="inlineStr">
        <is>
          <t>Eurofer, Steel in figures 2022</t>
        </is>
      </c>
      <c r="I882" s="34" t="inlineStr">
        <is>
          <t>esabcc-i2-steel-production</t>
        </is>
      </c>
    </row>
    <row r="883" ht="14" customHeight="1">
      <c r="A883" s="22" t="inlineStr">
        <is>
          <t>I2 (steel, production)</t>
        </is>
      </c>
      <c r="B883" s="22" t="inlineStr">
        <is>
          <t>Steel production (EU)</t>
        </is>
      </c>
      <c r="C883" s="22" t="inlineStr">
        <is>
          <t>Industry</t>
        </is>
      </c>
      <c r="D883" s="22" t="inlineStr">
        <is>
          <t>Mt</t>
        </is>
      </c>
      <c r="E883" s="65" t="n">
        <v>2014</v>
      </c>
      <c r="F883" s="66" t="n">
        <v>157.1</v>
      </c>
      <c r="G883" s="67" t="inlineStr">
        <is>
          <t>In the 2024 report</t>
        </is>
      </c>
      <c r="H883" s="22" t="inlineStr">
        <is>
          <t>Eurofer, Steel in figures 2022</t>
        </is>
      </c>
      <c r="I883" s="35" t="inlineStr">
        <is>
          <t>esabcc-i2-steel-production</t>
        </is>
      </c>
    </row>
    <row r="884" ht="14" customHeight="1">
      <c r="A884" s="15" t="inlineStr">
        <is>
          <t>I2 (steel, production)</t>
        </is>
      </c>
      <c r="B884" s="15" t="inlineStr">
        <is>
          <t>Steel production (EU)</t>
        </is>
      </c>
      <c r="C884" s="15" t="inlineStr">
        <is>
          <t>Industry</t>
        </is>
      </c>
      <c r="D884" s="15" t="inlineStr">
        <is>
          <t>Mt</t>
        </is>
      </c>
      <c r="E884" s="63" t="n">
        <v>2015</v>
      </c>
      <c r="F884" s="64" t="n">
        <v>155.1</v>
      </c>
      <c r="G884" s="14" t="inlineStr">
        <is>
          <t>In the 2024 report</t>
        </is>
      </c>
      <c r="H884" s="15" t="inlineStr">
        <is>
          <t>Eurofer, Steel in figures 2022</t>
        </is>
      </c>
      <c r="I884" s="34" t="inlineStr">
        <is>
          <t>esabcc-i2-steel-production</t>
        </is>
      </c>
    </row>
    <row r="885" ht="14" customHeight="1">
      <c r="A885" s="22" t="inlineStr">
        <is>
          <t>I2 (steel, production)</t>
        </is>
      </c>
      <c r="B885" s="22" t="inlineStr">
        <is>
          <t>Steel production (EU)</t>
        </is>
      </c>
      <c r="C885" s="22" t="inlineStr">
        <is>
          <t>Industry</t>
        </is>
      </c>
      <c r="D885" s="22" t="inlineStr">
        <is>
          <t>Mt</t>
        </is>
      </c>
      <c r="E885" s="65" t="n">
        <v>2016</v>
      </c>
      <c r="F885" s="66" t="n">
        <v>154.3</v>
      </c>
      <c r="G885" s="67" t="inlineStr">
        <is>
          <t>In the 2024 report</t>
        </is>
      </c>
      <c r="H885" s="22" t="inlineStr">
        <is>
          <t>Eurofer, Steel in figures 2022</t>
        </is>
      </c>
      <c r="I885" s="35" t="inlineStr">
        <is>
          <t>esabcc-i2-steel-production</t>
        </is>
      </c>
    </row>
    <row r="886" ht="14" customHeight="1">
      <c r="A886" s="15" t="inlineStr">
        <is>
          <t>I2 (steel, production)</t>
        </is>
      </c>
      <c r="B886" s="15" t="inlineStr">
        <is>
          <t>Steel production (EU)</t>
        </is>
      </c>
      <c r="C886" s="15" t="inlineStr">
        <is>
          <t>Industry</t>
        </is>
      </c>
      <c r="D886" s="15" t="inlineStr">
        <is>
          <t>Mt</t>
        </is>
      </c>
      <c r="E886" s="63" t="n">
        <v>2017</v>
      </c>
      <c r="F886" s="64" t="n">
        <v>160.9</v>
      </c>
      <c r="G886" s="14" t="inlineStr">
        <is>
          <t>In the 2024 report</t>
        </is>
      </c>
      <c r="H886" s="15" t="inlineStr">
        <is>
          <t>Eurofer, Steel in figures 2022</t>
        </is>
      </c>
      <c r="I886" s="34" t="inlineStr">
        <is>
          <t>esabcc-i2-steel-production</t>
        </is>
      </c>
    </row>
    <row r="887" ht="14" customHeight="1">
      <c r="A887" s="22" t="inlineStr">
        <is>
          <t>I2 (steel, production)</t>
        </is>
      </c>
      <c r="B887" s="22" t="inlineStr">
        <is>
          <t>Steel production (EU)</t>
        </is>
      </c>
      <c r="C887" s="22" t="inlineStr">
        <is>
          <t>Industry</t>
        </is>
      </c>
      <c r="D887" s="22" t="inlineStr">
        <is>
          <t>Mt</t>
        </is>
      </c>
      <c r="E887" s="65" t="n">
        <v>2018</v>
      </c>
      <c r="F887" s="66" t="n">
        <v>160.1</v>
      </c>
      <c r="G887" s="67" t="inlineStr">
        <is>
          <t>In the 2024 report</t>
        </is>
      </c>
      <c r="H887" s="22" t="inlineStr">
        <is>
          <t>Eurofer, Steel in figures 2022</t>
        </is>
      </c>
      <c r="I887" s="35" t="inlineStr">
        <is>
          <t>esabcc-i2-steel-production</t>
        </is>
      </c>
    </row>
    <row r="888" ht="14" customHeight="1">
      <c r="A888" s="15" t="inlineStr">
        <is>
          <t>I2 (steel, production)</t>
        </is>
      </c>
      <c r="B888" s="15" t="inlineStr">
        <is>
          <t>Steel production (EU)</t>
        </is>
      </c>
      <c r="C888" s="15" t="inlineStr">
        <is>
          <t>Industry</t>
        </is>
      </c>
      <c r="D888" s="15" t="inlineStr">
        <is>
          <t>Mt</t>
        </is>
      </c>
      <c r="E888" s="63" t="n">
        <v>2019</v>
      </c>
      <c r="F888" s="64" t="n">
        <v>150.2</v>
      </c>
      <c r="G888" s="14" t="inlineStr">
        <is>
          <t>In the 2024 report</t>
        </is>
      </c>
      <c r="H888" s="15" t="inlineStr">
        <is>
          <t>Eurofer, Steel in figures 2022</t>
        </is>
      </c>
      <c r="I888" s="34" t="inlineStr">
        <is>
          <t>esabcc-i2-steel-production</t>
        </is>
      </c>
    </row>
    <row r="889" ht="14" customHeight="1">
      <c r="A889" s="22" t="inlineStr">
        <is>
          <t>I2 (steel, production)</t>
        </is>
      </c>
      <c r="B889" s="22" t="inlineStr">
        <is>
          <t>Steel production (EU)</t>
        </is>
      </c>
      <c r="C889" s="22" t="inlineStr">
        <is>
          <t>Industry</t>
        </is>
      </c>
      <c r="D889" s="22" t="inlineStr">
        <is>
          <t>Mt</t>
        </is>
      </c>
      <c r="E889" s="65" t="n">
        <v>2020</v>
      </c>
      <c r="F889" s="66" t="n">
        <v>132.2</v>
      </c>
      <c r="G889" s="67" t="inlineStr">
        <is>
          <t>In the 2024 report</t>
        </is>
      </c>
      <c r="H889" s="22" t="inlineStr">
        <is>
          <t>Eurofer, Steel in figures 2022</t>
        </is>
      </c>
      <c r="I889" s="35" t="inlineStr">
        <is>
          <t>esabcc-i2-steel-production</t>
        </is>
      </c>
    </row>
    <row r="890" ht="14" customHeight="1">
      <c r="A890" s="15" t="inlineStr">
        <is>
          <t>I2 (steel, production)</t>
        </is>
      </c>
      <c r="B890" s="15" t="inlineStr">
        <is>
          <t>Steel production (EU)</t>
        </is>
      </c>
      <c r="C890" s="15" t="inlineStr">
        <is>
          <t>Industry</t>
        </is>
      </c>
      <c r="D890" s="15" t="inlineStr">
        <is>
          <t>Mt</t>
        </is>
      </c>
      <c r="E890" s="63" t="n">
        <v>2021</v>
      </c>
      <c r="F890" s="64" t="n">
        <v>152.8</v>
      </c>
      <c r="G890" s="14" t="inlineStr">
        <is>
          <t>In the 2024 report</t>
        </is>
      </c>
      <c r="H890" s="15" t="inlineStr">
        <is>
          <t>Eurofer, Steel in figures 2022</t>
        </is>
      </c>
      <c r="I890" s="34" t="inlineStr">
        <is>
          <t>esabcc-i2-steel-production</t>
        </is>
      </c>
    </row>
    <row r="891" ht="14" customHeight="1">
      <c r="A891" s="22" t="inlineStr">
        <is>
          <t>I2 (steel, production)</t>
        </is>
      </c>
      <c r="B891" s="22" t="inlineStr">
        <is>
          <t>Steel production (EU)</t>
        </is>
      </c>
      <c r="C891" s="22" t="inlineStr">
        <is>
          <t>Industry</t>
        </is>
      </c>
      <c r="D891" s="22" t="inlineStr">
        <is>
          <t>Mt</t>
        </is>
      </c>
      <c r="E891" s="65" t="n">
        <v>2022</v>
      </c>
      <c r="F891" s="66" t="n">
        <v>136.3</v>
      </c>
      <c r="G891" s="69" t="inlineStr">
        <is>
          <t>Added since the report</t>
        </is>
      </c>
      <c r="H891" s="22" t="inlineStr">
        <is>
          <t>Eurofer, Steel in figures 2022</t>
        </is>
      </c>
      <c r="I891" s="35" t="inlineStr">
        <is>
          <t>esabcc-i2-steel-production</t>
        </is>
      </c>
    </row>
    <row r="892" ht="14" customHeight="1">
      <c r="A892" s="15" t="inlineStr">
        <is>
          <t>I2 (steel, production)</t>
        </is>
      </c>
      <c r="B892" s="15" t="inlineStr">
        <is>
          <t>Steel production (EU)</t>
        </is>
      </c>
      <c r="C892" s="15" t="inlineStr">
        <is>
          <t>Industry</t>
        </is>
      </c>
      <c r="D892" s="15" t="inlineStr">
        <is>
          <t>Mt</t>
        </is>
      </c>
      <c r="E892" s="63" t="n">
        <v>2023</v>
      </c>
      <c r="F892" s="64" t="n">
        <v>125.9</v>
      </c>
      <c r="G892" s="68" t="inlineStr">
        <is>
          <t>Added since the report</t>
        </is>
      </c>
      <c r="H892" s="15" t="inlineStr">
        <is>
          <t>Eurofer, Steel in figures 2022</t>
        </is>
      </c>
      <c r="I892" s="34" t="inlineStr">
        <is>
          <t>esabcc-i2-steel-production</t>
        </is>
      </c>
    </row>
    <row r="893" ht="14" customHeight="1">
      <c r="A893" s="22" t="inlineStr">
        <is>
          <t>I2 (steel, production)</t>
        </is>
      </c>
      <c r="B893" s="22" t="inlineStr">
        <is>
          <t>Steel production (EU)</t>
        </is>
      </c>
      <c r="C893" s="22" t="inlineStr">
        <is>
          <t>Industry</t>
        </is>
      </c>
      <c r="D893" s="22" t="inlineStr">
        <is>
          <t>Mt</t>
        </is>
      </c>
      <c r="E893" s="65" t="n">
        <v>2024</v>
      </c>
      <c r="F893" s="66" t="n">
        <v>128.8</v>
      </c>
      <c r="G893" s="69" t="inlineStr">
        <is>
          <t>Added since the report</t>
        </is>
      </c>
      <c r="H893" s="22" t="inlineStr">
        <is>
          <t>Eurofer, Steel in figures 2022</t>
        </is>
      </c>
      <c r="I893" s="35" t="inlineStr">
        <is>
          <t>esabcc-i2-steel-production</t>
        </is>
      </c>
    </row>
    <row r="894" ht="14" customHeight="1">
      <c r="A894" s="15" t="inlineStr">
        <is>
          <t>I2 (steel, production)</t>
        </is>
      </c>
      <c r="B894" s="15" t="inlineStr">
        <is>
          <t>Steel production (EU)</t>
        </is>
      </c>
      <c r="C894" s="15" t="inlineStr">
        <is>
          <t>Industry</t>
        </is>
      </c>
      <c r="D894" s="15" t="inlineStr">
        <is>
          <t>Mt</t>
        </is>
      </c>
      <c r="E894" s="63" t="n">
        <v>2025</v>
      </c>
      <c r="F894" s="64" t="n">
        <v>128.8</v>
      </c>
      <c r="G894" s="68" t="inlineStr">
        <is>
          <t>Added since the report</t>
        </is>
      </c>
      <c r="H894" s="15" t="inlineStr">
        <is>
          <t>Eurofer, Steel in figures 2022</t>
        </is>
      </c>
      <c r="I894" s="34" t="inlineStr">
        <is>
          <t>esabcc-i2-steel-production</t>
        </is>
      </c>
    </row>
    <row r="895" ht="14" customHeight="1">
      <c r="A895" s="22" t="inlineStr">
        <is>
          <t>I2 (steel, use)</t>
        </is>
      </c>
      <c r="B895" s="22" t="inlineStr">
        <is>
          <t>Steel apparent use (consumption) (EU)</t>
        </is>
      </c>
      <c r="C895" s="22" t="inlineStr">
        <is>
          <t>Industry</t>
        </is>
      </c>
      <c r="D895" s="22" t="inlineStr">
        <is>
          <t>Mt</t>
        </is>
      </c>
      <c r="E895" s="65" t="n">
        <v>2008</v>
      </c>
      <c r="F895" s="66" t="n">
        <v>173.8</v>
      </c>
      <c r="G895" s="67" t="inlineStr">
        <is>
          <t>In the 2024 report</t>
        </is>
      </c>
      <c r="H895" s="22" t="inlineStr">
        <is>
          <t>Eurofer, Steel in figures 2022</t>
        </is>
      </c>
      <c r="I895" s="35" t="inlineStr">
        <is>
          <t>esabcc-i2-steel-use</t>
        </is>
      </c>
    </row>
    <row r="896" ht="14" customHeight="1">
      <c r="A896" s="15" t="inlineStr">
        <is>
          <t>I2 (steel, use)</t>
        </is>
      </c>
      <c r="B896" s="15" t="inlineStr">
        <is>
          <t>Steel apparent use (consumption) (EU)</t>
        </is>
      </c>
      <c r="C896" s="15" t="inlineStr">
        <is>
          <t>Industry</t>
        </is>
      </c>
      <c r="D896" s="15" t="inlineStr">
        <is>
          <t>Mt</t>
        </is>
      </c>
      <c r="E896" s="63" t="n">
        <v>2009</v>
      </c>
      <c r="F896" s="64" t="n">
        <v>113.5</v>
      </c>
      <c r="G896" s="14" t="inlineStr">
        <is>
          <t>In the 2024 report</t>
        </is>
      </c>
      <c r="H896" s="15" t="inlineStr">
        <is>
          <t>Eurofer, Steel in figures 2022</t>
        </is>
      </c>
      <c r="I896" s="34" t="inlineStr">
        <is>
          <t>esabcc-i2-steel-use</t>
        </is>
      </c>
    </row>
    <row r="897" ht="14" customHeight="1">
      <c r="A897" s="22" t="inlineStr">
        <is>
          <t>I2 (steel, use)</t>
        </is>
      </c>
      <c r="B897" s="22" t="inlineStr">
        <is>
          <t>Steel apparent use (consumption) (EU)</t>
        </is>
      </c>
      <c r="C897" s="22" t="inlineStr">
        <is>
          <t>Industry</t>
        </is>
      </c>
      <c r="D897" s="22" t="inlineStr">
        <is>
          <t>Mt</t>
        </is>
      </c>
      <c r="E897" s="65" t="n">
        <v>2010</v>
      </c>
      <c r="F897" s="66" t="n">
        <v>139.1</v>
      </c>
      <c r="G897" s="67" t="inlineStr">
        <is>
          <t>In the 2024 report</t>
        </is>
      </c>
      <c r="H897" s="22" t="inlineStr">
        <is>
          <t>Eurofer, Steel in figures 2022</t>
        </is>
      </c>
      <c r="I897" s="35" t="inlineStr">
        <is>
          <t>esabcc-i2-steel-use</t>
        </is>
      </c>
    </row>
    <row r="898" ht="14" customHeight="1">
      <c r="A898" s="15" t="inlineStr">
        <is>
          <t>I2 (steel, use)</t>
        </is>
      </c>
      <c r="B898" s="15" t="inlineStr">
        <is>
          <t>Steel apparent use (consumption) (EU)</t>
        </is>
      </c>
      <c r="C898" s="15" t="inlineStr">
        <is>
          <t>Industry</t>
        </is>
      </c>
      <c r="D898" s="15" t="inlineStr">
        <is>
          <t>Mt</t>
        </is>
      </c>
      <c r="E898" s="63" t="n">
        <v>2011</v>
      </c>
      <c r="F898" s="64" t="n">
        <v>147.8</v>
      </c>
      <c r="G898" s="14" t="inlineStr">
        <is>
          <t>In the 2024 report</t>
        </is>
      </c>
      <c r="H898" s="15" t="inlineStr">
        <is>
          <t>Eurofer, Steel in figures 2022</t>
        </is>
      </c>
      <c r="I898" s="34" t="inlineStr">
        <is>
          <t>esabcc-i2-steel-use</t>
        </is>
      </c>
    </row>
    <row r="899" ht="14" customHeight="1">
      <c r="A899" s="22" t="inlineStr">
        <is>
          <t>I2 (steel, use)</t>
        </is>
      </c>
      <c r="B899" s="22" t="inlineStr">
        <is>
          <t>Steel apparent use (consumption) (EU)</t>
        </is>
      </c>
      <c r="C899" s="22" t="inlineStr">
        <is>
          <t>Industry</t>
        </is>
      </c>
      <c r="D899" s="22" t="inlineStr">
        <is>
          <t>Mt</t>
        </is>
      </c>
      <c r="E899" s="65" t="n">
        <v>2012</v>
      </c>
      <c r="F899" s="66" t="n">
        <v>132.2</v>
      </c>
      <c r="G899" s="67" t="inlineStr">
        <is>
          <t>In the 2024 report</t>
        </is>
      </c>
      <c r="H899" s="22" t="inlineStr">
        <is>
          <t>Eurofer, Steel in figures 2022</t>
        </is>
      </c>
      <c r="I899" s="35" t="inlineStr">
        <is>
          <t>esabcc-i2-steel-use</t>
        </is>
      </c>
    </row>
    <row r="900" ht="14" customHeight="1">
      <c r="A900" s="15" t="inlineStr">
        <is>
          <t>I2 (steel, use)</t>
        </is>
      </c>
      <c r="B900" s="15" t="inlineStr">
        <is>
          <t>Steel apparent use (consumption) (EU)</t>
        </is>
      </c>
      <c r="C900" s="15" t="inlineStr">
        <is>
          <t>Industry</t>
        </is>
      </c>
      <c r="D900" s="15" t="inlineStr">
        <is>
          <t>Mt</t>
        </is>
      </c>
      <c r="E900" s="63" t="n">
        <v>2013</v>
      </c>
      <c r="F900" s="64" t="n">
        <v>132.1</v>
      </c>
      <c r="G900" s="14" t="inlineStr">
        <is>
          <t>In the 2024 report</t>
        </is>
      </c>
      <c r="H900" s="15" t="inlineStr">
        <is>
          <t>Eurofer, Steel in figures 2022</t>
        </is>
      </c>
      <c r="I900" s="34" t="inlineStr">
        <is>
          <t>esabcc-i2-steel-use</t>
        </is>
      </c>
    </row>
    <row r="901" ht="14" customHeight="1">
      <c r="A901" s="22" t="inlineStr">
        <is>
          <t>I2 (steel, use)</t>
        </is>
      </c>
      <c r="B901" s="22" t="inlineStr">
        <is>
          <t>Steel apparent use (consumption) (EU)</t>
        </is>
      </c>
      <c r="C901" s="22" t="inlineStr">
        <is>
          <t>Industry</t>
        </is>
      </c>
      <c r="D901" s="22" t="inlineStr">
        <is>
          <t>Mt</t>
        </is>
      </c>
      <c r="E901" s="65" t="n">
        <v>2014</v>
      </c>
      <c r="F901" s="66" t="n">
        <v>135.7</v>
      </c>
      <c r="G901" s="67" t="inlineStr">
        <is>
          <t>In the 2024 report</t>
        </is>
      </c>
      <c r="H901" s="22" t="inlineStr">
        <is>
          <t>Eurofer, Steel in figures 2022</t>
        </is>
      </c>
      <c r="I901" s="35" t="inlineStr">
        <is>
          <t>esabcc-i2-steel-use</t>
        </is>
      </c>
    </row>
    <row r="902" ht="14" customHeight="1">
      <c r="A902" s="15" t="inlineStr">
        <is>
          <t>I2 (steel, use)</t>
        </is>
      </c>
      <c r="B902" s="15" t="inlineStr">
        <is>
          <t>Steel apparent use (consumption) (EU)</t>
        </is>
      </c>
      <c r="C902" s="15" t="inlineStr">
        <is>
          <t>Industry</t>
        </is>
      </c>
      <c r="D902" s="15" t="inlineStr">
        <is>
          <t>Mt</t>
        </is>
      </c>
      <c r="E902" s="63" t="n">
        <v>2015</v>
      </c>
      <c r="F902" s="64" t="n">
        <v>142.1</v>
      </c>
      <c r="G902" s="14" t="inlineStr">
        <is>
          <t>In the 2024 report</t>
        </is>
      </c>
      <c r="H902" s="15" t="inlineStr">
        <is>
          <t>Eurofer, Steel in figures 2022</t>
        </is>
      </c>
      <c r="I902" s="34" t="inlineStr">
        <is>
          <t>esabcc-i2-steel-use</t>
        </is>
      </c>
    </row>
    <row r="903" ht="14" customHeight="1">
      <c r="A903" s="22" t="inlineStr">
        <is>
          <t>I2 (steel, use)</t>
        </is>
      </c>
      <c r="B903" s="22" t="inlineStr">
        <is>
          <t>Steel apparent use (consumption) (EU)</t>
        </is>
      </c>
      <c r="C903" s="22" t="inlineStr">
        <is>
          <t>Industry</t>
        </is>
      </c>
      <c r="D903" s="22" t="inlineStr">
        <is>
          <t>Mt</t>
        </is>
      </c>
      <c r="E903" s="65" t="n">
        <v>2016</v>
      </c>
      <c r="F903" s="66" t="n">
        <v>146.8</v>
      </c>
      <c r="G903" s="67" t="inlineStr">
        <is>
          <t>In the 2024 report</t>
        </is>
      </c>
      <c r="H903" s="22" t="inlineStr">
        <is>
          <t>Eurofer, Steel in figures 2022</t>
        </is>
      </c>
      <c r="I903" s="35" t="inlineStr">
        <is>
          <t>esabcc-i2-steel-use</t>
        </is>
      </c>
    </row>
    <row r="904" ht="14" customHeight="1">
      <c r="A904" s="15" t="inlineStr">
        <is>
          <t>I2 (steel, use)</t>
        </is>
      </c>
      <c r="B904" s="15" t="inlineStr">
        <is>
          <t>Steel apparent use (consumption) (EU)</t>
        </is>
      </c>
      <c r="C904" s="15" t="inlineStr">
        <is>
          <t>Industry</t>
        </is>
      </c>
      <c r="D904" s="15" t="inlineStr">
        <is>
          <t>Mt</t>
        </is>
      </c>
      <c r="E904" s="63" t="n">
        <v>2017</v>
      </c>
      <c r="F904" s="64" t="n">
        <v>148.9</v>
      </c>
      <c r="G904" s="14" t="inlineStr">
        <is>
          <t>In the 2024 report</t>
        </is>
      </c>
      <c r="H904" s="15" t="inlineStr">
        <is>
          <t>Eurofer, Steel in figures 2022</t>
        </is>
      </c>
      <c r="I904" s="34" t="inlineStr">
        <is>
          <t>esabcc-i2-steel-use</t>
        </is>
      </c>
    </row>
    <row r="905" ht="14" customHeight="1">
      <c r="A905" s="22" t="inlineStr">
        <is>
          <t>I2 (steel, use)</t>
        </is>
      </c>
      <c r="B905" s="22" t="inlineStr">
        <is>
          <t>Steel apparent use (consumption) (EU)</t>
        </is>
      </c>
      <c r="C905" s="22" t="inlineStr">
        <is>
          <t>Industry</t>
        </is>
      </c>
      <c r="D905" s="22" t="inlineStr">
        <is>
          <t>Mt</t>
        </is>
      </c>
      <c r="E905" s="65" t="n">
        <v>2018</v>
      </c>
      <c r="F905" s="66" t="n">
        <v>152.7</v>
      </c>
      <c r="G905" s="67" t="inlineStr">
        <is>
          <t>In the 2024 report</t>
        </is>
      </c>
      <c r="H905" s="22" t="inlineStr">
        <is>
          <t>Eurofer, Steel in figures 2022</t>
        </is>
      </c>
      <c r="I905" s="35" t="inlineStr">
        <is>
          <t>esabcc-i2-steel-use</t>
        </is>
      </c>
    </row>
    <row r="906" ht="14" customHeight="1">
      <c r="A906" s="15" t="inlineStr">
        <is>
          <t>I2 (steel, use)</t>
        </is>
      </c>
      <c r="B906" s="15" t="inlineStr">
        <is>
          <t>Steel apparent use (consumption) (EU)</t>
        </is>
      </c>
      <c r="C906" s="15" t="inlineStr">
        <is>
          <t>Industry</t>
        </is>
      </c>
      <c r="D906" s="15" t="inlineStr">
        <is>
          <t>Mt</t>
        </is>
      </c>
      <c r="E906" s="63" t="n">
        <v>2019</v>
      </c>
      <c r="F906" s="64" t="n">
        <v>144.8</v>
      </c>
      <c r="G906" s="14" t="inlineStr">
        <is>
          <t>In the 2024 report</t>
        </is>
      </c>
      <c r="H906" s="15" t="inlineStr">
        <is>
          <t>Eurofer, Steel in figures 2022</t>
        </is>
      </c>
      <c r="I906" s="34" t="inlineStr">
        <is>
          <t>esabcc-i2-steel-use</t>
        </is>
      </c>
    </row>
    <row r="907" ht="14" customHeight="1">
      <c r="A907" s="22" t="inlineStr">
        <is>
          <t>I2 (steel, use)</t>
        </is>
      </c>
      <c r="B907" s="22" t="inlineStr">
        <is>
          <t>Steel apparent use (consumption) (EU)</t>
        </is>
      </c>
      <c r="C907" s="22" t="inlineStr">
        <is>
          <t>Industry</t>
        </is>
      </c>
      <c r="D907" s="22" t="inlineStr">
        <is>
          <t>Mt</t>
        </is>
      </c>
      <c r="E907" s="65" t="n">
        <v>2020</v>
      </c>
      <c r="F907" s="66" t="n">
        <v>129.3</v>
      </c>
      <c r="G907" s="67" t="inlineStr">
        <is>
          <t>In the 2024 report</t>
        </is>
      </c>
      <c r="H907" s="22" t="inlineStr">
        <is>
          <t>Eurofer, Steel in figures 2022</t>
        </is>
      </c>
      <c r="I907" s="35" t="inlineStr">
        <is>
          <t>esabcc-i2-steel-use</t>
        </is>
      </c>
    </row>
    <row r="908" ht="14" customHeight="1">
      <c r="A908" s="15" t="inlineStr">
        <is>
          <t>I2 (steel, use)</t>
        </is>
      </c>
      <c r="B908" s="15" t="inlineStr">
        <is>
          <t>Steel apparent use (consumption) (EU)</t>
        </is>
      </c>
      <c r="C908" s="15" t="inlineStr">
        <is>
          <t>Industry</t>
        </is>
      </c>
      <c r="D908" s="15" t="inlineStr">
        <is>
          <t>Mt</t>
        </is>
      </c>
      <c r="E908" s="63" t="n">
        <v>2021</v>
      </c>
      <c r="F908" s="64" t="n">
        <v>149</v>
      </c>
      <c r="G908" s="14" t="inlineStr">
        <is>
          <t>In the 2024 report</t>
        </is>
      </c>
      <c r="H908" s="15" t="inlineStr">
        <is>
          <t>Eurofer, Steel in figures 2022</t>
        </is>
      </c>
      <c r="I908" s="34" t="inlineStr">
        <is>
          <t>esabcc-i2-steel-use</t>
        </is>
      </c>
    </row>
    <row r="909" ht="14" customHeight="1">
      <c r="A909" s="22" t="inlineStr">
        <is>
          <t>I2 (steel, trade)</t>
        </is>
      </c>
      <c r="B909" s="22" t="inlineStr">
        <is>
          <t>Steel net trade balance (EU)</t>
        </is>
      </c>
      <c r="C909" s="22" t="inlineStr">
        <is>
          <t>Industry</t>
        </is>
      </c>
      <c r="D909" s="22" t="inlineStr">
        <is>
          <t>Mt</t>
        </is>
      </c>
      <c r="E909" s="65" t="n">
        <v>2008</v>
      </c>
      <c r="F909" s="66" t="n">
        <v>-19.02</v>
      </c>
      <c r="G909" s="67" t="inlineStr">
        <is>
          <t>In the 2024 report</t>
        </is>
      </c>
      <c r="H909" s="22" t="inlineStr">
        <is>
          <t>Eurofer, Steel in figures 2022; trade from Eurostat DS-059268</t>
        </is>
      </c>
      <c r="I909" s="35" t="inlineStr">
        <is>
          <t>esabcc-i2-steel-trade-balance</t>
        </is>
      </c>
    </row>
    <row r="910" ht="14" customHeight="1">
      <c r="A910" s="15" t="inlineStr">
        <is>
          <t>I2 (steel, trade)</t>
        </is>
      </c>
      <c r="B910" s="15" t="inlineStr">
        <is>
          <t>Steel net trade balance (EU)</t>
        </is>
      </c>
      <c r="C910" s="15" t="inlineStr">
        <is>
          <t>Industry</t>
        </is>
      </c>
      <c r="D910" s="15" t="inlineStr">
        <is>
          <t>Mt</t>
        </is>
      </c>
      <c r="E910" s="63" t="n">
        <v>2009</v>
      </c>
      <c r="F910" s="64" t="n">
        <v>0.1428</v>
      </c>
      <c r="G910" s="14" t="inlineStr">
        <is>
          <t>In the 2024 report</t>
        </is>
      </c>
      <c r="H910" s="15" t="inlineStr">
        <is>
          <t>Eurofer, Steel in figures 2022; trade from Eurostat DS-059268</t>
        </is>
      </c>
      <c r="I910" s="34" t="inlineStr">
        <is>
          <t>esabcc-i2-steel-trade-balance</t>
        </is>
      </c>
    </row>
    <row r="911" ht="14" customHeight="1">
      <c r="A911" s="22" t="inlineStr">
        <is>
          <t>I2 (steel, trade)</t>
        </is>
      </c>
      <c r="B911" s="22" t="inlineStr">
        <is>
          <t>Steel net trade balance (EU)</t>
        </is>
      </c>
      <c r="C911" s="22" t="inlineStr">
        <is>
          <t>Industry</t>
        </is>
      </c>
      <c r="D911" s="22" t="inlineStr">
        <is>
          <t>Mt</t>
        </is>
      </c>
      <c r="E911" s="65" t="n">
        <v>2010</v>
      </c>
      <c r="F911" s="66" t="n">
        <v>-2.915</v>
      </c>
      <c r="G911" s="67" t="inlineStr">
        <is>
          <t>In the 2024 report</t>
        </is>
      </c>
      <c r="H911" s="22" t="inlineStr">
        <is>
          <t>Eurofer, Steel in figures 2022; trade from Eurostat DS-059268</t>
        </is>
      </c>
      <c r="I911" s="35" t="inlineStr">
        <is>
          <t>esabcc-i2-steel-trade-balance</t>
        </is>
      </c>
    </row>
    <row r="912" ht="14" customHeight="1">
      <c r="A912" s="15" t="inlineStr">
        <is>
          <t>I2 (steel, trade)</t>
        </is>
      </c>
      <c r="B912" s="15" t="inlineStr">
        <is>
          <t>Steel net trade balance (EU)</t>
        </is>
      </c>
      <c r="C912" s="15" t="inlineStr">
        <is>
          <t>Industry</t>
        </is>
      </c>
      <c r="D912" s="15" t="inlineStr">
        <is>
          <t>Mt</t>
        </is>
      </c>
      <c r="E912" s="63" t="n">
        <v>2011</v>
      </c>
      <c r="F912" s="64" t="n">
        <v>-8.426</v>
      </c>
      <c r="G912" s="14" t="inlineStr">
        <is>
          <t>In the 2024 report</t>
        </is>
      </c>
      <c r="H912" s="15" t="inlineStr">
        <is>
          <t>Eurofer, Steel in figures 2022; trade from Eurostat DS-059268</t>
        </is>
      </c>
      <c r="I912" s="34" t="inlineStr">
        <is>
          <t>esabcc-i2-steel-trade-balance</t>
        </is>
      </c>
    </row>
    <row r="913" ht="14" customHeight="1">
      <c r="A913" s="22" t="inlineStr">
        <is>
          <t>I2 (steel, trade)</t>
        </is>
      </c>
      <c r="B913" s="22" t="inlineStr">
        <is>
          <t>Steel net trade balance (EU)</t>
        </is>
      </c>
      <c r="C913" s="22" t="inlineStr">
        <is>
          <t>Industry</t>
        </is>
      </c>
      <c r="D913" s="22" t="inlineStr">
        <is>
          <t>Mt</t>
        </is>
      </c>
      <c r="E913" s="65" t="n">
        <v>2012</v>
      </c>
      <c r="F913" s="66" t="n">
        <v>3.113</v>
      </c>
      <c r="G913" s="67" t="inlineStr">
        <is>
          <t>In the 2024 report</t>
        </is>
      </c>
      <c r="H913" s="22" t="inlineStr">
        <is>
          <t>Eurofer, Steel in figures 2022; trade from Eurostat DS-059268</t>
        </is>
      </c>
      <c r="I913" s="35" t="inlineStr">
        <is>
          <t>esabcc-i2-steel-trade-balance</t>
        </is>
      </c>
    </row>
    <row r="914" ht="14" customHeight="1">
      <c r="A914" s="15" t="inlineStr">
        <is>
          <t>I2 (steel, trade)</t>
        </is>
      </c>
      <c r="B914" s="15" t="inlineStr">
        <is>
          <t>Steel net trade balance (EU)</t>
        </is>
      </c>
      <c r="C914" s="15" t="inlineStr">
        <is>
          <t>Industry</t>
        </is>
      </c>
      <c r="D914" s="15" t="inlineStr">
        <is>
          <t>Mt</t>
        </is>
      </c>
      <c r="E914" s="63" t="n">
        <v>2013</v>
      </c>
      <c r="F914" s="64" t="n">
        <v>-3.513</v>
      </c>
      <c r="G914" s="14" t="inlineStr">
        <is>
          <t>In the 2024 report</t>
        </is>
      </c>
      <c r="H914" s="15" t="inlineStr">
        <is>
          <t>Eurofer, Steel in figures 2022; trade from Eurostat DS-059268</t>
        </is>
      </c>
      <c r="I914" s="34" t="inlineStr">
        <is>
          <t>esabcc-i2-steel-trade-balance</t>
        </is>
      </c>
    </row>
    <row r="915" ht="14" customHeight="1">
      <c r="A915" s="22" t="inlineStr">
        <is>
          <t>I2 (steel, trade)</t>
        </is>
      </c>
      <c r="B915" s="22" t="inlineStr">
        <is>
          <t>Steel net trade balance (EU)</t>
        </is>
      </c>
      <c r="C915" s="22" t="inlineStr">
        <is>
          <t>Industry</t>
        </is>
      </c>
      <c r="D915" s="22" t="inlineStr">
        <is>
          <t>Mt</t>
        </is>
      </c>
      <c r="E915" s="65" t="n">
        <v>2014</v>
      </c>
      <c r="F915" s="66" t="n">
        <v>-5.43</v>
      </c>
      <c r="G915" s="67" t="inlineStr">
        <is>
          <t>In the 2024 report</t>
        </is>
      </c>
      <c r="H915" s="22" t="inlineStr">
        <is>
          <t>Eurofer, Steel in figures 2022; trade from Eurostat DS-059268</t>
        </is>
      </c>
      <c r="I915" s="35" t="inlineStr">
        <is>
          <t>esabcc-i2-steel-trade-balance</t>
        </is>
      </c>
    </row>
    <row r="916" ht="14" customHeight="1">
      <c r="A916" s="15" t="inlineStr">
        <is>
          <t>I2 (steel, trade)</t>
        </is>
      </c>
      <c r="B916" s="15" t="inlineStr">
        <is>
          <t>Steel net trade balance (EU)</t>
        </is>
      </c>
      <c r="C916" s="15" t="inlineStr">
        <is>
          <t>Industry</t>
        </is>
      </c>
      <c r="D916" s="15" t="inlineStr">
        <is>
          <t>Mt</t>
        </is>
      </c>
      <c r="E916" s="63" t="n">
        <v>2015</v>
      </c>
      <c r="F916" s="64" t="n">
        <v>-14.21</v>
      </c>
      <c r="G916" s="14" t="inlineStr">
        <is>
          <t>In the 2024 report</t>
        </is>
      </c>
      <c r="H916" s="15" t="inlineStr">
        <is>
          <t>Eurofer, Steel in figures 2022; trade from Eurostat DS-059268</t>
        </is>
      </c>
      <c r="I916" s="34" t="inlineStr">
        <is>
          <t>esabcc-i2-steel-trade-balance</t>
        </is>
      </c>
    </row>
    <row r="917" ht="14" customHeight="1">
      <c r="A917" s="22" t="inlineStr">
        <is>
          <t>I2 (steel, trade)</t>
        </is>
      </c>
      <c r="B917" s="22" t="inlineStr">
        <is>
          <t>Steel net trade balance (EU)</t>
        </is>
      </c>
      <c r="C917" s="22" t="inlineStr">
        <is>
          <t>Industry</t>
        </is>
      </c>
      <c r="D917" s="22" t="inlineStr">
        <is>
          <t>Mt</t>
        </is>
      </c>
      <c r="E917" s="65" t="n">
        <v>2016</v>
      </c>
      <c r="F917" s="66" t="n">
        <v>-16.22</v>
      </c>
      <c r="G917" s="67" t="inlineStr">
        <is>
          <t>In the 2024 report</t>
        </is>
      </c>
      <c r="H917" s="22" t="inlineStr">
        <is>
          <t>Eurofer, Steel in figures 2022; trade from Eurostat DS-059268</t>
        </is>
      </c>
      <c r="I917" s="35" t="inlineStr">
        <is>
          <t>esabcc-i2-steel-trade-balance</t>
        </is>
      </c>
    </row>
    <row r="918" ht="14" customHeight="1">
      <c r="A918" s="15" t="inlineStr">
        <is>
          <t>I2 (steel, trade)</t>
        </is>
      </c>
      <c r="B918" s="15" t="inlineStr">
        <is>
          <t>Steel net trade balance (EU)</t>
        </is>
      </c>
      <c r="C918" s="15" t="inlineStr">
        <is>
          <t>Industry</t>
        </is>
      </c>
      <c r="D918" s="15" t="inlineStr">
        <is>
          <t>Mt</t>
        </is>
      </c>
      <c r="E918" s="63" t="n">
        <v>2017</v>
      </c>
      <c r="F918" s="64" t="n">
        <v>-16.43</v>
      </c>
      <c r="G918" s="14" t="inlineStr">
        <is>
          <t>In the 2024 report</t>
        </is>
      </c>
      <c r="H918" s="15" t="inlineStr">
        <is>
          <t>Eurofer, Steel in figures 2022; trade from Eurostat DS-059268</t>
        </is>
      </c>
      <c r="I918" s="34" t="inlineStr">
        <is>
          <t>esabcc-i2-steel-trade-balance</t>
        </is>
      </c>
    </row>
    <row r="919" ht="14" customHeight="1">
      <c r="A919" s="22" t="inlineStr">
        <is>
          <t>I2 (steel, trade)</t>
        </is>
      </c>
      <c r="B919" s="22" t="inlineStr">
        <is>
          <t>Steel net trade balance (EU)</t>
        </is>
      </c>
      <c r="C919" s="22" t="inlineStr">
        <is>
          <t>Industry</t>
        </is>
      </c>
      <c r="D919" s="22" t="inlineStr">
        <is>
          <t>Mt</t>
        </is>
      </c>
      <c r="E919" s="65" t="n">
        <v>2018</v>
      </c>
      <c r="F919" s="66" t="n">
        <v>-23.3</v>
      </c>
      <c r="G919" s="67" t="inlineStr">
        <is>
          <t>In the 2024 report</t>
        </is>
      </c>
      <c r="H919" s="22" t="inlineStr">
        <is>
          <t>Eurofer, Steel in figures 2022; trade from Eurostat DS-059268</t>
        </is>
      </c>
      <c r="I919" s="35" t="inlineStr">
        <is>
          <t>esabcc-i2-steel-trade-balance</t>
        </is>
      </c>
    </row>
    <row r="920" ht="14" customHeight="1">
      <c r="A920" s="15" t="inlineStr">
        <is>
          <t>I2 (steel, trade)</t>
        </is>
      </c>
      <c r="B920" s="15" t="inlineStr">
        <is>
          <t>Steel net trade balance (EU)</t>
        </is>
      </c>
      <c r="C920" s="15" t="inlineStr">
        <is>
          <t>Industry</t>
        </is>
      </c>
      <c r="D920" s="15" t="inlineStr">
        <is>
          <t>Mt</t>
        </is>
      </c>
      <c r="E920" s="63" t="n">
        <v>2019</v>
      </c>
      <c r="F920" s="64" t="n">
        <v>-18.51</v>
      </c>
      <c r="G920" s="14" t="inlineStr">
        <is>
          <t>In the 2024 report</t>
        </is>
      </c>
      <c r="H920" s="15" t="inlineStr">
        <is>
          <t>Eurofer, Steel in figures 2022; trade from Eurostat DS-059268</t>
        </is>
      </c>
      <c r="I920" s="34" t="inlineStr">
        <is>
          <t>esabcc-i2-steel-trade-balance</t>
        </is>
      </c>
    </row>
    <row r="921" ht="14" customHeight="1">
      <c r="A921" s="22" t="inlineStr">
        <is>
          <t>I2 (steel, trade)</t>
        </is>
      </c>
      <c r="B921" s="22" t="inlineStr">
        <is>
          <t>Steel net trade balance (EU)</t>
        </is>
      </c>
      <c r="C921" s="22" t="inlineStr">
        <is>
          <t>Industry</t>
        </is>
      </c>
      <c r="D921" s="22" t="inlineStr">
        <is>
          <t>Mt</t>
        </is>
      </c>
      <c r="E921" s="65" t="n">
        <v>2020</v>
      </c>
      <c r="F921" s="66" t="n">
        <v>-15.18</v>
      </c>
      <c r="G921" s="67" t="inlineStr">
        <is>
          <t>In the 2024 report</t>
        </is>
      </c>
      <c r="H921" s="22" t="inlineStr">
        <is>
          <t>Eurofer, Steel in figures 2022; trade from Eurostat DS-059268</t>
        </is>
      </c>
      <c r="I921" s="35" t="inlineStr">
        <is>
          <t>esabcc-i2-steel-trade-balance</t>
        </is>
      </c>
    </row>
    <row r="922" ht="14" customHeight="1">
      <c r="A922" s="15" t="inlineStr">
        <is>
          <t>I2 (steel, trade)</t>
        </is>
      </c>
      <c r="B922" s="15" t="inlineStr">
        <is>
          <t>Steel net trade balance (EU)</t>
        </is>
      </c>
      <c r="C922" s="15" t="inlineStr">
        <is>
          <t>Industry</t>
        </is>
      </c>
      <c r="D922" s="15" t="inlineStr">
        <is>
          <t>Mt</t>
        </is>
      </c>
      <c r="E922" s="63" t="n">
        <v>2021</v>
      </c>
      <c r="F922" s="64" t="n">
        <v>-25.77</v>
      </c>
      <c r="G922" s="14" t="inlineStr">
        <is>
          <t>In the 2024 report</t>
        </is>
      </c>
      <c r="H922" s="15" t="inlineStr">
        <is>
          <t>Eurofer, Steel in figures 2022; trade from Eurostat DS-059268</t>
        </is>
      </c>
      <c r="I922" s="34" t="inlineStr">
        <is>
          <t>esabcc-i2-steel-trade-balance</t>
        </is>
      </c>
    </row>
    <row r="923" ht="14" customHeight="1">
      <c r="A923" s="22" t="inlineStr">
        <is>
          <t>I2 (cement, production)</t>
        </is>
      </c>
      <c r="B923" s="22" t="inlineStr">
        <is>
          <t>Cement production (EU)</t>
        </is>
      </c>
      <c r="C923" s="22" t="inlineStr">
        <is>
          <t>Industry</t>
        </is>
      </c>
      <c r="D923" s="22" t="inlineStr">
        <is>
          <t>Mt</t>
        </is>
      </c>
      <c r="E923" s="65" t="n">
        <v>2005</v>
      </c>
      <c r="F923" s="66" t="n">
        <v>239.5</v>
      </c>
      <c r="G923" s="67" t="inlineStr">
        <is>
          <t>In the 2024 report</t>
        </is>
      </c>
      <c r="H923" s="22" t="inlineStr">
        <is>
          <t>Cembureau (data provided)</t>
        </is>
      </c>
      <c r="I923" s="35" t="inlineStr">
        <is>
          <t>esabcc-i2-cement-production</t>
        </is>
      </c>
    </row>
    <row r="924" ht="14" customHeight="1">
      <c r="A924" s="15" t="inlineStr">
        <is>
          <t>I2 (cement, production)</t>
        </is>
      </c>
      <c r="B924" s="15" t="inlineStr">
        <is>
          <t>Cement production (EU)</t>
        </is>
      </c>
      <c r="C924" s="15" t="inlineStr">
        <is>
          <t>Industry</t>
        </is>
      </c>
      <c r="D924" s="15" t="inlineStr">
        <is>
          <t>Mt</t>
        </is>
      </c>
      <c r="E924" s="63" t="n">
        <v>2006</v>
      </c>
      <c r="F924" s="64" t="n">
        <v>256.2</v>
      </c>
      <c r="G924" s="14" t="inlineStr">
        <is>
          <t>In the 2024 report</t>
        </is>
      </c>
      <c r="H924" s="15" t="inlineStr">
        <is>
          <t>Cembureau (data provided)</t>
        </is>
      </c>
      <c r="I924" s="34" t="inlineStr">
        <is>
          <t>esabcc-i2-cement-production</t>
        </is>
      </c>
    </row>
    <row r="925" ht="14" customHeight="1">
      <c r="A925" s="22" t="inlineStr">
        <is>
          <t>I2 (cement, production)</t>
        </is>
      </c>
      <c r="B925" s="22" t="inlineStr">
        <is>
          <t>Cement production (EU)</t>
        </is>
      </c>
      <c r="C925" s="22" t="inlineStr">
        <is>
          <t>Industry</t>
        </is>
      </c>
      <c r="D925" s="22" t="inlineStr">
        <is>
          <t>Mt</t>
        </is>
      </c>
      <c r="E925" s="65" t="n">
        <v>2007</v>
      </c>
      <c r="F925" s="66" t="n">
        <v>261.8</v>
      </c>
      <c r="G925" s="67" t="inlineStr">
        <is>
          <t>In the 2024 report</t>
        </is>
      </c>
      <c r="H925" s="22" t="inlineStr">
        <is>
          <t>Cembureau (data provided)</t>
        </is>
      </c>
      <c r="I925" s="35" t="inlineStr">
        <is>
          <t>esabcc-i2-cement-production</t>
        </is>
      </c>
    </row>
    <row r="926" ht="14" customHeight="1">
      <c r="A926" s="15" t="inlineStr">
        <is>
          <t>I2 (cement, production)</t>
        </is>
      </c>
      <c r="B926" s="15" t="inlineStr">
        <is>
          <t>Cement production (EU)</t>
        </is>
      </c>
      <c r="C926" s="15" t="inlineStr">
        <is>
          <t>Industry</t>
        </is>
      </c>
      <c r="D926" s="15" t="inlineStr">
        <is>
          <t>Mt</t>
        </is>
      </c>
      <c r="E926" s="63" t="n">
        <v>2008</v>
      </c>
      <c r="F926" s="64" t="n">
        <v>244.4</v>
      </c>
      <c r="G926" s="14" t="inlineStr">
        <is>
          <t>In the 2024 report</t>
        </is>
      </c>
      <c r="H926" s="15" t="inlineStr">
        <is>
          <t>Cembureau (data provided)</t>
        </is>
      </c>
      <c r="I926" s="34" t="inlineStr">
        <is>
          <t>esabcc-i2-cement-production</t>
        </is>
      </c>
    </row>
    <row r="927" ht="14" customHeight="1">
      <c r="A927" s="22" t="inlineStr">
        <is>
          <t>I2 (cement, production)</t>
        </is>
      </c>
      <c r="B927" s="22" t="inlineStr">
        <is>
          <t>Cement production (EU)</t>
        </is>
      </c>
      <c r="C927" s="22" t="inlineStr">
        <is>
          <t>Industry</t>
        </is>
      </c>
      <c r="D927" s="22" t="inlineStr">
        <is>
          <t>Mt</t>
        </is>
      </c>
      <c r="E927" s="65" t="n">
        <v>2009</v>
      </c>
      <c r="F927" s="66" t="n">
        <v>197.9</v>
      </c>
      <c r="G927" s="67" t="inlineStr">
        <is>
          <t>In the 2024 report</t>
        </is>
      </c>
      <c r="H927" s="22" t="inlineStr">
        <is>
          <t>Cembureau (data provided)</t>
        </is>
      </c>
      <c r="I927" s="35" t="inlineStr">
        <is>
          <t>esabcc-i2-cement-production</t>
        </is>
      </c>
    </row>
    <row r="928" ht="14" customHeight="1">
      <c r="A928" s="15" t="inlineStr">
        <is>
          <t>I2 (cement, production)</t>
        </is>
      </c>
      <c r="B928" s="15" t="inlineStr">
        <is>
          <t>Cement production (EU)</t>
        </is>
      </c>
      <c r="C928" s="15" t="inlineStr">
        <is>
          <t>Industry</t>
        </is>
      </c>
      <c r="D928" s="15" t="inlineStr">
        <is>
          <t>Mt</t>
        </is>
      </c>
      <c r="E928" s="63" t="n">
        <v>2010</v>
      </c>
      <c r="F928" s="64" t="n">
        <v>185.6</v>
      </c>
      <c r="G928" s="14" t="inlineStr">
        <is>
          <t>In the 2024 report</t>
        </is>
      </c>
      <c r="H928" s="15" t="inlineStr">
        <is>
          <t>Cembureau (data provided)</t>
        </is>
      </c>
      <c r="I928" s="34" t="inlineStr">
        <is>
          <t>esabcc-i2-cement-production</t>
        </is>
      </c>
    </row>
    <row r="929" ht="14" customHeight="1">
      <c r="A929" s="22" t="inlineStr">
        <is>
          <t>I2 (cement, production)</t>
        </is>
      </c>
      <c r="B929" s="22" t="inlineStr">
        <is>
          <t>Cement production (EU)</t>
        </is>
      </c>
      <c r="C929" s="22" t="inlineStr">
        <is>
          <t>Industry</t>
        </is>
      </c>
      <c r="D929" s="22" t="inlineStr">
        <is>
          <t>Mt</t>
        </is>
      </c>
      <c r="E929" s="65" t="n">
        <v>2011</v>
      </c>
      <c r="F929" s="66" t="n">
        <v>187.2</v>
      </c>
      <c r="G929" s="67" t="inlineStr">
        <is>
          <t>In the 2024 report</t>
        </is>
      </c>
      <c r="H929" s="22" t="inlineStr">
        <is>
          <t>Cembureau (data provided)</t>
        </is>
      </c>
      <c r="I929" s="35" t="inlineStr">
        <is>
          <t>esabcc-i2-cement-production</t>
        </is>
      </c>
    </row>
    <row r="930" ht="14" customHeight="1">
      <c r="A930" s="15" t="inlineStr">
        <is>
          <t>I2 (cement, production)</t>
        </is>
      </c>
      <c r="B930" s="15" t="inlineStr">
        <is>
          <t>Cement production (EU)</t>
        </is>
      </c>
      <c r="C930" s="15" t="inlineStr">
        <is>
          <t>Industry</t>
        </is>
      </c>
      <c r="D930" s="15" t="inlineStr">
        <is>
          <t>Mt</t>
        </is>
      </c>
      <c r="E930" s="63" t="n">
        <v>2012</v>
      </c>
      <c r="F930" s="64" t="n">
        <v>164.7</v>
      </c>
      <c r="G930" s="14" t="inlineStr">
        <is>
          <t>In the 2024 report</t>
        </is>
      </c>
      <c r="H930" s="15" t="inlineStr">
        <is>
          <t>Cembureau (data provided)</t>
        </is>
      </c>
      <c r="I930" s="34" t="inlineStr">
        <is>
          <t>esabcc-i2-cement-production</t>
        </is>
      </c>
    </row>
    <row r="931" ht="14" customHeight="1">
      <c r="A931" s="22" t="inlineStr">
        <is>
          <t>I2 (cement, production)</t>
        </is>
      </c>
      <c r="B931" s="22" t="inlineStr">
        <is>
          <t>Cement production (EU)</t>
        </is>
      </c>
      <c r="C931" s="22" t="inlineStr">
        <is>
          <t>Industry</t>
        </is>
      </c>
      <c r="D931" s="22" t="inlineStr">
        <is>
          <t>Mt</t>
        </is>
      </c>
      <c r="E931" s="65" t="n">
        <v>2013</v>
      </c>
      <c r="F931" s="66" t="n">
        <v>157</v>
      </c>
      <c r="G931" s="67" t="inlineStr">
        <is>
          <t>In the 2024 report</t>
        </is>
      </c>
      <c r="H931" s="22" t="inlineStr">
        <is>
          <t>Cembureau (data provided)</t>
        </is>
      </c>
      <c r="I931" s="35" t="inlineStr">
        <is>
          <t>esabcc-i2-cement-production</t>
        </is>
      </c>
    </row>
    <row r="932" ht="14" customHeight="1">
      <c r="A932" s="15" t="inlineStr">
        <is>
          <t>I2 (cement, production)</t>
        </is>
      </c>
      <c r="B932" s="15" t="inlineStr">
        <is>
          <t>Cement production (EU)</t>
        </is>
      </c>
      <c r="C932" s="15" t="inlineStr">
        <is>
          <t>Industry</t>
        </is>
      </c>
      <c r="D932" s="15" t="inlineStr">
        <is>
          <t>Mt</t>
        </is>
      </c>
      <c r="E932" s="63" t="n">
        <v>2014</v>
      </c>
      <c r="F932" s="64" t="n">
        <v>157.5</v>
      </c>
      <c r="G932" s="14" t="inlineStr">
        <is>
          <t>In the 2024 report</t>
        </is>
      </c>
      <c r="H932" s="15" t="inlineStr">
        <is>
          <t>Cembureau (data provided)</t>
        </is>
      </c>
      <c r="I932" s="34" t="inlineStr">
        <is>
          <t>esabcc-i2-cement-production</t>
        </is>
      </c>
    </row>
    <row r="933" ht="14" customHeight="1">
      <c r="A933" s="22" t="inlineStr">
        <is>
          <t>I2 (cement, production)</t>
        </is>
      </c>
      <c r="B933" s="22" t="inlineStr">
        <is>
          <t>Cement production (EU)</t>
        </is>
      </c>
      <c r="C933" s="22" t="inlineStr">
        <is>
          <t>Industry</t>
        </is>
      </c>
      <c r="D933" s="22" t="inlineStr">
        <is>
          <t>Mt</t>
        </is>
      </c>
      <c r="E933" s="65" t="n">
        <v>2015</v>
      </c>
      <c r="F933" s="66" t="n">
        <v>158.1</v>
      </c>
      <c r="G933" s="67" t="inlineStr">
        <is>
          <t>In the 2024 report</t>
        </is>
      </c>
      <c r="H933" s="22" t="inlineStr">
        <is>
          <t>Cembureau (data provided)</t>
        </is>
      </c>
      <c r="I933" s="35" t="inlineStr">
        <is>
          <t>esabcc-i2-cement-production</t>
        </is>
      </c>
    </row>
    <row r="934" ht="14" customHeight="1">
      <c r="A934" s="15" t="inlineStr">
        <is>
          <t>I2 (cement, production)</t>
        </is>
      </c>
      <c r="B934" s="15" t="inlineStr">
        <is>
          <t>Cement production (EU)</t>
        </is>
      </c>
      <c r="C934" s="15" t="inlineStr">
        <is>
          <t>Industry</t>
        </is>
      </c>
      <c r="D934" s="15" t="inlineStr">
        <is>
          <t>Mt</t>
        </is>
      </c>
      <c r="E934" s="63" t="n">
        <v>2016</v>
      </c>
      <c r="F934" s="64" t="n">
        <v>159.9</v>
      </c>
      <c r="G934" s="14" t="inlineStr">
        <is>
          <t>In the 2024 report</t>
        </is>
      </c>
      <c r="H934" s="15" t="inlineStr">
        <is>
          <t>Cembureau (data provided)</t>
        </is>
      </c>
      <c r="I934" s="34" t="inlineStr">
        <is>
          <t>esabcc-i2-cement-production</t>
        </is>
      </c>
    </row>
    <row r="935" ht="14" customHeight="1">
      <c r="A935" s="22" t="inlineStr">
        <is>
          <t>I2 (cement, production)</t>
        </is>
      </c>
      <c r="B935" s="22" t="inlineStr">
        <is>
          <t>Cement production (EU)</t>
        </is>
      </c>
      <c r="C935" s="22" t="inlineStr">
        <is>
          <t>Industry</t>
        </is>
      </c>
      <c r="D935" s="22" t="inlineStr">
        <is>
          <t>Mt</t>
        </is>
      </c>
      <c r="E935" s="65" t="n">
        <v>2017</v>
      </c>
      <c r="F935" s="66" t="n">
        <v>165.7</v>
      </c>
      <c r="G935" s="67" t="inlineStr">
        <is>
          <t>In the 2024 report</t>
        </is>
      </c>
      <c r="H935" s="22" t="inlineStr">
        <is>
          <t>Cembureau (data provided)</t>
        </is>
      </c>
      <c r="I935" s="35" t="inlineStr">
        <is>
          <t>esabcc-i2-cement-production</t>
        </is>
      </c>
    </row>
    <row r="936" ht="14" customHeight="1">
      <c r="A936" s="15" t="inlineStr">
        <is>
          <t>I2 (cement, production)</t>
        </is>
      </c>
      <c r="B936" s="15" t="inlineStr">
        <is>
          <t>Cement production (EU)</t>
        </is>
      </c>
      <c r="C936" s="15" t="inlineStr">
        <is>
          <t>Industry</t>
        </is>
      </c>
      <c r="D936" s="15" t="inlineStr">
        <is>
          <t>Mt</t>
        </is>
      </c>
      <c r="E936" s="63" t="n">
        <v>2018</v>
      </c>
      <c r="F936" s="64" t="n">
        <v>179.8</v>
      </c>
      <c r="G936" s="14" t="inlineStr">
        <is>
          <t>In the 2024 report</t>
        </is>
      </c>
      <c r="H936" s="15" t="inlineStr">
        <is>
          <t>Cembureau (data provided)</t>
        </is>
      </c>
      <c r="I936" s="34" t="inlineStr">
        <is>
          <t>esabcc-i2-cement-production</t>
        </is>
      </c>
    </row>
    <row r="937" ht="14" customHeight="1">
      <c r="A937" s="22" t="inlineStr">
        <is>
          <t>I2 (cement, production)</t>
        </is>
      </c>
      <c r="B937" s="22" t="inlineStr">
        <is>
          <t>Cement production (EU)</t>
        </is>
      </c>
      <c r="C937" s="22" t="inlineStr">
        <is>
          <t>Industry</t>
        </is>
      </c>
      <c r="D937" s="22" t="inlineStr">
        <is>
          <t>Mt</t>
        </is>
      </c>
      <c r="E937" s="65" t="n">
        <v>2019</v>
      </c>
      <c r="F937" s="66" t="n">
        <v>173.1</v>
      </c>
      <c r="G937" s="67" t="inlineStr">
        <is>
          <t>In the 2024 report</t>
        </is>
      </c>
      <c r="H937" s="22" t="inlineStr">
        <is>
          <t>Cembureau (data provided)</t>
        </is>
      </c>
      <c r="I937" s="35" t="inlineStr">
        <is>
          <t>esabcc-i2-cement-production</t>
        </is>
      </c>
    </row>
    <row r="938" ht="14" customHeight="1">
      <c r="A938" s="15" t="inlineStr">
        <is>
          <t>I2 (cement, production)</t>
        </is>
      </c>
      <c r="B938" s="15" t="inlineStr">
        <is>
          <t>Cement production (EU)</t>
        </is>
      </c>
      <c r="C938" s="15" t="inlineStr">
        <is>
          <t>Industry</t>
        </is>
      </c>
      <c r="D938" s="15" t="inlineStr">
        <is>
          <t>Mt</t>
        </is>
      </c>
      <c r="E938" s="63" t="n">
        <v>2020</v>
      </c>
      <c r="F938" s="64" t="n">
        <v>172.2</v>
      </c>
      <c r="G938" s="14" t="inlineStr">
        <is>
          <t>In the 2024 report</t>
        </is>
      </c>
      <c r="H938" s="15" t="inlineStr">
        <is>
          <t>Cembureau (data provided)</t>
        </is>
      </c>
      <c r="I938" s="34" t="inlineStr">
        <is>
          <t>esabcc-i2-cement-production</t>
        </is>
      </c>
    </row>
    <row r="939" ht="14" customHeight="1">
      <c r="A939" s="22" t="inlineStr">
        <is>
          <t>I2 (cement, production)</t>
        </is>
      </c>
      <c r="B939" s="22" t="inlineStr">
        <is>
          <t>Cement production (EU)</t>
        </is>
      </c>
      <c r="C939" s="22" t="inlineStr">
        <is>
          <t>Industry</t>
        </is>
      </c>
      <c r="D939" s="22" t="inlineStr">
        <is>
          <t>Mt</t>
        </is>
      </c>
      <c r="E939" s="65" t="n">
        <v>2021</v>
      </c>
      <c r="F939" s="66" t="n">
        <v>182.5</v>
      </c>
      <c r="G939" s="67" t="inlineStr">
        <is>
          <t>In the 2024 report</t>
        </is>
      </c>
      <c r="H939" s="22" t="inlineStr">
        <is>
          <t>Cembureau (data provided)</t>
        </is>
      </c>
      <c r="I939" s="35" t="inlineStr">
        <is>
          <t>esabcc-i2-cement-production</t>
        </is>
      </c>
    </row>
    <row r="940" ht="14" customHeight="1">
      <c r="A940" s="15" t="inlineStr">
        <is>
          <t>I2 (cement, production)</t>
        </is>
      </c>
      <c r="B940" s="15" t="inlineStr">
        <is>
          <t>Cement production (EU)</t>
        </is>
      </c>
      <c r="C940" s="15" t="inlineStr">
        <is>
          <t>Industry</t>
        </is>
      </c>
      <c r="D940" s="15" t="inlineStr">
        <is>
          <t>Mt</t>
        </is>
      </c>
      <c r="E940" s="63" t="n">
        <v>2022</v>
      </c>
      <c r="F940" s="64" t="n">
        <v>174.7</v>
      </c>
      <c r="G940" s="68" t="inlineStr">
        <is>
          <t>Added since the report</t>
        </is>
      </c>
      <c r="H940" s="15" t="inlineStr">
        <is>
          <t>Cembureau (data provided)</t>
        </is>
      </c>
      <c r="I940" s="34" t="inlineStr">
        <is>
          <t>esabcc-i2-cement-production</t>
        </is>
      </c>
    </row>
    <row r="941" ht="14" customHeight="1">
      <c r="A941" s="22" t="inlineStr">
        <is>
          <t>I2 (cement, production)</t>
        </is>
      </c>
      <c r="B941" s="22" t="inlineStr">
        <is>
          <t>Cement production (EU)</t>
        </is>
      </c>
      <c r="C941" s="22" t="inlineStr">
        <is>
          <t>Industry</t>
        </is>
      </c>
      <c r="D941" s="22" t="inlineStr">
        <is>
          <t>Mt</t>
        </is>
      </c>
      <c r="E941" s="65" t="n">
        <v>2023</v>
      </c>
      <c r="F941" s="66" t="n">
        <v>160.8</v>
      </c>
      <c r="G941" s="69" t="inlineStr">
        <is>
          <t>Added since the report</t>
        </is>
      </c>
      <c r="H941" s="22" t="inlineStr">
        <is>
          <t>Cembureau (data provided)</t>
        </is>
      </c>
      <c r="I941" s="35" t="inlineStr">
        <is>
          <t>esabcc-i2-cement-production</t>
        </is>
      </c>
    </row>
    <row r="942" ht="14" customHeight="1">
      <c r="A942" s="15" t="inlineStr">
        <is>
          <t>I2 (cement, production)</t>
        </is>
      </c>
      <c r="B942" s="15" t="inlineStr">
        <is>
          <t>Cement production (EU)</t>
        </is>
      </c>
      <c r="C942" s="15" t="inlineStr">
        <is>
          <t>Industry</t>
        </is>
      </c>
      <c r="D942" s="15" t="inlineStr">
        <is>
          <t>Mt</t>
        </is>
      </c>
      <c r="E942" s="63" t="n">
        <v>2024</v>
      </c>
      <c r="F942" s="64" t="n">
        <v>159.1</v>
      </c>
      <c r="G942" s="68" t="inlineStr">
        <is>
          <t>Added since the report</t>
        </is>
      </c>
      <c r="H942" s="15" t="inlineStr">
        <is>
          <t>Cembureau (data provided)</t>
        </is>
      </c>
      <c r="I942" s="34" t="inlineStr">
        <is>
          <t>esabcc-i2-cement-production</t>
        </is>
      </c>
    </row>
    <row r="943" ht="14" customHeight="1">
      <c r="A943" s="22" t="inlineStr">
        <is>
          <t>I2 (cement, production)</t>
        </is>
      </c>
      <c r="B943" s="22" t="inlineStr">
        <is>
          <t>Cement production (EU)</t>
        </is>
      </c>
      <c r="C943" s="22" t="inlineStr">
        <is>
          <t>Industry</t>
        </is>
      </c>
      <c r="D943" s="22" t="inlineStr">
        <is>
          <t>Mt</t>
        </is>
      </c>
      <c r="E943" s="65" t="n">
        <v>2025</v>
      </c>
      <c r="F943" s="66" t="n">
        <v>157.7</v>
      </c>
      <c r="G943" s="69" t="inlineStr">
        <is>
          <t>Added since the report</t>
        </is>
      </c>
      <c r="H943" s="22" t="inlineStr">
        <is>
          <t>Cembureau (data provided)</t>
        </is>
      </c>
      <c r="I943" s="35" t="inlineStr">
        <is>
          <t>esabcc-i2-cement-production</t>
        </is>
      </c>
    </row>
    <row r="944" ht="14" customHeight="1">
      <c r="A944" s="15" t="inlineStr">
        <is>
          <t>I2 (cement, use)</t>
        </is>
      </c>
      <c r="B944" s="15" t="inlineStr">
        <is>
          <t>Cement apparent use (consumption) (EU)</t>
        </is>
      </c>
      <c r="C944" s="15" t="inlineStr">
        <is>
          <t>Industry</t>
        </is>
      </c>
      <c r="D944" s="15" t="inlineStr">
        <is>
          <t>Mt</t>
        </is>
      </c>
      <c r="E944" s="63" t="n">
        <v>2005</v>
      </c>
      <c r="F944" s="64" t="n">
        <v>232.3</v>
      </c>
      <c r="G944" s="14" t="inlineStr">
        <is>
          <t>In the 2024 report</t>
        </is>
      </c>
      <c r="H944" s="15" t="inlineStr">
        <is>
          <t>Cembureau (data provided)</t>
        </is>
      </c>
      <c r="I944" s="34" t="inlineStr">
        <is>
          <t>esabcc-i2-cement-use</t>
        </is>
      </c>
    </row>
    <row r="945" ht="14" customHeight="1">
      <c r="A945" s="22" t="inlineStr">
        <is>
          <t>I2 (cement, use)</t>
        </is>
      </c>
      <c r="B945" s="22" t="inlineStr">
        <is>
          <t>Cement apparent use (consumption) (EU)</t>
        </is>
      </c>
      <c r="C945" s="22" t="inlineStr">
        <is>
          <t>Industry</t>
        </is>
      </c>
      <c r="D945" s="22" t="inlineStr">
        <is>
          <t>Mt</t>
        </is>
      </c>
      <c r="E945" s="65" t="n">
        <v>2006</v>
      </c>
      <c r="F945" s="66" t="n">
        <v>250.2</v>
      </c>
      <c r="G945" s="67" t="inlineStr">
        <is>
          <t>In the 2024 report</t>
        </is>
      </c>
      <c r="H945" s="22" t="inlineStr">
        <is>
          <t>Cembureau (data provided)</t>
        </is>
      </c>
      <c r="I945" s="35" t="inlineStr">
        <is>
          <t>esabcc-i2-cement-use</t>
        </is>
      </c>
    </row>
    <row r="946" ht="14" customHeight="1">
      <c r="A946" s="15" t="inlineStr">
        <is>
          <t>I2 (cement, use)</t>
        </is>
      </c>
      <c r="B946" s="15" t="inlineStr">
        <is>
          <t>Cement apparent use (consumption) (EU)</t>
        </is>
      </c>
      <c r="C946" s="15" t="inlineStr">
        <is>
          <t>Industry</t>
        </is>
      </c>
      <c r="D946" s="15" t="inlineStr">
        <is>
          <t>Mt</t>
        </is>
      </c>
      <c r="E946" s="63" t="n">
        <v>2007</v>
      </c>
      <c r="F946" s="64" t="n">
        <v>254</v>
      </c>
      <c r="G946" s="14" t="inlineStr">
        <is>
          <t>In the 2024 report</t>
        </is>
      </c>
      <c r="H946" s="15" t="inlineStr">
        <is>
          <t>Cembureau (data provided)</t>
        </is>
      </c>
      <c r="I946" s="34" t="inlineStr">
        <is>
          <t>esabcc-i2-cement-use</t>
        </is>
      </c>
    </row>
    <row r="947" ht="14" customHeight="1">
      <c r="A947" s="22" t="inlineStr">
        <is>
          <t>I2 (cement, use)</t>
        </is>
      </c>
      <c r="B947" s="22" t="inlineStr">
        <is>
          <t>Cement apparent use (consumption) (EU)</t>
        </is>
      </c>
      <c r="C947" s="22" t="inlineStr">
        <is>
          <t>Industry</t>
        </is>
      </c>
      <c r="D947" s="22" t="inlineStr">
        <is>
          <t>Mt</t>
        </is>
      </c>
      <c r="E947" s="65" t="n">
        <v>2008</v>
      </c>
      <c r="F947" s="66" t="n">
        <v>235.6</v>
      </c>
      <c r="G947" s="67" t="inlineStr">
        <is>
          <t>In the 2024 report</t>
        </is>
      </c>
      <c r="H947" s="22" t="inlineStr">
        <is>
          <t>Cembureau (data provided)</t>
        </is>
      </c>
      <c r="I947" s="35" t="inlineStr">
        <is>
          <t>esabcc-i2-cement-use</t>
        </is>
      </c>
    </row>
    <row r="948" ht="14" customHeight="1">
      <c r="A948" s="15" t="inlineStr">
        <is>
          <t>I2 (cement, use)</t>
        </is>
      </c>
      <c r="B948" s="15" t="inlineStr">
        <is>
          <t>Cement apparent use (consumption) (EU)</t>
        </is>
      </c>
      <c r="C948" s="15" t="inlineStr">
        <is>
          <t>Industry</t>
        </is>
      </c>
      <c r="D948" s="15" t="inlineStr">
        <is>
          <t>Mt</t>
        </is>
      </c>
      <c r="E948" s="63" t="n">
        <v>2009</v>
      </c>
      <c r="F948" s="64" t="n">
        <v>189.1</v>
      </c>
      <c r="G948" s="14" t="inlineStr">
        <is>
          <t>In the 2024 report</t>
        </is>
      </c>
      <c r="H948" s="15" t="inlineStr">
        <is>
          <t>Cembureau (data provided)</t>
        </is>
      </c>
      <c r="I948" s="34" t="inlineStr">
        <is>
          <t>esabcc-i2-cement-use</t>
        </is>
      </c>
    </row>
    <row r="949" ht="14" customHeight="1">
      <c r="A949" s="22" t="inlineStr">
        <is>
          <t>I2 (cement, use)</t>
        </is>
      </c>
      <c r="B949" s="22" t="inlineStr">
        <is>
          <t>Cement apparent use (consumption) (EU)</t>
        </is>
      </c>
      <c r="C949" s="22" t="inlineStr">
        <is>
          <t>Industry</t>
        </is>
      </c>
      <c r="D949" s="22" t="inlineStr">
        <is>
          <t>Mt</t>
        </is>
      </c>
      <c r="E949" s="65" t="n">
        <v>2010</v>
      </c>
      <c r="F949" s="66" t="n">
        <v>176.4</v>
      </c>
      <c r="G949" s="67" t="inlineStr">
        <is>
          <t>In the 2024 report</t>
        </is>
      </c>
      <c r="H949" s="22" t="inlineStr">
        <is>
          <t>Cembureau (data provided)</t>
        </is>
      </c>
      <c r="I949" s="35" t="inlineStr">
        <is>
          <t>esabcc-i2-cement-use</t>
        </is>
      </c>
    </row>
    <row r="950" ht="14" customHeight="1">
      <c r="A950" s="15" t="inlineStr">
        <is>
          <t>I2 (cement, use)</t>
        </is>
      </c>
      <c r="B950" s="15" t="inlineStr">
        <is>
          <t>Cement apparent use (consumption) (EU)</t>
        </is>
      </c>
      <c r="C950" s="15" t="inlineStr">
        <is>
          <t>Industry</t>
        </is>
      </c>
      <c r="D950" s="15" t="inlineStr">
        <is>
          <t>Mt</t>
        </is>
      </c>
      <c r="E950" s="63" t="n">
        <v>2011</v>
      </c>
      <c r="F950" s="64" t="n">
        <v>178.3</v>
      </c>
      <c r="G950" s="14" t="inlineStr">
        <is>
          <t>In the 2024 report</t>
        </is>
      </c>
      <c r="H950" s="15" t="inlineStr">
        <is>
          <t>Cembureau (data provided)</t>
        </is>
      </c>
      <c r="I950" s="34" t="inlineStr">
        <is>
          <t>esabcc-i2-cement-use</t>
        </is>
      </c>
    </row>
    <row r="951" ht="14" customHeight="1">
      <c r="A951" s="22" t="inlineStr">
        <is>
          <t>I2 (cement, use)</t>
        </is>
      </c>
      <c r="B951" s="22" t="inlineStr">
        <is>
          <t>Cement apparent use (consumption) (EU)</t>
        </is>
      </c>
      <c r="C951" s="22" t="inlineStr">
        <is>
          <t>Industry</t>
        </is>
      </c>
      <c r="D951" s="22" t="inlineStr">
        <is>
          <t>Mt</t>
        </is>
      </c>
      <c r="E951" s="65" t="n">
        <v>2012</v>
      </c>
      <c r="F951" s="66" t="n">
        <v>151.8</v>
      </c>
      <c r="G951" s="67" t="inlineStr">
        <is>
          <t>In the 2024 report</t>
        </is>
      </c>
      <c r="H951" s="22" t="inlineStr">
        <is>
          <t>Cembureau (data provided)</t>
        </is>
      </c>
      <c r="I951" s="35" t="inlineStr">
        <is>
          <t>esabcc-i2-cement-use</t>
        </is>
      </c>
    </row>
    <row r="952" ht="14" customHeight="1">
      <c r="A952" s="15" t="inlineStr">
        <is>
          <t>I2 (cement, use)</t>
        </is>
      </c>
      <c r="B952" s="15" t="inlineStr">
        <is>
          <t>Cement apparent use (consumption) (EU)</t>
        </is>
      </c>
      <c r="C952" s="15" t="inlineStr">
        <is>
          <t>Industry</t>
        </is>
      </c>
      <c r="D952" s="15" t="inlineStr">
        <is>
          <t>Mt</t>
        </is>
      </c>
      <c r="E952" s="63" t="n">
        <v>2013</v>
      </c>
      <c r="F952" s="64" t="n">
        <v>142.2</v>
      </c>
      <c r="G952" s="14" t="inlineStr">
        <is>
          <t>In the 2024 report</t>
        </is>
      </c>
      <c r="H952" s="15" t="inlineStr">
        <is>
          <t>Cembureau (data provided)</t>
        </is>
      </c>
      <c r="I952" s="34" t="inlineStr">
        <is>
          <t>esabcc-i2-cement-use</t>
        </is>
      </c>
    </row>
    <row r="953" ht="14" customHeight="1">
      <c r="A953" s="22" t="inlineStr">
        <is>
          <t>I2 (cement, use)</t>
        </is>
      </c>
      <c r="B953" s="22" t="inlineStr">
        <is>
          <t>Cement apparent use (consumption) (EU)</t>
        </is>
      </c>
      <c r="C953" s="22" t="inlineStr">
        <is>
          <t>Industry</t>
        </is>
      </c>
      <c r="D953" s="22" t="inlineStr">
        <is>
          <t>Mt</t>
        </is>
      </c>
      <c r="E953" s="65" t="n">
        <v>2014</v>
      </c>
      <c r="F953" s="66" t="n">
        <v>140.5</v>
      </c>
      <c r="G953" s="67" t="inlineStr">
        <is>
          <t>In the 2024 report</t>
        </is>
      </c>
      <c r="H953" s="22" t="inlineStr">
        <is>
          <t>Cembureau (data provided)</t>
        </is>
      </c>
      <c r="I953" s="35" t="inlineStr">
        <is>
          <t>esabcc-i2-cement-use</t>
        </is>
      </c>
    </row>
    <row r="954" ht="14" customHeight="1">
      <c r="A954" s="15" t="inlineStr">
        <is>
          <t>I2 (cement, use)</t>
        </is>
      </c>
      <c r="B954" s="15" t="inlineStr">
        <is>
          <t>Cement apparent use (consumption) (EU)</t>
        </is>
      </c>
      <c r="C954" s="15" t="inlineStr">
        <is>
          <t>Industry</t>
        </is>
      </c>
      <c r="D954" s="15" t="inlineStr">
        <is>
          <t>Mt</t>
        </is>
      </c>
      <c r="E954" s="63" t="n">
        <v>2015</v>
      </c>
      <c r="F954" s="64" t="n">
        <v>141.4</v>
      </c>
      <c r="G954" s="14" t="inlineStr">
        <is>
          <t>In the 2024 report</t>
        </is>
      </c>
      <c r="H954" s="15" t="inlineStr">
        <is>
          <t>Cembureau (data provided)</t>
        </is>
      </c>
      <c r="I954" s="34" t="inlineStr">
        <is>
          <t>esabcc-i2-cement-use</t>
        </is>
      </c>
    </row>
    <row r="955" ht="14" customHeight="1">
      <c r="A955" s="22" t="inlineStr">
        <is>
          <t>I2 (cement, use)</t>
        </is>
      </c>
      <c r="B955" s="22" t="inlineStr">
        <is>
          <t>Cement apparent use (consumption) (EU)</t>
        </is>
      </c>
      <c r="C955" s="22" t="inlineStr">
        <is>
          <t>Industry</t>
        </is>
      </c>
      <c r="D955" s="22" t="inlineStr">
        <is>
          <t>Mt</t>
        </is>
      </c>
      <c r="E955" s="65" t="n">
        <v>2016</v>
      </c>
      <c r="F955" s="66" t="n">
        <v>142.7</v>
      </c>
      <c r="G955" s="67" t="inlineStr">
        <is>
          <t>In the 2024 report</t>
        </is>
      </c>
      <c r="H955" s="22" t="inlineStr">
        <is>
          <t>Cembureau (data provided)</t>
        </is>
      </c>
      <c r="I955" s="35" t="inlineStr">
        <is>
          <t>esabcc-i2-cement-use</t>
        </is>
      </c>
    </row>
    <row r="956" ht="14" customHeight="1">
      <c r="A956" s="15" t="inlineStr">
        <is>
          <t>I2 (cement, use)</t>
        </is>
      </c>
      <c r="B956" s="15" t="inlineStr">
        <is>
          <t>Cement apparent use (consumption) (EU)</t>
        </is>
      </c>
      <c r="C956" s="15" t="inlineStr">
        <is>
          <t>Industry</t>
        </is>
      </c>
      <c r="D956" s="15" t="inlineStr">
        <is>
          <t>Mt</t>
        </is>
      </c>
      <c r="E956" s="63" t="n">
        <v>2017</v>
      </c>
      <c r="F956" s="64" t="n">
        <v>147.8</v>
      </c>
      <c r="G956" s="14" t="inlineStr">
        <is>
          <t>In the 2024 report</t>
        </is>
      </c>
      <c r="H956" s="15" t="inlineStr">
        <is>
          <t>Cembureau (data provided)</t>
        </is>
      </c>
      <c r="I956" s="34" t="inlineStr">
        <is>
          <t>esabcc-i2-cement-use</t>
        </is>
      </c>
    </row>
    <row r="957" ht="14" customHeight="1">
      <c r="A957" s="22" t="inlineStr">
        <is>
          <t>I2 (cement, use)</t>
        </is>
      </c>
      <c r="B957" s="22" t="inlineStr">
        <is>
          <t>Cement apparent use (consumption) (EU)</t>
        </is>
      </c>
      <c r="C957" s="22" t="inlineStr">
        <is>
          <t>Industry</t>
        </is>
      </c>
      <c r="D957" s="22" t="inlineStr">
        <is>
          <t>Mt</t>
        </is>
      </c>
      <c r="E957" s="65" t="n">
        <v>2018</v>
      </c>
      <c r="F957" s="66" t="n">
        <v>155.3</v>
      </c>
      <c r="G957" s="67" t="inlineStr">
        <is>
          <t>In the 2024 report</t>
        </is>
      </c>
      <c r="H957" s="22" t="inlineStr">
        <is>
          <t>Cembureau (data provided)</t>
        </is>
      </c>
      <c r="I957" s="35" t="inlineStr">
        <is>
          <t>esabcc-i2-cement-use</t>
        </is>
      </c>
    </row>
    <row r="958" ht="14" customHeight="1">
      <c r="A958" s="15" t="inlineStr">
        <is>
          <t>I2 (cement, use)</t>
        </is>
      </c>
      <c r="B958" s="15" t="inlineStr">
        <is>
          <t>Cement apparent use (consumption) (EU)</t>
        </is>
      </c>
      <c r="C958" s="15" t="inlineStr">
        <is>
          <t>Industry</t>
        </is>
      </c>
      <c r="D958" s="15" t="inlineStr">
        <is>
          <t>Mt</t>
        </is>
      </c>
      <c r="E958" s="63" t="n">
        <v>2019</v>
      </c>
      <c r="F958" s="64" t="n">
        <v>157.4</v>
      </c>
      <c r="G958" s="14" t="inlineStr">
        <is>
          <t>In the 2024 report</t>
        </is>
      </c>
      <c r="H958" s="15" t="inlineStr">
        <is>
          <t>Cembureau (data provided)</t>
        </is>
      </c>
      <c r="I958" s="34" t="inlineStr">
        <is>
          <t>esabcc-i2-cement-use</t>
        </is>
      </c>
    </row>
    <row r="959" ht="14" customHeight="1">
      <c r="A959" s="22" t="inlineStr">
        <is>
          <t>I2 (cement, use)</t>
        </is>
      </c>
      <c r="B959" s="22" t="inlineStr">
        <is>
          <t>Cement apparent use (consumption) (EU)</t>
        </is>
      </c>
      <c r="C959" s="22" t="inlineStr">
        <is>
          <t>Industry</t>
        </is>
      </c>
      <c r="D959" s="22" t="inlineStr">
        <is>
          <t>Mt</t>
        </is>
      </c>
      <c r="E959" s="65" t="n">
        <v>2020</v>
      </c>
      <c r="F959" s="66" t="n">
        <v>159.2</v>
      </c>
      <c r="G959" s="67" t="inlineStr">
        <is>
          <t>In the 2024 report</t>
        </is>
      </c>
      <c r="H959" s="22" t="inlineStr">
        <is>
          <t>Cembureau (data provided)</t>
        </is>
      </c>
      <c r="I959" s="35" t="inlineStr">
        <is>
          <t>esabcc-i2-cement-use</t>
        </is>
      </c>
    </row>
    <row r="960" ht="14" customHeight="1">
      <c r="A960" s="15" t="inlineStr">
        <is>
          <t>I2 (cement, use)</t>
        </is>
      </c>
      <c r="B960" s="15" t="inlineStr">
        <is>
          <t>Cement apparent use (consumption) (EU)</t>
        </is>
      </c>
      <c r="C960" s="15" t="inlineStr">
        <is>
          <t>Industry</t>
        </is>
      </c>
      <c r="D960" s="15" t="inlineStr">
        <is>
          <t>Mt</t>
        </is>
      </c>
      <c r="E960" s="63" t="n">
        <v>2021</v>
      </c>
      <c r="F960" s="64" t="n">
        <v>170.5</v>
      </c>
      <c r="G960" s="14" t="inlineStr">
        <is>
          <t>In the 2024 report</t>
        </is>
      </c>
      <c r="H960" s="15" t="inlineStr">
        <is>
          <t>Cembureau (data provided)</t>
        </is>
      </c>
      <c r="I960" s="34" t="inlineStr">
        <is>
          <t>esabcc-i2-cement-use</t>
        </is>
      </c>
    </row>
    <row r="961" ht="14" customHeight="1">
      <c r="A961" s="22" t="inlineStr">
        <is>
          <t>I2 (chemicals, production)</t>
        </is>
      </c>
      <c r="B961" s="22" t="inlineStr">
        <is>
          <t>Chemicals production (EU)</t>
        </is>
      </c>
      <c r="C961" s="22" t="inlineStr">
        <is>
          <t>Industry</t>
        </is>
      </c>
      <c r="D961" s="22" t="inlineStr">
        <is>
          <t>Mt</t>
        </is>
      </c>
      <c r="E961" s="65" t="n">
        <v>2005</v>
      </c>
      <c r="F961" s="66" t="n">
        <v>33.52</v>
      </c>
      <c r="G961" s="67" t="inlineStr">
        <is>
          <t>In the 2024 report</t>
        </is>
      </c>
      <c r="H961" s="22" t="inlineStr">
        <is>
          <t>Eurostat DS-056120 (sold production) and DS-059268 (trade)</t>
        </is>
      </c>
      <c r="I961" s="35" t="inlineStr">
        <is>
          <t>esabcc-i2-chemicals-production</t>
        </is>
      </c>
    </row>
    <row r="962" ht="14" customHeight="1">
      <c r="A962" s="15" t="inlineStr">
        <is>
          <t>I2 (chemicals, production)</t>
        </is>
      </c>
      <c r="B962" s="15" t="inlineStr">
        <is>
          <t>Chemicals production (EU)</t>
        </is>
      </c>
      <c r="C962" s="15" t="inlineStr">
        <is>
          <t>Industry</t>
        </is>
      </c>
      <c r="D962" s="15" t="inlineStr">
        <is>
          <t>Mt</t>
        </is>
      </c>
      <c r="E962" s="63" t="n">
        <v>2006</v>
      </c>
      <c r="F962" s="64" t="n">
        <v>36.25</v>
      </c>
      <c r="G962" s="14" t="inlineStr">
        <is>
          <t>In the 2024 report</t>
        </is>
      </c>
      <c r="H962" s="15" t="inlineStr">
        <is>
          <t>Eurostat DS-056120 (sold production) and DS-059268 (trade)</t>
        </is>
      </c>
      <c r="I962" s="34" t="inlineStr">
        <is>
          <t>esabcc-i2-chemicals-production</t>
        </is>
      </c>
    </row>
    <row r="963" ht="14" customHeight="1">
      <c r="A963" s="22" t="inlineStr">
        <is>
          <t>I2 (chemicals, production)</t>
        </is>
      </c>
      <c r="B963" s="22" t="inlineStr">
        <is>
          <t>Chemicals production (EU)</t>
        </is>
      </c>
      <c r="C963" s="22" t="inlineStr">
        <is>
          <t>Industry</t>
        </is>
      </c>
      <c r="D963" s="22" t="inlineStr">
        <is>
          <t>Mt</t>
        </is>
      </c>
      <c r="E963" s="65" t="n">
        <v>2007</v>
      </c>
      <c r="F963" s="66" t="n">
        <v>31.12</v>
      </c>
      <c r="G963" s="67" t="inlineStr">
        <is>
          <t>In the 2024 report</t>
        </is>
      </c>
      <c r="H963" s="22" t="inlineStr">
        <is>
          <t>Eurostat DS-056120 (sold production) and DS-059268 (trade)</t>
        </is>
      </c>
      <c r="I963" s="35" t="inlineStr">
        <is>
          <t>esabcc-i2-chemicals-production</t>
        </is>
      </c>
    </row>
    <row r="964" ht="14" customHeight="1">
      <c r="A964" s="15" t="inlineStr">
        <is>
          <t>I2 (chemicals, production)</t>
        </is>
      </c>
      <c r="B964" s="15" t="inlineStr">
        <is>
          <t>Chemicals production (EU)</t>
        </is>
      </c>
      <c r="C964" s="15" t="inlineStr">
        <is>
          <t>Industry</t>
        </is>
      </c>
      <c r="D964" s="15" t="inlineStr">
        <is>
          <t>Mt</t>
        </is>
      </c>
      <c r="E964" s="63" t="n">
        <v>2008</v>
      </c>
      <c r="F964" s="64" t="n">
        <v>28.08</v>
      </c>
      <c r="G964" s="14" t="inlineStr">
        <is>
          <t>In the 2024 report</t>
        </is>
      </c>
      <c r="H964" s="15" t="inlineStr">
        <is>
          <t>Eurostat DS-056120 (sold production) and DS-059268 (trade)</t>
        </is>
      </c>
      <c r="I964" s="34" t="inlineStr">
        <is>
          <t>esabcc-i2-chemicals-production</t>
        </is>
      </c>
    </row>
    <row r="965" ht="14" customHeight="1">
      <c r="A965" s="22" t="inlineStr">
        <is>
          <t>I2 (chemicals, production)</t>
        </is>
      </c>
      <c r="B965" s="22" t="inlineStr">
        <is>
          <t>Chemicals production (EU)</t>
        </is>
      </c>
      <c r="C965" s="22" t="inlineStr">
        <is>
          <t>Industry</t>
        </is>
      </c>
      <c r="D965" s="22" t="inlineStr">
        <is>
          <t>Mt</t>
        </is>
      </c>
      <c r="E965" s="65" t="n">
        <v>2009</v>
      </c>
      <c r="F965" s="66" t="n">
        <v>30.66</v>
      </c>
      <c r="G965" s="67" t="inlineStr">
        <is>
          <t>In the 2024 report</t>
        </is>
      </c>
      <c r="H965" s="22" t="inlineStr">
        <is>
          <t>Eurostat DS-056120 (sold production) and DS-059268 (trade)</t>
        </is>
      </c>
      <c r="I965" s="35" t="inlineStr">
        <is>
          <t>esabcc-i2-chemicals-production</t>
        </is>
      </c>
    </row>
    <row r="966" ht="14" customHeight="1">
      <c r="A966" s="15" t="inlineStr">
        <is>
          <t>I2 (chemicals, production)</t>
        </is>
      </c>
      <c r="B966" s="15" t="inlineStr">
        <is>
          <t>Chemicals production (EU)</t>
        </is>
      </c>
      <c r="C966" s="15" t="inlineStr">
        <is>
          <t>Industry</t>
        </is>
      </c>
      <c r="D966" s="15" t="inlineStr">
        <is>
          <t>Mt</t>
        </is>
      </c>
      <c r="E966" s="63" t="n">
        <v>2010</v>
      </c>
      <c r="F966" s="64" t="n">
        <v>32.08</v>
      </c>
      <c r="G966" s="14" t="inlineStr">
        <is>
          <t>In the 2024 report</t>
        </is>
      </c>
      <c r="H966" s="15" t="inlineStr">
        <is>
          <t>Eurostat DS-056120 (sold production) and DS-059268 (trade)</t>
        </is>
      </c>
      <c r="I966" s="34" t="inlineStr">
        <is>
          <t>esabcc-i2-chemicals-production</t>
        </is>
      </c>
    </row>
    <row r="967" ht="14" customHeight="1">
      <c r="A967" s="22" t="inlineStr">
        <is>
          <t>I2 (chemicals, production)</t>
        </is>
      </c>
      <c r="B967" s="22" t="inlineStr">
        <is>
          <t>Chemicals production (EU)</t>
        </is>
      </c>
      <c r="C967" s="22" t="inlineStr">
        <is>
          <t>Industry</t>
        </is>
      </c>
      <c r="D967" s="22" t="inlineStr">
        <is>
          <t>Mt</t>
        </is>
      </c>
      <c r="E967" s="65" t="n">
        <v>2011</v>
      </c>
      <c r="F967" s="66" t="n">
        <v>31.2</v>
      </c>
      <c r="G967" s="67" t="inlineStr">
        <is>
          <t>In the 2024 report</t>
        </is>
      </c>
      <c r="H967" s="22" t="inlineStr">
        <is>
          <t>Eurostat DS-056120 (sold production) and DS-059268 (trade)</t>
        </is>
      </c>
      <c r="I967" s="35" t="inlineStr">
        <is>
          <t>esabcc-i2-chemicals-production</t>
        </is>
      </c>
    </row>
    <row r="968" ht="14" customHeight="1">
      <c r="A968" s="15" t="inlineStr">
        <is>
          <t>I2 (chemicals, production)</t>
        </is>
      </c>
      <c r="B968" s="15" t="inlineStr">
        <is>
          <t>Chemicals production (EU)</t>
        </is>
      </c>
      <c r="C968" s="15" t="inlineStr">
        <is>
          <t>Industry</t>
        </is>
      </c>
      <c r="D968" s="15" t="inlineStr">
        <is>
          <t>Mt</t>
        </is>
      </c>
      <c r="E968" s="63" t="n">
        <v>2012</v>
      </c>
      <c r="F968" s="64" t="n">
        <v>29.59</v>
      </c>
      <c r="G968" s="14" t="inlineStr">
        <is>
          <t>In the 2024 report</t>
        </is>
      </c>
      <c r="H968" s="15" t="inlineStr">
        <is>
          <t>Eurostat DS-056120 (sold production) and DS-059268 (trade)</t>
        </is>
      </c>
      <c r="I968" s="34" t="inlineStr">
        <is>
          <t>esabcc-i2-chemicals-production</t>
        </is>
      </c>
    </row>
    <row r="969" ht="14" customHeight="1">
      <c r="A969" s="22" t="inlineStr">
        <is>
          <t>I2 (chemicals, production)</t>
        </is>
      </c>
      <c r="B969" s="22" t="inlineStr">
        <is>
          <t>Chemicals production (EU)</t>
        </is>
      </c>
      <c r="C969" s="22" t="inlineStr">
        <is>
          <t>Industry</t>
        </is>
      </c>
      <c r="D969" s="22" t="inlineStr">
        <is>
          <t>Mt</t>
        </is>
      </c>
      <c r="E969" s="65" t="n">
        <v>2013</v>
      </c>
      <c r="F969" s="66" t="n">
        <v>30.58</v>
      </c>
      <c r="G969" s="67" t="inlineStr">
        <is>
          <t>In the 2024 report</t>
        </is>
      </c>
      <c r="H969" s="22" t="inlineStr">
        <is>
          <t>Eurostat DS-056120 (sold production) and DS-059268 (trade)</t>
        </is>
      </c>
      <c r="I969" s="35" t="inlineStr">
        <is>
          <t>esabcc-i2-chemicals-production</t>
        </is>
      </c>
    </row>
    <row r="970" ht="14" customHeight="1">
      <c r="A970" s="15" t="inlineStr">
        <is>
          <t>I2 (chemicals, production)</t>
        </is>
      </c>
      <c r="B970" s="15" t="inlineStr">
        <is>
          <t>Chemicals production (EU)</t>
        </is>
      </c>
      <c r="C970" s="15" t="inlineStr">
        <is>
          <t>Industry</t>
        </is>
      </c>
      <c r="D970" s="15" t="inlineStr">
        <is>
          <t>Mt</t>
        </is>
      </c>
      <c r="E970" s="63" t="n">
        <v>2014</v>
      </c>
      <c r="F970" s="64" t="n">
        <v>30.13</v>
      </c>
      <c r="G970" s="14" t="inlineStr">
        <is>
          <t>In the 2024 report</t>
        </is>
      </c>
      <c r="H970" s="15" t="inlineStr">
        <is>
          <t>Eurostat DS-056120 (sold production) and DS-059268 (trade)</t>
        </is>
      </c>
      <c r="I970" s="34" t="inlineStr">
        <is>
          <t>esabcc-i2-chemicals-production</t>
        </is>
      </c>
    </row>
    <row r="971" ht="14" customHeight="1">
      <c r="A971" s="22" t="inlineStr">
        <is>
          <t>I2 (chemicals, production)</t>
        </is>
      </c>
      <c r="B971" s="22" t="inlineStr">
        <is>
          <t>Chemicals production (EU)</t>
        </is>
      </c>
      <c r="C971" s="22" t="inlineStr">
        <is>
          <t>Industry</t>
        </is>
      </c>
      <c r="D971" s="22" t="inlineStr">
        <is>
          <t>Mt</t>
        </is>
      </c>
      <c r="E971" s="65" t="n">
        <v>2015</v>
      </c>
      <c r="F971" s="66" t="n">
        <v>30.14</v>
      </c>
      <c r="G971" s="67" t="inlineStr">
        <is>
          <t>In the 2024 report</t>
        </is>
      </c>
      <c r="H971" s="22" t="inlineStr">
        <is>
          <t>Eurostat DS-056120 (sold production) and DS-059268 (trade)</t>
        </is>
      </c>
      <c r="I971" s="35" t="inlineStr">
        <is>
          <t>esabcc-i2-chemicals-production</t>
        </is>
      </c>
    </row>
    <row r="972" ht="14" customHeight="1">
      <c r="A972" s="15" t="inlineStr">
        <is>
          <t>I2 (chemicals, production)</t>
        </is>
      </c>
      <c r="B972" s="15" t="inlineStr">
        <is>
          <t>Chemicals production (EU)</t>
        </is>
      </c>
      <c r="C972" s="15" t="inlineStr">
        <is>
          <t>Industry</t>
        </is>
      </c>
      <c r="D972" s="15" t="inlineStr">
        <is>
          <t>Mt</t>
        </is>
      </c>
      <c r="E972" s="63" t="n">
        <v>2016</v>
      </c>
      <c r="F972" s="64" t="n">
        <v>31.96</v>
      </c>
      <c r="G972" s="14" t="inlineStr">
        <is>
          <t>In the 2024 report</t>
        </is>
      </c>
      <c r="H972" s="15" t="inlineStr">
        <is>
          <t>Eurostat DS-056120 (sold production) and DS-059268 (trade)</t>
        </is>
      </c>
      <c r="I972" s="34" t="inlineStr">
        <is>
          <t>esabcc-i2-chemicals-production</t>
        </is>
      </c>
    </row>
    <row r="973" ht="14" customHeight="1">
      <c r="A973" s="22" t="inlineStr">
        <is>
          <t>I2 (chemicals, production)</t>
        </is>
      </c>
      <c r="B973" s="22" t="inlineStr">
        <is>
          <t>Chemicals production (EU)</t>
        </is>
      </c>
      <c r="C973" s="22" t="inlineStr">
        <is>
          <t>Industry</t>
        </is>
      </c>
      <c r="D973" s="22" t="inlineStr">
        <is>
          <t>Mt</t>
        </is>
      </c>
      <c r="E973" s="65" t="n">
        <v>2017</v>
      </c>
      <c r="F973" s="66" t="n">
        <v>29.64</v>
      </c>
      <c r="G973" s="67" t="inlineStr">
        <is>
          <t>In the 2024 report</t>
        </is>
      </c>
      <c r="H973" s="22" t="inlineStr">
        <is>
          <t>Eurostat DS-056120 (sold production) and DS-059268 (trade)</t>
        </is>
      </c>
      <c r="I973" s="35" t="inlineStr">
        <is>
          <t>esabcc-i2-chemicals-production</t>
        </is>
      </c>
    </row>
    <row r="974" ht="14" customHeight="1">
      <c r="A974" s="15" t="inlineStr">
        <is>
          <t>I2 (chemicals, production)</t>
        </is>
      </c>
      <c r="B974" s="15" t="inlineStr">
        <is>
          <t>Chemicals production (EU)</t>
        </is>
      </c>
      <c r="C974" s="15" t="inlineStr">
        <is>
          <t>Industry</t>
        </is>
      </c>
      <c r="D974" s="15" t="inlineStr">
        <is>
          <t>Mt</t>
        </is>
      </c>
      <c r="E974" s="63" t="n">
        <v>2018</v>
      </c>
      <c r="F974" s="64" t="n">
        <v>28.35</v>
      </c>
      <c r="G974" s="14" t="inlineStr">
        <is>
          <t>In the 2024 report</t>
        </is>
      </c>
      <c r="H974" s="15" t="inlineStr">
        <is>
          <t>Eurostat DS-056120 (sold production) and DS-059268 (trade)</t>
        </is>
      </c>
      <c r="I974" s="34" t="inlineStr">
        <is>
          <t>esabcc-i2-chemicals-production</t>
        </is>
      </c>
    </row>
    <row r="975" ht="14" customHeight="1">
      <c r="A975" s="22" t="inlineStr">
        <is>
          <t>I2 (chemicals, production)</t>
        </is>
      </c>
      <c r="B975" s="22" t="inlineStr">
        <is>
          <t>Chemicals production (EU)</t>
        </is>
      </c>
      <c r="C975" s="22" t="inlineStr">
        <is>
          <t>Industry</t>
        </is>
      </c>
      <c r="D975" s="22" t="inlineStr">
        <is>
          <t>Mt</t>
        </is>
      </c>
      <c r="E975" s="65" t="n">
        <v>2019</v>
      </c>
      <c r="F975" s="66" t="n">
        <v>28.01</v>
      </c>
      <c r="G975" s="67" t="inlineStr">
        <is>
          <t>In the 2024 report</t>
        </is>
      </c>
      <c r="H975" s="22" t="inlineStr">
        <is>
          <t>Eurostat DS-056120 (sold production) and DS-059268 (trade)</t>
        </is>
      </c>
      <c r="I975" s="35" t="inlineStr">
        <is>
          <t>esabcc-i2-chemicals-production</t>
        </is>
      </c>
    </row>
    <row r="976" ht="14" customHeight="1">
      <c r="A976" s="15" t="inlineStr">
        <is>
          <t>I2 (chemicals, production)</t>
        </is>
      </c>
      <c r="B976" s="15" t="inlineStr">
        <is>
          <t>Chemicals production (EU)</t>
        </is>
      </c>
      <c r="C976" s="15" t="inlineStr">
        <is>
          <t>Industry</t>
        </is>
      </c>
      <c r="D976" s="15" t="inlineStr">
        <is>
          <t>Mt</t>
        </is>
      </c>
      <c r="E976" s="63" t="n">
        <v>2020</v>
      </c>
      <c r="F976" s="64" t="n">
        <v>28.72</v>
      </c>
      <c r="G976" s="14" t="inlineStr">
        <is>
          <t>In the 2024 report</t>
        </is>
      </c>
      <c r="H976" s="15" t="inlineStr">
        <is>
          <t>Eurostat DS-056120 (sold production) and DS-059268 (trade)</t>
        </is>
      </c>
      <c r="I976" s="34" t="inlineStr">
        <is>
          <t>esabcc-i2-chemicals-production</t>
        </is>
      </c>
    </row>
    <row r="977" ht="14" customHeight="1">
      <c r="A977" s="22" t="inlineStr">
        <is>
          <t>I2 (chemicals, production)</t>
        </is>
      </c>
      <c r="B977" s="22" t="inlineStr">
        <is>
          <t>Chemicals production (EU)</t>
        </is>
      </c>
      <c r="C977" s="22" t="inlineStr">
        <is>
          <t>Industry</t>
        </is>
      </c>
      <c r="D977" s="22" t="inlineStr">
        <is>
          <t>Mt</t>
        </is>
      </c>
      <c r="E977" s="65" t="n">
        <v>2021</v>
      </c>
      <c r="F977" s="66" t="n">
        <v>26.84</v>
      </c>
      <c r="G977" s="67" t="inlineStr">
        <is>
          <t>In the 2024 report</t>
        </is>
      </c>
      <c r="H977" s="22" t="inlineStr">
        <is>
          <t>Eurostat DS-056120 (sold production) and DS-059268 (trade)</t>
        </is>
      </c>
      <c r="I977" s="35" t="inlineStr">
        <is>
          <t>esabcc-i2-chemicals-production</t>
        </is>
      </c>
    </row>
    <row r="978" ht="14" customHeight="1">
      <c r="A978" s="15" t="inlineStr">
        <is>
          <t>I2 (chemicals, production)</t>
        </is>
      </c>
      <c r="B978" s="15" t="inlineStr">
        <is>
          <t>Chemicals production (EU)</t>
        </is>
      </c>
      <c r="C978" s="15" t="inlineStr">
        <is>
          <t>Industry</t>
        </is>
      </c>
      <c r="D978" s="15" t="inlineStr">
        <is>
          <t>Mt</t>
        </is>
      </c>
      <c r="E978" s="63" t="n">
        <v>2022</v>
      </c>
      <c r="F978" s="64" t="n">
        <v>25.36</v>
      </c>
      <c r="G978" s="68" t="inlineStr">
        <is>
          <t>Added since the report</t>
        </is>
      </c>
      <c r="H978" s="15" t="inlineStr">
        <is>
          <t>Eurostat DS-056120 (sold production) and DS-059268 (trade)</t>
        </is>
      </c>
      <c r="I978" s="34" t="inlineStr">
        <is>
          <t>esabcc-i2-chemicals-production</t>
        </is>
      </c>
    </row>
    <row r="979" ht="14" customHeight="1">
      <c r="A979" s="22" t="inlineStr">
        <is>
          <t>I2 (chemicals, production)</t>
        </is>
      </c>
      <c r="B979" s="22" t="inlineStr">
        <is>
          <t>Chemicals production (EU)</t>
        </is>
      </c>
      <c r="C979" s="22" t="inlineStr">
        <is>
          <t>Industry</t>
        </is>
      </c>
      <c r="D979" s="22" t="inlineStr">
        <is>
          <t>Mt</t>
        </is>
      </c>
      <c r="E979" s="65" t="n">
        <v>2023</v>
      </c>
      <c r="F979" s="66" t="n">
        <v>21.45</v>
      </c>
      <c r="G979" s="69" t="inlineStr">
        <is>
          <t>Added since the report</t>
        </is>
      </c>
      <c r="H979" s="22" t="inlineStr">
        <is>
          <t>Eurostat DS-056120 (sold production) and DS-059268 (trade)</t>
        </is>
      </c>
      <c r="I979" s="35" t="inlineStr">
        <is>
          <t>esabcc-i2-chemicals-production</t>
        </is>
      </c>
    </row>
    <row r="980" ht="14" customHeight="1">
      <c r="A980" s="15" t="inlineStr">
        <is>
          <t>I2 (chemicals, production)</t>
        </is>
      </c>
      <c r="B980" s="15" t="inlineStr">
        <is>
          <t>Chemicals production (EU)</t>
        </is>
      </c>
      <c r="C980" s="15" t="inlineStr">
        <is>
          <t>Industry</t>
        </is>
      </c>
      <c r="D980" s="15" t="inlineStr">
        <is>
          <t>Mt</t>
        </is>
      </c>
      <c r="E980" s="63" t="n">
        <v>2024</v>
      </c>
      <c r="F980" s="64" t="n">
        <v>19.89</v>
      </c>
      <c r="G980" s="68" t="inlineStr">
        <is>
          <t>Added since the report</t>
        </is>
      </c>
      <c r="H980" s="15" t="inlineStr">
        <is>
          <t>Eurostat DS-056120 (sold production) and DS-059268 (trade)</t>
        </is>
      </c>
      <c r="I980" s="34" t="inlineStr">
        <is>
          <t>esabcc-i2-chemicals-production</t>
        </is>
      </c>
    </row>
    <row r="981" ht="14" customHeight="1">
      <c r="A981" s="22" t="inlineStr">
        <is>
          <t>I2 (chemicals, production)</t>
        </is>
      </c>
      <c r="B981" s="22" t="inlineStr">
        <is>
          <t>Chemicals production (EU)</t>
        </is>
      </c>
      <c r="C981" s="22" t="inlineStr">
        <is>
          <t>Industry</t>
        </is>
      </c>
      <c r="D981" s="22" t="inlineStr">
        <is>
          <t>Mt</t>
        </is>
      </c>
      <c r="E981" s="65" t="n">
        <v>2025</v>
      </c>
      <c r="F981" s="66" t="n">
        <v>18.55</v>
      </c>
      <c r="G981" s="69" t="inlineStr">
        <is>
          <t>Added since the report</t>
        </is>
      </c>
      <c r="H981" s="22" t="inlineStr">
        <is>
          <t>Eurostat DS-056120 (sold production) and DS-059268 (trade)</t>
        </is>
      </c>
      <c r="I981" s="35" t="inlineStr">
        <is>
          <t>esabcc-i2-chemicals-production</t>
        </is>
      </c>
    </row>
    <row r="982" ht="14" customHeight="1">
      <c r="A982" s="15" t="inlineStr">
        <is>
          <t>I2 (chemicals, use)</t>
        </is>
      </c>
      <c r="B982" s="15" t="inlineStr">
        <is>
          <t>Chemicals apparent use (consumption) (EU)</t>
        </is>
      </c>
      <c r="C982" s="15" t="inlineStr">
        <is>
          <t>Industry</t>
        </is>
      </c>
      <c r="D982" s="15" t="inlineStr">
        <is>
          <t>Mt</t>
        </is>
      </c>
      <c r="E982" s="63" t="n">
        <v>2005</v>
      </c>
      <c r="F982" s="64" t="n">
        <v>35.99</v>
      </c>
      <c r="G982" s="14" t="inlineStr">
        <is>
          <t>In the 2024 report</t>
        </is>
      </c>
      <c r="H982" s="15" t="inlineStr">
        <is>
          <t>Eurostat DS-056120 (sold production) and DS-059268 (trade)</t>
        </is>
      </c>
      <c r="I982" s="34" t="inlineStr">
        <is>
          <t>esabcc-i2-chemicals-use</t>
        </is>
      </c>
    </row>
    <row r="983" ht="14" customHeight="1">
      <c r="A983" s="22" t="inlineStr">
        <is>
          <t>I2 (chemicals, use)</t>
        </is>
      </c>
      <c r="B983" s="22" t="inlineStr">
        <is>
          <t>Chemicals apparent use (consumption) (EU)</t>
        </is>
      </c>
      <c r="C983" s="22" t="inlineStr">
        <is>
          <t>Industry</t>
        </is>
      </c>
      <c r="D983" s="22" t="inlineStr">
        <is>
          <t>Mt</t>
        </is>
      </c>
      <c r="E983" s="65" t="n">
        <v>2006</v>
      </c>
      <c r="F983" s="66" t="n">
        <v>39.39</v>
      </c>
      <c r="G983" s="67" t="inlineStr">
        <is>
          <t>In the 2024 report</t>
        </is>
      </c>
      <c r="H983" s="22" t="inlineStr">
        <is>
          <t>Eurostat DS-056120 (sold production) and DS-059268 (trade)</t>
        </is>
      </c>
      <c r="I983" s="35" t="inlineStr">
        <is>
          <t>esabcc-i2-chemicals-use</t>
        </is>
      </c>
    </row>
    <row r="984" ht="14" customHeight="1">
      <c r="A984" s="15" t="inlineStr">
        <is>
          <t>I2 (chemicals, use)</t>
        </is>
      </c>
      <c r="B984" s="15" t="inlineStr">
        <is>
          <t>Chemicals apparent use (consumption) (EU)</t>
        </is>
      </c>
      <c r="C984" s="15" t="inlineStr">
        <is>
          <t>Industry</t>
        </is>
      </c>
      <c r="D984" s="15" t="inlineStr">
        <is>
          <t>Mt</t>
        </is>
      </c>
      <c r="E984" s="63" t="n">
        <v>2007</v>
      </c>
      <c r="F984" s="64" t="n">
        <v>33.35</v>
      </c>
      <c r="G984" s="14" t="inlineStr">
        <is>
          <t>In the 2024 report</t>
        </is>
      </c>
      <c r="H984" s="15" t="inlineStr">
        <is>
          <t>Eurostat DS-056120 (sold production) and DS-059268 (trade)</t>
        </is>
      </c>
      <c r="I984" s="34" t="inlineStr">
        <is>
          <t>esabcc-i2-chemicals-use</t>
        </is>
      </c>
    </row>
    <row r="985" ht="14" customHeight="1">
      <c r="A985" s="22" t="inlineStr">
        <is>
          <t>I2 (chemicals, use)</t>
        </is>
      </c>
      <c r="B985" s="22" t="inlineStr">
        <is>
          <t>Chemicals apparent use (consumption) (EU)</t>
        </is>
      </c>
      <c r="C985" s="22" t="inlineStr">
        <is>
          <t>Industry</t>
        </is>
      </c>
      <c r="D985" s="22" t="inlineStr">
        <is>
          <t>Mt</t>
        </is>
      </c>
      <c r="E985" s="65" t="n">
        <v>2008</v>
      </c>
      <c r="F985" s="66" t="n">
        <v>29.56</v>
      </c>
      <c r="G985" s="67" t="inlineStr">
        <is>
          <t>In the 2024 report</t>
        </is>
      </c>
      <c r="H985" s="22" t="inlineStr">
        <is>
          <t>Eurostat DS-056120 (sold production) and DS-059268 (trade)</t>
        </is>
      </c>
      <c r="I985" s="35" t="inlineStr">
        <is>
          <t>esabcc-i2-chemicals-use</t>
        </is>
      </c>
    </row>
    <row r="986" ht="14" customHeight="1">
      <c r="A986" s="15" t="inlineStr">
        <is>
          <t>I2 (chemicals, use)</t>
        </is>
      </c>
      <c r="B986" s="15" t="inlineStr">
        <is>
          <t>Chemicals apparent use (consumption) (EU)</t>
        </is>
      </c>
      <c r="C986" s="15" t="inlineStr">
        <is>
          <t>Industry</t>
        </is>
      </c>
      <c r="D986" s="15" t="inlineStr">
        <is>
          <t>Mt</t>
        </is>
      </c>
      <c r="E986" s="63" t="n">
        <v>2009</v>
      </c>
      <c r="F986" s="64" t="n">
        <v>32.74</v>
      </c>
      <c r="G986" s="14" t="inlineStr">
        <is>
          <t>In the 2024 report</t>
        </is>
      </c>
      <c r="H986" s="15" t="inlineStr">
        <is>
          <t>Eurostat DS-056120 (sold production) and DS-059268 (trade)</t>
        </is>
      </c>
      <c r="I986" s="34" t="inlineStr">
        <is>
          <t>esabcc-i2-chemicals-use</t>
        </is>
      </c>
    </row>
    <row r="987" ht="14" customHeight="1">
      <c r="A987" s="22" t="inlineStr">
        <is>
          <t>I2 (chemicals, use)</t>
        </is>
      </c>
      <c r="B987" s="22" t="inlineStr">
        <is>
          <t>Chemicals apparent use (consumption) (EU)</t>
        </is>
      </c>
      <c r="C987" s="22" t="inlineStr">
        <is>
          <t>Industry</t>
        </is>
      </c>
      <c r="D987" s="22" t="inlineStr">
        <is>
          <t>Mt</t>
        </is>
      </c>
      <c r="E987" s="65" t="n">
        <v>2010</v>
      </c>
      <c r="F987" s="66" t="n">
        <v>33.95</v>
      </c>
      <c r="G987" s="67" t="inlineStr">
        <is>
          <t>In the 2024 report</t>
        </is>
      </c>
      <c r="H987" s="22" t="inlineStr">
        <is>
          <t>Eurostat DS-056120 (sold production) and DS-059268 (trade)</t>
        </is>
      </c>
      <c r="I987" s="35" t="inlineStr">
        <is>
          <t>esabcc-i2-chemicals-use</t>
        </is>
      </c>
    </row>
    <row r="988" ht="14" customHeight="1">
      <c r="A988" s="15" t="inlineStr">
        <is>
          <t>I2 (chemicals, use)</t>
        </is>
      </c>
      <c r="B988" s="15" t="inlineStr">
        <is>
          <t>Chemicals apparent use (consumption) (EU)</t>
        </is>
      </c>
      <c r="C988" s="15" t="inlineStr">
        <is>
          <t>Industry</t>
        </is>
      </c>
      <c r="D988" s="15" t="inlineStr">
        <is>
          <t>Mt</t>
        </is>
      </c>
      <c r="E988" s="63" t="n">
        <v>2011</v>
      </c>
      <c r="F988" s="64" t="n">
        <v>32.58</v>
      </c>
      <c r="G988" s="14" t="inlineStr">
        <is>
          <t>In the 2024 report</t>
        </is>
      </c>
      <c r="H988" s="15" t="inlineStr">
        <is>
          <t>Eurostat DS-056120 (sold production) and DS-059268 (trade)</t>
        </is>
      </c>
      <c r="I988" s="34" t="inlineStr">
        <is>
          <t>esabcc-i2-chemicals-use</t>
        </is>
      </c>
    </row>
    <row r="989" ht="14" customHeight="1">
      <c r="A989" s="22" t="inlineStr">
        <is>
          <t>I2 (chemicals, use)</t>
        </is>
      </c>
      <c r="B989" s="22" t="inlineStr">
        <is>
          <t>Chemicals apparent use (consumption) (EU)</t>
        </is>
      </c>
      <c r="C989" s="22" t="inlineStr">
        <is>
          <t>Industry</t>
        </is>
      </c>
      <c r="D989" s="22" t="inlineStr">
        <is>
          <t>Mt</t>
        </is>
      </c>
      <c r="E989" s="65" t="n">
        <v>2012</v>
      </c>
      <c r="F989" s="66" t="n">
        <v>30.98</v>
      </c>
      <c r="G989" s="67" t="inlineStr">
        <is>
          <t>In the 2024 report</t>
        </is>
      </c>
      <c r="H989" s="22" t="inlineStr">
        <is>
          <t>Eurostat DS-056120 (sold production) and DS-059268 (trade)</t>
        </is>
      </c>
      <c r="I989" s="35" t="inlineStr">
        <is>
          <t>esabcc-i2-chemicals-use</t>
        </is>
      </c>
    </row>
    <row r="990" ht="14" customHeight="1">
      <c r="A990" s="15" t="inlineStr">
        <is>
          <t>I2 (chemicals, use)</t>
        </is>
      </c>
      <c r="B990" s="15" t="inlineStr">
        <is>
          <t>Chemicals apparent use (consumption) (EU)</t>
        </is>
      </c>
      <c r="C990" s="15" t="inlineStr">
        <is>
          <t>Industry</t>
        </is>
      </c>
      <c r="D990" s="15" t="inlineStr">
        <is>
          <t>Mt</t>
        </is>
      </c>
      <c r="E990" s="63" t="n">
        <v>2013</v>
      </c>
      <c r="F990" s="64" t="n">
        <v>31.76</v>
      </c>
      <c r="G990" s="14" t="inlineStr">
        <is>
          <t>In the 2024 report</t>
        </is>
      </c>
      <c r="H990" s="15" t="inlineStr">
        <is>
          <t>Eurostat DS-056120 (sold production) and DS-059268 (trade)</t>
        </is>
      </c>
      <c r="I990" s="34" t="inlineStr">
        <is>
          <t>esabcc-i2-chemicals-use</t>
        </is>
      </c>
    </row>
    <row r="991" ht="14" customHeight="1">
      <c r="A991" s="22" t="inlineStr">
        <is>
          <t>I2 (chemicals, use)</t>
        </is>
      </c>
      <c r="B991" s="22" t="inlineStr">
        <is>
          <t>Chemicals apparent use (consumption) (EU)</t>
        </is>
      </c>
      <c r="C991" s="22" t="inlineStr">
        <is>
          <t>Industry</t>
        </is>
      </c>
      <c r="D991" s="22" t="inlineStr">
        <is>
          <t>Mt</t>
        </is>
      </c>
      <c r="E991" s="65" t="n">
        <v>2014</v>
      </c>
      <c r="F991" s="66" t="n">
        <v>31.54</v>
      </c>
      <c r="G991" s="67" t="inlineStr">
        <is>
          <t>In the 2024 report</t>
        </is>
      </c>
      <c r="H991" s="22" t="inlineStr">
        <is>
          <t>Eurostat DS-056120 (sold production) and DS-059268 (trade)</t>
        </is>
      </c>
      <c r="I991" s="35" t="inlineStr">
        <is>
          <t>esabcc-i2-chemicals-use</t>
        </is>
      </c>
    </row>
    <row r="992" ht="14" customHeight="1">
      <c r="A992" s="15" t="inlineStr">
        <is>
          <t>I2 (chemicals, use)</t>
        </is>
      </c>
      <c r="B992" s="15" t="inlineStr">
        <is>
          <t>Chemicals apparent use (consumption) (EU)</t>
        </is>
      </c>
      <c r="C992" s="15" t="inlineStr">
        <is>
          <t>Industry</t>
        </is>
      </c>
      <c r="D992" s="15" t="inlineStr">
        <is>
          <t>Mt</t>
        </is>
      </c>
      <c r="E992" s="63" t="n">
        <v>2015</v>
      </c>
      <c r="F992" s="64" t="n">
        <v>31.7</v>
      </c>
      <c r="G992" s="14" t="inlineStr">
        <is>
          <t>In the 2024 report</t>
        </is>
      </c>
      <c r="H992" s="15" t="inlineStr">
        <is>
          <t>Eurostat DS-056120 (sold production) and DS-059268 (trade)</t>
        </is>
      </c>
      <c r="I992" s="34" t="inlineStr">
        <is>
          <t>esabcc-i2-chemicals-use</t>
        </is>
      </c>
    </row>
    <row r="993" ht="14" customHeight="1">
      <c r="A993" s="22" t="inlineStr">
        <is>
          <t>I2 (chemicals, use)</t>
        </is>
      </c>
      <c r="B993" s="22" t="inlineStr">
        <is>
          <t>Chemicals apparent use (consumption) (EU)</t>
        </is>
      </c>
      <c r="C993" s="22" t="inlineStr">
        <is>
          <t>Industry</t>
        </is>
      </c>
      <c r="D993" s="22" t="inlineStr">
        <is>
          <t>Mt</t>
        </is>
      </c>
      <c r="E993" s="65" t="n">
        <v>2016</v>
      </c>
      <c r="F993" s="66" t="n">
        <v>33.75</v>
      </c>
      <c r="G993" s="67" t="inlineStr">
        <is>
          <t>In the 2024 report</t>
        </is>
      </c>
      <c r="H993" s="22" t="inlineStr">
        <is>
          <t>Eurostat DS-056120 (sold production) and DS-059268 (trade)</t>
        </is>
      </c>
      <c r="I993" s="35" t="inlineStr">
        <is>
          <t>esabcc-i2-chemicals-use</t>
        </is>
      </c>
    </row>
    <row r="994" ht="14" customHeight="1">
      <c r="A994" s="15" t="inlineStr">
        <is>
          <t>I2 (chemicals, use)</t>
        </is>
      </c>
      <c r="B994" s="15" t="inlineStr">
        <is>
          <t>Chemicals apparent use (consumption) (EU)</t>
        </is>
      </c>
      <c r="C994" s="15" t="inlineStr">
        <is>
          <t>Industry</t>
        </is>
      </c>
      <c r="D994" s="15" t="inlineStr">
        <is>
          <t>Mt</t>
        </is>
      </c>
      <c r="E994" s="63" t="n">
        <v>2017</v>
      </c>
      <c r="F994" s="64" t="n">
        <v>31.72</v>
      </c>
      <c r="G994" s="14" t="inlineStr">
        <is>
          <t>In the 2024 report</t>
        </is>
      </c>
      <c r="H994" s="15" t="inlineStr">
        <is>
          <t>Eurostat DS-056120 (sold production) and DS-059268 (trade)</t>
        </is>
      </c>
      <c r="I994" s="34" t="inlineStr">
        <is>
          <t>esabcc-i2-chemicals-use</t>
        </is>
      </c>
    </row>
    <row r="995" ht="14" customHeight="1">
      <c r="A995" s="22" t="inlineStr">
        <is>
          <t>I2 (chemicals, use)</t>
        </is>
      </c>
      <c r="B995" s="22" t="inlineStr">
        <is>
          <t>Chemicals apparent use (consumption) (EU)</t>
        </is>
      </c>
      <c r="C995" s="22" t="inlineStr">
        <is>
          <t>Industry</t>
        </is>
      </c>
      <c r="D995" s="22" t="inlineStr">
        <is>
          <t>Mt</t>
        </is>
      </c>
      <c r="E995" s="65" t="n">
        <v>2018</v>
      </c>
      <c r="F995" s="66" t="n">
        <v>31.19</v>
      </c>
      <c r="G995" s="67" t="inlineStr">
        <is>
          <t>In the 2024 report</t>
        </is>
      </c>
      <c r="H995" s="22" t="inlineStr">
        <is>
          <t>Eurostat DS-056120 (sold production) and DS-059268 (trade)</t>
        </is>
      </c>
      <c r="I995" s="35" t="inlineStr">
        <is>
          <t>esabcc-i2-chemicals-use</t>
        </is>
      </c>
    </row>
    <row r="996" ht="14" customHeight="1">
      <c r="A996" s="15" t="inlineStr">
        <is>
          <t>I2 (chemicals, use)</t>
        </is>
      </c>
      <c r="B996" s="15" t="inlineStr">
        <is>
          <t>Chemicals apparent use (consumption) (EU)</t>
        </is>
      </c>
      <c r="C996" s="15" t="inlineStr">
        <is>
          <t>Industry</t>
        </is>
      </c>
      <c r="D996" s="15" t="inlineStr">
        <is>
          <t>Mt</t>
        </is>
      </c>
      <c r="E996" s="63" t="n">
        <v>2019</v>
      </c>
      <c r="F996" s="64" t="n">
        <v>30.39</v>
      </c>
      <c r="G996" s="14" t="inlineStr">
        <is>
          <t>In the 2024 report</t>
        </is>
      </c>
      <c r="H996" s="15" t="inlineStr">
        <is>
          <t>Eurostat DS-056120 (sold production) and DS-059268 (trade)</t>
        </is>
      </c>
      <c r="I996" s="34" t="inlineStr">
        <is>
          <t>esabcc-i2-chemicals-use</t>
        </is>
      </c>
    </row>
    <row r="997" ht="14" customHeight="1">
      <c r="A997" s="22" t="inlineStr">
        <is>
          <t>I2 (chemicals, use)</t>
        </is>
      </c>
      <c r="B997" s="22" t="inlineStr">
        <is>
          <t>Chemicals apparent use (consumption) (EU)</t>
        </is>
      </c>
      <c r="C997" s="22" t="inlineStr">
        <is>
          <t>Industry</t>
        </is>
      </c>
      <c r="D997" s="22" t="inlineStr">
        <is>
          <t>Mt</t>
        </is>
      </c>
      <c r="E997" s="65" t="n">
        <v>2020</v>
      </c>
      <c r="F997" s="66" t="n">
        <v>31.34</v>
      </c>
      <c r="G997" s="67" t="inlineStr">
        <is>
          <t>In the 2024 report</t>
        </is>
      </c>
      <c r="H997" s="22" t="inlineStr">
        <is>
          <t>Eurostat DS-056120 (sold production) and DS-059268 (trade)</t>
        </is>
      </c>
      <c r="I997" s="35" t="inlineStr">
        <is>
          <t>esabcc-i2-chemicals-use</t>
        </is>
      </c>
    </row>
    <row r="998" ht="14" customHeight="1">
      <c r="A998" s="15" t="inlineStr">
        <is>
          <t>I2 (chemicals, use)</t>
        </is>
      </c>
      <c r="B998" s="15" t="inlineStr">
        <is>
          <t>Chemicals apparent use (consumption) (EU)</t>
        </is>
      </c>
      <c r="C998" s="15" t="inlineStr">
        <is>
          <t>Industry</t>
        </is>
      </c>
      <c r="D998" s="15" t="inlineStr">
        <is>
          <t>Mt</t>
        </is>
      </c>
      <c r="E998" s="63" t="n">
        <v>2021</v>
      </c>
      <c r="F998" s="64" t="n">
        <v>29.11</v>
      </c>
      <c r="G998" s="14" t="inlineStr">
        <is>
          <t>In the 2024 report</t>
        </is>
      </c>
      <c r="H998" s="15" t="inlineStr">
        <is>
          <t>Eurostat DS-056120 (sold production) and DS-059268 (trade)</t>
        </is>
      </c>
      <c r="I998" s="34" t="inlineStr">
        <is>
          <t>esabcc-i2-chemicals-use</t>
        </is>
      </c>
    </row>
    <row r="999" ht="14" customHeight="1">
      <c r="A999" s="22" t="inlineStr">
        <is>
          <t>I2 (chemicals, trade)</t>
        </is>
      </c>
      <c r="B999" s="22" t="inlineStr">
        <is>
          <t>Chemicals net trade balance (EU)</t>
        </is>
      </c>
      <c r="C999" s="22" t="inlineStr">
        <is>
          <t>Industry</t>
        </is>
      </c>
      <c r="D999" s="22" t="inlineStr">
        <is>
          <t>Mt</t>
        </is>
      </c>
      <c r="E999" s="65" t="n">
        <v>2005</v>
      </c>
      <c r="F999" s="66" t="n">
        <v>-2.474</v>
      </c>
      <c r="G999" s="67" t="inlineStr">
        <is>
          <t>In the 2024 report</t>
        </is>
      </c>
      <c r="H999" s="22" t="inlineStr">
        <is>
          <t>Eurostat DS-056120 (sold production) and DS-059268 (trade)</t>
        </is>
      </c>
      <c r="I999" s="35" t="inlineStr">
        <is>
          <t>esabcc-i2-chemicals-trade-balance</t>
        </is>
      </c>
    </row>
    <row r="1000" ht="14" customHeight="1">
      <c r="A1000" s="15" t="inlineStr">
        <is>
          <t>I2 (chemicals, trade)</t>
        </is>
      </c>
      <c r="B1000" s="15" t="inlineStr">
        <is>
          <t>Chemicals net trade balance (EU)</t>
        </is>
      </c>
      <c r="C1000" s="15" t="inlineStr">
        <is>
          <t>Industry</t>
        </is>
      </c>
      <c r="D1000" s="15" t="inlineStr">
        <is>
          <t>Mt</t>
        </is>
      </c>
      <c r="E1000" s="63" t="n">
        <v>2006</v>
      </c>
      <c r="F1000" s="64" t="n">
        <v>-3.144</v>
      </c>
      <c r="G1000" s="14" t="inlineStr">
        <is>
          <t>In the 2024 report</t>
        </is>
      </c>
      <c r="H1000" s="15" t="inlineStr">
        <is>
          <t>Eurostat DS-056120 (sold production) and DS-059268 (trade)</t>
        </is>
      </c>
      <c r="I1000" s="34" t="inlineStr">
        <is>
          <t>esabcc-i2-chemicals-trade-balance</t>
        </is>
      </c>
    </row>
    <row r="1001" ht="14" customHeight="1">
      <c r="A1001" s="22" t="inlineStr">
        <is>
          <t>I2 (chemicals, trade)</t>
        </is>
      </c>
      <c r="B1001" s="22" t="inlineStr">
        <is>
          <t>Chemicals net trade balance (EU)</t>
        </is>
      </c>
      <c r="C1001" s="22" t="inlineStr">
        <is>
          <t>Industry</t>
        </is>
      </c>
      <c r="D1001" s="22" t="inlineStr">
        <is>
          <t>Mt</t>
        </is>
      </c>
      <c r="E1001" s="65" t="n">
        <v>2007</v>
      </c>
      <c r="F1001" s="66" t="n">
        <v>-2.234</v>
      </c>
      <c r="G1001" s="67" t="inlineStr">
        <is>
          <t>In the 2024 report</t>
        </is>
      </c>
      <c r="H1001" s="22" t="inlineStr">
        <is>
          <t>Eurostat DS-056120 (sold production) and DS-059268 (trade)</t>
        </is>
      </c>
      <c r="I1001" s="35" t="inlineStr">
        <is>
          <t>esabcc-i2-chemicals-trade-balance</t>
        </is>
      </c>
    </row>
    <row r="1002" ht="14" customHeight="1">
      <c r="A1002" s="15" t="inlineStr">
        <is>
          <t>I2 (chemicals, trade)</t>
        </is>
      </c>
      <c r="B1002" s="15" t="inlineStr">
        <is>
          <t>Chemicals net trade balance (EU)</t>
        </is>
      </c>
      <c r="C1002" s="15" t="inlineStr">
        <is>
          <t>Industry</t>
        </is>
      </c>
      <c r="D1002" s="15" t="inlineStr">
        <is>
          <t>Mt</t>
        </is>
      </c>
      <c r="E1002" s="63" t="n">
        <v>2008</v>
      </c>
      <c r="F1002" s="64" t="n">
        <v>-1.479</v>
      </c>
      <c r="G1002" s="14" t="inlineStr">
        <is>
          <t>In the 2024 report</t>
        </is>
      </c>
      <c r="H1002" s="15" t="inlineStr">
        <is>
          <t>Eurostat DS-056120 (sold production) and DS-059268 (trade)</t>
        </is>
      </c>
      <c r="I1002" s="34" t="inlineStr">
        <is>
          <t>esabcc-i2-chemicals-trade-balance</t>
        </is>
      </c>
    </row>
    <row r="1003" ht="14" customHeight="1">
      <c r="A1003" s="22" t="inlineStr">
        <is>
          <t>I2 (chemicals, trade)</t>
        </is>
      </c>
      <c r="B1003" s="22" t="inlineStr">
        <is>
          <t>Chemicals net trade balance (EU)</t>
        </is>
      </c>
      <c r="C1003" s="22" t="inlineStr">
        <is>
          <t>Industry</t>
        </is>
      </c>
      <c r="D1003" s="22" t="inlineStr">
        <is>
          <t>Mt</t>
        </is>
      </c>
      <c r="E1003" s="65" t="n">
        <v>2009</v>
      </c>
      <c r="F1003" s="66" t="n">
        <v>-2.081</v>
      </c>
      <c r="G1003" s="67" t="inlineStr">
        <is>
          <t>In the 2024 report</t>
        </is>
      </c>
      <c r="H1003" s="22" t="inlineStr">
        <is>
          <t>Eurostat DS-056120 (sold production) and DS-059268 (trade)</t>
        </is>
      </c>
      <c r="I1003" s="35" t="inlineStr">
        <is>
          <t>esabcc-i2-chemicals-trade-balance</t>
        </is>
      </c>
    </row>
    <row r="1004" ht="14" customHeight="1">
      <c r="A1004" s="15" t="inlineStr">
        <is>
          <t>I2 (chemicals, trade)</t>
        </is>
      </c>
      <c r="B1004" s="15" t="inlineStr">
        <is>
          <t>Chemicals net trade balance (EU)</t>
        </is>
      </c>
      <c r="C1004" s="15" t="inlineStr">
        <is>
          <t>Industry</t>
        </is>
      </c>
      <c r="D1004" s="15" t="inlineStr">
        <is>
          <t>Mt</t>
        </is>
      </c>
      <c r="E1004" s="63" t="n">
        <v>2010</v>
      </c>
      <c r="F1004" s="64" t="n">
        <v>-1.874</v>
      </c>
      <c r="G1004" s="14" t="inlineStr">
        <is>
          <t>In the 2024 report</t>
        </is>
      </c>
      <c r="H1004" s="15" t="inlineStr">
        <is>
          <t>Eurostat DS-056120 (sold production) and DS-059268 (trade)</t>
        </is>
      </c>
      <c r="I1004" s="34" t="inlineStr">
        <is>
          <t>esabcc-i2-chemicals-trade-balance</t>
        </is>
      </c>
    </row>
    <row r="1005" ht="14" customHeight="1">
      <c r="A1005" s="22" t="inlineStr">
        <is>
          <t>I2 (chemicals, trade)</t>
        </is>
      </c>
      <c r="B1005" s="22" t="inlineStr">
        <is>
          <t>Chemicals net trade balance (EU)</t>
        </is>
      </c>
      <c r="C1005" s="22" t="inlineStr">
        <is>
          <t>Industry</t>
        </is>
      </c>
      <c r="D1005" s="22" t="inlineStr">
        <is>
          <t>Mt</t>
        </is>
      </c>
      <c r="E1005" s="65" t="n">
        <v>2011</v>
      </c>
      <c r="F1005" s="66" t="n">
        <v>-1.382</v>
      </c>
      <c r="G1005" s="67" t="inlineStr">
        <is>
          <t>In the 2024 report</t>
        </is>
      </c>
      <c r="H1005" s="22" t="inlineStr">
        <is>
          <t>Eurostat DS-056120 (sold production) and DS-059268 (trade)</t>
        </is>
      </c>
      <c r="I1005" s="35" t="inlineStr">
        <is>
          <t>esabcc-i2-chemicals-trade-balance</t>
        </is>
      </c>
    </row>
    <row r="1006" ht="14" customHeight="1">
      <c r="A1006" s="15" t="inlineStr">
        <is>
          <t>I2 (chemicals, trade)</t>
        </is>
      </c>
      <c r="B1006" s="15" t="inlineStr">
        <is>
          <t>Chemicals net trade balance (EU)</t>
        </is>
      </c>
      <c r="C1006" s="15" t="inlineStr">
        <is>
          <t>Industry</t>
        </is>
      </c>
      <c r="D1006" s="15" t="inlineStr">
        <is>
          <t>Mt</t>
        </is>
      </c>
      <c r="E1006" s="63" t="n">
        <v>2012</v>
      </c>
      <c r="F1006" s="64" t="n">
        <v>-1.396</v>
      </c>
      <c r="G1006" s="14" t="inlineStr">
        <is>
          <t>In the 2024 report</t>
        </is>
      </c>
      <c r="H1006" s="15" t="inlineStr">
        <is>
          <t>Eurostat DS-056120 (sold production) and DS-059268 (trade)</t>
        </is>
      </c>
      <c r="I1006" s="34" t="inlineStr">
        <is>
          <t>esabcc-i2-chemicals-trade-balance</t>
        </is>
      </c>
    </row>
    <row r="1007" ht="14" customHeight="1">
      <c r="A1007" s="22" t="inlineStr">
        <is>
          <t>I2 (chemicals, trade)</t>
        </is>
      </c>
      <c r="B1007" s="22" t="inlineStr">
        <is>
          <t>Chemicals net trade balance (EU)</t>
        </is>
      </c>
      <c r="C1007" s="22" t="inlineStr">
        <is>
          <t>Industry</t>
        </is>
      </c>
      <c r="D1007" s="22" t="inlineStr">
        <is>
          <t>Mt</t>
        </is>
      </c>
      <c r="E1007" s="65" t="n">
        <v>2013</v>
      </c>
      <c r="F1007" s="66" t="n">
        <v>-1.183</v>
      </c>
      <c r="G1007" s="67" t="inlineStr">
        <is>
          <t>In the 2024 report</t>
        </is>
      </c>
      <c r="H1007" s="22" t="inlineStr">
        <is>
          <t>Eurostat DS-056120 (sold production) and DS-059268 (trade)</t>
        </is>
      </c>
      <c r="I1007" s="35" t="inlineStr">
        <is>
          <t>esabcc-i2-chemicals-trade-balance</t>
        </is>
      </c>
    </row>
    <row r="1008" ht="14" customHeight="1">
      <c r="A1008" s="15" t="inlineStr">
        <is>
          <t>I2 (chemicals, trade)</t>
        </is>
      </c>
      <c r="B1008" s="15" t="inlineStr">
        <is>
          <t>Chemicals net trade balance (EU)</t>
        </is>
      </c>
      <c r="C1008" s="15" t="inlineStr">
        <is>
          <t>Industry</t>
        </is>
      </c>
      <c r="D1008" s="15" t="inlineStr">
        <is>
          <t>Mt</t>
        </is>
      </c>
      <c r="E1008" s="63" t="n">
        <v>2014</v>
      </c>
      <c r="F1008" s="64" t="n">
        <v>-1.406</v>
      </c>
      <c r="G1008" s="14" t="inlineStr">
        <is>
          <t>In the 2024 report</t>
        </is>
      </c>
      <c r="H1008" s="15" t="inlineStr">
        <is>
          <t>Eurostat DS-056120 (sold production) and DS-059268 (trade)</t>
        </is>
      </c>
      <c r="I1008" s="34" t="inlineStr">
        <is>
          <t>esabcc-i2-chemicals-trade-balance</t>
        </is>
      </c>
    </row>
    <row r="1009" ht="14" customHeight="1">
      <c r="A1009" s="22" t="inlineStr">
        <is>
          <t>I2 (chemicals, trade)</t>
        </is>
      </c>
      <c r="B1009" s="22" t="inlineStr">
        <is>
          <t>Chemicals net trade balance (EU)</t>
        </is>
      </c>
      <c r="C1009" s="22" t="inlineStr">
        <is>
          <t>Industry</t>
        </is>
      </c>
      <c r="D1009" s="22" t="inlineStr">
        <is>
          <t>Mt</t>
        </is>
      </c>
      <c r="E1009" s="65" t="n">
        <v>2015</v>
      </c>
      <c r="F1009" s="66" t="n">
        <v>-1.56</v>
      </c>
      <c r="G1009" s="67" t="inlineStr">
        <is>
          <t>In the 2024 report</t>
        </is>
      </c>
      <c r="H1009" s="22" t="inlineStr">
        <is>
          <t>Eurostat DS-056120 (sold production) and DS-059268 (trade)</t>
        </is>
      </c>
      <c r="I1009" s="35" t="inlineStr">
        <is>
          <t>esabcc-i2-chemicals-trade-balance</t>
        </is>
      </c>
    </row>
    <row r="1010" ht="14" customHeight="1">
      <c r="A1010" s="15" t="inlineStr">
        <is>
          <t>I2 (chemicals, trade)</t>
        </is>
      </c>
      <c r="B1010" s="15" t="inlineStr">
        <is>
          <t>Chemicals net trade balance (EU)</t>
        </is>
      </c>
      <c r="C1010" s="15" t="inlineStr">
        <is>
          <t>Industry</t>
        </is>
      </c>
      <c r="D1010" s="15" t="inlineStr">
        <is>
          <t>Mt</t>
        </is>
      </c>
      <c r="E1010" s="63" t="n">
        <v>2016</v>
      </c>
      <c r="F1010" s="64" t="n">
        <v>-1.791</v>
      </c>
      <c r="G1010" s="14" t="inlineStr">
        <is>
          <t>In the 2024 report</t>
        </is>
      </c>
      <c r="H1010" s="15" t="inlineStr">
        <is>
          <t>Eurostat DS-056120 (sold production) and DS-059268 (trade)</t>
        </is>
      </c>
      <c r="I1010" s="34" t="inlineStr">
        <is>
          <t>esabcc-i2-chemicals-trade-balance</t>
        </is>
      </c>
    </row>
    <row r="1011" ht="14" customHeight="1">
      <c r="A1011" s="22" t="inlineStr">
        <is>
          <t>I2 (chemicals, trade)</t>
        </is>
      </c>
      <c r="B1011" s="22" t="inlineStr">
        <is>
          <t>Chemicals net trade balance (EU)</t>
        </is>
      </c>
      <c r="C1011" s="22" t="inlineStr">
        <is>
          <t>Industry</t>
        </is>
      </c>
      <c r="D1011" s="22" t="inlineStr">
        <is>
          <t>Mt</t>
        </is>
      </c>
      <c r="E1011" s="65" t="n">
        <v>2017</v>
      </c>
      <c r="F1011" s="66" t="n">
        <v>-2.084</v>
      </c>
      <c r="G1011" s="67" t="inlineStr">
        <is>
          <t>In the 2024 report</t>
        </is>
      </c>
      <c r="H1011" s="22" t="inlineStr">
        <is>
          <t>Eurostat DS-056120 (sold production) and DS-059268 (trade)</t>
        </is>
      </c>
      <c r="I1011" s="35" t="inlineStr">
        <is>
          <t>esabcc-i2-chemicals-trade-balance</t>
        </is>
      </c>
    </row>
    <row r="1012" ht="14" customHeight="1">
      <c r="A1012" s="15" t="inlineStr">
        <is>
          <t>I2 (chemicals, trade)</t>
        </is>
      </c>
      <c r="B1012" s="15" t="inlineStr">
        <is>
          <t>Chemicals net trade balance (EU)</t>
        </is>
      </c>
      <c r="C1012" s="15" t="inlineStr">
        <is>
          <t>Industry</t>
        </is>
      </c>
      <c r="D1012" s="15" t="inlineStr">
        <is>
          <t>Mt</t>
        </is>
      </c>
      <c r="E1012" s="63" t="n">
        <v>2018</v>
      </c>
      <c r="F1012" s="64" t="n">
        <v>-2.838</v>
      </c>
      <c r="G1012" s="14" t="inlineStr">
        <is>
          <t>In the 2024 report</t>
        </is>
      </c>
      <c r="H1012" s="15" t="inlineStr">
        <is>
          <t>Eurostat DS-056120 (sold production) and DS-059268 (trade)</t>
        </is>
      </c>
      <c r="I1012" s="34" t="inlineStr">
        <is>
          <t>esabcc-i2-chemicals-trade-balance</t>
        </is>
      </c>
    </row>
    <row r="1013" ht="14" customHeight="1">
      <c r="A1013" s="22" t="inlineStr">
        <is>
          <t>I2 (chemicals, trade)</t>
        </is>
      </c>
      <c r="B1013" s="22" t="inlineStr">
        <is>
          <t>Chemicals net trade balance (EU)</t>
        </is>
      </c>
      <c r="C1013" s="22" t="inlineStr">
        <is>
          <t>Industry</t>
        </is>
      </c>
      <c r="D1013" s="22" t="inlineStr">
        <is>
          <t>Mt</t>
        </is>
      </c>
      <c r="E1013" s="65" t="n">
        <v>2019</v>
      </c>
      <c r="F1013" s="66" t="n">
        <v>-2.38</v>
      </c>
      <c r="G1013" s="67" t="inlineStr">
        <is>
          <t>In the 2024 report</t>
        </is>
      </c>
      <c r="H1013" s="22" t="inlineStr">
        <is>
          <t>Eurostat DS-056120 (sold production) and DS-059268 (trade)</t>
        </is>
      </c>
      <c r="I1013" s="35" t="inlineStr">
        <is>
          <t>esabcc-i2-chemicals-trade-balance</t>
        </is>
      </c>
    </row>
    <row r="1014" ht="14" customHeight="1">
      <c r="A1014" s="15" t="inlineStr">
        <is>
          <t>I2 (chemicals, trade)</t>
        </is>
      </c>
      <c r="B1014" s="15" t="inlineStr">
        <is>
          <t>Chemicals net trade balance (EU)</t>
        </is>
      </c>
      <c r="C1014" s="15" t="inlineStr">
        <is>
          <t>Industry</t>
        </is>
      </c>
      <c r="D1014" s="15" t="inlineStr">
        <is>
          <t>Mt</t>
        </is>
      </c>
      <c r="E1014" s="63" t="n">
        <v>2020</v>
      </c>
      <c r="F1014" s="64" t="n">
        <v>-2.619</v>
      </c>
      <c r="G1014" s="14" t="inlineStr">
        <is>
          <t>In the 2024 report</t>
        </is>
      </c>
      <c r="H1014" s="15" t="inlineStr">
        <is>
          <t>Eurostat DS-056120 (sold production) and DS-059268 (trade)</t>
        </is>
      </c>
      <c r="I1014" s="34" t="inlineStr">
        <is>
          <t>esabcc-i2-chemicals-trade-balance</t>
        </is>
      </c>
    </row>
    <row r="1015" ht="14" customHeight="1">
      <c r="A1015" s="22" t="inlineStr">
        <is>
          <t>I2 (chemicals, trade)</t>
        </is>
      </c>
      <c r="B1015" s="22" t="inlineStr">
        <is>
          <t>Chemicals net trade balance (EU)</t>
        </is>
      </c>
      <c r="C1015" s="22" t="inlineStr">
        <is>
          <t>Industry</t>
        </is>
      </c>
      <c r="D1015" s="22" t="inlineStr">
        <is>
          <t>Mt</t>
        </is>
      </c>
      <c r="E1015" s="65" t="n">
        <v>2021</v>
      </c>
      <c r="F1015" s="66" t="n">
        <v>-2.268</v>
      </c>
      <c r="G1015" s="67" t="inlineStr">
        <is>
          <t>In the 2024 report</t>
        </is>
      </c>
      <c r="H1015" s="22" t="inlineStr">
        <is>
          <t>Eurostat DS-056120 (sold production) and DS-059268 (trade)</t>
        </is>
      </c>
      <c r="I1015" s="35" t="inlineStr">
        <is>
          <t>esabcc-i2-chemicals-trade-balance</t>
        </is>
      </c>
    </row>
    <row r="1016" ht="14" customHeight="1">
      <c r="A1016" s="15" t="inlineStr">
        <is>
          <t>A2 (bovine, GHG)</t>
        </is>
      </c>
      <c r="B1016" s="15" t="inlineStr">
        <is>
          <t>Bovine meat: GHG emissions (EU)</t>
        </is>
      </c>
      <c r="C1016" s="15" t="inlineStr">
        <is>
          <t>Agriculture</t>
        </is>
      </c>
      <c r="D1016" s="15" t="inlineStr">
        <is>
          <t>Mt CO₂eq</t>
        </is>
      </c>
      <c r="E1016" s="63" t="n">
        <v>2010</v>
      </c>
      <c r="F1016" s="64" t="n">
        <v>102.5</v>
      </c>
      <c r="G1016" s="14" t="inlineStr">
        <is>
          <t>In the 2024 report</t>
        </is>
      </c>
      <c r="H1016" s="15" t="inlineStr">
        <is>
          <t>EEA GHG data viewer + Eurostat/FAOSTAT production</t>
        </is>
      </c>
      <c r="I1016" s="34" t="inlineStr">
        <is>
          <t>esabcc-a2-bovine-ghg</t>
        </is>
      </c>
    </row>
    <row r="1017" ht="14" customHeight="1">
      <c r="A1017" s="22" t="inlineStr">
        <is>
          <t>A2 (bovine, GHG)</t>
        </is>
      </c>
      <c r="B1017" s="22" t="inlineStr">
        <is>
          <t>Bovine meat: GHG emissions (EU)</t>
        </is>
      </c>
      <c r="C1017" s="22" t="inlineStr">
        <is>
          <t>Agriculture</t>
        </is>
      </c>
      <c r="D1017" s="22" t="inlineStr">
        <is>
          <t>Mt CO₂eq</t>
        </is>
      </c>
      <c r="E1017" s="65" t="n">
        <v>2011</v>
      </c>
      <c r="F1017" s="66" t="n">
        <v>100.9</v>
      </c>
      <c r="G1017" s="67" t="inlineStr">
        <is>
          <t>In the 2024 report</t>
        </is>
      </c>
      <c r="H1017" s="22" t="inlineStr">
        <is>
          <t>EEA GHG data viewer + Eurostat/FAOSTAT production</t>
        </is>
      </c>
      <c r="I1017" s="35" t="inlineStr">
        <is>
          <t>esabcc-a2-bovine-ghg</t>
        </is>
      </c>
    </row>
    <row r="1018" ht="14" customHeight="1">
      <c r="A1018" s="15" t="inlineStr">
        <is>
          <t>A2 (bovine, GHG)</t>
        </is>
      </c>
      <c r="B1018" s="15" t="inlineStr">
        <is>
          <t>Bovine meat: GHG emissions (EU)</t>
        </is>
      </c>
      <c r="C1018" s="15" t="inlineStr">
        <is>
          <t>Agriculture</t>
        </is>
      </c>
      <c r="D1018" s="15" t="inlineStr">
        <is>
          <t>Mt CO₂eq</t>
        </is>
      </c>
      <c r="E1018" s="63" t="n">
        <v>2012</v>
      </c>
      <c r="F1018" s="64" t="n">
        <v>101.1</v>
      </c>
      <c r="G1018" s="14" t="inlineStr">
        <is>
          <t>In the 2024 report</t>
        </is>
      </c>
      <c r="H1018" s="15" t="inlineStr">
        <is>
          <t>EEA GHG data viewer + Eurostat/FAOSTAT production</t>
        </is>
      </c>
      <c r="I1018" s="34" t="inlineStr">
        <is>
          <t>esabcc-a2-bovine-ghg</t>
        </is>
      </c>
    </row>
    <row r="1019" ht="14" customHeight="1">
      <c r="A1019" s="22" t="inlineStr">
        <is>
          <t>A2 (bovine, GHG)</t>
        </is>
      </c>
      <c r="B1019" s="22" t="inlineStr">
        <is>
          <t>Bovine meat: GHG emissions (EU)</t>
        </is>
      </c>
      <c r="C1019" s="22" t="inlineStr">
        <is>
          <t>Agriculture</t>
        </is>
      </c>
      <c r="D1019" s="22" t="inlineStr">
        <is>
          <t>Mt CO₂eq</t>
        </is>
      </c>
      <c r="E1019" s="65" t="n">
        <v>2013</v>
      </c>
      <c r="F1019" s="66" t="n">
        <v>101.6</v>
      </c>
      <c r="G1019" s="67" t="inlineStr">
        <is>
          <t>In the 2024 report</t>
        </is>
      </c>
      <c r="H1019" s="22" t="inlineStr">
        <is>
          <t>EEA GHG data viewer + Eurostat/FAOSTAT production</t>
        </is>
      </c>
      <c r="I1019" s="35" t="inlineStr">
        <is>
          <t>esabcc-a2-bovine-ghg</t>
        </is>
      </c>
    </row>
    <row r="1020" ht="14" customHeight="1">
      <c r="A1020" s="15" t="inlineStr">
        <is>
          <t>A2 (bovine, GHG)</t>
        </is>
      </c>
      <c r="B1020" s="15" t="inlineStr">
        <is>
          <t>Bovine meat: GHG emissions (EU)</t>
        </is>
      </c>
      <c r="C1020" s="15" t="inlineStr">
        <is>
          <t>Agriculture</t>
        </is>
      </c>
      <c r="D1020" s="15" t="inlineStr">
        <is>
          <t>Mt CO₂eq</t>
        </is>
      </c>
      <c r="E1020" s="63" t="n">
        <v>2014</v>
      </c>
      <c r="F1020" s="64" t="n">
        <v>102.1</v>
      </c>
      <c r="G1020" s="14" t="inlineStr">
        <is>
          <t>In the 2024 report</t>
        </is>
      </c>
      <c r="H1020" s="15" t="inlineStr">
        <is>
          <t>EEA GHG data viewer + Eurostat/FAOSTAT production</t>
        </is>
      </c>
      <c r="I1020" s="34" t="inlineStr">
        <is>
          <t>esabcc-a2-bovine-ghg</t>
        </is>
      </c>
    </row>
    <row r="1021" ht="14" customHeight="1">
      <c r="A1021" s="22" t="inlineStr">
        <is>
          <t>A2 (bovine, GHG)</t>
        </is>
      </c>
      <c r="B1021" s="22" t="inlineStr">
        <is>
          <t>Bovine meat: GHG emissions (EU)</t>
        </is>
      </c>
      <c r="C1021" s="22" t="inlineStr">
        <is>
          <t>Agriculture</t>
        </is>
      </c>
      <c r="D1021" s="22" t="inlineStr">
        <is>
          <t>Mt CO₂eq</t>
        </is>
      </c>
      <c r="E1021" s="65" t="n">
        <v>2015</v>
      </c>
      <c r="F1021" s="66" t="n">
        <v>103.1</v>
      </c>
      <c r="G1021" s="67" t="inlineStr">
        <is>
          <t>In the 2024 report</t>
        </is>
      </c>
      <c r="H1021" s="22" t="inlineStr">
        <is>
          <t>EEA GHG data viewer + Eurostat/FAOSTAT production</t>
        </is>
      </c>
      <c r="I1021" s="35" t="inlineStr">
        <is>
          <t>esabcc-a2-bovine-ghg</t>
        </is>
      </c>
    </row>
    <row r="1022" ht="14" customHeight="1">
      <c r="A1022" s="15" t="inlineStr">
        <is>
          <t>A2 (bovine, GHG)</t>
        </is>
      </c>
      <c r="B1022" s="15" t="inlineStr">
        <is>
          <t>Bovine meat: GHG emissions (EU)</t>
        </is>
      </c>
      <c r="C1022" s="15" t="inlineStr">
        <is>
          <t>Agriculture</t>
        </is>
      </c>
      <c r="D1022" s="15" t="inlineStr">
        <is>
          <t>Mt CO₂eq</t>
        </is>
      </c>
      <c r="E1022" s="63" t="n">
        <v>2016</v>
      </c>
      <c r="F1022" s="64" t="n">
        <v>103.8</v>
      </c>
      <c r="G1022" s="14" t="inlineStr">
        <is>
          <t>In the 2024 report</t>
        </is>
      </c>
      <c r="H1022" s="15" t="inlineStr">
        <is>
          <t>EEA GHG data viewer + Eurostat/FAOSTAT production</t>
        </is>
      </c>
      <c r="I1022" s="34" t="inlineStr">
        <is>
          <t>esabcc-a2-bovine-ghg</t>
        </is>
      </c>
    </row>
    <row r="1023" ht="14" customHeight="1">
      <c r="A1023" s="22" t="inlineStr">
        <is>
          <t>A2 (bovine, GHG)</t>
        </is>
      </c>
      <c r="B1023" s="22" t="inlineStr">
        <is>
          <t>Bovine meat: GHG emissions (EU)</t>
        </is>
      </c>
      <c r="C1023" s="22" t="inlineStr">
        <is>
          <t>Agriculture</t>
        </is>
      </c>
      <c r="D1023" s="22" t="inlineStr">
        <is>
          <t>Mt CO₂eq</t>
        </is>
      </c>
      <c r="E1023" s="65" t="n">
        <v>2017</v>
      </c>
      <c r="F1023" s="66" t="n">
        <v>103.8</v>
      </c>
      <c r="G1023" s="67" t="inlineStr">
        <is>
          <t>In the 2024 report</t>
        </is>
      </c>
      <c r="H1023" s="22" t="inlineStr">
        <is>
          <t>EEA GHG data viewer + Eurostat/FAOSTAT production</t>
        </is>
      </c>
      <c r="I1023" s="35" t="inlineStr">
        <is>
          <t>esabcc-a2-bovine-ghg</t>
        </is>
      </c>
    </row>
    <row r="1024" ht="14" customHeight="1">
      <c r="A1024" s="15" t="inlineStr">
        <is>
          <t>A2 (bovine, GHG)</t>
        </is>
      </c>
      <c r="B1024" s="15" t="inlineStr">
        <is>
          <t>Bovine meat: GHG emissions (EU)</t>
        </is>
      </c>
      <c r="C1024" s="15" t="inlineStr">
        <is>
          <t>Agriculture</t>
        </is>
      </c>
      <c r="D1024" s="15" t="inlineStr">
        <is>
          <t>Mt CO₂eq</t>
        </is>
      </c>
      <c r="E1024" s="63" t="n">
        <v>2018</v>
      </c>
      <c r="F1024" s="64" t="n">
        <v>103.3</v>
      </c>
      <c r="G1024" s="14" t="inlineStr">
        <is>
          <t>In the 2024 report</t>
        </is>
      </c>
      <c r="H1024" s="15" t="inlineStr">
        <is>
          <t>EEA GHG data viewer + Eurostat/FAOSTAT production</t>
        </is>
      </c>
      <c r="I1024" s="34" t="inlineStr">
        <is>
          <t>esabcc-a2-bovine-ghg</t>
        </is>
      </c>
    </row>
    <row r="1025" ht="14" customHeight="1">
      <c r="A1025" s="22" t="inlineStr">
        <is>
          <t>A2 (bovine, GHG)</t>
        </is>
      </c>
      <c r="B1025" s="22" t="inlineStr">
        <is>
          <t>Bovine meat: GHG emissions (EU)</t>
        </is>
      </c>
      <c r="C1025" s="22" t="inlineStr">
        <is>
          <t>Agriculture</t>
        </is>
      </c>
      <c r="D1025" s="22" t="inlineStr">
        <is>
          <t>Mt CO₂eq</t>
        </is>
      </c>
      <c r="E1025" s="65" t="n">
        <v>2019</v>
      </c>
      <c r="F1025" s="66" t="n">
        <v>101.7</v>
      </c>
      <c r="G1025" s="67" t="inlineStr">
        <is>
          <t>In the 2024 report</t>
        </is>
      </c>
      <c r="H1025" s="22" t="inlineStr">
        <is>
          <t>EEA GHG data viewer + Eurostat/FAOSTAT production</t>
        </is>
      </c>
      <c r="I1025" s="35" t="inlineStr">
        <is>
          <t>esabcc-a2-bovine-ghg</t>
        </is>
      </c>
    </row>
    <row r="1026" ht="14" customHeight="1">
      <c r="A1026" s="15" t="inlineStr">
        <is>
          <t>A2 (bovine, GHG)</t>
        </is>
      </c>
      <c r="B1026" s="15" t="inlineStr">
        <is>
          <t>Bovine meat: GHG emissions (EU)</t>
        </is>
      </c>
      <c r="C1026" s="15" t="inlineStr">
        <is>
          <t>Agriculture</t>
        </is>
      </c>
      <c r="D1026" s="15" t="inlineStr">
        <is>
          <t>Mt CO₂eq</t>
        </is>
      </c>
      <c r="E1026" s="63" t="n">
        <v>2020</v>
      </c>
      <c r="F1026" s="64" t="n">
        <v>100.8</v>
      </c>
      <c r="G1026" s="14" t="inlineStr">
        <is>
          <t>In the 2024 report</t>
        </is>
      </c>
      <c r="H1026" s="15" t="inlineStr">
        <is>
          <t>EEA GHG data viewer + Eurostat/FAOSTAT production</t>
        </is>
      </c>
      <c r="I1026" s="34" t="inlineStr">
        <is>
          <t>esabcc-a2-bovine-ghg</t>
        </is>
      </c>
    </row>
    <row r="1027" ht="14" customHeight="1">
      <c r="A1027" s="22" t="inlineStr">
        <is>
          <t>A2 (bovine, GHG)</t>
        </is>
      </c>
      <c r="B1027" s="22" t="inlineStr">
        <is>
          <t>Bovine meat: GHG emissions (EU)</t>
        </is>
      </c>
      <c r="C1027" s="22" t="inlineStr">
        <is>
          <t>Agriculture</t>
        </is>
      </c>
      <c r="D1027" s="22" t="inlineStr">
        <is>
          <t>Mt CO₂eq</t>
        </is>
      </c>
      <c r="E1027" s="65" t="n">
        <v>2021</v>
      </c>
      <c r="F1027" s="66" t="n">
        <v>100.3</v>
      </c>
      <c r="G1027" s="67" t="inlineStr">
        <is>
          <t>In the 2024 report</t>
        </is>
      </c>
      <c r="H1027" s="22" t="inlineStr">
        <is>
          <t>EEA GHG data viewer + Eurostat/FAOSTAT production</t>
        </is>
      </c>
      <c r="I1027" s="35" t="inlineStr">
        <is>
          <t>esabcc-a2-bovine-ghg</t>
        </is>
      </c>
    </row>
    <row r="1028" ht="14" customHeight="1">
      <c r="A1028" s="15" t="inlineStr">
        <is>
          <t>A2 (bovine, production)</t>
        </is>
      </c>
      <c r="B1028" s="15" t="inlineStr">
        <is>
          <t>Bovine meat: production (EU)</t>
        </is>
      </c>
      <c r="C1028" s="15" t="inlineStr">
        <is>
          <t>Agriculture</t>
        </is>
      </c>
      <c r="D1028" s="15" t="inlineStr">
        <is>
          <t>Mt</t>
        </is>
      </c>
      <c r="E1028" s="63" t="n">
        <v>2010</v>
      </c>
      <c r="F1028" s="64" t="n">
        <v>7.257</v>
      </c>
      <c r="G1028" s="14" t="inlineStr">
        <is>
          <t>In the 2024 report</t>
        </is>
      </c>
      <c r="H1028" s="15" t="inlineStr">
        <is>
          <t>Eurostat (apro_mt_pann)</t>
        </is>
      </c>
      <c r="I1028" s="34" t="inlineStr">
        <is>
          <t>esabcc-a2-bovine-production</t>
        </is>
      </c>
    </row>
    <row r="1029" ht="14" customHeight="1">
      <c r="A1029" s="22" t="inlineStr">
        <is>
          <t>A2 (bovine, production)</t>
        </is>
      </c>
      <c r="B1029" s="22" t="inlineStr">
        <is>
          <t>Bovine meat: production (EU)</t>
        </is>
      </c>
      <c r="C1029" s="22" t="inlineStr">
        <is>
          <t>Agriculture</t>
        </is>
      </c>
      <c r="D1029" s="22" t="inlineStr">
        <is>
          <t>Mt</t>
        </is>
      </c>
      <c r="E1029" s="65" t="n">
        <v>2011</v>
      </c>
      <c r="F1029" s="66" t="n">
        <v>7.126</v>
      </c>
      <c r="G1029" s="67" t="inlineStr">
        <is>
          <t>In the 2024 report</t>
        </is>
      </c>
      <c r="H1029" s="22" t="inlineStr">
        <is>
          <t>Eurostat (apro_mt_pann)</t>
        </is>
      </c>
      <c r="I1029" s="35" t="inlineStr">
        <is>
          <t>esabcc-a2-bovine-production</t>
        </is>
      </c>
    </row>
    <row r="1030" ht="14" customHeight="1">
      <c r="A1030" s="15" t="inlineStr">
        <is>
          <t>A2 (bovine, production)</t>
        </is>
      </c>
      <c r="B1030" s="15" t="inlineStr">
        <is>
          <t>Bovine meat: production (EU)</t>
        </is>
      </c>
      <c r="C1030" s="15" t="inlineStr">
        <is>
          <t>Agriculture</t>
        </is>
      </c>
      <c r="D1030" s="15" t="inlineStr">
        <is>
          <t>Mt</t>
        </is>
      </c>
      <c r="E1030" s="63" t="n">
        <v>2012</v>
      </c>
      <c r="F1030" s="64" t="n">
        <v>6.857</v>
      </c>
      <c r="G1030" s="14" t="inlineStr">
        <is>
          <t>In the 2024 report</t>
        </is>
      </c>
      <c r="H1030" s="15" t="inlineStr">
        <is>
          <t>Eurostat (apro_mt_pann)</t>
        </is>
      </c>
      <c r="I1030" s="34" t="inlineStr">
        <is>
          <t>esabcc-a2-bovine-production</t>
        </is>
      </c>
    </row>
    <row r="1031" ht="14" customHeight="1">
      <c r="A1031" s="22" t="inlineStr">
        <is>
          <t>A2 (bovine, production)</t>
        </is>
      </c>
      <c r="B1031" s="22" t="inlineStr">
        <is>
          <t>Bovine meat: production (EU)</t>
        </is>
      </c>
      <c r="C1031" s="22" t="inlineStr">
        <is>
          <t>Agriculture</t>
        </is>
      </c>
      <c r="D1031" s="22" t="inlineStr">
        <is>
          <t>Mt</t>
        </is>
      </c>
      <c r="E1031" s="65" t="n">
        <v>2013</v>
      </c>
      <c r="F1031" s="66" t="n">
        <v>6.567</v>
      </c>
      <c r="G1031" s="67" t="inlineStr">
        <is>
          <t>In the 2024 report</t>
        </is>
      </c>
      <c r="H1031" s="22" t="inlineStr">
        <is>
          <t>Eurostat (apro_mt_pann)</t>
        </is>
      </c>
      <c r="I1031" s="35" t="inlineStr">
        <is>
          <t>esabcc-a2-bovine-production</t>
        </is>
      </c>
    </row>
    <row r="1032" ht="14" customHeight="1">
      <c r="A1032" s="15" t="inlineStr">
        <is>
          <t>A2 (bovine, production)</t>
        </is>
      </c>
      <c r="B1032" s="15" t="inlineStr">
        <is>
          <t>Bovine meat: production (EU)</t>
        </is>
      </c>
      <c r="C1032" s="15" t="inlineStr">
        <is>
          <t>Agriculture</t>
        </is>
      </c>
      <c r="D1032" s="15" t="inlineStr">
        <is>
          <t>Mt</t>
        </is>
      </c>
      <c r="E1032" s="63" t="n">
        <v>2014</v>
      </c>
      <c r="F1032" s="64" t="n">
        <v>6.597</v>
      </c>
      <c r="G1032" s="14" t="inlineStr">
        <is>
          <t>In the 2024 report</t>
        </is>
      </c>
      <c r="H1032" s="15" t="inlineStr">
        <is>
          <t>Eurostat (apro_mt_pann)</t>
        </is>
      </c>
      <c r="I1032" s="34" t="inlineStr">
        <is>
          <t>esabcc-a2-bovine-production</t>
        </is>
      </c>
    </row>
    <row r="1033" ht="14" customHeight="1">
      <c r="A1033" s="22" t="inlineStr">
        <is>
          <t>A2 (bovine, production)</t>
        </is>
      </c>
      <c r="B1033" s="22" t="inlineStr">
        <is>
          <t>Bovine meat: production (EU)</t>
        </is>
      </c>
      <c r="C1033" s="22" t="inlineStr">
        <is>
          <t>Agriculture</t>
        </is>
      </c>
      <c r="D1033" s="22" t="inlineStr">
        <is>
          <t>Mt</t>
        </is>
      </c>
      <c r="E1033" s="65" t="n">
        <v>2015</v>
      </c>
      <c r="F1033" s="66" t="n">
        <v>6.827</v>
      </c>
      <c r="G1033" s="67" t="inlineStr">
        <is>
          <t>In the 2024 report</t>
        </is>
      </c>
      <c r="H1033" s="22" t="inlineStr">
        <is>
          <t>Eurostat (apro_mt_pann)</t>
        </is>
      </c>
      <c r="I1033" s="35" t="inlineStr">
        <is>
          <t>esabcc-a2-bovine-production</t>
        </is>
      </c>
    </row>
    <row r="1034" ht="14" customHeight="1">
      <c r="A1034" s="15" t="inlineStr">
        <is>
          <t>A2 (bovine, production)</t>
        </is>
      </c>
      <c r="B1034" s="15" t="inlineStr">
        <is>
          <t>Bovine meat: production (EU)</t>
        </is>
      </c>
      <c r="C1034" s="15" t="inlineStr">
        <is>
          <t>Agriculture</t>
        </is>
      </c>
      <c r="D1034" s="15" t="inlineStr">
        <is>
          <t>Mt</t>
        </is>
      </c>
      <c r="E1034" s="63" t="n">
        <v>2016</v>
      </c>
      <c r="F1034" s="64" t="n">
        <v>6.999</v>
      </c>
      <c r="G1034" s="14" t="inlineStr">
        <is>
          <t>In the 2024 report</t>
        </is>
      </c>
      <c r="H1034" s="15" t="inlineStr">
        <is>
          <t>Eurostat (apro_mt_pann)</t>
        </is>
      </c>
      <c r="I1034" s="34" t="inlineStr">
        <is>
          <t>esabcc-a2-bovine-production</t>
        </is>
      </c>
    </row>
    <row r="1035" ht="14" customHeight="1">
      <c r="A1035" s="22" t="inlineStr">
        <is>
          <t>A2 (bovine, production)</t>
        </is>
      </c>
      <c r="B1035" s="22" t="inlineStr">
        <is>
          <t>Bovine meat: production (EU)</t>
        </is>
      </c>
      <c r="C1035" s="22" t="inlineStr">
        <is>
          <t>Agriculture</t>
        </is>
      </c>
      <c r="D1035" s="22" t="inlineStr">
        <is>
          <t>Mt</t>
        </is>
      </c>
      <c r="E1035" s="65" t="n">
        <v>2017</v>
      </c>
      <c r="F1035" s="66" t="n">
        <v>6.993</v>
      </c>
      <c r="G1035" s="67" t="inlineStr">
        <is>
          <t>In the 2024 report</t>
        </is>
      </c>
      <c r="H1035" s="22" t="inlineStr">
        <is>
          <t>Eurostat (apro_mt_pann)</t>
        </is>
      </c>
      <c r="I1035" s="35" t="inlineStr">
        <is>
          <t>esabcc-a2-bovine-production</t>
        </is>
      </c>
    </row>
    <row r="1036" ht="14" customHeight="1">
      <c r="A1036" s="15" t="inlineStr">
        <is>
          <t>A2 (bovine, production)</t>
        </is>
      </c>
      <c r="B1036" s="15" t="inlineStr">
        <is>
          <t>Bovine meat: production (EU)</t>
        </is>
      </c>
      <c r="C1036" s="15" t="inlineStr">
        <is>
          <t>Agriculture</t>
        </is>
      </c>
      <c r="D1036" s="15" t="inlineStr">
        <is>
          <t>Mt</t>
        </is>
      </c>
      <c r="E1036" s="63" t="n">
        <v>2018</v>
      </c>
      <c r="F1036" s="64" t="n">
        <v>7.112</v>
      </c>
      <c r="G1036" s="14" t="inlineStr">
        <is>
          <t>In the 2024 report</t>
        </is>
      </c>
      <c r="H1036" s="15" t="inlineStr">
        <is>
          <t>Eurostat (apro_mt_pann)</t>
        </is>
      </c>
      <c r="I1036" s="34" t="inlineStr">
        <is>
          <t>esabcc-a2-bovine-production</t>
        </is>
      </c>
    </row>
    <row r="1037" ht="14" customHeight="1">
      <c r="A1037" s="22" t="inlineStr">
        <is>
          <t>A2 (bovine, production)</t>
        </is>
      </c>
      <c r="B1037" s="22" t="inlineStr">
        <is>
          <t>Bovine meat: production (EU)</t>
        </is>
      </c>
      <c r="C1037" s="22" t="inlineStr">
        <is>
          <t>Agriculture</t>
        </is>
      </c>
      <c r="D1037" s="22" t="inlineStr">
        <is>
          <t>Mt</t>
        </is>
      </c>
      <c r="E1037" s="65" t="n">
        <v>2019</v>
      </c>
      <c r="F1037" s="66" t="n">
        <v>6.999</v>
      </c>
      <c r="G1037" s="67" t="inlineStr">
        <is>
          <t>In the 2024 report</t>
        </is>
      </c>
      <c r="H1037" s="22" t="inlineStr">
        <is>
          <t>Eurostat (apro_mt_pann)</t>
        </is>
      </c>
      <c r="I1037" s="35" t="inlineStr">
        <is>
          <t>esabcc-a2-bovine-production</t>
        </is>
      </c>
    </row>
    <row r="1038" ht="14" customHeight="1">
      <c r="A1038" s="15" t="inlineStr">
        <is>
          <t>A2 (bovine, production)</t>
        </is>
      </c>
      <c r="B1038" s="15" t="inlineStr">
        <is>
          <t>Bovine meat: production (EU)</t>
        </is>
      </c>
      <c r="C1038" s="15" t="inlineStr">
        <is>
          <t>Agriculture</t>
        </is>
      </c>
      <c r="D1038" s="15" t="inlineStr">
        <is>
          <t>Mt</t>
        </is>
      </c>
      <c r="E1038" s="63" t="n">
        <v>2020</v>
      </c>
      <c r="F1038" s="64" t="n">
        <v>6.936</v>
      </c>
      <c r="G1038" s="14" t="inlineStr">
        <is>
          <t>In the 2024 report</t>
        </is>
      </c>
      <c r="H1038" s="15" t="inlineStr">
        <is>
          <t>Eurostat (apro_mt_pann)</t>
        </is>
      </c>
      <c r="I1038" s="34" t="inlineStr">
        <is>
          <t>esabcc-a2-bovine-production</t>
        </is>
      </c>
    </row>
    <row r="1039" ht="14" customHeight="1">
      <c r="A1039" s="22" t="inlineStr">
        <is>
          <t>A2 (bovine, production)</t>
        </is>
      </c>
      <c r="B1039" s="22" t="inlineStr">
        <is>
          <t>Bovine meat: production (EU)</t>
        </is>
      </c>
      <c r="C1039" s="22" t="inlineStr">
        <is>
          <t>Agriculture</t>
        </is>
      </c>
      <c r="D1039" s="22" t="inlineStr">
        <is>
          <t>Mt</t>
        </is>
      </c>
      <c r="E1039" s="65" t="n">
        <v>2021</v>
      </c>
      <c r="F1039" s="66" t="n">
        <v>6.802</v>
      </c>
      <c r="G1039" s="69" t="inlineStr">
        <is>
          <t>Added since the report</t>
        </is>
      </c>
      <c r="H1039" s="22" t="inlineStr">
        <is>
          <t>Eurostat (apro_mt_pann)</t>
        </is>
      </c>
      <c r="I1039" s="35" t="inlineStr">
        <is>
          <t>esabcc-a2-bovine-production</t>
        </is>
      </c>
    </row>
    <row r="1040" ht="14" customHeight="1">
      <c r="A1040" s="15" t="inlineStr">
        <is>
          <t>A2 (bovine, production)</t>
        </is>
      </c>
      <c r="B1040" s="15" t="inlineStr">
        <is>
          <t>Bovine meat: production (EU)</t>
        </is>
      </c>
      <c r="C1040" s="15" t="inlineStr">
        <is>
          <t>Agriculture</t>
        </is>
      </c>
      <c r="D1040" s="15" t="inlineStr">
        <is>
          <t>Mt</t>
        </is>
      </c>
      <c r="E1040" s="63" t="n">
        <v>2022</v>
      </c>
      <c r="F1040" s="64" t="n">
        <v>6.64</v>
      </c>
      <c r="G1040" s="68" t="inlineStr">
        <is>
          <t>Added since the report</t>
        </is>
      </c>
      <c r="H1040" s="15" t="inlineStr">
        <is>
          <t>Eurostat (apro_mt_pann)</t>
        </is>
      </c>
      <c r="I1040" s="34" t="inlineStr">
        <is>
          <t>esabcc-a2-bovine-production</t>
        </is>
      </c>
    </row>
    <row r="1041" ht="14" customHeight="1">
      <c r="A1041" s="22" t="inlineStr">
        <is>
          <t>A2 (bovine, production)</t>
        </is>
      </c>
      <c r="B1041" s="22" t="inlineStr">
        <is>
          <t>Bovine meat: production (EU)</t>
        </is>
      </c>
      <c r="C1041" s="22" t="inlineStr">
        <is>
          <t>Agriculture</t>
        </is>
      </c>
      <c r="D1041" s="22" t="inlineStr">
        <is>
          <t>Mt</t>
        </is>
      </c>
      <c r="E1041" s="65" t="n">
        <v>2023</v>
      </c>
      <c r="F1041" s="66" t="n">
        <v>6.385</v>
      </c>
      <c r="G1041" s="69" t="inlineStr">
        <is>
          <t>Added since the report</t>
        </is>
      </c>
      <c r="H1041" s="22" t="inlineStr">
        <is>
          <t>Eurostat (apro_mt_pann)</t>
        </is>
      </c>
      <c r="I1041" s="35" t="inlineStr">
        <is>
          <t>esabcc-a2-bovine-production</t>
        </is>
      </c>
    </row>
    <row r="1042" ht="14" customHeight="1">
      <c r="A1042" s="15" t="inlineStr">
        <is>
          <t>A2 (bovine, production)</t>
        </is>
      </c>
      <c r="B1042" s="15" t="inlineStr">
        <is>
          <t>Bovine meat: production (EU)</t>
        </is>
      </c>
      <c r="C1042" s="15" t="inlineStr">
        <is>
          <t>Agriculture</t>
        </is>
      </c>
      <c r="D1042" s="15" t="inlineStr">
        <is>
          <t>Mt</t>
        </is>
      </c>
      <c r="E1042" s="63" t="n">
        <v>2024</v>
      </c>
      <c r="F1042" s="64" t="n">
        <v>6.584</v>
      </c>
      <c r="G1042" s="68" t="inlineStr">
        <is>
          <t>Added since the report</t>
        </is>
      </c>
      <c r="H1042" s="15" t="inlineStr">
        <is>
          <t>Eurostat (apro_mt_pann)</t>
        </is>
      </c>
      <c r="I1042" s="34" t="inlineStr">
        <is>
          <t>esabcc-a2-bovine-production</t>
        </is>
      </c>
    </row>
    <row r="1043" ht="14" customHeight="1">
      <c r="A1043" s="22" t="inlineStr">
        <is>
          <t>A2 (bovine, production)</t>
        </is>
      </c>
      <c r="B1043" s="22" t="inlineStr">
        <is>
          <t>Bovine meat: production (EU)</t>
        </is>
      </c>
      <c r="C1043" s="22" t="inlineStr">
        <is>
          <t>Agriculture</t>
        </is>
      </c>
      <c r="D1043" s="22" t="inlineStr">
        <is>
          <t>Mt</t>
        </is>
      </c>
      <c r="E1043" s="65" t="n">
        <v>2025</v>
      </c>
      <c r="F1043" s="66" t="n">
        <v>6.32</v>
      </c>
      <c r="G1043" s="69" t="inlineStr">
        <is>
          <t>Added since the report</t>
        </is>
      </c>
      <c r="H1043" s="22" t="inlineStr">
        <is>
          <t>Eurostat (apro_mt_pann)</t>
        </is>
      </c>
      <c r="I1043" s="35" t="inlineStr">
        <is>
          <t>esabcc-a2-bovine-production</t>
        </is>
      </c>
    </row>
    <row r="1044" ht="14" customHeight="1">
      <c r="A1044" s="15" t="inlineStr">
        <is>
          <t>A2 (bovine, intensity)</t>
        </is>
      </c>
      <c r="B1044" s="15" t="inlineStr">
        <is>
          <t>Bovine meat: GHG intensity (EU)</t>
        </is>
      </c>
      <c r="C1044" s="15" t="inlineStr">
        <is>
          <t>Agriculture</t>
        </is>
      </c>
      <c r="D1044" s="15" t="inlineStr">
        <is>
          <t>t CO₂eq/t</t>
        </is>
      </c>
      <c r="E1044" s="63" t="n">
        <v>2010</v>
      </c>
      <c r="F1044" s="64" t="n">
        <v>14.13</v>
      </c>
      <c r="G1044" s="14" t="inlineStr">
        <is>
          <t>In the 2024 report</t>
        </is>
      </c>
      <c r="H1044" s="15" t="inlineStr">
        <is>
          <t>EEA GHG data viewer + Eurostat/FAOSTAT production</t>
        </is>
      </c>
      <c r="I1044" s="34" t="inlineStr">
        <is>
          <t>esabcc-a2-bovine-ghg-intensity</t>
        </is>
      </c>
    </row>
    <row r="1045" ht="14" customHeight="1">
      <c r="A1045" s="22" t="inlineStr">
        <is>
          <t>A2 (bovine, intensity)</t>
        </is>
      </c>
      <c r="B1045" s="22" t="inlineStr">
        <is>
          <t>Bovine meat: GHG intensity (EU)</t>
        </is>
      </c>
      <c r="C1045" s="22" t="inlineStr">
        <is>
          <t>Agriculture</t>
        </is>
      </c>
      <c r="D1045" s="22" t="inlineStr">
        <is>
          <t>t CO₂eq/t</t>
        </is>
      </c>
      <c r="E1045" s="65" t="n">
        <v>2011</v>
      </c>
      <c r="F1045" s="66" t="n">
        <v>14.15</v>
      </c>
      <c r="G1045" s="67" t="inlineStr">
        <is>
          <t>In the 2024 report</t>
        </is>
      </c>
      <c r="H1045" s="22" t="inlineStr">
        <is>
          <t>EEA GHG data viewer + Eurostat/FAOSTAT production</t>
        </is>
      </c>
      <c r="I1045" s="35" t="inlineStr">
        <is>
          <t>esabcc-a2-bovine-ghg-intensity</t>
        </is>
      </c>
    </row>
    <row r="1046" ht="14" customHeight="1">
      <c r="A1046" s="15" t="inlineStr">
        <is>
          <t>A2 (bovine, intensity)</t>
        </is>
      </c>
      <c r="B1046" s="15" t="inlineStr">
        <is>
          <t>Bovine meat: GHG intensity (EU)</t>
        </is>
      </c>
      <c r="C1046" s="15" t="inlineStr">
        <is>
          <t>Agriculture</t>
        </is>
      </c>
      <c r="D1046" s="15" t="inlineStr">
        <is>
          <t>t CO₂eq/t</t>
        </is>
      </c>
      <c r="E1046" s="63" t="n">
        <v>2012</v>
      </c>
      <c r="F1046" s="64" t="n">
        <v>14.74</v>
      </c>
      <c r="G1046" s="14" t="inlineStr">
        <is>
          <t>In the 2024 report</t>
        </is>
      </c>
      <c r="H1046" s="15" t="inlineStr">
        <is>
          <t>EEA GHG data viewer + Eurostat/FAOSTAT production</t>
        </is>
      </c>
      <c r="I1046" s="34" t="inlineStr">
        <is>
          <t>esabcc-a2-bovine-ghg-intensity</t>
        </is>
      </c>
    </row>
    <row r="1047" ht="14" customHeight="1">
      <c r="A1047" s="22" t="inlineStr">
        <is>
          <t>A2 (bovine, intensity)</t>
        </is>
      </c>
      <c r="B1047" s="22" t="inlineStr">
        <is>
          <t>Bovine meat: GHG intensity (EU)</t>
        </is>
      </c>
      <c r="C1047" s="22" t="inlineStr">
        <is>
          <t>Agriculture</t>
        </is>
      </c>
      <c r="D1047" s="22" t="inlineStr">
        <is>
          <t>t CO₂eq/t</t>
        </is>
      </c>
      <c r="E1047" s="65" t="n">
        <v>2013</v>
      </c>
      <c r="F1047" s="66" t="n">
        <v>15.46</v>
      </c>
      <c r="G1047" s="67" t="inlineStr">
        <is>
          <t>In the 2024 report</t>
        </is>
      </c>
      <c r="H1047" s="22" t="inlineStr">
        <is>
          <t>EEA GHG data viewer + Eurostat/FAOSTAT production</t>
        </is>
      </c>
      <c r="I1047" s="35" t="inlineStr">
        <is>
          <t>esabcc-a2-bovine-ghg-intensity</t>
        </is>
      </c>
    </row>
    <row r="1048" ht="14" customHeight="1">
      <c r="A1048" s="15" t="inlineStr">
        <is>
          <t>A2 (bovine, intensity)</t>
        </is>
      </c>
      <c r="B1048" s="15" t="inlineStr">
        <is>
          <t>Bovine meat: GHG intensity (EU)</t>
        </is>
      </c>
      <c r="C1048" s="15" t="inlineStr">
        <is>
          <t>Agriculture</t>
        </is>
      </c>
      <c r="D1048" s="15" t="inlineStr">
        <is>
          <t>t CO₂eq/t</t>
        </is>
      </c>
      <c r="E1048" s="63" t="n">
        <v>2014</v>
      </c>
      <c r="F1048" s="64" t="n">
        <v>15.48</v>
      </c>
      <c r="G1048" s="14" t="inlineStr">
        <is>
          <t>In the 2024 report</t>
        </is>
      </c>
      <c r="H1048" s="15" t="inlineStr">
        <is>
          <t>EEA GHG data viewer + Eurostat/FAOSTAT production</t>
        </is>
      </c>
      <c r="I1048" s="34" t="inlineStr">
        <is>
          <t>esabcc-a2-bovine-ghg-intensity</t>
        </is>
      </c>
    </row>
    <row r="1049" ht="14" customHeight="1">
      <c r="A1049" s="22" t="inlineStr">
        <is>
          <t>A2 (bovine, intensity)</t>
        </is>
      </c>
      <c r="B1049" s="22" t="inlineStr">
        <is>
          <t>Bovine meat: GHG intensity (EU)</t>
        </is>
      </c>
      <c r="C1049" s="22" t="inlineStr">
        <is>
          <t>Agriculture</t>
        </is>
      </c>
      <c r="D1049" s="22" t="inlineStr">
        <is>
          <t>t CO₂eq/t</t>
        </is>
      </c>
      <c r="E1049" s="65" t="n">
        <v>2015</v>
      </c>
      <c r="F1049" s="66" t="n">
        <v>15.11</v>
      </c>
      <c r="G1049" s="67" t="inlineStr">
        <is>
          <t>In the 2024 report</t>
        </is>
      </c>
      <c r="H1049" s="22" t="inlineStr">
        <is>
          <t>EEA GHG data viewer + Eurostat/FAOSTAT production</t>
        </is>
      </c>
      <c r="I1049" s="35" t="inlineStr">
        <is>
          <t>esabcc-a2-bovine-ghg-intensity</t>
        </is>
      </c>
    </row>
    <row r="1050" ht="14" customHeight="1">
      <c r="A1050" s="15" t="inlineStr">
        <is>
          <t>A2 (bovine, intensity)</t>
        </is>
      </c>
      <c r="B1050" s="15" t="inlineStr">
        <is>
          <t>Bovine meat: GHG intensity (EU)</t>
        </is>
      </c>
      <c r="C1050" s="15" t="inlineStr">
        <is>
          <t>Agriculture</t>
        </is>
      </c>
      <c r="D1050" s="15" t="inlineStr">
        <is>
          <t>t CO₂eq/t</t>
        </is>
      </c>
      <c r="E1050" s="63" t="n">
        <v>2016</v>
      </c>
      <c r="F1050" s="64" t="n">
        <v>14.83</v>
      </c>
      <c r="G1050" s="14" t="inlineStr">
        <is>
          <t>In the 2024 report</t>
        </is>
      </c>
      <c r="H1050" s="15" t="inlineStr">
        <is>
          <t>EEA GHG data viewer + Eurostat/FAOSTAT production</t>
        </is>
      </c>
      <c r="I1050" s="34" t="inlineStr">
        <is>
          <t>esabcc-a2-bovine-ghg-intensity</t>
        </is>
      </c>
    </row>
    <row r="1051" ht="14" customHeight="1">
      <c r="A1051" s="22" t="inlineStr">
        <is>
          <t>A2 (bovine, intensity)</t>
        </is>
      </c>
      <c r="B1051" s="22" t="inlineStr">
        <is>
          <t>Bovine meat: GHG intensity (EU)</t>
        </is>
      </c>
      <c r="C1051" s="22" t="inlineStr">
        <is>
          <t>Agriculture</t>
        </is>
      </c>
      <c r="D1051" s="22" t="inlineStr">
        <is>
          <t>t CO₂eq/t</t>
        </is>
      </c>
      <c r="E1051" s="65" t="n">
        <v>2017</v>
      </c>
      <c r="F1051" s="66" t="n">
        <v>14.85</v>
      </c>
      <c r="G1051" s="67" t="inlineStr">
        <is>
          <t>In the 2024 report</t>
        </is>
      </c>
      <c r="H1051" s="22" t="inlineStr">
        <is>
          <t>EEA GHG data viewer + Eurostat/FAOSTAT production</t>
        </is>
      </c>
      <c r="I1051" s="35" t="inlineStr">
        <is>
          <t>esabcc-a2-bovine-ghg-intensity</t>
        </is>
      </c>
    </row>
    <row r="1052" ht="14" customHeight="1">
      <c r="A1052" s="15" t="inlineStr">
        <is>
          <t>A2 (bovine, intensity)</t>
        </is>
      </c>
      <c r="B1052" s="15" t="inlineStr">
        <is>
          <t>Bovine meat: GHG intensity (EU)</t>
        </is>
      </c>
      <c r="C1052" s="15" t="inlineStr">
        <is>
          <t>Agriculture</t>
        </is>
      </c>
      <c r="D1052" s="15" t="inlineStr">
        <is>
          <t>t CO₂eq/t</t>
        </is>
      </c>
      <c r="E1052" s="63" t="n">
        <v>2018</v>
      </c>
      <c r="F1052" s="64" t="n">
        <v>14.52</v>
      </c>
      <c r="G1052" s="14" t="inlineStr">
        <is>
          <t>In the 2024 report</t>
        </is>
      </c>
      <c r="H1052" s="15" t="inlineStr">
        <is>
          <t>EEA GHG data viewer + Eurostat/FAOSTAT production</t>
        </is>
      </c>
      <c r="I1052" s="34" t="inlineStr">
        <is>
          <t>esabcc-a2-bovine-ghg-intensity</t>
        </is>
      </c>
    </row>
    <row r="1053" ht="14" customHeight="1">
      <c r="A1053" s="22" t="inlineStr">
        <is>
          <t>A2 (bovine, intensity)</t>
        </is>
      </c>
      <c r="B1053" s="22" t="inlineStr">
        <is>
          <t>Bovine meat: GHG intensity (EU)</t>
        </is>
      </c>
      <c r="C1053" s="22" t="inlineStr">
        <is>
          <t>Agriculture</t>
        </is>
      </c>
      <c r="D1053" s="22" t="inlineStr">
        <is>
          <t>t CO₂eq/t</t>
        </is>
      </c>
      <c r="E1053" s="65" t="n">
        <v>2019</v>
      </c>
      <c r="F1053" s="66" t="n">
        <v>14.53</v>
      </c>
      <c r="G1053" s="67" t="inlineStr">
        <is>
          <t>In the 2024 report</t>
        </is>
      </c>
      <c r="H1053" s="22" t="inlineStr">
        <is>
          <t>EEA GHG data viewer + Eurostat/FAOSTAT production</t>
        </is>
      </c>
      <c r="I1053" s="35" t="inlineStr">
        <is>
          <t>esabcc-a2-bovine-ghg-intensity</t>
        </is>
      </c>
    </row>
    <row r="1054" ht="14" customHeight="1">
      <c r="A1054" s="15" t="inlineStr">
        <is>
          <t>A2 (bovine, intensity)</t>
        </is>
      </c>
      <c r="B1054" s="15" t="inlineStr">
        <is>
          <t>Bovine meat: GHG intensity (EU)</t>
        </is>
      </c>
      <c r="C1054" s="15" t="inlineStr">
        <is>
          <t>Agriculture</t>
        </is>
      </c>
      <c r="D1054" s="15" t="inlineStr">
        <is>
          <t>t CO₂eq/t</t>
        </is>
      </c>
      <c r="E1054" s="63" t="n">
        <v>2020</v>
      </c>
      <c r="F1054" s="64" t="n">
        <v>14.53</v>
      </c>
      <c r="G1054" s="14" t="inlineStr">
        <is>
          <t>In the 2024 report</t>
        </is>
      </c>
      <c r="H1054" s="15" t="inlineStr">
        <is>
          <t>EEA GHG data viewer + Eurostat/FAOSTAT production</t>
        </is>
      </c>
      <c r="I1054" s="34" t="inlineStr">
        <is>
          <t>esabcc-a2-bovine-ghg-intensity</t>
        </is>
      </c>
    </row>
    <row r="1055" ht="14" customHeight="1">
      <c r="A1055" s="22" t="inlineStr">
        <is>
          <t>A2 (dairy, GHG)</t>
        </is>
      </c>
      <c r="B1055" s="22" t="inlineStr">
        <is>
          <t>Dairy products: GHG emissions (EU)</t>
        </is>
      </c>
      <c r="C1055" s="22" t="inlineStr">
        <is>
          <t>Agriculture</t>
        </is>
      </c>
      <c r="D1055" s="22" t="inlineStr">
        <is>
          <t>Mt CO₂eq</t>
        </is>
      </c>
      <c r="E1055" s="65" t="n">
        <v>2010</v>
      </c>
      <c r="F1055" s="66" t="n">
        <v>95.72</v>
      </c>
      <c r="G1055" s="67" t="inlineStr">
        <is>
          <t>In the 2024 report</t>
        </is>
      </c>
      <c r="H1055" s="22" t="inlineStr">
        <is>
          <t>EEA GHG data viewer + Eurostat/FAOSTAT production</t>
        </is>
      </c>
      <c r="I1055" s="35" t="inlineStr">
        <is>
          <t>esabcc-a2-dairy-ghg</t>
        </is>
      </c>
    </row>
    <row r="1056" ht="14" customHeight="1">
      <c r="A1056" s="15" t="inlineStr">
        <is>
          <t>A2 (dairy, GHG)</t>
        </is>
      </c>
      <c r="B1056" s="15" t="inlineStr">
        <is>
          <t>Dairy products: GHG emissions (EU)</t>
        </is>
      </c>
      <c r="C1056" s="15" t="inlineStr">
        <is>
          <t>Agriculture</t>
        </is>
      </c>
      <c r="D1056" s="15" t="inlineStr">
        <is>
          <t>Mt CO₂eq</t>
        </is>
      </c>
      <c r="E1056" s="63" t="n">
        <v>2011</v>
      </c>
      <c r="F1056" s="64" t="n">
        <v>95.98</v>
      </c>
      <c r="G1056" s="14" t="inlineStr">
        <is>
          <t>In the 2024 report</t>
        </is>
      </c>
      <c r="H1056" s="15" t="inlineStr">
        <is>
          <t>EEA GHG data viewer + Eurostat/FAOSTAT production</t>
        </is>
      </c>
      <c r="I1056" s="34" t="inlineStr">
        <is>
          <t>esabcc-a2-dairy-ghg</t>
        </is>
      </c>
    </row>
    <row r="1057" ht="14" customHeight="1">
      <c r="A1057" s="22" t="inlineStr">
        <is>
          <t>A2 (dairy, GHG)</t>
        </is>
      </c>
      <c r="B1057" s="22" t="inlineStr">
        <is>
          <t>Dairy products: GHG emissions (EU)</t>
        </is>
      </c>
      <c r="C1057" s="22" t="inlineStr">
        <is>
          <t>Agriculture</t>
        </is>
      </c>
      <c r="D1057" s="22" t="inlineStr">
        <is>
          <t>Mt CO₂eq</t>
        </is>
      </c>
      <c r="E1057" s="65" t="n">
        <v>2012</v>
      </c>
      <c r="F1057" s="66" t="n">
        <v>96.45999999999999</v>
      </c>
      <c r="G1057" s="67" t="inlineStr">
        <is>
          <t>In the 2024 report</t>
        </is>
      </c>
      <c r="H1057" s="22" t="inlineStr">
        <is>
          <t>EEA GHG data viewer + Eurostat/FAOSTAT production</t>
        </is>
      </c>
      <c r="I1057" s="35" t="inlineStr">
        <is>
          <t>esabcc-a2-dairy-ghg</t>
        </is>
      </c>
    </row>
    <row r="1058" ht="14" customHeight="1">
      <c r="A1058" s="15" t="inlineStr">
        <is>
          <t>A2 (dairy, GHG)</t>
        </is>
      </c>
      <c r="B1058" s="15" t="inlineStr">
        <is>
          <t>Dairy products: GHG emissions (EU)</t>
        </is>
      </c>
      <c r="C1058" s="15" t="inlineStr">
        <is>
          <t>Agriculture</t>
        </is>
      </c>
      <c r="D1058" s="15" t="inlineStr">
        <is>
          <t>Mt CO₂eq</t>
        </is>
      </c>
      <c r="E1058" s="63" t="n">
        <v>2013</v>
      </c>
      <c r="F1058" s="64" t="n">
        <v>97</v>
      </c>
      <c r="G1058" s="14" t="inlineStr">
        <is>
          <t>In the 2024 report</t>
        </is>
      </c>
      <c r="H1058" s="15" t="inlineStr">
        <is>
          <t>EEA GHG data viewer + Eurostat/FAOSTAT production</t>
        </is>
      </c>
      <c r="I1058" s="34" t="inlineStr">
        <is>
          <t>esabcc-a2-dairy-ghg</t>
        </is>
      </c>
    </row>
    <row r="1059" ht="14" customHeight="1">
      <c r="A1059" s="22" t="inlineStr">
        <is>
          <t>A2 (dairy, GHG)</t>
        </is>
      </c>
      <c r="B1059" s="22" t="inlineStr">
        <is>
          <t>Dairy products: GHG emissions (EU)</t>
        </is>
      </c>
      <c r="C1059" s="22" t="inlineStr">
        <is>
          <t>Agriculture</t>
        </is>
      </c>
      <c r="D1059" s="22" t="inlineStr">
        <is>
          <t>Mt CO₂eq</t>
        </is>
      </c>
      <c r="E1059" s="65" t="n">
        <v>2014</v>
      </c>
      <c r="F1059" s="66" t="n">
        <v>98.38</v>
      </c>
      <c r="G1059" s="67" t="inlineStr">
        <is>
          <t>In the 2024 report</t>
        </is>
      </c>
      <c r="H1059" s="22" t="inlineStr">
        <is>
          <t>EEA GHG data viewer + Eurostat/FAOSTAT production</t>
        </is>
      </c>
      <c r="I1059" s="35" t="inlineStr">
        <is>
          <t>esabcc-a2-dairy-ghg</t>
        </is>
      </c>
    </row>
    <row r="1060" ht="14" customHeight="1">
      <c r="A1060" s="15" t="inlineStr">
        <is>
          <t>A2 (dairy, GHG)</t>
        </is>
      </c>
      <c r="B1060" s="15" t="inlineStr">
        <is>
          <t>Dairy products: GHG emissions (EU)</t>
        </is>
      </c>
      <c r="C1060" s="15" t="inlineStr">
        <is>
          <t>Agriculture</t>
        </is>
      </c>
      <c r="D1060" s="15" t="inlineStr">
        <is>
          <t>Mt CO₂eq</t>
        </is>
      </c>
      <c r="E1060" s="63" t="n">
        <v>2015</v>
      </c>
      <c r="F1060" s="64" t="n">
        <v>99.23</v>
      </c>
      <c r="G1060" s="14" t="inlineStr">
        <is>
          <t>In the 2024 report</t>
        </is>
      </c>
      <c r="H1060" s="15" t="inlineStr">
        <is>
          <t>EEA GHG data viewer + Eurostat/FAOSTAT production</t>
        </is>
      </c>
      <c r="I1060" s="34" t="inlineStr">
        <is>
          <t>esabcc-a2-dairy-ghg</t>
        </is>
      </c>
    </row>
    <row r="1061" ht="14" customHeight="1">
      <c r="A1061" s="22" t="inlineStr">
        <is>
          <t>A2 (dairy, GHG)</t>
        </is>
      </c>
      <c r="B1061" s="22" t="inlineStr">
        <is>
          <t>Dairy products: GHG emissions (EU)</t>
        </is>
      </c>
      <c r="C1061" s="22" t="inlineStr">
        <is>
          <t>Agriculture</t>
        </is>
      </c>
      <c r="D1061" s="22" t="inlineStr">
        <is>
          <t>Mt CO₂eq</t>
        </is>
      </c>
      <c r="E1061" s="65" t="n">
        <v>2016</v>
      </c>
      <c r="F1061" s="66" t="n">
        <v>99.40000000000001</v>
      </c>
      <c r="G1061" s="67" t="inlineStr">
        <is>
          <t>In the 2024 report</t>
        </is>
      </c>
      <c r="H1061" s="22" t="inlineStr">
        <is>
          <t>EEA GHG data viewer + Eurostat/FAOSTAT production</t>
        </is>
      </c>
      <c r="I1061" s="35" t="inlineStr">
        <is>
          <t>esabcc-a2-dairy-ghg</t>
        </is>
      </c>
    </row>
    <row r="1062" ht="14" customHeight="1">
      <c r="A1062" s="15" t="inlineStr">
        <is>
          <t>A2 (dairy, GHG)</t>
        </is>
      </c>
      <c r="B1062" s="15" t="inlineStr">
        <is>
          <t>Dairy products: GHG emissions (EU)</t>
        </is>
      </c>
      <c r="C1062" s="15" t="inlineStr">
        <is>
          <t>Agriculture</t>
        </is>
      </c>
      <c r="D1062" s="15" t="inlineStr">
        <is>
          <t>Mt CO₂eq</t>
        </is>
      </c>
      <c r="E1062" s="63" t="n">
        <v>2017</v>
      </c>
      <c r="F1062" s="64" t="n">
        <v>99.37</v>
      </c>
      <c r="G1062" s="14" t="inlineStr">
        <is>
          <t>In the 2024 report</t>
        </is>
      </c>
      <c r="H1062" s="15" t="inlineStr">
        <is>
          <t>EEA GHG data viewer + Eurostat/FAOSTAT production</t>
        </is>
      </c>
      <c r="I1062" s="34" t="inlineStr">
        <is>
          <t>esabcc-a2-dairy-ghg</t>
        </is>
      </c>
    </row>
    <row r="1063" ht="14" customHeight="1">
      <c r="A1063" s="22" t="inlineStr">
        <is>
          <t>A2 (dairy, GHG)</t>
        </is>
      </c>
      <c r="B1063" s="22" t="inlineStr">
        <is>
          <t>Dairy products: GHG emissions (EU)</t>
        </is>
      </c>
      <c r="C1063" s="22" t="inlineStr">
        <is>
          <t>Agriculture</t>
        </is>
      </c>
      <c r="D1063" s="22" t="inlineStr">
        <is>
          <t>Mt CO₂eq</t>
        </is>
      </c>
      <c r="E1063" s="65" t="n">
        <v>2018</v>
      </c>
      <c r="F1063" s="66" t="n">
        <v>98.63</v>
      </c>
      <c r="G1063" s="67" t="inlineStr">
        <is>
          <t>In the 2024 report</t>
        </is>
      </c>
      <c r="H1063" s="22" t="inlineStr">
        <is>
          <t>EEA GHG data viewer + Eurostat/FAOSTAT production</t>
        </is>
      </c>
      <c r="I1063" s="35" t="inlineStr">
        <is>
          <t>esabcc-a2-dairy-ghg</t>
        </is>
      </c>
    </row>
    <row r="1064" ht="14" customHeight="1">
      <c r="A1064" s="15" t="inlineStr">
        <is>
          <t>A2 (dairy, GHG)</t>
        </is>
      </c>
      <c r="B1064" s="15" t="inlineStr">
        <is>
          <t>Dairy products: GHG emissions (EU)</t>
        </is>
      </c>
      <c r="C1064" s="15" t="inlineStr">
        <is>
          <t>Agriculture</t>
        </is>
      </c>
      <c r="D1064" s="15" t="inlineStr">
        <is>
          <t>Mt CO₂eq</t>
        </is>
      </c>
      <c r="E1064" s="63" t="n">
        <v>2019</v>
      </c>
      <c r="F1064" s="64" t="n">
        <v>98.2</v>
      </c>
      <c r="G1064" s="14" t="inlineStr">
        <is>
          <t>In the 2024 report</t>
        </is>
      </c>
      <c r="H1064" s="15" t="inlineStr">
        <is>
          <t>EEA GHG data viewer + Eurostat/FAOSTAT production</t>
        </is>
      </c>
      <c r="I1064" s="34" t="inlineStr">
        <is>
          <t>esabcc-a2-dairy-ghg</t>
        </is>
      </c>
    </row>
    <row r="1065" ht="14" customHeight="1">
      <c r="A1065" s="22" t="inlineStr">
        <is>
          <t>A2 (dairy, GHG)</t>
        </is>
      </c>
      <c r="B1065" s="22" t="inlineStr">
        <is>
          <t>Dairy products: GHG emissions (EU)</t>
        </is>
      </c>
      <c r="C1065" s="22" t="inlineStr">
        <is>
          <t>Agriculture</t>
        </is>
      </c>
      <c r="D1065" s="22" t="inlineStr">
        <is>
          <t>Mt CO₂eq</t>
        </is>
      </c>
      <c r="E1065" s="65" t="n">
        <v>2020</v>
      </c>
      <c r="F1065" s="66" t="n">
        <v>98.63</v>
      </c>
      <c r="G1065" s="67" t="inlineStr">
        <is>
          <t>In the 2024 report</t>
        </is>
      </c>
      <c r="H1065" s="22" t="inlineStr">
        <is>
          <t>EEA GHG data viewer + Eurostat/FAOSTAT production</t>
        </is>
      </c>
      <c r="I1065" s="35" t="inlineStr">
        <is>
          <t>esabcc-a2-dairy-ghg</t>
        </is>
      </c>
    </row>
    <row r="1066" ht="14" customHeight="1">
      <c r="A1066" s="15" t="inlineStr">
        <is>
          <t>A2 (dairy, GHG)</t>
        </is>
      </c>
      <c r="B1066" s="15" t="inlineStr">
        <is>
          <t>Dairy products: GHG emissions (EU)</t>
        </is>
      </c>
      <c r="C1066" s="15" t="inlineStr">
        <is>
          <t>Agriculture</t>
        </is>
      </c>
      <c r="D1066" s="15" t="inlineStr">
        <is>
          <t>Mt CO₂eq</t>
        </is>
      </c>
      <c r="E1066" s="63" t="n">
        <v>2021</v>
      </c>
      <c r="F1066" s="64" t="n">
        <v>97.79000000000001</v>
      </c>
      <c r="G1066" s="14" t="inlineStr">
        <is>
          <t>In the 2024 report</t>
        </is>
      </c>
      <c r="H1066" s="15" t="inlineStr">
        <is>
          <t>EEA GHG data viewer + Eurostat/FAOSTAT production</t>
        </is>
      </c>
      <c r="I1066" s="34" t="inlineStr">
        <is>
          <t>esabcc-a2-dairy-ghg</t>
        </is>
      </c>
    </row>
    <row r="1067" ht="14" customHeight="1">
      <c r="A1067" s="22" t="inlineStr">
        <is>
          <t>A2 (dairy, production)</t>
        </is>
      </c>
      <c r="B1067" s="22" t="inlineStr">
        <is>
          <t>Dairy products: production (EU)</t>
        </is>
      </c>
      <c r="C1067" s="22" t="inlineStr">
        <is>
          <t>Agriculture</t>
        </is>
      </c>
      <c r="D1067" s="22" t="inlineStr">
        <is>
          <t>Mt</t>
        </is>
      </c>
      <c r="E1067" s="65" t="n">
        <v>2010</v>
      </c>
      <c r="F1067" s="66" t="n">
        <v>141.1</v>
      </c>
      <c r="G1067" s="67" t="inlineStr">
        <is>
          <t>In the 2024 report</t>
        </is>
      </c>
      <c r="H1067" s="22" t="inlineStr">
        <is>
          <t>Eurostat (apro_mk_farm)</t>
        </is>
      </c>
      <c r="I1067" s="35" t="inlineStr">
        <is>
          <t>esabcc-a2-dairy-production</t>
        </is>
      </c>
    </row>
    <row r="1068" ht="14" customHeight="1">
      <c r="A1068" s="15" t="inlineStr">
        <is>
          <t>A2 (dairy, production)</t>
        </is>
      </c>
      <c r="B1068" s="15" t="inlineStr">
        <is>
          <t>Dairy products: production (EU)</t>
        </is>
      </c>
      <c r="C1068" s="15" t="inlineStr">
        <is>
          <t>Agriculture</t>
        </is>
      </c>
      <c r="D1068" s="15" t="inlineStr">
        <is>
          <t>Mt</t>
        </is>
      </c>
      <c r="E1068" s="63" t="n">
        <v>2011</v>
      </c>
      <c r="F1068" s="64" t="n">
        <v>143.4</v>
      </c>
      <c r="G1068" s="14" t="inlineStr">
        <is>
          <t>In the 2024 report</t>
        </is>
      </c>
      <c r="H1068" s="15" t="inlineStr">
        <is>
          <t>Eurostat (apro_mk_farm)</t>
        </is>
      </c>
      <c r="I1068" s="34" t="inlineStr">
        <is>
          <t>esabcc-a2-dairy-production</t>
        </is>
      </c>
    </row>
    <row r="1069" ht="14" customHeight="1">
      <c r="A1069" s="22" t="inlineStr">
        <is>
          <t>A2 (dairy, production)</t>
        </is>
      </c>
      <c r="B1069" s="22" t="inlineStr">
        <is>
          <t>Dairy products: production (EU)</t>
        </is>
      </c>
      <c r="C1069" s="22" t="inlineStr">
        <is>
          <t>Agriculture</t>
        </is>
      </c>
      <c r="D1069" s="22" t="inlineStr">
        <is>
          <t>Mt</t>
        </is>
      </c>
      <c r="E1069" s="65" t="n">
        <v>2012</v>
      </c>
      <c r="F1069" s="66" t="n">
        <v>143.8</v>
      </c>
      <c r="G1069" s="67" t="inlineStr">
        <is>
          <t>In the 2024 report</t>
        </is>
      </c>
      <c r="H1069" s="22" t="inlineStr">
        <is>
          <t>Eurostat (apro_mk_farm)</t>
        </is>
      </c>
      <c r="I1069" s="35" t="inlineStr">
        <is>
          <t>esabcc-a2-dairy-production</t>
        </is>
      </c>
    </row>
    <row r="1070" ht="14" customHeight="1">
      <c r="A1070" s="15" t="inlineStr">
        <is>
          <t>A2 (dairy, production)</t>
        </is>
      </c>
      <c r="B1070" s="15" t="inlineStr">
        <is>
          <t>Dairy products: production (EU)</t>
        </is>
      </c>
      <c r="C1070" s="15" t="inlineStr">
        <is>
          <t>Agriculture</t>
        </is>
      </c>
      <c r="D1070" s="15" t="inlineStr">
        <is>
          <t>Mt</t>
        </is>
      </c>
      <c r="E1070" s="63" t="n">
        <v>2013</v>
      </c>
      <c r="F1070" s="64" t="n">
        <v>145.3</v>
      </c>
      <c r="G1070" s="14" t="inlineStr">
        <is>
          <t>In the 2024 report</t>
        </is>
      </c>
      <c r="H1070" s="15" t="inlineStr">
        <is>
          <t>Eurostat (apro_mk_farm)</t>
        </is>
      </c>
      <c r="I1070" s="34" t="inlineStr">
        <is>
          <t>esabcc-a2-dairy-production</t>
        </is>
      </c>
    </row>
    <row r="1071" ht="14" customHeight="1">
      <c r="A1071" s="22" t="inlineStr">
        <is>
          <t>A2 (dairy, production)</t>
        </is>
      </c>
      <c r="B1071" s="22" t="inlineStr">
        <is>
          <t>Dairy products: production (EU)</t>
        </is>
      </c>
      <c r="C1071" s="22" t="inlineStr">
        <is>
          <t>Agriculture</t>
        </is>
      </c>
      <c r="D1071" s="22" t="inlineStr">
        <is>
          <t>Mt</t>
        </is>
      </c>
      <c r="E1071" s="65" t="n">
        <v>2014</v>
      </c>
      <c r="F1071" s="66" t="n">
        <v>150.1</v>
      </c>
      <c r="G1071" s="67" t="inlineStr">
        <is>
          <t>In the 2024 report</t>
        </is>
      </c>
      <c r="H1071" s="22" t="inlineStr">
        <is>
          <t>Eurostat (apro_mk_farm)</t>
        </is>
      </c>
      <c r="I1071" s="35" t="inlineStr">
        <is>
          <t>esabcc-a2-dairy-production</t>
        </is>
      </c>
    </row>
    <row r="1072" ht="14" customHeight="1">
      <c r="A1072" s="15" t="inlineStr">
        <is>
          <t>A2 (dairy, production)</t>
        </is>
      </c>
      <c r="B1072" s="15" t="inlineStr">
        <is>
          <t>Dairy products: production (EU)</t>
        </is>
      </c>
      <c r="C1072" s="15" t="inlineStr">
        <is>
          <t>Agriculture</t>
        </is>
      </c>
      <c r="D1072" s="15" t="inlineStr">
        <is>
          <t>Mt</t>
        </is>
      </c>
      <c r="E1072" s="63" t="n">
        <v>2015</v>
      </c>
      <c r="F1072" s="64" t="n">
        <v>153.2</v>
      </c>
      <c r="G1072" s="14" t="inlineStr">
        <is>
          <t>In the 2024 report</t>
        </is>
      </c>
      <c r="H1072" s="15" t="inlineStr">
        <is>
          <t>Eurostat (apro_mk_farm)</t>
        </is>
      </c>
      <c r="I1072" s="34" t="inlineStr">
        <is>
          <t>esabcc-a2-dairy-production</t>
        </is>
      </c>
    </row>
    <row r="1073" ht="14" customHeight="1">
      <c r="A1073" s="22" t="inlineStr">
        <is>
          <t>A2 (dairy, production)</t>
        </is>
      </c>
      <c r="B1073" s="22" t="inlineStr">
        <is>
          <t>Dairy products: production (EU)</t>
        </is>
      </c>
      <c r="C1073" s="22" t="inlineStr">
        <is>
          <t>Agriculture</t>
        </is>
      </c>
      <c r="D1073" s="22" t="inlineStr">
        <is>
          <t>Mt</t>
        </is>
      </c>
      <c r="E1073" s="65" t="n">
        <v>2016</v>
      </c>
      <c r="F1073" s="66" t="n">
        <v>154.8</v>
      </c>
      <c r="G1073" s="67" t="inlineStr">
        <is>
          <t>In the 2024 report</t>
        </is>
      </c>
      <c r="H1073" s="22" t="inlineStr">
        <is>
          <t>Eurostat (apro_mk_farm)</t>
        </is>
      </c>
      <c r="I1073" s="35" t="inlineStr">
        <is>
          <t>esabcc-a2-dairy-production</t>
        </is>
      </c>
    </row>
    <row r="1074" ht="14" customHeight="1">
      <c r="A1074" s="15" t="inlineStr">
        <is>
          <t>A2 (dairy, production)</t>
        </is>
      </c>
      <c r="B1074" s="15" t="inlineStr">
        <is>
          <t>Dairy products: production (EU)</t>
        </is>
      </c>
      <c r="C1074" s="15" t="inlineStr">
        <is>
          <t>Agriculture</t>
        </is>
      </c>
      <c r="D1074" s="15" t="inlineStr">
        <is>
          <t>Mt</t>
        </is>
      </c>
      <c r="E1074" s="63" t="n">
        <v>2017</v>
      </c>
      <c r="F1074" s="64" t="n">
        <v>156</v>
      </c>
      <c r="G1074" s="14" t="inlineStr">
        <is>
          <t>In the 2024 report</t>
        </is>
      </c>
      <c r="H1074" s="15" t="inlineStr">
        <is>
          <t>Eurostat (apro_mk_farm)</t>
        </is>
      </c>
      <c r="I1074" s="34" t="inlineStr">
        <is>
          <t>esabcc-a2-dairy-production</t>
        </is>
      </c>
    </row>
    <row r="1075" ht="14" customHeight="1">
      <c r="A1075" s="22" t="inlineStr">
        <is>
          <t>A2 (dairy, production)</t>
        </is>
      </c>
      <c r="B1075" s="22" t="inlineStr">
        <is>
          <t>Dairy products: production (EU)</t>
        </is>
      </c>
      <c r="C1075" s="22" t="inlineStr">
        <is>
          <t>Agriculture</t>
        </is>
      </c>
      <c r="D1075" s="22" t="inlineStr">
        <is>
          <t>Mt</t>
        </is>
      </c>
      <c r="E1075" s="65" t="n">
        <v>2018</v>
      </c>
      <c r="F1075" s="66" t="n">
        <v>158.3</v>
      </c>
      <c r="G1075" s="67" t="inlineStr">
        <is>
          <t>In the 2024 report</t>
        </is>
      </c>
      <c r="H1075" s="22" t="inlineStr">
        <is>
          <t>Eurostat (apro_mk_farm)</t>
        </is>
      </c>
      <c r="I1075" s="35" t="inlineStr">
        <is>
          <t>esabcc-a2-dairy-production</t>
        </is>
      </c>
    </row>
    <row r="1076" ht="14" customHeight="1">
      <c r="A1076" s="15" t="inlineStr">
        <is>
          <t>A2 (dairy, production)</t>
        </is>
      </c>
      <c r="B1076" s="15" t="inlineStr">
        <is>
          <t>Dairy products: production (EU)</t>
        </is>
      </c>
      <c r="C1076" s="15" t="inlineStr">
        <is>
          <t>Agriculture</t>
        </is>
      </c>
      <c r="D1076" s="15" t="inlineStr">
        <is>
          <t>Mt</t>
        </is>
      </c>
      <c r="E1076" s="63" t="n">
        <v>2019</v>
      </c>
      <c r="F1076" s="64" t="n">
        <v>161.2</v>
      </c>
      <c r="G1076" s="14" t="inlineStr">
        <is>
          <t>In the 2024 report</t>
        </is>
      </c>
      <c r="H1076" s="15" t="inlineStr">
        <is>
          <t>Eurostat (apro_mk_farm)</t>
        </is>
      </c>
      <c r="I1076" s="34" t="inlineStr">
        <is>
          <t>esabcc-a2-dairy-production</t>
        </is>
      </c>
    </row>
    <row r="1077" ht="14" customHeight="1">
      <c r="A1077" s="22" t="inlineStr">
        <is>
          <t>A2 (dairy, production)</t>
        </is>
      </c>
      <c r="B1077" s="22" t="inlineStr">
        <is>
          <t>Dairy products: production (EU)</t>
        </is>
      </c>
      <c r="C1077" s="22" t="inlineStr">
        <is>
          <t>Agriculture</t>
        </is>
      </c>
      <c r="D1077" s="22" t="inlineStr">
        <is>
          <t>Mt</t>
        </is>
      </c>
      <c r="E1077" s="65" t="n">
        <v>2020</v>
      </c>
      <c r="F1077" s="66" t="n">
        <v>163.1</v>
      </c>
      <c r="G1077" s="67" t="inlineStr">
        <is>
          <t>In the 2024 report</t>
        </is>
      </c>
      <c r="H1077" s="22" t="inlineStr">
        <is>
          <t>Eurostat (apro_mk_farm)</t>
        </is>
      </c>
      <c r="I1077" s="35" t="inlineStr">
        <is>
          <t>esabcc-a2-dairy-production</t>
        </is>
      </c>
    </row>
    <row r="1078" ht="14" customHeight="1">
      <c r="A1078" s="15" t="inlineStr">
        <is>
          <t>A2 (dairy, production)</t>
        </is>
      </c>
      <c r="B1078" s="15" t="inlineStr">
        <is>
          <t>Dairy products: production (EU)</t>
        </is>
      </c>
      <c r="C1078" s="15" t="inlineStr">
        <is>
          <t>Agriculture</t>
        </is>
      </c>
      <c r="D1078" s="15" t="inlineStr">
        <is>
          <t>Mt</t>
        </is>
      </c>
      <c r="E1078" s="63" t="n">
        <v>2021</v>
      </c>
      <c r="F1078" s="64" t="n">
        <v>162.6</v>
      </c>
      <c r="G1078" s="68" t="inlineStr">
        <is>
          <t>Added since the report</t>
        </is>
      </c>
      <c r="H1078" s="15" t="inlineStr">
        <is>
          <t>Eurostat (apro_mk_farm)</t>
        </is>
      </c>
      <c r="I1078" s="34" t="inlineStr">
        <is>
          <t>esabcc-a2-dairy-production</t>
        </is>
      </c>
    </row>
    <row r="1079" ht="14" customHeight="1">
      <c r="A1079" s="22" t="inlineStr">
        <is>
          <t>A2 (dairy, production)</t>
        </is>
      </c>
      <c r="B1079" s="22" t="inlineStr">
        <is>
          <t>Dairy products: production (EU)</t>
        </is>
      </c>
      <c r="C1079" s="22" t="inlineStr">
        <is>
          <t>Agriculture</t>
        </is>
      </c>
      <c r="D1079" s="22" t="inlineStr">
        <is>
          <t>Mt</t>
        </is>
      </c>
      <c r="E1079" s="65" t="n">
        <v>2022</v>
      </c>
      <c r="F1079" s="66" t="n">
        <v>162.8</v>
      </c>
      <c r="G1079" s="69" t="inlineStr">
        <is>
          <t>Added since the report</t>
        </is>
      </c>
      <c r="H1079" s="22" t="inlineStr">
        <is>
          <t>Eurostat (apro_mk_farm)</t>
        </is>
      </c>
      <c r="I1079" s="35" t="inlineStr">
        <is>
          <t>esabcc-a2-dairy-production</t>
        </is>
      </c>
    </row>
    <row r="1080" ht="14" customHeight="1">
      <c r="A1080" s="15" t="inlineStr">
        <is>
          <t>A2 (dairy, production)</t>
        </is>
      </c>
      <c r="B1080" s="15" t="inlineStr">
        <is>
          <t>Dairy products: production (EU)</t>
        </is>
      </c>
      <c r="C1080" s="15" t="inlineStr">
        <is>
          <t>Agriculture</t>
        </is>
      </c>
      <c r="D1080" s="15" t="inlineStr">
        <is>
          <t>Mt</t>
        </is>
      </c>
      <c r="E1080" s="63" t="n">
        <v>2023</v>
      </c>
      <c r="F1080" s="64" t="n">
        <v>163.7</v>
      </c>
      <c r="G1080" s="68" t="inlineStr">
        <is>
          <t>Added since the report</t>
        </is>
      </c>
      <c r="H1080" s="15" t="inlineStr">
        <is>
          <t>Eurostat (apro_mk_farm)</t>
        </is>
      </c>
      <c r="I1080" s="34" t="inlineStr">
        <is>
          <t>esabcc-a2-dairy-production</t>
        </is>
      </c>
    </row>
    <row r="1081" ht="14" customHeight="1">
      <c r="A1081" s="22" t="inlineStr">
        <is>
          <t>A2 (dairy, production)</t>
        </is>
      </c>
      <c r="B1081" s="22" t="inlineStr">
        <is>
          <t>Dairy products: production (EU)</t>
        </is>
      </c>
      <c r="C1081" s="22" t="inlineStr">
        <is>
          <t>Agriculture</t>
        </is>
      </c>
      <c r="D1081" s="22" t="inlineStr">
        <is>
          <t>Mt</t>
        </is>
      </c>
      <c r="E1081" s="65" t="n">
        <v>2024</v>
      </c>
      <c r="F1081" s="66" t="n">
        <v>164.6</v>
      </c>
      <c r="G1081" s="69" t="inlineStr">
        <is>
          <t>Added since the report</t>
        </is>
      </c>
      <c r="H1081" s="22" t="inlineStr">
        <is>
          <t>Eurostat (apro_mk_farm)</t>
        </is>
      </c>
      <c r="I1081" s="35" t="inlineStr">
        <is>
          <t>esabcc-a2-dairy-production</t>
        </is>
      </c>
    </row>
    <row r="1082" ht="14" customHeight="1">
      <c r="A1082" s="15" t="inlineStr">
        <is>
          <t>A2 (dairy, intensity)</t>
        </is>
      </c>
      <c r="B1082" s="15" t="inlineStr">
        <is>
          <t>Dairy products: GHG intensity (EU)</t>
        </is>
      </c>
      <c r="C1082" s="15" t="inlineStr">
        <is>
          <t>Agriculture</t>
        </is>
      </c>
      <c r="D1082" s="15" t="inlineStr">
        <is>
          <t>t CO₂eq/t</t>
        </is>
      </c>
      <c r="E1082" s="63" t="n">
        <v>2010</v>
      </c>
      <c r="F1082" s="64" t="n">
        <v>0.6785</v>
      </c>
      <c r="G1082" s="14" t="inlineStr">
        <is>
          <t>In the 2024 report</t>
        </is>
      </c>
      <c r="H1082" s="15" t="inlineStr">
        <is>
          <t>EEA GHG data viewer + Eurostat/FAOSTAT production</t>
        </is>
      </c>
      <c r="I1082" s="34" t="inlineStr">
        <is>
          <t>esabcc-a2-dairy-ghg-intensity</t>
        </is>
      </c>
    </row>
    <row r="1083" ht="14" customHeight="1">
      <c r="A1083" s="22" t="inlineStr">
        <is>
          <t>A2 (dairy, intensity)</t>
        </is>
      </c>
      <c r="B1083" s="22" t="inlineStr">
        <is>
          <t>Dairy products: GHG intensity (EU)</t>
        </is>
      </c>
      <c r="C1083" s="22" t="inlineStr">
        <is>
          <t>Agriculture</t>
        </is>
      </c>
      <c r="D1083" s="22" t="inlineStr">
        <is>
          <t>t CO₂eq/t</t>
        </is>
      </c>
      <c r="E1083" s="65" t="n">
        <v>2011</v>
      </c>
      <c r="F1083" s="66" t="n">
        <v>0.6691</v>
      </c>
      <c r="G1083" s="67" t="inlineStr">
        <is>
          <t>In the 2024 report</t>
        </is>
      </c>
      <c r="H1083" s="22" t="inlineStr">
        <is>
          <t>EEA GHG data viewer + Eurostat/FAOSTAT production</t>
        </is>
      </c>
      <c r="I1083" s="35" t="inlineStr">
        <is>
          <t>esabcc-a2-dairy-ghg-intensity</t>
        </is>
      </c>
    </row>
    <row r="1084" ht="14" customHeight="1">
      <c r="A1084" s="15" t="inlineStr">
        <is>
          <t>A2 (dairy, intensity)</t>
        </is>
      </c>
      <c r="B1084" s="15" t="inlineStr">
        <is>
          <t>Dairy products: GHG intensity (EU)</t>
        </is>
      </c>
      <c r="C1084" s="15" t="inlineStr">
        <is>
          <t>Agriculture</t>
        </is>
      </c>
      <c r="D1084" s="15" t="inlineStr">
        <is>
          <t>t CO₂eq/t</t>
        </is>
      </c>
      <c r="E1084" s="63" t="n">
        <v>2012</v>
      </c>
      <c r="F1084" s="64" t="n">
        <v>0.671</v>
      </c>
      <c r="G1084" s="14" t="inlineStr">
        <is>
          <t>In the 2024 report</t>
        </is>
      </c>
      <c r="H1084" s="15" t="inlineStr">
        <is>
          <t>EEA GHG data viewer + Eurostat/FAOSTAT production</t>
        </is>
      </c>
      <c r="I1084" s="34" t="inlineStr">
        <is>
          <t>esabcc-a2-dairy-ghg-intensity</t>
        </is>
      </c>
    </row>
    <row r="1085" ht="14" customHeight="1">
      <c r="A1085" s="22" t="inlineStr">
        <is>
          <t>A2 (dairy, intensity)</t>
        </is>
      </c>
      <c r="B1085" s="22" t="inlineStr">
        <is>
          <t>Dairy products: GHG intensity (EU)</t>
        </is>
      </c>
      <c r="C1085" s="22" t="inlineStr">
        <is>
          <t>Agriculture</t>
        </is>
      </c>
      <c r="D1085" s="22" t="inlineStr">
        <is>
          <t>t CO₂eq/t</t>
        </is>
      </c>
      <c r="E1085" s="65" t="n">
        <v>2013</v>
      </c>
      <c r="F1085" s="66" t="n">
        <v>0.6677</v>
      </c>
      <c r="G1085" s="67" t="inlineStr">
        <is>
          <t>In the 2024 report</t>
        </is>
      </c>
      <c r="H1085" s="22" t="inlineStr">
        <is>
          <t>EEA GHG data viewer + Eurostat/FAOSTAT production</t>
        </is>
      </c>
      <c r="I1085" s="35" t="inlineStr">
        <is>
          <t>esabcc-a2-dairy-ghg-intensity</t>
        </is>
      </c>
    </row>
    <row r="1086" ht="14" customHeight="1">
      <c r="A1086" s="15" t="inlineStr">
        <is>
          <t>A2 (dairy, intensity)</t>
        </is>
      </c>
      <c r="B1086" s="15" t="inlineStr">
        <is>
          <t>Dairy products: GHG intensity (EU)</t>
        </is>
      </c>
      <c r="C1086" s="15" t="inlineStr">
        <is>
          <t>Agriculture</t>
        </is>
      </c>
      <c r="D1086" s="15" t="inlineStr">
        <is>
          <t>t CO₂eq/t</t>
        </is>
      </c>
      <c r="E1086" s="63" t="n">
        <v>2014</v>
      </c>
      <c r="F1086" s="64" t="n">
        <v>0.6552</v>
      </c>
      <c r="G1086" s="14" t="inlineStr">
        <is>
          <t>In the 2024 report</t>
        </is>
      </c>
      <c r="H1086" s="15" t="inlineStr">
        <is>
          <t>EEA GHG data viewer + Eurostat/FAOSTAT production</t>
        </is>
      </c>
      <c r="I1086" s="34" t="inlineStr">
        <is>
          <t>esabcc-a2-dairy-ghg-intensity</t>
        </is>
      </c>
    </row>
    <row r="1087" ht="14" customHeight="1">
      <c r="A1087" s="22" t="inlineStr">
        <is>
          <t>A2 (dairy, intensity)</t>
        </is>
      </c>
      <c r="B1087" s="22" t="inlineStr">
        <is>
          <t>Dairy products: GHG intensity (EU)</t>
        </is>
      </c>
      <c r="C1087" s="22" t="inlineStr">
        <is>
          <t>Agriculture</t>
        </is>
      </c>
      <c r="D1087" s="22" t="inlineStr">
        <is>
          <t>t CO₂eq/t</t>
        </is>
      </c>
      <c r="E1087" s="65" t="n">
        <v>2015</v>
      </c>
      <c r="F1087" s="66" t="n">
        <v>0.6479</v>
      </c>
      <c r="G1087" s="67" t="inlineStr">
        <is>
          <t>In the 2024 report</t>
        </is>
      </c>
      <c r="H1087" s="22" t="inlineStr">
        <is>
          <t>EEA GHG data viewer + Eurostat/FAOSTAT production</t>
        </is>
      </c>
      <c r="I1087" s="35" t="inlineStr">
        <is>
          <t>esabcc-a2-dairy-ghg-intensity</t>
        </is>
      </c>
    </row>
    <row r="1088" ht="14" customHeight="1">
      <c r="A1088" s="15" t="inlineStr">
        <is>
          <t>A2 (dairy, intensity)</t>
        </is>
      </c>
      <c r="B1088" s="15" t="inlineStr">
        <is>
          <t>Dairy products: GHG intensity (EU)</t>
        </is>
      </c>
      <c r="C1088" s="15" t="inlineStr">
        <is>
          <t>Agriculture</t>
        </is>
      </c>
      <c r="D1088" s="15" t="inlineStr">
        <is>
          <t>t CO₂eq/t</t>
        </is>
      </c>
      <c r="E1088" s="63" t="n">
        <v>2016</v>
      </c>
      <c r="F1088" s="64" t="n">
        <v>0.642</v>
      </c>
      <c r="G1088" s="14" t="inlineStr">
        <is>
          <t>In the 2024 report</t>
        </is>
      </c>
      <c r="H1088" s="15" t="inlineStr">
        <is>
          <t>EEA GHG data viewer + Eurostat/FAOSTAT production</t>
        </is>
      </c>
      <c r="I1088" s="34" t="inlineStr">
        <is>
          <t>esabcc-a2-dairy-ghg-intensity</t>
        </is>
      </c>
    </row>
    <row r="1089" ht="14" customHeight="1">
      <c r="A1089" s="22" t="inlineStr">
        <is>
          <t>A2 (dairy, intensity)</t>
        </is>
      </c>
      <c r="B1089" s="22" t="inlineStr">
        <is>
          <t>Dairy products: GHG intensity (EU)</t>
        </is>
      </c>
      <c r="C1089" s="22" t="inlineStr">
        <is>
          <t>Agriculture</t>
        </is>
      </c>
      <c r="D1089" s="22" t="inlineStr">
        <is>
          <t>t CO₂eq/t</t>
        </is>
      </c>
      <c r="E1089" s="65" t="n">
        <v>2017</v>
      </c>
      <c r="F1089" s="66" t="n">
        <v>0.6371</v>
      </c>
      <c r="G1089" s="67" t="inlineStr">
        <is>
          <t>In the 2024 report</t>
        </is>
      </c>
      <c r="H1089" s="22" t="inlineStr">
        <is>
          <t>EEA GHG data viewer + Eurostat/FAOSTAT production</t>
        </is>
      </c>
      <c r="I1089" s="35" t="inlineStr">
        <is>
          <t>esabcc-a2-dairy-ghg-intensity</t>
        </is>
      </c>
    </row>
    <row r="1090" ht="14" customHeight="1">
      <c r="A1090" s="15" t="inlineStr">
        <is>
          <t>A2 (dairy, intensity)</t>
        </is>
      </c>
      <c r="B1090" s="15" t="inlineStr">
        <is>
          <t>Dairy products: GHG intensity (EU)</t>
        </is>
      </c>
      <c r="C1090" s="15" t="inlineStr">
        <is>
          <t>Agriculture</t>
        </is>
      </c>
      <c r="D1090" s="15" t="inlineStr">
        <is>
          <t>t CO₂eq/t</t>
        </is>
      </c>
      <c r="E1090" s="63" t="n">
        <v>2018</v>
      </c>
      <c r="F1090" s="64" t="n">
        <v>0.623</v>
      </c>
      <c r="G1090" s="14" t="inlineStr">
        <is>
          <t>In the 2024 report</t>
        </is>
      </c>
      <c r="H1090" s="15" t="inlineStr">
        <is>
          <t>EEA GHG data viewer + Eurostat/FAOSTAT production</t>
        </is>
      </c>
      <c r="I1090" s="34" t="inlineStr">
        <is>
          <t>esabcc-a2-dairy-ghg-intensity</t>
        </is>
      </c>
    </row>
    <row r="1091" ht="14" customHeight="1">
      <c r="A1091" s="22" t="inlineStr">
        <is>
          <t>A2 (dairy, intensity)</t>
        </is>
      </c>
      <c r="B1091" s="22" t="inlineStr">
        <is>
          <t>Dairy products: GHG intensity (EU)</t>
        </is>
      </c>
      <c r="C1091" s="22" t="inlineStr">
        <is>
          <t>Agriculture</t>
        </is>
      </c>
      <c r="D1091" s="22" t="inlineStr">
        <is>
          <t>t CO₂eq/t</t>
        </is>
      </c>
      <c r="E1091" s="65" t="n">
        <v>2019</v>
      </c>
      <c r="F1091" s="66" t="n">
        <v>0.609</v>
      </c>
      <c r="G1091" s="67" t="inlineStr">
        <is>
          <t>In the 2024 report</t>
        </is>
      </c>
      <c r="H1091" s="22" t="inlineStr">
        <is>
          <t>EEA GHG data viewer + Eurostat/FAOSTAT production</t>
        </is>
      </c>
      <c r="I1091" s="35" t="inlineStr">
        <is>
          <t>esabcc-a2-dairy-ghg-intensity</t>
        </is>
      </c>
    </row>
    <row r="1092" ht="14" customHeight="1">
      <c r="A1092" s="15" t="inlineStr">
        <is>
          <t>A2 (dairy, intensity)</t>
        </is>
      </c>
      <c r="B1092" s="15" t="inlineStr">
        <is>
          <t>Dairy products: GHG intensity (EU)</t>
        </is>
      </c>
      <c r="C1092" s="15" t="inlineStr">
        <is>
          <t>Agriculture</t>
        </is>
      </c>
      <c r="D1092" s="15" t="inlineStr">
        <is>
          <t>t CO₂eq/t</t>
        </is>
      </c>
      <c r="E1092" s="63" t="n">
        <v>2020</v>
      </c>
      <c r="F1092" s="64" t="n">
        <v>0.6049</v>
      </c>
      <c r="G1092" s="14" t="inlineStr">
        <is>
          <t>In the 2024 report</t>
        </is>
      </c>
      <c r="H1092" s="15" t="inlineStr">
        <is>
          <t>EEA GHG data viewer + Eurostat/FAOSTAT production</t>
        </is>
      </c>
      <c r="I1092" s="34" t="inlineStr">
        <is>
          <t>esabcc-a2-dairy-ghg-intensity</t>
        </is>
      </c>
    </row>
    <row r="1093" ht="14" customHeight="1">
      <c r="A1093" s="22" t="inlineStr">
        <is>
          <t>A2 (pig, GHG)</t>
        </is>
      </c>
      <c r="B1093" s="22" t="inlineStr">
        <is>
          <t>Pig meat: GHG emissions (EU)</t>
        </is>
      </c>
      <c r="C1093" s="22" t="inlineStr">
        <is>
          <t>Agriculture</t>
        </is>
      </c>
      <c r="D1093" s="22" t="inlineStr">
        <is>
          <t>Mt CO₂eq</t>
        </is>
      </c>
      <c r="E1093" s="65" t="n">
        <v>2010</v>
      </c>
      <c r="F1093" s="66" t="n">
        <v>30.02</v>
      </c>
      <c r="G1093" s="67" t="inlineStr">
        <is>
          <t>In the 2024 report</t>
        </is>
      </c>
      <c r="H1093" s="22" t="inlineStr">
        <is>
          <t>EEA GHG data viewer; 2022+ Eurostat (env_air_gge, swine CRF3A3+3B3)</t>
        </is>
      </c>
      <c r="I1093" s="35" t="inlineStr">
        <is>
          <t>esabcc-a2-pig-ghg</t>
        </is>
      </c>
    </row>
    <row r="1094" ht="14" customHeight="1">
      <c r="A1094" s="15" t="inlineStr">
        <is>
          <t>A2 (pig, GHG)</t>
        </is>
      </c>
      <c r="B1094" s="15" t="inlineStr">
        <is>
          <t>Pig meat: GHG emissions (EU)</t>
        </is>
      </c>
      <c r="C1094" s="15" t="inlineStr">
        <is>
          <t>Agriculture</t>
        </is>
      </c>
      <c r="D1094" s="15" t="inlineStr">
        <is>
          <t>Mt CO₂eq</t>
        </is>
      </c>
      <c r="E1094" s="63" t="n">
        <v>2011</v>
      </c>
      <c r="F1094" s="64" t="n">
        <v>30.07</v>
      </c>
      <c r="G1094" s="14" t="inlineStr">
        <is>
          <t>In the 2024 report</t>
        </is>
      </c>
      <c r="H1094" s="15" t="inlineStr">
        <is>
          <t>EEA GHG data viewer; 2022+ Eurostat (env_air_gge, swine CRF3A3+3B3)</t>
        </is>
      </c>
      <c r="I1094" s="34" t="inlineStr">
        <is>
          <t>esabcc-a2-pig-ghg</t>
        </is>
      </c>
    </row>
    <row r="1095" ht="14" customHeight="1">
      <c r="A1095" s="22" t="inlineStr">
        <is>
          <t>A2 (pig, GHG)</t>
        </is>
      </c>
      <c r="B1095" s="22" t="inlineStr">
        <is>
          <t>Pig meat: GHG emissions (EU)</t>
        </is>
      </c>
      <c r="C1095" s="22" t="inlineStr">
        <is>
          <t>Agriculture</t>
        </is>
      </c>
      <c r="D1095" s="22" t="inlineStr">
        <is>
          <t>Mt CO₂eq</t>
        </is>
      </c>
      <c r="E1095" s="65" t="n">
        <v>2012</v>
      </c>
      <c r="F1095" s="66" t="n">
        <v>29.05</v>
      </c>
      <c r="G1095" s="67" t="inlineStr">
        <is>
          <t>In the 2024 report</t>
        </is>
      </c>
      <c r="H1095" s="22" t="inlineStr">
        <is>
          <t>EEA GHG data viewer; 2022+ Eurostat (env_air_gge, swine CRF3A3+3B3)</t>
        </is>
      </c>
      <c r="I1095" s="35" t="inlineStr">
        <is>
          <t>esabcc-a2-pig-ghg</t>
        </is>
      </c>
    </row>
    <row r="1096" ht="14" customHeight="1">
      <c r="A1096" s="15" t="inlineStr">
        <is>
          <t>A2 (pig, GHG)</t>
        </is>
      </c>
      <c r="B1096" s="15" t="inlineStr">
        <is>
          <t>Pig meat: GHG emissions (EU)</t>
        </is>
      </c>
      <c r="C1096" s="15" t="inlineStr">
        <is>
          <t>Agriculture</t>
        </is>
      </c>
      <c r="D1096" s="15" t="inlineStr">
        <is>
          <t>Mt CO₂eq</t>
        </is>
      </c>
      <c r="E1096" s="63" t="n">
        <v>2013</v>
      </c>
      <c r="F1096" s="64" t="n">
        <v>28.24</v>
      </c>
      <c r="G1096" s="14" t="inlineStr">
        <is>
          <t>In the 2024 report</t>
        </is>
      </c>
      <c r="H1096" s="15" t="inlineStr">
        <is>
          <t>EEA GHG data viewer; 2022+ Eurostat (env_air_gge, swine CRF3A3+3B3)</t>
        </is>
      </c>
      <c r="I1096" s="34" t="inlineStr">
        <is>
          <t>esabcc-a2-pig-ghg</t>
        </is>
      </c>
    </row>
    <row r="1097" ht="14" customHeight="1">
      <c r="A1097" s="22" t="inlineStr">
        <is>
          <t>A2 (pig, GHG)</t>
        </is>
      </c>
      <c r="B1097" s="22" t="inlineStr">
        <is>
          <t>Pig meat: GHG emissions (EU)</t>
        </is>
      </c>
      <c r="C1097" s="22" t="inlineStr">
        <is>
          <t>Agriculture</t>
        </is>
      </c>
      <c r="D1097" s="22" t="inlineStr">
        <is>
          <t>Mt CO₂eq</t>
        </is>
      </c>
      <c r="E1097" s="65" t="n">
        <v>2014</v>
      </c>
      <c r="F1097" s="66" t="n">
        <v>28.73</v>
      </c>
      <c r="G1097" s="67" t="inlineStr">
        <is>
          <t>In the 2024 report</t>
        </is>
      </c>
      <c r="H1097" s="22" t="inlineStr">
        <is>
          <t>EEA GHG data viewer; 2022+ Eurostat (env_air_gge, swine CRF3A3+3B3)</t>
        </is>
      </c>
      <c r="I1097" s="35" t="inlineStr">
        <is>
          <t>esabcc-a2-pig-ghg</t>
        </is>
      </c>
    </row>
    <row r="1098" ht="14" customHeight="1">
      <c r="A1098" s="15" t="inlineStr">
        <is>
          <t>A2 (pig, GHG)</t>
        </is>
      </c>
      <c r="B1098" s="15" t="inlineStr">
        <is>
          <t>Pig meat: GHG emissions (EU)</t>
        </is>
      </c>
      <c r="C1098" s="15" t="inlineStr">
        <is>
          <t>Agriculture</t>
        </is>
      </c>
      <c r="D1098" s="15" t="inlineStr">
        <is>
          <t>Mt CO₂eq</t>
        </is>
      </c>
      <c r="E1098" s="63" t="n">
        <v>2015</v>
      </c>
      <c r="F1098" s="64" t="n">
        <v>29</v>
      </c>
      <c r="G1098" s="14" t="inlineStr">
        <is>
          <t>In the 2024 report</t>
        </is>
      </c>
      <c r="H1098" s="15" t="inlineStr">
        <is>
          <t>EEA GHG data viewer; 2022+ Eurostat (env_air_gge, swine CRF3A3+3B3)</t>
        </is>
      </c>
      <c r="I1098" s="34" t="inlineStr">
        <is>
          <t>esabcc-a2-pig-ghg</t>
        </is>
      </c>
    </row>
    <row r="1099" ht="14" customHeight="1">
      <c r="A1099" s="22" t="inlineStr">
        <is>
          <t>A2 (pig, GHG)</t>
        </is>
      </c>
      <c r="B1099" s="22" t="inlineStr">
        <is>
          <t>Pig meat: GHG emissions (EU)</t>
        </is>
      </c>
      <c r="C1099" s="22" t="inlineStr">
        <is>
          <t>Agriculture</t>
        </is>
      </c>
      <c r="D1099" s="22" t="inlineStr">
        <is>
          <t>Mt CO₂eq</t>
        </is>
      </c>
      <c r="E1099" s="65" t="n">
        <v>2016</v>
      </c>
      <c r="F1099" s="66" t="n">
        <v>28.76</v>
      </c>
      <c r="G1099" s="67" t="inlineStr">
        <is>
          <t>In the 2024 report</t>
        </is>
      </c>
      <c r="H1099" s="22" t="inlineStr">
        <is>
          <t>EEA GHG data viewer; 2022+ Eurostat (env_air_gge, swine CRF3A3+3B3)</t>
        </is>
      </c>
      <c r="I1099" s="35" t="inlineStr">
        <is>
          <t>esabcc-a2-pig-ghg</t>
        </is>
      </c>
    </row>
    <row r="1100" ht="14" customHeight="1">
      <c r="A1100" s="15" t="inlineStr">
        <is>
          <t>A2 (pig, GHG)</t>
        </is>
      </c>
      <c r="B1100" s="15" t="inlineStr">
        <is>
          <t>Pig meat: GHG emissions (EU)</t>
        </is>
      </c>
      <c r="C1100" s="15" t="inlineStr">
        <is>
          <t>Agriculture</t>
        </is>
      </c>
      <c r="D1100" s="15" t="inlineStr">
        <is>
          <t>Mt CO₂eq</t>
        </is>
      </c>
      <c r="E1100" s="63" t="n">
        <v>2017</v>
      </c>
      <c r="F1100" s="64" t="n">
        <v>29.03</v>
      </c>
      <c r="G1100" s="14" t="inlineStr">
        <is>
          <t>In the 2024 report</t>
        </is>
      </c>
      <c r="H1100" s="15" t="inlineStr">
        <is>
          <t>EEA GHG data viewer; 2022+ Eurostat (env_air_gge, swine CRF3A3+3B3)</t>
        </is>
      </c>
      <c r="I1100" s="34" t="inlineStr">
        <is>
          <t>esabcc-a2-pig-ghg</t>
        </is>
      </c>
    </row>
    <row r="1101" ht="14" customHeight="1">
      <c r="A1101" s="22" t="inlineStr">
        <is>
          <t>A2 (pig, GHG)</t>
        </is>
      </c>
      <c r="B1101" s="22" t="inlineStr">
        <is>
          <t>Pig meat: GHG emissions (EU)</t>
        </is>
      </c>
      <c r="C1101" s="22" t="inlineStr">
        <is>
          <t>Agriculture</t>
        </is>
      </c>
      <c r="D1101" s="22" t="inlineStr">
        <is>
          <t>Mt CO₂eq</t>
        </is>
      </c>
      <c r="E1101" s="65" t="n">
        <v>2018</v>
      </c>
      <c r="F1101" s="66" t="n">
        <v>28.99</v>
      </c>
      <c r="G1101" s="67" t="inlineStr">
        <is>
          <t>In the 2024 report</t>
        </is>
      </c>
      <c r="H1101" s="22" t="inlineStr">
        <is>
          <t>EEA GHG data viewer; 2022+ Eurostat (env_air_gge, swine CRF3A3+3B3)</t>
        </is>
      </c>
      <c r="I1101" s="35" t="inlineStr">
        <is>
          <t>esabcc-a2-pig-ghg</t>
        </is>
      </c>
    </row>
    <row r="1102" ht="14" customHeight="1">
      <c r="A1102" s="15" t="inlineStr">
        <is>
          <t>A2 (pig, GHG)</t>
        </is>
      </c>
      <c r="B1102" s="15" t="inlineStr">
        <is>
          <t>Pig meat: GHG emissions (EU)</t>
        </is>
      </c>
      <c r="C1102" s="15" t="inlineStr">
        <is>
          <t>Agriculture</t>
        </is>
      </c>
      <c r="D1102" s="15" t="inlineStr">
        <is>
          <t>Mt CO₂eq</t>
        </is>
      </c>
      <c r="E1102" s="63" t="n">
        <v>2019</v>
      </c>
      <c r="F1102" s="64" t="n">
        <v>28.78</v>
      </c>
      <c r="G1102" s="14" t="inlineStr">
        <is>
          <t>In the 2024 report</t>
        </is>
      </c>
      <c r="H1102" s="15" t="inlineStr">
        <is>
          <t>EEA GHG data viewer; 2022+ Eurostat (env_air_gge, swine CRF3A3+3B3)</t>
        </is>
      </c>
      <c r="I1102" s="34" t="inlineStr">
        <is>
          <t>esabcc-a2-pig-ghg</t>
        </is>
      </c>
    </row>
    <row r="1103" ht="14" customHeight="1">
      <c r="A1103" s="22" t="inlineStr">
        <is>
          <t>A2 (pig, GHG)</t>
        </is>
      </c>
      <c r="B1103" s="22" t="inlineStr">
        <is>
          <t>Pig meat: GHG emissions (EU)</t>
        </is>
      </c>
      <c r="C1103" s="22" t="inlineStr">
        <is>
          <t>Agriculture</t>
        </is>
      </c>
      <c r="D1103" s="22" t="inlineStr">
        <is>
          <t>Mt CO₂eq</t>
        </is>
      </c>
      <c r="E1103" s="65" t="n">
        <v>2020</v>
      </c>
      <c r="F1103" s="66" t="n">
        <v>29.34</v>
      </c>
      <c r="G1103" s="67" t="inlineStr">
        <is>
          <t>In the 2024 report</t>
        </is>
      </c>
      <c r="H1103" s="22" t="inlineStr">
        <is>
          <t>EEA GHG data viewer; 2022+ Eurostat (env_air_gge, swine CRF3A3+3B3)</t>
        </is>
      </c>
      <c r="I1103" s="35" t="inlineStr">
        <is>
          <t>esabcc-a2-pig-ghg</t>
        </is>
      </c>
    </row>
    <row r="1104" ht="14" customHeight="1">
      <c r="A1104" s="15" t="inlineStr">
        <is>
          <t>A2 (pig, GHG)</t>
        </is>
      </c>
      <c r="B1104" s="15" t="inlineStr">
        <is>
          <t>Pig meat: GHG emissions (EU)</t>
        </is>
      </c>
      <c r="C1104" s="15" t="inlineStr">
        <is>
          <t>Agriculture</t>
        </is>
      </c>
      <c r="D1104" s="15" t="inlineStr">
        <is>
          <t>Mt CO₂eq</t>
        </is>
      </c>
      <c r="E1104" s="63" t="n">
        <v>2021</v>
      </c>
      <c r="F1104" s="64" t="n">
        <v>28.58</v>
      </c>
      <c r="G1104" s="14" t="inlineStr">
        <is>
          <t>In the 2024 report</t>
        </is>
      </c>
      <c r="H1104" s="15" t="inlineStr">
        <is>
          <t>EEA GHG data viewer; 2022+ Eurostat (env_air_gge, swine CRF3A3+3B3)</t>
        </is>
      </c>
      <c r="I1104" s="34" t="inlineStr">
        <is>
          <t>esabcc-a2-pig-ghg</t>
        </is>
      </c>
    </row>
    <row r="1105" ht="14" customHeight="1">
      <c r="A1105" s="22" t="inlineStr">
        <is>
          <t>A2 (pig, GHG)</t>
        </is>
      </c>
      <c r="B1105" s="22" t="inlineStr">
        <is>
          <t>Pig meat: GHG emissions (EU)</t>
        </is>
      </c>
      <c r="C1105" s="22" t="inlineStr">
        <is>
          <t>Agriculture</t>
        </is>
      </c>
      <c r="D1105" s="22" t="inlineStr">
        <is>
          <t>Mt CO₂eq</t>
        </is>
      </c>
      <c r="E1105" s="65" t="n">
        <v>2022</v>
      </c>
      <c r="F1105" s="66" t="n">
        <v>28.01</v>
      </c>
      <c r="G1105" s="69" t="inlineStr">
        <is>
          <t>Added since the report</t>
        </is>
      </c>
      <c r="H1105" s="22" t="inlineStr">
        <is>
          <t>EEA GHG data viewer; 2022+ Eurostat (env_air_gge, swine CRF3A3+3B3)</t>
        </is>
      </c>
      <c r="I1105" s="35" t="inlineStr">
        <is>
          <t>esabcc-a2-pig-ghg</t>
        </is>
      </c>
    </row>
    <row r="1106" ht="14" customHeight="1">
      <c r="A1106" s="15" t="inlineStr">
        <is>
          <t>A2 (pig, GHG)</t>
        </is>
      </c>
      <c r="B1106" s="15" t="inlineStr">
        <is>
          <t>Pig meat: GHG emissions (EU)</t>
        </is>
      </c>
      <c r="C1106" s="15" t="inlineStr">
        <is>
          <t>Agriculture</t>
        </is>
      </c>
      <c r="D1106" s="15" t="inlineStr">
        <is>
          <t>Mt CO₂eq</t>
        </is>
      </c>
      <c r="E1106" s="63" t="n">
        <v>2023</v>
      </c>
      <c r="F1106" s="64" t="n">
        <v>26.82</v>
      </c>
      <c r="G1106" s="68" t="inlineStr">
        <is>
          <t>Added since the report</t>
        </is>
      </c>
      <c r="H1106" s="15" t="inlineStr">
        <is>
          <t>EEA GHG data viewer; 2022+ Eurostat (env_air_gge, swine CRF3A3+3B3)</t>
        </is>
      </c>
      <c r="I1106" s="34" t="inlineStr">
        <is>
          <t>esabcc-a2-pig-ghg</t>
        </is>
      </c>
    </row>
    <row r="1107" ht="14" customHeight="1">
      <c r="A1107" s="22" t="inlineStr">
        <is>
          <t>A2 (pig, GHG)</t>
        </is>
      </c>
      <c r="B1107" s="22" t="inlineStr">
        <is>
          <t>Pig meat: GHG emissions (EU)</t>
        </is>
      </c>
      <c r="C1107" s="22" t="inlineStr">
        <is>
          <t>Agriculture</t>
        </is>
      </c>
      <c r="D1107" s="22" t="inlineStr">
        <is>
          <t>Mt CO₂eq</t>
        </is>
      </c>
      <c r="E1107" s="65" t="n">
        <v>2024</v>
      </c>
      <c r="F1107" s="66" t="n">
        <v>26.18</v>
      </c>
      <c r="G1107" s="69" t="inlineStr">
        <is>
          <t>Added since the report</t>
        </is>
      </c>
      <c r="H1107" s="22" t="inlineStr">
        <is>
          <t>EEA GHG data viewer; 2022+ Eurostat (env_air_gge, swine CRF3A3+3B3)</t>
        </is>
      </c>
      <c r="I1107" s="35" t="inlineStr">
        <is>
          <t>esabcc-a2-pig-ghg</t>
        </is>
      </c>
    </row>
    <row r="1108" ht="14" customHeight="1">
      <c r="A1108" s="15" t="inlineStr">
        <is>
          <t>A2 (pig, production)</t>
        </is>
      </c>
      <c r="B1108" s="15" t="inlineStr">
        <is>
          <t>Pig meat: production (EU)</t>
        </is>
      </c>
      <c r="C1108" s="15" t="inlineStr">
        <is>
          <t>Agriculture</t>
        </is>
      </c>
      <c r="D1108" s="15" t="inlineStr">
        <is>
          <t>Mt</t>
        </is>
      </c>
      <c r="E1108" s="63" t="n">
        <v>2010</v>
      </c>
      <c r="F1108" s="64" t="n">
        <v>22.22</v>
      </c>
      <c r="G1108" s="14" t="inlineStr">
        <is>
          <t>In the 2024 report</t>
        </is>
      </c>
      <c r="H1108" s="15" t="inlineStr">
        <is>
          <t>Eurostat (apro_mt_pann)</t>
        </is>
      </c>
      <c r="I1108" s="34" t="inlineStr">
        <is>
          <t>esabcc-a2-pig-production</t>
        </is>
      </c>
    </row>
    <row r="1109" ht="14" customHeight="1">
      <c r="A1109" s="22" t="inlineStr">
        <is>
          <t>A2 (pig, production)</t>
        </is>
      </c>
      <c r="B1109" s="22" t="inlineStr">
        <is>
          <t>Pig meat: production (EU)</t>
        </is>
      </c>
      <c r="C1109" s="22" t="inlineStr">
        <is>
          <t>Agriculture</t>
        </is>
      </c>
      <c r="D1109" s="22" t="inlineStr">
        <is>
          <t>Mt</t>
        </is>
      </c>
      <c r="E1109" s="65" t="n">
        <v>2011</v>
      </c>
      <c r="F1109" s="66" t="n">
        <v>22.46</v>
      </c>
      <c r="G1109" s="67" t="inlineStr">
        <is>
          <t>In the 2024 report</t>
        </is>
      </c>
      <c r="H1109" s="22" t="inlineStr">
        <is>
          <t>Eurostat (apro_mt_pann)</t>
        </is>
      </c>
      <c r="I1109" s="35" t="inlineStr">
        <is>
          <t>esabcc-a2-pig-production</t>
        </is>
      </c>
    </row>
    <row r="1110" ht="14" customHeight="1">
      <c r="A1110" s="15" t="inlineStr">
        <is>
          <t>A2 (pig, production)</t>
        </is>
      </c>
      <c r="B1110" s="15" t="inlineStr">
        <is>
          <t>Pig meat: production (EU)</t>
        </is>
      </c>
      <c r="C1110" s="15" t="inlineStr">
        <is>
          <t>Agriculture</t>
        </is>
      </c>
      <c r="D1110" s="15" t="inlineStr">
        <is>
          <t>Mt</t>
        </is>
      </c>
      <c r="E1110" s="63" t="n">
        <v>2012</v>
      </c>
      <c r="F1110" s="64" t="n">
        <v>22</v>
      </c>
      <c r="G1110" s="14" t="inlineStr">
        <is>
          <t>In the 2024 report</t>
        </is>
      </c>
      <c r="H1110" s="15" t="inlineStr">
        <is>
          <t>Eurostat (apro_mt_pann)</t>
        </is>
      </c>
      <c r="I1110" s="34" t="inlineStr">
        <is>
          <t>esabcc-a2-pig-production</t>
        </is>
      </c>
    </row>
    <row r="1111" ht="14" customHeight="1">
      <c r="A1111" s="22" t="inlineStr">
        <is>
          <t>A2 (pig, production)</t>
        </is>
      </c>
      <c r="B1111" s="22" t="inlineStr">
        <is>
          <t>Pig meat: production (EU)</t>
        </is>
      </c>
      <c r="C1111" s="22" t="inlineStr">
        <is>
          <t>Agriculture</t>
        </is>
      </c>
      <c r="D1111" s="22" t="inlineStr">
        <is>
          <t>Mt</t>
        </is>
      </c>
      <c r="E1111" s="65" t="n">
        <v>2013</v>
      </c>
      <c r="F1111" s="66" t="n">
        <v>21.69</v>
      </c>
      <c r="G1111" s="67" t="inlineStr">
        <is>
          <t>In the 2024 report</t>
        </is>
      </c>
      <c r="H1111" s="22" t="inlineStr">
        <is>
          <t>Eurostat (apro_mt_pann)</t>
        </is>
      </c>
      <c r="I1111" s="35" t="inlineStr">
        <is>
          <t>esabcc-a2-pig-production</t>
        </is>
      </c>
    </row>
    <row r="1112" ht="14" customHeight="1">
      <c r="A1112" s="15" t="inlineStr">
        <is>
          <t>A2 (pig, production)</t>
        </is>
      </c>
      <c r="B1112" s="15" t="inlineStr">
        <is>
          <t>Pig meat: production (EU)</t>
        </is>
      </c>
      <c r="C1112" s="15" t="inlineStr">
        <is>
          <t>Agriculture</t>
        </is>
      </c>
      <c r="D1112" s="15" t="inlineStr">
        <is>
          <t>Mt</t>
        </is>
      </c>
      <c r="E1112" s="63" t="n">
        <v>2014</v>
      </c>
      <c r="F1112" s="64" t="n">
        <v>21.75</v>
      </c>
      <c r="G1112" s="14" t="inlineStr">
        <is>
          <t>In the 2024 report</t>
        </is>
      </c>
      <c r="H1112" s="15" t="inlineStr">
        <is>
          <t>Eurostat (apro_mt_pann)</t>
        </is>
      </c>
      <c r="I1112" s="34" t="inlineStr">
        <is>
          <t>esabcc-a2-pig-production</t>
        </is>
      </c>
    </row>
    <row r="1113" ht="14" customHeight="1">
      <c r="A1113" s="22" t="inlineStr">
        <is>
          <t>A2 (pig, production)</t>
        </is>
      </c>
      <c r="B1113" s="22" t="inlineStr">
        <is>
          <t>Pig meat: production (EU)</t>
        </is>
      </c>
      <c r="C1113" s="22" t="inlineStr">
        <is>
          <t>Agriculture</t>
        </is>
      </c>
      <c r="D1113" s="22" t="inlineStr">
        <is>
          <t>Mt</t>
        </is>
      </c>
      <c r="E1113" s="65" t="n">
        <v>2015</v>
      </c>
      <c r="F1113" s="66" t="n">
        <v>22.57</v>
      </c>
      <c r="G1113" s="67" t="inlineStr">
        <is>
          <t>In the 2024 report</t>
        </is>
      </c>
      <c r="H1113" s="22" t="inlineStr">
        <is>
          <t>Eurostat (apro_mt_pann)</t>
        </is>
      </c>
      <c r="I1113" s="35" t="inlineStr">
        <is>
          <t>esabcc-a2-pig-production</t>
        </is>
      </c>
    </row>
    <row r="1114" ht="14" customHeight="1">
      <c r="A1114" s="15" t="inlineStr">
        <is>
          <t>A2 (pig, production)</t>
        </is>
      </c>
      <c r="B1114" s="15" t="inlineStr">
        <is>
          <t>Pig meat: production (EU)</t>
        </is>
      </c>
      <c r="C1114" s="15" t="inlineStr">
        <is>
          <t>Agriculture</t>
        </is>
      </c>
      <c r="D1114" s="15" t="inlineStr">
        <is>
          <t>Mt</t>
        </is>
      </c>
      <c r="E1114" s="63" t="n">
        <v>2016</v>
      </c>
      <c r="F1114" s="64" t="n">
        <v>22.95</v>
      </c>
      <c r="G1114" s="14" t="inlineStr">
        <is>
          <t>In the 2024 report</t>
        </is>
      </c>
      <c r="H1114" s="15" t="inlineStr">
        <is>
          <t>Eurostat (apro_mt_pann)</t>
        </is>
      </c>
      <c r="I1114" s="34" t="inlineStr">
        <is>
          <t>esabcc-a2-pig-production</t>
        </is>
      </c>
    </row>
    <row r="1115" ht="14" customHeight="1">
      <c r="A1115" s="22" t="inlineStr">
        <is>
          <t>A2 (pig, production)</t>
        </is>
      </c>
      <c r="B1115" s="22" t="inlineStr">
        <is>
          <t>Pig meat: production (EU)</t>
        </is>
      </c>
      <c r="C1115" s="22" t="inlineStr">
        <is>
          <t>Agriculture</t>
        </is>
      </c>
      <c r="D1115" s="22" t="inlineStr">
        <is>
          <t>Mt</t>
        </is>
      </c>
      <c r="E1115" s="65" t="n">
        <v>2017</v>
      </c>
      <c r="F1115" s="66" t="n">
        <v>22.82</v>
      </c>
      <c r="G1115" s="67" t="inlineStr">
        <is>
          <t>In the 2024 report</t>
        </is>
      </c>
      <c r="H1115" s="22" t="inlineStr">
        <is>
          <t>Eurostat (apro_mt_pann)</t>
        </is>
      </c>
      <c r="I1115" s="35" t="inlineStr">
        <is>
          <t>esabcc-a2-pig-production</t>
        </is>
      </c>
    </row>
    <row r="1116" ht="14" customHeight="1">
      <c r="A1116" s="15" t="inlineStr">
        <is>
          <t>A2 (pig, production)</t>
        </is>
      </c>
      <c r="B1116" s="15" t="inlineStr">
        <is>
          <t>Pig meat: production (EU)</t>
        </is>
      </c>
      <c r="C1116" s="15" t="inlineStr">
        <is>
          <t>Agriculture</t>
        </is>
      </c>
      <c r="D1116" s="15" t="inlineStr">
        <is>
          <t>Mt</t>
        </is>
      </c>
      <c r="E1116" s="63" t="n">
        <v>2018</v>
      </c>
      <c r="F1116" s="64" t="n">
        <v>23.22</v>
      </c>
      <c r="G1116" s="14" t="inlineStr">
        <is>
          <t>In the 2024 report</t>
        </is>
      </c>
      <c r="H1116" s="15" t="inlineStr">
        <is>
          <t>Eurostat (apro_mt_pann)</t>
        </is>
      </c>
      <c r="I1116" s="34" t="inlineStr">
        <is>
          <t>esabcc-a2-pig-production</t>
        </is>
      </c>
    </row>
    <row r="1117" ht="14" customHeight="1">
      <c r="A1117" s="22" t="inlineStr">
        <is>
          <t>A2 (pig, production)</t>
        </is>
      </c>
      <c r="B1117" s="22" t="inlineStr">
        <is>
          <t>Pig meat: production (EU)</t>
        </is>
      </c>
      <c r="C1117" s="22" t="inlineStr">
        <is>
          <t>Agriculture</t>
        </is>
      </c>
      <c r="D1117" s="22" t="inlineStr">
        <is>
          <t>Mt</t>
        </is>
      </c>
      <c r="E1117" s="65" t="n">
        <v>2019</v>
      </c>
      <c r="F1117" s="66" t="n">
        <v>23</v>
      </c>
      <c r="G1117" s="67" t="inlineStr">
        <is>
          <t>In the 2024 report</t>
        </is>
      </c>
      <c r="H1117" s="22" t="inlineStr">
        <is>
          <t>Eurostat (apro_mt_pann)</t>
        </is>
      </c>
      <c r="I1117" s="35" t="inlineStr">
        <is>
          <t>esabcc-a2-pig-production</t>
        </is>
      </c>
    </row>
    <row r="1118" ht="14" customHeight="1">
      <c r="A1118" s="15" t="inlineStr">
        <is>
          <t>A2 (pig, production)</t>
        </is>
      </c>
      <c r="B1118" s="15" t="inlineStr">
        <is>
          <t>Pig meat: production (EU)</t>
        </is>
      </c>
      <c r="C1118" s="15" t="inlineStr">
        <is>
          <t>Agriculture</t>
        </is>
      </c>
      <c r="D1118" s="15" t="inlineStr">
        <is>
          <t>Mt</t>
        </is>
      </c>
      <c r="E1118" s="63" t="n">
        <v>2020</v>
      </c>
      <c r="F1118" s="64" t="n">
        <v>23.22</v>
      </c>
      <c r="G1118" s="14" t="inlineStr">
        <is>
          <t>In the 2024 report</t>
        </is>
      </c>
      <c r="H1118" s="15" t="inlineStr">
        <is>
          <t>Eurostat (apro_mt_pann)</t>
        </is>
      </c>
      <c r="I1118" s="34" t="inlineStr">
        <is>
          <t>esabcc-a2-pig-production</t>
        </is>
      </c>
    </row>
    <row r="1119" ht="14" customHeight="1">
      <c r="A1119" s="22" t="inlineStr">
        <is>
          <t>A2 (pig, production)</t>
        </is>
      </c>
      <c r="B1119" s="22" t="inlineStr">
        <is>
          <t>Pig meat: production (EU)</t>
        </is>
      </c>
      <c r="C1119" s="22" t="inlineStr">
        <is>
          <t>Agriculture</t>
        </is>
      </c>
      <c r="D1119" s="22" t="inlineStr">
        <is>
          <t>Mt</t>
        </is>
      </c>
      <c r="E1119" s="65" t="n">
        <v>2021</v>
      </c>
      <c r="F1119" s="66" t="n">
        <v>23.39</v>
      </c>
      <c r="G1119" s="69" t="inlineStr">
        <is>
          <t>Added since the report</t>
        </is>
      </c>
      <c r="H1119" s="22" t="inlineStr">
        <is>
          <t>Eurostat (apro_mt_pann)</t>
        </is>
      </c>
      <c r="I1119" s="35" t="inlineStr">
        <is>
          <t>esabcc-a2-pig-production</t>
        </is>
      </c>
    </row>
    <row r="1120" ht="14" customHeight="1">
      <c r="A1120" s="15" t="inlineStr">
        <is>
          <t>A2 (pig, production)</t>
        </is>
      </c>
      <c r="B1120" s="15" t="inlineStr">
        <is>
          <t>Pig meat: production (EU)</t>
        </is>
      </c>
      <c r="C1120" s="15" t="inlineStr">
        <is>
          <t>Agriculture</t>
        </is>
      </c>
      <c r="D1120" s="15" t="inlineStr">
        <is>
          <t>Mt</t>
        </is>
      </c>
      <c r="E1120" s="63" t="n">
        <v>2022</v>
      </c>
      <c r="F1120" s="64" t="n">
        <v>22.07</v>
      </c>
      <c r="G1120" s="68" t="inlineStr">
        <is>
          <t>Added since the report</t>
        </is>
      </c>
      <c r="H1120" s="15" t="inlineStr">
        <is>
          <t>Eurostat (apro_mt_pann)</t>
        </is>
      </c>
      <c r="I1120" s="34" t="inlineStr">
        <is>
          <t>esabcc-a2-pig-production</t>
        </is>
      </c>
    </row>
    <row r="1121" ht="14" customHeight="1">
      <c r="A1121" s="22" t="inlineStr">
        <is>
          <t>A2 (pig, production)</t>
        </is>
      </c>
      <c r="B1121" s="22" t="inlineStr">
        <is>
          <t>Pig meat: production (EU)</t>
        </is>
      </c>
      <c r="C1121" s="22" t="inlineStr">
        <is>
          <t>Agriculture</t>
        </is>
      </c>
      <c r="D1121" s="22" t="inlineStr">
        <is>
          <t>Mt</t>
        </is>
      </c>
      <c r="E1121" s="65" t="n">
        <v>2023</v>
      </c>
      <c r="F1121" s="66" t="n">
        <v>20.64</v>
      </c>
      <c r="G1121" s="69" t="inlineStr">
        <is>
          <t>Added since the report</t>
        </is>
      </c>
      <c r="H1121" s="22" t="inlineStr">
        <is>
          <t>Eurostat (apro_mt_pann)</t>
        </is>
      </c>
      <c r="I1121" s="35" t="inlineStr">
        <is>
          <t>esabcc-a2-pig-production</t>
        </is>
      </c>
    </row>
    <row r="1122" ht="14" customHeight="1">
      <c r="A1122" s="15" t="inlineStr">
        <is>
          <t>A2 (pig, production)</t>
        </is>
      </c>
      <c r="B1122" s="15" t="inlineStr">
        <is>
          <t>Pig meat: production (EU)</t>
        </is>
      </c>
      <c r="C1122" s="15" t="inlineStr">
        <is>
          <t>Agriculture</t>
        </is>
      </c>
      <c r="D1122" s="15" t="inlineStr">
        <is>
          <t>Mt</t>
        </is>
      </c>
      <c r="E1122" s="63" t="n">
        <v>2024</v>
      </c>
      <c r="F1122" s="64" t="n">
        <v>21.09</v>
      </c>
      <c r="G1122" s="68" t="inlineStr">
        <is>
          <t>Added since the report</t>
        </is>
      </c>
      <c r="H1122" s="15" t="inlineStr">
        <is>
          <t>Eurostat (apro_mt_pann)</t>
        </is>
      </c>
      <c r="I1122" s="34" t="inlineStr">
        <is>
          <t>esabcc-a2-pig-production</t>
        </is>
      </c>
    </row>
    <row r="1123" ht="14" customHeight="1">
      <c r="A1123" s="22" t="inlineStr">
        <is>
          <t>A2 (pig, production)</t>
        </is>
      </c>
      <c r="B1123" s="22" t="inlineStr">
        <is>
          <t>Pig meat: production (EU)</t>
        </is>
      </c>
      <c r="C1123" s="22" t="inlineStr">
        <is>
          <t>Agriculture</t>
        </is>
      </c>
      <c r="D1123" s="22" t="inlineStr">
        <is>
          <t>Mt</t>
        </is>
      </c>
      <c r="E1123" s="65" t="n">
        <v>2025</v>
      </c>
      <c r="F1123" s="66" t="n">
        <v>21.84</v>
      </c>
      <c r="G1123" s="69" t="inlineStr">
        <is>
          <t>Added since the report</t>
        </is>
      </c>
      <c r="H1123" s="22" t="inlineStr">
        <is>
          <t>Eurostat (apro_mt_pann)</t>
        </is>
      </c>
      <c r="I1123" s="35" t="inlineStr">
        <is>
          <t>esabcc-a2-pig-production</t>
        </is>
      </c>
    </row>
    <row r="1124" ht="14" customHeight="1">
      <c r="A1124" s="15" t="inlineStr">
        <is>
          <t>A2 (pig, intensity)</t>
        </is>
      </c>
      <c r="B1124" s="15" t="inlineStr">
        <is>
          <t>Pig meat: GHG intensity (EU)</t>
        </is>
      </c>
      <c r="C1124" s="15" t="inlineStr">
        <is>
          <t>Agriculture</t>
        </is>
      </c>
      <c r="D1124" s="15" t="inlineStr">
        <is>
          <t>t CO₂eq/t</t>
        </is>
      </c>
      <c r="E1124" s="63" t="n">
        <v>2010</v>
      </c>
      <c r="F1124" s="64" t="n">
        <v>1.351</v>
      </c>
      <c r="G1124" s="14" t="inlineStr">
        <is>
          <t>In the 2024 report</t>
        </is>
      </c>
      <c r="H1124" s="15" t="inlineStr">
        <is>
          <t>EEA GHG data viewer; 2021+ Eurostat (env_air_gge ÷ apro_mt_pann)</t>
        </is>
      </c>
      <c r="I1124" s="34" t="inlineStr">
        <is>
          <t>esabcc-a2-pig-ghg-intensity</t>
        </is>
      </c>
    </row>
    <row r="1125" ht="14" customHeight="1">
      <c r="A1125" s="22" t="inlineStr">
        <is>
          <t>A2 (pig, intensity)</t>
        </is>
      </c>
      <c r="B1125" s="22" t="inlineStr">
        <is>
          <t>Pig meat: GHG intensity (EU)</t>
        </is>
      </c>
      <c r="C1125" s="22" t="inlineStr">
        <is>
          <t>Agriculture</t>
        </is>
      </c>
      <c r="D1125" s="22" t="inlineStr">
        <is>
          <t>t CO₂eq/t</t>
        </is>
      </c>
      <c r="E1125" s="65" t="n">
        <v>2011</v>
      </c>
      <c r="F1125" s="66" t="n">
        <v>1.339</v>
      </c>
      <c r="G1125" s="67" t="inlineStr">
        <is>
          <t>In the 2024 report</t>
        </is>
      </c>
      <c r="H1125" s="22" t="inlineStr">
        <is>
          <t>EEA GHG data viewer; 2021+ Eurostat (env_air_gge ÷ apro_mt_pann)</t>
        </is>
      </c>
      <c r="I1125" s="35" t="inlineStr">
        <is>
          <t>esabcc-a2-pig-ghg-intensity</t>
        </is>
      </c>
    </row>
    <row r="1126" ht="14" customHeight="1">
      <c r="A1126" s="15" t="inlineStr">
        <is>
          <t>A2 (pig, intensity)</t>
        </is>
      </c>
      <c r="B1126" s="15" t="inlineStr">
        <is>
          <t>Pig meat: GHG intensity (EU)</t>
        </is>
      </c>
      <c r="C1126" s="15" t="inlineStr">
        <is>
          <t>Agriculture</t>
        </is>
      </c>
      <c r="D1126" s="15" t="inlineStr">
        <is>
          <t>t CO₂eq/t</t>
        </is>
      </c>
      <c r="E1126" s="63" t="n">
        <v>2012</v>
      </c>
      <c r="F1126" s="64" t="n">
        <v>1.32</v>
      </c>
      <c r="G1126" s="14" t="inlineStr">
        <is>
          <t>In the 2024 report</t>
        </is>
      </c>
      <c r="H1126" s="15" t="inlineStr">
        <is>
          <t>EEA GHG data viewer; 2021+ Eurostat (env_air_gge ÷ apro_mt_pann)</t>
        </is>
      </c>
      <c r="I1126" s="34" t="inlineStr">
        <is>
          <t>esabcc-a2-pig-ghg-intensity</t>
        </is>
      </c>
    </row>
    <row r="1127" ht="14" customHeight="1">
      <c r="A1127" s="22" t="inlineStr">
        <is>
          <t>A2 (pig, intensity)</t>
        </is>
      </c>
      <c r="B1127" s="22" t="inlineStr">
        <is>
          <t>Pig meat: GHG intensity (EU)</t>
        </is>
      </c>
      <c r="C1127" s="22" t="inlineStr">
        <is>
          <t>Agriculture</t>
        </is>
      </c>
      <c r="D1127" s="22" t="inlineStr">
        <is>
          <t>t CO₂eq/t</t>
        </is>
      </c>
      <c r="E1127" s="65" t="n">
        <v>2013</v>
      </c>
      <c r="F1127" s="66" t="n">
        <v>1.302</v>
      </c>
      <c r="G1127" s="67" t="inlineStr">
        <is>
          <t>In the 2024 report</t>
        </is>
      </c>
      <c r="H1127" s="22" t="inlineStr">
        <is>
          <t>EEA GHG data viewer; 2021+ Eurostat (env_air_gge ÷ apro_mt_pann)</t>
        </is>
      </c>
      <c r="I1127" s="35" t="inlineStr">
        <is>
          <t>esabcc-a2-pig-ghg-intensity</t>
        </is>
      </c>
    </row>
    <row r="1128" ht="14" customHeight="1">
      <c r="A1128" s="15" t="inlineStr">
        <is>
          <t>A2 (pig, intensity)</t>
        </is>
      </c>
      <c r="B1128" s="15" t="inlineStr">
        <is>
          <t>Pig meat: GHG intensity (EU)</t>
        </is>
      </c>
      <c r="C1128" s="15" t="inlineStr">
        <is>
          <t>Agriculture</t>
        </is>
      </c>
      <c r="D1128" s="15" t="inlineStr">
        <is>
          <t>t CO₂eq/t</t>
        </is>
      </c>
      <c r="E1128" s="63" t="n">
        <v>2014</v>
      </c>
      <c r="F1128" s="64" t="n">
        <v>1.321</v>
      </c>
      <c r="G1128" s="14" t="inlineStr">
        <is>
          <t>In the 2024 report</t>
        </is>
      </c>
      <c r="H1128" s="15" t="inlineStr">
        <is>
          <t>EEA GHG data viewer; 2021+ Eurostat (env_air_gge ÷ apro_mt_pann)</t>
        </is>
      </c>
      <c r="I1128" s="34" t="inlineStr">
        <is>
          <t>esabcc-a2-pig-ghg-intensity</t>
        </is>
      </c>
    </row>
    <row r="1129" ht="14" customHeight="1">
      <c r="A1129" s="22" t="inlineStr">
        <is>
          <t>A2 (pig, intensity)</t>
        </is>
      </c>
      <c r="B1129" s="22" t="inlineStr">
        <is>
          <t>Pig meat: GHG intensity (EU)</t>
        </is>
      </c>
      <c r="C1129" s="22" t="inlineStr">
        <is>
          <t>Agriculture</t>
        </is>
      </c>
      <c r="D1129" s="22" t="inlineStr">
        <is>
          <t>t CO₂eq/t</t>
        </is>
      </c>
      <c r="E1129" s="65" t="n">
        <v>2015</v>
      </c>
      <c r="F1129" s="66" t="n">
        <v>1.285</v>
      </c>
      <c r="G1129" s="67" t="inlineStr">
        <is>
          <t>In the 2024 report</t>
        </is>
      </c>
      <c r="H1129" s="22" t="inlineStr">
        <is>
          <t>EEA GHG data viewer; 2021+ Eurostat (env_air_gge ÷ apro_mt_pann)</t>
        </is>
      </c>
      <c r="I1129" s="35" t="inlineStr">
        <is>
          <t>esabcc-a2-pig-ghg-intensity</t>
        </is>
      </c>
    </row>
    <row r="1130" ht="14" customHeight="1">
      <c r="A1130" s="15" t="inlineStr">
        <is>
          <t>A2 (pig, intensity)</t>
        </is>
      </c>
      <c r="B1130" s="15" t="inlineStr">
        <is>
          <t>Pig meat: GHG intensity (EU)</t>
        </is>
      </c>
      <c r="C1130" s="15" t="inlineStr">
        <is>
          <t>Agriculture</t>
        </is>
      </c>
      <c r="D1130" s="15" t="inlineStr">
        <is>
          <t>t CO₂eq/t</t>
        </is>
      </c>
      <c r="E1130" s="63" t="n">
        <v>2016</v>
      </c>
      <c r="F1130" s="64" t="n">
        <v>1.253</v>
      </c>
      <c r="G1130" s="14" t="inlineStr">
        <is>
          <t>In the 2024 report</t>
        </is>
      </c>
      <c r="H1130" s="15" t="inlineStr">
        <is>
          <t>EEA GHG data viewer; 2021+ Eurostat (env_air_gge ÷ apro_mt_pann)</t>
        </is>
      </c>
      <c r="I1130" s="34" t="inlineStr">
        <is>
          <t>esabcc-a2-pig-ghg-intensity</t>
        </is>
      </c>
    </row>
    <row r="1131" ht="14" customHeight="1">
      <c r="A1131" s="22" t="inlineStr">
        <is>
          <t>A2 (pig, intensity)</t>
        </is>
      </c>
      <c r="B1131" s="22" t="inlineStr">
        <is>
          <t>Pig meat: GHG intensity (EU)</t>
        </is>
      </c>
      <c r="C1131" s="22" t="inlineStr">
        <is>
          <t>Agriculture</t>
        </is>
      </c>
      <c r="D1131" s="22" t="inlineStr">
        <is>
          <t>t CO₂eq/t</t>
        </is>
      </c>
      <c r="E1131" s="65" t="n">
        <v>2017</v>
      </c>
      <c r="F1131" s="66" t="n">
        <v>1.272</v>
      </c>
      <c r="G1131" s="67" t="inlineStr">
        <is>
          <t>In the 2024 report</t>
        </is>
      </c>
      <c r="H1131" s="22" t="inlineStr">
        <is>
          <t>EEA GHG data viewer; 2021+ Eurostat (env_air_gge ÷ apro_mt_pann)</t>
        </is>
      </c>
      <c r="I1131" s="35" t="inlineStr">
        <is>
          <t>esabcc-a2-pig-ghg-intensity</t>
        </is>
      </c>
    </row>
    <row r="1132" ht="14" customHeight="1">
      <c r="A1132" s="15" t="inlineStr">
        <is>
          <t>A2 (pig, intensity)</t>
        </is>
      </c>
      <c r="B1132" s="15" t="inlineStr">
        <is>
          <t>Pig meat: GHG intensity (EU)</t>
        </is>
      </c>
      <c r="C1132" s="15" t="inlineStr">
        <is>
          <t>Agriculture</t>
        </is>
      </c>
      <c r="D1132" s="15" t="inlineStr">
        <is>
          <t>t CO₂eq/t</t>
        </is>
      </c>
      <c r="E1132" s="63" t="n">
        <v>2018</v>
      </c>
      <c r="F1132" s="64" t="n">
        <v>1.248</v>
      </c>
      <c r="G1132" s="14" t="inlineStr">
        <is>
          <t>In the 2024 report</t>
        </is>
      </c>
      <c r="H1132" s="15" t="inlineStr">
        <is>
          <t>EEA GHG data viewer; 2021+ Eurostat (env_air_gge ÷ apro_mt_pann)</t>
        </is>
      </c>
      <c r="I1132" s="34" t="inlineStr">
        <is>
          <t>esabcc-a2-pig-ghg-intensity</t>
        </is>
      </c>
    </row>
    <row r="1133" ht="14" customHeight="1">
      <c r="A1133" s="22" t="inlineStr">
        <is>
          <t>A2 (pig, intensity)</t>
        </is>
      </c>
      <c r="B1133" s="22" t="inlineStr">
        <is>
          <t>Pig meat: GHG intensity (EU)</t>
        </is>
      </c>
      <c r="C1133" s="22" t="inlineStr">
        <is>
          <t>Agriculture</t>
        </is>
      </c>
      <c r="D1133" s="22" t="inlineStr">
        <is>
          <t>t CO₂eq/t</t>
        </is>
      </c>
      <c r="E1133" s="65" t="n">
        <v>2019</v>
      </c>
      <c r="F1133" s="66" t="n">
        <v>1.251</v>
      </c>
      <c r="G1133" s="67" t="inlineStr">
        <is>
          <t>In the 2024 report</t>
        </is>
      </c>
      <c r="H1133" s="22" t="inlineStr">
        <is>
          <t>EEA GHG data viewer; 2021+ Eurostat (env_air_gge ÷ apro_mt_pann)</t>
        </is>
      </c>
      <c r="I1133" s="35" t="inlineStr">
        <is>
          <t>esabcc-a2-pig-ghg-intensity</t>
        </is>
      </c>
    </row>
    <row r="1134" ht="14" customHeight="1">
      <c r="A1134" s="15" t="inlineStr">
        <is>
          <t>A2 (pig, intensity)</t>
        </is>
      </c>
      <c r="B1134" s="15" t="inlineStr">
        <is>
          <t>Pig meat: GHG intensity (EU)</t>
        </is>
      </c>
      <c r="C1134" s="15" t="inlineStr">
        <is>
          <t>Agriculture</t>
        </is>
      </c>
      <c r="D1134" s="15" t="inlineStr">
        <is>
          <t>t CO₂eq/t</t>
        </is>
      </c>
      <c r="E1134" s="63" t="n">
        <v>2020</v>
      </c>
      <c r="F1134" s="64" t="n">
        <v>1.264</v>
      </c>
      <c r="G1134" s="14" t="inlineStr">
        <is>
          <t>In the 2024 report</t>
        </is>
      </c>
      <c r="H1134" s="15" t="inlineStr">
        <is>
          <t>EEA GHG data viewer; 2021+ Eurostat (env_air_gge ÷ apro_mt_pann)</t>
        </is>
      </c>
      <c r="I1134" s="34" t="inlineStr">
        <is>
          <t>esabcc-a2-pig-ghg-intensity</t>
        </is>
      </c>
    </row>
    <row r="1135" ht="14" customHeight="1">
      <c r="A1135" s="22" t="inlineStr">
        <is>
          <t>A2 (pig, intensity)</t>
        </is>
      </c>
      <c r="B1135" s="22" t="inlineStr">
        <is>
          <t>Pig meat: GHG intensity (EU)</t>
        </is>
      </c>
      <c r="C1135" s="22" t="inlineStr">
        <is>
          <t>Agriculture</t>
        </is>
      </c>
      <c r="D1135" s="22" t="inlineStr">
        <is>
          <t>t CO₂eq/t</t>
        </is>
      </c>
      <c r="E1135" s="65" t="n">
        <v>2021</v>
      </c>
      <c r="F1135" s="66" t="n">
        <v>1.219</v>
      </c>
      <c r="G1135" s="69" t="inlineStr">
        <is>
          <t>Added since the report</t>
        </is>
      </c>
      <c r="H1135" s="22" t="inlineStr">
        <is>
          <t>EEA GHG data viewer; 2021+ Eurostat (env_air_gge ÷ apro_mt_pann)</t>
        </is>
      </c>
      <c r="I1135" s="35" t="inlineStr">
        <is>
          <t>esabcc-a2-pig-ghg-intensity</t>
        </is>
      </c>
    </row>
    <row r="1136" ht="14" customHeight="1">
      <c r="A1136" s="15" t="inlineStr">
        <is>
          <t>A2 (pig, intensity)</t>
        </is>
      </c>
      <c r="B1136" s="15" t="inlineStr">
        <is>
          <t>Pig meat: GHG intensity (EU)</t>
        </is>
      </c>
      <c r="C1136" s="15" t="inlineStr">
        <is>
          <t>Agriculture</t>
        </is>
      </c>
      <c r="D1136" s="15" t="inlineStr">
        <is>
          <t>t CO₂eq/t</t>
        </is>
      </c>
      <c r="E1136" s="63" t="n">
        <v>2022</v>
      </c>
      <c r="F1136" s="64" t="n">
        <v>1.266</v>
      </c>
      <c r="G1136" s="68" t="inlineStr">
        <is>
          <t>Added since the report</t>
        </is>
      </c>
      <c r="H1136" s="15" t="inlineStr">
        <is>
          <t>EEA GHG data viewer; 2021+ Eurostat (env_air_gge ÷ apro_mt_pann)</t>
        </is>
      </c>
      <c r="I1136" s="34" t="inlineStr">
        <is>
          <t>esabcc-a2-pig-ghg-intensity</t>
        </is>
      </c>
    </row>
    <row r="1137" ht="14" customHeight="1">
      <c r="A1137" s="22" t="inlineStr">
        <is>
          <t>A2 (pig, intensity)</t>
        </is>
      </c>
      <c r="B1137" s="22" t="inlineStr">
        <is>
          <t>Pig meat: GHG intensity (EU)</t>
        </is>
      </c>
      <c r="C1137" s="22" t="inlineStr">
        <is>
          <t>Agriculture</t>
        </is>
      </c>
      <c r="D1137" s="22" t="inlineStr">
        <is>
          <t>t CO₂eq/t</t>
        </is>
      </c>
      <c r="E1137" s="65" t="n">
        <v>2023</v>
      </c>
      <c r="F1137" s="66" t="n">
        <v>1.296</v>
      </c>
      <c r="G1137" s="69" t="inlineStr">
        <is>
          <t>Added since the report</t>
        </is>
      </c>
      <c r="H1137" s="22" t="inlineStr">
        <is>
          <t>EEA GHG data viewer; 2021+ Eurostat (env_air_gge ÷ apro_mt_pann)</t>
        </is>
      </c>
      <c r="I1137" s="35" t="inlineStr">
        <is>
          <t>esabcc-a2-pig-ghg-intensity</t>
        </is>
      </c>
    </row>
    <row r="1138" ht="14" customHeight="1">
      <c r="A1138" s="15" t="inlineStr">
        <is>
          <t>A2 (pig, intensity)</t>
        </is>
      </c>
      <c r="B1138" s="15" t="inlineStr">
        <is>
          <t>Pig meat: GHG intensity (EU)</t>
        </is>
      </c>
      <c r="C1138" s="15" t="inlineStr">
        <is>
          <t>Agriculture</t>
        </is>
      </c>
      <c r="D1138" s="15" t="inlineStr">
        <is>
          <t>t CO₂eq/t</t>
        </is>
      </c>
      <c r="E1138" s="63" t="n">
        <v>2024</v>
      </c>
      <c r="F1138" s="64" t="n">
        <v>1.238</v>
      </c>
      <c r="G1138" s="68" t="inlineStr">
        <is>
          <t>Added since the report</t>
        </is>
      </c>
      <c r="H1138" s="15" t="inlineStr">
        <is>
          <t>EEA GHG data viewer; 2021+ Eurostat (env_air_gge ÷ apro_mt_pann)</t>
        </is>
      </c>
      <c r="I1138" s="34" t="inlineStr">
        <is>
          <t>esabcc-a2-pig-ghg-intensity</t>
        </is>
      </c>
    </row>
    <row r="1139" ht="14" customHeight="1">
      <c r="A1139" s="22" t="inlineStr">
        <is>
          <t>A4 (bovine, consumption)</t>
        </is>
      </c>
      <c r="B1139" s="22" t="inlineStr">
        <is>
          <t>Bovine meat: consumption (EU)</t>
        </is>
      </c>
      <c r="C1139" s="22" t="inlineStr">
        <is>
          <t>Agriculture</t>
        </is>
      </c>
      <c r="D1139" s="22" t="inlineStr">
        <is>
          <t>Mt</t>
        </is>
      </c>
      <c r="E1139" s="65" t="n">
        <v>2010</v>
      </c>
      <c r="F1139" s="66" t="n">
        <v>6.953</v>
      </c>
      <c r="G1139" s="67" t="inlineStr">
        <is>
          <t>In the 2024 report</t>
        </is>
      </c>
      <c r="H1139" s="22" t="inlineStr">
        <is>
          <t>FAOSTAT food balance sheets</t>
        </is>
      </c>
      <c r="I1139" s="35" t="inlineStr">
        <is>
          <t>esabcc-a4-bovine-consumption</t>
        </is>
      </c>
    </row>
    <row r="1140" ht="14" customHeight="1">
      <c r="A1140" s="15" t="inlineStr">
        <is>
          <t>A4 (bovine, consumption)</t>
        </is>
      </c>
      <c r="B1140" s="15" t="inlineStr">
        <is>
          <t>Bovine meat: consumption (EU)</t>
        </is>
      </c>
      <c r="C1140" s="15" t="inlineStr">
        <is>
          <t>Agriculture</t>
        </is>
      </c>
      <c r="D1140" s="15" t="inlineStr">
        <is>
          <t>Mt</t>
        </is>
      </c>
      <c r="E1140" s="63" t="n">
        <v>2011</v>
      </c>
      <c r="F1140" s="64" t="n">
        <v>6.741</v>
      </c>
      <c r="G1140" s="14" t="inlineStr">
        <is>
          <t>In the 2024 report</t>
        </is>
      </c>
      <c r="H1140" s="15" t="inlineStr">
        <is>
          <t>FAOSTAT food balance sheets</t>
        </is>
      </c>
      <c r="I1140" s="34" t="inlineStr">
        <is>
          <t>esabcc-a4-bovine-consumption</t>
        </is>
      </c>
    </row>
    <row r="1141" ht="14" customHeight="1">
      <c r="A1141" s="22" t="inlineStr">
        <is>
          <t>A4 (bovine, consumption)</t>
        </is>
      </c>
      <c r="B1141" s="22" t="inlineStr">
        <is>
          <t>Bovine meat: consumption (EU)</t>
        </is>
      </c>
      <c r="C1141" s="22" t="inlineStr">
        <is>
          <t>Agriculture</t>
        </is>
      </c>
      <c r="D1141" s="22" t="inlineStr">
        <is>
          <t>Mt</t>
        </is>
      </c>
      <c r="E1141" s="65" t="n">
        <v>2012</v>
      </c>
      <c r="F1141" s="66" t="n">
        <v>6.643</v>
      </c>
      <c r="G1141" s="67" t="inlineStr">
        <is>
          <t>In the 2024 report</t>
        </is>
      </c>
      <c r="H1141" s="22" t="inlineStr">
        <is>
          <t>FAOSTAT food balance sheets</t>
        </is>
      </c>
      <c r="I1141" s="35" t="inlineStr">
        <is>
          <t>esabcc-a4-bovine-consumption</t>
        </is>
      </c>
    </row>
    <row r="1142" ht="14" customHeight="1">
      <c r="A1142" s="15" t="inlineStr">
        <is>
          <t>A4 (bovine, consumption)</t>
        </is>
      </c>
      <c r="B1142" s="15" t="inlineStr">
        <is>
          <t>Bovine meat: consumption (EU)</t>
        </is>
      </c>
      <c r="C1142" s="15" t="inlineStr">
        <is>
          <t>Agriculture</t>
        </is>
      </c>
      <c r="D1142" s="15" t="inlineStr">
        <is>
          <t>Mt</t>
        </is>
      </c>
      <c r="E1142" s="63" t="n">
        <v>2013</v>
      </c>
      <c r="F1142" s="64" t="n">
        <v>6.422</v>
      </c>
      <c r="G1142" s="14" t="inlineStr">
        <is>
          <t>In the 2024 report</t>
        </is>
      </c>
      <c r="H1142" s="15" t="inlineStr">
        <is>
          <t>FAOSTAT food balance sheets</t>
        </is>
      </c>
      <c r="I1142" s="34" t="inlineStr">
        <is>
          <t>esabcc-a4-bovine-consumption</t>
        </is>
      </c>
    </row>
    <row r="1143" ht="14" customHeight="1">
      <c r="A1143" s="22" t="inlineStr">
        <is>
          <t>A4 (bovine, consumption)</t>
        </is>
      </c>
      <c r="B1143" s="22" t="inlineStr">
        <is>
          <t>Bovine meat: consumption (EU)</t>
        </is>
      </c>
      <c r="C1143" s="22" t="inlineStr">
        <is>
          <t>Agriculture</t>
        </is>
      </c>
      <c r="D1143" s="22" t="inlineStr">
        <is>
          <t>Mt</t>
        </is>
      </c>
      <c r="E1143" s="65" t="n">
        <v>2014</v>
      </c>
      <c r="F1143" s="66" t="n">
        <v>6.112</v>
      </c>
      <c r="G1143" s="67" t="inlineStr">
        <is>
          <t>In the 2024 report</t>
        </is>
      </c>
      <c r="H1143" s="22" t="inlineStr">
        <is>
          <t>FAOSTAT food balance sheets</t>
        </is>
      </c>
      <c r="I1143" s="35" t="inlineStr">
        <is>
          <t>esabcc-a4-bovine-consumption</t>
        </is>
      </c>
    </row>
    <row r="1144" ht="14" customHeight="1">
      <c r="A1144" s="15" t="inlineStr">
        <is>
          <t>A4 (bovine, consumption)</t>
        </is>
      </c>
      <c r="B1144" s="15" t="inlineStr">
        <is>
          <t>Bovine meat: consumption (EU)</t>
        </is>
      </c>
      <c r="C1144" s="15" t="inlineStr">
        <is>
          <t>Agriculture</t>
        </is>
      </c>
      <c r="D1144" s="15" t="inlineStr">
        <is>
          <t>Mt</t>
        </is>
      </c>
      <c r="E1144" s="63" t="n">
        <v>2015</v>
      </c>
      <c r="F1144" s="64" t="n">
        <v>6.051</v>
      </c>
      <c r="G1144" s="14" t="inlineStr">
        <is>
          <t>In the 2024 report</t>
        </is>
      </c>
      <c r="H1144" s="15" t="inlineStr">
        <is>
          <t>FAOSTAT food balance sheets</t>
        </is>
      </c>
      <c r="I1144" s="34" t="inlineStr">
        <is>
          <t>esabcc-a4-bovine-consumption</t>
        </is>
      </c>
    </row>
    <row r="1145" ht="14" customHeight="1">
      <c r="A1145" s="22" t="inlineStr">
        <is>
          <t>A4 (bovine, consumption)</t>
        </is>
      </c>
      <c r="B1145" s="22" t="inlineStr">
        <is>
          <t>Bovine meat: consumption (EU)</t>
        </is>
      </c>
      <c r="C1145" s="22" t="inlineStr">
        <is>
          <t>Agriculture</t>
        </is>
      </c>
      <c r="D1145" s="22" t="inlineStr">
        <is>
          <t>Mt</t>
        </is>
      </c>
      <c r="E1145" s="65" t="n">
        <v>2016</v>
      </c>
      <c r="F1145" s="66" t="n">
        <v>6.116</v>
      </c>
      <c r="G1145" s="67" t="inlineStr">
        <is>
          <t>In the 2024 report</t>
        </is>
      </c>
      <c r="H1145" s="22" t="inlineStr">
        <is>
          <t>FAOSTAT food balance sheets</t>
        </is>
      </c>
      <c r="I1145" s="35" t="inlineStr">
        <is>
          <t>esabcc-a4-bovine-consumption</t>
        </is>
      </c>
    </row>
    <row r="1146" ht="14" customHeight="1">
      <c r="A1146" s="15" t="inlineStr">
        <is>
          <t>A4 (bovine, consumption)</t>
        </is>
      </c>
      <c r="B1146" s="15" t="inlineStr">
        <is>
          <t>Bovine meat: consumption (EU)</t>
        </is>
      </c>
      <c r="C1146" s="15" t="inlineStr">
        <is>
          <t>Agriculture</t>
        </is>
      </c>
      <c r="D1146" s="15" t="inlineStr">
        <is>
          <t>Mt</t>
        </is>
      </c>
      <c r="E1146" s="63" t="n">
        <v>2017</v>
      </c>
      <c r="F1146" s="64" t="n">
        <v>6.022</v>
      </c>
      <c r="G1146" s="14" t="inlineStr">
        <is>
          <t>In the 2024 report</t>
        </is>
      </c>
      <c r="H1146" s="15" t="inlineStr">
        <is>
          <t>FAOSTAT food balance sheets</t>
        </is>
      </c>
      <c r="I1146" s="34" t="inlineStr">
        <is>
          <t>esabcc-a4-bovine-consumption</t>
        </is>
      </c>
    </row>
    <row r="1147" ht="14" customHeight="1">
      <c r="A1147" s="22" t="inlineStr">
        <is>
          <t>A4 (bovine, consumption)</t>
        </is>
      </c>
      <c r="B1147" s="22" t="inlineStr">
        <is>
          <t>Bovine meat: consumption (EU)</t>
        </is>
      </c>
      <c r="C1147" s="22" t="inlineStr">
        <is>
          <t>Agriculture</t>
        </is>
      </c>
      <c r="D1147" s="22" t="inlineStr">
        <is>
          <t>Mt</t>
        </is>
      </c>
      <c r="E1147" s="65" t="n">
        <v>2018</v>
      </c>
      <c r="F1147" s="66" t="n">
        <v>6.237</v>
      </c>
      <c r="G1147" s="67" t="inlineStr">
        <is>
          <t>In the 2024 report</t>
        </is>
      </c>
      <c r="H1147" s="22" t="inlineStr">
        <is>
          <t>FAOSTAT food balance sheets</t>
        </is>
      </c>
      <c r="I1147" s="35" t="inlineStr">
        <is>
          <t>esabcc-a4-bovine-consumption</t>
        </is>
      </c>
    </row>
    <row r="1148" ht="14" customHeight="1">
      <c r="A1148" s="15" t="inlineStr">
        <is>
          <t>A4 (bovine, consumption)</t>
        </is>
      </c>
      <c r="B1148" s="15" t="inlineStr">
        <is>
          <t>Bovine meat: consumption (EU)</t>
        </is>
      </c>
      <c r="C1148" s="15" t="inlineStr">
        <is>
          <t>Agriculture</t>
        </is>
      </c>
      <c r="D1148" s="15" t="inlineStr">
        <is>
          <t>Mt</t>
        </is>
      </c>
      <c r="E1148" s="63" t="n">
        <v>2019</v>
      </c>
      <c r="F1148" s="64" t="n">
        <v>6.246</v>
      </c>
      <c r="G1148" s="14" t="inlineStr">
        <is>
          <t>In the 2024 report</t>
        </is>
      </c>
      <c r="H1148" s="15" t="inlineStr">
        <is>
          <t>FAOSTAT food balance sheets</t>
        </is>
      </c>
      <c r="I1148" s="34" t="inlineStr">
        <is>
          <t>esabcc-a4-bovine-consumption</t>
        </is>
      </c>
    </row>
    <row r="1149" ht="14" customHeight="1">
      <c r="A1149" s="22" t="inlineStr">
        <is>
          <t>A4 (bovine, consumption)</t>
        </is>
      </c>
      <c r="B1149" s="22" t="inlineStr">
        <is>
          <t>Bovine meat: consumption (EU)</t>
        </is>
      </c>
      <c r="C1149" s="22" t="inlineStr">
        <is>
          <t>Agriculture</t>
        </is>
      </c>
      <c r="D1149" s="22" t="inlineStr">
        <is>
          <t>Mt</t>
        </is>
      </c>
      <c r="E1149" s="65" t="n">
        <v>2020</v>
      </c>
      <c r="F1149" s="66" t="n">
        <v>6.115</v>
      </c>
      <c r="G1149" s="67" t="inlineStr">
        <is>
          <t>In the 2024 report</t>
        </is>
      </c>
      <c r="H1149" s="22" t="inlineStr">
        <is>
          <t>FAOSTAT food balance sheets</t>
        </is>
      </c>
      <c r="I1149" s="35" t="inlineStr">
        <is>
          <t>esabcc-a4-bovine-consumption</t>
        </is>
      </c>
    </row>
    <row r="1150" ht="14" customHeight="1">
      <c r="A1150" s="15" t="inlineStr">
        <is>
          <t>A4 (bovine, production)</t>
        </is>
      </c>
      <c r="B1150" s="15" t="inlineStr">
        <is>
          <t>Bovine meat: production (EU)</t>
        </is>
      </c>
      <c r="C1150" s="15" t="inlineStr">
        <is>
          <t>Agriculture</t>
        </is>
      </c>
      <c r="D1150" s="15" t="inlineStr">
        <is>
          <t>Mt</t>
        </is>
      </c>
      <c r="E1150" s="63" t="n">
        <v>2010</v>
      </c>
      <c r="F1150" s="64" t="n">
        <v>7.257</v>
      </c>
      <c r="G1150" s="14" t="inlineStr">
        <is>
          <t>In the 2024 report</t>
        </is>
      </c>
      <c r="H1150" s="15" t="inlineStr">
        <is>
          <t>Eurostat (apro_mt_pann)</t>
        </is>
      </c>
      <c r="I1150" s="34" t="inlineStr">
        <is>
          <t>esabcc-a4-bovine-production</t>
        </is>
      </c>
    </row>
    <row r="1151" ht="14" customHeight="1">
      <c r="A1151" s="22" t="inlineStr">
        <is>
          <t>A4 (bovine, production)</t>
        </is>
      </c>
      <c r="B1151" s="22" t="inlineStr">
        <is>
          <t>Bovine meat: production (EU)</t>
        </is>
      </c>
      <c r="C1151" s="22" t="inlineStr">
        <is>
          <t>Agriculture</t>
        </is>
      </c>
      <c r="D1151" s="22" t="inlineStr">
        <is>
          <t>Mt</t>
        </is>
      </c>
      <c r="E1151" s="65" t="n">
        <v>2011</v>
      </c>
      <c r="F1151" s="66" t="n">
        <v>7.126</v>
      </c>
      <c r="G1151" s="67" t="inlineStr">
        <is>
          <t>In the 2024 report</t>
        </is>
      </c>
      <c r="H1151" s="22" t="inlineStr">
        <is>
          <t>Eurostat (apro_mt_pann)</t>
        </is>
      </c>
      <c r="I1151" s="35" t="inlineStr">
        <is>
          <t>esabcc-a4-bovine-production</t>
        </is>
      </c>
    </row>
    <row r="1152" ht="14" customHeight="1">
      <c r="A1152" s="15" t="inlineStr">
        <is>
          <t>A4 (bovine, production)</t>
        </is>
      </c>
      <c r="B1152" s="15" t="inlineStr">
        <is>
          <t>Bovine meat: production (EU)</t>
        </is>
      </c>
      <c r="C1152" s="15" t="inlineStr">
        <is>
          <t>Agriculture</t>
        </is>
      </c>
      <c r="D1152" s="15" t="inlineStr">
        <is>
          <t>Mt</t>
        </is>
      </c>
      <c r="E1152" s="63" t="n">
        <v>2012</v>
      </c>
      <c r="F1152" s="64" t="n">
        <v>6.857</v>
      </c>
      <c r="G1152" s="14" t="inlineStr">
        <is>
          <t>In the 2024 report</t>
        </is>
      </c>
      <c r="H1152" s="15" t="inlineStr">
        <is>
          <t>Eurostat (apro_mt_pann)</t>
        </is>
      </c>
      <c r="I1152" s="34" t="inlineStr">
        <is>
          <t>esabcc-a4-bovine-production</t>
        </is>
      </c>
    </row>
    <row r="1153" ht="14" customHeight="1">
      <c r="A1153" s="22" t="inlineStr">
        <is>
          <t>A4 (bovine, production)</t>
        </is>
      </c>
      <c r="B1153" s="22" t="inlineStr">
        <is>
          <t>Bovine meat: production (EU)</t>
        </is>
      </c>
      <c r="C1153" s="22" t="inlineStr">
        <is>
          <t>Agriculture</t>
        </is>
      </c>
      <c r="D1153" s="22" t="inlineStr">
        <is>
          <t>Mt</t>
        </is>
      </c>
      <c r="E1153" s="65" t="n">
        <v>2013</v>
      </c>
      <c r="F1153" s="66" t="n">
        <v>6.567</v>
      </c>
      <c r="G1153" s="67" t="inlineStr">
        <is>
          <t>In the 2024 report</t>
        </is>
      </c>
      <c r="H1153" s="22" t="inlineStr">
        <is>
          <t>Eurostat (apro_mt_pann)</t>
        </is>
      </c>
      <c r="I1153" s="35" t="inlineStr">
        <is>
          <t>esabcc-a4-bovine-production</t>
        </is>
      </c>
    </row>
    <row r="1154" ht="14" customHeight="1">
      <c r="A1154" s="15" t="inlineStr">
        <is>
          <t>A4 (bovine, production)</t>
        </is>
      </c>
      <c r="B1154" s="15" t="inlineStr">
        <is>
          <t>Bovine meat: production (EU)</t>
        </is>
      </c>
      <c r="C1154" s="15" t="inlineStr">
        <is>
          <t>Agriculture</t>
        </is>
      </c>
      <c r="D1154" s="15" t="inlineStr">
        <is>
          <t>Mt</t>
        </is>
      </c>
      <c r="E1154" s="63" t="n">
        <v>2014</v>
      </c>
      <c r="F1154" s="64" t="n">
        <v>6.597</v>
      </c>
      <c r="G1154" s="14" t="inlineStr">
        <is>
          <t>In the 2024 report</t>
        </is>
      </c>
      <c r="H1154" s="15" t="inlineStr">
        <is>
          <t>Eurostat (apro_mt_pann)</t>
        </is>
      </c>
      <c r="I1154" s="34" t="inlineStr">
        <is>
          <t>esabcc-a4-bovine-production</t>
        </is>
      </c>
    </row>
    <row r="1155" ht="14" customHeight="1">
      <c r="A1155" s="22" t="inlineStr">
        <is>
          <t>A4 (bovine, production)</t>
        </is>
      </c>
      <c r="B1155" s="22" t="inlineStr">
        <is>
          <t>Bovine meat: production (EU)</t>
        </is>
      </c>
      <c r="C1155" s="22" t="inlineStr">
        <is>
          <t>Agriculture</t>
        </is>
      </c>
      <c r="D1155" s="22" t="inlineStr">
        <is>
          <t>Mt</t>
        </is>
      </c>
      <c r="E1155" s="65" t="n">
        <v>2015</v>
      </c>
      <c r="F1155" s="66" t="n">
        <v>6.827</v>
      </c>
      <c r="G1155" s="67" t="inlineStr">
        <is>
          <t>In the 2024 report</t>
        </is>
      </c>
      <c r="H1155" s="22" t="inlineStr">
        <is>
          <t>Eurostat (apro_mt_pann)</t>
        </is>
      </c>
      <c r="I1155" s="35" t="inlineStr">
        <is>
          <t>esabcc-a4-bovine-production</t>
        </is>
      </c>
    </row>
    <row r="1156" ht="14" customHeight="1">
      <c r="A1156" s="15" t="inlineStr">
        <is>
          <t>A4 (bovine, production)</t>
        </is>
      </c>
      <c r="B1156" s="15" t="inlineStr">
        <is>
          <t>Bovine meat: production (EU)</t>
        </is>
      </c>
      <c r="C1156" s="15" t="inlineStr">
        <is>
          <t>Agriculture</t>
        </is>
      </c>
      <c r="D1156" s="15" t="inlineStr">
        <is>
          <t>Mt</t>
        </is>
      </c>
      <c r="E1156" s="63" t="n">
        <v>2016</v>
      </c>
      <c r="F1156" s="64" t="n">
        <v>6.999</v>
      </c>
      <c r="G1156" s="14" t="inlineStr">
        <is>
          <t>In the 2024 report</t>
        </is>
      </c>
      <c r="H1156" s="15" t="inlineStr">
        <is>
          <t>Eurostat (apro_mt_pann)</t>
        </is>
      </c>
      <c r="I1156" s="34" t="inlineStr">
        <is>
          <t>esabcc-a4-bovine-production</t>
        </is>
      </c>
    </row>
    <row r="1157" ht="14" customHeight="1">
      <c r="A1157" s="22" t="inlineStr">
        <is>
          <t>A4 (bovine, production)</t>
        </is>
      </c>
      <c r="B1157" s="22" t="inlineStr">
        <is>
          <t>Bovine meat: production (EU)</t>
        </is>
      </c>
      <c r="C1157" s="22" t="inlineStr">
        <is>
          <t>Agriculture</t>
        </is>
      </c>
      <c r="D1157" s="22" t="inlineStr">
        <is>
          <t>Mt</t>
        </is>
      </c>
      <c r="E1157" s="65" t="n">
        <v>2017</v>
      </c>
      <c r="F1157" s="66" t="n">
        <v>6.993</v>
      </c>
      <c r="G1157" s="67" t="inlineStr">
        <is>
          <t>In the 2024 report</t>
        </is>
      </c>
      <c r="H1157" s="22" t="inlineStr">
        <is>
          <t>Eurostat (apro_mt_pann)</t>
        </is>
      </c>
      <c r="I1157" s="35" t="inlineStr">
        <is>
          <t>esabcc-a4-bovine-production</t>
        </is>
      </c>
    </row>
    <row r="1158" ht="14" customHeight="1">
      <c r="A1158" s="15" t="inlineStr">
        <is>
          <t>A4 (bovine, production)</t>
        </is>
      </c>
      <c r="B1158" s="15" t="inlineStr">
        <is>
          <t>Bovine meat: production (EU)</t>
        </is>
      </c>
      <c r="C1158" s="15" t="inlineStr">
        <is>
          <t>Agriculture</t>
        </is>
      </c>
      <c r="D1158" s="15" t="inlineStr">
        <is>
          <t>Mt</t>
        </is>
      </c>
      <c r="E1158" s="63" t="n">
        <v>2018</v>
      </c>
      <c r="F1158" s="64" t="n">
        <v>7.112</v>
      </c>
      <c r="G1158" s="14" t="inlineStr">
        <is>
          <t>In the 2024 report</t>
        </is>
      </c>
      <c r="H1158" s="15" t="inlineStr">
        <is>
          <t>Eurostat (apro_mt_pann)</t>
        </is>
      </c>
      <c r="I1158" s="34" t="inlineStr">
        <is>
          <t>esabcc-a4-bovine-production</t>
        </is>
      </c>
    </row>
    <row r="1159" ht="14" customHeight="1">
      <c r="A1159" s="22" t="inlineStr">
        <is>
          <t>A4 (bovine, production)</t>
        </is>
      </c>
      <c r="B1159" s="22" t="inlineStr">
        <is>
          <t>Bovine meat: production (EU)</t>
        </is>
      </c>
      <c r="C1159" s="22" t="inlineStr">
        <is>
          <t>Agriculture</t>
        </is>
      </c>
      <c r="D1159" s="22" t="inlineStr">
        <is>
          <t>Mt</t>
        </is>
      </c>
      <c r="E1159" s="65" t="n">
        <v>2019</v>
      </c>
      <c r="F1159" s="66" t="n">
        <v>6.999</v>
      </c>
      <c r="G1159" s="67" t="inlineStr">
        <is>
          <t>In the 2024 report</t>
        </is>
      </c>
      <c r="H1159" s="22" t="inlineStr">
        <is>
          <t>Eurostat (apro_mt_pann)</t>
        </is>
      </c>
      <c r="I1159" s="35" t="inlineStr">
        <is>
          <t>esabcc-a4-bovine-production</t>
        </is>
      </c>
    </row>
    <row r="1160" ht="14" customHeight="1">
      <c r="A1160" s="15" t="inlineStr">
        <is>
          <t>A4 (bovine, production)</t>
        </is>
      </c>
      <c r="B1160" s="15" t="inlineStr">
        <is>
          <t>Bovine meat: production (EU)</t>
        </is>
      </c>
      <c r="C1160" s="15" t="inlineStr">
        <is>
          <t>Agriculture</t>
        </is>
      </c>
      <c r="D1160" s="15" t="inlineStr">
        <is>
          <t>Mt</t>
        </is>
      </c>
      <c r="E1160" s="63" t="n">
        <v>2020</v>
      </c>
      <c r="F1160" s="64" t="n">
        <v>6.936</v>
      </c>
      <c r="G1160" s="14" t="inlineStr">
        <is>
          <t>In the 2024 report</t>
        </is>
      </c>
      <c r="H1160" s="15" t="inlineStr">
        <is>
          <t>Eurostat (apro_mt_pann)</t>
        </is>
      </c>
      <c r="I1160" s="34" t="inlineStr">
        <is>
          <t>esabcc-a4-bovine-production</t>
        </is>
      </c>
    </row>
    <row r="1161" ht="14" customHeight="1">
      <c r="A1161" s="22" t="inlineStr">
        <is>
          <t>A4 (bovine, production)</t>
        </is>
      </c>
      <c r="B1161" s="22" t="inlineStr">
        <is>
          <t>Bovine meat: production (EU)</t>
        </is>
      </c>
      <c r="C1161" s="22" t="inlineStr">
        <is>
          <t>Agriculture</t>
        </is>
      </c>
      <c r="D1161" s="22" t="inlineStr">
        <is>
          <t>Mt</t>
        </is>
      </c>
      <c r="E1161" s="65" t="n">
        <v>2021</v>
      </c>
      <c r="F1161" s="66" t="n">
        <v>6.802</v>
      </c>
      <c r="G1161" s="69" t="inlineStr">
        <is>
          <t>Added since the report</t>
        </is>
      </c>
      <c r="H1161" s="22" t="inlineStr">
        <is>
          <t>Eurostat (apro_mt_pann)</t>
        </is>
      </c>
      <c r="I1161" s="35" t="inlineStr">
        <is>
          <t>esabcc-a4-bovine-production</t>
        </is>
      </c>
    </row>
    <row r="1162" ht="14" customHeight="1">
      <c r="A1162" s="15" t="inlineStr">
        <is>
          <t>A4 (bovine, production)</t>
        </is>
      </c>
      <c r="B1162" s="15" t="inlineStr">
        <is>
          <t>Bovine meat: production (EU)</t>
        </is>
      </c>
      <c r="C1162" s="15" t="inlineStr">
        <is>
          <t>Agriculture</t>
        </is>
      </c>
      <c r="D1162" s="15" t="inlineStr">
        <is>
          <t>Mt</t>
        </is>
      </c>
      <c r="E1162" s="63" t="n">
        <v>2022</v>
      </c>
      <c r="F1162" s="64" t="n">
        <v>6.64</v>
      </c>
      <c r="G1162" s="68" t="inlineStr">
        <is>
          <t>Added since the report</t>
        </is>
      </c>
      <c r="H1162" s="15" t="inlineStr">
        <is>
          <t>Eurostat (apro_mt_pann)</t>
        </is>
      </c>
      <c r="I1162" s="34" t="inlineStr">
        <is>
          <t>esabcc-a4-bovine-production</t>
        </is>
      </c>
    </row>
    <row r="1163" ht="14" customHeight="1">
      <c r="A1163" s="22" t="inlineStr">
        <is>
          <t>A4 (bovine, production)</t>
        </is>
      </c>
      <c r="B1163" s="22" t="inlineStr">
        <is>
          <t>Bovine meat: production (EU)</t>
        </is>
      </c>
      <c r="C1163" s="22" t="inlineStr">
        <is>
          <t>Agriculture</t>
        </is>
      </c>
      <c r="D1163" s="22" t="inlineStr">
        <is>
          <t>Mt</t>
        </is>
      </c>
      <c r="E1163" s="65" t="n">
        <v>2023</v>
      </c>
      <c r="F1163" s="66" t="n">
        <v>6.385</v>
      </c>
      <c r="G1163" s="69" t="inlineStr">
        <is>
          <t>Added since the report</t>
        </is>
      </c>
      <c r="H1163" s="22" t="inlineStr">
        <is>
          <t>Eurostat (apro_mt_pann)</t>
        </is>
      </c>
      <c r="I1163" s="35" t="inlineStr">
        <is>
          <t>esabcc-a4-bovine-production</t>
        </is>
      </c>
    </row>
    <row r="1164" ht="14" customHeight="1">
      <c r="A1164" s="15" t="inlineStr">
        <is>
          <t>A4 (bovine, production)</t>
        </is>
      </c>
      <c r="B1164" s="15" t="inlineStr">
        <is>
          <t>Bovine meat: production (EU)</t>
        </is>
      </c>
      <c r="C1164" s="15" t="inlineStr">
        <is>
          <t>Agriculture</t>
        </is>
      </c>
      <c r="D1164" s="15" t="inlineStr">
        <is>
          <t>Mt</t>
        </is>
      </c>
      <c r="E1164" s="63" t="n">
        <v>2024</v>
      </c>
      <c r="F1164" s="64" t="n">
        <v>6.584</v>
      </c>
      <c r="G1164" s="68" t="inlineStr">
        <is>
          <t>Added since the report</t>
        </is>
      </c>
      <c r="H1164" s="15" t="inlineStr">
        <is>
          <t>Eurostat (apro_mt_pann)</t>
        </is>
      </c>
      <c r="I1164" s="34" t="inlineStr">
        <is>
          <t>esabcc-a4-bovine-production</t>
        </is>
      </c>
    </row>
    <row r="1165" ht="14" customHeight="1">
      <c r="A1165" s="22" t="inlineStr">
        <is>
          <t>A4 (bovine, production)</t>
        </is>
      </c>
      <c r="B1165" s="22" t="inlineStr">
        <is>
          <t>Bovine meat: production (EU)</t>
        </is>
      </c>
      <c r="C1165" s="22" t="inlineStr">
        <is>
          <t>Agriculture</t>
        </is>
      </c>
      <c r="D1165" s="22" t="inlineStr">
        <is>
          <t>Mt</t>
        </is>
      </c>
      <c r="E1165" s="65" t="n">
        <v>2025</v>
      </c>
      <c r="F1165" s="66" t="n">
        <v>6.32</v>
      </c>
      <c r="G1165" s="69" t="inlineStr">
        <is>
          <t>Added since the report</t>
        </is>
      </c>
      <c r="H1165" s="22" t="inlineStr">
        <is>
          <t>Eurostat (apro_mt_pann)</t>
        </is>
      </c>
      <c r="I1165" s="35" t="inlineStr">
        <is>
          <t>esabcc-a4-bovine-production</t>
        </is>
      </c>
    </row>
    <row r="1166" ht="14" customHeight="1">
      <c r="A1166" s="15" t="inlineStr">
        <is>
          <t>A4 (bovine, herd)</t>
        </is>
      </c>
      <c r="B1166" s="15" t="inlineStr">
        <is>
          <t>Bovine meat: herd size (EU)</t>
        </is>
      </c>
      <c r="C1166" s="15" t="inlineStr">
        <is>
          <t>Agriculture</t>
        </is>
      </c>
      <c r="D1166" s="15" t="inlineStr">
        <is>
          <t>million heads</t>
        </is>
      </c>
      <c r="E1166" s="63" t="n">
        <v>2010</v>
      </c>
      <c r="F1166" s="64" t="n">
        <v>60.59</v>
      </c>
      <c r="G1166" s="14" t="inlineStr">
        <is>
          <t>In the 2024 report</t>
        </is>
      </c>
      <c r="H1166" s="15" t="inlineStr">
        <is>
          <t>EU GHG inventory (CRF) livestock populations; 2021+ Eurostat survey trend</t>
        </is>
      </c>
      <c r="I1166" s="34" t="inlineStr">
        <is>
          <t>esabcc-a4-bovine-herd-size</t>
        </is>
      </c>
    </row>
    <row r="1167" ht="14" customHeight="1">
      <c r="A1167" s="22" t="inlineStr">
        <is>
          <t>A4 (bovine, herd)</t>
        </is>
      </c>
      <c r="B1167" s="22" t="inlineStr">
        <is>
          <t>Bovine meat: herd size (EU)</t>
        </is>
      </c>
      <c r="C1167" s="22" t="inlineStr">
        <is>
          <t>Agriculture</t>
        </is>
      </c>
      <c r="D1167" s="22" t="inlineStr">
        <is>
          <t>million heads</t>
        </is>
      </c>
      <c r="E1167" s="65" t="n">
        <v>2011</v>
      </c>
      <c r="F1167" s="66" t="n">
        <v>59.66</v>
      </c>
      <c r="G1167" s="67" t="inlineStr">
        <is>
          <t>In the 2024 report</t>
        </is>
      </c>
      <c r="H1167" s="22" t="inlineStr">
        <is>
          <t>EU GHG inventory (CRF) livestock populations; 2021+ Eurostat survey trend</t>
        </is>
      </c>
      <c r="I1167" s="35" t="inlineStr">
        <is>
          <t>esabcc-a4-bovine-herd-size</t>
        </is>
      </c>
    </row>
    <row r="1168" ht="14" customHeight="1">
      <c r="A1168" s="15" t="inlineStr">
        <is>
          <t>A4 (bovine, herd)</t>
        </is>
      </c>
      <c r="B1168" s="15" t="inlineStr">
        <is>
          <t>Bovine meat: herd size (EU)</t>
        </is>
      </c>
      <c r="C1168" s="15" t="inlineStr">
        <is>
          <t>Agriculture</t>
        </is>
      </c>
      <c r="D1168" s="15" t="inlineStr">
        <is>
          <t>million heads</t>
        </is>
      </c>
      <c r="E1168" s="63" t="n">
        <v>2012</v>
      </c>
      <c r="F1168" s="64" t="n">
        <v>59.61</v>
      </c>
      <c r="G1168" s="14" t="inlineStr">
        <is>
          <t>In the 2024 report</t>
        </is>
      </c>
      <c r="H1168" s="15" t="inlineStr">
        <is>
          <t>EU GHG inventory (CRF) livestock populations; 2021+ Eurostat survey trend</t>
        </is>
      </c>
      <c r="I1168" s="34" t="inlineStr">
        <is>
          <t>esabcc-a4-bovine-herd-size</t>
        </is>
      </c>
    </row>
    <row r="1169" ht="14" customHeight="1">
      <c r="A1169" s="22" t="inlineStr">
        <is>
          <t>A4 (bovine, herd)</t>
        </is>
      </c>
      <c r="B1169" s="22" t="inlineStr">
        <is>
          <t>Bovine meat: herd size (EU)</t>
        </is>
      </c>
      <c r="C1169" s="22" t="inlineStr">
        <is>
          <t>Agriculture</t>
        </is>
      </c>
      <c r="D1169" s="22" t="inlineStr">
        <is>
          <t>million heads</t>
        </is>
      </c>
      <c r="E1169" s="65" t="n">
        <v>2013</v>
      </c>
      <c r="F1169" s="66" t="n">
        <v>60.17</v>
      </c>
      <c r="G1169" s="67" t="inlineStr">
        <is>
          <t>In the 2024 report</t>
        </is>
      </c>
      <c r="H1169" s="22" t="inlineStr">
        <is>
          <t>EU GHG inventory (CRF) livestock populations; 2021+ Eurostat survey trend</t>
        </is>
      </c>
      <c r="I1169" s="35" t="inlineStr">
        <is>
          <t>esabcc-a4-bovine-herd-size</t>
        </is>
      </c>
    </row>
    <row r="1170" ht="14" customHeight="1">
      <c r="A1170" s="15" t="inlineStr">
        <is>
          <t>A4 (bovine, herd)</t>
        </is>
      </c>
      <c r="B1170" s="15" t="inlineStr">
        <is>
          <t>Bovine meat: herd size (EU)</t>
        </is>
      </c>
      <c r="C1170" s="15" t="inlineStr">
        <is>
          <t>Agriculture</t>
        </is>
      </c>
      <c r="D1170" s="15" t="inlineStr">
        <is>
          <t>million heads</t>
        </is>
      </c>
      <c r="E1170" s="63" t="n">
        <v>2014</v>
      </c>
      <c r="F1170" s="64" t="n">
        <v>60.89</v>
      </c>
      <c r="G1170" s="14" t="inlineStr">
        <is>
          <t>In the 2024 report</t>
        </is>
      </c>
      <c r="H1170" s="15" t="inlineStr">
        <is>
          <t>EU GHG inventory (CRF) livestock populations; 2021+ Eurostat survey trend</t>
        </is>
      </c>
      <c r="I1170" s="34" t="inlineStr">
        <is>
          <t>esabcc-a4-bovine-herd-size</t>
        </is>
      </c>
    </row>
    <row r="1171" ht="14" customHeight="1">
      <c r="A1171" s="22" t="inlineStr">
        <is>
          <t>A4 (bovine, herd)</t>
        </is>
      </c>
      <c r="B1171" s="22" t="inlineStr">
        <is>
          <t>Bovine meat: herd size (EU)</t>
        </is>
      </c>
      <c r="C1171" s="22" t="inlineStr">
        <is>
          <t>Agriculture</t>
        </is>
      </c>
      <c r="D1171" s="22" t="inlineStr">
        <is>
          <t>million heads</t>
        </is>
      </c>
      <c r="E1171" s="65" t="n">
        <v>2015</v>
      </c>
      <c r="F1171" s="66" t="n">
        <v>61.36</v>
      </c>
      <c r="G1171" s="67" t="inlineStr">
        <is>
          <t>In the 2024 report</t>
        </is>
      </c>
      <c r="H1171" s="22" t="inlineStr">
        <is>
          <t>EU GHG inventory (CRF) livestock populations; 2021+ Eurostat survey trend</t>
        </is>
      </c>
      <c r="I1171" s="35" t="inlineStr">
        <is>
          <t>esabcc-a4-bovine-herd-size</t>
        </is>
      </c>
    </row>
    <row r="1172" ht="14" customHeight="1">
      <c r="A1172" s="15" t="inlineStr">
        <is>
          <t>A4 (bovine, herd)</t>
        </is>
      </c>
      <c r="B1172" s="15" t="inlineStr">
        <is>
          <t>Bovine meat: herd size (EU)</t>
        </is>
      </c>
      <c r="C1172" s="15" t="inlineStr">
        <is>
          <t>Agriculture</t>
        </is>
      </c>
      <c r="D1172" s="15" t="inlineStr">
        <is>
          <t>million heads</t>
        </is>
      </c>
      <c r="E1172" s="63" t="n">
        <v>2016</v>
      </c>
      <c r="F1172" s="64" t="n">
        <v>62.01</v>
      </c>
      <c r="G1172" s="14" t="inlineStr">
        <is>
          <t>In the 2024 report</t>
        </is>
      </c>
      <c r="H1172" s="15" t="inlineStr">
        <is>
          <t>EU GHG inventory (CRF) livestock populations; 2021+ Eurostat survey trend</t>
        </is>
      </c>
      <c r="I1172" s="34" t="inlineStr">
        <is>
          <t>esabcc-a4-bovine-herd-size</t>
        </is>
      </c>
    </row>
    <row r="1173" ht="14" customHeight="1">
      <c r="A1173" s="22" t="inlineStr">
        <is>
          <t>A4 (bovine, herd)</t>
        </is>
      </c>
      <c r="B1173" s="22" t="inlineStr">
        <is>
          <t>Bovine meat: herd size (EU)</t>
        </is>
      </c>
      <c r="C1173" s="22" t="inlineStr">
        <is>
          <t>Agriculture</t>
        </is>
      </c>
      <c r="D1173" s="22" t="inlineStr">
        <is>
          <t>million heads</t>
        </is>
      </c>
      <c r="E1173" s="65" t="n">
        <v>2017</v>
      </c>
      <c r="F1173" s="66" t="n">
        <v>61.87</v>
      </c>
      <c r="G1173" s="67" t="inlineStr">
        <is>
          <t>In the 2024 report</t>
        </is>
      </c>
      <c r="H1173" s="22" t="inlineStr">
        <is>
          <t>EU GHG inventory (CRF) livestock populations; 2021+ Eurostat survey trend</t>
        </is>
      </c>
      <c r="I1173" s="35" t="inlineStr">
        <is>
          <t>esabcc-a4-bovine-herd-size</t>
        </is>
      </c>
    </row>
    <row r="1174" ht="14" customHeight="1">
      <c r="A1174" s="15" t="inlineStr">
        <is>
          <t>A4 (bovine, herd)</t>
        </is>
      </c>
      <c r="B1174" s="15" t="inlineStr">
        <is>
          <t>Bovine meat: herd size (EU)</t>
        </is>
      </c>
      <c r="C1174" s="15" t="inlineStr">
        <is>
          <t>Agriculture</t>
        </is>
      </c>
      <c r="D1174" s="15" t="inlineStr">
        <is>
          <t>million heads</t>
        </is>
      </c>
      <c r="E1174" s="63" t="n">
        <v>2018</v>
      </c>
      <c r="F1174" s="64" t="n">
        <v>61.28</v>
      </c>
      <c r="G1174" s="14" t="inlineStr">
        <is>
          <t>In the 2024 report</t>
        </is>
      </c>
      <c r="H1174" s="15" t="inlineStr">
        <is>
          <t>EU GHG inventory (CRF) livestock populations; 2021+ Eurostat survey trend</t>
        </is>
      </c>
      <c r="I1174" s="34" t="inlineStr">
        <is>
          <t>esabcc-a4-bovine-herd-size</t>
        </is>
      </c>
    </row>
    <row r="1175" ht="14" customHeight="1">
      <c r="A1175" s="22" t="inlineStr">
        <is>
          <t>A4 (bovine, herd)</t>
        </is>
      </c>
      <c r="B1175" s="22" t="inlineStr">
        <is>
          <t>Bovine meat: herd size (EU)</t>
        </is>
      </c>
      <c r="C1175" s="22" t="inlineStr">
        <is>
          <t>Agriculture</t>
        </is>
      </c>
      <c r="D1175" s="22" t="inlineStr">
        <is>
          <t>million heads</t>
        </is>
      </c>
      <c r="E1175" s="65" t="n">
        <v>2019</v>
      </c>
      <c r="F1175" s="66" t="n">
        <v>60.59</v>
      </c>
      <c r="G1175" s="67" t="inlineStr">
        <is>
          <t>In the 2024 report</t>
        </is>
      </c>
      <c r="H1175" s="22" t="inlineStr">
        <is>
          <t>EU GHG inventory (CRF) livestock populations; 2021+ Eurostat survey trend</t>
        </is>
      </c>
      <c r="I1175" s="35" t="inlineStr">
        <is>
          <t>esabcc-a4-bovine-herd-size</t>
        </is>
      </c>
    </row>
    <row r="1176" ht="14" customHeight="1">
      <c r="A1176" s="15" t="inlineStr">
        <is>
          <t>A4 (bovine, herd)</t>
        </is>
      </c>
      <c r="B1176" s="15" t="inlineStr">
        <is>
          <t>Bovine meat: herd size (EU)</t>
        </is>
      </c>
      <c r="C1176" s="15" t="inlineStr">
        <is>
          <t>Agriculture</t>
        </is>
      </c>
      <c r="D1176" s="15" t="inlineStr">
        <is>
          <t>million heads</t>
        </is>
      </c>
      <c r="E1176" s="63" t="n">
        <v>2020</v>
      </c>
      <c r="F1176" s="64" t="n">
        <v>60.16</v>
      </c>
      <c r="G1176" s="14" t="inlineStr">
        <is>
          <t>In the 2024 report</t>
        </is>
      </c>
      <c r="H1176" s="15" t="inlineStr">
        <is>
          <t>EU GHG inventory (CRF) livestock populations; 2021+ Eurostat survey trend</t>
        </is>
      </c>
      <c r="I1176" s="34" t="inlineStr">
        <is>
          <t>esabcc-a4-bovine-herd-size</t>
        </is>
      </c>
    </row>
    <row r="1177" ht="14" customHeight="1">
      <c r="A1177" s="22" t="inlineStr">
        <is>
          <t>A4 (bovine, herd)</t>
        </is>
      </c>
      <c r="B1177" s="22" t="inlineStr">
        <is>
          <t>Bovine meat: herd size (EU)</t>
        </is>
      </c>
      <c r="C1177" s="22" t="inlineStr">
        <is>
          <t>Agriculture</t>
        </is>
      </c>
      <c r="D1177" s="22" t="inlineStr">
        <is>
          <t>million heads</t>
        </is>
      </c>
      <c r="E1177" s="65" t="n">
        <v>2021</v>
      </c>
      <c r="F1177" s="66" t="n">
        <v>59.5</v>
      </c>
      <c r="G1177" s="69" t="inlineStr">
        <is>
          <t>Added since the report</t>
        </is>
      </c>
      <c r="H1177" s="22" t="inlineStr">
        <is>
          <t>EU GHG inventory (CRF) livestock populations; 2021+ Eurostat survey trend</t>
        </is>
      </c>
      <c r="I1177" s="35" t="inlineStr">
        <is>
          <t>esabcc-a4-bovine-herd-size</t>
        </is>
      </c>
    </row>
    <row r="1178" ht="14" customHeight="1">
      <c r="A1178" s="15" t="inlineStr">
        <is>
          <t>A4 (bovine, herd)</t>
        </is>
      </c>
      <c r="B1178" s="15" t="inlineStr">
        <is>
          <t>Bovine meat: herd size (EU)</t>
        </is>
      </c>
      <c r="C1178" s="15" t="inlineStr">
        <is>
          <t>Agriculture</t>
        </is>
      </c>
      <c r="D1178" s="15" t="inlineStr">
        <is>
          <t>million heads</t>
        </is>
      </c>
      <c r="E1178" s="63" t="n">
        <v>2022</v>
      </c>
      <c r="F1178" s="64" t="n">
        <v>58.79</v>
      </c>
      <c r="G1178" s="68" t="inlineStr">
        <is>
          <t>Added since the report</t>
        </is>
      </c>
      <c r="H1178" s="15" t="inlineStr">
        <is>
          <t>EU GHG inventory (CRF) livestock populations; 2021+ Eurostat survey trend</t>
        </is>
      </c>
      <c r="I1178" s="34" t="inlineStr">
        <is>
          <t>esabcc-a4-bovine-herd-size</t>
        </is>
      </c>
    </row>
    <row r="1179" ht="14" customHeight="1">
      <c r="A1179" s="22" t="inlineStr">
        <is>
          <t>A4 (bovine, herd)</t>
        </is>
      </c>
      <c r="B1179" s="22" t="inlineStr">
        <is>
          <t>Bovine meat: herd size (EU)</t>
        </is>
      </c>
      <c r="C1179" s="22" t="inlineStr">
        <is>
          <t>Agriculture</t>
        </is>
      </c>
      <c r="D1179" s="22" t="inlineStr">
        <is>
          <t>million heads</t>
        </is>
      </c>
      <c r="E1179" s="65" t="n">
        <v>2023</v>
      </c>
      <c r="F1179" s="66" t="n">
        <v>57.97</v>
      </c>
      <c r="G1179" s="69" t="inlineStr">
        <is>
          <t>Added since the report</t>
        </is>
      </c>
      <c r="H1179" s="22" t="inlineStr">
        <is>
          <t>EU GHG inventory (CRF) livestock populations; 2021+ Eurostat survey trend</t>
        </is>
      </c>
      <c r="I1179" s="35" t="inlineStr">
        <is>
          <t>esabcc-a4-bovine-herd-size</t>
        </is>
      </c>
    </row>
    <row r="1180" ht="14" customHeight="1">
      <c r="A1180" s="15" t="inlineStr">
        <is>
          <t>A4 (bovine, herd)</t>
        </is>
      </c>
      <c r="B1180" s="15" t="inlineStr">
        <is>
          <t>Bovine meat: herd size (EU)</t>
        </is>
      </c>
      <c r="C1180" s="15" t="inlineStr">
        <is>
          <t>Agriculture</t>
        </is>
      </c>
      <c r="D1180" s="15" t="inlineStr">
        <is>
          <t>million heads</t>
        </is>
      </c>
      <c r="E1180" s="63" t="n">
        <v>2024</v>
      </c>
      <c r="F1180" s="64" t="n">
        <v>56.5</v>
      </c>
      <c r="G1180" s="68" t="inlineStr">
        <is>
          <t>Added since the report</t>
        </is>
      </c>
      <c r="H1180" s="15" t="inlineStr">
        <is>
          <t>EU GHG inventory (CRF) livestock populations; 2021+ Eurostat survey trend</t>
        </is>
      </c>
      <c r="I1180" s="34" t="inlineStr">
        <is>
          <t>esabcc-a4-bovine-herd-size</t>
        </is>
      </c>
    </row>
    <row r="1181" ht="14" customHeight="1">
      <c r="A1181" s="22" t="inlineStr">
        <is>
          <t>A4 (bovine, herd)</t>
        </is>
      </c>
      <c r="B1181" s="22" t="inlineStr">
        <is>
          <t>Bovine meat: herd size (EU)</t>
        </is>
      </c>
      <c r="C1181" s="22" t="inlineStr">
        <is>
          <t>Agriculture</t>
        </is>
      </c>
      <c r="D1181" s="22" t="inlineStr">
        <is>
          <t>million heads</t>
        </is>
      </c>
      <c r="E1181" s="65" t="n">
        <v>2025</v>
      </c>
      <c r="F1181" s="66" t="n">
        <v>56.26</v>
      </c>
      <c r="G1181" s="69" t="inlineStr">
        <is>
          <t>Added since the report</t>
        </is>
      </c>
      <c r="H1181" s="22" t="inlineStr">
        <is>
          <t>EU GHG inventory (CRF) livestock populations; 2021+ Eurostat survey trend</t>
        </is>
      </c>
      <c r="I1181" s="35" t="inlineStr">
        <is>
          <t>esabcc-a4-bovine-herd-size</t>
        </is>
      </c>
    </row>
    <row r="1182" ht="14" customHeight="1">
      <c r="A1182" s="15" t="inlineStr">
        <is>
          <t>A4 (dairy, consumption)</t>
        </is>
      </c>
      <c r="B1182" s="15" t="inlineStr">
        <is>
          <t>Dairy products: consumption (EU)</t>
        </is>
      </c>
      <c r="C1182" s="15" t="inlineStr">
        <is>
          <t>Agriculture</t>
        </is>
      </c>
      <c r="D1182" s="15" t="inlineStr">
        <is>
          <t>Mt</t>
        </is>
      </c>
      <c r="E1182" s="63" t="n">
        <v>2010</v>
      </c>
      <c r="F1182" s="64" t="n">
        <v>80.56999999999999</v>
      </c>
      <c r="G1182" s="14" t="inlineStr">
        <is>
          <t>In the 2024 report</t>
        </is>
      </c>
      <c r="H1182" s="15" t="inlineStr">
        <is>
          <t>FAOSTAT food balance sheets</t>
        </is>
      </c>
      <c r="I1182" s="34" t="inlineStr">
        <is>
          <t>esabcc-a4-dairy-consumption</t>
        </is>
      </c>
    </row>
    <row r="1183" ht="14" customHeight="1">
      <c r="A1183" s="22" t="inlineStr">
        <is>
          <t>A4 (dairy, consumption)</t>
        </is>
      </c>
      <c r="B1183" s="22" t="inlineStr">
        <is>
          <t>Dairy products: consumption (EU)</t>
        </is>
      </c>
      <c r="C1183" s="22" t="inlineStr">
        <is>
          <t>Agriculture</t>
        </is>
      </c>
      <c r="D1183" s="22" t="inlineStr">
        <is>
          <t>Mt</t>
        </is>
      </c>
      <c r="E1183" s="65" t="n">
        <v>2011</v>
      </c>
      <c r="F1183" s="66" t="n">
        <v>82.02</v>
      </c>
      <c r="G1183" s="67" t="inlineStr">
        <is>
          <t>In the 2024 report</t>
        </is>
      </c>
      <c r="H1183" s="22" t="inlineStr">
        <is>
          <t>FAOSTAT food balance sheets</t>
        </is>
      </c>
      <c r="I1183" s="35" t="inlineStr">
        <is>
          <t>esabcc-a4-dairy-consumption</t>
        </is>
      </c>
    </row>
    <row r="1184" ht="14" customHeight="1">
      <c r="A1184" s="15" t="inlineStr">
        <is>
          <t>A4 (dairy, consumption)</t>
        </is>
      </c>
      <c r="B1184" s="15" t="inlineStr">
        <is>
          <t>Dairy products: consumption (EU)</t>
        </is>
      </c>
      <c r="C1184" s="15" t="inlineStr">
        <is>
          <t>Agriculture</t>
        </is>
      </c>
      <c r="D1184" s="15" t="inlineStr">
        <is>
          <t>Mt</t>
        </is>
      </c>
      <c r="E1184" s="63" t="n">
        <v>2012</v>
      </c>
      <c r="F1184" s="64" t="n">
        <v>80.76000000000001</v>
      </c>
      <c r="G1184" s="14" t="inlineStr">
        <is>
          <t>In the 2024 report</t>
        </is>
      </c>
      <c r="H1184" s="15" t="inlineStr">
        <is>
          <t>FAOSTAT food balance sheets</t>
        </is>
      </c>
      <c r="I1184" s="34" t="inlineStr">
        <is>
          <t>esabcc-a4-dairy-consumption</t>
        </is>
      </c>
    </row>
    <row r="1185" ht="14" customHeight="1">
      <c r="A1185" s="22" t="inlineStr">
        <is>
          <t>A4 (dairy, consumption)</t>
        </is>
      </c>
      <c r="B1185" s="22" t="inlineStr">
        <is>
          <t>Dairy products: consumption (EU)</t>
        </is>
      </c>
      <c r="C1185" s="22" t="inlineStr">
        <is>
          <t>Agriculture</t>
        </is>
      </c>
      <c r="D1185" s="22" t="inlineStr">
        <is>
          <t>Mt</t>
        </is>
      </c>
      <c r="E1185" s="65" t="n">
        <v>2013</v>
      </c>
      <c r="F1185" s="66" t="n">
        <v>82.02</v>
      </c>
      <c r="G1185" s="67" t="inlineStr">
        <is>
          <t>In the 2024 report</t>
        </is>
      </c>
      <c r="H1185" s="22" t="inlineStr">
        <is>
          <t>FAOSTAT food balance sheets</t>
        </is>
      </c>
      <c r="I1185" s="35" t="inlineStr">
        <is>
          <t>esabcc-a4-dairy-consumption</t>
        </is>
      </c>
    </row>
    <row r="1186" ht="14" customHeight="1">
      <c r="A1186" s="15" t="inlineStr">
        <is>
          <t>A4 (dairy, consumption)</t>
        </is>
      </c>
      <c r="B1186" s="15" t="inlineStr">
        <is>
          <t>Dairy products: consumption (EU)</t>
        </is>
      </c>
      <c r="C1186" s="15" t="inlineStr">
        <is>
          <t>Agriculture</t>
        </is>
      </c>
      <c r="D1186" s="15" t="inlineStr">
        <is>
          <t>Mt</t>
        </is>
      </c>
      <c r="E1186" s="63" t="n">
        <v>2014</v>
      </c>
      <c r="F1186" s="64" t="n">
        <v>79.04000000000001</v>
      </c>
      <c r="G1186" s="14" t="inlineStr">
        <is>
          <t>In the 2024 report</t>
        </is>
      </c>
      <c r="H1186" s="15" t="inlineStr">
        <is>
          <t>FAOSTAT food balance sheets</t>
        </is>
      </c>
      <c r="I1186" s="34" t="inlineStr">
        <is>
          <t>esabcc-a4-dairy-consumption</t>
        </is>
      </c>
    </row>
    <row r="1187" ht="14" customHeight="1">
      <c r="A1187" s="22" t="inlineStr">
        <is>
          <t>A4 (dairy, consumption)</t>
        </is>
      </c>
      <c r="B1187" s="22" t="inlineStr">
        <is>
          <t>Dairy products: consumption (EU)</t>
        </is>
      </c>
      <c r="C1187" s="22" t="inlineStr">
        <is>
          <t>Agriculture</t>
        </is>
      </c>
      <c r="D1187" s="22" t="inlineStr">
        <is>
          <t>Mt</t>
        </is>
      </c>
      <c r="E1187" s="65" t="n">
        <v>2015</v>
      </c>
      <c r="F1187" s="66" t="n">
        <v>80.78</v>
      </c>
      <c r="G1187" s="67" t="inlineStr">
        <is>
          <t>In the 2024 report</t>
        </is>
      </c>
      <c r="H1187" s="22" t="inlineStr">
        <is>
          <t>FAOSTAT food balance sheets</t>
        </is>
      </c>
      <c r="I1187" s="35" t="inlineStr">
        <is>
          <t>esabcc-a4-dairy-consumption</t>
        </is>
      </c>
    </row>
    <row r="1188" ht="14" customHeight="1">
      <c r="A1188" s="15" t="inlineStr">
        <is>
          <t>A4 (dairy, consumption)</t>
        </is>
      </c>
      <c r="B1188" s="15" t="inlineStr">
        <is>
          <t>Dairy products: consumption (EU)</t>
        </is>
      </c>
      <c r="C1188" s="15" t="inlineStr">
        <is>
          <t>Agriculture</t>
        </is>
      </c>
      <c r="D1188" s="15" t="inlineStr">
        <is>
          <t>Mt</t>
        </is>
      </c>
      <c r="E1188" s="63" t="n">
        <v>2016</v>
      </c>
      <c r="F1188" s="64" t="n">
        <v>81.81999999999999</v>
      </c>
      <c r="G1188" s="14" t="inlineStr">
        <is>
          <t>In the 2024 report</t>
        </is>
      </c>
      <c r="H1188" s="15" t="inlineStr">
        <is>
          <t>FAOSTAT food balance sheets</t>
        </is>
      </c>
      <c r="I1188" s="34" t="inlineStr">
        <is>
          <t>esabcc-a4-dairy-consumption</t>
        </is>
      </c>
    </row>
    <row r="1189" ht="14" customHeight="1">
      <c r="A1189" s="22" t="inlineStr">
        <is>
          <t>A4 (dairy, consumption)</t>
        </is>
      </c>
      <c r="B1189" s="22" t="inlineStr">
        <is>
          <t>Dairy products: consumption (EU)</t>
        </is>
      </c>
      <c r="C1189" s="22" t="inlineStr">
        <is>
          <t>Agriculture</t>
        </is>
      </c>
      <c r="D1189" s="22" t="inlineStr">
        <is>
          <t>Mt</t>
        </is>
      </c>
      <c r="E1189" s="65" t="n">
        <v>2017</v>
      </c>
      <c r="F1189" s="66" t="n">
        <v>82.56999999999999</v>
      </c>
      <c r="G1189" s="67" t="inlineStr">
        <is>
          <t>In the 2024 report</t>
        </is>
      </c>
      <c r="H1189" s="22" t="inlineStr">
        <is>
          <t>FAOSTAT food balance sheets</t>
        </is>
      </c>
      <c r="I1189" s="35" t="inlineStr">
        <is>
          <t>esabcc-a4-dairy-consumption</t>
        </is>
      </c>
    </row>
    <row r="1190" ht="14" customHeight="1">
      <c r="A1190" s="15" t="inlineStr">
        <is>
          <t>A4 (dairy, consumption)</t>
        </is>
      </c>
      <c r="B1190" s="15" t="inlineStr">
        <is>
          <t>Dairy products: consumption (EU)</t>
        </is>
      </c>
      <c r="C1190" s="15" t="inlineStr">
        <is>
          <t>Agriculture</t>
        </is>
      </c>
      <c r="D1190" s="15" t="inlineStr">
        <is>
          <t>Mt</t>
        </is>
      </c>
      <c r="E1190" s="63" t="n">
        <v>2018</v>
      </c>
      <c r="F1190" s="64" t="n">
        <v>85.25</v>
      </c>
      <c r="G1190" s="14" t="inlineStr">
        <is>
          <t>In the 2024 report</t>
        </is>
      </c>
      <c r="H1190" s="15" t="inlineStr">
        <is>
          <t>FAOSTAT food balance sheets</t>
        </is>
      </c>
      <c r="I1190" s="34" t="inlineStr">
        <is>
          <t>esabcc-a4-dairy-consumption</t>
        </is>
      </c>
    </row>
    <row r="1191" ht="14" customHeight="1">
      <c r="A1191" s="22" t="inlineStr">
        <is>
          <t>A4 (dairy, consumption)</t>
        </is>
      </c>
      <c r="B1191" s="22" t="inlineStr">
        <is>
          <t>Dairy products: consumption (EU)</t>
        </is>
      </c>
      <c r="C1191" s="22" t="inlineStr">
        <is>
          <t>Agriculture</t>
        </is>
      </c>
      <c r="D1191" s="22" t="inlineStr">
        <is>
          <t>Mt</t>
        </is>
      </c>
      <c r="E1191" s="65" t="n">
        <v>2019</v>
      </c>
      <c r="F1191" s="66" t="n">
        <v>86.29000000000001</v>
      </c>
      <c r="G1191" s="67" t="inlineStr">
        <is>
          <t>In the 2024 report</t>
        </is>
      </c>
      <c r="H1191" s="22" t="inlineStr">
        <is>
          <t>FAOSTAT food balance sheets</t>
        </is>
      </c>
      <c r="I1191" s="35" t="inlineStr">
        <is>
          <t>esabcc-a4-dairy-consumption</t>
        </is>
      </c>
    </row>
    <row r="1192" ht="14" customHeight="1">
      <c r="A1192" s="15" t="inlineStr">
        <is>
          <t>A4 (dairy, consumption)</t>
        </is>
      </c>
      <c r="B1192" s="15" t="inlineStr">
        <is>
          <t>Dairy products: consumption (EU)</t>
        </is>
      </c>
      <c r="C1192" s="15" t="inlineStr">
        <is>
          <t>Agriculture</t>
        </is>
      </c>
      <c r="D1192" s="15" t="inlineStr">
        <is>
          <t>Mt</t>
        </is>
      </c>
      <c r="E1192" s="63" t="n">
        <v>2020</v>
      </c>
      <c r="F1192" s="64" t="n">
        <v>86.63</v>
      </c>
      <c r="G1192" s="14" t="inlineStr">
        <is>
          <t>In the 2024 report</t>
        </is>
      </c>
      <c r="H1192" s="15" t="inlineStr">
        <is>
          <t>FAOSTAT food balance sheets</t>
        </is>
      </c>
      <c r="I1192" s="34" t="inlineStr">
        <is>
          <t>esabcc-a4-dairy-consumption</t>
        </is>
      </c>
    </row>
    <row r="1193" ht="14" customHeight="1">
      <c r="A1193" s="22" t="inlineStr">
        <is>
          <t>A4 (dairy, production)</t>
        </is>
      </c>
      <c r="B1193" s="22" t="inlineStr">
        <is>
          <t>Dairy products: production (EU)</t>
        </is>
      </c>
      <c r="C1193" s="22" t="inlineStr">
        <is>
          <t>Agriculture</t>
        </is>
      </c>
      <c r="D1193" s="22" t="inlineStr">
        <is>
          <t>Mt</t>
        </is>
      </c>
      <c r="E1193" s="65" t="n">
        <v>2010</v>
      </c>
      <c r="F1193" s="66" t="n">
        <v>141.1</v>
      </c>
      <c r="G1193" s="67" t="inlineStr">
        <is>
          <t>In the 2024 report</t>
        </is>
      </c>
      <c r="H1193" s="22" t="inlineStr">
        <is>
          <t>Eurostat (apro_mk_farm)</t>
        </is>
      </c>
      <c r="I1193" s="35" t="inlineStr">
        <is>
          <t>esabcc-a4-dairy-production</t>
        </is>
      </c>
    </row>
    <row r="1194" ht="14" customHeight="1">
      <c r="A1194" s="15" t="inlineStr">
        <is>
          <t>A4 (dairy, production)</t>
        </is>
      </c>
      <c r="B1194" s="15" t="inlineStr">
        <is>
          <t>Dairy products: production (EU)</t>
        </is>
      </c>
      <c r="C1194" s="15" t="inlineStr">
        <is>
          <t>Agriculture</t>
        </is>
      </c>
      <c r="D1194" s="15" t="inlineStr">
        <is>
          <t>Mt</t>
        </is>
      </c>
      <c r="E1194" s="63" t="n">
        <v>2011</v>
      </c>
      <c r="F1194" s="64" t="n">
        <v>143.4</v>
      </c>
      <c r="G1194" s="14" t="inlineStr">
        <is>
          <t>In the 2024 report</t>
        </is>
      </c>
      <c r="H1194" s="15" t="inlineStr">
        <is>
          <t>Eurostat (apro_mk_farm)</t>
        </is>
      </c>
      <c r="I1194" s="34" t="inlineStr">
        <is>
          <t>esabcc-a4-dairy-production</t>
        </is>
      </c>
    </row>
    <row r="1195" ht="14" customHeight="1">
      <c r="A1195" s="22" t="inlineStr">
        <is>
          <t>A4 (dairy, production)</t>
        </is>
      </c>
      <c r="B1195" s="22" t="inlineStr">
        <is>
          <t>Dairy products: production (EU)</t>
        </is>
      </c>
      <c r="C1195" s="22" t="inlineStr">
        <is>
          <t>Agriculture</t>
        </is>
      </c>
      <c r="D1195" s="22" t="inlineStr">
        <is>
          <t>Mt</t>
        </is>
      </c>
      <c r="E1195" s="65" t="n">
        <v>2012</v>
      </c>
      <c r="F1195" s="66" t="n">
        <v>143.8</v>
      </c>
      <c r="G1195" s="67" t="inlineStr">
        <is>
          <t>In the 2024 report</t>
        </is>
      </c>
      <c r="H1195" s="22" t="inlineStr">
        <is>
          <t>Eurostat (apro_mk_farm)</t>
        </is>
      </c>
      <c r="I1195" s="35" t="inlineStr">
        <is>
          <t>esabcc-a4-dairy-production</t>
        </is>
      </c>
    </row>
    <row r="1196" ht="14" customHeight="1">
      <c r="A1196" s="15" t="inlineStr">
        <is>
          <t>A4 (dairy, production)</t>
        </is>
      </c>
      <c r="B1196" s="15" t="inlineStr">
        <is>
          <t>Dairy products: production (EU)</t>
        </is>
      </c>
      <c r="C1196" s="15" t="inlineStr">
        <is>
          <t>Agriculture</t>
        </is>
      </c>
      <c r="D1196" s="15" t="inlineStr">
        <is>
          <t>Mt</t>
        </is>
      </c>
      <c r="E1196" s="63" t="n">
        <v>2013</v>
      </c>
      <c r="F1196" s="64" t="n">
        <v>145.3</v>
      </c>
      <c r="G1196" s="14" t="inlineStr">
        <is>
          <t>In the 2024 report</t>
        </is>
      </c>
      <c r="H1196" s="15" t="inlineStr">
        <is>
          <t>Eurostat (apro_mk_farm)</t>
        </is>
      </c>
      <c r="I1196" s="34" t="inlineStr">
        <is>
          <t>esabcc-a4-dairy-production</t>
        </is>
      </c>
    </row>
    <row r="1197" ht="14" customHeight="1">
      <c r="A1197" s="22" t="inlineStr">
        <is>
          <t>A4 (dairy, production)</t>
        </is>
      </c>
      <c r="B1197" s="22" t="inlineStr">
        <is>
          <t>Dairy products: production (EU)</t>
        </is>
      </c>
      <c r="C1197" s="22" t="inlineStr">
        <is>
          <t>Agriculture</t>
        </is>
      </c>
      <c r="D1197" s="22" t="inlineStr">
        <is>
          <t>Mt</t>
        </is>
      </c>
      <c r="E1197" s="65" t="n">
        <v>2014</v>
      </c>
      <c r="F1197" s="66" t="n">
        <v>150.1</v>
      </c>
      <c r="G1197" s="67" t="inlineStr">
        <is>
          <t>In the 2024 report</t>
        </is>
      </c>
      <c r="H1197" s="22" t="inlineStr">
        <is>
          <t>Eurostat (apro_mk_farm)</t>
        </is>
      </c>
      <c r="I1197" s="35" t="inlineStr">
        <is>
          <t>esabcc-a4-dairy-production</t>
        </is>
      </c>
    </row>
    <row r="1198" ht="14" customHeight="1">
      <c r="A1198" s="15" t="inlineStr">
        <is>
          <t>A4 (dairy, production)</t>
        </is>
      </c>
      <c r="B1198" s="15" t="inlineStr">
        <is>
          <t>Dairy products: production (EU)</t>
        </is>
      </c>
      <c r="C1198" s="15" t="inlineStr">
        <is>
          <t>Agriculture</t>
        </is>
      </c>
      <c r="D1198" s="15" t="inlineStr">
        <is>
          <t>Mt</t>
        </is>
      </c>
      <c r="E1198" s="63" t="n">
        <v>2015</v>
      </c>
      <c r="F1198" s="64" t="n">
        <v>153.2</v>
      </c>
      <c r="G1198" s="14" t="inlineStr">
        <is>
          <t>In the 2024 report</t>
        </is>
      </c>
      <c r="H1198" s="15" t="inlineStr">
        <is>
          <t>Eurostat (apro_mk_farm)</t>
        </is>
      </c>
      <c r="I1198" s="34" t="inlineStr">
        <is>
          <t>esabcc-a4-dairy-production</t>
        </is>
      </c>
    </row>
    <row r="1199" ht="14" customHeight="1">
      <c r="A1199" s="22" t="inlineStr">
        <is>
          <t>A4 (dairy, production)</t>
        </is>
      </c>
      <c r="B1199" s="22" t="inlineStr">
        <is>
          <t>Dairy products: production (EU)</t>
        </is>
      </c>
      <c r="C1199" s="22" t="inlineStr">
        <is>
          <t>Agriculture</t>
        </is>
      </c>
      <c r="D1199" s="22" t="inlineStr">
        <is>
          <t>Mt</t>
        </is>
      </c>
      <c r="E1199" s="65" t="n">
        <v>2016</v>
      </c>
      <c r="F1199" s="66" t="n">
        <v>154.8</v>
      </c>
      <c r="G1199" s="67" t="inlineStr">
        <is>
          <t>In the 2024 report</t>
        </is>
      </c>
      <c r="H1199" s="22" t="inlineStr">
        <is>
          <t>Eurostat (apro_mk_farm)</t>
        </is>
      </c>
      <c r="I1199" s="35" t="inlineStr">
        <is>
          <t>esabcc-a4-dairy-production</t>
        </is>
      </c>
    </row>
    <row r="1200" ht="14" customHeight="1">
      <c r="A1200" s="15" t="inlineStr">
        <is>
          <t>A4 (dairy, production)</t>
        </is>
      </c>
      <c r="B1200" s="15" t="inlineStr">
        <is>
          <t>Dairy products: production (EU)</t>
        </is>
      </c>
      <c r="C1200" s="15" t="inlineStr">
        <is>
          <t>Agriculture</t>
        </is>
      </c>
      <c r="D1200" s="15" t="inlineStr">
        <is>
          <t>Mt</t>
        </is>
      </c>
      <c r="E1200" s="63" t="n">
        <v>2017</v>
      </c>
      <c r="F1200" s="64" t="n">
        <v>156</v>
      </c>
      <c r="G1200" s="14" t="inlineStr">
        <is>
          <t>In the 2024 report</t>
        </is>
      </c>
      <c r="H1200" s="15" t="inlineStr">
        <is>
          <t>Eurostat (apro_mk_farm)</t>
        </is>
      </c>
      <c r="I1200" s="34" t="inlineStr">
        <is>
          <t>esabcc-a4-dairy-production</t>
        </is>
      </c>
    </row>
    <row r="1201" ht="14" customHeight="1">
      <c r="A1201" s="22" t="inlineStr">
        <is>
          <t>A4 (dairy, production)</t>
        </is>
      </c>
      <c r="B1201" s="22" t="inlineStr">
        <is>
          <t>Dairy products: production (EU)</t>
        </is>
      </c>
      <c r="C1201" s="22" t="inlineStr">
        <is>
          <t>Agriculture</t>
        </is>
      </c>
      <c r="D1201" s="22" t="inlineStr">
        <is>
          <t>Mt</t>
        </is>
      </c>
      <c r="E1201" s="65" t="n">
        <v>2018</v>
      </c>
      <c r="F1201" s="66" t="n">
        <v>158.3</v>
      </c>
      <c r="G1201" s="67" t="inlineStr">
        <is>
          <t>In the 2024 report</t>
        </is>
      </c>
      <c r="H1201" s="22" t="inlineStr">
        <is>
          <t>Eurostat (apro_mk_farm)</t>
        </is>
      </c>
      <c r="I1201" s="35" t="inlineStr">
        <is>
          <t>esabcc-a4-dairy-production</t>
        </is>
      </c>
    </row>
    <row r="1202" ht="14" customHeight="1">
      <c r="A1202" s="15" t="inlineStr">
        <is>
          <t>A4 (dairy, production)</t>
        </is>
      </c>
      <c r="B1202" s="15" t="inlineStr">
        <is>
          <t>Dairy products: production (EU)</t>
        </is>
      </c>
      <c r="C1202" s="15" t="inlineStr">
        <is>
          <t>Agriculture</t>
        </is>
      </c>
      <c r="D1202" s="15" t="inlineStr">
        <is>
          <t>Mt</t>
        </is>
      </c>
      <c r="E1202" s="63" t="n">
        <v>2019</v>
      </c>
      <c r="F1202" s="64" t="n">
        <v>161.2</v>
      </c>
      <c r="G1202" s="14" t="inlineStr">
        <is>
          <t>In the 2024 report</t>
        </is>
      </c>
      <c r="H1202" s="15" t="inlineStr">
        <is>
          <t>Eurostat (apro_mk_farm)</t>
        </is>
      </c>
      <c r="I1202" s="34" t="inlineStr">
        <is>
          <t>esabcc-a4-dairy-production</t>
        </is>
      </c>
    </row>
    <row r="1203" ht="14" customHeight="1">
      <c r="A1203" s="22" t="inlineStr">
        <is>
          <t>A4 (dairy, production)</t>
        </is>
      </c>
      <c r="B1203" s="22" t="inlineStr">
        <is>
          <t>Dairy products: production (EU)</t>
        </is>
      </c>
      <c r="C1203" s="22" t="inlineStr">
        <is>
          <t>Agriculture</t>
        </is>
      </c>
      <c r="D1203" s="22" t="inlineStr">
        <is>
          <t>Mt</t>
        </is>
      </c>
      <c r="E1203" s="65" t="n">
        <v>2020</v>
      </c>
      <c r="F1203" s="66" t="n">
        <v>163.1</v>
      </c>
      <c r="G1203" s="67" t="inlineStr">
        <is>
          <t>In the 2024 report</t>
        </is>
      </c>
      <c r="H1203" s="22" t="inlineStr">
        <is>
          <t>Eurostat (apro_mk_farm)</t>
        </is>
      </c>
      <c r="I1203" s="35" t="inlineStr">
        <is>
          <t>esabcc-a4-dairy-production</t>
        </is>
      </c>
    </row>
    <row r="1204" ht="14" customHeight="1">
      <c r="A1204" s="15" t="inlineStr">
        <is>
          <t>A4 (dairy, production)</t>
        </is>
      </c>
      <c r="B1204" s="15" t="inlineStr">
        <is>
          <t>Dairy products: production (EU)</t>
        </is>
      </c>
      <c r="C1204" s="15" t="inlineStr">
        <is>
          <t>Agriculture</t>
        </is>
      </c>
      <c r="D1204" s="15" t="inlineStr">
        <is>
          <t>Mt</t>
        </is>
      </c>
      <c r="E1204" s="63" t="n">
        <v>2021</v>
      </c>
      <c r="F1204" s="64" t="n">
        <v>162.6</v>
      </c>
      <c r="G1204" s="68" t="inlineStr">
        <is>
          <t>Added since the report</t>
        </is>
      </c>
      <c r="H1204" s="15" t="inlineStr">
        <is>
          <t>Eurostat (apro_mk_farm)</t>
        </is>
      </c>
      <c r="I1204" s="34" t="inlineStr">
        <is>
          <t>esabcc-a4-dairy-production</t>
        </is>
      </c>
    </row>
    <row r="1205" ht="14" customHeight="1">
      <c r="A1205" s="22" t="inlineStr">
        <is>
          <t>A4 (dairy, production)</t>
        </is>
      </c>
      <c r="B1205" s="22" t="inlineStr">
        <is>
          <t>Dairy products: production (EU)</t>
        </is>
      </c>
      <c r="C1205" s="22" t="inlineStr">
        <is>
          <t>Agriculture</t>
        </is>
      </c>
      <c r="D1205" s="22" t="inlineStr">
        <is>
          <t>Mt</t>
        </is>
      </c>
      <c r="E1205" s="65" t="n">
        <v>2022</v>
      </c>
      <c r="F1205" s="66" t="n">
        <v>162.8</v>
      </c>
      <c r="G1205" s="69" t="inlineStr">
        <is>
          <t>Added since the report</t>
        </is>
      </c>
      <c r="H1205" s="22" t="inlineStr">
        <is>
          <t>Eurostat (apro_mk_farm)</t>
        </is>
      </c>
      <c r="I1205" s="35" t="inlineStr">
        <is>
          <t>esabcc-a4-dairy-production</t>
        </is>
      </c>
    </row>
    <row r="1206" ht="14" customHeight="1">
      <c r="A1206" s="15" t="inlineStr">
        <is>
          <t>A4 (dairy, production)</t>
        </is>
      </c>
      <c r="B1206" s="15" t="inlineStr">
        <is>
          <t>Dairy products: production (EU)</t>
        </is>
      </c>
      <c r="C1206" s="15" t="inlineStr">
        <is>
          <t>Agriculture</t>
        </is>
      </c>
      <c r="D1206" s="15" t="inlineStr">
        <is>
          <t>Mt</t>
        </is>
      </c>
      <c r="E1206" s="63" t="n">
        <v>2023</v>
      </c>
      <c r="F1206" s="64" t="n">
        <v>163.7</v>
      </c>
      <c r="G1206" s="68" t="inlineStr">
        <is>
          <t>Added since the report</t>
        </is>
      </c>
      <c r="H1206" s="15" t="inlineStr">
        <is>
          <t>Eurostat (apro_mk_farm)</t>
        </is>
      </c>
      <c r="I1206" s="34" t="inlineStr">
        <is>
          <t>esabcc-a4-dairy-production</t>
        </is>
      </c>
    </row>
    <row r="1207" ht="14" customHeight="1">
      <c r="A1207" s="22" t="inlineStr">
        <is>
          <t>A4 (dairy, production)</t>
        </is>
      </c>
      <c r="B1207" s="22" t="inlineStr">
        <is>
          <t>Dairy products: production (EU)</t>
        </is>
      </c>
      <c r="C1207" s="22" t="inlineStr">
        <is>
          <t>Agriculture</t>
        </is>
      </c>
      <c r="D1207" s="22" t="inlineStr">
        <is>
          <t>Mt</t>
        </is>
      </c>
      <c r="E1207" s="65" t="n">
        <v>2024</v>
      </c>
      <c r="F1207" s="66" t="n">
        <v>164.6</v>
      </c>
      <c r="G1207" s="69" t="inlineStr">
        <is>
          <t>Added since the report</t>
        </is>
      </c>
      <c r="H1207" s="22" t="inlineStr">
        <is>
          <t>Eurostat (apro_mk_farm)</t>
        </is>
      </c>
      <c r="I1207" s="35" t="inlineStr">
        <is>
          <t>esabcc-a4-dairy-production</t>
        </is>
      </c>
    </row>
    <row r="1208" ht="14" customHeight="1">
      <c r="A1208" s="15" t="inlineStr">
        <is>
          <t>A4 (dairy, herd)</t>
        </is>
      </c>
      <c r="B1208" s="15" t="inlineStr">
        <is>
          <t>Dairy products: herd size (EU)</t>
        </is>
      </c>
      <c r="C1208" s="15" t="inlineStr">
        <is>
          <t>Agriculture</t>
        </is>
      </c>
      <c r="D1208" s="15" t="inlineStr">
        <is>
          <t>million heads</t>
        </is>
      </c>
      <c r="E1208" s="63" t="n">
        <v>2010</v>
      </c>
      <c r="F1208" s="64" t="n">
        <v>21.55</v>
      </c>
      <c r="G1208" s="14" t="inlineStr">
        <is>
          <t>In the 2024 report</t>
        </is>
      </c>
      <c r="H1208" s="15" t="inlineStr">
        <is>
          <t>EU GHG inventory (CRF) livestock populations; 2021+ Eurostat survey trend</t>
        </is>
      </c>
      <c r="I1208" s="34" t="inlineStr">
        <is>
          <t>esabcc-a4-dairy-herd-size</t>
        </is>
      </c>
    </row>
    <row r="1209" ht="14" customHeight="1">
      <c r="A1209" s="22" t="inlineStr">
        <is>
          <t>A4 (dairy, herd)</t>
        </is>
      </c>
      <c r="B1209" s="22" t="inlineStr">
        <is>
          <t>Dairy products: herd size (EU)</t>
        </is>
      </c>
      <c r="C1209" s="22" t="inlineStr">
        <is>
          <t>Agriculture</t>
        </is>
      </c>
      <c r="D1209" s="22" t="inlineStr">
        <is>
          <t>million heads</t>
        </is>
      </c>
      <c r="E1209" s="65" t="n">
        <v>2011</v>
      </c>
      <c r="F1209" s="66" t="n">
        <v>21.36</v>
      </c>
      <c r="G1209" s="67" t="inlineStr">
        <is>
          <t>In the 2024 report</t>
        </is>
      </c>
      <c r="H1209" s="22" t="inlineStr">
        <is>
          <t>EU GHG inventory (CRF) livestock populations; 2021+ Eurostat survey trend</t>
        </is>
      </c>
      <c r="I1209" s="35" t="inlineStr">
        <is>
          <t>esabcc-a4-dairy-herd-size</t>
        </is>
      </c>
    </row>
    <row r="1210" ht="14" customHeight="1">
      <c r="A1210" s="15" t="inlineStr">
        <is>
          <t>A4 (dairy, herd)</t>
        </is>
      </c>
      <c r="B1210" s="15" t="inlineStr">
        <is>
          <t>Dairy products: herd size (EU)</t>
        </is>
      </c>
      <c r="C1210" s="15" t="inlineStr">
        <is>
          <t>Agriculture</t>
        </is>
      </c>
      <c r="D1210" s="15" t="inlineStr">
        <is>
          <t>million heads</t>
        </is>
      </c>
      <c r="E1210" s="63" t="n">
        <v>2012</v>
      </c>
      <c r="F1210" s="64" t="n">
        <v>21.45</v>
      </c>
      <c r="G1210" s="14" t="inlineStr">
        <is>
          <t>In the 2024 report</t>
        </is>
      </c>
      <c r="H1210" s="15" t="inlineStr">
        <is>
          <t>EU GHG inventory (CRF) livestock populations; 2021+ Eurostat survey trend</t>
        </is>
      </c>
      <c r="I1210" s="34" t="inlineStr">
        <is>
          <t>esabcc-a4-dairy-herd-size</t>
        </is>
      </c>
    </row>
    <row r="1211" ht="14" customHeight="1">
      <c r="A1211" s="22" t="inlineStr">
        <is>
          <t>A4 (dairy, herd)</t>
        </is>
      </c>
      <c r="B1211" s="22" t="inlineStr">
        <is>
          <t>Dairy products: herd size (EU)</t>
        </is>
      </c>
      <c r="C1211" s="22" t="inlineStr">
        <is>
          <t>Agriculture</t>
        </is>
      </c>
      <c r="D1211" s="22" t="inlineStr">
        <is>
          <t>million heads</t>
        </is>
      </c>
      <c r="E1211" s="65" t="n">
        <v>2013</v>
      </c>
      <c r="F1211" s="66" t="n">
        <v>21.59</v>
      </c>
      <c r="G1211" s="67" t="inlineStr">
        <is>
          <t>In the 2024 report</t>
        </is>
      </c>
      <c r="H1211" s="22" t="inlineStr">
        <is>
          <t>EU GHG inventory (CRF) livestock populations; 2021+ Eurostat survey trend</t>
        </is>
      </c>
      <c r="I1211" s="35" t="inlineStr">
        <is>
          <t>esabcc-a4-dairy-herd-size</t>
        </is>
      </c>
    </row>
    <row r="1212" ht="14" customHeight="1">
      <c r="A1212" s="15" t="inlineStr">
        <is>
          <t>A4 (dairy, herd)</t>
        </is>
      </c>
      <c r="B1212" s="15" t="inlineStr">
        <is>
          <t>Dairy products: herd size (EU)</t>
        </is>
      </c>
      <c r="C1212" s="15" t="inlineStr">
        <is>
          <t>Agriculture</t>
        </is>
      </c>
      <c r="D1212" s="15" t="inlineStr">
        <is>
          <t>million heads</t>
        </is>
      </c>
      <c r="E1212" s="63" t="n">
        <v>2014</v>
      </c>
      <c r="F1212" s="64" t="n">
        <v>21.64</v>
      </c>
      <c r="G1212" s="14" t="inlineStr">
        <is>
          <t>In the 2024 report</t>
        </is>
      </c>
      <c r="H1212" s="15" t="inlineStr">
        <is>
          <t>EU GHG inventory (CRF) livestock populations; 2021+ Eurostat survey trend</t>
        </is>
      </c>
      <c r="I1212" s="34" t="inlineStr">
        <is>
          <t>esabcc-a4-dairy-herd-size</t>
        </is>
      </c>
    </row>
    <row r="1213" ht="14" customHeight="1">
      <c r="A1213" s="22" t="inlineStr">
        <is>
          <t>A4 (dairy, herd)</t>
        </is>
      </c>
      <c r="B1213" s="22" t="inlineStr">
        <is>
          <t>Dairy products: herd size (EU)</t>
        </is>
      </c>
      <c r="C1213" s="22" t="inlineStr">
        <is>
          <t>Agriculture</t>
        </is>
      </c>
      <c r="D1213" s="22" t="inlineStr">
        <is>
          <t>million heads</t>
        </is>
      </c>
      <c r="E1213" s="65" t="n">
        <v>2015</v>
      </c>
      <c r="F1213" s="66" t="n">
        <v>21.64</v>
      </c>
      <c r="G1213" s="67" t="inlineStr">
        <is>
          <t>In the 2024 report</t>
        </is>
      </c>
      <c r="H1213" s="22" t="inlineStr">
        <is>
          <t>EU GHG inventory (CRF) livestock populations; 2021+ Eurostat survey trend</t>
        </is>
      </c>
      <c r="I1213" s="35" t="inlineStr">
        <is>
          <t>esabcc-a4-dairy-herd-size</t>
        </is>
      </c>
    </row>
    <row r="1214" ht="14" customHeight="1">
      <c r="A1214" s="15" t="inlineStr">
        <is>
          <t>A4 (dairy, herd)</t>
        </is>
      </c>
      <c r="B1214" s="15" t="inlineStr">
        <is>
          <t>Dairy products: herd size (EU)</t>
        </is>
      </c>
      <c r="C1214" s="15" t="inlineStr">
        <is>
          <t>Agriculture</t>
        </is>
      </c>
      <c r="D1214" s="15" t="inlineStr">
        <is>
          <t>million heads</t>
        </is>
      </c>
      <c r="E1214" s="63" t="n">
        <v>2016</v>
      </c>
      <c r="F1214" s="64" t="n">
        <v>21.58</v>
      </c>
      <c r="G1214" s="14" t="inlineStr">
        <is>
          <t>In the 2024 report</t>
        </is>
      </c>
      <c r="H1214" s="15" t="inlineStr">
        <is>
          <t>EU GHG inventory (CRF) livestock populations; 2021+ Eurostat survey trend</t>
        </is>
      </c>
      <c r="I1214" s="34" t="inlineStr">
        <is>
          <t>esabcc-a4-dairy-herd-size</t>
        </is>
      </c>
    </row>
    <row r="1215" ht="14" customHeight="1">
      <c r="A1215" s="22" t="inlineStr">
        <is>
          <t>A4 (dairy, herd)</t>
        </is>
      </c>
      <c r="B1215" s="22" t="inlineStr">
        <is>
          <t>Dairy products: herd size (EU)</t>
        </is>
      </c>
      <c r="C1215" s="22" t="inlineStr">
        <is>
          <t>Agriculture</t>
        </is>
      </c>
      <c r="D1215" s="22" t="inlineStr">
        <is>
          <t>million heads</t>
        </is>
      </c>
      <c r="E1215" s="65" t="n">
        <v>2017</v>
      </c>
      <c r="F1215" s="66" t="n">
        <v>21.39</v>
      </c>
      <c r="G1215" s="67" t="inlineStr">
        <is>
          <t>In the 2024 report</t>
        </is>
      </c>
      <c r="H1215" s="22" t="inlineStr">
        <is>
          <t>EU GHG inventory (CRF) livestock populations; 2021+ Eurostat survey trend</t>
        </is>
      </c>
      <c r="I1215" s="35" t="inlineStr">
        <is>
          <t>esabcc-a4-dairy-herd-size</t>
        </is>
      </c>
    </row>
    <row r="1216" ht="14" customHeight="1">
      <c r="A1216" s="15" t="inlineStr">
        <is>
          <t>A4 (dairy, herd)</t>
        </is>
      </c>
      <c r="B1216" s="15" t="inlineStr">
        <is>
          <t>Dairy products: herd size (EU)</t>
        </is>
      </c>
      <c r="C1216" s="15" t="inlineStr">
        <is>
          <t>Agriculture</t>
        </is>
      </c>
      <c r="D1216" s="15" t="inlineStr">
        <is>
          <t>million heads</t>
        </is>
      </c>
      <c r="E1216" s="63" t="n">
        <v>2018</v>
      </c>
      <c r="F1216" s="64" t="n">
        <v>21.08</v>
      </c>
      <c r="G1216" s="14" t="inlineStr">
        <is>
          <t>In the 2024 report</t>
        </is>
      </c>
      <c r="H1216" s="15" t="inlineStr">
        <is>
          <t>EU GHG inventory (CRF) livestock populations; 2021+ Eurostat survey trend</t>
        </is>
      </c>
      <c r="I1216" s="34" t="inlineStr">
        <is>
          <t>esabcc-a4-dairy-herd-size</t>
        </is>
      </c>
    </row>
    <row r="1217" ht="14" customHeight="1">
      <c r="A1217" s="22" t="inlineStr">
        <is>
          <t>A4 (dairy, herd)</t>
        </is>
      </c>
      <c r="B1217" s="22" t="inlineStr">
        <is>
          <t>Dairy products: herd size (EU)</t>
        </is>
      </c>
      <c r="C1217" s="22" t="inlineStr">
        <is>
          <t>Agriculture</t>
        </is>
      </c>
      <c r="D1217" s="22" t="inlineStr">
        <is>
          <t>million heads</t>
        </is>
      </c>
      <c r="E1217" s="65" t="n">
        <v>2019</v>
      </c>
      <c r="F1217" s="66" t="n">
        <v>20.82</v>
      </c>
      <c r="G1217" s="67" t="inlineStr">
        <is>
          <t>In the 2024 report</t>
        </is>
      </c>
      <c r="H1217" s="22" t="inlineStr">
        <is>
          <t>EU GHG inventory (CRF) livestock populations; 2021+ Eurostat survey trend</t>
        </is>
      </c>
      <c r="I1217" s="35" t="inlineStr">
        <is>
          <t>esabcc-a4-dairy-herd-size</t>
        </is>
      </c>
    </row>
    <row r="1218" ht="14" customHeight="1">
      <c r="A1218" s="15" t="inlineStr">
        <is>
          <t>A4 (dairy, herd)</t>
        </is>
      </c>
      <c r="B1218" s="15" t="inlineStr">
        <is>
          <t>Dairy products: herd size (EU)</t>
        </is>
      </c>
      <c r="C1218" s="15" t="inlineStr">
        <is>
          <t>Agriculture</t>
        </is>
      </c>
      <c r="D1218" s="15" t="inlineStr">
        <is>
          <t>million heads</t>
        </is>
      </c>
      <c r="E1218" s="63" t="n">
        <v>2020</v>
      </c>
      <c r="F1218" s="64" t="n">
        <v>20.63</v>
      </c>
      <c r="G1218" s="14" t="inlineStr">
        <is>
          <t>In the 2024 report</t>
        </is>
      </c>
      <c r="H1218" s="15" t="inlineStr">
        <is>
          <t>EU GHG inventory (CRF) livestock populations; 2021+ Eurostat survey trend</t>
        </is>
      </c>
      <c r="I1218" s="34" t="inlineStr">
        <is>
          <t>esabcc-a4-dairy-herd-size</t>
        </is>
      </c>
    </row>
    <row r="1219" ht="14" customHeight="1">
      <c r="A1219" s="22" t="inlineStr">
        <is>
          <t>A4 (dairy, herd)</t>
        </is>
      </c>
      <c r="B1219" s="22" t="inlineStr">
        <is>
          <t>Dairy products: herd size (EU)</t>
        </is>
      </c>
      <c r="C1219" s="22" t="inlineStr">
        <is>
          <t>Agriculture</t>
        </is>
      </c>
      <c r="D1219" s="22" t="inlineStr">
        <is>
          <t>million heads</t>
        </is>
      </c>
      <c r="E1219" s="65" t="n">
        <v>2021</v>
      </c>
      <c r="F1219" s="66" t="n">
        <v>20.21</v>
      </c>
      <c r="G1219" s="69" t="inlineStr">
        <is>
          <t>Added since the report</t>
        </is>
      </c>
      <c r="H1219" s="22" t="inlineStr">
        <is>
          <t>EU GHG inventory (CRF) livestock populations; 2021+ Eurostat survey trend</t>
        </is>
      </c>
      <c r="I1219" s="35" t="inlineStr">
        <is>
          <t>esabcc-a4-dairy-herd-size</t>
        </is>
      </c>
    </row>
    <row r="1220" ht="14" customHeight="1">
      <c r="A1220" s="15" t="inlineStr">
        <is>
          <t>A4 (dairy, herd)</t>
        </is>
      </c>
      <c r="B1220" s="15" t="inlineStr">
        <is>
          <t>Dairy products: herd size (EU)</t>
        </is>
      </c>
      <c r="C1220" s="15" t="inlineStr">
        <is>
          <t>Agriculture</t>
        </is>
      </c>
      <c r="D1220" s="15" t="inlineStr">
        <is>
          <t>million heads</t>
        </is>
      </c>
      <c r="E1220" s="63" t="n">
        <v>2022</v>
      </c>
      <c r="F1220" s="64" t="n">
        <v>20.07</v>
      </c>
      <c r="G1220" s="68" t="inlineStr">
        <is>
          <t>Added since the report</t>
        </is>
      </c>
      <c r="H1220" s="15" t="inlineStr">
        <is>
          <t>EU GHG inventory (CRF) livestock populations; 2021+ Eurostat survey trend</t>
        </is>
      </c>
      <c r="I1220" s="34" t="inlineStr">
        <is>
          <t>esabcc-a4-dairy-herd-size</t>
        </is>
      </c>
    </row>
    <row r="1221" ht="14" customHeight="1">
      <c r="A1221" s="22" t="inlineStr">
        <is>
          <t>A4 (dairy, herd)</t>
        </is>
      </c>
      <c r="B1221" s="22" t="inlineStr">
        <is>
          <t>Dairy products: herd size (EU)</t>
        </is>
      </c>
      <c r="C1221" s="22" t="inlineStr">
        <is>
          <t>Agriculture</t>
        </is>
      </c>
      <c r="D1221" s="22" t="inlineStr">
        <is>
          <t>million heads</t>
        </is>
      </c>
      <c r="E1221" s="65" t="n">
        <v>2023</v>
      </c>
      <c r="F1221" s="66" t="n">
        <v>19.91</v>
      </c>
      <c r="G1221" s="69" t="inlineStr">
        <is>
          <t>Added since the report</t>
        </is>
      </c>
      <c r="H1221" s="22" t="inlineStr">
        <is>
          <t>EU GHG inventory (CRF) livestock populations; 2021+ Eurostat survey trend</t>
        </is>
      </c>
      <c r="I1221" s="35" t="inlineStr">
        <is>
          <t>esabcc-a4-dairy-herd-size</t>
        </is>
      </c>
    </row>
    <row r="1222" ht="14" customHeight="1">
      <c r="A1222" s="15" t="inlineStr">
        <is>
          <t>A4 (dairy, herd)</t>
        </is>
      </c>
      <c r="B1222" s="15" t="inlineStr">
        <is>
          <t>Dairy products: herd size (EU)</t>
        </is>
      </c>
      <c r="C1222" s="15" t="inlineStr">
        <is>
          <t>Agriculture</t>
        </is>
      </c>
      <c r="D1222" s="15" t="inlineStr">
        <is>
          <t>million heads</t>
        </is>
      </c>
      <c r="E1222" s="63" t="n">
        <v>2024</v>
      </c>
      <c r="F1222" s="64" t="n">
        <v>19.22</v>
      </c>
      <c r="G1222" s="68" t="inlineStr">
        <is>
          <t>Added since the report</t>
        </is>
      </c>
      <c r="H1222" s="15" t="inlineStr">
        <is>
          <t>EU GHG inventory (CRF) livestock populations; 2021+ Eurostat survey trend</t>
        </is>
      </c>
      <c r="I1222" s="34" t="inlineStr">
        <is>
          <t>esabcc-a4-dairy-herd-size</t>
        </is>
      </c>
    </row>
    <row r="1223" ht="14" customHeight="1">
      <c r="A1223" s="22" t="inlineStr">
        <is>
          <t>A4 (dairy, herd)</t>
        </is>
      </c>
      <c r="B1223" s="22" t="inlineStr">
        <is>
          <t>Dairy products: herd size (EU)</t>
        </is>
      </c>
      <c r="C1223" s="22" t="inlineStr">
        <is>
          <t>Agriculture</t>
        </is>
      </c>
      <c r="D1223" s="22" t="inlineStr">
        <is>
          <t>million heads</t>
        </is>
      </c>
      <c r="E1223" s="65" t="n">
        <v>2025</v>
      </c>
      <c r="F1223" s="66" t="n">
        <v>19.02</v>
      </c>
      <c r="G1223" s="69" t="inlineStr">
        <is>
          <t>Added since the report</t>
        </is>
      </c>
      <c r="H1223" s="22" t="inlineStr">
        <is>
          <t>EU GHG inventory (CRF) livestock populations; 2021+ Eurostat survey trend</t>
        </is>
      </c>
      <c r="I1223" s="35" t="inlineStr">
        <is>
          <t>esabcc-a4-dairy-herd-size</t>
        </is>
      </c>
    </row>
    <row r="1224" ht="14" customHeight="1">
      <c r="A1224" s="15" t="inlineStr">
        <is>
          <t>A4 (pig, consumption)</t>
        </is>
      </c>
      <c r="B1224" s="15" t="inlineStr">
        <is>
          <t>Pig meat: consumption (EU)</t>
        </is>
      </c>
      <c r="C1224" s="15" t="inlineStr">
        <is>
          <t>Agriculture</t>
        </is>
      </c>
      <c r="D1224" s="15" t="inlineStr">
        <is>
          <t>Mt</t>
        </is>
      </c>
      <c r="E1224" s="63" t="n">
        <v>2010</v>
      </c>
      <c r="F1224" s="64" t="n">
        <v>19.18</v>
      </c>
      <c r="G1224" s="14" t="inlineStr">
        <is>
          <t>In the 2024 report</t>
        </is>
      </c>
      <c r="H1224" s="15" t="inlineStr">
        <is>
          <t>FAOSTAT food balance sheets</t>
        </is>
      </c>
      <c r="I1224" s="34" t="inlineStr">
        <is>
          <t>esabcc-a4-pig-consumption</t>
        </is>
      </c>
    </row>
    <row r="1225" ht="14" customHeight="1">
      <c r="A1225" s="22" t="inlineStr">
        <is>
          <t>A4 (pig, consumption)</t>
        </is>
      </c>
      <c r="B1225" s="22" t="inlineStr">
        <is>
          <t>Pig meat: consumption (EU)</t>
        </is>
      </c>
      <c r="C1225" s="22" t="inlineStr">
        <is>
          <t>Agriculture</t>
        </is>
      </c>
      <c r="D1225" s="22" t="inlineStr">
        <is>
          <t>Mt</t>
        </is>
      </c>
      <c r="E1225" s="65" t="n">
        <v>2011</v>
      </c>
      <c r="F1225" s="66" t="n">
        <v>18.88</v>
      </c>
      <c r="G1225" s="67" t="inlineStr">
        <is>
          <t>In the 2024 report</t>
        </is>
      </c>
      <c r="H1225" s="22" t="inlineStr">
        <is>
          <t>FAOSTAT food balance sheets</t>
        </is>
      </c>
      <c r="I1225" s="35" t="inlineStr">
        <is>
          <t>esabcc-a4-pig-consumption</t>
        </is>
      </c>
    </row>
    <row r="1226" ht="14" customHeight="1">
      <c r="A1226" s="15" t="inlineStr">
        <is>
          <t>A4 (pig, consumption)</t>
        </is>
      </c>
      <c r="B1226" s="15" t="inlineStr">
        <is>
          <t>Pig meat: consumption (EU)</t>
        </is>
      </c>
      <c r="C1226" s="15" t="inlineStr">
        <is>
          <t>Agriculture</t>
        </is>
      </c>
      <c r="D1226" s="15" t="inlineStr">
        <is>
          <t>Mt</t>
        </is>
      </c>
      <c r="E1226" s="63" t="n">
        <v>2012</v>
      </c>
      <c r="F1226" s="64" t="n">
        <v>18.52</v>
      </c>
      <c r="G1226" s="14" t="inlineStr">
        <is>
          <t>In the 2024 report</t>
        </is>
      </c>
      <c r="H1226" s="15" t="inlineStr">
        <is>
          <t>FAOSTAT food balance sheets</t>
        </is>
      </c>
      <c r="I1226" s="34" t="inlineStr">
        <is>
          <t>esabcc-a4-pig-consumption</t>
        </is>
      </c>
    </row>
    <row r="1227" ht="14" customHeight="1">
      <c r="A1227" s="22" t="inlineStr">
        <is>
          <t>A4 (pig, consumption)</t>
        </is>
      </c>
      <c r="B1227" s="22" t="inlineStr">
        <is>
          <t>Pig meat: consumption (EU)</t>
        </is>
      </c>
      <c r="C1227" s="22" t="inlineStr">
        <is>
          <t>Agriculture</t>
        </is>
      </c>
      <c r="D1227" s="22" t="inlineStr">
        <is>
          <t>Mt</t>
        </is>
      </c>
      <c r="E1227" s="65" t="n">
        <v>2013</v>
      </c>
      <c r="F1227" s="66" t="n">
        <v>18.24</v>
      </c>
      <c r="G1227" s="67" t="inlineStr">
        <is>
          <t>In the 2024 report</t>
        </is>
      </c>
      <c r="H1227" s="22" t="inlineStr">
        <is>
          <t>FAOSTAT food balance sheets</t>
        </is>
      </c>
      <c r="I1227" s="35" t="inlineStr">
        <is>
          <t>esabcc-a4-pig-consumption</t>
        </is>
      </c>
    </row>
    <row r="1228" ht="14" customHeight="1">
      <c r="A1228" s="15" t="inlineStr">
        <is>
          <t>A4 (pig, consumption)</t>
        </is>
      </c>
      <c r="B1228" s="15" t="inlineStr">
        <is>
          <t>Pig meat: consumption (EU)</t>
        </is>
      </c>
      <c r="C1228" s="15" t="inlineStr">
        <is>
          <t>Agriculture</t>
        </is>
      </c>
      <c r="D1228" s="15" t="inlineStr">
        <is>
          <t>Mt</t>
        </is>
      </c>
      <c r="E1228" s="63" t="n">
        <v>2014</v>
      </c>
      <c r="F1228" s="64" t="n">
        <v>17.81</v>
      </c>
      <c r="G1228" s="14" t="inlineStr">
        <is>
          <t>In the 2024 report</t>
        </is>
      </c>
      <c r="H1228" s="15" t="inlineStr">
        <is>
          <t>FAOSTAT food balance sheets</t>
        </is>
      </c>
      <c r="I1228" s="34" t="inlineStr">
        <is>
          <t>esabcc-a4-pig-consumption</t>
        </is>
      </c>
    </row>
    <row r="1229" ht="14" customHeight="1">
      <c r="A1229" s="22" t="inlineStr">
        <is>
          <t>A4 (pig, consumption)</t>
        </is>
      </c>
      <c r="B1229" s="22" t="inlineStr">
        <is>
          <t>Pig meat: consumption (EU)</t>
        </is>
      </c>
      <c r="C1229" s="22" t="inlineStr">
        <is>
          <t>Agriculture</t>
        </is>
      </c>
      <c r="D1229" s="22" t="inlineStr">
        <is>
          <t>Mt</t>
        </is>
      </c>
      <c r="E1229" s="65" t="n">
        <v>2015</v>
      </c>
      <c r="F1229" s="66" t="n">
        <v>18.36</v>
      </c>
      <c r="G1229" s="67" t="inlineStr">
        <is>
          <t>In the 2024 report</t>
        </is>
      </c>
      <c r="H1229" s="22" t="inlineStr">
        <is>
          <t>FAOSTAT food balance sheets</t>
        </is>
      </c>
      <c r="I1229" s="35" t="inlineStr">
        <is>
          <t>esabcc-a4-pig-consumption</t>
        </is>
      </c>
    </row>
    <row r="1230" ht="14" customHeight="1">
      <c r="A1230" s="15" t="inlineStr">
        <is>
          <t>A4 (pig, consumption)</t>
        </is>
      </c>
      <c r="B1230" s="15" t="inlineStr">
        <is>
          <t>Pig meat: consumption (EU)</t>
        </is>
      </c>
      <c r="C1230" s="15" t="inlineStr">
        <is>
          <t>Agriculture</t>
        </is>
      </c>
      <c r="D1230" s="15" t="inlineStr">
        <is>
          <t>Mt</t>
        </is>
      </c>
      <c r="E1230" s="63" t="n">
        <v>2016</v>
      </c>
      <c r="F1230" s="64" t="n">
        <v>17.99</v>
      </c>
      <c r="G1230" s="14" t="inlineStr">
        <is>
          <t>In the 2024 report</t>
        </is>
      </c>
      <c r="H1230" s="15" t="inlineStr">
        <is>
          <t>FAOSTAT food balance sheets</t>
        </is>
      </c>
      <c r="I1230" s="34" t="inlineStr">
        <is>
          <t>esabcc-a4-pig-consumption</t>
        </is>
      </c>
    </row>
    <row r="1231" ht="14" customHeight="1">
      <c r="A1231" s="22" t="inlineStr">
        <is>
          <t>A4 (pig, consumption)</t>
        </is>
      </c>
      <c r="B1231" s="22" t="inlineStr">
        <is>
          <t>Pig meat: consumption (EU)</t>
        </is>
      </c>
      <c r="C1231" s="22" t="inlineStr">
        <is>
          <t>Agriculture</t>
        </is>
      </c>
      <c r="D1231" s="22" t="inlineStr">
        <is>
          <t>Mt</t>
        </is>
      </c>
      <c r="E1231" s="65" t="n">
        <v>2017</v>
      </c>
      <c r="F1231" s="66" t="n">
        <v>18.22</v>
      </c>
      <c r="G1231" s="67" t="inlineStr">
        <is>
          <t>In the 2024 report</t>
        </is>
      </c>
      <c r="H1231" s="22" t="inlineStr">
        <is>
          <t>FAOSTAT food balance sheets</t>
        </is>
      </c>
      <c r="I1231" s="35" t="inlineStr">
        <is>
          <t>esabcc-a4-pig-consumption</t>
        </is>
      </c>
    </row>
    <row r="1232" ht="14" customHeight="1">
      <c r="A1232" s="15" t="inlineStr">
        <is>
          <t>A4 (pig, consumption)</t>
        </is>
      </c>
      <c r="B1232" s="15" t="inlineStr">
        <is>
          <t>Pig meat: consumption (EU)</t>
        </is>
      </c>
      <c r="C1232" s="15" t="inlineStr">
        <is>
          <t>Agriculture</t>
        </is>
      </c>
      <c r="D1232" s="15" t="inlineStr">
        <is>
          <t>Mt</t>
        </is>
      </c>
      <c r="E1232" s="63" t="n">
        <v>2018</v>
      </c>
      <c r="F1232" s="64" t="n">
        <v>18.67</v>
      </c>
      <c r="G1232" s="14" t="inlineStr">
        <is>
          <t>In the 2024 report</t>
        </is>
      </c>
      <c r="H1232" s="15" t="inlineStr">
        <is>
          <t>FAOSTAT food balance sheets</t>
        </is>
      </c>
      <c r="I1232" s="34" t="inlineStr">
        <is>
          <t>esabcc-a4-pig-consumption</t>
        </is>
      </c>
    </row>
    <row r="1233" ht="14" customHeight="1">
      <c r="A1233" s="22" t="inlineStr">
        <is>
          <t>A4 (pig, consumption)</t>
        </is>
      </c>
      <c r="B1233" s="22" t="inlineStr">
        <is>
          <t>Pig meat: consumption (EU)</t>
        </is>
      </c>
      <c r="C1233" s="22" t="inlineStr">
        <is>
          <t>Agriculture</t>
        </is>
      </c>
      <c r="D1233" s="22" t="inlineStr">
        <is>
          <t>Mt</t>
        </is>
      </c>
      <c r="E1233" s="65" t="n">
        <v>2019</v>
      </c>
      <c r="F1233" s="66" t="n">
        <v>18.19</v>
      </c>
      <c r="G1233" s="67" t="inlineStr">
        <is>
          <t>In the 2024 report</t>
        </is>
      </c>
      <c r="H1233" s="22" t="inlineStr">
        <is>
          <t>FAOSTAT food balance sheets</t>
        </is>
      </c>
      <c r="I1233" s="35" t="inlineStr">
        <is>
          <t>esabcc-a4-pig-consumption</t>
        </is>
      </c>
    </row>
    <row r="1234" ht="14" customHeight="1">
      <c r="A1234" s="15" t="inlineStr">
        <is>
          <t>A4 (pig, consumption)</t>
        </is>
      </c>
      <c r="B1234" s="15" t="inlineStr">
        <is>
          <t>Pig meat: consumption (EU)</t>
        </is>
      </c>
      <c r="C1234" s="15" t="inlineStr">
        <is>
          <t>Agriculture</t>
        </is>
      </c>
      <c r="D1234" s="15" t="inlineStr">
        <is>
          <t>Mt</t>
        </is>
      </c>
      <c r="E1234" s="63" t="n">
        <v>2020</v>
      </c>
      <c r="F1234" s="64" t="n">
        <v>17.46</v>
      </c>
      <c r="G1234" s="14" t="inlineStr">
        <is>
          <t>In the 2024 report</t>
        </is>
      </c>
      <c r="H1234" s="15" t="inlineStr">
        <is>
          <t>FAOSTAT food balance sheets</t>
        </is>
      </c>
      <c r="I1234" s="34" t="inlineStr">
        <is>
          <t>esabcc-a4-pig-consumption</t>
        </is>
      </c>
    </row>
    <row r="1235" ht="14" customHeight="1">
      <c r="A1235" s="22" t="inlineStr">
        <is>
          <t>A4 (pig, production)</t>
        </is>
      </c>
      <c r="B1235" s="22" t="inlineStr">
        <is>
          <t>Pig meat: production (EU)</t>
        </is>
      </c>
      <c r="C1235" s="22" t="inlineStr">
        <is>
          <t>Agriculture</t>
        </is>
      </c>
      <c r="D1235" s="22" t="inlineStr">
        <is>
          <t>Mt</t>
        </is>
      </c>
      <c r="E1235" s="65" t="n">
        <v>2010</v>
      </c>
      <c r="F1235" s="66" t="n">
        <v>22.22</v>
      </c>
      <c r="G1235" s="67" t="inlineStr">
        <is>
          <t>In the 2024 report</t>
        </is>
      </c>
      <c r="H1235" s="22" t="inlineStr">
        <is>
          <t>Eurostat (apro_mt_pann)</t>
        </is>
      </c>
      <c r="I1235" s="35" t="inlineStr">
        <is>
          <t>esabcc-a4-pig-production</t>
        </is>
      </c>
    </row>
    <row r="1236" ht="14" customHeight="1">
      <c r="A1236" s="15" t="inlineStr">
        <is>
          <t>A4 (pig, production)</t>
        </is>
      </c>
      <c r="B1236" s="15" t="inlineStr">
        <is>
          <t>Pig meat: production (EU)</t>
        </is>
      </c>
      <c r="C1236" s="15" t="inlineStr">
        <is>
          <t>Agriculture</t>
        </is>
      </c>
      <c r="D1236" s="15" t="inlineStr">
        <is>
          <t>Mt</t>
        </is>
      </c>
      <c r="E1236" s="63" t="n">
        <v>2011</v>
      </c>
      <c r="F1236" s="64" t="n">
        <v>22.46</v>
      </c>
      <c r="G1236" s="14" t="inlineStr">
        <is>
          <t>In the 2024 report</t>
        </is>
      </c>
      <c r="H1236" s="15" t="inlineStr">
        <is>
          <t>Eurostat (apro_mt_pann)</t>
        </is>
      </c>
      <c r="I1236" s="34" t="inlineStr">
        <is>
          <t>esabcc-a4-pig-production</t>
        </is>
      </c>
    </row>
    <row r="1237" ht="14" customHeight="1">
      <c r="A1237" s="22" t="inlineStr">
        <is>
          <t>A4 (pig, production)</t>
        </is>
      </c>
      <c r="B1237" s="22" t="inlineStr">
        <is>
          <t>Pig meat: production (EU)</t>
        </is>
      </c>
      <c r="C1237" s="22" t="inlineStr">
        <is>
          <t>Agriculture</t>
        </is>
      </c>
      <c r="D1237" s="22" t="inlineStr">
        <is>
          <t>Mt</t>
        </is>
      </c>
      <c r="E1237" s="65" t="n">
        <v>2012</v>
      </c>
      <c r="F1237" s="66" t="n">
        <v>22</v>
      </c>
      <c r="G1237" s="67" t="inlineStr">
        <is>
          <t>In the 2024 report</t>
        </is>
      </c>
      <c r="H1237" s="22" t="inlineStr">
        <is>
          <t>Eurostat (apro_mt_pann)</t>
        </is>
      </c>
      <c r="I1237" s="35" t="inlineStr">
        <is>
          <t>esabcc-a4-pig-production</t>
        </is>
      </c>
    </row>
    <row r="1238" ht="14" customHeight="1">
      <c r="A1238" s="15" t="inlineStr">
        <is>
          <t>A4 (pig, production)</t>
        </is>
      </c>
      <c r="B1238" s="15" t="inlineStr">
        <is>
          <t>Pig meat: production (EU)</t>
        </is>
      </c>
      <c r="C1238" s="15" t="inlineStr">
        <is>
          <t>Agriculture</t>
        </is>
      </c>
      <c r="D1238" s="15" t="inlineStr">
        <is>
          <t>Mt</t>
        </is>
      </c>
      <c r="E1238" s="63" t="n">
        <v>2013</v>
      </c>
      <c r="F1238" s="64" t="n">
        <v>21.69</v>
      </c>
      <c r="G1238" s="14" t="inlineStr">
        <is>
          <t>In the 2024 report</t>
        </is>
      </c>
      <c r="H1238" s="15" t="inlineStr">
        <is>
          <t>Eurostat (apro_mt_pann)</t>
        </is>
      </c>
      <c r="I1238" s="34" t="inlineStr">
        <is>
          <t>esabcc-a4-pig-production</t>
        </is>
      </c>
    </row>
    <row r="1239" ht="14" customHeight="1">
      <c r="A1239" s="22" t="inlineStr">
        <is>
          <t>A4 (pig, production)</t>
        </is>
      </c>
      <c r="B1239" s="22" t="inlineStr">
        <is>
          <t>Pig meat: production (EU)</t>
        </is>
      </c>
      <c r="C1239" s="22" t="inlineStr">
        <is>
          <t>Agriculture</t>
        </is>
      </c>
      <c r="D1239" s="22" t="inlineStr">
        <is>
          <t>Mt</t>
        </is>
      </c>
      <c r="E1239" s="65" t="n">
        <v>2014</v>
      </c>
      <c r="F1239" s="66" t="n">
        <v>21.75</v>
      </c>
      <c r="G1239" s="67" t="inlineStr">
        <is>
          <t>In the 2024 report</t>
        </is>
      </c>
      <c r="H1239" s="22" t="inlineStr">
        <is>
          <t>Eurostat (apro_mt_pann)</t>
        </is>
      </c>
      <c r="I1239" s="35" t="inlineStr">
        <is>
          <t>esabcc-a4-pig-production</t>
        </is>
      </c>
    </row>
    <row r="1240" ht="14" customHeight="1">
      <c r="A1240" s="15" t="inlineStr">
        <is>
          <t>A4 (pig, production)</t>
        </is>
      </c>
      <c r="B1240" s="15" t="inlineStr">
        <is>
          <t>Pig meat: production (EU)</t>
        </is>
      </c>
      <c r="C1240" s="15" t="inlineStr">
        <is>
          <t>Agriculture</t>
        </is>
      </c>
      <c r="D1240" s="15" t="inlineStr">
        <is>
          <t>Mt</t>
        </is>
      </c>
      <c r="E1240" s="63" t="n">
        <v>2015</v>
      </c>
      <c r="F1240" s="64" t="n">
        <v>22.57</v>
      </c>
      <c r="G1240" s="14" t="inlineStr">
        <is>
          <t>In the 2024 report</t>
        </is>
      </c>
      <c r="H1240" s="15" t="inlineStr">
        <is>
          <t>Eurostat (apro_mt_pann)</t>
        </is>
      </c>
      <c r="I1240" s="34" t="inlineStr">
        <is>
          <t>esabcc-a4-pig-production</t>
        </is>
      </c>
    </row>
    <row r="1241" ht="14" customHeight="1">
      <c r="A1241" s="22" t="inlineStr">
        <is>
          <t>A4 (pig, production)</t>
        </is>
      </c>
      <c r="B1241" s="22" t="inlineStr">
        <is>
          <t>Pig meat: production (EU)</t>
        </is>
      </c>
      <c r="C1241" s="22" t="inlineStr">
        <is>
          <t>Agriculture</t>
        </is>
      </c>
      <c r="D1241" s="22" t="inlineStr">
        <is>
          <t>Mt</t>
        </is>
      </c>
      <c r="E1241" s="65" t="n">
        <v>2016</v>
      </c>
      <c r="F1241" s="66" t="n">
        <v>22.95</v>
      </c>
      <c r="G1241" s="67" t="inlineStr">
        <is>
          <t>In the 2024 report</t>
        </is>
      </c>
      <c r="H1241" s="22" t="inlineStr">
        <is>
          <t>Eurostat (apro_mt_pann)</t>
        </is>
      </c>
      <c r="I1241" s="35" t="inlineStr">
        <is>
          <t>esabcc-a4-pig-production</t>
        </is>
      </c>
    </row>
    <row r="1242" ht="14" customHeight="1">
      <c r="A1242" s="15" t="inlineStr">
        <is>
          <t>A4 (pig, production)</t>
        </is>
      </c>
      <c r="B1242" s="15" t="inlineStr">
        <is>
          <t>Pig meat: production (EU)</t>
        </is>
      </c>
      <c r="C1242" s="15" t="inlineStr">
        <is>
          <t>Agriculture</t>
        </is>
      </c>
      <c r="D1242" s="15" t="inlineStr">
        <is>
          <t>Mt</t>
        </is>
      </c>
      <c r="E1242" s="63" t="n">
        <v>2017</v>
      </c>
      <c r="F1242" s="64" t="n">
        <v>22.82</v>
      </c>
      <c r="G1242" s="14" t="inlineStr">
        <is>
          <t>In the 2024 report</t>
        </is>
      </c>
      <c r="H1242" s="15" t="inlineStr">
        <is>
          <t>Eurostat (apro_mt_pann)</t>
        </is>
      </c>
      <c r="I1242" s="34" t="inlineStr">
        <is>
          <t>esabcc-a4-pig-production</t>
        </is>
      </c>
    </row>
    <row r="1243" ht="14" customHeight="1">
      <c r="A1243" s="22" t="inlineStr">
        <is>
          <t>A4 (pig, production)</t>
        </is>
      </c>
      <c r="B1243" s="22" t="inlineStr">
        <is>
          <t>Pig meat: production (EU)</t>
        </is>
      </c>
      <c r="C1243" s="22" t="inlineStr">
        <is>
          <t>Agriculture</t>
        </is>
      </c>
      <c r="D1243" s="22" t="inlineStr">
        <is>
          <t>Mt</t>
        </is>
      </c>
      <c r="E1243" s="65" t="n">
        <v>2018</v>
      </c>
      <c r="F1243" s="66" t="n">
        <v>23.22</v>
      </c>
      <c r="G1243" s="67" t="inlineStr">
        <is>
          <t>In the 2024 report</t>
        </is>
      </c>
      <c r="H1243" s="22" t="inlineStr">
        <is>
          <t>Eurostat (apro_mt_pann)</t>
        </is>
      </c>
      <c r="I1243" s="35" t="inlineStr">
        <is>
          <t>esabcc-a4-pig-production</t>
        </is>
      </c>
    </row>
    <row r="1244" ht="14" customHeight="1">
      <c r="A1244" s="15" t="inlineStr">
        <is>
          <t>A4 (pig, production)</t>
        </is>
      </c>
      <c r="B1244" s="15" t="inlineStr">
        <is>
          <t>Pig meat: production (EU)</t>
        </is>
      </c>
      <c r="C1244" s="15" t="inlineStr">
        <is>
          <t>Agriculture</t>
        </is>
      </c>
      <c r="D1244" s="15" t="inlineStr">
        <is>
          <t>Mt</t>
        </is>
      </c>
      <c r="E1244" s="63" t="n">
        <v>2019</v>
      </c>
      <c r="F1244" s="64" t="n">
        <v>23</v>
      </c>
      <c r="G1244" s="14" t="inlineStr">
        <is>
          <t>In the 2024 report</t>
        </is>
      </c>
      <c r="H1244" s="15" t="inlineStr">
        <is>
          <t>Eurostat (apro_mt_pann)</t>
        </is>
      </c>
      <c r="I1244" s="34" t="inlineStr">
        <is>
          <t>esabcc-a4-pig-production</t>
        </is>
      </c>
    </row>
    <row r="1245" ht="14" customHeight="1">
      <c r="A1245" s="22" t="inlineStr">
        <is>
          <t>A4 (pig, production)</t>
        </is>
      </c>
      <c r="B1245" s="22" t="inlineStr">
        <is>
          <t>Pig meat: production (EU)</t>
        </is>
      </c>
      <c r="C1245" s="22" t="inlineStr">
        <is>
          <t>Agriculture</t>
        </is>
      </c>
      <c r="D1245" s="22" t="inlineStr">
        <is>
          <t>Mt</t>
        </is>
      </c>
      <c r="E1245" s="65" t="n">
        <v>2020</v>
      </c>
      <c r="F1245" s="66" t="n">
        <v>23.22</v>
      </c>
      <c r="G1245" s="67" t="inlineStr">
        <is>
          <t>In the 2024 report</t>
        </is>
      </c>
      <c r="H1245" s="22" t="inlineStr">
        <is>
          <t>Eurostat (apro_mt_pann)</t>
        </is>
      </c>
      <c r="I1245" s="35" t="inlineStr">
        <is>
          <t>esabcc-a4-pig-production</t>
        </is>
      </c>
    </row>
    <row r="1246" ht="14" customHeight="1">
      <c r="A1246" s="15" t="inlineStr">
        <is>
          <t>A4 (pig, production)</t>
        </is>
      </c>
      <c r="B1246" s="15" t="inlineStr">
        <is>
          <t>Pig meat: production (EU)</t>
        </is>
      </c>
      <c r="C1246" s="15" t="inlineStr">
        <is>
          <t>Agriculture</t>
        </is>
      </c>
      <c r="D1246" s="15" t="inlineStr">
        <is>
          <t>Mt</t>
        </is>
      </c>
      <c r="E1246" s="63" t="n">
        <v>2021</v>
      </c>
      <c r="F1246" s="64" t="n">
        <v>23.39</v>
      </c>
      <c r="G1246" s="68" t="inlineStr">
        <is>
          <t>Added since the report</t>
        </is>
      </c>
      <c r="H1246" s="15" t="inlineStr">
        <is>
          <t>Eurostat (apro_mt_pann)</t>
        </is>
      </c>
      <c r="I1246" s="34" t="inlineStr">
        <is>
          <t>esabcc-a4-pig-production</t>
        </is>
      </c>
    </row>
    <row r="1247" ht="14" customHeight="1">
      <c r="A1247" s="22" t="inlineStr">
        <is>
          <t>A4 (pig, production)</t>
        </is>
      </c>
      <c r="B1247" s="22" t="inlineStr">
        <is>
          <t>Pig meat: production (EU)</t>
        </is>
      </c>
      <c r="C1247" s="22" t="inlineStr">
        <is>
          <t>Agriculture</t>
        </is>
      </c>
      <c r="D1247" s="22" t="inlineStr">
        <is>
          <t>Mt</t>
        </is>
      </c>
      <c r="E1247" s="65" t="n">
        <v>2022</v>
      </c>
      <c r="F1247" s="66" t="n">
        <v>22.07</v>
      </c>
      <c r="G1247" s="69" t="inlineStr">
        <is>
          <t>Added since the report</t>
        </is>
      </c>
      <c r="H1247" s="22" t="inlineStr">
        <is>
          <t>Eurostat (apro_mt_pann)</t>
        </is>
      </c>
      <c r="I1247" s="35" t="inlineStr">
        <is>
          <t>esabcc-a4-pig-production</t>
        </is>
      </c>
    </row>
    <row r="1248" ht="14" customHeight="1">
      <c r="A1248" s="15" t="inlineStr">
        <is>
          <t>A4 (pig, production)</t>
        </is>
      </c>
      <c r="B1248" s="15" t="inlineStr">
        <is>
          <t>Pig meat: production (EU)</t>
        </is>
      </c>
      <c r="C1248" s="15" t="inlineStr">
        <is>
          <t>Agriculture</t>
        </is>
      </c>
      <c r="D1248" s="15" t="inlineStr">
        <is>
          <t>Mt</t>
        </is>
      </c>
      <c r="E1248" s="63" t="n">
        <v>2023</v>
      </c>
      <c r="F1248" s="64" t="n">
        <v>20.64</v>
      </c>
      <c r="G1248" s="68" t="inlineStr">
        <is>
          <t>Added since the report</t>
        </is>
      </c>
      <c r="H1248" s="15" t="inlineStr">
        <is>
          <t>Eurostat (apro_mt_pann)</t>
        </is>
      </c>
      <c r="I1248" s="34" t="inlineStr">
        <is>
          <t>esabcc-a4-pig-production</t>
        </is>
      </c>
    </row>
    <row r="1249" ht="14" customHeight="1">
      <c r="A1249" s="22" t="inlineStr">
        <is>
          <t>A4 (pig, production)</t>
        </is>
      </c>
      <c r="B1249" s="22" t="inlineStr">
        <is>
          <t>Pig meat: production (EU)</t>
        </is>
      </c>
      <c r="C1249" s="22" t="inlineStr">
        <is>
          <t>Agriculture</t>
        </is>
      </c>
      <c r="D1249" s="22" t="inlineStr">
        <is>
          <t>Mt</t>
        </is>
      </c>
      <c r="E1249" s="65" t="n">
        <v>2024</v>
      </c>
      <c r="F1249" s="66" t="n">
        <v>21.09</v>
      </c>
      <c r="G1249" s="69" t="inlineStr">
        <is>
          <t>Added since the report</t>
        </is>
      </c>
      <c r="H1249" s="22" t="inlineStr">
        <is>
          <t>Eurostat (apro_mt_pann)</t>
        </is>
      </c>
      <c r="I1249" s="35" t="inlineStr">
        <is>
          <t>esabcc-a4-pig-production</t>
        </is>
      </c>
    </row>
    <row r="1250" ht="14" customHeight="1">
      <c r="A1250" s="15" t="inlineStr">
        <is>
          <t>A4 (pig, production)</t>
        </is>
      </c>
      <c r="B1250" s="15" t="inlineStr">
        <is>
          <t>Pig meat: production (EU)</t>
        </is>
      </c>
      <c r="C1250" s="15" t="inlineStr">
        <is>
          <t>Agriculture</t>
        </is>
      </c>
      <c r="D1250" s="15" t="inlineStr">
        <is>
          <t>Mt</t>
        </is>
      </c>
      <c r="E1250" s="63" t="n">
        <v>2025</v>
      </c>
      <c r="F1250" s="64" t="n">
        <v>21.84</v>
      </c>
      <c r="G1250" s="68" t="inlineStr">
        <is>
          <t>Added since the report</t>
        </is>
      </c>
      <c r="H1250" s="15" t="inlineStr">
        <is>
          <t>Eurostat (apro_mt_pann)</t>
        </is>
      </c>
      <c r="I1250" s="34" t="inlineStr">
        <is>
          <t>esabcc-a4-pig-production</t>
        </is>
      </c>
    </row>
    <row r="1251" ht="14" customHeight="1">
      <c r="A1251" s="22" t="inlineStr">
        <is>
          <t>A4 (pig, herd)</t>
        </is>
      </c>
      <c r="B1251" s="22" t="inlineStr">
        <is>
          <t>Pig meat: herd size (EU)</t>
        </is>
      </c>
      <c r="C1251" s="22" t="inlineStr">
        <is>
          <t>Agriculture</t>
        </is>
      </c>
      <c r="D1251" s="22" t="inlineStr">
        <is>
          <t>million heads</t>
        </is>
      </c>
      <c r="E1251" s="65" t="n">
        <v>2010</v>
      </c>
      <c r="F1251" s="66" t="n">
        <v>144.1</v>
      </c>
      <c r="G1251" s="67" t="inlineStr">
        <is>
          <t>In the 2024 report</t>
        </is>
      </c>
      <c r="H1251" s="22" t="inlineStr">
        <is>
          <t>EU GHG inventory (CRF) livestock populations; 2021+ Eurostat apro_mt_lspig (swine) survey trend</t>
        </is>
      </c>
      <c r="I1251" s="35" t="inlineStr">
        <is>
          <t>esabcc-a4-pig-herd-size</t>
        </is>
      </c>
    </row>
    <row r="1252" ht="14" customHeight="1">
      <c r="A1252" s="15" t="inlineStr">
        <is>
          <t>A4 (pig, herd)</t>
        </is>
      </c>
      <c r="B1252" s="15" t="inlineStr">
        <is>
          <t>Pig meat: herd size (EU)</t>
        </is>
      </c>
      <c r="C1252" s="15" t="inlineStr">
        <is>
          <t>Agriculture</t>
        </is>
      </c>
      <c r="D1252" s="15" t="inlineStr">
        <is>
          <t>million heads</t>
        </is>
      </c>
      <c r="E1252" s="63" t="n">
        <v>2011</v>
      </c>
      <c r="F1252" s="64" t="n">
        <v>142.3</v>
      </c>
      <c r="G1252" s="14" t="inlineStr">
        <is>
          <t>In the 2024 report</t>
        </is>
      </c>
      <c r="H1252" s="15" t="inlineStr">
        <is>
          <t>EU GHG inventory (CRF) livestock populations; 2021+ Eurostat apro_mt_lspig (swine) survey trend</t>
        </is>
      </c>
      <c r="I1252" s="34" t="inlineStr">
        <is>
          <t>esabcc-a4-pig-herd-size</t>
        </is>
      </c>
    </row>
    <row r="1253" ht="14" customHeight="1">
      <c r="A1253" s="22" t="inlineStr">
        <is>
          <t>A4 (pig, herd)</t>
        </is>
      </c>
      <c r="B1253" s="22" t="inlineStr">
        <is>
          <t>Pig meat: herd size (EU)</t>
        </is>
      </c>
      <c r="C1253" s="22" t="inlineStr">
        <is>
          <t>Agriculture</t>
        </is>
      </c>
      <c r="D1253" s="22" t="inlineStr">
        <is>
          <t>million heads</t>
        </is>
      </c>
      <c r="E1253" s="65" t="n">
        <v>2012</v>
      </c>
      <c r="F1253" s="66" t="n">
        <v>138.3</v>
      </c>
      <c r="G1253" s="67" t="inlineStr">
        <is>
          <t>In the 2024 report</t>
        </is>
      </c>
      <c r="H1253" s="22" t="inlineStr">
        <is>
          <t>EU GHG inventory (CRF) livestock populations; 2021+ Eurostat apro_mt_lspig (swine) survey trend</t>
        </is>
      </c>
      <c r="I1253" s="35" t="inlineStr">
        <is>
          <t>esabcc-a4-pig-herd-size</t>
        </is>
      </c>
    </row>
    <row r="1254" ht="14" customHeight="1">
      <c r="A1254" s="15" t="inlineStr">
        <is>
          <t>A4 (pig, herd)</t>
        </is>
      </c>
      <c r="B1254" s="15" t="inlineStr">
        <is>
          <t>Pig meat: herd size (EU)</t>
        </is>
      </c>
      <c r="C1254" s="15" t="inlineStr">
        <is>
          <t>Agriculture</t>
        </is>
      </c>
      <c r="D1254" s="15" t="inlineStr">
        <is>
          <t>million heads</t>
        </is>
      </c>
      <c r="E1254" s="63" t="n">
        <v>2013</v>
      </c>
      <c r="F1254" s="64" t="n">
        <v>136.5</v>
      </c>
      <c r="G1254" s="14" t="inlineStr">
        <is>
          <t>In the 2024 report</t>
        </is>
      </c>
      <c r="H1254" s="15" t="inlineStr">
        <is>
          <t>EU GHG inventory (CRF) livestock populations; 2021+ Eurostat apro_mt_lspig (swine) survey trend</t>
        </is>
      </c>
      <c r="I1254" s="34" t="inlineStr">
        <is>
          <t>esabcc-a4-pig-herd-size</t>
        </is>
      </c>
    </row>
    <row r="1255" ht="14" customHeight="1">
      <c r="A1255" s="22" t="inlineStr">
        <is>
          <t>A4 (pig, herd)</t>
        </is>
      </c>
      <c r="B1255" s="22" t="inlineStr">
        <is>
          <t>Pig meat: herd size (EU)</t>
        </is>
      </c>
      <c r="C1255" s="22" t="inlineStr">
        <is>
          <t>Agriculture</t>
        </is>
      </c>
      <c r="D1255" s="22" t="inlineStr">
        <is>
          <t>million heads</t>
        </is>
      </c>
      <c r="E1255" s="65" t="n">
        <v>2014</v>
      </c>
      <c r="F1255" s="66" t="n">
        <v>138.4</v>
      </c>
      <c r="G1255" s="67" t="inlineStr">
        <is>
          <t>In the 2024 report</t>
        </is>
      </c>
      <c r="H1255" s="22" t="inlineStr">
        <is>
          <t>EU GHG inventory (CRF) livestock populations; 2021+ Eurostat apro_mt_lspig (swine) survey trend</t>
        </is>
      </c>
      <c r="I1255" s="35" t="inlineStr">
        <is>
          <t>esabcc-a4-pig-herd-size</t>
        </is>
      </c>
    </row>
    <row r="1256" ht="14" customHeight="1">
      <c r="A1256" s="15" t="inlineStr">
        <is>
          <t>A4 (pig, herd)</t>
        </is>
      </c>
      <c r="B1256" s="15" t="inlineStr">
        <is>
          <t>Pig meat: herd size (EU)</t>
        </is>
      </c>
      <c r="C1256" s="15" t="inlineStr">
        <is>
          <t>Agriculture</t>
        </is>
      </c>
      <c r="D1256" s="15" t="inlineStr">
        <is>
          <t>million heads</t>
        </is>
      </c>
      <c r="E1256" s="63" t="n">
        <v>2015</v>
      </c>
      <c r="F1256" s="64" t="n">
        <v>139.4</v>
      </c>
      <c r="G1256" s="14" t="inlineStr">
        <is>
          <t>In the 2024 report</t>
        </is>
      </c>
      <c r="H1256" s="15" t="inlineStr">
        <is>
          <t>EU GHG inventory (CRF) livestock populations; 2021+ Eurostat apro_mt_lspig (swine) survey trend</t>
        </is>
      </c>
      <c r="I1256" s="34" t="inlineStr">
        <is>
          <t>esabcc-a4-pig-herd-size</t>
        </is>
      </c>
    </row>
    <row r="1257" ht="14" customHeight="1">
      <c r="A1257" s="22" t="inlineStr">
        <is>
          <t>A4 (pig, herd)</t>
        </is>
      </c>
      <c r="B1257" s="22" t="inlineStr">
        <is>
          <t>Pig meat: herd size (EU)</t>
        </is>
      </c>
      <c r="C1257" s="22" t="inlineStr">
        <is>
          <t>Agriculture</t>
        </is>
      </c>
      <c r="D1257" s="22" t="inlineStr">
        <is>
          <t>million heads</t>
        </is>
      </c>
      <c r="E1257" s="65" t="n">
        <v>2016</v>
      </c>
      <c r="F1257" s="66" t="n">
        <v>137.7</v>
      </c>
      <c r="G1257" s="67" t="inlineStr">
        <is>
          <t>In the 2024 report</t>
        </is>
      </c>
      <c r="H1257" s="22" t="inlineStr">
        <is>
          <t>EU GHG inventory (CRF) livestock populations; 2021+ Eurostat apro_mt_lspig (swine) survey trend</t>
        </is>
      </c>
      <c r="I1257" s="35" t="inlineStr">
        <is>
          <t>esabcc-a4-pig-herd-size</t>
        </is>
      </c>
    </row>
    <row r="1258" ht="14" customHeight="1">
      <c r="A1258" s="15" t="inlineStr">
        <is>
          <t>A4 (pig, herd)</t>
        </is>
      </c>
      <c r="B1258" s="15" t="inlineStr">
        <is>
          <t>Pig meat: herd size (EU)</t>
        </is>
      </c>
      <c r="C1258" s="15" t="inlineStr">
        <is>
          <t>Agriculture</t>
        </is>
      </c>
      <c r="D1258" s="15" t="inlineStr">
        <is>
          <t>million heads</t>
        </is>
      </c>
      <c r="E1258" s="63" t="n">
        <v>2017</v>
      </c>
      <c r="F1258" s="64" t="n">
        <v>138.8</v>
      </c>
      <c r="G1258" s="14" t="inlineStr">
        <is>
          <t>In the 2024 report</t>
        </is>
      </c>
      <c r="H1258" s="15" t="inlineStr">
        <is>
          <t>EU GHG inventory (CRF) livestock populations; 2021+ Eurostat apro_mt_lspig (swine) survey trend</t>
        </is>
      </c>
      <c r="I1258" s="34" t="inlineStr">
        <is>
          <t>esabcc-a4-pig-herd-size</t>
        </is>
      </c>
    </row>
    <row r="1259" ht="14" customHeight="1">
      <c r="A1259" s="22" t="inlineStr">
        <is>
          <t>A4 (pig, herd)</t>
        </is>
      </c>
      <c r="B1259" s="22" t="inlineStr">
        <is>
          <t>Pig meat: herd size (EU)</t>
        </is>
      </c>
      <c r="C1259" s="22" t="inlineStr">
        <is>
          <t>Agriculture</t>
        </is>
      </c>
      <c r="D1259" s="22" t="inlineStr">
        <is>
          <t>million heads</t>
        </is>
      </c>
      <c r="E1259" s="65" t="n">
        <v>2018</v>
      </c>
      <c r="F1259" s="66" t="n">
        <v>139.7</v>
      </c>
      <c r="G1259" s="67" t="inlineStr">
        <is>
          <t>In the 2024 report</t>
        </is>
      </c>
      <c r="H1259" s="22" t="inlineStr">
        <is>
          <t>EU GHG inventory (CRF) livestock populations; 2021+ Eurostat apro_mt_lspig (swine) survey trend</t>
        </is>
      </c>
      <c r="I1259" s="35" t="inlineStr">
        <is>
          <t>esabcc-a4-pig-herd-size</t>
        </is>
      </c>
    </row>
    <row r="1260" ht="14" customHeight="1">
      <c r="A1260" s="15" t="inlineStr">
        <is>
          <t>A4 (pig, herd)</t>
        </is>
      </c>
      <c r="B1260" s="15" t="inlineStr">
        <is>
          <t>Pig meat: herd size (EU)</t>
        </is>
      </c>
      <c r="C1260" s="15" t="inlineStr">
        <is>
          <t>Agriculture</t>
        </is>
      </c>
      <c r="D1260" s="15" t="inlineStr">
        <is>
          <t>million heads</t>
        </is>
      </c>
      <c r="E1260" s="63" t="n">
        <v>2019</v>
      </c>
      <c r="F1260" s="64" t="n">
        <v>137.4</v>
      </c>
      <c r="G1260" s="14" t="inlineStr">
        <is>
          <t>In the 2024 report</t>
        </is>
      </c>
      <c r="H1260" s="15" t="inlineStr">
        <is>
          <t>EU GHG inventory (CRF) livestock populations; 2021+ Eurostat apro_mt_lspig (swine) survey trend</t>
        </is>
      </c>
      <c r="I1260" s="34" t="inlineStr">
        <is>
          <t>esabcc-a4-pig-herd-size</t>
        </is>
      </c>
    </row>
    <row r="1261" ht="14" customHeight="1">
      <c r="A1261" s="22" t="inlineStr">
        <is>
          <t>A4 (pig, herd)</t>
        </is>
      </c>
      <c r="B1261" s="22" t="inlineStr">
        <is>
          <t>Pig meat: herd size (EU)</t>
        </is>
      </c>
      <c r="C1261" s="22" t="inlineStr">
        <is>
          <t>Agriculture</t>
        </is>
      </c>
      <c r="D1261" s="22" t="inlineStr">
        <is>
          <t>million heads</t>
        </is>
      </c>
      <c r="E1261" s="65" t="n">
        <v>2020</v>
      </c>
      <c r="F1261" s="66" t="n">
        <v>140</v>
      </c>
      <c r="G1261" s="67" t="inlineStr">
        <is>
          <t>In the 2024 report</t>
        </is>
      </c>
      <c r="H1261" s="22" t="inlineStr">
        <is>
          <t>EU GHG inventory (CRF) livestock populations; 2021+ Eurostat apro_mt_lspig (swine) survey trend</t>
        </is>
      </c>
      <c r="I1261" s="35" t="inlineStr">
        <is>
          <t>esabcc-a4-pig-herd-size</t>
        </is>
      </c>
    </row>
    <row r="1262" ht="14" customHeight="1">
      <c r="A1262" s="15" t="inlineStr">
        <is>
          <t>A4 (pig, herd)</t>
        </is>
      </c>
      <c r="B1262" s="15" t="inlineStr">
        <is>
          <t>Pig meat: herd size (EU)</t>
        </is>
      </c>
      <c r="C1262" s="15" t="inlineStr">
        <is>
          <t>Agriculture</t>
        </is>
      </c>
      <c r="D1262" s="15" t="inlineStr">
        <is>
          <t>million heads</t>
        </is>
      </c>
      <c r="E1262" s="63" t="n">
        <v>2021</v>
      </c>
      <c r="F1262" s="64" t="n">
        <v>135.9</v>
      </c>
      <c r="G1262" s="68" t="inlineStr">
        <is>
          <t>Added since the report</t>
        </is>
      </c>
      <c r="H1262" s="15" t="inlineStr">
        <is>
          <t>EU GHG inventory (CRF) livestock populations; 2021+ Eurostat apro_mt_lspig (swine) survey trend</t>
        </is>
      </c>
      <c r="I1262" s="34" t="inlineStr">
        <is>
          <t>esabcc-a4-pig-herd-size</t>
        </is>
      </c>
    </row>
    <row r="1263" ht="14" customHeight="1">
      <c r="A1263" s="22" t="inlineStr">
        <is>
          <t>A4 (pig, herd)</t>
        </is>
      </c>
      <c r="B1263" s="22" t="inlineStr">
        <is>
          <t>Pig meat: herd size (EU)</t>
        </is>
      </c>
      <c r="C1263" s="22" t="inlineStr">
        <is>
          <t>Agriculture</t>
        </is>
      </c>
      <c r="D1263" s="22" t="inlineStr">
        <is>
          <t>million heads</t>
        </is>
      </c>
      <c r="E1263" s="65" t="n">
        <v>2022</v>
      </c>
      <c r="F1263" s="66" t="n">
        <v>129</v>
      </c>
      <c r="G1263" s="69" t="inlineStr">
        <is>
          <t>Added since the report</t>
        </is>
      </c>
      <c r="H1263" s="22" t="inlineStr">
        <is>
          <t>EU GHG inventory (CRF) livestock populations; 2021+ Eurostat apro_mt_lspig (swine) survey trend</t>
        </is>
      </c>
      <c r="I1263" s="35" t="inlineStr">
        <is>
          <t>esabcc-a4-pig-herd-size</t>
        </is>
      </c>
    </row>
    <row r="1264" ht="14" customHeight="1">
      <c r="A1264" s="15" t="inlineStr">
        <is>
          <t>A4 (pig, herd)</t>
        </is>
      </c>
      <c r="B1264" s="15" t="inlineStr">
        <is>
          <t>Pig meat: herd size (EU)</t>
        </is>
      </c>
      <c r="C1264" s="15" t="inlineStr">
        <is>
          <t>Agriculture</t>
        </is>
      </c>
      <c r="D1264" s="15" t="inlineStr">
        <is>
          <t>million heads</t>
        </is>
      </c>
      <c r="E1264" s="63" t="n">
        <v>2023</v>
      </c>
      <c r="F1264" s="64" t="n">
        <v>127.5</v>
      </c>
      <c r="G1264" s="68" t="inlineStr">
        <is>
          <t>Added since the report</t>
        </is>
      </c>
      <c r="H1264" s="15" t="inlineStr">
        <is>
          <t>EU GHG inventory (CRF) livestock populations; 2021+ Eurostat apro_mt_lspig (swine) survey trend</t>
        </is>
      </c>
      <c r="I1264" s="34" t="inlineStr">
        <is>
          <t>esabcc-a4-pig-herd-size</t>
        </is>
      </c>
    </row>
    <row r="1265" ht="14" customHeight="1">
      <c r="A1265" s="22" t="inlineStr">
        <is>
          <t>A4 (pig, herd)</t>
        </is>
      </c>
      <c r="B1265" s="22" t="inlineStr">
        <is>
          <t>Pig meat: herd size (EU)</t>
        </is>
      </c>
      <c r="C1265" s="22" t="inlineStr">
        <is>
          <t>Agriculture</t>
        </is>
      </c>
      <c r="D1265" s="22" t="inlineStr">
        <is>
          <t>million heads</t>
        </is>
      </c>
      <c r="E1265" s="65" t="n">
        <v>2024</v>
      </c>
      <c r="F1265" s="66" t="n">
        <v>126.8</v>
      </c>
      <c r="G1265" s="69" t="inlineStr">
        <is>
          <t>Added since the report</t>
        </is>
      </c>
      <c r="H1265" s="22" t="inlineStr">
        <is>
          <t>EU GHG inventory (CRF) livestock populations; 2021+ Eurostat apro_mt_lspig (swine) survey trend</t>
        </is>
      </c>
      <c r="I1265" s="35" t="inlineStr">
        <is>
          <t>esabcc-a4-pig-herd-size</t>
        </is>
      </c>
    </row>
    <row r="1266" ht="14" customHeight="1">
      <c r="A1266" s="15" t="inlineStr">
        <is>
          <t>A4 (pig, herd)</t>
        </is>
      </c>
      <c r="B1266" s="15" t="inlineStr">
        <is>
          <t>Pig meat: herd size (EU)</t>
        </is>
      </c>
      <c r="C1266" s="15" t="inlineStr">
        <is>
          <t>Agriculture</t>
        </is>
      </c>
      <c r="D1266" s="15" t="inlineStr">
        <is>
          <t>million heads</t>
        </is>
      </c>
      <c r="E1266" s="63" t="n">
        <v>2025</v>
      </c>
      <c r="F1266" s="64" t="n">
        <v>126.1</v>
      </c>
      <c r="G1266" s="68" t="inlineStr">
        <is>
          <t>Added since the report</t>
        </is>
      </c>
      <c r="H1266" s="15" t="inlineStr">
        <is>
          <t>EU GHG inventory (CRF) livestock populations; 2021+ Eurostat apro_mt_lspig (swine) survey trend</t>
        </is>
      </c>
      <c r="I1266" s="34" t="inlineStr">
        <is>
          <t>esabcc-a4-pig-herd-size</t>
        </is>
      </c>
    </row>
    <row r="1267" ht="14" customHeight="1">
      <c r="A1267" s="22" t="inlineStr">
        <is>
          <t>A5 (bovine)</t>
        </is>
      </c>
      <c r="B1267" s="22" t="inlineStr">
        <is>
          <t>Average bovine meat consumption (EU)</t>
        </is>
      </c>
      <c r="C1267" s="22" t="inlineStr">
        <is>
          <t>Agriculture</t>
        </is>
      </c>
      <c r="D1267" s="22" t="inlineStr">
        <is>
          <t>kcal/cap/day</t>
        </is>
      </c>
      <c r="E1267" s="65" t="n">
        <v>2010</v>
      </c>
      <c r="F1267" s="66" t="n">
        <v>61.35</v>
      </c>
      <c r="G1267" s="67" t="inlineStr">
        <is>
          <t>In the 2024 report</t>
        </is>
      </c>
      <c r="H1267" s="22" t="inlineStr">
        <is>
          <t>FAOSTAT food balance sheets</t>
        </is>
      </c>
      <c r="I1267" s="35" t="inlineStr">
        <is>
          <t>esabcc-a5-bovine-consumption</t>
        </is>
      </c>
    </row>
    <row r="1268" ht="14" customHeight="1">
      <c r="A1268" s="15" t="inlineStr">
        <is>
          <t>A5 (bovine)</t>
        </is>
      </c>
      <c r="B1268" s="15" t="inlineStr">
        <is>
          <t>Average bovine meat consumption (EU)</t>
        </is>
      </c>
      <c r="C1268" s="15" t="inlineStr">
        <is>
          <t>Agriculture</t>
        </is>
      </c>
      <c r="D1268" s="15" t="inlineStr">
        <is>
          <t>kcal/cap/day</t>
        </is>
      </c>
      <c r="E1268" s="63" t="n">
        <v>2011</v>
      </c>
      <c r="F1268" s="64" t="n">
        <v>58.61</v>
      </c>
      <c r="G1268" s="14" t="inlineStr">
        <is>
          <t>In the 2024 report</t>
        </is>
      </c>
      <c r="H1268" s="15" t="inlineStr">
        <is>
          <t>FAOSTAT food balance sheets</t>
        </is>
      </c>
      <c r="I1268" s="34" t="inlineStr">
        <is>
          <t>esabcc-a5-bovine-consumption</t>
        </is>
      </c>
    </row>
    <row r="1269" ht="14" customHeight="1">
      <c r="A1269" s="22" t="inlineStr">
        <is>
          <t>A5 (bovine)</t>
        </is>
      </c>
      <c r="B1269" s="22" t="inlineStr">
        <is>
          <t>Average bovine meat consumption (EU)</t>
        </is>
      </c>
      <c r="C1269" s="22" t="inlineStr">
        <is>
          <t>Agriculture</t>
        </is>
      </c>
      <c r="D1269" s="22" t="inlineStr">
        <is>
          <t>kcal/cap/day</t>
        </is>
      </c>
      <c r="E1269" s="65" t="n">
        <v>2012</v>
      </c>
      <c r="F1269" s="66" t="n">
        <v>57.58</v>
      </c>
      <c r="G1269" s="67" t="inlineStr">
        <is>
          <t>In the 2024 report</t>
        </is>
      </c>
      <c r="H1269" s="22" t="inlineStr">
        <is>
          <t>FAOSTAT food balance sheets</t>
        </is>
      </c>
      <c r="I1269" s="35" t="inlineStr">
        <is>
          <t>esabcc-a5-bovine-consumption</t>
        </is>
      </c>
    </row>
    <row r="1270" ht="14" customHeight="1">
      <c r="A1270" s="15" t="inlineStr">
        <is>
          <t>A5 (bovine)</t>
        </is>
      </c>
      <c r="B1270" s="15" t="inlineStr">
        <is>
          <t>Average bovine meat consumption (EU)</t>
        </is>
      </c>
      <c r="C1270" s="15" t="inlineStr">
        <is>
          <t>Agriculture</t>
        </is>
      </c>
      <c r="D1270" s="15" t="inlineStr">
        <is>
          <t>kcal/cap/day</t>
        </is>
      </c>
      <c r="E1270" s="63" t="n">
        <v>2013</v>
      </c>
      <c r="F1270" s="64" t="n">
        <v>55.36</v>
      </c>
      <c r="G1270" s="14" t="inlineStr">
        <is>
          <t>In the 2024 report</t>
        </is>
      </c>
      <c r="H1270" s="15" t="inlineStr">
        <is>
          <t>FAOSTAT food balance sheets</t>
        </is>
      </c>
      <c r="I1270" s="34" t="inlineStr">
        <is>
          <t>esabcc-a5-bovine-consumption</t>
        </is>
      </c>
    </row>
    <row r="1271" ht="14" customHeight="1">
      <c r="A1271" s="22" t="inlineStr">
        <is>
          <t>A5 (bovine)</t>
        </is>
      </c>
      <c r="B1271" s="22" t="inlineStr">
        <is>
          <t>Average bovine meat consumption (EU)</t>
        </is>
      </c>
      <c r="C1271" s="22" t="inlineStr">
        <is>
          <t>Agriculture</t>
        </is>
      </c>
      <c r="D1271" s="22" t="inlineStr">
        <is>
          <t>kcal/cap/day</t>
        </is>
      </c>
      <c r="E1271" s="65" t="n">
        <v>2014</v>
      </c>
      <c r="F1271" s="66" t="n">
        <v>52.58</v>
      </c>
      <c r="G1271" s="67" t="inlineStr">
        <is>
          <t>In the 2024 report</t>
        </is>
      </c>
      <c r="H1271" s="22" t="inlineStr">
        <is>
          <t>FAOSTAT food balance sheets</t>
        </is>
      </c>
      <c r="I1271" s="35" t="inlineStr">
        <is>
          <t>esabcc-a5-bovine-consumption</t>
        </is>
      </c>
    </row>
    <row r="1272" ht="14" customHeight="1">
      <c r="A1272" s="15" t="inlineStr">
        <is>
          <t>A5 (bovine)</t>
        </is>
      </c>
      <c r="B1272" s="15" t="inlineStr">
        <is>
          <t>Average bovine meat consumption (EU)</t>
        </is>
      </c>
      <c r="C1272" s="15" t="inlineStr">
        <is>
          <t>Agriculture</t>
        </is>
      </c>
      <c r="D1272" s="15" t="inlineStr">
        <is>
          <t>kcal/cap/day</t>
        </is>
      </c>
      <c r="E1272" s="63" t="n">
        <v>2015</v>
      </c>
      <c r="F1272" s="64" t="n">
        <v>51.75</v>
      </c>
      <c r="G1272" s="14" t="inlineStr">
        <is>
          <t>In the 2024 report</t>
        </is>
      </c>
      <c r="H1272" s="15" t="inlineStr">
        <is>
          <t>FAOSTAT food balance sheets</t>
        </is>
      </c>
      <c r="I1272" s="34" t="inlineStr">
        <is>
          <t>esabcc-a5-bovine-consumption</t>
        </is>
      </c>
    </row>
    <row r="1273" ht="14" customHeight="1">
      <c r="A1273" s="22" t="inlineStr">
        <is>
          <t>A5 (bovine)</t>
        </is>
      </c>
      <c r="B1273" s="22" t="inlineStr">
        <is>
          <t>Average bovine meat consumption (EU)</t>
        </is>
      </c>
      <c r="C1273" s="22" t="inlineStr">
        <is>
          <t>Agriculture</t>
        </is>
      </c>
      <c r="D1273" s="22" t="inlineStr">
        <is>
          <t>kcal/cap/day</t>
        </is>
      </c>
      <c r="E1273" s="65" t="n">
        <v>2016</v>
      </c>
      <c r="F1273" s="66" t="n">
        <v>52.15</v>
      </c>
      <c r="G1273" s="67" t="inlineStr">
        <is>
          <t>In the 2024 report</t>
        </is>
      </c>
      <c r="H1273" s="22" t="inlineStr">
        <is>
          <t>FAOSTAT food balance sheets</t>
        </is>
      </c>
      <c r="I1273" s="35" t="inlineStr">
        <is>
          <t>esabcc-a5-bovine-consumption</t>
        </is>
      </c>
    </row>
    <row r="1274" ht="14" customHeight="1">
      <c r="A1274" s="15" t="inlineStr">
        <is>
          <t>A5 (bovine)</t>
        </is>
      </c>
      <c r="B1274" s="15" t="inlineStr">
        <is>
          <t>Average bovine meat consumption (EU)</t>
        </is>
      </c>
      <c r="C1274" s="15" t="inlineStr">
        <is>
          <t>Agriculture</t>
        </is>
      </c>
      <c r="D1274" s="15" t="inlineStr">
        <is>
          <t>kcal/cap/day</t>
        </is>
      </c>
      <c r="E1274" s="63" t="n">
        <v>2017</v>
      </c>
      <c r="F1274" s="64" t="n">
        <v>51.15</v>
      </c>
      <c r="G1274" s="14" t="inlineStr">
        <is>
          <t>In the 2024 report</t>
        </is>
      </c>
      <c r="H1274" s="15" t="inlineStr">
        <is>
          <t>FAOSTAT food balance sheets</t>
        </is>
      </c>
      <c r="I1274" s="34" t="inlineStr">
        <is>
          <t>esabcc-a5-bovine-consumption</t>
        </is>
      </c>
    </row>
    <row r="1275" ht="14" customHeight="1">
      <c r="A1275" s="22" t="inlineStr">
        <is>
          <t>A5 (bovine)</t>
        </is>
      </c>
      <c r="B1275" s="22" t="inlineStr">
        <is>
          <t>Average bovine meat consumption (EU)</t>
        </is>
      </c>
      <c r="C1275" s="22" t="inlineStr">
        <is>
          <t>Agriculture</t>
        </is>
      </c>
      <c r="D1275" s="22" t="inlineStr">
        <is>
          <t>kcal/cap/day</t>
        </is>
      </c>
      <c r="E1275" s="65" t="n">
        <v>2018</v>
      </c>
      <c r="F1275" s="66" t="n">
        <v>52.93</v>
      </c>
      <c r="G1275" s="67" t="inlineStr">
        <is>
          <t>In the 2024 report</t>
        </is>
      </c>
      <c r="H1275" s="22" t="inlineStr">
        <is>
          <t>FAOSTAT food balance sheets</t>
        </is>
      </c>
      <c r="I1275" s="35" t="inlineStr">
        <is>
          <t>esabcc-a5-bovine-consumption</t>
        </is>
      </c>
    </row>
    <row r="1276" ht="14" customHeight="1">
      <c r="A1276" s="15" t="inlineStr">
        <is>
          <t>A5 (bovine)</t>
        </is>
      </c>
      <c r="B1276" s="15" t="inlineStr">
        <is>
          <t>Average bovine meat consumption (EU)</t>
        </is>
      </c>
      <c r="C1276" s="15" t="inlineStr">
        <is>
          <t>Agriculture</t>
        </is>
      </c>
      <c r="D1276" s="15" t="inlineStr">
        <is>
          <t>kcal/cap/day</t>
        </is>
      </c>
      <c r="E1276" s="63" t="n">
        <v>2019</v>
      </c>
      <c r="F1276" s="64" t="n">
        <v>53.35</v>
      </c>
      <c r="G1276" s="14" t="inlineStr">
        <is>
          <t>In the 2024 report</t>
        </is>
      </c>
      <c r="H1276" s="15" t="inlineStr">
        <is>
          <t>FAOSTAT food balance sheets</t>
        </is>
      </c>
      <c r="I1276" s="34" t="inlineStr">
        <is>
          <t>esabcc-a5-bovine-consumption</t>
        </is>
      </c>
    </row>
    <row r="1277" ht="14" customHeight="1">
      <c r="A1277" s="22" t="inlineStr">
        <is>
          <t>A5 (bovine)</t>
        </is>
      </c>
      <c r="B1277" s="22" t="inlineStr">
        <is>
          <t>Average bovine meat consumption (EU)</t>
        </is>
      </c>
      <c r="C1277" s="22" t="inlineStr">
        <is>
          <t>Agriculture</t>
        </is>
      </c>
      <c r="D1277" s="22" t="inlineStr">
        <is>
          <t>kcal/cap/day</t>
        </is>
      </c>
      <c r="E1277" s="65" t="n">
        <v>2020</v>
      </c>
      <c r="F1277" s="66" t="n">
        <v>52.12</v>
      </c>
      <c r="G1277" s="67" t="inlineStr">
        <is>
          <t>In the 2024 report</t>
        </is>
      </c>
      <c r="H1277" s="22" t="inlineStr">
        <is>
          <t>FAOSTAT food balance sheets</t>
        </is>
      </c>
      <c r="I1277" s="35" t="inlineStr">
        <is>
          <t>esabcc-a5-bovine-consumption</t>
        </is>
      </c>
    </row>
    <row r="1278" ht="14" customHeight="1">
      <c r="A1278" s="15" t="inlineStr">
        <is>
          <t>A5 (dairy)</t>
        </is>
      </c>
      <c r="B1278" s="15" t="inlineStr">
        <is>
          <t>Average dairy products consumption (EU)</t>
        </is>
      </c>
      <c r="C1278" s="15" t="inlineStr">
        <is>
          <t>Agriculture</t>
        </is>
      </c>
      <c r="D1278" s="15" t="inlineStr">
        <is>
          <t>kcal/cap/day</t>
        </is>
      </c>
      <c r="E1278" s="63" t="n">
        <v>2010</v>
      </c>
      <c r="F1278" s="64" t="n">
        <v>445.9</v>
      </c>
      <c r="G1278" s="14" t="inlineStr">
        <is>
          <t>In the 2024 report</t>
        </is>
      </c>
      <c r="H1278" s="15" t="inlineStr">
        <is>
          <t>FAOSTAT food balance sheets</t>
        </is>
      </c>
      <c r="I1278" s="34" t="inlineStr">
        <is>
          <t>esabcc-a5-dairy-consumption</t>
        </is>
      </c>
    </row>
    <row r="1279" ht="14" customHeight="1">
      <c r="A1279" s="22" t="inlineStr">
        <is>
          <t>A5 (dairy)</t>
        </is>
      </c>
      <c r="B1279" s="22" t="inlineStr">
        <is>
          <t>Average dairy products consumption (EU)</t>
        </is>
      </c>
      <c r="C1279" s="22" t="inlineStr">
        <is>
          <t>Agriculture</t>
        </is>
      </c>
      <c r="D1279" s="22" t="inlineStr">
        <is>
          <t>kcal/cap/day</t>
        </is>
      </c>
      <c r="E1279" s="65" t="n">
        <v>2011</v>
      </c>
      <c r="F1279" s="66" t="n">
        <v>449.1</v>
      </c>
      <c r="G1279" s="67" t="inlineStr">
        <is>
          <t>In the 2024 report</t>
        </is>
      </c>
      <c r="H1279" s="22" t="inlineStr">
        <is>
          <t>FAOSTAT food balance sheets</t>
        </is>
      </c>
      <c r="I1279" s="35" t="inlineStr">
        <is>
          <t>esabcc-a5-dairy-consumption</t>
        </is>
      </c>
    </row>
    <row r="1280" ht="14" customHeight="1">
      <c r="A1280" s="15" t="inlineStr">
        <is>
          <t>A5 (dairy)</t>
        </is>
      </c>
      <c r="B1280" s="15" t="inlineStr">
        <is>
          <t>Average dairy products consumption (EU)</t>
        </is>
      </c>
      <c r="C1280" s="15" t="inlineStr">
        <is>
          <t>Agriculture</t>
        </is>
      </c>
      <c r="D1280" s="15" t="inlineStr">
        <is>
          <t>kcal/cap/day</t>
        </is>
      </c>
      <c r="E1280" s="63" t="n">
        <v>2012</v>
      </c>
      <c r="F1280" s="64" t="n">
        <v>445.8</v>
      </c>
      <c r="G1280" s="14" t="inlineStr">
        <is>
          <t>In the 2024 report</t>
        </is>
      </c>
      <c r="H1280" s="15" t="inlineStr">
        <is>
          <t>FAOSTAT food balance sheets</t>
        </is>
      </c>
      <c r="I1280" s="34" t="inlineStr">
        <is>
          <t>esabcc-a5-dairy-consumption</t>
        </is>
      </c>
    </row>
    <row r="1281" ht="14" customHeight="1">
      <c r="A1281" s="22" t="inlineStr">
        <is>
          <t>A5 (dairy)</t>
        </is>
      </c>
      <c r="B1281" s="22" t="inlineStr">
        <is>
          <t>Average dairy products consumption (EU)</t>
        </is>
      </c>
      <c r="C1281" s="22" t="inlineStr">
        <is>
          <t>Agriculture</t>
        </is>
      </c>
      <c r="D1281" s="22" t="inlineStr">
        <is>
          <t>kcal/cap/day</t>
        </is>
      </c>
      <c r="E1281" s="65" t="n">
        <v>2013</v>
      </c>
      <c r="F1281" s="66" t="n">
        <v>446</v>
      </c>
      <c r="G1281" s="67" t="inlineStr">
        <is>
          <t>In the 2024 report</t>
        </is>
      </c>
      <c r="H1281" s="22" t="inlineStr">
        <is>
          <t>FAOSTAT food balance sheets</t>
        </is>
      </c>
      <c r="I1281" s="35" t="inlineStr">
        <is>
          <t>esabcc-a5-dairy-consumption</t>
        </is>
      </c>
    </row>
    <row r="1282" ht="14" customHeight="1">
      <c r="A1282" s="15" t="inlineStr">
        <is>
          <t>A5 (dairy)</t>
        </is>
      </c>
      <c r="B1282" s="15" t="inlineStr">
        <is>
          <t>Average dairy products consumption (EU)</t>
        </is>
      </c>
      <c r="C1282" s="15" t="inlineStr">
        <is>
          <t>Agriculture</t>
        </is>
      </c>
      <c r="D1282" s="15" t="inlineStr">
        <is>
          <t>kcal/cap/day</t>
        </is>
      </c>
      <c r="E1282" s="63" t="n">
        <v>2014</v>
      </c>
      <c r="F1282" s="64" t="n">
        <v>448.1</v>
      </c>
      <c r="G1282" s="14" t="inlineStr">
        <is>
          <t>In the 2024 report</t>
        </is>
      </c>
      <c r="H1282" s="15" t="inlineStr">
        <is>
          <t>FAOSTAT food balance sheets</t>
        </is>
      </c>
      <c r="I1282" s="34" t="inlineStr">
        <is>
          <t>esabcc-a5-dairy-consumption</t>
        </is>
      </c>
    </row>
    <row r="1283" ht="14" customHeight="1">
      <c r="A1283" s="22" t="inlineStr">
        <is>
          <t>A5 (dairy)</t>
        </is>
      </c>
      <c r="B1283" s="22" t="inlineStr">
        <is>
          <t>Average dairy products consumption (EU)</t>
        </is>
      </c>
      <c r="C1283" s="22" t="inlineStr">
        <is>
          <t>Agriculture</t>
        </is>
      </c>
      <c r="D1283" s="22" t="inlineStr">
        <is>
          <t>kcal/cap/day</t>
        </is>
      </c>
      <c r="E1283" s="65" t="n">
        <v>2015</v>
      </c>
      <c r="F1283" s="66" t="n">
        <v>454.4</v>
      </c>
      <c r="G1283" s="67" t="inlineStr">
        <is>
          <t>In the 2024 report</t>
        </is>
      </c>
      <c r="H1283" s="22" t="inlineStr">
        <is>
          <t>FAOSTAT food balance sheets</t>
        </is>
      </c>
      <c r="I1283" s="35" t="inlineStr">
        <is>
          <t>esabcc-a5-dairy-consumption</t>
        </is>
      </c>
    </row>
    <row r="1284" ht="14" customHeight="1">
      <c r="A1284" s="15" t="inlineStr">
        <is>
          <t>A5 (dairy)</t>
        </is>
      </c>
      <c r="B1284" s="15" t="inlineStr">
        <is>
          <t>Average dairy products consumption (EU)</t>
        </is>
      </c>
      <c r="C1284" s="15" t="inlineStr">
        <is>
          <t>Agriculture</t>
        </is>
      </c>
      <c r="D1284" s="15" t="inlineStr">
        <is>
          <t>kcal/cap/day</t>
        </is>
      </c>
      <c r="E1284" s="63" t="n">
        <v>2016</v>
      </c>
      <c r="F1284" s="64" t="n">
        <v>459.9</v>
      </c>
      <c r="G1284" s="14" t="inlineStr">
        <is>
          <t>In the 2024 report</t>
        </is>
      </c>
      <c r="H1284" s="15" t="inlineStr">
        <is>
          <t>FAOSTAT food balance sheets</t>
        </is>
      </c>
      <c r="I1284" s="34" t="inlineStr">
        <is>
          <t>esabcc-a5-dairy-consumption</t>
        </is>
      </c>
    </row>
    <row r="1285" ht="14" customHeight="1">
      <c r="A1285" s="22" t="inlineStr">
        <is>
          <t>A5 (dairy)</t>
        </is>
      </c>
      <c r="B1285" s="22" t="inlineStr">
        <is>
          <t>Average dairy products consumption (EU)</t>
        </is>
      </c>
      <c r="C1285" s="22" t="inlineStr">
        <is>
          <t>Agriculture</t>
        </is>
      </c>
      <c r="D1285" s="22" t="inlineStr">
        <is>
          <t>kcal/cap/day</t>
        </is>
      </c>
      <c r="E1285" s="65" t="n">
        <v>2017</v>
      </c>
      <c r="F1285" s="66" t="n">
        <v>464.5</v>
      </c>
      <c r="G1285" s="67" t="inlineStr">
        <is>
          <t>In the 2024 report</t>
        </is>
      </c>
      <c r="H1285" s="22" t="inlineStr">
        <is>
          <t>FAOSTAT food balance sheets</t>
        </is>
      </c>
      <c r="I1285" s="35" t="inlineStr">
        <is>
          <t>esabcc-a5-dairy-consumption</t>
        </is>
      </c>
    </row>
    <row r="1286" ht="14" customHeight="1">
      <c r="A1286" s="15" t="inlineStr">
        <is>
          <t>A5 (dairy)</t>
        </is>
      </c>
      <c r="B1286" s="15" t="inlineStr">
        <is>
          <t>Average dairy products consumption (EU)</t>
        </is>
      </c>
      <c r="C1286" s="15" t="inlineStr">
        <is>
          <t>Agriculture</t>
        </is>
      </c>
      <c r="D1286" s="15" t="inlineStr">
        <is>
          <t>kcal/cap/day</t>
        </is>
      </c>
      <c r="E1286" s="63" t="n">
        <v>2018</v>
      </c>
      <c r="F1286" s="64" t="n">
        <v>475.6</v>
      </c>
      <c r="G1286" s="14" t="inlineStr">
        <is>
          <t>In the 2024 report</t>
        </is>
      </c>
      <c r="H1286" s="15" t="inlineStr">
        <is>
          <t>FAOSTAT food balance sheets</t>
        </is>
      </c>
      <c r="I1286" s="34" t="inlineStr">
        <is>
          <t>esabcc-a5-dairy-consumption</t>
        </is>
      </c>
    </row>
    <row r="1287" ht="14" customHeight="1">
      <c r="A1287" s="22" t="inlineStr">
        <is>
          <t>A5 (dairy)</t>
        </is>
      </c>
      <c r="B1287" s="22" t="inlineStr">
        <is>
          <t>Average dairy products consumption (EU)</t>
        </is>
      </c>
      <c r="C1287" s="22" t="inlineStr">
        <is>
          <t>Agriculture</t>
        </is>
      </c>
      <c r="D1287" s="22" t="inlineStr">
        <is>
          <t>kcal/cap/day</t>
        </is>
      </c>
      <c r="E1287" s="65" t="n">
        <v>2019</v>
      </c>
      <c r="F1287" s="66" t="n">
        <v>535.9</v>
      </c>
      <c r="G1287" s="67" t="inlineStr">
        <is>
          <t>In the 2024 report</t>
        </is>
      </c>
      <c r="H1287" s="22" t="inlineStr">
        <is>
          <t>FAOSTAT food balance sheets</t>
        </is>
      </c>
      <c r="I1287" s="35" t="inlineStr">
        <is>
          <t>esabcc-a5-dairy-consumption</t>
        </is>
      </c>
    </row>
    <row r="1288" ht="14" customHeight="1">
      <c r="A1288" s="15" t="inlineStr">
        <is>
          <t>A5 (dairy)</t>
        </is>
      </c>
      <c r="B1288" s="15" t="inlineStr">
        <is>
          <t>Average dairy products consumption (EU)</t>
        </is>
      </c>
      <c r="C1288" s="15" t="inlineStr">
        <is>
          <t>Agriculture</t>
        </is>
      </c>
      <c r="D1288" s="15" t="inlineStr">
        <is>
          <t>kcal/cap/day</t>
        </is>
      </c>
      <c r="E1288" s="63" t="n">
        <v>2020</v>
      </c>
      <c r="F1288" s="64" t="n">
        <v>545.1</v>
      </c>
      <c r="G1288" s="14" t="inlineStr">
        <is>
          <t>In the 2024 report</t>
        </is>
      </c>
      <c r="H1288" s="15" t="inlineStr">
        <is>
          <t>FAOSTAT food balance sheets</t>
        </is>
      </c>
      <c r="I1288" s="34" t="inlineStr">
        <is>
          <t>esabcc-a5-dairy-consumption</t>
        </is>
      </c>
    </row>
    <row r="1289" ht="14" customHeight="1">
      <c r="A1289" s="22" t="inlineStr">
        <is>
          <t>A5 (dairy)</t>
        </is>
      </c>
      <c r="B1289" s="22" t="inlineStr">
        <is>
          <t>Average dairy products consumption (EU)</t>
        </is>
      </c>
      <c r="C1289" s="22" t="inlineStr">
        <is>
          <t>Agriculture</t>
        </is>
      </c>
      <c r="D1289" s="22" t="inlineStr">
        <is>
          <t>kcal/cap/day</t>
        </is>
      </c>
      <c r="E1289" s="65" t="n">
        <v>2021</v>
      </c>
      <c r="F1289" s="66" t="n">
        <v>550.4</v>
      </c>
      <c r="G1289" s="67" t="inlineStr">
        <is>
          <t>In the 2024 report</t>
        </is>
      </c>
      <c r="H1289" s="22" t="inlineStr">
        <is>
          <t>FAOSTAT food balance sheets</t>
        </is>
      </c>
      <c r="I1289" s="35" t="inlineStr">
        <is>
          <t>esabcc-a5-dairy-consumption</t>
        </is>
      </c>
    </row>
    <row r="1290" ht="14" customHeight="1">
      <c r="A1290" s="15" t="inlineStr">
        <is>
          <t>A5 (pig)</t>
        </is>
      </c>
      <c r="B1290" s="15" t="inlineStr">
        <is>
          <t>Average pig meat consumption (EU)</t>
        </is>
      </c>
      <c r="C1290" s="15" t="inlineStr">
        <is>
          <t>Agriculture</t>
        </is>
      </c>
      <c r="D1290" s="15" t="inlineStr">
        <is>
          <t>kcal/cap/day</t>
        </is>
      </c>
      <c r="E1290" s="63" t="n">
        <v>2010</v>
      </c>
      <c r="F1290" s="64" t="n">
        <v>222.4</v>
      </c>
      <c r="G1290" s="14" t="inlineStr">
        <is>
          <t>In the 2024 report</t>
        </is>
      </c>
      <c r="H1290" s="15" t="inlineStr">
        <is>
          <t>FAOSTAT food balance sheets</t>
        </is>
      </c>
      <c r="I1290" s="34" t="inlineStr">
        <is>
          <t>esabcc-a5-pig-consumption</t>
        </is>
      </c>
    </row>
    <row r="1291" ht="14" customHeight="1">
      <c r="A1291" s="22" t="inlineStr">
        <is>
          <t>A5 (pig)</t>
        </is>
      </c>
      <c r="B1291" s="22" t="inlineStr">
        <is>
          <t>Average pig meat consumption (EU)</t>
        </is>
      </c>
      <c r="C1291" s="22" t="inlineStr">
        <is>
          <t>Agriculture</t>
        </is>
      </c>
      <c r="D1291" s="22" t="inlineStr">
        <is>
          <t>kcal/cap/day</t>
        </is>
      </c>
      <c r="E1291" s="65" t="n">
        <v>2011</v>
      </c>
      <c r="F1291" s="66" t="n">
        <v>219.3</v>
      </c>
      <c r="G1291" s="67" t="inlineStr">
        <is>
          <t>In the 2024 report</t>
        </is>
      </c>
      <c r="H1291" s="22" t="inlineStr">
        <is>
          <t>FAOSTAT food balance sheets</t>
        </is>
      </c>
      <c r="I1291" s="35" t="inlineStr">
        <is>
          <t>esabcc-a5-pig-consumption</t>
        </is>
      </c>
    </row>
    <row r="1292" ht="14" customHeight="1">
      <c r="A1292" s="15" t="inlineStr">
        <is>
          <t>A5 (pig)</t>
        </is>
      </c>
      <c r="B1292" s="15" t="inlineStr">
        <is>
          <t>Average pig meat consumption (EU)</t>
        </is>
      </c>
      <c r="C1292" s="15" t="inlineStr">
        <is>
          <t>Agriculture</t>
        </is>
      </c>
      <c r="D1292" s="15" t="inlineStr">
        <is>
          <t>kcal/cap/day</t>
        </is>
      </c>
      <c r="E1292" s="63" t="n">
        <v>2012</v>
      </c>
      <c r="F1292" s="64" t="n">
        <v>214.2</v>
      </c>
      <c r="G1292" s="14" t="inlineStr">
        <is>
          <t>In the 2024 report</t>
        </is>
      </c>
      <c r="H1292" s="15" t="inlineStr">
        <is>
          <t>FAOSTAT food balance sheets</t>
        </is>
      </c>
      <c r="I1292" s="34" t="inlineStr">
        <is>
          <t>esabcc-a5-pig-consumption</t>
        </is>
      </c>
    </row>
    <row r="1293" ht="14" customHeight="1">
      <c r="A1293" s="22" t="inlineStr">
        <is>
          <t>A5 (pig)</t>
        </is>
      </c>
      <c r="B1293" s="22" t="inlineStr">
        <is>
          <t>Average pig meat consumption (EU)</t>
        </is>
      </c>
      <c r="C1293" s="22" t="inlineStr">
        <is>
          <t>Agriculture</t>
        </is>
      </c>
      <c r="D1293" s="22" t="inlineStr">
        <is>
          <t>kcal/cap/day</t>
        </is>
      </c>
      <c r="E1293" s="65" t="n">
        <v>2013</v>
      </c>
      <c r="F1293" s="66" t="n">
        <v>210</v>
      </c>
      <c r="G1293" s="67" t="inlineStr">
        <is>
          <t>In the 2024 report</t>
        </is>
      </c>
      <c r="H1293" s="22" t="inlineStr">
        <is>
          <t>FAOSTAT food balance sheets</t>
        </is>
      </c>
      <c r="I1293" s="35" t="inlineStr">
        <is>
          <t>esabcc-a5-pig-consumption</t>
        </is>
      </c>
    </row>
    <row r="1294" ht="14" customHeight="1">
      <c r="A1294" s="15" t="inlineStr">
        <is>
          <t>A5 (pig)</t>
        </is>
      </c>
      <c r="B1294" s="15" t="inlineStr">
        <is>
          <t>Average pig meat consumption (EU)</t>
        </is>
      </c>
      <c r="C1294" s="15" t="inlineStr">
        <is>
          <t>Agriculture</t>
        </is>
      </c>
      <c r="D1294" s="15" t="inlineStr">
        <is>
          <t>kcal/cap/day</t>
        </is>
      </c>
      <c r="E1294" s="63" t="n">
        <v>2014</v>
      </c>
      <c r="F1294" s="64" t="n">
        <v>207.2</v>
      </c>
      <c r="G1294" s="14" t="inlineStr">
        <is>
          <t>In the 2024 report</t>
        </is>
      </c>
      <c r="H1294" s="15" t="inlineStr">
        <is>
          <t>FAOSTAT food balance sheets</t>
        </is>
      </c>
      <c r="I1294" s="34" t="inlineStr">
        <is>
          <t>esabcc-a5-pig-consumption</t>
        </is>
      </c>
    </row>
    <row r="1295" ht="14" customHeight="1">
      <c r="A1295" s="22" t="inlineStr">
        <is>
          <t>A5 (pig)</t>
        </is>
      </c>
      <c r="B1295" s="22" t="inlineStr">
        <is>
          <t>Average pig meat consumption (EU)</t>
        </is>
      </c>
      <c r="C1295" s="22" t="inlineStr">
        <is>
          <t>Agriculture</t>
        </is>
      </c>
      <c r="D1295" s="22" t="inlineStr">
        <is>
          <t>kcal/cap/day</t>
        </is>
      </c>
      <c r="E1295" s="65" t="n">
        <v>2015</v>
      </c>
      <c r="F1295" s="66" t="n">
        <v>212.9</v>
      </c>
      <c r="G1295" s="67" t="inlineStr">
        <is>
          <t>In the 2024 report</t>
        </is>
      </c>
      <c r="H1295" s="22" t="inlineStr">
        <is>
          <t>FAOSTAT food balance sheets</t>
        </is>
      </c>
      <c r="I1295" s="35" t="inlineStr">
        <is>
          <t>esabcc-a5-pig-consumption</t>
        </is>
      </c>
    </row>
    <row r="1296" ht="14" customHeight="1">
      <c r="A1296" s="15" t="inlineStr">
        <is>
          <t>A5 (pig)</t>
        </is>
      </c>
      <c r="B1296" s="15" t="inlineStr">
        <is>
          <t>Average pig meat consumption (EU)</t>
        </is>
      </c>
      <c r="C1296" s="15" t="inlineStr">
        <is>
          <t>Agriculture</t>
        </is>
      </c>
      <c r="D1296" s="15" t="inlineStr">
        <is>
          <t>kcal/cap/day</t>
        </is>
      </c>
      <c r="E1296" s="63" t="n">
        <v>2016</v>
      </c>
      <c r="F1296" s="64" t="n">
        <v>208.9</v>
      </c>
      <c r="G1296" s="14" t="inlineStr">
        <is>
          <t>In the 2024 report</t>
        </is>
      </c>
      <c r="H1296" s="15" t="inlineStr">
        <is>
          <t>FAOSTAT food balance sheets</t>
        </is>
      </c>
      <c r="I1296" s="34" t="inlineStr">
        <is>
          <t>esabcc-a5-pig-consumption</t>
        </is>
      </c>
    </row>
    <row r="1297" ht="14" customHeight="1">
      <c r="A1297" s="22" t="inlineStr">
        <is>
          <t>A5 (pig)</t>
        </is>
      </c>
      <c r="B1297" s="22" t="inlineStr">
        <is>
          <t>Average pig meat consumption (EU)</t>
        </is>
      </c>
      <c r="C1297" s="22" t="inlineStr">
        <is>
          <t>Agriculture</t>
        </is>
      </c>
      <c r="D1297" s="22" t="inlineStr">
        <is>
          <t>kcal/cap/day</t>
        </is>
      </c>
      <c r="E1297" s="65" t="n">
        <v>2017</v>
      </c>
      <c r="F1297" s="66" t="n">
        <v>211.2</v>
      </c>
      <c r="G1297" s="67" t="inlineStr">
        <is>
          <t>In the 2024 report</t>
        </is>
      </c>
      <c r="H1297" s="22" t="inlineStr">
        <is>
          <t>FAOSTAT food balance sheets</t>
        </is>
      </c>
      <c r="I1297" s="35" t="inlineStr">
        <is>
          <t>esabcc-a5-pig-consumption</t>
        </is>
      </c>
    </row>
    <row r="1298" ht="14" customHeight="1">
      <c r="A1298" s="15" t="inlineStr">
        <is>
          <t>A5 (pig)</t>
        </is>
      </c>
      <c r="B1298" s="15" t="inlineStr">
        <is>
          <t>Average pig meat consumption (EU)</t>
        </is>
      </c>
      <c r="C1298" s="15" t="inlineStr">
        <is>
          <t>Agriculture</t>
        </is>
      </c>
      <c r="D1298" s="15" t="inlineStr">
        <is>
          <t>kcal/cap/day</t>
        </is>
      </c>
      <c r="E1298" s="63" t="n">
        <v>2018</v>
      </c>
      <c r="F1298" s="64" t="n">
        <v>215.9</v>
      </c>
      <c r="G1298" s="14" t="inlineStr">
        <is>
          <t>In the 2024 report</t>
        </is>
      </c>
      <c r="H1298" s="15" t="inlineStr">
        <is>
          <t>FAOSTAT food balance sheets</t>
        </is>
      </c>
      <c r="I1298" s="34" t="inlineStr">
        <is>
          <t>esabcc-a5-pig-consumption</t>
        </is>
      </c>
    </row>
    <row r="1299" ht="14" customHeight="1">
      <c r="A1299" s="22" t="inlineStr">
        <is>
          <t>A5 (pig)</t>
        </is>
      </c>
      <c r="B1299" s="22" t="inlineStr">
        <is>
          <t>Average pig meat consumption (EU)</t>
        </is>
      </c>
      <c r="C1299" s="22" t="inlineStr">
        <is>
          <t>Agriculture</t>
        </is>
      </c>
      <c r="D1299" s="22" t="inlineStr">
        <is>
          <t>kcal/cap/day</t>
        </is>
      </c>
      <c r="E1299" s="65" t="n">
        <v>2019</v>
      </c>
      <c r="F1299" s="66" t="n">
        <v>211.6</v>
      </c>
      <c r="G1299" s="67" t="inlineStr">
        <is>
          <t>In the 2024 report</t>
        </is>
      </c>
      <c r="H1299" s="22" t="inlineStr">
        <is>
          <t>FAOSTAT food balance sheets</t>
        </is>
      </c>
      <c r="I1299" s="35" t="inlineStr">
        <is>
          <t>esabcc-a5-pig-consumption</t>
        </is>
      </c>
    </row>
    <row r="1300" ht="14" customHeight="1">
      <c r="A1300" s="15" t="inlineStr">
        <is>
          <t>A5 (pig)</t>
        </is>
      </c>
      <c r="B1300" s="15" t="inlineStr">
        <is>
          <t>Average pig meat consumption (EU)</t>
        </is>
      </c>
      <c r="C1300" s="15" t="inlineStr">
        <is>
          <t>Agriculture</t>
        </is>
      </c>
      <c r="D1300" s="15" t="inlineStr">
        <is>
          <t>kcal/cap/day</t>
        </is>
      </c>
      <c r="E1300" s="63" t="n">
        <v>2020</v>
      </c>
      <c r="F1300" s="64" t="n">
        <v>203.8</v>
      </c>
      <c r="G1300" s="14" t="inlineStr">
        <is>
          <t>In the 2024 report</t>
        </is>
      </c>
      <c r="H1300" s="15" t="inlineStr">
        <is>
          <t>FAOSTAT food balance sheets</t>
        </is>
      </c>
      <c r="I1300" s="34" t="inlineStr">
        <is>
          <t>esabcc-a5-pig-consumption</t>
        </is>
      </c>
    </row>
    <row r="1301" ht="14" customHeight="1">
      <c r="A1301" s="22" t="inlineStr">
        <is>
          <t>A6</t>
        </is>
      </c>
      <c r="B1301" s="22" t="inlineStr">
        <is>
          <t>Food waste per capita (EU)</t>
        </is>
      </c>
      <c r="C1301" s="22" t="inlineStr">
        <is>
          <t>Agriculture</t>
        </is>
      </c>
      <c r="D1301" s="22" t="inlineStr">
        <is>
          <t>kg/cap/year</t>
        </is>
      </c>
      <c r="E1301" s="65" t="n">
        <v>2020</v>
      </c>
      <c r="F1301" s="66" t="n">
        <v>131</v>
      </c>
      <c r="G1301" s="67" t="inlineStr">
        <is>
          <t>In the 2024 report</t>
        </is>
      </c>
      <c r="H1301" s="22" t="inlineStr">
        <is>
          <t>Eurostat (env_wasfw)</t>
        </is>
      </c>
      <c r="I1301" s="35" t="inlineStr">
        <is>
          <t>esabcc-a6-food-waste</t>
        </is>
      </c>
    </row>
    <row r="1302" ht="14" customHeight="1">
      <c r="A1302" s="15" t="inlineStr">
        <is>
          <t>A6</t>
        </is>
      </c>
      <c r="B1302" s="15" t="inlineStr">
        <is>
          <t>Food waste per capita (EU)</t>
        </is>
      </c>
      <c r="C1302" s="15" t="inlineStr">
        <is>
          <t>Agriculture</t>
        </is>
      </c>
      <c r="D1302" s="15" t="inlineStr">
        <is>
          <t>kg/cap/year</t>
        </is>
      </c>
      <c r="E1302" s="63" t="n">
        <v>2021</v>
      </c>
      <c r="F1302" s="64" t="n">
        <v>129</v>
      </c>
      <c r="G1302" s="68" t="inlineStr">
        <is>
          <t>Added since the report</t>
        </is>
      </c>
      <c r="H1302" s="15" t="inlineStr">
        <is>
          <t>Eurostat (env_wasfw)</t>
        </is>
      </c>
      <c r="I1302" s="34" t="inlineStr">
        <is>
          <t>esabcc-a6-food-waste</t>
        </is>
      </c>
    </row>
    <row r="1303" ht="14" customHeight="1">
      <c r="A1303" s="22" t="inlineStr">
        <is>
          <t>A6</t>
        </is>
      </c>
      <c r="B1303" s="22" t="inlineStr">
        <is>
          <t>Food waste per capita (EU)</t>
        </is>
      </c>
      <c r="C1303" s="22" t="inlineStr">
        <is>
          <t>Agriculture</t>
        </is>
      </c>
      <c r="D1303" s="22" t="inlineStr">
        <is>
          <t>kg/cap/year</t>
        </is>
      </c>
      <c r="E1303" s="65" t="n">
        <v>2022</v>
      </c>
      <c r="F1303" s="66" t="n">
        <v>129</v>
      </c>
      <c r="G1303" s="69" t="inlineStr">
        <is>
          <t>Added since the report</t>
        </is>
      </c>
      <c r="H1303" s="22" t="inlineStr">
        <is>
          <t>Eurostat (env_wasfw)</t>
        </is>
      </c>
      <c r="I1303" s="35" t="inlineStr">
        <is>
          <t>esabcc-a6-food-waste</t>
        </is>
      </c>
    </row>
    <row r="1304" ht="14" customHeight="1">
      <c r="A1304" s="15" t="inlineStr">
        <is>
          <t>A6</t>
        </is>
      </c>
      <c r="B1304" s="15" t="inlineStr">
        <is>
          <t>Food waste per capita (EU)</t>
        </is>
      </c>
      <c r="C1304" s="15" t="inlineStr">
        <is>
          <t>Agriculture</t>
        </is>
      </c>
      <c r="D1304" s="15" t="inlineStr">
        <is>
          <t>kg/cap/year</t>
        </is>
      </c>
      <c r="E1304" s="63" t="n">
        <v>2023</v>
      </c>
      <c r="F1304" s="64" t="n">
        <v>129</v>
      </c>
      <c r="G1304" s="68" t="inlineStr">
        <is>
          <t>Added since the report</t>
        </is>
      </c>
      <c r="H1304" s="15" t="inlineStr">
        <is>
          <t>Eurostat (env_wasfw)</t>
        </is>
      </c>
      <c r="I1304" s="34" t="inlineStr">
        <is>
          <t>esabcc-a6-food-waste</t>
        </is>
      </c>
    </row>
    <row r="1305" ht="14" customHeight="1">
      <c r="A1305" s="22" t="inlineStr">
        <is>
          <t>B4 (dwellings)</t>
        </is>
      </c>
      <c r="B1305" s="22" t="inlineStr">
        <is>
          <t>Total number of dwellings (index, 2005 = 1.0)</t>
        </is>
      </c>
      <c r="C1305" s="22" t="inlineStr">
        <is>
          <t>Buildings</t>
        </is>
      </c>
      <c r="D1305" s="22" t="inlineStr">
        <is>
          <t>index (2005 = 1.0)</t>
        </is>
      </c>
      <c r="E1305" s="65" t="n">
        <v>2005</v>
      </c>
      <c r="F1305" s="66" t="n">
        <v>1</v>
      </c>
      <c r="G1305" s="67" t="inlineStr">
        <is>
          <t>In the 2024 report</t>
        </is>
      </c>
      <c r="H1305" s="22" t="inlineStr">
        <is>
          <t>European Building Stock Observatory (DG ENER) + Odyssee-Mure; population from Eurostat demo_gind</t>
        </is>
      </c>
      <c r="I1305" s="35" t="inlineStr">
        <is>
          <t>esabcc-b4-dwellings</t>
        </is>
      </c>
    </row>
    <row r="1306" ht="14" customHeight="1">
      <c r="A1306" s="15" t="inlineStr">
        <is>
          <t>B4 (dwellings)</t>
        </is>
      </c>
      <c r="B1306" s="15" t="inlineStr">
        <is>
          <t>Total number of dwellings (index, 2005 = 1.0)</t>
        </is>
      </c>
      <c r="C1306" s="15" t="inlineStr">
        <is>
          <t>Buildings</t>
        </is>
      </c>
      <c r="D1306" s="15" t="inlineStr">
        <is>
          <t>index (2005 = 1.0)</t>
        </is>
      </c>
      <c r="E1306" s="63" t="n">
        <v>2006</v>
      </c>
      <c r="F1306" s="64" t="n">
        <v>1.012</v>
      </c>
      <c r="G1306" s="14" t="inlineStr">
        <is>
          <t>In the 2024 report</t>
        </is>
      </c>
      <c r="H1306" s="15" t="inlineStr">
        <is>
          <t>European Building Stock Observatory (DG ENER) + Odyssee-Mure; population from Eurostat demo_gind</t>
        </is>
      </c>
      <c r="I1306" s="34" t="inlineStr">
        <is>
          <t>esabcc-b4-dwellings</t>
        </is>
      </c>
    </row>
    <row r="1307" ht="14" customHeight="1">
      <c r="A1307" s="22" t="inlineStr">
        <is>
          <t>B4 (dwellings)</t>
        </is>
      </c>
      <c r="B1307" s="22" t="inlineStr">
        <is>
          <t>Total number of dwellings (index, 2005 = 1.0)</t>
        </is>
      </c>
      <c r="C1307" s="22" t="inlineStr">
        <is>
          <t>Buildings</t>
        </is>
      </c>
      <c r="D1307" s="22" t="inlineStr">
        <is>
          <t>index (2005 = 1.0)</t>
        </is>
      </c>
      <c r="E1307" s="65" t="n">
        <v>2007</v>
      </c>
      <c r="F1307" s="66" t="n">
        <v>1.021</v>
      </c>
      <c r="G1307" s="67" t="inlineStr">
        <is>
          <t>In the 2024 report</t>
        </is>
      </c>
      <c r="H1307" s="22" t="inlineStr">
        <is>
          <t>European Building Stock Observatory (DG ENER) + Odyssee-Mure; population from Eurostat demo_gind</t>
        </is>
      </c>
      <c r="I1307" s="35" t="inlineStr">
        <is>
          <t>esabcc-b4-dwellings</t>
        </is>
      </c>
    </row>
    <row r="1308" ht="14" customHeight="1">
      <c r="A1308" s="15" t="inlineStr">
        <is>
          <t>B4 (dwellings)</t>
        </is>
      </c>
      <c r="B1308" s="15" t="inlineStr">
        <is>
          <t>Total number of dwellings (index, 2005 = 1.0)</t>
        </is>
      </c>
      <c r="C1308" s="15" t="inlineStr">
        <is>
          <t>Buildings</t>
        </is>
      </c>
      <c r="D1308" s="15" t="inlineStr">
        <is>
          <t>index (2005 = 1.0)</t>
        </is>
      </c>
      <c r="E1308" s="63" t="n">
        <v>2008</v>
      </c>
      <c r="F1308" s="64" t="n">
        <v>1.032</v>
      </c>
      <c r="G1308" s="14" t="inlineStr">
        <is>
          <t>In the 2024 report</t>
        </is>
      </c>
      <c r="H1308" s="15" t="inlineStr">
        <is>
          <t>European Building Stock Observatory (DG ENER) + Odyssee-Mure; population from Eurostat demo_gind</t>
        </is>
      </c>
      <c r="I1308" s="34" t="inlineStr">
        <is>
          <t>esabcc-b4-dwellings</t>
        </is>
      </c>
    </row>
    <row r="1309" ht="14" customHeight="1">
      <c r="A1309" s="22" t="inlineStr">
        <is>
          <t>B4 (dwellings)</t>
        </is>
      </c>
      <c r="B1309" s="22" t="inlineStr">
        <is>
          <t>Total number of dwellings (index, 2005 = 1.0)</t>
        </is>
      </c>
      <c r="C1309" s="22" t="inlineStr">
        <is>
          <t>Buildings</t>
        </is>
      </c>
      <c r="D1309" s="22" t="inlineStr">
        <is>
          <t>index (2005 = 1.0)</t>
        </is>
      </c>
      <c r="E1309" s="65" t="n">
        <v>2009</v>
      </c>
      <c r="F1309" s="66" t="n">
        <v>1.041</v>
      </c>
      <c r="G1309" s="67" t="inlineStr">
        <is>
          <t>In the 2024 report</t>
        </is>
      </c>
      <c r="H1309" s="22" t="inlineStr">
        <is>
          <t>European Building Stock Observatory (DG ENER) + Odyssee-Mure; population from Eurostat demo_gind</t>
        </is>
      </c>
      <c r="I1309" s="35" t="inlineStr">
        <is>
          <t>esabcc-b4-dwellings</t>
        </is>
      </c>
    </row>
    <row r="1310" ht="14" customHeight="1">
      <c r="A1310" s="15" t="inlineStr">
        <is>
          <t>B4 (dwellings)</t>
        </is>
      </c>
      <c r="B1310" s="15" t="inlineStr">
        <is>
          <t>Total number of dwellings (index, 2005 = 1.0)</t>
        </is>
      </c>
      <c r="C1310" s="15" t="inlineStr">
        <is>
          <t>Buildings</t>
        </is>
      </c>
      <c r="D1310" s="15" t="inlineStr">
        <is>
          <t>index (2005 = 1.0)</t>
        </is>
      </c>
      <c r="E1310" s="63" t="n">
        <v>2010</v>
      </c>
      <c r="F1310" s="64" t="n">
        <v>1.053</v>
      </c>
      <c r="G1310" s="14" t="inlineStr">
        <is>
          <t>In the 2024 report</t>
        </is>
      </c>
      <c r="H1310" s="15" t="inlineStr">
        <is>
          <t>European Building Stock Observatory (DG ENER) + Odyssee-Mure; population from Eurostat demo_gind</t>
        </is>
      </c>
      <c r="I1310" s="34" t="inlineStr">
        <is>
          <t>esabcc-b4-dwellings</t>
        </is>
      </c>
    </row>
    <row r="1311" ht="14" customHeight="1">
      <c r="A1311" s="22" t="inlineStr">
        <is>
          <t>B4 (dwellings)</t>
        </is>
      </c>
      <c r="B1311" s="22" t="inlineStr">
        <is>
          <t>Total number of dwellings (index, 2005 = 1.0)</t>
        </is>
      </c>
      <c r="C1311" s="22" t="inlineStr">
        <is>
          <t>Buildings</t>
        </is>
      </c>
      <c r="D1311" s="22" t="inlineStr">
        <is>
          <t>index (2005 = 1.0)</t>
        </is>
      </c>
      <c r="E1311" s="65" t="n">
        <v>2011</v>
      </c>
      <c r="F1311" s="66" t="n">
        <v>1.053</v>
      </c>
      <c r="G1311" s="67" t="inlineStr">
        <is>
          <t>In the 2024 report</t>
        </is>
      </c>
      <c r="H1311" s="22" t="inlineStr">
        <is>
          <t>European Building Stock Observatory (DG ENER) + Odyssee-Mure; population from Eurostat demo_gind</t>
        </is>
      </c>
      <c r="I1311" s="35" t="inlineStr">
        <is>
          <t>esabcc-b4-dwellings</t>
        </is>
      </c>
    </row>
    <row r="1312" ht="14" customHeight="1">
      <c r="A1312" s="15" t="inlineStr">
        <is>
          <t>B4 (dwellings)</t>
        </is>
      </c>
      <c r="B1312" s="15" t="inlineStr">
        <is>
          <t>Total number of dwellings (index, 2005 = 1.0)</t>
        </is>
      </c>
      <c r="C1312" s="15" t="inlineStr">
        <is>
          <t>Buildings</t>
        </is>
      </c>
      <c r="D1312" s="15" t="inlineStr">
        <is>
          <t>index (2005 = 1.0)</t>
        </is>
      </c>
      <c r="E1312" s="63" t="n">
        <v>2012</v>
      </c>
      <c r="F1312" s="64" t="n">
        <v>1.063</v>
      </c>
      <c r="G1312" s="14" t="inlineStr">
        <is>
          <t>In the 2024 report</t>
        </is>
      </c>
      <c r="H1312" s="15" t="inlineStr">
        <is>
          <t>European Building Stock Observatory (DG ENER) + Odyssee-Mure; population from Eurostat demo_gind</t>
        </is>
      </c>
      <c r="I1312" s="34" t="inlineStr">
        <is>
          <t>esabcc-b4-dwellings</t>
        </is>
      </c>
    </row>
    <row r="1313" ht="14" customHeight="1">
      <c r="A1313" s="22" t="inlineStr">
        <is>
          <t>B4 (dwellings)</t>
        </is>
      </c>
      <c r="B1313" s="22" t="inlineStr">
        <is>
          <t>Total number of dwellings (index, 2005 = 1.0)</t>
        </is>
      </c>
      <c r="C1313" s="22" t="inlineStr">
        <is>
          <t>Buildings</t>
        </is>
      </c>
      <c r="D1313" s="22" t="inlineStr">
        <is>
          <t>index (2005 = 1.0)</t>
        </is>
      </c>
      <c r="E1313" s="65" t="n">
        <v>2013</v>
      </c>
      <c r="F1313" s="66" t="n">
        <v>1.069</v>
      </c>
      <c r="G1313" s="67" t="inlineStr">
        <is>
          <t>In the 2024 report</t>
        </is>
      </c>
      <c r="H1313" s="22" t="inlineStr">
        <is>
          <t>European Building Stock Observatory (DG ENER) + Odyssee-Mure; population from Eurostat demo_gind</t>
        </is>
      </c>
      <c r="I1313" s="35" t="inlineStr">
        <is>
          <t>esabcc-b4-dwellings</t>
        </is>
      </c>
    </row>
    <row r="1314" ht="14" customHeight="1">
      <c r="A1314" s="15" t="inlineStr">
        <is>
          <t>B4 (dwellings)</t>
        </is>
      </c>
      <c r="B1314" s="15" t="inlineStr">
        <is>
          <t>Total number of dwellings (index, 2005 = 1.0)</t>
        </is>
      </c>
      <c r="C1314" s="15" t="inlineStr">
        <is>
          <t>Buildings</t>
        </is>
      </c>
      <c r="D1314" s="15" t="inlineStr">
        <is>
          <t>index (2005 = 1.0)</t>
        </is>
      </c>
      <c r="E1314" s="63" t="n">
        <v>2014</v>
      </c>
      <c r="F1314" s="64" t="n">
        <v>1.075</v>
      </c>
      <c r="G1314" s="14" t="inlineStr">
        <is>
          <t>In the 2024 report</t>
        </is>
      </c>
      <c r="H1314" s="15" t="inlineStr">
        <is>
          <t>European Building Stock Observatory (DG ENER) + Odyssee-Mure; population from Eurostat demo_gind</t>
        </is>
      </c>
      <c r="I1314" s="34" t="inlineStr">
        <is>
          <t>esabcc-b4-dwellings</t>
        </is>
      </c>
    </row>
    <row r="1315" ht="14" customHeight="1">
      <c r="A1315" s="22" t="inlineStr">
        <is>
          <t>B4 (dwellings)</t>
        </is>
      </c>
      <c r="B1315" s="22" t="inlineStr">
        <is>
          <t>Total number of dwellings (index, 2005 = 1.0)</t>
        </is>
      </c>
      <c r="C1315" s="22" t="inlineStr">
        <is>
          <t>Buildings</t>
        </is>
      </c>
      <c r="D1315" s="22" t="inlineStr">
        <is>
          <t>index (2005 = 1.0)</t>
        </is>
      </c>
      <c r="E1315" s="65" t="n">
        <v>2015</v>
      </c>
      <c r="F1315" s="66" t="n">
        <v>1.082</v>
      </c>
      <c r="G1315" s="67" t="inlineStr">
        <is>
          <t>In the 2024 report</t>
        </is>
      </c>
      <c r="H1315" s="22" t="inlineStr">
        <is>
          <t>European Building Stock Observatory (DG ENER) + Odyssee-Mure; population from Eurostat demo_gind</t>
        </is>
      </c>
      <c r="I1315" s="35" t="inlineStr">
        <is>
          <t>esabcc-b4-dwellings</t>
        </is>
      </c>
    </row>
    <row r="1316" ht="14" customHeight="1">
      <c r="A1316" s="15" t="inlineStr">
        <is>
          <t>B4 (dwellings)</t>
        </is>
      </c>
      <c r="B1316" s="15" t="inlineStr">
        <is>
          <t>Total number of dwellings (index, 2005 = 1.0)</t>
        </is>
      </c>
      <c r="C1316" s="15" t="inlineStr">
        <is>
          <t>Buildings</t>
        </is>
      </c>
      <c r="D1316" s="15" t="inlineStr">
        <is>
          <t>index (2005 = 1.0)</t>
        </is>
      </c>
      <c r="E1316" s="63" t="n">
        <v>2016</v>
      </c>
      <c r="F1316" s="64" t="n">
        <v>1.086</v>
      </c>
      <c r="G1316" s="14" t="inlineStr">
        <is>
          <t>In the 2024 report</t>
        </is>
      </c>
      <c r="H1316" s="15" t="inlineStr">
        <is>
          <t>European Building Stock Observatory (DG ENER) + Odyssee-Mure; population from Eurostat demo_gind</t>
        </is>
      </c>
      <c r="I1316" s="34" t="inlineStr">
        <is>
          <t>esabcc-b4-dwellings</t>
        </is>
      </c>
    </row>
    <row r="1317" ht="14" customHeight="1">
      <c r="A1317" s="22" t="inlineStr">
        <is>
          <t>B4 (floor area)</t>
        </is>
      </c>
      <c r="B1317" s="22" t="inlineStr">
        <is>
          <t>Average floor area per dwelling (index, 2005 = 1.0)</t>
        </is>
      </c>
      <c r="C1317" s="22" t="inlineStr">
        <is>
          <t>Buildings</t>
        </is>
      </c>
      <c r="D1317" s="22" t="inlineStr">
        <is>
          <t>index (2005 = 1.0)</t>
        </is>
      </c>
      <c r="E1317" s="65" t="n">
        <v>2005</v>
      </c>
      <c r="F1317" s="66" t="n">
        <v>1</v>
      </c>
      <c r="G1317" s="67" t="inlineStr">
        <is>
          <t>In the 2024 report</t>
        </is>
      </c>
      <c r="H1317" s="22" t="inlineStr">
        <is>
          <t>European Building Stock Observatory (DG ENER) + Odyssee-Mure; population from Eurostat demo_gind</t>
        </is>
      </c>
      <c r="I1317" s="35" t="inlineStr">
        <is>
          <t>esabcc-b4-floor-area</t>
        </is>
      </c>
    </row>
    <row r="1318" ht="14" customHeight="1">
      <c r="A1318" s="15" t="inlineStr">
        <is>
          <t>B4 (floor area)</t>
        </is>
      </c>
      <c r="B1318" s="15" t="inlineStr">
        <is>
          <t>Average floor area per dwelling (index, 2005 = 1.0)</t>
        </is>
      </c>
      <c r="C1318" s="15" t="inlineStr">
        <is>
          <t>Buildings</t>
        </is>
      </c>
      <c r="D1318" s="15" t="inlineStr">
        <is>
          <t>index (2005 = 1.0)</t>
        </is>
      </c>
      <c r="E1318" s="63" t="n">
        <v>2006</v>
      </c>
      <c r="F1318" s="64" t="n">
        <v>1.004</v>
      </c>
      <c r="G1318" s="14" t="inlineStr">
        <is>
          <t>In the 2024 report</t>
        </is>
      </c>
      <c r="H1318" s="15" t="inlineStr">
        <is>
          <t>European Building Stock Observatory (DG ENER) + Odyssee-Mure; population from Eurostat demo_gind</t>
        </is>
      </c>
      <c r="I1318" s="34" t="inlineStr">
        <is>
          <t>esabcc-b4-floor-area</t>
        </is>
      </c>
    </row>
    <row r="1319" ht="14" customHeight="1">
      <c r="A1319" s="22" t="inlineStr">
        <is>
          <t>B4 (floor area)</t>
        </is>
      </c>
      <c r="B1319" s="22" t="inlineStr">
        <is>
          <t>Average floor area per dwelling (index, 2005 = 1.0)</t>
        </is>
      </c>
      <c r="C1319" s="22" t="inlineStr">
        <is>
          <t>Buildings</t>
        </is>
      </c>
      <c r="D1319" s="22" t="inlineStr">
        <is>
          <t>index (2005 = 1.0)</t>
        </is>
      </c>
      <c r="E1319" s="65" t="n">
        <v>2007</v>
      </c>
      <c r="F1319" s="66" t="n">
        <v>1.007</v>
      </c>
      <c r="G1319" s="67" t="inlineStr">
        <is>
          <t>In the 2024 report</t>
        </is>
      </c>
      <c r="H1319" s="22" t="inlineStr">
        <is>
          <t>European Building Stock Observatory (DG ENER) + Odyssee-Mure; population from Eurostat demo_gind</t>
        </is>
      </c>
      <c r="I1319" s="35" t="inlineStr">
        <is>
          <t>esabcc-b4-floor-area</t>
        </is>
      </c>
    </row>
    <row r="1320" ht="14" customHeight="1">
      <c r="A1320" s="15" t="inlineStr">
        <is>
          <t>B4 (floor area)</t>
        </is>
      </c>
      <c r="B1320" s="15" t="inlineStr">
        <is>
          <t>Average floor area per dwelling (index, 2005 = 1.0)</t>
        </is>
      </c>
      <c r="C1320" s="15" t="inlineStr">
        <is>
          <t>Buildings</t>
        </is>
      </c>
      <c r="D1320" s="15" t="inlineStr">
        <is>
          <t>index (2005 = 1.0)</t>
        </is>
      </c>
      <c r="E1320" s="63" t="n">
        <v>2008</v>
      </c>
      <c r="F1320" s="64" t="n">
        <v>1.01</v>
      </c>
      <c r="G1320" s="14" t="inlineStr">
        <is>
          <t>In the 2024 report</t>
        </is>
      </c>
      <c r="H1320" s="15" t="inlineStr">
        <is>
          <t>European Building Stock Observatory (DG ENER) + Odyssee-Mure; population from Eurostat demo_gind</t>
        </is>
      </c>
      <c r="I1320" s="34" t="inlineStr">
        <is>
          <t>esabcc-b4-floor-area</t>
        </is>
      </c>
    </row>
    <row r="1321" ht="14" customHeight="1">
      <c r="A1321" s="22" t="inlineStr">
        <is>
          <t>B4 (floor area)</t>
        </is>
      </c>
      <c r="B1321" s="22" t="inlineStr">
        <is>
          <t>Average floor area per dwelling (index, 2005 = 1.0)</t>
        </is>
      </c>
      <c r="C1321" s="22" t="inlineStr">
        <is>
          <t>Buildings</t>
        </is>
      </c>
      <c r="D1321" s="22" t="inlineStr">
        <is>
          <t>index (2005 = 1.0)</t>
        </is>
      </c>
      <c r="E1321" s="65" t="n">
        <v>2009</v>
      </c>
      <c r="F1321" s="66" t="n">
        <v>1.014</v>
      </c>
      <c r="G1321" s="67" t="inlineStr">
        <is>
          <t>In the 2024 report</t>
        </is>
      </c>
      <c r="H1321" s="22" t="inlineStr">
        <is>
          <t>European Building Stock Observatory (DG ENER) + Odyssee-Mure; population from Eurostat demo_gind</t>
        </is>
      </c>
      <c r="I1321" s="35" t="inlineStr">
        <is>
          <t>esabcc-b4-floor-area</t>
        </is>
      </c>
    </row>
    <row r="1322" ht="14" customHeight="1">
      <c r="A1322" s="15" t="inlineStr">
        <is>
          <t>B4 (floor area)</t>
        </is>
      </c>
      <c r="B1322" s="15" t="inlineStr">
        <is>
          <t>Average floor area per dwelling (index, 2005 = 1.0)</t>
        </is>
      </c>
      <c r="C1322" s="15" t="inlineStr">
        <is>
          <t>Buildings</t>
        </is>
      </c>
      <c r="D1322" s="15" t="inlineStr">
        <is>
          <t>index (2005 = 1.0)</t>
        </is>
      </c>
      <c r="E1322" s="63" t="n">
        <v>2010</v>
      </c>
      <c r="F1322" s="64" t="n">
        <v>1.031</v>
      </c>
      <c r="G1322" s="14" t="inlineStr">
        <is>
          <t>In the 2024 report</t>
        </is>
      </c>
      <c r="H1322" s="15" t="inlineStr">
        <is>
          <t>European Building Stock Observatory (DG ENER) + Odyssee-Mure; population from Eurostat demo_gind</t>
        </is>
      </c>
      <c r="I1322" s="34" t="inlineStr">
        <is>
          <t>esabcc-b4-floor-area</t>
        </is>
      </c>
    </row>
    <row r="1323" ht="14" customHeight="1">
      <c r="A1323" s="22" t="inlineStr">
        <is>
          <t>B4 (floor area)</t>
        </is>
      </c>
      <c r="B1323" s="22" t="inlineStr">
        <is>
          <t>Average floor area per dwelling (index, 2005 = 1.0)</t>
        </is>
      </c>
      <c r="C1323" s="22" t="inlineStr">
        <is>
          <t>Buildings</t>
        </is>
      </c>
      <c r="D1323" s="22" t="inlineStr">
        <is>
          <t>index (2005 = 1.0)</t>
        </is>
      </c>
      <c r="E1323" s="65" t="n">
        <v>2011</v>
      </c>
      <c r="F1323" s="66" t="n">
        <v>1.037</v>
      </c>
      <c r="G1323" s="67" t="inlineStr">
        <is>
          <t>In the 2024 report</t>
        </is>
      </c>
      <c r="H1323" s="22" t="inlineStr">
        <is>
          <t>European Building Stock Observatory (DG ENER) + Odyssee-Mure; population from Eurostat demo_gind</t>
        </is>
      </c>
      <c r="I1323" s="35" t="inlineStr">
        <is>
          <t>esabcc-b4-floor-area</t>
        </is>
      </c>
    </row>
    <row r="1324" ht="14" customHeight="1">
      <c r="A1324" s="15" t="inlineStr">
        <is>
          <t>B4 (floor area)</t>
        </is>
      </c>
      <c r="B1324" s="15" t="inlineStr">
        <is>
          <t>Average floor area per dwelling (index, 2005 = 1.0)</t>
        </is>
      </c>
      <c r="C1324" s="15" t="inlineStr">
        <is>
          <t>Buildings</t>
        </is>
      </c>
      <c r="D1324" s="15" t="inlineStr">
        <is>
          <t>index (2005 = 1.0)</t>
        </is>
      </c>
      <c r="E1324" s="63" t="n">
        <v>2012</v>
      </c>
      <c r="F1324" s="64" t="n">
        <v>1.038</v>
      </c>
      <c r="G1324" s="14" t="inlineStr">
        <is>
          <t>In the 2024 report</t>
        </is>
      </c>
      <c r="H1324" s="15" t="inlineStr">
        <is>
          <t>European Building Stock Observatory (DG ENER) + Odyssee-Mure; population from Eurostat demo_gind</t>
        </is>
      </c>
      <c r="I1324" s="34" t="inlineStr">
        <is>
          <t>esabcc-b4-floor-area</t>
        </is>
      </c>
    </row>
    <row r="1325" ht="14" customHeight="1">
      <c r="A1325" s="22" t="inlineStr">
        <is>
          <t>B4 (floor area)</t>
        </is>
      </c>
      <c r="B1325" s="22" t="inlineStr">
        <is>
          <t>Average floor area per dwelling (index, 2005 = 1.0)</t>
        </is>
      </c>
      <c r="C1325" s="22" t="inlineStr">
        <is>
          <t>Buildings</t>
        </is>
      </c>
      <c r="D1325" s="22" t="inlineStr">
        <is>
          <t>index (2005 = 1.0)</t>
        </is>
      </c>
      <c r="E1325" s="65" t="n">
        <v>2013</v>
      </c>
      <c r="F1325" s="66" t="n">
        <v>1.04</v>
      </c>
      <c r="G1325" s="67" t="inlineStr">
        <is>
          <t>In the 2024 report</t>
        </is>
      </c>
      <c r="H1325" s="22" t="inlineStr">
        <is>
          <t>European Building Stock Observatory (DG ENER) + Odyssee-Mure; population from Eurostat demo_gind</t>
        </is>
      </c>
      <c r="I1325" s="35" t="inlineStr">
        <is>
          <t>esabcc-b4-floor-area</t>
        </is>
      </c>
    </row>
    <row r="1326" ht="14" customHeight="1">
      <c r="A1326" s="15" t="inlineStr">
        <is>
          <t>B4 (floor area)</t>
        </is>
      </c>
      <c r="B1326" s="15" t="inlineStr">
        <is>
          <t>Average floor area per dwelling (index, 2005 = 1.0)</t>
        </is>
      </c>
      <c r="C1326" s="15" t="inlineStr">
        <is>
          <t>Buildings</t>
        </is>
      </c>
      <c r="D1326" s="15" t="inlineStr">
        <is>
          <t>index (2005 = 1.0)</t>
        </is>
      </c>
      <c r="E1326" s="63" t="n">
        <v>2014</v>
      </c>
      <c r="F1326" s="64" t="n">
        <v>1.041</v>
      </c>
      <c r="G1326" s="14" t="inlineStr">
        <is>
          <t>In the 2024 report</t>
        </is>
      </c>
      <c r="H1326" s="15" t="inlineStr">
        <is>
          <t>European Building Stock Observatory (DG ENER) + Odyssee-Mure; population from Eurostat demo_gind</t>
        </is>
      </c>
      <c r="I1326" s="34" t="inlineStr">
        <is>
          <t>esabcc-b4-floor-area</t>
        </is>
      </c>
    </row>
    <row r="1327" ht="14" customHeight="1">
      <c r="A1327" s="22" t="inlineStr">
        <is>
          <t>B4 (floor area)</t>
        </is>
      </c>
      <c r="B1327" s="22" t="inlineStr">
        <is>
          <t>Average floor area per dwelling (index, 2005 = 1.0)</t>
        </is>
      </c>
      <c r="C1327" s="22" t="inlineStr">
        <is>
          <t>Buildings</t>
        </is>
      </c>
      <c r="D1327" s="22" t="inlineStr">
        <is>
          <t>index (2005 = 1.0)</t>
        </is>
      </c>
      <c r="E1327" s="65" t="n">
        <v>2015</v>
      </c>
      <c r="F1327" s="66" t="n">
        <v>1.043</v>
      </c>
      <c r="G1327" s="67" t="inlineStr">
        <is>
          <t>In the 2024 report</t>
        </is>
      </c>
      <c r="H1327" s="22" t="inlineStr">
        <is>
          <t>European Building Stock Observatory (DG ENER) + Odyssee-Mure; population from Eurostat demo_gind</t>
        </is>
      </c>
      <c r="I1327" s="35" t="inlineStr">
        <is>
          <t>esabcc-b4-floor-area</t>
        </is>
      </c>
    </row>
    <row r="1328" ht="14" customHeight="1">
      <c r="A1328" s="15" t="inlineStr">
        <is>
          <t>B4 (floor area)</t>
        </is>
      </c>
      <c r="B1328" s="15" t="inlineStr">
        <is>
          <t>Average floor area per dwelling (index, 2005 = 1.0)</t>
        </is>
      </c>
      <c r="C1328" s="15" t="inlineStr">
        <is>
          <t>Buildings</t>
        </is>
      </c>
      <c r="D1328" s="15" t="inlineStr">
        <is>
          <t>index (2005 = 1.0)</t>
        </is>
      </c>
      <c r="E1328" s="63" t="n">
        <v>2016</v>
      </c>
      <c r="F1328" s="64" t="n">
        <v>1.044</v>
      </c>
      <c r="G1328" s="14" t="inlineStr">
        <is>
          <t>In the 2024 report</t>
        </is>
      </c>
      <c r="H1328" s="15" t="inlineStr">
        <is>
          <t>European Building Stock Observatory (DG ENER) + Odyssee-Mure; population from Eurostat demo_gind</t>
        </is>
      </c>
      <c r="I1328" s="34" t="inlineStr">
        <is>
          <t>esabcc-b4-floor-area</t>
        </is>
      </c>
    </row>
    <row r="1329" ht="14" customHeight="1">
      <c r="A1329" s="22" t="inlineStr">
        <is>
          <t>B4 (floor area)</t>
        </is>
      </c>
      <c r="B1329" s="22" t="inlineStr">
        <is>
          <t>Average floor area per dwelling (index, 2005 = 1.0)</t>
        </is>
      </c>
      <c r="C1329" s="22" t="inlineStr">
        <is>
          <t>Buildings</t>
        </is>
      </c>
      <c r="D1329" s="22" t="inlineStr">
        <is>
          <t>index (2005 = 1.0)</t>
        </is>
      </c>
      <c r="E1329" s="65" t="n">
        <v>2017</v>
      </c>
      <c r="F1329" s="66" t="n">
        <v>1.044</v>
      </c>
      <c r="G1329" s="67" t="inlineStr">
        <is>
          <t>In the 2024 report</t>
        </is>
      </c>
      <c r="H1329" s="22" t="inlineStr">
        <is>
          <t>European Building Stock Observatory (DG ENER) + Odyssee-Mure; population from Eurostat demo_gind</t>
        </is>
      </c>
      <c r="I1329" s="35" t="inlineStr">
        <is>
          <t>esabcc-b4-floor-area</t>
        </is>
      </c>
    </row>
    <row r="1330" ht="14" customHeight="1">
      <c r="A1330" s="15" t="inlineStr">
        <is>
          <t>B4 (floor area)</t>
        </is>
      </c>
      <c r="B1330" s="15" t="inlineStr">
        <is>
          <t>Average floor area per dwelling (index, 2005 = 1.0)</t>
        </is>
      </c>
      <c r="C1330" s="15" t="inlineStr">
        <is>
          <t>Buildings</t>
        </is>
      </c>
      <c r="D1330" s="15" t="inlineStr">
        <is>
          <t>index (2005 = 1.0)</t>
        </is>
      </c>
      <c r="E1330" s="63" t="n">
        <v>2018</v>
      </c>
      <c r="F1330" s="64" t="n">
        <v>1.044</v>
      </c>
      <c r="G1330" s="14" t="inlineStr">
        <is>
          <t>In the 2024 report</t>
        </is>
      </c>
      <c r="H1330" s="15" t="inlineStr">
        <is>
          <t>European Building Stock Observatory (DG ENER) + Odyssee-Mure; population from Eurostat demo_gind</t>
        </is>
      </c>
      <c r="I1330" s="34" t="inlineStr">
        <is>
          <t>esabcc-b4-floor-area</t>
        </is>
      </c>
    </row>
    <row r="1331" ht="14" customHeight="1">
      <c r="A1331" s="22" t="inlineStr">
        <is>
          <t>B4 (floor area)</t>
        </is>
      </c>
      <c r="B1331" s="22" t="inlineStr">
        <is>
          <t>Average floor area per dwelling (index, 2005 = 1.0)</t>
        </is>
      </c>
      <c r="C1331" s="22" t="inlineStr">
        <is>
          <t>Buildings</t>
        </is>
      </c>
      <c r="D1331" s="22" t="inlineStr">
        <is>
          <t>index (2005 = 1.0)</t>
        </is>
      </c>
      <c r="E1331" s="65" t="n">
        <v>2019</v>
      </c>
      <c r="F1331" s="66" t="n">
        <v>1.044</v>
      </c>
      <c r="G1331" s="67" t="inlineStr">
        <is>
          <t>In the 2024 report</t>
        </is>
      </c>
      <c r="H1331" s="22" t="inlineStr">
        <is>
          <t>European Building Stock Observatory (DG ENER) + Odyssee-Mure; population from Eurostat demo_gind</t>
        </is>
      </c>
      <c r="I1331" s="35" t="inlineStr">
        <is>
          <t>esabcc-b4-floor-area</t>
        </is>
      </c>
    </row>
    <row r="1332" ht="14" customHeight="1">
      <c r="A1332" s="15" t="inlineStr">
        <is>
          <t>B4 (floor area)</t>
        </is>
      </c>
      <c r="B1332" s="15" t="inlineStr">
        <is>
          <t>Average floor area per dwelling (index, 2005 = 1.0)</t>
        </is>
      </c>
      <c r="C1332" s="15" t="inlineStr">
        <is>
          <t>Buildings</t>
        </is>
      </c>
      <c r="D1332" s="15" t="inlineStr">
        <is>
          <t>index (2005 = 1.0)</t>
        </is>
      </c>
      <c r="E1332" s="63" t="n">
        <v>2020</v>
      </c>
      <c r="F1332" s="64" t="n">
        <v>1.044</v>
      </c>
      <c r="G1332" s="14" t="inlineStr">
        <is>
          <t>In the 2024 report</t>
        </is>
      </c>
      <c r="H1332" s="15" t="inlineStr">
        <is>
          <t>European Building Stock Observatory (DG ENER) + Odyssee-Mure; population from Eurostat demo_gind</t>
        </is>
      </c>
      <c r="I1332" s="34" t="inlineStr">
        <is>
          <t>esabcc-b4-floor-area</t>
        </is>
      </c>
    </row>
    <row r="1333" ht="14" customHeight="1">
      <c r="A1333" s="22" t="inlineStr">
        <is>
          <t>B4 (surface residential)</t>
        </is>
      </c>
      <c r="B1333" s="22" t="inlineStr">
        <is>
          <t>Total residential floor surface (index, 2005 = 1.0)</t>
        </is>
      </c>
      <c r="C1333" s="22" t="inlineStr">
        <is>
          <t>Buildings</t>
        </is>
      </c>
      <c r="D1333" s="22" t="inlineStr">
        <is>
          <t>index (2005 = 1.0)</t>
        </is>
      </c>
      <c r="E1333" s="65" t="n">
        <v>2005</v>
      </c>
      <c r="F1333" s="66" t="n">
        <v>1</v>
      </c>
      <c r="G1333" s="67" t="inlineStr">
        <is>
          <t>In the 2024 report</t>
        </is>
      </c>
      <c r="H1333" s="22" t="inlineStr">
        <is>
          <t>European Building Stock Observatory (DG ENER) + Odyssee-Mure; population from Eurostat demo_gind</t>
        </is>
      </c>
      <c r="I1333" s="35" t="inlineStr">
        <is>
          <t>esabcc-b4-surface-residential</t>
        </is>
      </c>
    </row>
    <row r="1334" ht="14" customHeight="1">
      <c r="A1334" s="15" t="inlineStr">
        <is>
          <t>B4 (surface residential)</t>
        </is>
      </c>
      <c r="B1334" s="15" t="inlineStr">
        <is>
          <t>Total residential floor surface (index, 2005 = 1.0)</t>
        </is>
      </c>
      <c r="C1334" s="15" t="inlineStr">
        <is>
          <t>Buildings</t>
        </is>
      </c>
      <c r="D1334" s="15" t="inlineStr">
        <is>
          <t>index (2005 = 1.0)</t>
        </is>
      </c>
      <c r="E1334" s="63" t="n">
        <v>2006</v>
      </c>
      <c r="F1334" s="64" t="n">
        <v>1.019</v>
      </c>
      <c r="G1334" s="14" t="inlineStr">
        <is>
          <t>In the 2024 report</t>
        </is>
      </c>
      <c r="H1334" s="15" t="inlineStr">
        <is>
          <t>European Building Stock Observatory (DG ENER) + Odyssee-Mure; population from Eurostat demo_gind</t>
        </is>
      </c>
      <c r="I1334" s="34" t="inlineStr">
        <is>
          <t>esabcc-b4-surface-residential</t>
        </is>
      </c>
    </row>
    <row r="1335" ht="14" customHeight="1">
      <c r="A1335" s="22" t="inlineStr">
        <is>
          <t>B4 (surface residential)</t>
        </is>
      </c>
      <c r="B1335" s="22" t="inlineStr">
        <is>
          <t>Total residential floor surface (index, 2005 = 1.0)</t>
        </is>
      </c>
      <c r="C1335" s="22" t="inlineStr">
        <is>
          <t>Buildings</t>
        </is>
      </c>
      <c r="D1335" s="22" t="inlineStr">
        <is>
          <t>index (2005 = 1.0)</t>
        </is>
      </c>
      <c r="E1335" s="65" t="n">
        <v>2007</v>
      </c>
      <c r="F1335" s="66" t="n">
        <v>1.03</v>
      </c>
      <c r="G1335" s="67" t="inlineStr">
        <is>
          <t>In the 2024 report</t>
        </is>
      </c>
      <c r="H1335" s="22" t="inlineStr">
        <is>
          <t>European Building Stock Observatory (DG ENER) + Odyssee-Mure; population from Eurostat demo_gind</t>
        </is>
      </c>
      <c r="I1335" s="35" t="inlineStr">
        <is>
          <t>esabcc-b4-surface-residential</t>
        </is>
      </c>
    </row>
    <row r="1336" ht="14" customHeight="1">
      <c r="A1336" s="15" t="inlineStr">
        <is>
          <t>B4 (surface residential)</t>
        </is>
      </c>
      <c r="B1336" s="15" t="inlineStr">
        <is>
          <t>Total residential floor surface (index, 2005 = 1.0)</t>
        </is>
      </c>
      <c r="C1336" s="15" t="inlineStr">
        <is>
          <t>Buildings</t>
        </is>
      </c>
      <c r="D1336" s="15" t="inlineStr">
        <is>
          <t>index (2005 = 1.0)</t>
        </is>
      </c>
      <c r="E1336" s="63" t="n">
        <v>2008</v>
      </c>
      <c r="F1336" s="64" t="n">
        <v>1.043</v>
      </c>
      <c r="G1336" s="14" t="inlineStr">
        <is>
          <t>In the 2024 report</t>
        </is>
      </c>
      <c r="H1336" s="15" t="inlineStr">
        <is>
          <t>European Building Stock Observatory (DG ENER) + Odyssee-Mure; population from Eurostat demo_gind</t>
        </is>
      </c>
      <c r="I1336" s="34" t="inlineStr">
        <is>
          <t>esabcc-b4-surface-residential</t>
        </is>
      </c>
    </row>
    <row r="1337" ht="14" customHeight="1">
      <c r="A1337" s="22" t="inlineStr">
        <is>
          <t>B4 (surface residential)</t>
        </is>
      </c>
      <c r="B1337" s="22" t="inlineStr">
        <is>
          <t>Total residential floor surface (index, 2005 = 1.0)</t>
        </is>
      </c>
      <c r="C1337" s="22" t="inlineStr">
        <is>
          <t>Buildings</t>
        </is>
      </c>
      <c r="D1337" s="22" t="inlineStr">
        <is>
          <t>index (2005 = 1.0)</t>
        </is>
      </c>
      <c r="E1337" s="65" t="n">
        <v>2009</v>
      </c>
      <c r="F1337" s="66" t="n">
        <v>1.054</v>
      </c>
      <c r="G1337" s="67" t="inlineStr">
        <is>
          <t>In the 2024 report</t>
        </is>
      </c>
      <c r="H1337" s="22" t="inlineStr">
        <is>
          <t>European Building Stock Observatory (DG ENER) + Odyssee-Mure; population from Eurostat demo_gind</t>
        </is>
      </c>
      <c r="I1337" s="35" t="inlineStr">
        <is>
          <t>esabcc-b4-surface-residential</t>
        </is>
      </c>
    </row>
    <row r="1338" ht="14" customHeight="1">
      <c r="A1338" s="15" t="inlineStr">
        <is>
          <t>B4 (surface residential)</t>
        </is>
      </c>
      <c r="B1338" s="15" t="inlineStr">
        <is>
          <t>Total residential floor surface (index, 2005 = 1.0)</t>
        </is>
      </c>
      <c r="C1338" s="15" t="inlineStr">
        <is>
          <t>Buildings</t>
        </is>
      </c>
      <c r="D1338" s="15" t="inlineStr">
        <is>
          <t>index (2005 = 1.0)</t>
        </is>
      </c>
      <c r="E1338" s="63" t="n">
        <v>2010</v>
      </c>
      <c r="F1338" s="64" t="n">
        <v>1.083</v>
      </c>
      <c r="G1338" s="14" t="inlineStr">
        <is>
          <t>In the 2024 report</t>
        </is>
      </c>
      <c r="H1338" s="15" t="inlineStr">
        <is>
          <t>European Building Stock Observatory (DG ENER) + Odyssee-Mure; population from Eurostat demo_gind</t>
        </is>
      </c>
      <c r="I1338" s="34" t="inlineStr">
        <is>
          <t>esabcc-b4-surface-residential</t>
        </is>
      </c>
    </row>
    <row r="1339" ht="14" customHeight="1">
      <c r="A1339" s="22" t="inlineStr">
        <is>
          <t>B4 (surface residential)</t>
        </is>
      </c>
      <c r="B1339" s="22" t="inlineStr">
        <is>
          <t>Total residential floor surface (index, 2005 = 1.0)</t>
        </is>
      </c>
      <c r="C1339" s="22" t="inlineStr">
        <is>
          <t>Buildings</t>
        </is>
      </c>
      <c r="D1339" s="22" t="inlineStr">
        <is>
          <t>index (2005 = 1.0)</t>
        </is>
      </c>
      <c r="E1339" s="65" t="n">
        <v>2011</v>
      </c>
      <c r="F1339" s="66" t="n">
        <v>1.087</v>
      </c>
      <c r="G1339" s="67" t="inlineStr">
        <is>
          <t>In the 2024 report</t>
        </is>
      </c>
      <c r="H1339" s="22" t="inlineStr">
        <is>
          <t>European Building Stock Observatory (DG ENER) + Odyssee-Mure; population from Eurostat demo_gind</t>
        </is>
      </c>
      <c r="I1339" s="35" t="inlineStr">
        <is>
          <t>esabcc-b4-surface-residential</t>
        </is>
      </c>
    </row>
    <row r="1340" ht="14" customHeight="1">
      <c r="A1340" s="15" t="inlineStr">
        <is>
          <t>B4 (surface residential)</t>
        </is>
      </c>
      <c r="B1340" s="15" t="inlineStr">
        <is>
          <t>Total residential floor surface (index, 2005 = 1.0)</t>
        </is>
      </c>
      <c r="C1340" s="15" t="inlineStr">
        <is>
          <t>Buildings</t>
        </is>
      </c>
      <c r="D1340" s="15" t="inlineStr">
        <is>
          <t>index (2005 = 1.0)</t>
        </is>
      </c>
      <c r="E1340" s="63" t="n">
        <v>2012</v>
      </c>
      <c r="F1340" s="64" t="n">
        <v>1.101</v>
      </c>
      <c r="G1340" s="14" t="inlineStr">
        <is>
          <t>In the 2024 report</t>
        </is>
      </c>
      <c r="H1340" s="15" t="inlineStr">
        <is>
          <t>European Building Stock Observatory (DG ENER) + Odyssee-Mure; population from Eurostat demo_gind</t>
        </is>
      </c>
      <c r="I1340" s="34" t="inlineStr">
        <is>
          <t>esabcc-b4-surface-residential</t>
        </is>
      </c>
    </row>
    <row r="1341" ht="14" customHeight="1">
      <c r="A1341" s="22" t="inlineStr">
        <is>
          <t>B4 (surface residential)</t>
        </is>
      </c>
      <c r="B1341" s="22" t="inlineStr">
        <is>
          <t>Total residential floor surface (index, 2005 = 1.0)</t>
        </is>
      </c>
      <c r="C1341" s="22" t="inlineStr">
        <is>
          <t>Buildings</t>
        </is>
      </c>
      <c r="D1341" s="22" t="inlineStr">
        <is>
          <t>index (2005 = 1.0)</t>
        </is>
      </c>
      <c r="E1341" s="65" t="n">
        <v>2013</v>
      </c>
      <c r="F1341" s="66" t="n">
        <v>1.113</v>
      </c>
      <c r="G1341" s="67" t="inlineStr">
        <is>
          <t>In the 2024 report</t>
        </is>
      </c>
      <c r="H1341" s="22" t="inlineStr">
        <is>
          <t>European Building Stock Observatory (DG ENER) + Odyssee-Mure; population from Eurostat demo_gind</t>
        </is>
      </c>
      <c r="I1341" s="35" t="inlineStr">
        <is>
          <t>esabcc-b4-surface-residential</t>
        </is>
      </c>
    </row>
    <row r="1342" ht="14" customHeight="1">
      <c r="A1342" s="15" t="inlineStr">
        <is>
          <t>B4 (surface residential)</t>
        </is>
      </c>
      <c r="B1342" s="15" t="inlineStr">
        <is>
          <t>Total residential floor surface (index, 2005 = 1.0)</t>
        </is>
      </c>
      <c r="C1342" s="15" t="inlineStr">
        <is>
          <t>Buildings</t>
        </is>
      </c>
      <c r="D1342" s="15" t="inlineStr">
        <is>
          <t>index (2005 = 1.0)</t>
        </is>
      </c>
      <c r="E1342" s="63" t="n">
        <v>2014</v>
      </c>
      <c r="F1342" s="64" t="n">
        <v>1.117</v>
      </c>
      <c r="G1342" s="14" t="inlineStr">
        <is>
          <t>In the 2024 report</t>
        </is>
      </c>
      <c r="H1342" s="15" t="inlineStr">
        <is>
          <t>European Building Stock Observatory (DG ENER) + Odyssee-Mure; population from Eurostat demo_gind</t>
        </is>
      </c>
      <c r="I1342" s="34" t="inlineStr">
        <is>
          <t>esabcc-b4-surface-residential</t>
        </is>
      </c>
    </row>
    <row r="1343" ht="14" customHeight="1">
      <c r="A1343" s="22" t="inlineStr">
        <is>
          <t>B4 (surface residential)</t>
        </is>
      </c>
      <c r="B1343" s="22" t="inlineStr">
        <is>
          <t>Total residential floor surface (index, 2005 = 1.0)</t>
        </is>
      </c>
      <c r="C1343" s="22" t="inlineStr">
        <is>
          <t>Buildings</t>
        </is>
      </c>
      <c r="D1343" s="22" t="inlineStr">
        <is>
          <t>index (2005 = 1.0)</t>
        </is>
      </c>
      <c r="E1343" s="65" t="n">
        <v>2015</v>
      </c>
      <c r="F1343" s="66" t="n">
        <v>1.126</v>
      </c>
      <c r="G1343" s="67" t="inlineStr">
        <is>
          <t>In the 2024 report</t>
        </is>
      </c>
      <c r="H1343" s="22" t="inlineStr">
        <is>
          <t>European Building Stock Observatory (DG ENER) + Odyssee-Mure; population from Eurostat demo_gind</t>
        </is>
      </c>
      <c r="I1343" s="35" t="inlineStr">
        <is>
          <t>esabcc-b4-surface-residential</t>
        </is>
      </c>
    </row>
    <row r="1344" ht="14" customHeight="1">
      <c r="A1344" s="15" t="inlineStr">
        <is>
          <t>B4 (surface residential)</t>
        </is>
      </c>
      <c r="B1344" s="15" t="inlineStr">
        <is>
          <t>Total residential floor surface (index, 2005 = 1.0)</t>
        </is>
      </c>
      <c r="C1344" s="15" t="inlineStr">
        <is>
          <t>Buildings</t>
        </is>
      </c>
      <c r="D1344" s="15" t="inlineStr">
        <is>
          <t>index (2005 = 1.0)</t>
        </is>
      </c>
      <c r="E1344" s="63" t="n">
        <v>2016</v>
      </c>
      <c r="F1344" s="64" t="n">
        <v>1.131</v>
      </c>
      <c r="G1344" s="14" t="inlineStr">
        <is>
          <t>In the 2024 report</t>
        </is>
      </c>
      <c r="H1344" s="15" t="inlineStr">
        <is>
          <t>European Building Stock Observatory (DG ENER) + Odyssee-Mure; population from Eurostat demo_gind</t>
        </is>
      </c>
      <c r="I1344" s="34" t="inlineStr">
        <is>
          <t>esabcc-b4-surface-residential</t>
        </is>
      </c>
    </row>
    <row r="1345" ht="14" customHeight="1">
      <c r="A1345" s="22" t="inlineStr">
        <is>
          <t>B4 (population)</t>
        </is>
      </c>
      <c r="B1345" s="22" t="inlineStr">
        <is>
          <t>EU population (index, 2005 = 1.0)</t>
        </is>
      </c>
      <c r="C1345" s="22" t="inlineStr">
        <is>
          <t>Buildings</t>
        </is>
      </c>
      <c r="D1345" s="22" t="inlineStr">
        <is>
          <t>index (2005 = 1.0)</t>
        </is>
      </c>
      <c r="E1345" s="65" t="n">
        <v>2005</v>
      </c>
      <c r="F1345" s="66" t="n">
        <v>1</v>
      </c>
      <c r="G1345" s="67" t="inlineStr">
        <is>
          <t>In the 2024 report</t>
        </is>
      </c>
      <c r="H1345" s="22" t="inlineStr">
        <is>
          <t>European Building Stock Observatory (DG ENER) + Odyssee-Mure; population from Eurostat demo_gind</t>
        </is>
      </c>
      <c r="I1345" s="35" t="inlineStr">
        <is>
          <t>esabcc-b4-population</t>
        </is>
      </c>
    </row>
    <row r="1346" ht="14" customHeight="1">
      <c r="A1346" s="15" t="inlineStr">
        <is>
          <t>B4 (population)</t>
        </is>
      </c>
      <c r="B1346" s="15" t="inlineStr">
        <is>
          <t>EU population (index, 2005 = 1.0)</t>
        </is>
      </c>
      <c r="C1346" s="15" t="inlineStr">
        <is>
          <t>Buildings</t>
        </is>
      </c>
      <c r="D1346" s="15" t="inlineStr">
        <is>
          <t>index (2005 = 1.0)</t>
        </is>
      </c>
      <c r="E1346" s="63" t="n">
        <v>2006</v>
      </c>
      <c r="F1346" s="64" t="n">
        <v>1.003</v>
      </c>
      <c r="G1346" s="14" t="inlineStr">
        <is>
          <t>In the 2024 report</t>
        </is>
      </c>
      <c r="H1346" s="15" t="inlineStr">
        <is>
          <t>European Building Stock Observatory (DG ENER) + Odyssee-Mure; population from Eurostat demo_gind</t>
        </is>
      </c>
      <c r="I1346" s="34" t="inlineStr">
        <is>
          <t>esabcc-b4-population</t>
        </is>
      </c>
    </row>
    <row r="1347" ht="14" customHeight="1">
      <c r="A1347" s="22" t="inlineStr">
        <is>
          <t>B4 (population)</t>
        </is>
      </c>
      <c r="B1347" s="22" t="inlineStr">
        <is>
          <t>EU population (index, 2005 = 1.0)</t>
        </is>
      </c>
      <c r="C1347" s="22" t="inlineStr">
        <is>
          <t>Buildings</t>
        </is>
      </c>
      <c r="D1347" s="22" t="inlineStr">
        <is>
          <t>index (2005 = 1.0)</t>
        </is>
      </c>
      <c r="E1347" s="65" t="n">
        <v>2007</v>
      </c>
      <c r="F1347" s="66" t="n">
        <v>1.007</v>
      </c>
      <c r="G1347" s="67" t="inlineStr">
        <is>
          <t>In the 2024 report</t>
        </is>
      </c>
      <c r="H1347" s="22" t="inlineStr">
        <is>
          <t>European Building Stock Observatory (DG ENER) + Odyssee-Mure; population from Eurostat demo_gind</t>
        </is>
      </c>
      <c r="I1347" s="35" t="inlineStr">
        <is>
          <t>esabcc-b4-population</t>
        </is>
      </c>
    </row>
    <row r="1348" ht="14" customHeight="1">
      <c r="A1348" s="15" t="inlineStr">
        <is>
          <t>B4 (population)</t>
        </is>
      </c>
      <c r="B1348" s="15" t="inlineStr">
        <is>
          <t>EU population (index, 2005 = 1.0)</t>
        </is>
      </c>
      <c r="C1348" s="15" t="inlineStr">
        <is>
          <t>Buildings</t>
        </is>
      </c>
      <c r="D1348" s="15" t="inlineStr">
        <is>
          <t>index (2005 = 1.0)</t>
        </is>
      </c>
      <c r="E1348" s="63" t="n">
        <v>2008</v>
      </c>
      <c r="F1348" s="64" t="n">
        <v>1.01</v>
      </c>
      <c r="G1348" s="14" t="inlineStr">
        <is>
          <t>In the 2024 report</t>
        </is>
      </c>
      <c r="H1348" s="15" t="inlineStr">
        <is>
          <t>European Building Stock Observatory (DG ENER) + Odyssee-Mure; population from Eurostat demo_gind</t>
        </is>
      </c>
      <c r="I1348" s="34" t="inlineStr">
        <is>
          <t>esabcc-b4-population</t>
        </is>
      </c>
    </row>
    <row r="1349" ht="14" customHeight="1">
      <c r="A1349" s="22" t="inlineStr">
        <is>
          <t>B4 (population)</t>
        </is>
      </c>
      <c r="B1349" s="22" t="inlineStr">
        <is>
          <t>EU population (index, 2005 = 1.0)</t>
        </is>
      </c>
      <c r="C1349" s="22" t="inlineStr">
        <is>
          <t>Buildings</t>
        </is>
      </c>
      <c r="D1349" s="22" t="inlineStr">
        <is>
          <t>index (2005 = 1.0)</t>
        </is>
      </c>
      <c r="E1349" s="65" t="n">
        <v>2009</v>
      </c>
      <c r="F1349" s="66" t="n">
        <v>1.012</v>
      </c>
      <c r="G1349" s="67" t="inlineStr">
        <is>
          <t>In the 2024 report</t>
        </is>
      </c>
      <c r="H1349" s="22" t="inlineStr">
        <is>
          <t>European Building Stock Observatory (DG ENER) + Odyssee-Mure; population from Eurostat demo_gind</t>
        </is>
      </c>
      <c r="I1349" s="35" t="inlineStr">
        <is>
          <t>esabcc-b4-population</t>
        </is>
      </c>
    </row>
    <row r="1350" ht="14" customHeight="1">
      <c r="A1350" s="15" t="inlineStr">
        <is>
          <t>B4 (population)</t>
        </is>
      </c>
      <c r="B1350" s="15" t="inlineStr">
        <is>
          <t>EU population (index, 2005 = 1.0)</t>
        </is>
      </c>
      <c r="C1350" s="15" t="inlineStr">
        <is>
          <t>Buildings</t>
        </is>
      </c>
      <c r="D1350" s="15" t="inlineStr">
        <is>
          <t>index (2005 = 1.0)</t>
        </is>
      </c>
      <c r="E1350" s="63" t="n">
        <v>2010</v>
      </c>
      <c r="F1350" s="64" t="n">
        <v>1.014</v>
      </c>
      <c r="G1350" s="14" t="inlineStr">
        <is>
          <t>In the 2024 report</t>
        </is>
      </c>
      <c r="H1350" s="15" t="inlineStr">
        <is>
          <t>European Building Stock Observatory (DG ENER) + Odyssee-Mure; population from Eurostat demo_gind</t>
        </is>
      </c>
      <c r="I1350" s="34" t="inlineStr">
        <is>
          <t>esabcc-b4-population</t>
        </is>
      </c>
    </row>
    <row r="1351" ht="14" customHeight="1">
      <c r="A1351" s="22" t="inlineStr">
        <is>
          <t>B4 (population)</t>
        </is>
      </c>
      <c r="B1351" s="22" t="inlineStr">
        <is>
          <t>EU population (index, 2005 = 1.0)</t>
        </is>
      </c>
      <c r="C1351" s="22" t="inlineStr">
        <is>
          <t>Buildings</t>
        </is>
      </c>
      <c r="D1351" s="22" t="inlineStr">
        <is>
          <t>index (2005 = 1.0)</t>
        </is>
      </c>
      <c r="E1351" s="65" t="n">
        <v>2011</v>
      </c>
      <c r="F1351" s="66" t="n">
        <v>1.012</v>
      </c>
      <c r="G1351" s="67" t="inlineStr">
        <is>
          <t>In the 2024 report</t>
        </is>
      </c>
      <c r="H1351" s="22" t="inlineStr">
        <is>
          <t>European Building Stock Observatory (DG ENER) + Odyssee-Mure; population from Eurostat demo_gind</t>
        </is>
      </c>
      <c r="I1351" s="35" t="inlineStr">
        <is>
          <t>esabcc-b4-population</t>
        </is>
      </c>
    </row>
    <row r="1352" ht="14" customHeight="1">
      <c r="A1352" s="15" t="inlineStr">
        <is>
          <t>B4 (population)</t>
        </is>
      </c>
      <c r="B1352" s="15" t="inlineStr">
        <is>
          <t>EU population (index, 2005 = 1.0)</t>
        </is>
      </c>
      <c r="C1352" s="15" t="inlineStr">
        <is>
          <t>Buildings</t>
        </is>
      </c>
      <c r="D1352" s="15" t="inlineStr">
        <is>
          <t>index (2005 = 1.0)</t>
        </is>
      </c>
      <c r="E1352" s="63" t="n">
        <v>2012</v>
      </c>
      <c r="F1352" s="64" t="n">
        <v>1.013</v>
      </c>
      <c r="G1352" s="14" t="inlineStr">
        <is>
          <t>In the 2024 report</t>
        </is>
      </c>
      <c r="H1352" s="15" t="inlineStr">
        <is>
          <t>European Building Stock Observatory (DG ENER) + Odyssee-Mure; population from Eurostat demo_gind</t>
        </is>
      </c>
      <c r="I1352" s="34" t="inlineStr">
        <is>
          <t>esabcc-b4-population</t>
        </is>
      </c>
    </row>
    <row r="1353" ht="14" customHeight="1">
      <c r="A1353" s="22" t="inlineStr">
        <is>
          <t>B4 (population)</t>
        </is>
      </c>
      <c r="B1353" s="22" t="inlineStr">
        <is>
          <t>EU population (index, 2005 = 1.0)</t>
        </is>
      </c>
      <c r="C1353" s="22" t="inlineStr">
        <is>
          <t>Buildings</t>
        </is>
      </c>
      <c r="D1353" s="22" t="inlineStr">
        <is>
          <t>index (2005 = 1.0)</t>
        </is>
      </c>
      <c r="E1353" s="65" t="n">
        <v>2013</v>
      </c>
      <c r="F1353" s="66" t="n">
        <v>1.016</v>
      </c>
      <c r="G1353" s="67" t="inlineStr">
        <is>
          <t>In the 2024 report</t>
        </is>
      </c>
      <c r="H1353" s="22" t="inlineStr">
        <is>
          <t>European Building Stock Observatory (DG ENER) + Odyssee-Mure; population from Eurostat demo_gind</t>
        </is>
      </c>
      <c r="I1353" s="35" t="inlineStr">
        <is>
          <t>esabcc-b4-population</t>
        </is>
      </c>
    </row>
    <row r="1354" ht="14" customHeight="1">
      <c r="A1354" s="15" t="inlineStr">
        <is>
          <t>B4 (population)</t>
        </is>
      </c>
      <c r="B1354" s="15" t="inlineStr">
        <is>
          <t>EU population (index, 2005 = 1.0)</t>
        </is>
      </c>
      <c r="C1354" s="15" t="inlineStr">
        <is>
          <t>Buildings</t>
        </is>
      </c>
      <c r="D1354" s="15" t="inlineStr">
        <is>
          <t>index (2005 = 1.0)</t>
        </is>
      </c>
      <c r="E1354" s="63" t="n">
        <v>2014</v>
      </c>
      <c r="F1354" s="64" t="n">
        <v>1.019</v>
      </c>
      <c r="G1354" s="14" t="inlineStr">
        <is>
          <t>In the 2024 report</t>
        </is>
      </c>
      <c r="H1354" s="15" t="inlineStr">
        <is>
          <t>European Building Stock Observatory (DG ENER) + Odyssee-Mure; population from Eurostat demo_gind</t>
        </is>
      </c>
      <c r="I1354" s="34" t="inlineStr">
        <is>
          <t>esabcc-b4-population</t>
        </is>
      </c>
    </row>
    <row r="1355" ht="14" customHeight="1">
      <c r="A1355" s="22" t="inlineStr">
        <is>
          <t>B4 (population)</t>
        </is>
      </c>
      <c r="B1355" s="22" t="inlineStr">
        <is>
          <t>EU population (index, 2005 = 1.0)</t>
        </is>
      </c>
      <c r="C1355" s="22" t="inlineStr">
        <is>
          <t>Buildings</t>
        </is>
      </c>
      <c r="D1355" s="22" t="inlineStr">
        <is>
          <t>index (2005 = 1.0)</t>
        </is>
      </c>
      <c r="E1355" s="65" t="n">
        <v>2015</v>
      </c>
      <c r="F1355" s="66" t="n">
        <v>1.021</v>
      </c>
      <c r="G1355" s="67" t="inlineStr">
        <is>
          <t>In the 2024 report</t>
        </is>
      </c>
      <c r="H1355" s="22" t="inlineStr">
        <is>
          <t>European Building Stock Observatory (DG ENER) + Odyssee-Mure; population from Eurostat demo_gind</t>
        </is>
      </c>
      <c r="I1355" s="35" t="inlineStr">
        <is>
          <t>esabcc-b4-population</t>
        </is>
      </c>
    </row>
    <row r="1356" ht="14" customHeight="1">
      <c r="A1356" s="15" t="inlineStr">
        <is>
          <t>B4 (population)</t>
        </is>
      </c>
      <c r="B1356" s="15" t="inlineStr">
        <is>
          <t>EU population (index, 2005 = 1.0)</t>
        </is>
      </c>
      <c r="C1356" s="15" t="inlineStr">
        <is>
          <t>Buildings</t>
        </is>
      </c>
      <c r="D1356" s="15" t="inlineStr">
        <is>
          <t>index (2005 = 1.0)</t>
        </is>
      </c>
      <c r="E1356" s="63" t="n">
        <v>2016</v>
      </c>
      <c r="F1356" s="64" t="n">
        <v>1.023</v>
      </c>
      <c r="G1356" s="14" t="inlineStr">
        <is>
          <t>In the 2024 report</t>
        </is>
      </c>
      <c r="H1356" s="15" t="inlineStr">
        <is>
          <t>European Building Stock Observatory (DG ENER) + Odyssee-Mure; population from Eurostat demo_gind</t>
        </is>
      </c>
      <c r="I1356" s="34" t="inlineStr">
        <is>
          <t>esabcc-b4-population</t>
        </is>
      </c>
    </row>
    <row r="1357" ht="14" customHeight="1">
      <c r="A1357" s="22" t="inlineStr">
        <is>
          <t>B4 (population)</t>
        </is>
      </c>
      <c r="B1357" s="22" t="inlineStr">
        <is>
          <t>EU population (index, 2005 = 1.0)</t>
        </is>
      </c>
      <c r="C1357" s="22" t="inlineStr">
        <is>
          <t>Buildings</t>
        </is>
      </c>
      <c r="D1357" s="22" t="inlineStr">
        <is>
          <t>index (2005 = 1.0)</t>
        </is>
      </c>
      <c r="E1357" s="65" t="n">
        <v>2017</v>
      </c>
      <c r="F1357" s="66" t="n">
        <v>1.025</v>
      </c>
      <c r="G1357" s="67" t="inlineStr">
        <is>
          <t>In the 2024 report</t>
        </is>
      </c>
      <c r="H1357" s="22" t="inlineStr">
        <is>
          <t>European Building Stock Observatory (DG ENER) + Odyssee-Mure; population from Eurostat demo_gind</t>
        </is>
      </c>
      <c r="I1357" s="35" t="inlineStr">
        <is>
          <t>esabcc-b4-population</t>
        </is>
      </c>
    </row>
    <row r="1358" ht="14" customHeight="1">
      <c r="A1358" s="15" t="inlineStr">
        <is>
          <t>B4 (population)</t>
        </is>
      </c>
      <c r="B1358" s="15" t="inlineStr">
        <is>
          <t>EU population (index, 2005 = 1.0)</t>
        </is>
      </c>
      <c r="C1358" s="15" t="inlineStr">
        <is>
          <t>Buildings</t>
        </is>
      </c>
      <c r="D1358" s="15" t="inlineStr">
        <is>
          <t>index (2005 = 1.0)</t>
        </is>
      </c>
      <c r="E1358" s="63" t="n">
        <v>2018</v>
      </c>
      <c r="F1358" s="64" t="n">
        <v>1.027</v>
      </c>
      <c r="G1358" s="14" t="inlineStr">
        <is>
          <t>In the 2024 report</t>
        </is>
      </c>
      <c r="H1358" s="15" t="inlineStr">
        <is>
          <t>European Building Stock Observatory (DG ENER) + Odyssee-Mure; population from Eurostat demo_gind</t>
        </is>
      </c>
      <c r="I1358" s="34" t="inlineStr">
        <is>
          <t>esabcc-b4-population</t>
        </is>
      </c>
    </row>
    <row r="1359" ht="14" customHeight="1">
      <c r="A1359" s="22" t="inlineStr">
        <is>
          <t>B4 (population)</t>
        </is>
      </c>
      <c r="B1359" s="22" t="inlineStr">
        <is>
          <t>EU population (index, 2005 = 1.0)</t>
        </is>
      </c>
      <c r="C1359" s="22" t="inlineStr">
        <is>
          <t>Buildings</t>
        </is>
      </c>
      <c r="D1359" s="22" t="inlineStr">
        <is>
          <t>index (2005 = 1.0)</t>
        </is>
      </c>
      <c r="E1359" s="65" t="n">
        <v>2019</v>
      </c>
      <c r="F1359" s="66" t="n">
        <v>1.027</v>
      </c>
      <c r="G1359" s="67" t="inlineStr">
        <is>
          <t>In the 2024 report</t>
        </is>
      </c>
      <c r="H1359" s="22" t="inlineStr">
        <is>
          <t>European Building Stock Observatory (DG ENER) + Odyssee-Mure; population from Eurostat demo_gind</t>
        </is>
      </c>
      <c r="I1359" s="35" t="inlineStr">
        <is>
          <t>esabcc-b4-population</t>
        </is>
      </c>
    </row>
    <row r="1360" ht="14" customHeight="1">
      <c r="A1360" s="15" t="inlineStr">
        <is>
          <t>B4 (population)</t>
        </is>
      </c>
      <c r="B1360" s="15" t="inlineStr">
        <is>
          <t>EU population (index, 2005 = 1.0)</t>
        </is>
      </c>
      <c r="C1360" s="15" t="inlineStr">
        <is>
          <t>Buildings</t>
        </is>
      </c>
      <c r="D1360" s="15" t="inlineStr">
        <is>
          <t>index (2005 = 1.0)</t>
        </is>
      </c>
      <c r="E1360" s="63" t="n">
        <v>2020</v>
      </c>
      <c r="F1360" s="64" t="n">
        <v>1.028</v>
      </c>
      <c r="G1360" s="14" t="inlineStr">
        <is>
          <t>In the 2024 report</t>
        </is>
      </c>
      <c r="H1360" s="15" t="inlineStr">
        <is>
          <t>European Building Stock Observatory (DG ENER) + Odyssee-Mure; population from Eurostat demo_gind</t>
        </is>
      </c>
      <c r="I1360" s="34" t="inlineStr">
        <is>
          <t>esabcc-b4-population</t>
        </is>
      </c>
    </row>
    <row r="1361" ht="14" customHeight="1">
      <c r="A1361" s="22" t="inlineStr">
        <is>
          <t>B4 (population)</t>
        </is>
      </c>
      <c r="B1361" s="22" t="inlineStr">
        <is>
          <t>EU population (index, 2005 = 1.0)</t>
        </is>
      </c>
      <c r="C1361" s="22" t="inlineStr">
        <is>
          <t>Buildings</t>
        </is>
      </c>
      <c r="D1361" s="22" t="inlineStr">
        <is>
          <t>index (2005 = 1.0)</t>
        </is>
      </c>
      <c r="E1361" s="65" t="n">
        <v>2021</v>
      </c>
      <c r="F1361" s="66" t="n">
        <v>1.027</v>
      </c>
      <c r="G1361" s="69" t="inlineStr">
        <is>
          <t>Added since the report</t>
        </is>
      </c>
      <c r="H1361" s="22" t="inlineStr">
        <is>
          <t>European Building Stock Observatory (DG ENER) + Odyssee-Mure; population from Eurostat demo_gind</t>
        </is>
      </c>
      <c r="I1361" s="35" t="inlineStr">
        <is>
          <t>esabcc-b4-population</t>
        </is>
      </c>
    </row>
    <row r="1362" ht="14" customHeight="1">
      <c r="A1362" s="15" t="inlineStr">
        <is>
          <t>B4 (population)</t>
        </is>
      </c>
      <c r="B1362" s="15" t="inlineStr">
        <is>
          <t>EU population (index, 2005 = 1.0)</t>
        </is>
      </c>
      <c r="C1362" s="15" t="inlineStr">
        <is>
          <t>Buildings</t>
        </is>
      </c>
      <c r="D1362" s="15" t="inlineStr">
        <is>
          <t>index (2005 = 1.0)</t>
        </is>
      </c>
      <c r="E1362" s="63" t="n">
        <v>2022</v>
      </c>
      <c r="F1362" s="64" t="n">
        <v>1.029</v>
      </c>
      <c r="G1362" s="68" t="inlineStr">
        <is>
          <t>Added since the report</t>
        </is>
      </c>
      <c r="H1362" s="15" t="inlineStr">
        <is>
          <t>European Building Stock Observatory (DG ENER) + Odyssee-Mure; population from Eurostat demo_gind</t>
        </is>
      </c>
      <c r="I1362" s="34" t="inlineStr">
        <is>
          <t>esabcc-b4-population</t>
        </is>
      </c>
    </row>
    <row r="1363" ht="14" customHeight="1">
      <c r="A1363" s="22" t="inlineStr">
        <is>
          <t>B4 (population)</t>
        </is>
      </c>
      <c r="B1363" s="22" t="inlineStr">
        <is>
          <t>EU population (index, 2005 = 1.0)</t>
        </is>
      </c>
      <c r="C1363" s="22" t="inlineStr">
        <is>
          <t>Buildings</t>
        </is>
      </c>
      <c r="D1363" s="22" t="inlineStr">
        <is>
          <t>index (2005 = 1.0)</t>
        </is>
      </c>
      <c r="E1363" s="65" t="n">
        <v>2023</v>
      </c>
      <c r="F1363" s="66" t="n">
        <v>1.033</v>
      </c>
      <c r="G1363" s="69" t="inlineStr">
        <is>
          <t>Added since the report</t>
        </is>
      </c>
      <c r="H1363" s="22" t="inlineStr">
        <is>
          <t>European Building Stock Observatory (DG ENER) + Odyssee-Mure; population from Eurostat demo_gind</t>
        </is>
      </c>
      <c r="I1363" s="35" t="inlineStr">
        <is>
          <t>esabcc-b4-population</t>
        </is>
      </c>
    </row>
    <row r="1364" ht="14" customHeight="1">
      <c r="A1364" s="15" t="inlineStr">
        <is>
          <t>B4 (population)</t>
        </is>
      </c>
      <c r="B1364" s="15" t="inlineStr">
        <is>
          <t>EU population (index, 2005 = 1.0)</t>
        </is>
      </c>
      <c r="C1364" s="15" t="inlineStr">
        <is>
          <t>Buildings</t>
        </is>
      </c>
      <c r="D1364" s="15" t="inlineStr">
        <is>
          <t>index (2005 = 1.0)</t>
        </is>
      </c>
      <c r="E1364" s="63" t="n">
        <v>2024</v>
      </c>
      <c r="F1364" s="64" t="n">
        <v>1.036</v>
      </c>
      <c r="G1364" s="68" t="inlineStr">
        <is>
          <t>Added since the report</t>
        </is>
      </c>
      <c r="H1364" s="15" t="inlineStr">
        <is>
          <t>European Building Stock Observatory (DG ENER) + Odyssee-Mure; population from Eurostat demo_gind</t>
        </is>
      </c>
      <c r="I1364" s="34" t="inlineStr">
        <is>
          <t>esabcc-b4-population</t>
        </is>
      </c>
    </row>
    <row r="1365" ht="14" customHeight="1">
      <c r="A1365" s="22" t="inlineStr">
        <is>
          <t>B4 (population)</t>
        </is>
      </c>
      <c r="B1365" s="22" t="inlineStr">
        <is>
          <t>EU population (index, 2005 = 1.0)</t>
        </is>
      </c>
      <c r="C1365" s="22" t="inlineStr">
        <is>
          <t>Buildings</t>
        </is>
      </c>
      <c r="D1365" s="22" t="inlineStr">
        <is>
          <t>index (2005 = 1.0)</t>
        </is>
      </c>
      <c r="E1365" s="65" t="n">
        <v>2025</v>
      </c>
      <c r="F1365" s="66" t="n">
        <v>1.04</v>
      </c>
      <c r="G1365" s="69" t="inlineStr">
        <is>
          <t>Added since the report</t>
        </is>
      </c>
      <c r="H1365" s="22" t="inlineStr">
        <is>
          <t>European Building Stock Observatory (DG ENER) + Odyssee-Mure; population from Eurostat demo_gind</t>
        </is>
      </c>
      <c r="I1365" s="35" t="inlineStr">
        <is>
          <t>esabcc-b4-population</t>
        </is>
      </c>
    </row>
    <row r="1366" ht="14" customHeight="1">
      <c r="A1366" s="15" t="inlineStr">
        <is>
          <t>B4 (surface tertiary)</t>
        </is>
      </c>
      <c r="B1366" s="15" t="inlineStr">
        <is>
          <t>Total tertiary floor surface (index, 2005 = 1.0)</t>
        </is>
      </c>
      <c r="C1366" s="15" t="inlineStr">
        <is>
          <t>Buildings</t>
        </is>
      </c>
      <c r="D1366" s="15" t="inlineStr">
        <is>
          <t>index (2005 = 1.0)</t>
        </is>
      </c>
      <c r="E1366" s="63" t="n">
        <v>2005</v>
      </c>
      <c r="F1366" s="64" t="n">
        <v>1</v>
      </c>
      <c r="G1366" s="14" t="inlineStr">
        <is>
          <t>In the 2024 report</t>
        </is>
      </c>
      <c r="H1366" s="15" t="inlineStr">
        <is>
          <t>European Building Stock Observatory (DG ENER) + Odyssee-Mure; population from Eurostat demo_gind</t>
        </is>
      </c>
      <c r="I1366" s="34" t="inlineStr">
        <is>
          <t>esabcc-b4-surface-tertiary</t>
        </is>
      </c>
    </row>
    <row r="1367" ht="14" customHeight="1">
      <c r="A1367" s="22" t="inlineStr">
        <is>
          <t>B4 (surface tertiary)</t>
        </is>
      </c>
      <c r="B1367" s="22" t="inlineStr">
        <is>
          <t>Total tertiary floor surface (index, 2005 = 1.0)</t>
        </is>
      </c>
      <c r="C1367" s="22" t="inlineStr">
        <is>
          <t>Buildings</t>
        </is>
      </c>
      <c r="D1367" s="22" t="inlineStr">
        <is>
          <t>index (2005 = 1.0)</t>
        </is>
      </c>
      <c r="E1367" s="65" t="n">
        <v>2006</v>
      </c>
      <c r="F1367" s="66" t="n">
        <v>0.9964</v>
      </c>
      <c r="G1367" s="67" t="inlineStr">
        <is>
          <t>In the 2024 report</t>
        </is>
      </c>
      <c r="H1367" s="22" t="inlineStr">
        <is>
          <t>European Building Stock Observatory (DG ENER) + Odyssee-Mure; population from Eurostat demo_gind</t>
        </is>
      </c>
      <c r="I1367" s="35" t="inlineStr">
        <is>
          <t>esabcc-b4-surface-tertiary</t>
        </is>
      </c>
    </row>
    <row r="1368" ht="14" customHeight="1">
      <c r="A1368" s="15" t="inlineStr">
        <is>
          <t>B4 (surface tertiary)</t>
        </is>
      </c>
      <c r="B1368" s="15" t="inlineStr">
        <is>
          <t>Total tertiary floor surface (index, 2005 = 1.0)</t>
        </is>
      </c>
      <c r="C1368" s="15" t="inlineStr">
        <is>
          <t>Buildings</t>
        </is>
      </c>
      <c r="D1368" s="15" t="inlineStr">
        <is>
          <t>index (2005 = 1.0)</t>
        </is>
      </c>
      <c r="E1368" s="63" t="n">
        <v>2007</v>
      </c>
      <c r="F1368" s="64" t="n">
        <v>1.012</v>
      </c>
      <c r="G1368" s="14" t="inlineStr">
        <is>
          <t>In the 2024 report</t>
        </is>
      </c>
      <c r="H1368" s="15" t="inlineStr">
        <is>
          <t>European Building Stock Observatory (DG ENER) + Odyssee-Mure; population from Eurostat demo_gind</t>
        </is>
      </c>
      <c r="I1368" s="34" t="inlineStr">
        <is>
          <t>esabcc-b4-surface-tertiary</t>
        </is>
      </c>
    </row>
    <row r="1369" ht="14" customHeight="1">
      <c r="A1369" s="22" t="inlineStr">
        <is>
          <t>B4 (surface tertiary)</t>
        </is>
      </c>
      <c r="B1369" s="22" t="inlineStr">
        <is>
          <t>Total tertiary floor surface (index, 2005 = 1.0)</t>
        </is>
      </c>
      <c r="C1369" s="22" t="inlineStr">
        <is>
          <t>Buildings</t>
        </is>
      </c>
      <c r="D1369" s="22" t="inlineStr">
        <is>
          <t>index (2005 = 1.0)</t>
        </is>
      </c>
      <c r="E1369" s="65" t="n">
        <v>2008</v>
      </c>
      <c r="F1369" s="66" t="n">
        <v>1.039</v>
      </c>
      <c r="G1369" s="67" t="inlineStr">
        <is>
          <t>In the 2024 report</t>
        </is>
      </c>
      <c r="H1369" s="22" t="inlineStr">
        <is>
          <t>European Building Stock Observatory (DG ENER) + Odyssee-Mure; population from Eurostat demo_gind</t>
        </is>
      </c>
      <c r="I1369" s="35" t="inlineStr">
        <is>
          <t>esabcc-b4-surface-tertiary</t>
        </is>
      </c>
    </row>
    <row r="1370" ht="14" customHeight="1">
      <c r="A1370" s="15" t="inlineStr">
        <is>
          <t>B4 (surface tertiary)</t>
        </is>
      </c>
      <c r="B1370" s="15" t="inlineStr">
        <is>
          <t>Total tertiary floor surface (index, 2005 = 1.0)</t>
        </is>
      </c>
      <c r="C1370" s="15" t="inlineStr">
        <is>
          <t>Buildings</t>
        </is>
      </c>
      <c r="D1370" s="15" t="inlineStr">
        <is>
          <t>index (2005 = 1.0)</t>
        </is>
      </c>
      <c r="E1370" s="63" t="n">
        <v>2009</v>
      </c>
      <c r="F1370" s="64" t="n">
        <v>1.047</v>
      </c>
      <c r="G1370" s="14" t="inlineStr">
        <is>
          <t>In the 2024 report</t>
        </is>
      </c>
      <c r="H1370" s="15" t="inlineStr">
        <is>
          <t>European Building Stock Observatory (DG ENER) + Odyssee-Mure; population from Eurostat demo_gind</t>
        </is>
      </c>
      <c r="I1370" s="34" t="inlineStr">
        <is>
          <t>esabcc-b4-surface-tertiary</t>
        </is>
      </c>
    </row>
    <row r="1371" ht="14" customHeight="1">
      <c r="A1371" s="22" t="inlineStr">
        <is>
          <t>B4 (surface tertiary)</t>
        </is>
      </c>
      <c r="B1371" s="22" t="inlineStr">
        <is>
          <t>Total tertiary floor surface (index, 2005 = 1.0)</t>
        </is>
      </c>
      <c r="C1371" s="22" t="inlineStr">
        <is>
          <t>Buildings</t>
        </is>
      </c>
      <c r="D1371" s="22" t="inlineStr">
        <is>
          <t>index (2005 = 1.0)</t>
        </is>
      </c>
      <c r="E1371" s="65" t="n">
        <v>2010</v>
      </c>
      <c r="F1371" s="66" t="n">
        <v>1.056</v>
      </c>
      <c r="G1371" s="67" t="inlineStr">
        <is>
          <t>In the 2024 report</t>
        </is>
      </c>
      <c r="H1371" s="22" t="inlineStr">
        <is>
          <t>European Building Stock Observatory (DG ENER) + Odyssee-Mure; population from Eurostat demo_gind</t>
        </is>
      </c>
      <c r="I1371" s="35" t="inlineStr">
        <is>
          <t>esabcc-b4-surface-tertiary</t>
        </is>
      </c>
    </row>
    <row r="1372" ht="14" customHeight="1">
      <c r="A1372" s="15" t="inlineStr">
        <is>
          <t>B4 (surface tertiary)</t>
        </is>
      </c>
      <c r="B1372" s="15" t="inlineStr">
        <is>
          <t>Total tertiary floor surface (index, 2005 = 1.0)</t>
        </is>
      </c>
      <c r="C1372" s="15" t="inlineStr">
        <is>
          <t>Buildings</t>
        </is>
      </c>
      <c r="D1372" s="15" t="inlineStr">
        <is>
          <t>index (2005 = 1.0)</t>
        </is>
      </c>
      <c r="E1372" s="63" t="n">
        <v>2011</v>
      </c>
      <c r="F1372" s="64" t="n">
        <v>1.06</v>
      </c>
      <c r="G1372" s="14" t="inlineStr">
        <is>
          <t>In the 2024 report</t>
        </is>
      </c>
      <c r="H1372" s="15" t="inlineStr">
        <is>
          <t>European Building Stock Observatory (DG ENER) + Odyssee-Mure; population from Eurostat demo_gind</t>
        </is>
      </c>
      <c r="I1372" s="34" t="inlineStr">
        <is>
          <t>esabcc-b4-surface-tertiary</t>
        </is>
      </c>
    </row>
    <row r="1373" ht="14" customHeight="1">
      <c r="A1373" s="22" t="inlineStr">
        <is>
          <t>B4 (surface tertiary)</t>
        </is>
      </c>
      <c r="B1373" s="22" t="inlineStr">
        <is>
          <t>Total tertiary floor surface (index, 2005 = 1.0)</t>
        </is>
      </c>
      <c r="C1373" s="22" t="inlineStr">
        <is>
          <t>Buildings</t>
        </is>
      </c>
      <c r="D1373" s="22" t="inlineStr">
        <is>
          <t>index (2005 = 1.0)</t>
        </is>
      </c>
      <c r="E1373" s="65" t="n">
        <v>2012</v>
      </c>
      <c r="F1373" s="66" t="n">
        <v>1.071</v>
      </c>
      <c r="G1373" s="67" t="inlineStr">
        <is>
          <t>In the 2024 report</t>
        </is>
      </c>
      <c r="H1373" s="22" t="inlineStr">
        <is>
          <t>European Building Stock Observatory (DG ENER) + Odyssee-Mure; population from Eurostat demo_gind</t>
        </is>
      </c>
      <c r="I1373" s="35" t="inlineStr">
        <is>
          <t>esabcc-b4-surface-tertiary</t>
        </is>
      </c>
    </row>
    <row r="1374" ht="14" customHeight="1">
      <c r="A1374" s="15" t="inlineStr">
        <is>
          <t>B4 (surface tertiary)</t>
        </is>
      </c>
      <c r="B1374" s="15" t="inlineStr">
        <is>
          <t>Total tertiary floor surface (index, 2005 = 1.0)</t>
        </is>
      </c>
      <c r="C1374" s="15" t="inlineStr">
        <is>
          <t>Buildings</t>
        </is>
      </c>
      <c r="D1374" s="15" t="inlineStr">
        <is>
          <t>index (2005 = 1.0)</t>
        </is>
      </c>
      <c r="E1374" s="63" t="n">
        <v>2013</v>
      </c>
      <c r="F1374" s="64" t="n">
        <v>1.085</v>
      </c>
      <c r="G1374" s="14" t="inlineStr">
        <is>
          <t>In the 2024 report</t>
        </is>
      </c>
      <c r="H1374" s="15" t="inlineStr">
        <is>
          <t>European Building Stock Observatory (DG ENER) + Odyssee-Mure; population from Eurostat demo_gind</t>
        </is>
      </c>
      <c r="I1374" s="34" t="inlineStr">
        <is>
          <t>esabcc-b4-surface-tertiary</t>
        </is>
      </c>
    </row>
    <row r="1375" ht="14" customHeight="1">
      <c r="A1375" s="22" t="inlineStr">
        <is>
          <t>B4 (surface tertiary)</t>
        </is>
      </c>
      <c r="B1375" s="22" t="inlineStr">
        <is>
          <t>Total tertiary floor surface (index, 2005 = 1.0)</t>
        </is>
      </c>
      <c r="C1375" s="22" t="inlineStr">
        <is>
          <t>Buildings</t>
        </is>
      </c>
      <c r="D1375" s="22" t="inlineStr">
        <is>
          <t>index (2005 = 1.0)</t>
        </is>
      </c>
      <c r="E1375" s="65" t="n">
        <v>2014</v>
      </c>
      <c r="F1375" s="66" t="n">
        <v>1.094</v>
      </c>
      <c r="G1375" s="67" t="inlineStr">
        <is>
          <t>In the 2024 report</t>
        </is>
      </c>
      <c r="H1375" s="22" t="inlineStr">
        <is>
          <t>European Building Stock Observatory (DG ENER) + Odyssee-Mure; population from Eurostat demo_gind</t>
        </is>
      </c>
      <c r="I1375" s="35" t="inlineStr">
        <is>
          <t>esabcc-b4-surface-tertiary</t>
        </is>
      </c>
    </row>
    <row r="1376" ht="14" customHeight="1">
      <c r="A1376" s="15" t="inlineStr">
        <is>
          <t>B4 (surface tertiary)</t>
        </is>
      </c>
      <c r="B1376" s="15" t="inlineStr">
        <is>
          <t>Total tertiary floor surface (index, 2005 = 1.0)</t>
        </is>
      </c>
      <c r="C1376" s="15" t="inlineStr">
        <is>
          <t>Buildings</t>
        </is>
      </c>
      <c r="D1376" s="15" t="inlineStr">
        <is>
          <t>index (2005 = 1.0)</t>
        </is>
      </c>
      <c r="E1376" s="63" t="n">
        <v>2015</v>
      </c>
      <c r="F1376" s="64" t="n">
        <v>1.102</v>
      </c>
      <c r="G1376" s="14" t="inlineStr">
        <is>
          <t>In the 2024 report</t>
        </is>
      </c>
      <c r="H1376" s="15" t="inlineStr">
        <is>
          <t>European Building Stock Observatory (DG ENER) + Odyssee-Mure; population from Eurostat demo_gind</t>
        </is>
      </c>
      <c r="I1376" s="34" t="inlineStr">
        <is>
          <t>esabcc-b4-surface-tertiary</t>
        </is>
      </c>
    </row>
    <row r="1377" ht="14" customHeight="1">
      <c r="A1377" s="22" t="inlineStr">
        <is>
          <t>B4 (surface tertiary)</t>
        </is>
      </c>
      <c r="B1377" s="22" t="inlineStr">
        <is>
          <t>Total tertiary floor surface (index, 2005 = 1.0)</t>
        </is>
      </c>
      <c r="C1377" s="22" t="inlineStr">
        <is>
          <t>Buildings</t>
        </is>
      </c>
      <c r="D1377" s="22" t="inlineStr">
        <is>
          <t>index (2005 = 1.0)</t>
        </is>
      </c>
      <c r="E1377" s="65" t="n">
        <v>2016</v>
      </c>
      <c r="F1377" s="66" t="n">
        <v>1.113</v>
      </c>
      <c r="G1377" s="67" t="inlineStr">
        <is>
          <t>In the 2024 report</t>
        </is>
      </c>
      <c r="H1377" s="22" t="inlineStr">
        <is>
          <t>European Building Stock Observatory (DG ENER) + Odyssee-Mure; population from Eurostat demo_gind</t>
        </is>
      </c>
      <c r="I1377" s="35" t="inlineStr">
        <is>
          <t>esabcc-b4-surface-tertiary</t>
        </is>
      </c>
    </row>
    <row r="1378" ht="14" customHeight="1">
      <c r="A1378" s="15" t="inlineStr">
        <is>
          <t>B4 (surface tertiary)</t>
        </is>
      </c>
      <c r="B1378" s="15" t="inlineStr">
        <is>
          <t>Total tertiary floor surface (index, 2005 = 1.0)</t>
        </is>
      </c>
      <c r="C1378" s="15" t="inlineStr">
        <is>
          <t>Buildings</t>
        </is>
      </c>
      <c r="D1378" s="15" t="inlineStr">
        <is>
          <t>index (2005 = 1.0)</t>
        </is>
      </c>
      <c r="E1378" s="63" t="n">
        <v>2017</v>
      </c>
      <c r="F1378" s="64" t="n">
        <v>1.111</v>
      </c>
      <c r="G1378" s="14" t="inlineStr">
        <is>
          <t>In the 2024 report</t>
        </is>
      </c>
      <c r="H1378" s="15" t="inlineStr">
        <is>
          <t>European Building Stock Observatory (DG ENER) + Odyssee-Mure; population from Eurostat demo_gind</t>
        </is>
      </c>
      <c r="I1378" s="34" t="inlineStr">
        <is>
          <t>esabcc-b4-surface-tertiary</t>
        </is>
      </c>
    </row>
    <row r="1379" ht="14" customHeight="1">
      <c r="A1379" s="22" t="inlineStr">
        <is>
          <t>B4 (surface tertiary)</t>
        </is>
      </c>
      <c r="B1379" s="22" t="inlineStr">
        <is>
          <t>Total tertiary floor surface (index, 2005 = 1.0)</t>
        </is>
      </c>
      <c r="C1379" s="22" t="inlineStr">
        <is>
          <t>Buildings</t>
        </is>
      </c>
      <c r="D1379" s="22" t="inlineStr">
        <is>
          <t>index (2005 = 1.0)</t>
        </is>
      </c>
      <c r="E1379" s="65" t="n">
        <v>2018</v>
      </c>
      <c r="F1379" s="66" t="n">
        <v>1.12</v>
      </c>
      <c r="G1379" s="67" t="inlineStr">
        <is>
          <t>In the 2024 report</t>
        </is>
      </c>
      <c r="H1379" s="22" t="inlineStr">
        <is>
          <t>European Building Stock Observatory (DG ENER) + Odyssee-Mure; population from Eurostat demo_gind</t>
        </is>
      </c>
      <c r="I1379" s="35" t="inlineStr">
        <is>
          <t>esabcc-b4-surface-tertiary</t>
        </is>
      </c>
    </row>
    <row r="1380" ht="14" customHeight="1">
      <c r="A1380" s="15" t="inlineStr">
        <is>
          <t>B4 (surface tertiary)</t>
        </is>
      </c>
      <c r="B1380" s="15" t="inlineStr">
        <is>
          <t>Total tertiary floor surface (index, 2005 = 1.0)</t>
        </is>
      </c>
      <c r="C1380" s="15" t="inlineStr">
        <is>
          <t>Buildings</t>
        </is>
      </c>
      <c r="D1380" s="15" t="inlineStr">
        <is>
          <t>index (2005 = 1.0)</t>
        </is>
      </c>
      <c r="E1380" s="63" t="n">
        <v>2019</v>
      </c>
      <c r="F1380" s="64" t="n">
        <v>1.12</v>
      </c>
      <c r="G1380" s="14" t="inlineStr">
        <is>
          <t>In the 2024 report</t>
        </is>
      </c>
      <c r="H1380" s="15" t="inlineStr">
        <is>
          <t>European Building Stock Observatory (DG ENER) + Odyssee-Mure; population from Eurostat demo_gind</t>
        </is>
      </c>
      <c r="I1380" s="34" t="inlineStr">
        <is>
          <t>esabcc-b4-surface-tertiary</t>
        </is>
      </c>
    </row>
    <row r="1381" ht="14" customHeight="1">
      <c r="A1381" s="22" t="inlineStr">
        <is>
          <t>L2 (cropland)</t>
        </is>
      </c>
      <c r="B1381" s="22" t="inlineStr">
        <is>
          <t>Cropland surface area (EU)</t>
        </is>
      </c>
      <c r="C1381" s="22" t="inlineStr">
        <is>
          <t>LULUCF</t>
        </is>
      </c>
      <c r="D1381" s="22" t="inlineStr">
        <is>
          <t>million ha</t>
        </is>
      </c>
      <c r="E1381" s="65" t="n">
        <v>2005</v>
      </c>
      <c r="F1381" s="66" t="n">
        <v>127.5</v>
      </c>
      <c r="G1381" s="67" t="inlineStr">
        <is>
          <t>In the 2024 report</t>
        </is>
      </c>
      <c r="H1381" s="22" t="inlineStr">
        <is>
          <t>EU GHG inventory (CRF tables)</t>
        </is>
      </c>
      <c r="I1381" s="35" t="inlineStr">
        <is>
          <t>esabcc-l2-cropland-area</t>
        </is>
      </c>
    </row>
    <row r="1382" ht="14" customHeight="1">
      <c r="A1382" s="15" t="inlineStr">
        <is>
          <t>L2 (cropland)</t>
        </is>
      </c>
      <c r="B1382" s="15" t="inlineStr">
        <is>
          <t>Cropland surface area (EU)</t>
        </is>
      </c>
      <c r="C1382" s="15" t="inlineStr">
        <is>
          <t>LULUCF</t>
        </is>
      </c>
      <c r="D1382" s="15" t="inlineStr">
        <is>
          <t>million ha</t>
        </is>
      </c>
      <c r="E1382" s="63" t="n">
        <v>2006</v>
      </c>
      <c r="F1382" s="64" t="n">
        <v>126.5</v>
      </c>
      <c r="G1382" s="14" t="inlineStr">
        <is>
          <t>In the 2024 report</t>
        </is>
      </c>
      <c r="H1382" s="15" t="inlineStr">
        <is>
          <t>EU GHG inventory (CRF tables)</t>
        </is>
      </c>
      <c r="I1382" s="34" t="inlineStr">
        <is>
          <t>esabcc-l2-cropland-area</t>
        </is>
      </c>
    </row>
    <row r="1383" ht="14" customHeight="1">
      <c r="A1383" s="22" t="inlineStr">
        <is>
          <t>L2 (cropland)</t>
        </is>
      </c>
      <c r="B1383" s="22" t="inlineStr">
        <is>
          <t>Cropland surface area (EU)</t>
        </is>
      </c>
      <c r="C1383" s="22" t="inlineStr">
        <is>
          <t>LULUCF</t>
        </is>
      </c>
      <c r="D1383" s="22" t="inlineStr">
        <is>
          <t>million ha</t>
        </is>
      </c>
      <c r="E1383" s="65" t="n">
        <v>2007</v>
      </c>
      <c r="F1383" s="66" t="n">
        <v>126</v>
      </c>
      <c r="G1383" s="67" t="inlineStr">
        <is>
          <t>In the 2024 report</t>
        </is>
      </c>
      <c r="H1383" s="22" t="inlineStr">
        <is>
          <t>EU GHG inventory (CRF tables)</t>
        </is>
      </c>
      <c r="I1383" s="35" t="inlineStr">
        <is>
          <t>esabcc-l2-cropland-area</t>
        </is>
      </c>
    </row>
    <row r="1384" ht="14" customHeight="1">
      <c r="A1384" s="15" t="inlineStr">
        <is>
          <t>L2 (cropland)</t>
        </is>
      </c>
      <c r="B1384" s="15" t="inlineStr">
        <is>
          <t>Cropland surface area (EU)</t>
        </is>
      </c>
      <c r="C1384" s="15" t="inlineStr">
        <is>
          <t>LULUCF</t>
        </is>
      </c>
      <c r="D1384" s="15" t="inlineStr">
        <is>
          <t>million ha</t>
        </is>
      </c>
      <c r="E1384" s="63" t="n">
        <v>2008</v>
      </c>
      <c r="F1384" s="64" t="n">
        <v>125.7</v>
      </c>
      <c r="G1384" s="14" t="inlineStr">
        <is>
          <t>In the 2024 report</t>
        </is>
      </c>
      <c r="H1384" s="15" t="inlineStr">
        <is>
          <t>EU GHG inventory (CRF tables)</t>
        </is>
      </c>
      <c r="I1384" s="34" t="inlineStr">
        <is>
          <t>esabcc-l2-cropland-area</t>
        </is>
      </c>
    </row>
    <row r="1385" ht="14" customHeight="1">
      <c r="A1385" s="22" t="inlineStr">
        <is>
          <t>L2 (cropland)</t>
        </is>
      </c>
      <c r="B1385" s="22" t="inlineStr">
        <is>
          <t>Cropland surface area (EU)</t>
        </is>
      </c>
      <c r="C1385" s="22" t="inlineStr">
        <is>
          <t>LULUCF</t>
        </is>
      </c>
      <c r="D1385" s="22" t="inlineStr">
        <is>
          <t>million ha</t>
        </is>
      </c>
      <c r="E1385" s="65" t="n">
        <v>2009</v>
      </c>
      <c r="F1385" s="66" t="n">
        <v>125.2</v>
      </c>
      <c r="G1385" s="67" t="inlineStr">
        <is>
          <t>In the 2024 report</t>
        </is>
      </c>
      <c r="H1385" s="22" t="inlineStr">
        <is>
          <t>EU GHG inventory (CRF tables)</t>
        </is>
      </c>
      <c r="I1385" s="35" t="inlineStr">
        <is>
          <t>esabcc-l2-cropland-area</t>
        </is>
      </c>
    </row>
    <row r="1386" ht="14" customHeight="1">
      <c r="A1386" s="15" t="inlineStr">
        <is>
          <t>L2 (cropland)</t>
        </is>
      </c>
      <c r="B1386" s="15" t="inlineStr">
        <is>
          <t>Cropland surface area (EU)</t>
        </is>
      </c>
      <c r="C1386" s="15" t="inlineStr">
        <is>
          <t>LULUCF</t>
        </is>
      </c>
      <c r="D1386" s="15" t="inlineStr">
        <is>
          <t>million ha</t>
        </is>
      </c>
      <c r="E1386" s="63" t="n">
        <v>2010</v>
      </c>
      <c r="F1386" s="64" t="n">
        <v>124.6</v>
      </c>
      <c r="G1386" s="14" t="inlineStr">
        <is>
          <t>In the 2024 report</t>
        </is>
      </c>
      <c r="H1386" s="15" t="inlineStr">
        <is>
          <t>EU GHG inventory (CRF tables)</t>
        </is>
      </c>
      <c r="I1386" s="34" t="inlineStr">
        <is>
          <t>esabcc-l2-cropland-area</t>
        </is>
      </c>
    </row>
    <row r="1387" ht="14" customHeight="1">
      <c r="A1387" s="22" t="inlineStr">
        <is>
          <t>L2 (cropland)</t>
        </is>
      </c>
      <c r="B1387" s="22" t="inlineStr">
        <is>
          <t>Cropland surface area (EU)</t>
        </is>
      </c>
      <c r="C1387" s="22" t="inlineStr">
        <is>
          <t>LULUCF</t>
        </is>
      </c>
      <c r="D1387" s="22" t="inlineStr">
        <is>
          <t>million ha</t>
        </is>
      </c>
      <c r="E1387" s="65" t="n">
        <v>2011</v>
      </c>
      <c r="F1387" s="66" t="n">
        <v>124.2</v>
      </c>
      <c r="G1387" s="67" t="inlineStr">
        <is>
          <t>In the 2024 report</t>
        </is>
      </c>
      <c r="H1387" s="22" t="inlineStr">
        <is>
          <t>EU GHG inventory (CRF tables)</t>
        </is>
      </c>
      <c r="I1387" s="35" t="inlineStr">
        <is>
          <t>esabcc-l2-cropland-area</t>
        </is>
      </c>
    </row>
    <row r="1388" ht="14" customHeight="1">
      <c r="A1388" s="15" t="inlineStr">
        <is>
          <t>L2 (cropland)</t>
        </is>
      </c>
      <c r="B1388" s="15" t="inlineStr">
        <is>
          <t>Cropland surface area (EU)</t>
        </is>
      </c>
      <c r="C1388" s="15" t="inlineStr">
        <is>
          <t>LULUCF</t>
        </is>
      </c>
      <c r="D1388" s="15" t="inlineStr">
        <is>
          <t>million ha</t>
        </is>
      </c>
      <c r="E1388" s="63" t="n">
        <v>2012</v>
      </c>
      <c r="F1388" s="64" t="n">
        <v>123.9</v>
      </c>
      <c r="G1388" s="14" t="inlineStr">
        <is>
          <t>In the 2024 report</t>
        </is>
      </c>
      <c r="H1388" s="15" t="inlineStr">
        <is>
          <t>EU GHG inventory (CRF tables)</t>
        </is>
      </c>
      <c r="I1388" s="34" t="inlineStr">
        <is>
          <t>esabcc-l2-cropland-area</t>
        </is>
      </c>
    </row>
    <row r="1389" ht="14" customHeight="1">
      <c r="A1389" s="22" t="inlineStr">
        <is>
          <t>L2 (cropland)</t>
        </is>
      </c>
      <c r="B1389" s="22" t="inlineStr">
        <is>
          <t>Cropland surface area (EU)</t>
        </is>
      </c>
      <c r="C1389" s="22" t="inlineStr">
        <is>
          <t>LULUCF</t>
        </is>
      </c>
      <c r="D1389" s="22" t="inlineStr">
        <is>
          <t>million ha</t>
        </is>
      </c>
      <c r="E1389" s="65" t="n">
        <v>2013</v>
      </c>
      <c r="F1389" s="66" t="n">
        <v>123.7</v>
      </c>
      <c r="G1389" s="67" t="inlineStr">
        <is>
          <t>In the 2024 report</t>
        </is>
      </c>
      <c r="H1389" s="22" t="inlineStr">
        <is>
          <t>EU GHG inventory (CRF tables)</t>
        </is>
      </c>
      <c r="I1389" s="35" t="inlineStr">
        <is>
          <t>esabcc-l2-cropland-area</t>
        </is>
      </c>
    </row>
    <row r="1390" ht="14" customHeight="1">
      <c r="A1390" s="15" t="inlineStr">
        <is>
          <t>L2 (cropland)</t>
        </is>
      </c>
      <c r="B1390" s="15" t="inlineStr">
        <is>
          <t>Cropland surface area (EU)</t>
        </is>
      </c>
      <c r="C1390" s="15" t="inlineStr">
        <is>
          <t>LULUCF</t>
        </is>
      </c>
      <c r="D1390" s="15" t="inlineStr">
        <is>
          <t>million ha</t>
        </is>
      </c>
      <c r="E1390" s="63" t="n">
        <v>2014</v>
      </c>
      <c r="F1390" s="64" t="n">
        <v>123.3</v>
      </c>
      <c r="G1390" s="14" t="inlineStr">
        <is>
          <t>In the 2024 report</t>
        </is>
      </c>
      <c r="H1390" s="15" t="inlineStr">
        <is>
          <t>EU GHG inventory (CRF tables)</t>
        </is>
      </c>
      <c r="I1390" s="34" t="inlineStr">
        <is>
          <t>esabcc-l2-cropland-area</t>
        </is>
      </c>
    </row>
    <row r="1391" ht="14" customHeight="1">
      <c r="A1391" s="22" t="inlineStr">
        <is>
          <t>L2 (cropland)</t>
        </is>
      </c>
      <c r="B1391" s="22" t="inlineStr">
        <is>
          <t>Cropland surface area (EU)</t>
        </is>
      </c>
      <c r="C1391" s="22" t="inlineStr">
        <is>
          <t>LULUCF</t>
        </is>
      </c>
      <c r="D1391" s="22" t="inlineStr">
        <is>
          <t>million ha</t>
        </is>
      </c>
      <c r="E1391" s="65" t="n">
        <v>2015</v>
      </c>
      <c r="F1391" s="66" t="n">
        <v>123.1</v>
      </c>
      <c r="G1391" s="67" t="inlineStr">
        <is>
          <t>In the 2024 report</t>
        </is>
      </c>
      <c r="H1391" s="22" t="inlineStr">
        <is>
          <t>EU GHG inventory (CRF tables)</t>
        </is>
      </c>
      <c r="I1391" s="35" t="inlineStr">
        <is>
          <t>esabcc-l2-cropland-area</t>
        </is>
      </c>
    </row>
    <row r="1392" ht="14" customHeight="1">
      <c r="A1392" s="15" t="inlineStr">
        <is>
          <t>L2 (cropland)</t>
        </is>
      </c>
      <c r="B1392" s="15" t="inlineStr">
        <is>
          <t>Cropland surface area (EU)</t>
        </is>
      </c>
      <c r="C1392" s="15" t="inlineStr">
        <is>
          <t>LULUCF</t>
        </is>
      </c>
      <c r="D1392" s="15" t="inlineStr">
        <is>
          <t>million ha</t>
        </is>
      </c>
      <c r="E1392" s="63" t="n">
        <v>2016</v>
      </c>
      <c r="F1392" s="64" t="n">
        <v>122.7</v>
      </c>
      <c r="G1392" s="14" t="inlineStr">
        <is>
          <t>In the 2024 report</t>
        </is>
      </c>
      <c r="H1392" s="15" t="inlineStr">
        <is>
          <t>EU GHG inventory (CRF tables)</t>
        </is>
      </c>
      <c r="I1392" s="34" t="inlineStr">
        <is>
          <t>esabcc-l2-cropland-area</t>
        </is>
      </c>
    </row>
    <row r="1393" ht="14" customHeight="1">
      <c r="A1393" s="22" t="inlineStr">
        <is>
          <t>L2 (cropland)</t>
        </is>
      </c>
      <c r="B1393" s="22" t="inlineStr">
        <is>
          <t>Cropland surface area (EU)</t>
        </is>
      </c>
      <c r="C1393" s="22" t="inlineStr">
        <is>
          <t>LULUCF</t>
        </is>
      </c>
      <c r="D1393" s="22" t="inlineStr">
        <is>
          <t>million ha</t>
        </is>
      </c>
      <c r="E1393" s="65" t="n">
        <v>2017</v>
      </c>
      <c r="F1393" s="66" t="n">
        <v>122.5</v>
      </c>
      <c r="G1393" s="67" t="inlineStr">
        <is>
          <t>In the 2024 report</t>
        </is>
      </c>
      <c r="H1393" s="22" t="inlineStr">
        <is>
          <t>EU GHG inventory (CRF tables)</t>
        </is>
      </c>
      <c r="I1393" s="35" t="inlineStr">
        <is>
          <t>esabcc-l2-cropland-area</t>
        </is>
      </c>
    </row>
    <row r="1394" ht="14" customHeight="1">
      <c r="A1394" s="15" t="inlineStr">
        <is>
          <t>L2 (cropland)</t>
        </is>
      </c>
      <c r="B1394" s="15" t="inlineStr">
        <is>
          <t>Cropland surface area (EU)</t>
        </is>
      </c>
      <c r="C1394" s="15" t="inlineStr">
        <is>
          <t>LULUCF</t>
        </is>
      </c>
      <c r="D1394" s="15" t="inlineStr">
        <is>
          <t>million ha</t>
        </is>
      </c>
      <c r="E1394" s="63" t="n">
        <v>2018</v>
      </c>
      <c r="F1394" s="64" t="n">
        <v>121.7</v>
      </c>
      <c r="G1394" s="14" t="inlineStr">
        <is>
          <t>In the 2024 report</t>
        </is>
      </c>
      <c r="H1394" s="15" t="inlineStr">
        <is>
          <t>EU GHG inventory (CRF tables)</t>
        </is>
      </c>
      <c r="I1394" s="34" t="inlineStr">
        <is>
          <t>esabcc-l2-cropland-area</t>
        </is>
      </c>
    </row>
    <row r="1395" ht="14" customHeight="1">
      <c r="A1395" s="22" t="inlineStr">
        <is>
          <t>L2 (cropland)</t>
        </is>
      </c>
      <c r="B1395" s="22" t="inlineStr">
        <is>
          <t>Cropland surface area (EU)</t>
        </is>
      </c>
      <c r="C1395" s="22" t="inlineStr">
        <is>
          <t>LULUCF</t>
        </is>
      </c>
      <c r="D1395" s="22" t="inlineStr">
        <is>
          <t>million ha</t>
        </is>
      </c>
      <c r="E1395" s="65" t="n">
        <v>2019</v>
      </c>
      <c r="F1395" s="66" t="n">
        <v>121.3</v>
      </c>
      <c r="G1395" s="67" t="inlineStr">
        <is>
          <t>In the 2024 report</t>
        </is>
      </c>
      <c r="H1395" s="22" t="inlineStr">
        <is>
          <t>EU GHG inventory (CRF tables)</t>
        </is>
      </c>
      <c r="I1395" s="35" t="inlineStr">
        <is>
          <t>esabcc-l2-cropland-area</t>
        </is>
      </c>
    </row>
    <row r="1396" ht="14" customHeight="1">
      <c r="A1396" s="15" t="inlineStr">
        <is>
          <t>L2 (cropland)</t>
        </is>
      </c>
      <c r="B1396" s="15" t="inlineStr">
        <is>
          <t>Cropland surface area (EU)</t>
        </is>
      </c>
      <c r="C1396" s="15" t="inlineStr">
        <is>
          <t>LULUCF</t>
        </is>
      </c>
      <c r="D1396" s="15" t="inlineStr">
        <is>
          <t>million ha</t>
        </is>
      </c>
      <c r="E1396" s="63" t="n">
        <v>2020</v>
      </c>
      <c r="F1396" s="64" t="n">
        <v>121.3</v>
      </c>
      <c r="G1396" s="14" t="inlineStr">
        <is>
          <t>In the 2024 report</t>
        </is>
      </c>
      <c r="H1396" s="15" t="inlineStr">
        <is>
          <t>EU GHG inventory (CRF tables)</t>
        </is>
      </c>
      <c r="I1396" s="34" t="inlineStr">
        <is>
          <t>esabcc-l2-cropland-area</t>
        </is>
      </c>
    </row>
    <row r="1397" ht="14" customHeight="1">
      <c r="A1397" s="22" t="inlineStr">
        <is>
          <t>L2 (cropland)</t>
        </is>
      </c>
      <c r="B1397" s="22" t="inlineStr">
        <is>
          <t>Cropland surface area (EU)</t>
        </is>
      </c>
      <c r="C1397" s="22" t="inlineStr">
        <is>
          <t>LULUCF</t>
        </is>
      </c>
      <c r="D1397" s="22" t="inlineStr">
        <is>
          <t>million ha</t>
        </is>
      </c>
      <c r="E1397" s="65" t="n">
        <v>2021</v>
      </c>
      <c r="F1397" s="66" t="n">
        <v>120.9</v>
      </c>
      <c r="G1397" s="67" t="inlineStr">
        <is>
          <t>In the 2024 report</t>
        </is>
      </c>
      <c r="H1397" s="22" t="inlineStr">
        <is>
          <t>EU GHG inventory (CRF tables)</t>
        </is>
      </c>
      <c r="I1397" s="35" t="inlineStr">
        <is>
          <t>esabcc-l2-cropland-area</t>
        </is>
      </c>
    </row>
    <row r="1398" ht="14" customHeight="1">
      <c r="A1398" s="15" t="inlineStr">
        <is>
          <t>L2 (grassland)</t>
        </is>
      </c>
      <c r="B1398" s="15" t="inlineStr">
        <is>
          <t>Grassland surface area (EU)</t>
        </is>
      </c>
      <c r="C1398" s="15" t="inlineStr">
        <is>
          <t>LULUCF</t>
        </is>
      </c>
      <c r="D1398" s="15" t="inlineStr">
        <is>
          <t>million ha</t>
        </is>
      </c>
      <c r="E1398" s="63" t="n">
        <v>2005</v>
      </c>
      <c r="F1398" s="64" t="n">
        <v>73.53</v>
      </c>
      <c r="G1398" s="14" t="inlineStr">
        <is>
          <t>In the 2024 report</t>
        </is>
      </c>
      <c r="H1398" s="15" t="inlineStr">
        <is>
          <t>EU GHG inventory (CRF tables)</t>
        </is>
      </c>
      <c r="I1398" s="34" t="inlineStr">
        <is>
          <t>esabcc-l2-grassland-area</t>
        </is>
      </c>
    </row>
    <row r="1399" ht="14" customHeight="1">
      <c r="A1399" s="22" t="inlineStr">
        <is>
          <t>L2 (grassland)</t>
        </is>
      </c>
      <c r="B1399" s="22" t="inlineStr">
        <is>
          <t>Grassland surface area (EU)</t>
        </is>
      </c>
      <c r="C1399" s="22" t="inlineStr">
        <is>
          <t>LULUCF</t>
        </is>
      </c>
      <c r="D1399" s="22" t="inlineStr">
        <is>
          <t>million ha</t>
        </is>
      </c>
      <c r="E1399" s="65" t="n">
        <v>2006</v>
      </c>
      <c r="F1399" s="66" t="n">
        <v>73.41</v>
      </c>
      <c r="G1399" s="67" t="inlineStr">
        <is>
          <t>In the 2024 report</t>
        </is>
      </c>
      <c r="H1399" s="22" t="inlineStr">
        <is>
          <t>EU GHG inventory (CRF tables)</t>
        </is>
      </c>
      <c r="I1399" s="35" t="inlineStr">
        <is>
          <t>esabcc-l2-grassland-area</t>
        </is>
      </c>
    </row>
    <row r="1400" ht="14" customHeight="1">
      <c r="A1400" s="15" t="inlineStr">
        <is>
          <t>L2 (grassland)</t>
        </is>
      </c>
      <c r="B1400" s="15" t="inlineStr">
        <is>
          <t>Grassland surface area (EU)</t>
        </is>
      </c>
      <c r="C1400" s="15" t="inlineStr">
        <is>
          <t>LULUCF</t>
        </is>
      </c>
      <c r="D1400" s="15" t="inlineStr">
        <is>
          <t>million ha</t>
        </is>
      </c>
      <c r="E1400" s="63" t="n">
        <v>2007</v>
      </c>
      <c r="F1400" s="64" t="n">
        <v>73.38</v>
      </c>
      <c r="G1400" s="14" t="inlineStr">
        <is>
          <t>In the 2024 report</t>
        </is>
      </c>
      <c r="H1400" s="15" t="inlineStr">
        <is>
          <t>EU GHG inventory (CRF tables)</t>
        </is>
      </c>
      <c r="I1400" s="34" t="inlineStr">
        <is>
          <t>esabcc-l2-grassland-area</t>
        </is>
      </c>
    </row>
    <row r="1401" ht="14" customHeight="1">
      <c r="A1401" s="22" t="inlineStr">
        <is>
          <t>L2 (grassland)</t>
        </is>
      </c>
      <c r="B1401" s="22" t="inlineStr">
        <is>
          <t>Grassland surface area (EU)</t>
        </is>
      </c>
      <c r="C1401" s="22" t="inlineStr">
        <is>
          <t>LULUCF</t>
        </is>
      </c>
      <c r="D1401" s="22" t="inlineStr">
        <is>
          <t>million ha</t>
        </is>
      </c>
      <c r="E1401" s="65" t="n">
        <v>2008</v>
      </c>
      <c r="F1401" s="66" t="n">
        <v>73.29000000000001</v>
      </c>
      <c r="G1401" s="67" t="inlineStr">
        <is>
          <t>In the 2024 report</t>
        </is>
      </c>
      <c r="H1401" s="22" t="inlineStr">
        <is>
          <t>EU GHG inventory (CRF tables)</t>
        </is>
      </c>
      <c r="I1401" s="35" t="inlineStr">
        <is>
          <t>esabcc-l2-grassland-area</t>
        </is>
      </c>
    </row>
    <row r="1402" ht="14" customHeight="1">
      <c r="A1402" s="15" t="inlineStr">
        <is>
          <t>L2 (grassland)</t>
        </is>
      </c>
      <c r="B1402" s="15" t="inlineStr">
        <is>
          <t>Grassland surface area (EU)</t>
        </is>
      </c>
      <c r="C1402" s="15" t="inlineStr">
        <is>
          <t>LULUCF</t>
        </is>
      </c>
      <c r="D1402" s="15" t="inlineStr">
        <is>
          <t>million ha</t>
        </is>
      </c>
      <c r="E1402" s="63" t="n">
        <v>2009</v>
      </c>
      <c r="F1402" s="64" t="n">
        <v>73.22</v>
      </c>
      <c r="G1402" s="14" t="inlineStr">
        <is>
          <t>In the 2024 report</t>
        </is>
      </c>
      <c r="H1402" s="15" t="inlineStr">
        <is>
          <t>EU GHG inventory (CRF tables)</t>
        </is>
      </c>
      <c r="I1402" s="34" t="inlineStr">
        <is>
          <t>esabcc-l2-grassland-area</t>
        </is>
      </c>
    </row>
    <row r="1403" ht="14" customHeight="1">
      <c r="A1403" s="22" t="inlineStr">
        <is>
          <t>L2 (grassland)</t>
        </is>
      </c>
      <c r="B1403" s="22" t="inlineStr">
        <is>
          <t>Grassland surface area (EU)</t>
        </is>
      </c>
      <c r="C1403" s="22" t="inlineStr">
        <is>
          <t>LULUCF</t>
        </is>
      </c>
      <c r="D1403" s="22" t="inlineStr">
        <is>
          <t>million ha</t>
        </is>
      </c>
      <c r="E1403" s="65" t="n">
        <v>2010</v>
      </c>
      <c r="F1403" s="66" t="n">
        <v>73.44</v>
      </c>
      <c r="G1403" s="67" t="inlineStr">
        <is>
          <t>In the 2024 report</t>
        </is>
      </c>
      <c r="H1403" s="22" t="inlineStr">
        <is>
          <t>EU GHG inventory (CRF tables)</t>
        </is>
      </c>
      <c r="I1403" s="35" t="inlineStr">
        <is>
          <t>esabcc-l2-grassland-area</t>
        </is>
      </c>
    </row>
    <row r="1404" ht="14" customHeight="1">
      <c r="A1404" s="15" t="inlineStr">
        <is>
          <t>L2 (grassland)</t>
        </is>
      </c>
      <c r="B1404" s="15" t="inlineStr">
        <is>
          <t>Grassland surface area (EU)</t>
        </is>
      </c>
      <c r="C1404" s="15" t="inlineStr">
        <is>
          <t>LULUCF</t>
        </is>
      </c>
      <c r="D1404" s="15" t="inlineStr">
        <is>
          <t>million ha</t>
        </is>
      </c>
      <c r="E1404" s="63" t="n">
        <v>2011</v>
      </c>
      <c r="F1404" s="64" t="n">
        <v>73.38</v>
      </c>
      <c r="G1404" s="14" t="inlineStr">
        <is>
          <t>In the 2024 report</t>
        </is>
      </c>
      <c r="H1404" s="15" t="inlineStr">
        <is>
          <t>EU GHG inventory (CRF tables)</t>
        </is>
      </c>
      <c r="I1404" s="34" t="inlineStr">
        <is>
          <t>esabcc-l2-grassland-area</t>
        </is>
      </c>
    </row>
    <row r="1405" ht="14" customHeight="1">
      <c r="A1405" s="22" t="inlineStr">
        <is>
          <t>L2 (grassland)</t>
        </is>
      </c>
      <c r="B1405" s="22" t="inlineStr">
        <is>
          <t>Grassland surface area (EU)</t>
        </is>
      </c>
      <c r="C1405" s="22" t="inlineStr">
        <is>
          <t>LULUCF</t>
        </is>
      </c>
      <c r="D1405" s="22" t="inlineStr">
        <is>
          <t>million ha</t>
        </is>
      </c>
      <c r="E1405" s="65" t="n">
        <v>2012</v>
      </c>
      <c r="F1405" s="66" t="n">
        <v>73.26000000000001</v>
      </c>
      <c r="G1405" s="67" t="inlineStr">
        <is>
          <t>In the 2024 report</t>
        </is>
      </c>
      <c r="H1405" s="22" t="inlineStr">
        <is>
          <t>EU GHG inventory (CRF tables)</t>
        </is>
      </c>
      <c r="I1405" s="35" t="inlineStr">
        <is>
          <t>esabcc-l2-grassland-area</t>
        </is>
      </c>
    </row>
    <row r="1406" ht="14" customHeight="1">
      <c r="A1406" s="15" t="inlineStr">
        <is>
          <t>L2 (grassland)</t>
        </is>
      </c>
      <c r="B1406" s="15" t="inlineStr">
        <is>
          <t>Grassland surface area (EU)</t>
        </is>
      </c>
      <c r="C1406" s="15" t="inlineStr">
        <is>
          <t>LULUCF</t>
        </is>
      </c>
      <c r="D1406" s="15" t="inlineStr">
        <is>
          <t>million ha</t>
        </is>
      </c>
      <c r="E1406" s="63" t="n">
        <v>2013</v>
      </c>
      <c r="F1406" s="64" t="n">
        <v>73.16</v>
      </c>
      <c r="G1406" s="14" t="inlineStr">
        <is>
          <t>In the 2024 report</t>
        </is>
      </c>
      <c r="H1406" s="15" t="inlineStr">
        <is>
          <t>EU GHG inventory (CRF tables)</t>
        </is>
      </c>
      <c r="I1406" s="34" t="inlineStr">
        <is>
          <t>esabcc-l2-grassland-area</t>
        </is>
      </c>
    </row>
    <row r="1407" ht="14" customHeight="1">
      <c r="A1407" s="22" t="inlineStr">
        <is>
          <t>L2 (grassland)</t>
        </is>
      </c>
      <c r="B1407" s="22" t="inlineStr">
        <is>
          <t>Grassland surface area (EU)</t>
        </is>
      </c>
      <c r="C1407" s="22" t="inlineStr">
        <is>
          <t>LULUCF</t>
        </is>
      </c>
      <c r="D1407" s="22" t="inlineStr">
        <is>
          <t>million ha</t>
        </is>
      </c>
      <c r="E1407" s="65" t="n">
        <v>2014</v>
      </c>
      <c r="F1407" s="66" t="n">
        <v>73.17</v>
      </c>
      <c r="G1407" s="67" t="inlineStr">
        <is>
          <t>In the 2024 report</t>
        </is>
      </c>
      <c r="H1407" s="22" t="inlineStr">
        <is>
          <t>EU GHG inventory (CRF tables)</t>
        </is>
      </c>
      <c r="I1407" s="35" t="inlineStr">
        <is>
          <t>esabcc-l2-grassland-area</t>
        </is>
      </c>
    </row>
    <row r="1408" ht="14" customHeight="1">
      <c r="A1408" s="15" t="inlineStr">
        <is>
          <t>L2 (grassland)</t>
        </is>
      </c>
      <c r="B1408" s="15" t="inlineStr">
        <is>
          <t>Grassland surface area (EU)</t>
        </is>
      </c>
      <c r="C1408" s="15" t="inlineStr">
        <is>
          <t>LULUCF</t>
        </is>
      </c>
      <c r="D1408" s="15" t="inlineStr">
        <is>
          <t>million ha</t>
        </is>
      </c>
      <c r="E1408" s="63" t="n">
        <v>2015</v>
      </c>
      <c r="F1408" s="64" t="n">
        <v>73.12</v>
      </c>
      <c r="G1408" s="14" t="inlineStr">
        <is>
          <t>In the 2024 report</t>
        </is>
      </c>
      <c r="H1408" s="15" t="inlineStr">
        <is>
          <t>EU GHG inventory (CRF tables)</t>
        </is>
      </c>
      <c r="I1408" s="34" t="inlineStr">
        <is>
          <t>esabcc-l2-grassland-area</t>
        </is>
      </c>
    </row>
    <row r="1409" ht="14" customHeight="1">
      <c r="A1409" s="22" t="inlineStr">
        <is>
          <t>L2 (grassland)</t>
        </is>
      </c>
      <c r="B1409" s="22" t="inlineStr">
        <is>
          <t>Grassland surface area (EU)</t>
        </is>
      </c>
      <c r="C1409" s="22" t="inlineStr">
        <is>
          <t>LULUCF</t>
        </is>
      </c>
      <c r="D1409" s="22" t="inlineStr">
        <is>
          <t>million ha</t>
        </is>
      </c>
      <c r="E1409" s="65" t="n">
        <v>2016</v>
      </c>
      <c r="F1409" s="66" t="n">
        <v>73.09999999999999</v>
      </c>
      <c r="G1409" s="67" t="inlineStr">
        <is>
          <t>In the 2024 report</t>
        </is>
      </c>
      <c r="H1409" s="22" t="inlineStr">
        <is>
          <t>EU GHG inventory (CRF tables)</t>
        </is>
      </c>
      <c r="I1409" s="35" t="inlineStr">
        <is>
          <t>esabcc-l2-grassland-area</t>
        </is>
      </c>
    </row>
    <row r="1410" ht="14" customHeight="1">
      <c r="A1410" s="15" t="inlineStr">
        <is>
          <t>L2 (grassland)</t>
        </is>
      </c>
      <c r="B1410" s="15" t="inlineStr">
        <is>
          <t>Grassland surface area (EU)</t>
        </is>
      </c>
      <c r="C1410" s="15" t="inlineStr">
        <is>
          <t>LULUCF</t>
        </is>
      </c>
      <c r="D1410" s="15" t="inlineStr">
        <is>
          <t>million ha</t>
        </is>
      </c>
      <c r="E1410" s="63" t="n">
        <v>2017</v>
      </c>
      <c r="F1410" s="64" t="n">
        <v>73.03</v>
      </c>
      <c r="G1410" s="14" t="inlineStr">
        <is>
          <t>In the 2024 report</t>
        </is>
      </c>
      <c r="H1410" s="15" t="inlineStr">
        <is>
          <t>EU GHG inventory (CRF tables)</t>
        </is>
      </c>
      <c r="I1410" s="34" t="inlineStr">
        <is>
          <t>esabcc-l2-grassland-area</t>
        </is>
      </c>
    </row>
    <row r="1411" ht="14" customHeight="1">
      <c r="A1411" s="22" t="inlineStr">
        <is>
          <t>L2 (grassland)</t>
        </is>
      </c>
      <c r="B1411" s="22" t="inlineStr">
        <is>
          <t>Grassland surface area (EU)</t>
        </is>
      </c>
      <c r="C1411" s="22" t="inlineStr">
        <is>
          <t>LULUCF</t>
        </is>
      </c>
      <c r="D1411" s="22" t="inlineStr">
        <is>
          <t>million ha</t>
        </is>
      </c>
      <c r="E1411" s="65" t="n">
        <v>2018</v>
      </c>
      <c r="F1411" s="66" t="n">
        <v>73.42</v>
      </c>
      <c r="G1411" s="67" t="inlineStr">
        <is>
          <t>In the 2024 report</t>
        </is>
      </c>
      <c r="H1411" s="22" t="inlineStr">
        <is>
          <t>EU GHG inventory (CRF tables)</t>
        </is>
      </c>
      <c r="I1411" s="35" t="inlineStr">
        <is>
          <t>esabcc-l2-grassland-area</t>
        </is>
      </c>
    </row>
    <row r="1412" ht="14" customHeight="1">
      <c r="A1412" s="15" t="inlineStr">
        <is>
          <t>L2 (grassland)</t>
        </is>
      </c>
      <c r="B1412" s="15" t="inlineStr">
        <is>
          <t>Grassland surface area (EU)</t>
        </is>
      </c>
      <c r="C1412" s="15" t="inlineStr">
        <is>
          <t>LULUCF</t>
        </is>
      </c>
      <c r="D1412" s="15" t="inlineStr">
        <is>
          <t>million ha</t>
        </is>
      </c>
      <c r="E1412" s="63" t="n">
        <v>2019</v>
      </c>
      <c r="F1412" s="64" t="n">
        <v>73.45999999999999</v>
      </c>
      <c r="G1412" s="14" t="inlineStr">
        <is>
          <t>In the 2024 report</t>
        </is>
      </c>
      <c r="H1412" s="15" t="inlineStr">
        <is>
          <t>EU GHG inventory (CRF tables)</t>
        </is>
      </c>
      <c r="I1412" s="34" t="inlineStr">
        <is>
          <t>esabcc-l2-grassland-area</t>
        </is>
      </c>
    </row>
    <row r="1413" ht="14" customHeight="1">
      <c r="A1413" s="22" t="inlineStr">
        <is>
          <t>L2 (grassland)</t>
        </is>
      </c>
      <c r="B1413" s="22" t="inlineStr">
        <is>
          <t>Grassland surface area (EU)</t>
        </is>
      </c>
      <c r="C1413" s="22" t="inlineStr">
        <is>
          <t>LULUCF</t>
        </is>
      </c>
      <c r="D1413" s="22" t="inlineStr">
        <is>
          <t>million ha</t>
        </is>
      </c>
      <c r="E1413" s="65" t="n">
        <v>2020</v>
      </c>
      <c r="F1413" s="66" t="n">
        <v>73.17</v>
      </c>
      <c r="G1413" s="67" t="inlineStr">
        <is>
          <t>In the 2024 report</t>
        </is>
      </c>
      <c r="H1413" s="22" t="inlineStr">
        <is>
          <t>EU GHG inventory (CRF tables)</t>
        </is>
      </c>
      <c r="I1413" s="35" t="inlineStr">
        <is>
          <t>esabcc-l2-grassland-area</t>
        </is>
      </c>
    </row>
    <row r="1414" ht="14" customHeight="1">
      <c r="A1414" s="15" t="inlineStr">
        <is>
          <t>L2 (grassland)</t>
        </is>
      </c>
      <c r="B1414" s="15" t="inlineStr">
        <is>
          <t>Grassland surface area (EU)</t>
        </is>
      </c>
      <c r="C1414" s="15" t="inlineStr">
        <is>
          <t>LULUCF</t>
        </is>
      </c>
      <c r="D1414" s="15" t="inlineStr">
        <is>
          <t>million ha</t>
        </is>
      </c>
      <c r="E1414" s="63" t="n">
        <v>2021</v>
      </c>
      <c r="F1414" s="64" t="n">
        <v>73.2</v>
      </c>
      <c r="G1414" s="14" t="inlineStr">
        <is>
          <t>In the 2024 report</t>
        </is>
      </c>
      <c r="H1414" s="15" t="inlineStr">
        <is>
          <t>EU GHG inventory (CRF tables)</t>
        </is>
      </c>
      <c r="I1414" s="34" t="inlineStr">
        <is>
          <t>esabcc-l2-grassland-area</t>
        </is>
      </c>
    </row>
    <row r="1415" ht="14" customHeight="1">
      <c r="A1415" s="22" t="inlineStr">
        <is>
          <t>L2 (wetland)</t>
        </is>
      </c>
      <c r="B1415" s="22" t="inlineStr">
        <is>
          <t>Wetland surface area (EU)</t>
        </is>
      </c>
      <c r="C1415" s="22" t="inlineStr">
        <is>
          <t>LULUCF</t>
        </is>
      </c>
      <c r="D1415" s="22" t="inlineStr">
        <is>
          <t>million ha</t>
        </is>
      </c>
      <c r="E1415" s="65" t="n">
        <v>2005</v>
      </c>
      <c r="F1415" s="66" t="n">
        <v>23.62</v>
      </c>
      <c r="G1415" s="67" t="inlineStr">
        <is>
          <t>In the 2024 report</t>
        </is>
      </c>
      <c r="H1415" s="22" t="inlineStr">
        <is>
          <t>EU GHG inventory (CRF tables)</t>
        </is>
      </c>
      <c r="I1415" s="35" t="inlineStr">
        <is>
          <t>esabcc-l2-wetland-area</t>
        </is>
      </c>
    </row>
    <row r="1416" ht="14" customHeight="1">
      <c r="A1416" s="15" t="inlineStr">
        <is>
          <t>L2 (wetland)</t>
        </is>
      </c>
      <c r="B1416" s="15" t="inlineStr">
        <is>
          <t>Wetland surface area (EU)</t>
        </is>
      </c>
      <c r="C1416" s="15" t="inlineStr">
        <is>
          <t>LULUCF</t>
        </is>
      </c>
      <c r="D1416" s="15" t="inlineStr">
        <is>
          <t>million ha</t>
        </is>
      </c>
      <c r="E1416" s="63" t="n">
        <v>2006</v>
      </c>
      <c r="F1416" s="64" t="n">
        <v>23.64</v>
      </c>
      <c r="G1416" s="14" t="inlineStr">
        <is>
          <t>In the 2024 report</t>
        </is>
      </c>
      <c r="H1416" s="15" t="inlineStr">
        <is>
          <t>EU GHG inventory (CRF tables)</t>
        </is>
      </c>
      <c r="I1416" s="34" t="inlineStr">
        <is>
          <t>esabcc-l2-wetland-area</t>
        </is>
      </c>
    </row>
    <row r="1417" ht="14" customHeight="1">
      <c r="A1417" s="22" t="inlineStr">
        <is>
          <t>L2 (wetland)</t>
        </is>
      </c>
      <c r="B1417" s="22" t="inlineStr">
        <is>
          <t>Wetland surface area (EU)</t>
        </is>
      </c>
      <c r="C1417" s="22" t="inlineStr">
        <is>
          <t>LULUCF</t>
        </is>
      </c>
      <c r="D1417" s="22" t="inlineStr">
        <is>
          <t>million ha</t>
        </is>
      </c>
      <c r="E1417" s="65" t="n">
        <v>2007</v>
      </c>
      <c r="F1417" s="66" t="n">
        <v>23.65</v>
      </c>
      <c r="G1417" s="67" t="inlineStr">
        <is>
          <t>In the 2024 report</t>
        </is>
      </c>
      <c r="H1417" s="22" t="inlineStr">
        <is>
          <t>EU GHG inventory (CRF tables)</t>
        </is>
      </c>
      <c r="I1417" s="35" t="inlineStr">
        <is>
          <t>esabcc-l2-wetland-area</t>
        </is>
      </c>
    </row>
    <row r="1418" ht="14" customHeight="1">
      <c r="A1418" s="15" t="inlineStr">
        <is>
          <t>L2 (wetland)</t>
        </is>
      </c>
      <c r="B1418" s="15" t="inlineStr">
        <is>
          <t>Wetland surface area (EU)</t>
        </is>
      </c>
      <c r="C1418" s="15" t="inlineStr">
        <is>
          <t>LULUCF</t>
        </is>
      </c>
      <c r="D1418" s="15" t="inlineStr">
        <is>
          <t>million ha</t>
        </is>
      </c>
      <c r="E1418" s="63" t="n">
        <v>2008</v>
      </c>
      <c r="F1418" s="64" t="n">
        <v>23.66</v>
      </c>
      <c r="G1418" s="14" t="inlineStr">
        <is>
          <t>In the 2024 report</t>
        </is>
      </c>
      <c r="H1418" s="15" t="inlineStr">
        <is>
          <t>EU GHG inventory (CRF tables)</t>
        </is>
      </c>
      <c r="I1418" s="34" t="inlineStr">
        <is>
          <t>esabcc-l2-wetland-area</t>
        </is>
      </c>
    </row>
    <row r="1419" ht="14" customHeight="1">
      <c r="A1419" s="22" t="inlineStr">
        <is>
          <t>L2 (wetland)</t>
        </is>
      </c>
      <c r="B1419" s="22" t="inlineStr">
        <is>
          <t>Wetland surface area (EU)</t>
        </is>
      </c>
      <c r="C1419" s="22" t="inlineStr">
        <is>
          <t>LULUCF</t>
        </is>
      </c>
      <c r="D1419" s="22" t="inlineStr">
        <is>
          <t>million ha</t>
        </is>
      </c>
      <c r="E1419" s="65" t="n">
        <v>2009</v>
      </c>
      <c r="F1419" s="66" t="n">
        <v>23.75</v>
      </c>
      <c r="G1419" s="67" t="inlineStr">
        <is>
          <t>In the 2024 report</t>
        </is>
      </c>
      <c r="H1419" s="22" t="inlineStr">
        <is>
          <t>EU GHG inventory (CRF tables)</t>
        </is>
      </c>
      <c r="I1419" s="35" t="inlineStr">
        <is>
          <t>esabcc-l2-wetland-area</t>
        </is>
      </c>
    </row>
    <row r="1420" ht="14" customHeight="1">
      <c r="A1420" s="15" t="inlineStr">
        <is>
          <t>L2 (wetland)</t>
        </is>
      </c>
      <c r="B1420" s="15" t="inlineStr">
        <is>
          <t>Wetland surface area (EU)</t>
        </is>
      </c>
      <c r="C1420" s="15" t="inlineStr">
        <is>
          <t>LULUCF</t>
        </is>
      </c>
      <c r="D1420" s="15" t="inlineStr">
        <is>
          <t>million ha</t>
        </is>
      </c>
      <c r="E1420" s="63" t="n">
        <v>2010</v>
      </c>
      <c r="F1420" s="64" t="n">
        <v>23.79</v>
      </c>
      <c r="G1420" s="14" t="inlineStr">
        <is>
          <t>In the 2024 report</t>
        </is>
      </c>
      <c r="H1420" s="15" t="inlineStr">
        <is>
          <t>EU GHG inventory (CRF tables)</t>
        </is>
      </c>
      <c r="I1420" s="34" t="inlineStr">
        <is>
          <t>esabcc-l2-wetland-area</t>
        </is>
      </c>
    </row>
    <row r="1421" ht="14" customHeight="1">
      <c r="A1421" s="22" t="inlineStr">
        <is>
          <t>L2 (wetland)</t>
        </is>
      </c>
      <c r="B1421" s="22" t="inlineStr">
        <is>
          <t>Wetland surface area (EU)</t>
        </is>
      </c>
      <c r="C1421" s="22" t="inlineStr">
        <is>
          <t>LULUCF</t>
        </is>
      </c>
      <c r="D1421" s="22" t="inlineStr">
        <is>
          <t>million ha</t>
        </is>
      </c>
      <c r="E1421" s="65" t="n">
        <v>2011</v>
      </c>
      <c r="F1421" s="66" t="n">
        <v>23.81</v>
      </c>
      <c r="G1421" s="67" t="inlineStr">
        <is>
          <t>In the 2024 report</t>
        </is>
      </c>
      <c r="H1421" s="22" t="inlineStr">
        <is>
          <t>EU GHG inventory (CRF tables)</t>
        </is>
      </c>
      <c r="I1421" s="35" t="inlineStr">
        <is>
          <t>esabcc-l2-wetland-area</t>
        </is>
      </c>
    </row>
    <row r="1422" ht="14" customHeight="1">
      <c r="A1422" s="15" t="inlineStr">
        <is>
          <t>L2 (wetland)</t>
        </is>
      </c>
      <c r="B1422" s="15" t="inlineStr">
        <is>
          <t>Wetland surface area (EU)</t>
        </is>
      </c>
      <c r="C1422" s="15" t="inlineStr">
        <is>
          <t>LULUCF</t>
        </is>
      </c>
      <c r="D1422" s="15" t="inlineStr">
        <is>
          <t>million ha</t>
        </is>
      </c>
      <c r="E1422" s="63" t="n">
        <v>2012</v>
      </c>
      <c r="F1422" s="64" t="n">
        <v>23.83</v>
      </c>
      <c r="G1422" s="14" t="inlineStr">
        <is>
          <t>In the 2024 report</t>
        </is>
      </c>
      <c r="H1422" s="15" t="inlineStr">
        <is>
          <t>EU GHG inventory (CRF tables)</t>
        </is>
      </c>
      <c r="I1422" s="34" t="inlineStr">
        <is>
          <t>esabcc-l2-wetland-area</t>
        </is>
      </c>
    </row>
    <row r="1423" ht="14" customHeight="1">
      <c r="A1423" s="22" t="inlineStr">
        <is>
          <t>L2 (wetland)</t>
        </is>
      </c>
      <c r="B1423" s="22" t="inlineStr">
        <is>
          <t>Wetland surface area (EU)</t>
        </is>
      </c>
      <c r="C1423" s="22" t="inlineStr">
        <is>
          <t>LULUCF</t>
        </is>
      </c>
      <c r="D1423" s="22" t="inlineStr">
        <is>
          <t>million ha</t>
        </is>
      </c>
      <c r="E1423" s="65" t="n">
        <v>2013</v>
      </c>
      <c r="F1423" s="66" t="n">
        <v>23.82</v>
      </c>
      <c r="G1423" s="67" t="inlineStr">
        <is>
          <t>In the 2024 report</t>
        </is>
      </c>
      <c r="H1423" s="22" t="inlineStr">
        <is>
          <t>EU GHG inventory (CRF tables)</t>
        </is>
      </c>
      <c r="I1423" s="35" t="inlineStr">
        <is>
          <t>esabcc-l2-wetland-area</t>
        </is>
      </c>
    </row>
    <row r="1424" ht="14" customHeight="1">
      <c r="A1424" s="15" t="inlineStr">
        <is>
          <t>L2 (wetland)</t>
        </is>
      </c>
      <c r="B1424" s="15" t="inlineStr">
        <is>
          <t>Wetland surface area (EU)</t>
        </is>
      </c>
      <c r="C1424" s="15" t="inlineStr">
        <is>
          <t>LULUCF</t>
        </is>
      </c>
      <c r="D1424" s="15" t="inlineStr">
        <is>
          <t>million ha</t>
        </is>
      </c>
      <c r="E1424" s="63" t="n">
        <v>2014</v>
      </c>
      <c r="F1424" s="64" t="n">
        <v>23.84</v>
      </c>
      <c r="G1424" s="14" t="inlineStr">
        <is>
          <t>In the 2024 report</t>
        </is>
      </c>
      <c r="H1424" s="15" t="inlineStr">
        <is>
          <t>EU GHG inventory (CRF tables)</t>
        </is>
      </c>
      <c r="I1424" s="34" t="inlineStr">
        <is>
          <t>esabcc-l2-wetland-area</t>
        </is>
      </c>
    </row>
    <row r="1425" ht="14" customHeight="1">
      <c r="A1425" s="22" t="inlineStr">
        <is>
          <t>L2 (wetland)</t>
        </is>
      </c>
      <c r="B1425" s="22" t="inlineStr">
        <is>
          <t>Wetland surface area (EU)</t>
        </is>
      </c>
      <c r="C1425" s="22" t="inlineStr">
        <is>
          <t>LULUCF</t>
        </is>
      </c>
      <c r="D1425" s="22" t="inlineStr">
        <is>
          <t>million ha</t>
        </is>
      </c>
      <c r="E1425" s="65" t="n">
        <v>2015</v>
      </c>
      <c r="F1425" s="66" t="n">
        <v>23.85</v>
      </c>
      <c r="G1425" s="67" t="inlineStr">
        <is>
          <t>In the 2024 report</t>
        </is>
      </c>
      <c r="H1425" s="22" t="inlineStr">
        <is>
          <t>EU GHG inventory (CRF tables)</t>
        </is>
      </c>
      <c r="I1425" s="35" t="inlineStr">
        <is>
          <t>esabcc-l2-wetland-area</t>
        </is>
      </c>
    </row>
    <row r="1426" ht="14" customHeight="1">
      <c r="A1426" s="15" t="inlineStr">
        <is>
          <t>L2 (wetland)</t>
        </is>
      </c>
      <c r="B1426" s="15" t="inlineStr">
        <is>
          <t>Wetland surface area (EU)</t>
        </is>
      </c>
      <c r="C1426" s="15" t="inlineStr">
        <is>
          <t>LULUCF</t>
        </is>
      </c>
      <c r="D1426" s="15" t="inlineStr">
        <is>
          <t>million ha</t>
        </is>
      </c>
      <c r="E1426" s="63" t="n">
        <v>2016</v>
      </c>
      <c r="F1426" s="64" t="n">
        <v>23.86</v>
      </c>
      <c r="G1426" s="14" t="inlineStr">
        <is>
          <t>In the 2024 report</t>
        </is>
      </c>
      <c r="H1426" s="15" t="inlineStr">
        <is>
          <t>EU GHG inventory (CRF tables)</t>
        </is>
      </c>
      <c r="I1426" s="34" t="inlineStr">
        <is>
          <t>esabcc-l2-wetland-area</t>
        </is>
      </c>
    </row>
    <row r="1427" ht="14" customHeight="1">
      <c r="A1427" s="22" t="inlineStr">
        <is>
          <t>L2 (wetland)</t>
        </is>
      </c>
      <c r="B1427" s="22" t="inlineStr">
        <is>
          <t>Wetland surface area (EU)</t>
        </is>
      </c>
      <c r="C1427" s="22" t="inlineStr">
        <is>
          <t>LULUCF</t>
        </is>
      </c>
      <c r="D1427" s="22" t="inlineStr">
        <is>
          <t>million ha</t>
        </is>
      </c>
      <c r="E1427" s="65" t="n">
        <v>2017</v>
      </c>
      <c r="F1427" s="66" t="n">
        <v>23.87</v>
      </c>
      <c r="G1427" s="67" t="inlineStr">
        <is>
          <t>In the 2024 report</t>
        </is>
      </c>
      <c r="H1427" s="22" t="inlineStr">
        <is>
          <t>EU GHG inventory (CRF tables)</t>
        </is>
      </c>
      <c r="I1427" s="35" t="inlineStr">
        <is>
          <t>esabcc-l2-wetland-area</t>
        </is>
      </c>
    </row>
    <row r="1428" ht="14" customHeight="1">
      <c r="A1428" s="15" t="inlineStr">
        <is>
          <t>L2 (wetland)</t>
        </is>
      </c>
      <c r="B1428" s="15" t="inlineStr">
        <is>
          <t>Wetland surface area (EU)</t>
        </is>
      </c>
      <c r="C1428" s="15" t="inlineStr">
        <is>
          <t>LULUCF</t>
        </is>
      </c>
      <c r="D1428" s="15" t="inlineStr">
        <is>
          <t>million ha</t>
        </is>
      </c>
      <c r="E1428" s="63" t="n">
        <v>2018</v>
      </c>
      <c r="F1428" s="64" t="n">
        <v>23.87</v>
      </c>
      <c r="G1428" s="14" t="inlineStr">
        <is>
          <t>In the 2024 report</t>
        </is>
      </c>
      <c r="H1428" s="15" t="inlineStr">
        <is>
          <t>EU GHG inventory (CRF tables)</t>
        </is>
      </c>
      <c r="I1428" s="34" t="inlineStr">
        <is>
          <t>esabcc-l2-wetland-area</t>
        </is>
      </c>
    </row>
    <row r="1429" ht="14" customHeight="1">
      <c r="A1429" s="22" t="inlineStr">
        <is>
          <t>L2 (wetland)</t>
        </is>
      </c>
      <c r="B1429" s="22" t="inlineStr">
        <is>
          <t>Wetland surface area (EU)</t>
        </is>
      </c>
      <c r="C1429" s="22" t="inlineStr">
        <is>
          <t>LULUCF</t>
        </is>
      </c>
      <c r="D1429" s="22" t="inlineStr">
        <is>
          <t>million ha</t>
        </is>
      </c>
      <c r="E1429" s="65" t="n">
        <v>2019</v>
      </c>
      <c r="F1429" s="66" t="n">
        <v>23.87</v>
      </c>
      <c r="G1429" s="67" t="inlineStr">
        <is>
          <t>In the 2024 report</t>
        </is>
      </c>
      <c r="H1429" s="22" t="inlineStr">
        <is>
          <t>EU GHG inventory (CRF tables)</t>
        </is>
      </c>
      <c r="I1429" s="35" t="inlineStr">
        <is>
          <t>esabcc-l2-wetland-area</t>
        </is>
      </c>
    </row>
    <row r="1430" ht="14" customHeight="1">
      <c r="A1430" s="15" t="inlineStr">
        <is>
          <t>L2 (wetland)</t>
        </is>
      </c>
      <c r="B1430" s="15" t="inlineStr">
        <is>
          <t>Wetland surface area (EU)</t>
        </is>
      </c>
      <c r="C1430" s="15" t="inlineStr">
        <is>
          <t>LULUCF</t>
        </is>
      </c>
      <c r="D1430" s="15" t="inlineStr">
        <is>
          <t>million ha</t>
        </is>
      </c>
      <c r="E1430" s="63" t="n">
        <v>2020</v>
      </c>
      <c r="F1430" s="64" t="n">
        <v>23.88</v>
      </c>
      <c r="G1430" s="14" t="inlineStr">
        <is>
          <t>In the 2024 report</t>
        </is>
      </c>
      <c r="H1430" s="15" t="inlineStr">
        <is>
          <t>EU GHG inventory (CRF tables)</t>
        </is>
      </c>
      <c r="I1430" s="34" t="inlineStr">
        <is>
          <t>esabcc-l2-wetland-area</t>
        </is>
      </c>
    </row>
    <row r="1431" ht="14" customHeight="1">
      <c r="A1431" s="22" t="inlineStr">
        <is>
          <t>L2 (wetland)</t>
        </is>
      </c>
      <c r="B1431" s="22" t="inlineStr">
        <is>
          <t>Wetland surface area (EU)</t>
        </is>
      </c>
      <c r="C1431" s="22" t="inlineStr">
        <is>
          <t>LULUCF</t>
        </is>
      </c>
      <c r="D1431" s="22" t="inlineStr">
        <is>
          <t>million ha</t>
        </is>
      </c>
      <c r="E1431" s="65" t="n">
        <v>2021</v>
      </c>
      <c r="F1431" s="66" t="n">
        <v>23.87</v>
      </c>
      <c r="G1431" s="67" t="inlineStr">
        <is>
          <t>In the 2024 report</t>
        </is>
      </c>
      <c r="H1431" s="22" t="inlineStr">
        <is>
          <t>EU GHG inventory (CRF tables)</t>
        </is>
      </c>
      <c r="I1431" s="35" t="inlineStr">
        <is>
          <t>esabcc-l2-wetland-area</t>
        </is>
      </c>
    </row>
    <row r="1432" ht="14" customHeight="1">
      <c r="A1432" s="15" t="inlineStr">
        <is>
          <t>L2 (settlements)</t>
        </is>
      </c>
      <c r="B1432" s="15" t="inlineStr">
        <is>
          <t>Settlements surface area (EU)</t>
        </is>
      </c>
      <c r="C1432" s="15" t="inlineStr">
        <is>
          <t>LULUCF</t>
        </is>
      </c>
      <c r="D1432" s="15" t="inlineStr">
        <is>
          <t>million ha</t>
        </is>
      </c>
      <c r="E1432" s="63" t="n">
        <v>2005</v>
      </c>
      <c r="F1432" s="64" t="n">
        <v>24.88</v>
      </c>
      <c r="G1432" s="14" t="inlineStr">
        <is>
          <t>In the 2024 report</t>
        </is>
      </c>
      <c r="H1432" s="15" t="inlineStr">
        <is>
          <t>EU GHG inventory (CRF tables)</t>
        </is>
      </c>
      <c r="I1432" s="34" t="inlineStr">
        <is>
          <t>esabcc-l2-settlements-area</t>
        </is>
      </c>
    </row>
    <row r="1433" ht="14" customHeight="1">
      <c r="A1433" s="22" t="inlineStr">
        <is>
          <t>L2 (settlements)</t>
        </is>
      </c>
      <c r="B1433" s="22" t="inlineStr">
        <is>
          <t>Settlements surface area (EU)</t>
        </is>
      </c>
      <c r="C1433" s="22" t="inlineStr">
        <is>
          <t>LULUCF</t>
        </is>
      </c>
      <c r="D1433" s="22" t="inlineStr">
        <is>
          <t>million ha</t>
        </is>
      </c>
      <c r="E1433" s="65" t="n">
        <v>2006</v>
      </c>
      <c r="F1433" s="66" t="n">
        <v>25.28</v>
      </c>
      <c r="G1433" s="67" t="inlineStr">
        <is>
          <t>In the 2024 report</t>
        </is>
      </c>
      <c r="H1433" s="22" t="inlineStr">
        <is>
          <t>EU GHG inventory (CRF tables)</t>
        </is>
      </c>
      <c r="I1433" s="35" t="inlineStr">
        <is>
          <t>esabcc-l2-settlements-area</t>
        </is>
      </c>
    </row>
    <row r="1434" ht="14" customHeight="1">
      <c r="A1434" s="15" t="inlineStr">
        <is>
          <t>L2 (settlements)</t>
        </is>
      </c>
      <c r="B1434" s="15" t="inlineStr">
        <is>
          <t>Settlements surface area (EU)</t>
        </is>
      </c>
      <c r="C1434" s="15" t="inlineStr">
        <is>
          <t>LULUCF</t>
        </is>
      </c>
      <c r="D1434" s="15" t="inlineStr">
        <is>
          <t>million ha</t>
        </is>
      </c>
      <c r="E1434" s="63" t="n">
        <v>2007</v>
      </c>
      <c r="F1434" s="64" t="n">
        <v>25.51</v>
      </c>
      <c r="G1434" s="14" t="inlineStr">
        <is>
          <t>In the 2024 report</t>
        </is>
      </c>
      <c r="H1434" s="15" t="inlineStr">
        <is>
          <t>EU GHG inventory (CRF tables)</t>
        </is>
      </c>
      <c r="I1434" s="34" t="inlineStr">
        <is>
          <t>esabcc-l2-settlements-area</t>
        </is>
      </c>
    </row>
    <row r="1435" ht="14" customHeight="1">
      <c r="A1435" s="22" t="inlineStr">
        <is>
          <t>L2 (settlements)</t>
        </is>
      </c>
      <c r="B1435" s="22" t="inlineStr">
        <is>
          <t>Settlements surface area (EU)</t>
        </is>
      </c>
      <c r="C1435" s="22" t="inlineStr">
        <is>
          <t>LULUCF</t>
        </is>
      </c>
      <c r="D1435" s="22" t="inlineStr">
        <is>
          <t>million ha</t>
        </is>
      </c>
      <c r="E1435" s="65" t="n">
        <v>2008</v>
      </c>
      <c r="F1435" s="66" t="n">
        <v>25.74</v>
      </c>
      <c r="G1435" s="67" t="inlineStr">
        <is>
          <t>In the 2024 report</t>
        </is>
      </c>
      <c r="H1435" s="22" t="inlineStr">
        <is>
          <t>EU GHG inventory (CRF tables)</t>
        </is>
      </c>
      <c r="I1435" s="35" t="inlineStr">
        <is>
          <t>esabcc-l2-settlements-area</t>
        </is>
      </c>
    </row>
    <row r="1436" ht="14" customHeight="1">
      <c r="A1436" s="15" t="inlineStr">
        <is>
          <t>L2 (settlements)</t>
        </is>
      </c>
      <c r="B1436" s="15" t="inlineStr">
        <is>
          <t>Settlements surface area (EU)</t>
        </is>
      </c>
      <c r="C1436" s="15" t="inlineStr">
        <is>
          <t>LULUCF</t>
        </is>
      </c>
      <c r="D1436" s="15" t="inlineStr">
        <is>
          <t>million ha</t>
        </is>
      </c>
      <c r="E1436" s="63" t="n">
        <v>2009</v>
      </c>
      <c r="F1436" s="64" t="n">
        <v>25.97</v>
      </c>
      <c r="G1436" s="14" t="inlineStr">
        <is>
          <t>In the 2024 report</t>
        </is>
      </c>
      <c r="H1436" s="15" t="inlineStr">
        <is>
          <t>EU GHG inventory (CRF tables)</t>
        </is>
      </c>
      <c r="I1436" s="34" t="inlineStr">
        <is>
          <t>esabcc-l2-settlements-area</t>
        </is>
      </c>
    </row>
    <row r="1437" ht="14" customHeight="1">
      <c r="A1437" s="22" t="inlineStr">
        <is>
          <t>L2 (settlements)</t>
        </is>
      </c>
      <c r="B1437" s="22" t="inlineStr">
        <is>
          <t>Settlements surface area (EU)</t>
        </is>
      </c>
      <c r="C1437" s="22" t="inlineStr">
        <is>
          <t>LULUCF</t>
        </is>
      </c>
      <c r="D1437" s="22" t="inlineStr">
        <is>
          <t>million ha</t>
        </is>
      </c>
      <c r="E1437" s="65" t="n">
        <v>2010</v>
      </c>
      <c r="F1437" s="66" t="n">
        <v>26.21</v>
      </c>
      <c r="G1437" s="67" t="inlineStr">
        <is>
          <t>In the 2024 report</t>
        </is>
      </c>
      <c r="H1437" s="22" t="inlineStr">
        <is>
          <t>EU GHG inventory (CRF tables)</t>
        </is>
      </c>
      <c r="I1437" s="35" t="inlineStr">
        <is>
          <t>esabcc-l2-settlements-area</t>
        </is>
      </c>
    </row>
    <row r="1438" ht="14" customHeight="1">
      <c r="A1438" s="15" t="inlineStr">
        <is>
          <t>L2 (settlements)</t>
        </is>
      </c>
      <c r="B1438" s="15" t="inlineStr">
        <is>
          <t>Settlements surface area (EU)</t>
        </is>
      </c>
      <c r="C1438" s="15" t="inlineStr">
        <is>
          <t>LULUCF</t>
        </is>
      </c>
      <c r="D1438" s="15" t="inlineStr">
        <is>
          <t>million ha</t>
        </is>
      </c>
      <c r="E1438" s="63" t="n">
        <v>2011</v>
      </c>
      <c r="F1438" s="64" t="n">
        <v>26.43</v>
      </c>
      <c r="G1438" s="14" t="inlineStr">
        <is>
          <t>In the 2024 report</t>
        </is>
      </c>
      <c r="H1438" s="15" t="inlineStr">
        <is>
          <t>EU GHG inventory (CRF tables)</t>
        </is>
      </c>
      <c r="I1438" s="34" t="inlineStr">
        <is>
          <t>esabcc-l2-settlements-area</t>
        </is>
      </c>
    </row>
    <row r="1439" ht="14" customHeight="1">
      <c r="A1439" s="22" t="inlineStr">
        <is>
          <t>L2 (settlements)</t>
        </is>
      </c>
      <c r="B1439" s="22" t="inlineStr">
        <is>
          <t>Settlements surface area (EU)</t>
        </is>
      </c>
      <c r="C1439" s="22" t="inlineStr">
        <is>
          <t>LULUCF</t>
        </is>
      </c>
      <c r="D1439" s="22" t="inlineStr">
        <is>
          <t>million ha</t>
        </is>
      </c>
      <c r="E1439" s="65" t="n">
        <v>2012</v>
      </c>
      <c r="F1439" s="66" t="n">
        <v>26.67</v>
      </c>
      <c r="G1439" s="67" t="inlineStr">
        <is>
          <t>In the 2024 report</t>
        </is>
      </c>
      <c r="H1439" s="22" t="inlineStr">
        <is>
          <t>EU GHG inventory (CRF tables)</t>
        </is>
      </c>
      <c r="I1439" s="35" t="inlineStr">
        <is>
          <t>esabcc-l2-settlements-area</t>
        </is>
      </c>
    </row>
    <row r="1440" ht="14" customHeight="1">
      <c r="A1440" s="15" t="inlineStr">
        <is>
          <t>L2 (settlements)</t>
        </is>
      </c>
      <c r="B1440" s="15" t="inlineStr">
        <is>
          <t>Settlements surface area (EU)</t>
        </is>
      </c>
      <c r="C1440" s="15" t="inlineStr">
        <is>
          <t>LULUCF</t>
        </is>
      </c>
      <c r="D1440" s="15" t="inlineStr">
        <is>
          <t>million ha</t>
        </is>
      </c>
      <c r="E1440" s="63" t="n">
        <v>2013</v>
      </c>
      <c r="F1440" s="64" t="n">
        <v>26.82</v>
      </c>
      <c r="G1440" s="14" t="inlineStr">
        <is>
          <t>In the 2024 report</t>
        </is>
      </c>
      <c r="H1440" s="15" t="inlineStr">
        <is>
          <t>EU GHG inventory (CRF tables)</t>
        </is>
      </c>
      <c r="I1440" s="34" t="inlineStr">
        <is>
          <t>esabcc-l2-settlements-area</t>
        </is>
      </c>
    </row>
    <row r="1441" ht="14" customHeight="1">
      <c r="A1441" s="22" t="inlineStr">
        <is>
          <t>L2 (settlements)</t>
        </is>
      </c>
      <c r="B1441" s="22" t="inlineStr">
        <is>
          <t>Settlements surface area (EU)</t>
        </is>
      </c>
      <c r="C1441" s="22" t="inlineStr">
        <is>
          <t>LULUCF</t>
        </is>
      </c>
      <c r="D1441" s="22" t="inlineStr">
        <is>
          <t>million ha</t>
        </is>
      </c>
      <c r="E1441" s="65" t="n">
        <v>2014</v>
      </c>
      <c r="F1441" s="66" t="n">
        <v>27.09</v>
      </c>
      <c r="G1441" s="67" t="inlineStr">
        <is>
          <t>In the 2024 report</t>
        </is>
      </c>
      <c r="H1441" s="22" t="inlineStr">
        <is>
          <t>EU GHG inventory (CRF tables)</t>
        </is>
      </c>
      <c r="I1441" s="35" t="inlineStr">
        <is>
          <t>esabcc-l2-settlements-area</t>
        </is>
      </c>
    </row>
    <row r="1442" ht="14" customHeight="1">
      <c r="A1442" s="15" t="inlineStr">
        <is>
          <t>L2 (settlements)</t>
        </is>
      </c>
      <c r="B1442" s="15" t="inlineStr">
        <is>
          <t>Settlements surface area (EU)</t>
        </is>
      </c>
      <c r="C1442" s="15" t="inlineStr">
        <is>
          <t>LULUCF</t>
        </is>
      </c>
      <c r="D1442" s="15" t="inlineStr">
        <is>
          <t>million ha</t>
        </is>
      </c>
      <c r="E1442" s="63" t="n">
        <v>2015</v>
      </c>
      <c r="F1442" s="64" t="n">
        <v>27.21</v>
      </c>
      <c r="G1442" s="14" t="inlineStr">
        <is>
          <t>In the 2024 report</t>
        </is>
      </c>
      <c r="H1442" s="15" t="inlineStr">
        <is>
          <t>EU GHG inventory (CRF tables)</t>
        </is>
      </c>
      <c r="I1442" s="34" t="inlineStr">
        <is>
          <t>esabcc-l2-settlements-area</t>
        </is>
      </c>
    </row>
    <row r="1443" ht="14" customHeight="1">
      <c r="A1443" s="22" t="inlineStr">
        <is>
          <t>L2 (settlements)</t>
        </is>
      </c>
      <c r="B1443" s="22" t="inlineStr">
        <is>
          <t>Settlements surface area (EU)</t>
        </is>
      </c>
      <c r="C1443" s="22" t="inlineStr">
        <is>
          <t>LULUCF</t>
        </is>
      </c>
      <c r="D1443" s="22" t="inlineStr">
        <is>
          <t>million ha</t>
        </is>
      </c>
      <c r="E1443" s="65" t="n">
        <v>2016</v>
      </c>
      <c r="F1443" s="66" t="n">
        <v>27.39</v>
      </c>
      <c r="G1443" s="67" t="inlineStr">
        <is>
          <t>In the 2024 report</t>
        </is>
      </c>
      <c r="H1443" s="22" t="inlineStr">
        <is>
          <t>EU GHG inventory (CRF tables)</t>
        </is>
      </c>
      <c r="I1443" s="35" t="inlineStr">
        <is>
          <t>esabcc-l2-settlements-area</t>
        </is>
      </c>
    </row>
    <row r="1444" ht="14" customHeight="1">
      <c r="A1444" s="15" t="inlineStr">
        <is>
          <t>L2 (settlements)</t>
        </is>
      </c>
      <c r="B1444" s="15" t="inlineStr">
        <is>
          <t>Settlements surface area (EU)</t>
        </is>
      </c>
      <c r="C1444" s="15" t="inlineStr">
        <is>
          <t>LULUCF</t>
        </is>
      </c>
      <c r="D1444" s="15" t="inlineStr">
        <is>
          <t>million ha</t>
        </is>
      </c>
      <c r="E1444" s="63" t="n">
        <v>2017</v>
      </c>
      <c r="F1444" s="64" t="n">
        <v>27.53</v>
      </c>
      <c r="G1444" s="14" t="inlineStr">
        <is>
          <t>In the 2024 report</t>
        </is>
      </c>
      <c r="H1444" s="15" t="inlineStr">
        <is>
          <t>EU GHG inventory (CRF tables)</t>
        </is>
      </c>
      <c r="I1444" s="34" t="inlineStr">
        <is>
          <t>esabcc-l2-settlements-area</t>
        </is>
      </c>
    </row>
    <row r="1445" ht="14" customHeight="1">
      <c r="A1445" s="22" t="inlineStr">
        <is>
          <t>L2 (settlements)</t>
        </is>
      </c>
      <c r="B1445" s="22" t="inlineStr">
        <is>
          <t>Settlements surface area (EU)</t>
        </is>
      </c>
      <c r="C1445" s="22" t="inlineStr">
        <is>
          <t>LULUCF</t>
        </is>
      </c>
      <c r="D1445" s="22" t="inlineStr">
        <is>
          <t>million ha</t>
        </is>
      </c>
      <c r="E1445" s="65" t="n">
        <v>2018</v>
      </c>
      <c r="F1445" s="66" t="n">
        <v>27.7</v>
      </c>
      <c r="G1445" s="67" t="inlineStr">
        <is>
          <t>In the 2024 report</t>
        </is>
      </c>
      <c r="H1445" s="22" t="inlineStr">
        <is>
          <t>EU GHG inventory (CRF tables)</t>
        </is>
      </c>
      <c r="I1445" s="35" t="inlineStr">
        <is>
          <t>esabcc-l2-settlements-area</t>
        </is>
      </c>
    </row>
    <row r="1446" ht="14" customHeight="1">
      <c r="A1446" s="15" t="inlineStr">
        <is>
          <t>L2 (settlements)</t>
        </is>
      </c>
      <c r="B1446" s="15" t="inlineStr">
        <is>
          <t>Settlements surface area (EU)</t>
        </is>
      </c>
      <c r="C1446" s="15" t="inlineStr">
        <is>
          <t>LULUCF</t>
        </is>
      </c>
      <c r="D1446" s="15" t="inlineStr">
        <is>
          <t>million ha</t>
        </is>
      </c>
      <c r="E1446" s="63" t="n">
        <v>2019</v>
      </c>
      <c r="F1446" s="64" t="n">
        <v>27.85</v>
      </c>
      <c r="G1446" s="14" t="inlineStr">
        <is>
          <t>In the 2024 report</t>
        </is>
      </c>
      <c r="H1446" s="15" t="inlineStr">
        <is>
          <t>EU GHG inventory (CRF tables)</t>
        </is>
      </c>
      <c r="I1446" s="34" t="inlineStr">
        <is>
          <t>esabcc-l2-settlements-area</t>
        </is>
      </c>
    </row>
    <row r="1447" ht="14" customHeight="1">
      <c r="A1447" s="22" t="inlineStr">
        <is>
          <t>L2 (settlements)</t>
        </is>
      </c>
      <c r="B1447" s="22" t="inlineStr">
        <is>
          <t>Settlements surface area (EU)</t>
        </is>
      </c>
      <c r="C1447" s="22" t="inlineStr">
        <is>
          <t>LULUCF</t>
        </is>
      </c>
      <c r="D1447" s="22" t="inlineStr">
        <is>
          <t>million ha</t>
        </is>
      </c>
      <c r="E1447" s="65" t="n">
        <v>2020</v>
      </c>
      <c r="F1447" s="66" t="n">
        <v>28.01</v>
      </c>
      <c r="G1447" s="67" t="inlineStr">
        <is>
          <t>In the 2024 report</t>
        </is>
      </c>
      <c r="H1447" s="22" t="inlineStr">
        <is>
          <t>EU GHG inventory (CRF tables)</t>
        </is>
      </c>
      <c r="I1447" s="35" t="inlineStr">
        <is>
          <t>esabcc-l2-settlements-area</t>
        </is>
      </c>
    </row>
    <row r="1448" ht="14" customHeight="1">
      <c r="A1448" s="15" t="inlineStr">
        <is>
          <t>L2 (settlements)</t>
        </is>
      </c>
      <c r="B1448" s="15" t="inlineStr">
        <is>
          <t>Settlements surface area (EU)</t>
        </is>
      </c>
      <c r="C1448" s="15" t="inlineStr">
        <is>
          <t>LULUCF</t>
        </is>
      </c>
      <c r="D1448" s="15" t="inlineStr">
        <is>
          <t>million ha</t>
        </is>
      </c>
      <c r="E1448" s="63" t="n">
        <v>2021</v>
      </c>
      <c r="F1448" s="64" t="n">
        <v>28.15</v>
      </c>
      <c r="G1448" s="14" t="inlineStr">
        <is>
          <t>In the 2024 report</t>
        </is>
      </c>
      <c r="H1448" s="15" t="inlineStr">
        <is>
          <t>EU GHG inventory (CRF tables)</t>
        </is>
      </c>
      <c r="I1448" s="34" t="inlineStr">
        <is>
          <t>esabcc-l2-settlements-area</t>
        </is>
      </c>
    </row>
    <row r="1449" ht="14" customHeight="1">
      <c r="A1449" s="22" t="inlineStr">
        <is>
          <t>L2 (forest)</t>
        </is>
      </c>
      <c r="B1449" s="22" t="inlineStr">
        <is>
          <t>Forest land surface area (EU)</t>
        </is>
      </c>
      <c r="C1449" s="22" t="inlineStr">
        <is>
          <t>LULUCF</t>
        </is>
      </c>
      <c r="D1449" s="22" t="inlineStr">
        <is>
          <t>million ha</t>
        </is>
      </c>
      <c r="E1449" s="65" t="n">
        <v>2005</v>
      </c>
      <c r="F1449" s="66" t="n">
        <v>164.3</v>
      </c>
      <c r="G1449" s="67" t="inlineStr">
        <is>
          <t>In the 2024 report</t>
        </is>
      </c>
      <c r="H1449" s="22" t="inlineStr">
        <is>
          <t>EU GHG inventory (CRF tables)</t>
        </is>
      </c>
      <c r="I1449" s="35" t="inlineStr">
        <is>
          <t>esabcc-l2-forest-area</t>
        </is>
      </c>
    </row>
    <row r="1450" ht="14" customHeight="1">
      <c r="A1450" s="15" t="inlineStr">
        <is>
          <t>L2 (forest)</t>
        </is>
      </c>
      <c r="B1450" s="15" t="inlineStr">
        <is>
          <t>Forest land surface area (EU)</t>
        </is>
      </c>
      <c r="C1450" s="15" t="inlineStr">
        <is>
          <t>LULUCF</t>
        </is>
      </c>
      <c r="D1450" s="15" t="inlineStr">
        <is>
          <t>million ha</t>
        </is>
      </c>
      <c r="E1450" s="63" t="n">
        <v>2006</v>
      </c>
      <c r="F1450" s="64" t="n">
        <v>164.9</v>
      </c>
      <c r="G1450" s="14" t="inlineStr">
        <is>
          <t>In the 2024 report</t>
        </is>
      </c>
      <c r="H1450" s="15" t="inlineStr">
        <is>
          <t>EU GHG inventory (CRF tables)</t>
        </is>
      </c>
      <c r="I1450" s="34" t="inlineStr">
        <is>
          <t>esabcc-l2-forest-area</t>
        </is>
      </c>
    </row>
    <row r="1451" ht="14" customHeight="1">
      <c r="A1451" s="22" t="inlineStr">
        <is>
          <t>L2 (forest)</t>
        </is>
      </c>
      <c r="B1451" s="22" t="inlineStr">
        <is>
          <t>Forest land surface area (EU)</t>
        </is>
      </c>
      <c r="C1451" s="22" t="inlineStr">
        <is>
          <t>LULUCF</t>
        </is>
      </c>
      <c r="D1451" s="22" t="inlineStr">
        <is>
          <t>million ha</t>
        </is>
      </c>
      <c r="E1451" s="65" t="n">
        <v>2007</v>
      </c>
      <c r="F1451" s="66" t="n">
        <v>165.2</v>
      </c>
      <c r="G1451" s="67" t="inlineStr">
        <is>
          <t>In the 2024 report</t>
        </is>
      </c>
      <c r="H1451" s="22" t="inlineStr">
        <is>
          <t>EU GHG inventory (CRF tables)</t>
        </is>
      </c>
      <c r="I1451" s="35" t="inlineStr">
        <is>
          <t>esabcc-l2-forest-area</t>
        </is>
      </c>
    </row>
    <row r="1452" ht="14" customHeight="1">
      <c r="A1452" s="15" t="inlineStr">
        <is>
          <t>L2 (forest)</t>
        </is>
      </c>
      <c r="B1452" s="15" t="inlineStr">
        <is>
          <t>Forest land surface area (EU)</t>
        </is>
      </c>
      <c r="C1452" s="15" t="inlineStr">
        <is>
          <t>LULUCF</t>
        </is>
      </c>
      <c r="D1452" s="15" t="inlineStr">
        <is>
          <t>million ha</t>
        </is>
      </c>
      <c r="E1452" s="63" t="n">
        <v>2008</v>
      </c>
      <c r="F1452" s="64" t="n">
        <v>165.4</v>
      </c>
      <c r="G1452" s="14" t="inlineStr">
        <is>
          <t>In the 2024 report</t>
        </is>
      </c>
      <c r="H1452" s="15" t="inlineStr">
        <is>
          <t>EU GHG inventory (CRF tables)</t>
        </is>
      </c>
      <c r="I1452" s="34" t="inlineStr">
        <is>
          <t>esabcc-l2-forest-area</t>
        </is>
      </c>
    </row>
    <row r="1453" ht="14" customHeight="1">
      <c r="A1453" s="22" t="inlineStr">
        <is>
          <t>L2 (forest)</t>
        </is>
      </c>
      <c r="B1453" s="22" t="inlineStr">
        <is>
          <t>Forest land surface area (EU)</t>
        </is>
      </c>
      <c r="C1453" s="22" t="inlineStr">
        <is>
          <t>LULUCF</t>
        </is>
      </c>
      <c r="D1453" s="22" t="inlineStr">
        <is>
          <t>million ha</t>
        </is>
      </c>
      <c r="E1453" s="65" t="n">
        <v>2009</v>
      </c>
      <c r="F1453" s="66" t="n">
        <v>165.6</v>
      </c>
      <c r="G1453" s="67" t="inlineStr">
        <is>
          <t>In the 2024 report</t>
        </is>
      </c>
      <c r="H1453" s="22" t="inlineStr">
        <is>
          <t>EU GHG inventory (CRF tables)</t>
        </is>
      </c>
      <c r="I1453" s="35" t="inlineStr">
        <is>
          <t>esabcc-l2-forest-area</t>
        </is>
      </c>
    </row>
    <row r="1454" ht="14" customHeight="1">
      <c r="A1454" s="15" t="inlineStr">
        <is>
          <t>L2 (forest)</t>
        </is>
      </c>
      <c r="B1454" s="15" t="inlineStr">
        <is>
          <t>Forest land surface area (EU)</t>
        </is>
      </c>
      <c r="C1454" s="15" t="inlineStr">
        <is>
          <t>LULUCF</t>
        </is>
      </c>
      <c r="D1454" s="15" t="inlineStr">
        <is>
          <t>million ha</t>
        </is>
      </c>
      <c r="E1454" s="63" t="n">
        <v>2010</v>
      </c>
      <c r="F1454" s="64" t="n">
        <v>165.8</v>
      </c>
      <c r="G1454" s="14" t="inlineStr">
        <is>
          <t>In the 2024 report</t>
        </is>
      </c>
      <c r="H1454" s="15" t="inlineStr">
        <is>
          <t>EU GHG inventory (CRF tables)</t>
        </is>
      </c>
      <c r="I1454" s="34" t="inlineStr">
        <is>
          <t>esabcc-l2-forest-area</t>
        </is>
      </c>
    </row>
    <row r="1455" ht="14" customHeight="1">
      <c r="A1455" s="22" t="inlineStr">
        <is>
          <t>L2 (forest)</t>
        </is>
      </c>
      <c r="B1455" s="22" t="inlineStr">
        <is>
          <t>Forest land surface area (EU)</t>
        </is>
      </c>
      <c r="C1455" s="22" t="inlineStr">
        <is>
          <t>LULUCF</t>
        </is>
      </c>
      <c r="D1455" s="22" t="inlineStr">
        <is>
          <t>million ha</t>
        </is>
      </c>
      <c r="E1455" s="65" t="n">
        <v>2011</v>
      </c>
      <c r="F1455" s="66" t="n">
        <v>166</v>
      </c>
      <c r="G1455" s="67" t="inlineStr">
        <is>
          <t>In the 2024 report</t>
        </is>
      </c>
      <c r="H1455" s="22" t="inlineStr">
        <is>
          <t>EU GHG inventory (CRF tables)</t>
        </is>
      </c>
      <c r="I1455" s="35" t="inlineStr">
        <is>
          <t>esabcc-l2-forest-area</t>
        </is>
      </c>
    </row>
    <row r="1456" ht="14" customHeight="1">
      <c r="A1456" s="15" t="inlineStr">
        <is>
          <t>L2 (forest)</t>
        </is>
      </c>
      <c r="B1456" s="15" t="inlineStr">
        <is>
          <t>Forest land surface area (EU)</t>
        </is>
      </c>
      <c r="C1456" s="15" t="inlineStr">
        <is>
          <t>LULUCF</t>
        </is>
      </c>
      <c r="D1456" s="15" t="inlineStr">
        <is>
          <t>million ha</t>
        </is>
      </c>
      <c r="E1456" s="63" t="n">
        <v>2012</v>
      </c>
      <c r="F1456" s="64" t="n">
        <v>166.1</v>
      </c>
      <c r="G1456" s="14" t="inlineStr">
        <is>
          <t>In the 2024 report</t>
        </is>
      </c>
      <c r="H1456" s="15" t="inlineStr">
        <is>
          <t>EU GHG inventory (CRF tables)</t>
        </is>
      </c>
      <c r="I1456" s="34" t="inlineStr">
        <is>
          <t>esabcc-l2-forest-area</t>
        </is>
      </c>
    </row>
    <row r="1457" ht="14" customHeight="1">
      <c r="A1457" s="22" t="inlineStr">
        <is>
          <t>L2 (forest)</t>
        </is>
      </c>
      <c r="B1457" s="22" t="inlineStr">
        <is>
          <t>Forest land surface area (EU)</t>
        </is>
      </c>
      <c r="C1457" s="22" t="inlineStr">
        <is>
          <t>LULUCF</t>
        </is>
      </c>
      <c r="D1457" s="22" t="inlineStr">
        <is>
          <t>million ha</t>
        </is>
      </c>
      <c r="E1457" s="65" t="n">
        <v>2013</v>
      </c>
      <c r="F1457" s="66" t="n">
        <v>166.3</v>
      </c>
      <c r="G1457" s="67" t="inlineStr">
        <is>
          <t>In the 2024 report</t>
        </is>
      </c>
      <c r="H1457" s="22" t="inlineStr">
        <is>
          <t>EU GHG inventory (CRF tables)</t>
        </is>
      </c>
      <c r="I1457" s="35" t="inlineStr">
        <is>
          <t>esabcc-l2-forest-area</t>
        </is>
      </c>
    </row>
    <row r="1458" ht="14" customHeight="1">
      <c r="A1458" s="15" t="inlineStr">
        <is>
          <t>L2 (forest)</t>
        </is>
      </c>
      <c r="B1458" s="15" t="inlineStr">
        <is>
          <t>Forest land surface area (EU)</t>
        </is>
      </c>
      <c r="C1458" s="15" t="inlineStr">
        <is>
          <t>LULUCF</t>
        </is>
      </c>
      <c r="D1458" s="15" t="inlineStr">
        <is>
          <t>million ha</t>
        </is>
      </c>
      <c r="E1458" s="63" t="n">
        <v>2014</v>
      </c>
      <c r="F1458" s="64" t="n">
        <v>166.4</v>
      </c>
      <c r="G1458" s="14" t="inlineStr">
        <is>
          <t>In the 2024 report</t>
        </is>
      </c>
      <c r="H1458" s="15" t="inlineStr">
        <is>
          <t>EU GHG inventory (CRF tables)</t>
        </is>
      </c>
      <c r="I1458" s="34" t="inlineStr">
        <is>
          <t>esabcc-l2-forest-area</t>
        </is>
      </c>
    </row>
    <row r="1459" ht="14" customHeight="1">
      <c r="A1459" s="22" t="inlineStr">
        <is>
          <t>L2 (forest)</t>
        </is>
      </c>
      <c r="B1459" s="22" t="inlineStr">
        <is>
          <t>Forest land surface area (EU)</t>
        </is>
      </c>
      <c r="C1459" s="22" t="inlineStr">
        <is>
          <t>LULUCF</t>
        </is>
      </c>
      <c r="D1459" s="22" t="inlineStr">
        <is>
          <t>million ha</t>
        </is>
      </c>
      <c r="E1459" s="65" t="n">
        <v>2015</v>
      </c>
      <c r="F1459" s="66" t="n">
        <v>166.6</v>
      </c>
      <c r="G1459" s="67" t="inlineStr">
        <is>
          <t>In the 2024 report</t>
        </is>
      </c>
      <c r="H1459" s="22" t="inlineStr">
        <is>
          <t>EU GHG inventory (CRF tables)</t>
        </is>
      </c>
      <c r="I1459" s="35" t="inlineStr">
        <is>
          <t>esabcc-l2-forest-area</t>
        </is>
      </c>
    </row>
    <row r="1460" ht="14" customHeight="1">
      <c r="A1460" s="15" t="inlineStr">
        <is>
          <t>L2 (forest)</t>
        </is>
      </c>
      <c r="B1460" s="15" t="inlineStr">
        <is>
          <t>Forest land surface area (EU)</t>
        </is>
      </c>
      <c r="C1460" s="15" t="inlineStr">
        <is>
          <t>LULUCF</t>
        </is>
      </c>
      <c r="D1460" s="15" t="inlineStr">
        <is>
          <t>million ha</t>
        </is>
      </c>
      <c r="E1460" s="63" t="n">
        <v>2016</v>
      </c>
      <c r="F1460" s="64" t="n">
        <v>166.7</v>
      </c>
      <c r="G1460" s="14" t="inlineStr">
        <is>
          <t>In the 2024 report</t>
        </is>
      </c>
      <c r="H1460" s="15" t="inlineStr">
        <is>
          <t>EU GHG inventory (CRF tables)</t>
        </is>
      </c>
      <c r="I1460" s="34" t="inlineStr">
        <is>
          <t>esabcc-l2-forest-area</t>
        </is>
      </c>
    </row>
    <row r="1461" ht="14" customHeight="1">
      <c r="A1461" s="22" t="inlineStr">
        <is>
          <t>L2 (forest)</t>
        </is>
      </c>
      <c r="B1461" s="22" t="inlineStr">
        <is>
          <t>Forest land surface area (EU)</t>
        </is>
      </c>
      <c r="C1461" s="22" t="inlineStr">
        <is>
          <t>LULUCF</t>
        </is>
      </c>
      <c r="D1461" s="22" t="inlineStr">
        <is>
          <t>million ha</t>
        </is>
      </c>
      <c r="E1461" s="65" t="n">
        <v>2017</v>
      </c>
      <c r="F1461" s="66" t="n">
        <v>167</v>
      </c>
      <c r="G1461" s="67" t="inlineStr">
        <is>
          <t>In the 2024 report</t>
        </is>
      </c>
      <c r="H1461" s="22" t="inlineStr">
        <is>
          <t>EU GHG inventory (CRF tables)</t>
        </is>
      </c>
      <c r="I1461" s="35" t="inlineStr">
        <is>
          <t>esabcc-l2-forest-area</t>
        </is>
      </c>
    </row>
    <row r="1462" ht="14" customHeight="1">
      <c r="A1462" s="15" t="inlineStr">
        <is>
          <t>L2 (forest)</t>
        </is>
      </c>
      <c r="B1462" s="15" t="inlineStr">
        <is>
          <t>Forest land surface area (EU)</t>
        </is>
      </c>
      <c r="C1462" s="15" t="inlineStr">
        <is>
          <t>LULUCF</t>
        </is>
      </c>
      <c r="D1462" s="15" t="inlineStr">
        <is>
          <t>million ha</t>
        </is>
      </c>
      <c r="E1462" s="63" t="n">
        <v>2018</v>
      </c>
      <c r="F1462" s="64" t="n">
        <v>167.1</v>
      </c>
      <c r="G1462" s="14" t="inlineStr">
        <is>
          <t>In the 2024 report</t>
        </is>
      </c>
      <c r="H1462" s="15" t="inlineStr">
        <is>
          <t>EU GHG inventory (CRF tables)</t>
        </is>
      </c>
      <c r="I1462" s="34" t="inlineStr">
        <is>
          <t>esabcc-l2-forest-area</t>
        </is>
      </c>
    </row>
    <row r="1463" ht="14" customHeight="1">
      <c r="A1463" s="22" t="inlineStr">
        <is>
          <t>L2 (forest)</t>
        </is>
      </c>
      <c r="B1463" s="22" t="inlineStr">
        <is>
          <t>Forest land surface area (EU)</t>
        </is>
      </c>
      <c r="C1463" s="22" t="inlineStr">
        <is>
          <t>LULUCF</t>
        </is>
      </c>
      <c r="D1463" s="22" t="inlineStr">
        <is>
          <t>million ha</t>
        </is>
      </c>
      <c r="E1463" s="65" t="n">
        <v>2019</v>
      </c>
      <c r="F1463" s="66" t="n">
        <v>167.3</v>
      </c>
      <c r="G1463" s="67" t="inlineStr">
        <is>
          <t>In the 2024 report</t>
        </is>
      </c>
      <c r="H1463" s="22" t="inlineStr">
        <is>
          <t>EU GHG inventory (CRF tables)</t>
        </is>
      </c>
      <c r="I1463" s="35" t="inlineStr">
        <is>
          <t>esabcc-l2-forest-area</t>
        </is>
      </c>
    </row>
    <row r="1464" ht="14" customHeight="1">
      <c r="A1464" s="15" t="inlineStr">
        <is>
          <t>L2 (forest)</t>
        </is>
      </c>
      <c r="B1464" s="15" t="inlineStr">
        <is>
          <t>Forest land surface area (EU)</t>
        </is>
      </c>
      <c r="C1464" s="15" t="inlineStr">
        <is>
          <t>LULUCF</t>
        </is>
      </c>
      <c r="D1464" s="15" t="inlineStr">
        <is>
          <t>million ha</t>
        </is>
      </c>
      <c r="E1464" s="63" t="n">
        <v>2020</v>
      </c>
      <c r="F1464" s="64" t="n">
        <v>167.5</v>
      </c>
      <c r="G1464" s="14" t="inlineStr">
        <is>
          <t>In the 2024 report</t>
        </is>
      </c>
      <c r="H1464" s="15" t="inlineStr">
        <is>
          <t>EU GHG inventory (CRF tables)</t>
        </is>
      </c>
      <c r="I1464" s="34" t="inlineStr">
        <is>
          <t>esabcc-l2-forest-area</t>
        </is>
      </c>
    </row>
    <row r="1465" ht="14" customHeight="1">
      <c r="A1465" s="22" t="inlineStr">
        <is>
          <t>L2 (forest)</t>
        </is>
      </c>
      <c r="B1465" s="22" t="inlineStr">
        <is>
          <t>Forest land surface area (EU)</t>
        </is>
      </c>
      <c r="C1465" s="22" t="inlineStr">
        <is>
          <t>LULUCF</t>
        </is>
      </c>
      <c r="D1465" s="22" t="inlineStr">
        <is>
          <t>million ha</t>
        </is>
      </c>
      <c r="E1465" s="65" t="n">
        <v>2021</v>
      </c>
      <c r="F1465" s="66" t="n">
        <v>167.7</v>
      </c>
      <c r="G1465" s="67" t="inlineStr">
        <is>
          <t>In the 2024 report</t>
        </is>
      </c>
      <c r="H1465" s="22" t="inlineStr">
        <is>
          <t>EU GHG inventory (CRF tables)</t>
        </is>
      </c>
      <c r="I1465" s="35" t="inlineStr">
        <is>
          <t>esabcc-l2-forest-area</t>
        </is>
      </c>
    </row>
    <row r="1466" ht="14" customHeight="1">
      <c r="A1466" s="15" t="inlineStr">
        <is>
          <t>L2 (other)</t>
        </is>
      </c>
      <c r="B1466" s="15" t="inlineStr">
        <is>
          <t>Other surface area (EU)</t>
        </is>
      </c>
      <c r="C1466" s="15" t="inlineStr">
        <is>
          <t>LULUCF</t>
        </is>
      </c>
      <c r="D1466" s="15" t="inlineStr">
        <is>
          <t>million ha</t>
        </is>
      </c>
      <c r="E1466" s="63" t="n">
        <v>2005</v>
      </c>
      <c r="F1466" s="64" t="n">
        <v>9.795</v>
      </c>
      <c r="G1466" s="14" t="inlineStr">
        <is>
          <t>In the 2024 report</t>
        </is>
      </c>
      <c r="H1466" s="15" t="inlineStr">
        <is>
          <t>EU GHG inventory (CRF tables)</t>
        </is>
      </c>
      <c r="I1466" s="34" t="inlineStr">
        <is>
          <t>esabcc-l2-other-area</t>
        </is>
      </c>
    </row>
    <row r="1467" ht="14" customHeight="1">
      <c r="A1467" s="22" t="inlineStr">
        <is>
          <t>L2 (other)</t>
        </is>
      </c>
      <c r="B1467" s="22" t="inlineStr">
        <is>
          <t>Other surface area (EU)</t>
        </is>
      </c>
      <c r="C1467" s="22" t="inlineStr">
        <is>
          <t>LULUCF</t>
        </is>
      </c>
      <c r="D1467" s="22" t="inlineStr">
        <is>
          <t>million ha</t>
        </is>
      </c>
      <c r="E1467" s="65" t="n">
        <v>2006</v>
      </c>
      <c r="F1467" s="66" t="n">
        <v>9.795999999999999</v>
      </c>
      <c r="G1467" s="67" t="inlineStr">
        <is>
          <t>In the 2024 report</t>
        </is>
      </c>
      <c r="H1467" s="22" t="inlineStr">
        <is>
          <t>EU GHG inventory (CRF tables)</t>
        </is>
      </c>
      <c r="I1467" s="35" t="inlineStr">
        <is>
          <t>esabcc-l2-other-area</t>
        </is>
      </c>
    </row>
    <row r="1468" ht="14" customHeight="1">
      <c r="A1468" s="15" t="inlineStr">
        <is>
          <t>L2 (other)</t>
        </is>
      </c>
      <c r="B1468" s="15" t="inlineStr">
        <is>
          <t>Other surface area (EU)</t>
        </is>
      </c>
      <c r="C1468" s="15" t="inlineStr">
        <is>
          <t>LULUCF</t>
        </is>
      </c>
      <c r="D1468" s="15" t="inlineStr">
        <is>
          <t>million ha</t>
        </is>
      </c>
      <c r="E1468" s="63" t="n">
        <v>2007</v>
      </c>
      <c r="F1468" s="64" t="n">
        <v>9.757</v>
      </c>
      <c r="G1468" s="14" t="inlineStr">
        <is>
          <t>In the 2024 report</t>
        </is>
      </c>
      <c r="H1468" s="15" t="inlineStr">
        <is>
          <t>EU GHG inventory (CRF tables)</t>
        </is>
      </c>
      <c r="I1468" s="34" t="inlineStr">
        <is>
          <t>esabcc-l2-other-area</t>
        </is>
      </c>
    </row>
    <row r="1469" ht="14" customHeight="1">
      <c r="A1469" s="22" t="inlineStr">
        <is>
          <t>L2 (other)</t>
        </is>
      </c>
      <c r="B1469" s="22" t="inlineStr">
        <is>
          <t>Other surface area (EU)</t>
        </is>
      </c>
      <c r="C1469" s="22" t="inlineStr">
        <is>
          <t>LULUCF</t>
        </is>
      </c>
      <c r="D1469" s="22" t="inlineStr">
        <is>
          <t>million ha</t>
        </is>
      </c>
      <c r="E1469" s="65" t="n">
        <v>2008</v>
      </c>
      <c r="F1469" s="66" t="n">
        <v>9.746</v>
      </c>
      <c r="G1469" s="67" t="inlineStr">
        <is>
          <t>In the 2024 report</t>
        </is>
      </c>
      <c r="H1469" s="22" t="inlineStr">
        <is>
          <t>EU GHG inventory (CRF tables)</t>
        </is>
      </c>
      <c r="I1469" s="35" t="inlineStr">
        <is>
          <t>esabcc-l2-other-area</t>
        </is>
      </c>
    </row>
    <row r="1470" ht="14" customHeight="1">
      <c r="A1470" s="15" t="inlineStr">
        <is>
          <t>L2 (other)</t>
        </is>
      </c>
      <c r="B1470" s="15" t="inlineStr">
        <is>
          <t>Other surface area (EU)</t>
        </is>
      </c>
      <c r="C1470" s="15" t="inlineStr">
        <is>
          <t>LULUCF</t>
        </is>
      </c>
      <c r="D1470" s="15" t="inlineStr">
        <is>
          <t>million ha</t>
        </is>
      </c>
      <c r="E1470" s="63" t="n">
        <v>2009</v>
      </c>
      <c r="F1470" s="64" t="n">
        <v>9.747</v>
      </c>
      <c r="G1470" s="14" t="inlineStr">
        <is>
          <t>In the 2024 report</t>
        </is>
      </c>
      <c r="H1470" s="15" t="inlineStr">
        <is>
          <t>EU GHG inventory (CRF tables)</t>
        </is>
      </c>
      <c r="I1470" s="34" t="inlineStr">
        <is>
          <t>esabcc-l2-other-area</t>
        </is>
      </c>
    </row>
    <row r="1471" ht="14" customHeight="1">
      <c r="A1471" s="22" t="inlineStr">
        <is>
          <t>L2 (other)</t>
        </is>
      </c>
      <c r="B1471" s="22" t="inlineStr">
        <is>
          <t>Other surface area (EU)</t>
        </is>
      </c>
      <c r="C1471" s="22" t="inlineStr">
        <is>
          <t>LULUCF</t>
        </is>
      </c>
      <c r="D1471" s="22" t="inlineStr">
        <is>
          <t>million ha</t>
        </is>
      </c>
      <c r="E1471" s="65" t="n">
        <v>2010</v>
      </c>
      <c r="F1471" s="66" t="n">
        <v>9.743</v>
      </c>
      <c r="G1471" s="67" t="inlineStr">
        <is>
          <t>In the 2024 report</t>
        </is>
      </c>
      <c r="H1471" s="22" t="inlineStr">
        <is>
          <t>EU GHG inventory (CRF tables)</t>
        </is>
      </c>
      <c r="I1471" s="35" t="inlineStr">
        <is>
          <t>esabcc-l2-other-area</t>
        </is>
      </c>
    </row>
    <row r="1472" ht="14" customHeight="1">
      <c r="A1472" s="15" t="inlineStr">
        <is>
          <t>L2 (other)</t>
        </is>
      </c>
      <c r="B1472" s="15" t="inlineStr">
        <is>
          <t>Other surface area (EU)</t>
        </is>
      </c>
      <c r="C1472" s="15" t="inlineStr">
        <is>
          <t>LULUCF</t>
        </is>
      </c>
      <c r="D1472" s="15" t="inlineStr">
        <is>
          <t>million ha</t>
        </is>
      </c>
      <c r="E1472" s="63" t="n">
        <v>2011</v>
      </c>
      <c r="F1472" s="64" t="n">
        <v>9.737</v>
      </c>
      <c r="G1472" s="14" t="inlineStr">
        <is>
          <t>In the 2024 report</t>
        </is>
      </c>
      <c r="H1472" s="15" t="inlineStr">
        <is>
          <t>EU GHG inventory (CRF tables)</t>
        </is>
      </c>
      <c r="I1472" s="34" t="inlineStr">
        <is>
          <t>esabcc-l2-other-area</t>
        </is>
      </c>
    </row>
    <row r="1473" ht="14" customHeight="1">
      <c r="A1473" s="22" t="inlineStr">
        <is>
          <t>L2 (other)</t>
        </is>
      </c>
      <c r="B1473" s="22" t="inlineStr">
        <is>
          <t>Other surface area (EU)</t>
        </is>
      </c>
      <c r="C1473" s="22" t="inlineStr">
        <is>
          <t>LULUCF</t>
        </is>
      </c>
      <c r="D1473" s="22" t="inlineStr">
        <is>
          <t>million ha</t>
        </is>
      </c>
      <c r="E1473" s="65" t="n">
        <v>2012</v>
      </c>
      <c r="F1473" s="66" t="n">
        <v>9.733000000000001</v>
      </c>
      <c r="G1473" s="67" t="inlineStr">
        <is>
          <t>In the 2024 report</t>
        </is>
      </c>
      <c r="H1473" s="22" t="inlineStr">
        <is>
          <t>EU GHG inventory (CRF tables)</t>
        </is>
      </c>
      <c r="I1473" s="35" t="inlineStr">
        <is>
          <t>esabcc-l2-other-area</t>
        </is>
      </c>
    </row>
    <row r="1474" ht="14" customHeight="1">
      <c r="A1474" s="15" t="inlineStr">
        <is>
          <t>L2 (other)</t>
        </is>
      </c>
      <c r="B1474" s="15" t="inlineStr">
        <is>
          <t>Other surface area (EU)</t>
        </is>
      </c>
      <c r="C1474" s="15" t="inlineStr">
        <is>
          <t>LULUCF</t>
        </is>
      </c>
      <c r="D1474" s="15" t="inlineStr">
        <is>
          <t>million ha</t>
        </is>
      </c>
      <c r="E1474" s="63" t="n">
        <v>2013</v>
      </c>
      <c r="F1474" s="64" t="n">
        <v>9.734999999999999</v>
      </c>
      <c r="G1474" s="14" t="inlineStr">
        <is>
          <t>In the 2024 report</t>
        </is>
      </c>
      <c r="H1474" s="15" t="inlineStr">
        <is>
          <t>EU GHG inventory (CRF tables)</t>
        </is>
      </c>
      <c r="I1474" s="34" t="inlineStr">
        <is>
          <t>esabcc-l2-other-area</t>
        </is>
      </c>
    </row>
    <row r="1475" ht="14" customHeight="1">
      <c r="A1475" s="22" t="inlineStr">
        <is>
          <t>L2 (other)</t>
        </is>
      </c>
      <c r="B1475" s="22" t="inlineStr">
        <is>
          <t>Other surface area (EU)</t>
        </is>
      </c>
      <c r="C1475" s="22" t="inlineStr">
        <is>
          <t>LULUCF</t>
        </is>
      </c>
      <c r="D1475" s="22" t="inlineStr">
        <is>
          <t>million ha</t>
        </is>
      </c>
      <c r="E1475" s="65" t="n">
        <v>2014</v>
      </c>
      <c r="F1475" s="66" t="n">
        <v>9.741</v>
      </c>
      <c r="G1475" s="67" t="inlineStr">
        <is>
          <t>In the 2024 report</t>
        </is>
      </c>
      <c r="H1475" s="22" t="inlineStr">
        <is>
          <t>EU GHG inventory (CRF tables)</t>
        </is>
      </c>
      <c r="I1475" s="35" t="inlineStr">
        <is>
          <t>esabcc-l2-other-area</t>
        </is>
      </c>
    </row>
    <row r="1476" ht="14" customHeight="1">
      <c r="A1476" s="15" t="inlineStr">
        <is>
          <t>L2 (other)</t>
        </is>
      </c>
      <c r="B1476" s="15" t="inlineStr">
        <is>
          <t>Other surface area (EU)</t>
        </is>
      </c>
      <c r="C1476" s="15" t="inlineStr">
        <is>
          <t>LULUCF</t>
        </is>
      </c>
      <c r="D1476" s="15" t="inlineStr">
        <is>
          <t>million ha</t>
        </is>
      </c>
      <c r="E1476" s="63" t="n">
        <v>2015</v>
      </c>
      <c r="F1476" s="64" t="n">
        <v>9.727</v>
      </c>
      <c r="G1476" s="14" t="inlineStr">
        <is>
          <t>In the 2024 report</t>
        </is>
      </c>
      <c r="H1476" s="15" t="inlineStr">
        <is>
          <t>EU GHG inventory (CRF tables)</t>
        </is>
      </c>
      <c r="I1476" s="34" t="inlineStr">
        <is>
          <t>esabcc-l2-other-area</t>
        </is>
      </c>
    </row>
    <row r="1477" ht="14" customHeight="1">
      <c r="A1477" s="22" t="inlineStr">
        <is>
          <t>L2 (other)</t>
        </is>
      </c>
      <c r="B1477" s="22" t="inlineStr">
        <is>
          <t>Other surface area (EU)</t>
        </is>
      </c>
      <c r="C1477" s="22" t="inlineStr">
        <is>
          <t>LULUCF</t>
        </is>
      </c>
      <c r="D1477" s="22" t="inlineStr">
        <is>
          <t>million ha</t>
        </is>
      </c>
      <c r="E1477" s="65" t="n">
        <v>2016</v>
      </c>
      <c r="F1477" s="66" t="n">
        <v>9.709</v>
      </c>
      <c r="G1477" s="67" t="inlineStr">
        <is>
          <t>In the 2024 report</t>
        </is>
      </c>
      <c r="H1477" s="22" t="inlineStr">
        <is>
          <t>EU GHG inventory (CRF tables)</t>
        </is>
      </c>
      <c r="I1477" s="35" t="inlineStr">
        <is>
          <t>esabcc-l2-other-area</t>
        </is>
      </c>
    </row>
    <row r="1478" ht="14" customHeight="1">
      <c r="A1478" s="15" t="inlineStr">
        <is>
          <t>L2 (other)</t>
        </is>
      </c>
      <c r="B1478" s="15" t="inlineStr">
        <is>
          <t>Other surface area (EU)</t>
        </is>
      </c>
      <c r="C1478" s="15" t="inlineStr">
        <is>
          <t>LULUCF</t>
        </is>
      </c>
      <c r="D1478" s="15" t="inlineStr">
        <is>
          <t>million ha</t>
        </is>
      </c>
      <c r="E1478" s="63" t="n">
        <v>2017</v>
      </c>
      <c r="F1478" s="64" t="n">
        <v>9.699</v>
      </c>
      <c r="G1478" s="14" t="inlineStr">
        <is>
          <t>In the 2024 report</t>
        </is>
      </c>
      <c r="H1478" s="15" t="inlineStr">
        <is>
          <t>EU GHG inventory (CRF tables)</t>
        </is>
      </c>
      <c r="I1478" s="34" t="inlineStr">
        <is>
          <t>esabcc-l2-other-area</t>
        </is>
      </c>
    </row>
    <row r="1479" ht="14" customHeight="1">
      <c r="A1479" s="22" t="inlineStr">
        <is>
          <t>L2 (other)</t>
        </is>
      </c>
      <c r="B1479" s="22" t="inlineStr">
        <is>
          <t>Other surface area (EU)</t>
        </is>
      </c>
      <c r="C1479" s="22" t="inlineStr">
        <is>
          <t>LULUCF</t>
        </is>
      </c>
      <c r="D1479" s="22" t="inlineStr">
        <is>
          <t>million ha</t>
        </is>
      </c>
      <c r="E1479" s="65" t="n">
        <v>2018</v>
      </c>
      <c r="F1479" s="66" t="n">
        <v>9.692</v>
      </c>
      <c r="G1479" s="67" t="inlineStr">
        <is>
          <t>In the 2024 report</t>
        </is>
      </c>
      <c r="H1479" s="22" t="inlineStr">
        <is>
          <t>EU GHG inventory (CRF tables)</t>
        </is>
      </c>
      <c r="I1479" s="35" t="inlineStr">
        <is>
          <t>esabcc-l2-other-area</t>
        </is>
      </c>
    </row>
    <row r="1480" ht="14" customHeight="1">
      <c r="A1480" s="15" t="inlineStr">
        <is>
          <t>L2 (other)</t>
        </is>
      </c>
      <c r="B1480" s="15" t="inlineStr">
        <is>
          <t>Other surface area (EU)</t>
        </is>
      </c>
      <c r="C1480" s="15" t="inlineStr">
        <is>
          <t>LULUCF</t>
        </is>
      </c>
      <c r="D1480" s="15" t="inlineStr">
        <is>
          <t>million ha</t>
        </is>
      </c>
      <c r="E1480" s="63" t="n">
        <v>2019</v>
      </c>
      <c r="F1480" s="64" t="n">
        <v>9.677</v>
      </c>
      <c r="G1480" s="14" t="inlineStr">
        <is>
          <t>In the 2024 report</t>
        </is>
      </c>
      <c r="H1480" s="15" t="inlineStr">
        <is>
          <t>EU GHG inventory (CRF tables)</t>
        </is>
      </c>
      <c r="I1480" s="34" t="inlineStr">
        <is>
          <t>esabcc-l2-other-area</t>
        </is>
      </c>
    </row>
    <row r="1481" ht="14" customHeight="1">
      <c r="A1481" s="22" t="inlineStr">
        <is>
          <t>L2 (other)</t>
        </is>
      </c>
      <c r="B1481" s="22" t="inlineStr">
        <is>
          <t>Other surface area (EU)</t>
        </is>
      </c>
      <c r="C1481" s="22" t="inlineStr">
        <is>
          <t>LULUCF</t>
        </is>
      </c>
      <c r="D1481" s="22" t="inlineStr">
        <is>
          <t>million ha</t>
        </is>
      </c>
      <c r="E1481" s="65" t="n">
        <v>2020</v>
      </c>
      <c r="F1481" s="66" t="n">
        <v>9.664</v>
      </c>
      <c r="G1481" s="67" t="inlineStr">
        <is>
          <t>In the 2024 report</t>
        </is>
      </c>
      <c r="H1481" s="22" t="inlineStr">
        <is>
          <t>EU GHG inventory (CRF tables)</t>
        </is>
      </c>
      <c r="I1481" s="35" t="inlineStr">
        <is>
          <t>esabcc-l2-other-area</t>
        </is>
      </c>
    </row>
    <row r="1482" ht="14" customHeight="1">
      <c r="A1482" s="15" t="inlineStr">
        <is>
          <t>L2 (other)</t>
        </is>
      </c>
      <c r="B1482" s="15" t="inlineStr">
        <is>
          <t>Other surface area (EU)</t>
        </is>
      </c>
      <c r="C1482" s="15" t="inlineStr">
        <is>
          <t>LULUCF</t>
        </is>
      </c>
      <c r="D1482" s="15" t="inlineStr">
        <is>
          <t>million ha</t>
        </is>
      </c>
      <c r="E1482" s="63" t="n">
        <v>2021</v>
      </c>
      <c r="F1482" s="64" t="n">
        <v>9.657999999999999</v>
      </c>
      <c r="G1482" s="14" t="inlineStr">
        <is>
          <t>In the 2024 report</t>
        </is>
      </c>
      <c r="H1482" s="15" t="inlineStr">
        <is>
          <t>EU GHG inventory (CRF tables)</t>
        </is>
      </c>
      <c r="I1482" s="34" t="inlineStr">
        <is>
          <t>esabcc-l2-other-area</t>
        </is>
      </c>
    </row>
    <row r="1483" ht="14" customHeight="1">
      <c r="A1483" s="22" t="inlineStr">
        <is>
          <t>I7a</t>
        </is>
      </c>
      <c r="B1483" s="22" t="inlineStr">
        <is>
          <t>Low-carbon steel projects (EU)</t>
        </is>
      </c>
      <c r="C1483" s="22" t="inlineStr">
        <is>
          <t>Industry</t>
        </is>
      </c>
      <c r="D1483" s="22" t="inlineStr">
        <is>
          <t>projects</t>
        </is>
      </c>
      <c r="E1483" s="65" t="n">
        <v>2023</v>
      </c>
      <c r="F1483" s="66" t="n">
        <v>48</v>
      </c>
      <c r="G1483" s="67" t="inlineStr">
        <is>
          <t>In the 2024 report</t>
        </is>
      </c>
      <c r="H1483" s="22" t="inlineStr">
        <is>
          <t>Green Steel Tracker (Leadership Group for Industry Transition)</t>
        </is>
      </c>
      <c r="I1483" s="35" t="inlineStr">
        <is>
          <t>esabcc-i7a-steel-projects</t>
        </is>
      </c>
    </row>
    <row r="1484" ht="14" customHeight="1">
      <c r="A1484" s="15" t="inlineStr">
        <is>
          <t>I7b</t>
        </is>
      </c>
      <c r="B1484" s="15" t="inlineStr">
        <is>
          <t>Low-carbon cement projects (EU)</t>
        </is>
      </c>
      <c r="C1484" s="15" t="inlineStr">
        <is>
          <t>Industry</t>
        </is>
      </c>
      <c r="D1484" s="15" t="inlineStr">
        <is>
          <t>projects</t>
        </is>
      </c>
      <c r="E1484" s="63" t="n">
        <v>2023</v>
      </c>
      <c r="F1484" s="64" t="n">
        <v>62</v>
      </c>
      <c r="G1484" s="14" t="inlineStr">
        <is>
          <t>In the 2024 report</t>
        </is>
      </c>
      <c r="H1484" s="15" t="inlineStr">
        <is>
          <t>Cembureau map of innovation projects</t>
        </is>
      </c>
      <c r="I1484" s="34" t="inlineStr">
        <is>
          <t>esabcc-i7b-cement-projects</t>
        </is>
      </c>
    </row>
    <row r="1485" ht="14" customHeight="1">
      <c r="A1485" s="22" t="inlineStr">
        <is>
          <t>I7c</t>
        </is>
      </c>
      <c r="B1485" s="22" t="inlineStr">
        <is>
          <t>Low-carbon chemicals projects (EU)</t>
        </is>
      </c>
      <c r="C1485" s="22" t="inlineStr">
        <is>
          <t>Industry</t>
        </is>
      </c>
      <c r="D1485" s="22" t="inlineStr">
        <is>
          <t>projects</t>
        </is>
      </c>
      <c r="E1485" s="65" t="n">
        <v>2023</v>
      </c>
      <c r="F1485" s="66" t="n">
        <v>171</v>
      </c>
      <c r="G1485" s="67" t="inlineStr">
        <is>
          <t>In the 2024 report</t>
        </is>
      </c>
      <c r="H1485" s="22" t="inlineStr">
        <is>
          <t>CEFIC low carbon projects map</t>
        </is>
      </c>
      <c r="I1485" s="35" t="inlineStr">
        <is>
          <t>esabcc-i7c-chemicals-projects</t>
        </is>
      </c>
    </row>
    <row r="1486" ht="14" customHeight="1">
      <c r="A1486" s="15" t="inlineStr">
        <is>
          <t>B3 (residential)</t>
        </is>
      </c>
      <c r="B1486" s="15" t="inlineStr">
        <is>
          <t>Residential weighted renovation rate (EU)</t>
        </is>
      </c>
      <c r="C1486" s="15" t="inlineStr">
        <is>
          <t>Buildings</t>
        </is>
      </c>
      <c r="D1486" s="15" t="inlineStr">
        <is>
          <t>%</t>
        </is>
      </c>
      <c r="E1486" s="63" t="n">
        <v>2020</v>
      </c>
      <c r="F1486" s="64" t="n">
        <v>1</v>
      </c>
      <c r="G1486" s="14" t="inlineStr">
        <is>
          <t>In the 2024 report</t>
        </is>
      </c>
      <c r="H1486" s="15" t="inlineStr">
        <is>
          <t>Climate Target Plan impact assessment + Eurostat</t>
        </is>
      </c>
      <c r="I1486" s="34" t="inlineStr">
        <is>
          <t>esabcc-b3-residential-renovation-rate</t>
        </is>
      </c>
    </row>
    <row r="1487" ht="14" customHeight="1">
      <c r="A1487" s="22" t="inlineStr">
        <is>
          <t>B3 (commercial)</t>
        </is>
      </c>
      <c r="B1487" s="22" t="inlineStr">
        <is>
          <t>Commercial weighted renovation rate (EU)</t>
        </is>
      </c>
      <c r="C1487" s="22" t="inlineStr">
        <is>
          <t>Buildings</t>
        </is>
      </c>
      <c r="D1487" s="22" t="inlineStr">
        <is>
          <t>%</t>
        </is>
      </c>
      <c r="E1487" s="65" t="n">
        <v>2020</v>
      </c>
      <c r="F1487" s="66" t="n">
        <v>0.6</v>
      </c>
      <c r="G1487" s="67" t="inlineStr">
        <is>
          <t>In the 2024 report</t>
        </is>
      </c>
      <c r="H1487" s="22" t="inlineStr">
        <is>
          <t>Climate Target Plan impact assessment + Eurostat</t>
        </is>
      </c>
      <c r="I1487" s="35" t="inlineStr">
        <is>
          <t>esabcc-b3-commercial-renovation-rate</t>
        </is>
      </c>
    </row>
  </sheetData>
  <autoFilter ref="A1:I1487"/>
  <pageMargins left="0.75" right="0.75" top="1" bottom="1" header="0.5" footer="0.5"/>
</worksheet>
</file>

<file path=xl/worksheets/sheet13.xml><?xml version="1.0" encoding="utf-8"?>
<worksheet xmlns="http://schemas.openxmlformats.org/spreadsheetml/2006/main">
  <sheetPr>
    <tabColor rgb="004D7E83"/>
    <outlinePr summaryBelow="1" summaryRight="1"/>
    <pageSetUpPr/>
  </sheetPr>
  <dimension ref="A1:J435"/>
  <sheetViews>
    <sheetView showGridLines="0" zoomScale="100"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8" customWidth="1" min="3" max="3"/>
    <col width="13" customWidth="1" min="4" max="4"/>
    <col width="22" customWidth="1" min="5" max="5"/>
    <col width="18" customWidth="1" min="6" max="6"/>
    <col width="30" customWidth="1" min="7" max="7"/>
    <col width="15" customWidth="1" min="8" max="8"/>
    <col width="46" customWidth="1" min="9" max="9"/>
    <col width="26" customWidth="1" min="10" max="10"/>
  </cols>
  <sheetData>
    <row r="1" ht="26" customHeight="1">
      <c r="A1" s="1" t="inlineStr">
        <is>
          <t>Where each post-report number comes from</t>
        </is>
      </c>
    </row>
    <row r="2" ht="30" customHeight="1">
      <c r="A2" s="2" t="inlineStr">
        <is>
          <t>For every data point added since the 2024 report: the inputs the figure is built from, the value of each input, and the exact source query behind it. This is the same calc space the Method Hub shows behind “Edit data / calc”.</t>
        </is>
      </c>
    </row>
    <row r="4" ht="32" customHeight="1">
      <c r="A4" s="5" t="inlineStr">
        <is>
          <t>Code</t>
        </is>
      </c>
      <c r="B4" s="5" t="inlineStr">
        <is>
          <t>Indicator</t>
        </is>
      </c>
      <c r="C4" s="5" t="inlineStr">
        <is>
          <t>Year</t>
        </is>
      </c>
      <c r="D4" s="5" t="inlineStr">
        <is>
          <t>Value</t>
        </is>
      </c>
      <c r="E4" s="5" t="inlineStr">
        <is>
          <t>How this year was obtained</t>
        </is>
      </c>
      <c r="F4" s="5" t="inlineStr">
        <is>
          <t>Checked 27 Jul 2026</t>
        </is>
      </c>
      <c r="G4" s="5" t="inlineStr">
        <is>
          <t>Input</t>
        </is>
      </c>
      <c r="H4" s="5" t="inlineStr">
        <is>
          <t>Input value</t>
        </is>
      </c>
      <c r="I4" s="5" t="inlineStr">
        <is>
          <t>Where that input comes from</t>
        </is>
      </c>
      <c r="J4" s="5" t="inlineStr">
        <is>
          <t>Exact dataset link (DOI where available)</t>
        </is>
      </c>
    </row>
    <row r="5" ht="26" customHeight="1">
      <c r="A5" s="14" t="inlineStr">
        <is>
          <t>O1</t>
        </is>
      </c>
      <c r="B5" s="15" t="inlineStr">
        <is>
          <t>Total EU GHG emissions (European Climate Law scope)</t>
        </is>
      </c>
      <c r="C5" s="63" t="n">
        <v>2023</v>
      </c>
      <c r="D5" s="64" t="n">
        <v>3118</v>
      </c>
      <c r="E5" s="15" t="inlineStr">
        <is>
          <t>Derived from the live source</t>
        </is>
      </c>
      <c r="F5" s="19" t="inlineStr">
        <is>
          <t>CONFIRMED — Reproduces from the primary source</t>
        </is>
      </c>
      <c r="G5" s="70" t="inlineStr">
        <is>
          <t>env_air_gge TOTXMEMO</t>
        </is>
      </c>
      <c r="H5" s="71" t="n">
        <v>2872.83169</v>
      </c>
      <c r="I5" s="34" t="inlineStr">
        <is>
          <t>Eurostat env_air_gge · geo=EU27_2020, unit=MIO_T, freq=A, airpol=GHG, src_crf=TOTXMEMO · https://ec.europa.eu/eurostat/api/dissemination/statistics/1.0/data/env_air_gge?format=JSON&amp;lang=EN&amp;geo=EU27_2020&amp;unit=MIO_T&amp;freq=A&amp;airpol=GHG&amp;src_crf=TOTXMEMO</t>
        </is>
      </c>
      <c r="J5" s="72" t="inlineStr">
        <is>
          <t>https://doi.org/10.2908/ENV_AIR_GGE</t>
        </is>
      </c>
    </row>
    <row r="6" ht="26" customHeight="1">
      <c r="A6" s="14" t="inlineStr"/>
      <c r="B6" s="15" t="inlineStr"/>
      <c r="C6" s="63" t="n"/>
      <c r="D6" s="64" t="n"/>
      <c r="E6" s="15" t="inlineStr"/>
      <c r="F6" s="15" t="inlineStr"/>
      <c r="G6" s="70" t="inlineStr">
        <is>
          <t>env_air_gge CRF1D1A</t>
        </is>
      </c>
      <c r="H6" s="71" t="n">
        <v>122.75595</v>
      </c>
      <c r="I6" s="34" t="inlineStr">
        <is>
          <t>Eurostat env_air_gge · geo=EU27_2020, unit=MIO_T, freq=A, airpol=GHG, src_crf=CRF1D1A · https://ec.europa.eu/eurostat/api/dissemination/statistics/1.0/data/env_air_gge?format=JSON&amp;lang=EN&amp;geo=EU27_2020&amp;unit=MIO_T&amp;freq=A&amp;airpol=GHG&amp;src_crf=CRF1D1A</t>
        </is>
      </c>
      <c r="J6" s="72" t="inlineStr">
        <is>
          <t>https://doi.org/10.2908/ENV_AIR_GGE</t>
        </is>
      </c>
    </row>
    <row r="7" ht="26" customHeight="1">
      <c r="A7" s="14" t="inlineStr"/>
      <c r="B7" s="15" t="inlineStr"/>
      <c r="C7" s="63" t="n"/>
      <c r="D7" s="64" t="n"/>
      <c r="E7" s="15" t="inlineStr"/>
      <c r="F7" s="15" t="inlineStr"/>
      <c r="G7" s="70" t="inlineStr">
        <is>
          <t>env_air_gge CRF1D1B</t>
        </is>
      </c>
      <c r="H7" s="71" t="n">
        <v>122.38565</v>
      </c>
      <c r="I7" s="34" t="inlineStr">
        <is>
          <t>Eurostat env_air_gge · geo=EU27_2020, unit=MIO_T, freq=A, airpol=GHG, src_crf=CRF1D1B · https://ec.europa.eu/eurostat/api/dissemination/statistics/1.0/data/env_air_gge?format=JSON&amp;lang=EN&amp;geo=EU27_2020&amp;unit=MIO_T&amp;freq=A&amp;airpol=GHG&amp;src_crf=CRF1D1B</t>
        </is>
      </c>
      <c r="J7" s="72" t="inlineStr">
        <is>
          <t>https://doi.org/10.2908/ENV_AIR_GGE</t>
        </is>
      </c>
    </row>
    <row r="8" ht="26" customHeight="1">
      <c r="A8" s="67" t="inlineStr">
        <is>
          <t>O1</t>
        </is>
      </c>
      <c r="B8" s="22" t="inlineStr">
        <is>
          <t>Total EU GHG emissions (European Climate Law scope)</t>
        </is>
      </c>
      <c r="C8" s="65" t="n">
        <v>2024</v>
      </c>
      <c r="D8" s="66" t="n">
        <v>3043.2</v>
      </c>
      <c r="E8" s="22" t="inlineStr">
        <is>
          <t>Derived from the live source</t>
        </is>
      </c>
      <c r="F8" s="26" t="inlineStr">
        <is>
          <t>CONFIRMED — Reproduces from the primary source</t>
        </is>
      </c>
      <c r="G8" s="73" t="inlineStr">
        <is>
          <t>env_air_gge TOTXMEMO</t>
        </is>
      </c>
      <c r="H8" s="74" t="n">
        <v>2786.20281</v>
      </c>
      <c r="I8" s="35" t="inlineStr">
        <is>
          <t>Eurostat env_air_gge · geo=EU27_2020, unit=MIO_T, freq=A, airpol=GHG, src_crf=TOTXMEMO · https://ec.europa.eu/eurostat/api/dissemination/statistics/1.0/data/env_air_gge?format=JSON&amp;lang=EN&amp;geo=EU27_2020&amp;unit=MIO_T&amp;freq=A&amp;airpol=GHG&amp;src_crf=TOTXMEMO</t>
        </is>
      </c>
      <c r="J8" s="72" t="inlineStr">
        <is>
          <t>https://doi.org/10.2908/ENV_AIR_GGE</t>
        </is>
      </c>
    </row>
    <row r="9" ht="26" customHeight="1">
      <c r="A9" s="67" t="inlineStr"/>
      <c r="B9" s="22" t="inlineStr"/>
      <c r="C9" s="65" t="n"/>
      <c r="D9" s="66" t="n"/>
      <c r="E9" s="22" t="inlineStr"/>
      <c r="F9" s="22" t="inlineStr"/>
      <c r="G9" s="73" t="inlineStr">
        <is>
          <t>env_air_gge CRF1D1A</t>
        </is>
      </c>
      <c r="H9" s="74" t="n">
        <v>129.98166</v>
      </c>
      <c r="I9" s="35" t="inlineStr">
        <is>
          <t>Eurostat env_air_gge · geo=EU27_2020, unit=MIO_T, freq=A, airpol=GHG, src_crf=CRF1D1A · https://ec.europa.eu/eurostat/api/dissemination/statistics/1.0/data/env_air_gge?format=JSON&amp;lang=EN&amp;geo=EU27_2020&amp;unit=MIO_T&amp;freq=A&amp;airpol=GHG&amp;src_crf=CRF1D1A</t>
        </is>
      </c>
      <c r="J9" s="72" t="inlineStr">
        <is>
          <t>https://doi.org/10.2908/ENV_AIR_GGE</t>
        </is>
      </c>
    </row>
    <row r="10" ht="26" customHeight="1">
      <c r="A10" s="67" t="inlineStr"/>
      <c r="B10" s="22" t="inlineStr"/>
      <c r="C10" s="65" t="n"/>
      <c r="D10" s="66" t="n"/>
      <c r="E10" s="22" t="inlineStr"/>
      <c r="F10" s="22" t="inlineStr"/>
      <c r="G10" s="73" t="inlineStr">
        <is>
          <t>env_air_gge CRF1D1B</t>
        </is>
      </c>
      <c r="H10" s="74" t="n">
        <v>127.02067</v>
      </c>
      <c r="I10" s="35" t="inlineStr">
        <is>
          <t>Eurostat env_air_gge · geo=EU27_2020, unit=MIO_T, freq=A, airpol=GHG, src_crf=CRF1D1B · https://ec.europa.eu/eurostat/api/dissemination/statistics/1.0/data/env_air_gge?format=JSON&amp;lang=EN&amp;geo=EU27_2020&amp;unit=MIO_T&amp;freq=A&amp;airpol=GHG&amp;src_crf=CRF1D1B</t>
        </is>
      </c>
      <c r="J10" s="72" t="inlineStr">
        <is>
          <t>https://doi.org/10.2908/ENV_AIR_GGE</t>
        </is>
      </c>
    </row>
    <row r="11" ht="22" customHeight="1">
      <c r="G11" s="3" t="inlineStr">
        <is>
          <t>Formula:  Value = IF(A &gt;= 2023, ROUND(([env_air_gge TOTXMEMO] + [env_air_gge CRF1D1A] + [env_air_gge CRF1D1B]), 1), ([International aviation]+[Energy supply]+[Industry]+[Transport]+[Buildings and agriculture energy]+[Agriculture (non-energy)]+[LULUCF]+[Waste and other sectors])+[International maritime]*(0.6374552000704592))</t>
        </is>
      </c>
    </row>
    <row r="12" ht="26" customHeight="1">
      <c r="A12" s="14" t="inlineStr">
        <is>
          <t>O2 (PEC)</t>
        </is>
      </c>
      <c r="B12" s="15" t="inlineStr">
        <is>
          <t>Primary energy consumption (EU-27)</t>
        </is>
      </c>
      <c r="C12" s="63" t="n">
        <v>2022</v>
      </c>
      <c r="D12" s="64" t="n">
        <v>14644.7</v>
      </c>
      <c r="E12" s="15" t="inlineStr">
        <is>
          <t>Derived from the live source</t>
        </is>
      </c>
      <c r="F12" s="19" t="inlineStr">
        <is>
          <t>CONFIRMED — Reproduces from the primary source</t>
        </is>
      </c>
      <c r="G12" s="70" t="inlineStr">
        <is>
          <t>nrg_ind_eff PEC_EED</t>
        </is>
      </c>
      <c r="H12" s="71" t="n">
        <v>1259.22</v>
      </c>
      <c r="I12" s="34" t="inlineStr">
        <is>
          <t>Eurostat nrg_ind_eff · geo=EU27_2020, nrg_bal=PEC_EED, unit=MTOE · https://ec.europa.eu/eurostat/api/dissemination/statistics/1.0/data/nrg_ind_eff?format=JSON&amp;lang=EN&amp;geo=EU27_2020&amp;nrg_bal=PEC_EED&amp;unit=MTOE</t>
        </is>
      </c>
      <c r="J12" s="72" t="inlineStr">
        <is>
          <t>https://doi.org/10.2908/NRG_IND_EFF</t>
        </is>
      </c>
    </row>
    <row r="13" ht="26" customHeight="1">
      <c r="A13" s="14" t="inlineStr"/>
      <c r="B13" s="15" t="inlineStr"/>
      <c r="C13" s="63" t="n"/>
      <c r="D13" s="64" t="n"/>
      <c r="E13" s="15" t="inlineStr"/>
      <c r="F13" s="15" t="inlineStr"/>
      <c r="G13" s="70" t="inlineStr">
        <is>
          <t>Unit conversion (× 11.63)</t>
        </is>
      </c>
      <c r="H13" s="71" t="n">
        <v>11.63</v>
      </c>
      <c r="I13" s="34" t="inlineStr">
        <is>
          <t>Unit conversion applied to the source figure so it is expressed in TWh.</t>
        </is>
      </c>
    </row>
    <row r="14" ht="26" customHeight="1">
      <c r="A14" s="67" t="inlineStr">
        <is>
          <t>O2 (PEC)</t>
        </is>
      </c>
      <c r="B14" s="22" t="inlineStr">
        <is>
          <t>Primary energy consumption (EU-27)</t>
        </is>
      </c>
      <c r="C14" s="65" t="n">
        <v>2023</v>
      </c>
      <c r="D14" s="66" t="n">
        <v>14045.2</v>
      </c>
      <c r="E14" s="22" t="inlineStr">
        <is>
          <t>Derived from the live source</t>
        </is>
      </c>
      <c r="F14" s="26" t="inlineStr">
        <is>
          <t>CONFIRMED — Reproduces from the primary source</t>
        </is>
      </c>
      <c r="G14" s="73" t="inlineStr">
        <is>
          <t>nrg_ind_eff PEC_EED</t>
        </is>
      </c>
      <c r="H14" s="74" t="n">
        <v>1207.67</v>
      </c>
      <c r="I14" s="35" t="inlineStr">
        <is>
          <t>Eurostat nrg_ind_eff · geo=EU27_2020, nrg_bal=PEC_EED, unit=MTOE · https://ec.europa.eu/eurostat/api/dissemination/statistics/1.0/data/nrg_ind_eff?format=JSON&amp;lang=EN&amp;geo=EU27_2020&amp;nrg_bal=PEC_EED&amp;unit=MTOE</t>
        </is>
      </c>
      <c r="J14" s="72" t="inlineStr">
        <is>
          <t>https://doi.org/10.2908/NRG_IND_EFF</t>
        </is>
      </c>
    </row>
    <row r="15" ht="26" customHeight="1">
      <c r="A15" s="67" t="inlineStr"/>
      <c r="B15" s="22" t="inlineStr"/>
      <c r="C15" s="65" t="n"/>
      <c r="D15" s="66" t="n"/>
      <c r="E15" s="22" t="inlineStr"/>
      <c r="F15" s="22" t="inlineStr"/>
      <c r="G15" s="73" t="inlineStr">
        <is>
          <t>Unit conversion (× 11.63)</t>
        </is>
      </c>
      <c r="H15" s="74" t="n">
        <v>11.63</v>
      </c>
      <c r="I15" s="35" t="inlineStr">
        <is>
          <t>Unit conversion applied to the source figure so it is expressed in TWh.</t>
        </is>
      </c>
    </row>
    <row r="16" ht="26" customHeight="1">
      <c r="A16" s="14" t="inlineStr">
        <is>
          <t>O2 (PEC)</t>
        </is>
      </c>
      <c r="B16" s="15" t="inlineStr">
        <is>
          <t>Primary energy consumption (EU-27)</t>
        </is>
      </c>
      <c r="C16" s="63" t="n">
        <v>2024</v>
      </c>
      <c r="D16" s="64" t="n">
        <v>13883</v>
      </c>
      <c r="E16" s="15" t="inlineStr">
        <is>
          <t>Derived from the live source</t>
        </is>
      </c>
      <c r="F16" s="19" t="inlineStr">
        <is>
          <t>CONFIRMED — Reproduces from the primary source</t>
        </is>
      </c>
      <c r="G16" s="70" t="inlineStr">
        <is>
          <t>nrg_ind_eff PEC_EED</t>
        </is>
      </c>
      <c r="H16" s="71" t="n">
        <v>1193.72</v>
      </c>
      <c r="I16" s="34" t="inlineStr">
        <is>
          <t>Eurostat nrg_ind_eff · geo=EU27_2020, nrg_bal=PEC_EED, unit=MTOE · https://ec.europa.eu/eurostat/api/dissemination/statistics/1.0/data/nrg_ind_eff?format=JSON&amp;lang=EN&amp;geo=EU27_2020&amp;nrg_bal=PEC_EED&amp;unit=MTOE</t>
        </is>
      </c>
      <c r="J16" s="72" t="inlineStr">
        <is>
          <t>https://doi.org/10.2908/NRG_IND_EFF</t>
        </is>
      </c>
    </row>
    <row r="17" ht="26" customHeight="1">
      <c r="A17" s="14" t="inlineStr"/>
      <c r="B17" s="15" t="inlineStr"/>
      <c r="C17" s="63" t="n"/>
      <c r="D17" s="64" t="n"/>
      <c r="E17" s="15" t="inlineStr"/>
      <c r="F17" s="15" t="inlineStr"/>
      <c r="G17" s="70" t="inlineStr">
        <is>
          <t>Unit conversion (× 11.63)</t>
        </is>
      </c>
      <c r="H17" s="71" t="n">
        <v>11.63</v>
      </c>
      <c r="I17" s="34" t="inlineStr">
        <is>
          <t>Unit conversion applied to the source figure so it is expressed in TWh.</t>
        </is>
      </c>
    </row>
    <row r="18" ht="22" customHeight="1">
      <c r="G18" s="3" t="inlineStr">
        <is>
          <t>Formula:  Value = IF(A &gt;= 2022, ROUND([nrg_ind_eff PEC_EED] * [Unit conversion (× 11.63)], 1), [PEC (Mtoe)] * [Mtoe → TWh])</t>
        </is>
      </c>
    </row>
    <row r="19" ht="26" customHeight="1">
      <c r="A19" s="67" t="inlineStr">
        <is>
          <t>O2 (FEC)</t>
        </is>
      </c>
      <c r="B19" s="22" t="inlineStr">
        <is>
          <t>Final energy consumption (EU-27)</t>
        </is>
      </c>
      <c r="C19" s="65" t="n">
        <v>2022</v>
      </c>
      <c r="D19" s="66" t="n">
        <v>10704.7</v>
      </c>
      <c r="E19" s="22" t="inlineStr">
        <is>
          <t>Derived from the live source</t>
        </is>
      </c>
      <c r="F19" s="26" t="inlineStr">
        <is>
          <t>CONFIRMED — Reproduces from the primary source</t>
        </is>
      </c>
      <c r="G19" s="73" t="inlineStr">
        <is>
          <t>nrg_ind_eff FEC_EED</t>
        </is>
      </c>
      <c r="H19" s="74" t="n">
        <v>920.4400000000001</v>
      </c>
      <c r="I19" s="35" t="inlineStr">
        <is>
          <t>Eurostat nrg_ind_eff · geo=EU27_2020, nrg_bal=FEC_EED, unit=MTOE · https://ec.europa.eu/eurostat/api/dissemination/statistics/1.0/data/nrg_ind_eff?format=JSON&amp;lang=EN&amp;geo=EU27_2020&amp;nrg_bal=FEC_EED&amp;unit=MTOE</t>
        </is>
      </c>
      <c r="J19" s="72" t="inlineStr">
        <is>
          <t>https://doi.org/10.2908/NRG_IND_EFF</t>
        </is>
      </c>
    </row>
    <row r="20" ht="26" customHeight="1">
      <c r="A20" s="67" t="inlineStr"/>
      <c r="B20" s="22" t="inlineStr"/>
      <c r="C20" s="65" t="n"/>
      <c r="D20" s="66" t="n"/>
      <c r="E20" s="22" t="inlineStr"/>
      <c r="F20" s="22" t="inlineStr"/>
      <c r="G20" s="73" t="inlineStr">
        <is>
          <t>Unit conversion (× 11.63)</t>
        </is>
      </c>
      <c r="H20" s="74" t="n">
        <v>11.63</v>
      </c>
      <c r="I20" s="35" t="inlineStr">
        <is>
          <t>Unit conversion applied to the source figure so it is expressed in TWh.</t>
        </is>
      </c>
    </row>
    <row r="21" ht="26" customHeight="1">
      <c r="A21" s="14" t="inlineStr">
        <is>
          <t>O2 (FEC)</t>
        </is>
      </c>
      <c r="B21" s="15" t="inlineStr">
        <is>
          <t>Final energy consumption (EU-27)</t>
        </is>
      </c>
      <c r="C21" s="63" t="n">
        <v>2023</v>
      </c>
      <c r="D21" s="64" t="n">
        <v>10388.7</v>
      </c>
      <c r="E21" s="15" t="inlineStr">
        <is>
          <t>Derived from the live source</t>
        </is>
      </c>
      <c r="F21" s="19" t="inlineStr">
        <is>
          <t>CONFIRMED — Reproduces from the primary source</t>
        </is>
      </c>
      <c r="G21" s="70" t="inlineStr">
        <is>
          <t>nrg_ind_eff FEC_EED</t>
        </is>
      </c>
      <c r="H21" s="71" t="n">
        <v>893.27</v>
      </c>
      <c r="I21" s="34" t="inlineStr">
        <is>
          <t>Eurostat nrg_ind_eff · geo=EU27_2020, nrg_bal=FEC_EED, unit=MTOE · https://ec.europa.eu/eurostat/api/dissemination/statistics/1.0/data/nrg_ind_eff?format=JSON&amp;lang=EN&amp;geo=EU27_2020&amp;nrg_bal=FEC_EED&amp;unit=MTOE</t>
        </is>
      </c>
      <c r="J21" s="72" t="inlineStr">
        <is>
          <t>https://doi.org/10.2908/NRG_IND_EFF</t>
        </is>
      </c>
    </row>
    <row r="22" ht="26" customHeight="1">
      <c r="A22" s="14" t="inlineStr"/>
      <c r="B22" s="15" t="inlineStr"/>
      <c r="C22" s="63" t="n"/>
      <c r="D22" s="64" t="n"/>
      <c r="E22" s="15" t="inlineStr"/>
      <c r="F22" s="15" t="inlineStr"/>
      <c r="G22" s="70" t="inlineStr">
        <is>
          <t>Unit conversion (× 11.63)</t>
        </is>
      </c>
      <c r="H22" s="71" t="n">
        <v>11.63</v>
      </c>
      <c r="I22" s="34" t="inlineStr">
        <is>
          <t>Unit conversion applied to the source figure so it is expressed in TWh.</t>
        </is>
      </c>
    </row>
    <row r="23" ht="26" customHeight="1">
      <c r="A23" s="67" t="inlineStr">
        <is>
          <t>O2 (FEC)</t>
        </is>
      </c>
      <c r="B23" s="22" t="inlineStr">
        <is>
          <t>Final energy consumption (EU-27)</t>
        </is>
      </c>
      <c r="C23" s="65" t="n">
        <v>2024</v>
      </c>
      <c r="D23" s="66" t="n">
        <v>10471.8</v>
      </c>
      <c r="E23" s="22" t="inlineStr">
        <is>
          <t>Derived from the live source</t>
        </is>
      </c>
      <c r="F23" s="26" t="inlineStr">
        <is>
          <t>CONFIRMED — Reproduces from the primary source</t>
        </is>
      </c>
      <c r="G23" s="73" t="inlineStr">
        <is>
          <t>nrg_ind_eff FEC_EED</t>
        </is>
      </c>
      <c r="H23" s="74" t="n">
        <v>900.41</v>
      </c>
      <c r="I23" s="35" t="inlineStr">
        <is>
          <t>Eurostat nrg_ind_eff · geo=EU27_2020, nrg_bal=FEC_EED, unit=MTOE · https://ec.europa.eu/eurostat/api/dissemination/statistics/1.0/data/nrg_ind_eff?format=JSON&amp;lang=EN&amp;geo=EU27_2020&amp;nrg_bal=FEC_EED&amp;unit=MTOE</t>
        </is>
      </c>
      <c r="J23" s="72" t="inlineStr">
        <is>
          <t>https://doi.org/10.2908/NRG_IND_EFF</t>
        </is>
      </c>
    </row>
    <row r="24" ht="26" customHeight="1">
      <c r="A24" s="67" t="inlineStr"/>
      <c r="B24" s="22" t="inlineStr"/>
      <c r="C24" s="65" t="n"/>
      <c r="D24" s="66" t="n"/>
      <c r="E24" s="22" t="inlineStr"/>
      <c r="F24" s="22" t="inlineStr"/>
      <c r="G24" s="73" t="inlineStr">
        <is>
          <t>Unit conversion (× 11.63)</t>
        </is>
      </c>
      <c r="H24" s="74" t="n">
        <v>11.63</v>
      </c>
      <c r="I24" s="35" t="inlineStr">
        <is>
          <t>Unit conversion applied to the source figure so it is expressed in TWh.</t>
        </is>
      </c>
    </row>
    <row r="25" ht="22" customHeight="1">
      <c r="G25" s="3" t="inlineStr">
        <is>
          <t>Formula:  Value = IF(A &gt;= 2022, ROUND([nrg_ind_eff FEC_EED] * [Unit conversion (× 11.63)], 1), [FEC (Mtoe)] * [Mtoe → TWh])</t>
        </is>
      </c>
    </row>
    <row r="26" ht="26" customHeight="1">
      <c r="A26" s="14" t="inlineStr">
        <is>
          <t>O3</t>
        </is>
      </c>
      <c r="B26" s="15" t="inlineStr">
        <is>
          <t>Gross inland energy consumption (EU-27)</t>
        </is>
      </c>
      <c r="C26" s="63" t="n">
        <v>2022</v>
      </c>
      <c r="D26" s="64" t="n">
        <v>15751.6</v>
      </c>
      <c r="E26" s="15" t="inlineStr">
        <is>
          <t>Reconstructed from the sheet's own conversion</t>
        </is>
      </c>
      <c r="F26" s="33" t="inlineStr">
        <is>
          <t>NOT CHECKABLE — Published figure — source named, not re-derived</t>
        </is>
      </c>
      <c r="G26" s="70" t="inlineStr">
        <is>
          <t>Gross inland (ktoe)</t>
        </is>
      </c>
      <c r="H26" s="71" t="n">
        <v>1396483.233018057</v>
      </c>
      <c r="I26" s="34" t="inlineStr">
        <is>
          <t>Eurostat (nrg_bal_c)</t>
        </is>
      </c>
      <c r="J26" s="72" t="inlineStr">
        <is>
          <t>https://doi.org/10.2908/NRG_BAL_C</t>
        </is>
      </c>
    </row>
    <row r="27" ht="26" customHeight="1">
      <c r="A27" s="14" t="inlineStr"/>
      <c r="B27" s="15" t="inlineStr"/>
      <c r="C27" s="63" t="n"/>
      <c r="D27" s="64" t="n"/>
      <c r="E27" s="15" t="inlineStr"/>
      <c r="F27" s="15" t="inlineStr"/>
      <c r="G27" s="70" t="inlineStr">
        <is>
          <t>ktoe → TWh</t>
        </is>
      </c>
      <c r="H27" s="71" t="n">
        <v>0.01163</v>
      </c>
      <c r="I27" s="34" t="inlineStr">
        <is>
          <t>IEA unit converter</t>
        </is>
      </c>
    </row>
    <row r="28" ht="26" customHeight="1">
      <c r="A28" s="67" t="inlineStr">
        <is>
          <t>O3</t>
        </is>
      </c>
      <c r="B28" s="22" t="inlineStr">
        <is>
          <t>Gross inland energy consumption (EU-27)</t>
        </is>
      </c>
      <c r="C28" s="65" t="n">
        <v>2023</v>
      </c>
      <c r="D28" s="66" t="n">
        <v>15111.2</v>
      </c>
      <c r="E28" s="22" t="inlineStr">
        <is>
          <t>Reconstructed from the sheet's own conversion</t>
        </is>
      </c>
      <c r="F28" s="29" t="inlineStr">
        <is>
          <t>NOT CHECKABLE — Published figure — source named, not re-derived</t>
        </is>
      </c>
      <c r="G28" s="73" t="inlineStr">
        <is>
          <t>Gross inland (ktoe)</t>
        </is>
      </c>
      <c r="H28" s="74" t="n">
        <v>1339234.737747205</v>
      </c>
      <c r="I28" s="35" t="inlineStr">
        <is>
          <t>Eurostat (nrg_bal_c)</t>
        </is>
      </c>
      <c r="J28" s="72" t="inlineStr">
        <is>
          <t>https://doi.org/10.2908/NRG_BAL_C</t>
        </is>
      </c>
    </row>
    <row r="29" ht="26" customHeight="1">
      <c r="A29" s="67" t="inlineStr"/>
      <c r="B29" s="22" t="inlineStr"/>
      <c r="C29" s="65" t="n"/>
      <c r="D29" s="66" t="n"/>
      <c r="E29" s="22" t="inlineStr"/>
      <c r="F29" s="22" t="inlineStr"/>
      <c r="G29" s="73" t="inlineStr">
        <is>
          <t>ktoe → TWh</t>
        </is>
      </c>
      <c r="H29" s="74" t="n">
        <v>0.01163</v>
      </c>
      <c r="I29" s="35" t="inlineStr">
        <is>
          <t>IEA unit converter</t>
        </is>
      </c>
    </row>
    <row r="30" ht="26" customHeight="1">
      <c r="A30" s="14" t="inlineStr">
        <is>
          <t>O3</t>
        </is>
      </c>
      <c r="B30" s="15" t="inlineStr">
        <is>
          <t>Gross inland energy consumption (EU-27)</t>
        </is>
      </c>
      <c r="C30" s="63" t="n">
        <v>2024</v>
      </c>
      <c r="D30" s="64" t="n">
        <v>15023.9</v>
      </c>
      <c r="E30" s="15" t="inlineStr">
        <is>
          <t>Reconstructed from the sheet's own conversion</t>
        </is>
      </c>
      <c r="F30" s="33" t="inlineStr">
        <is>
          <t>NOT CHECKABLE — Published figure — source named, not re-derived</t>
        </is>
      </c>
      <c r="G30" s="70" t="inlineStr">
        <is>
          <t>(no calc inputs recorded)</t>
        </is>
      </c>
      <c r="H30" s="71" t="n"/>
      <c r="I30" s="34" t="inlineStr">
        <is>
          <t>Eurostat (nrg_bal_c)</t>
        </is>
      </c>
      <c r="J30" s="72" t="inlineStr">
        <is>
          <t>https://doi.org/10.2908/NRG_BAL_C</t>
        </is>
      </c>
    </row>
    <row r="31" ht="22" customHeight="1">
      <c r="G31" s="3" t="inlineStr">
        <is>
          <t>Formula:  Value = [Gross inland (ktoe)] * [ktoe → TWh]</t>
        </is>
      </c>
    </row>
    <row r="32" ht="26" customHeight="1">
      <c r="A32" s="67" t="inlineStr">
        <is>
          <t>E1</t>
        </is>
      </c>
      <c r="B32" s="22" t="inlineStr">
        <is>
          <t>Energy supply GHG emissions</t>
        </is>
      </c>
      <c r="C32" s="65" t="n">
        <v>2023</v>
      </c>
      <c r="D32" s="66" t="n">
        <v>746.3</v>
      </c>
      <c r="E32" s="22" t="inlineStr">
        <is>
          <t>Derived from the live source</t>
        </is>
      </c>
      <c r="F32" s="26" t="inlineStr">
        <is>
          <t>CONFIRMED — Reproduces from the primary source</t>
        </is>
      </c>
      <c r="G32" s="73" t="inlineStr">
        <is>
          <t>env_air_gge CRF1A1</t>
        </is>
      </c>
      <c r="H32" s="74" t="n">
        <v>698.41559</v>
      </c>
      <c r="I32" s="35" t="inlineStr">
        <is>
          <t>Eurostat env_air_gge · geo=EU27_2020, unit=MIO_T, freq=A, airpol=GHG, src_crf=CRF1A1 · https://ec.europa.eu/eurostat/api/dissemination/statistics/1.0/data/env_air_gge?format=JSON&amp;lang=EN&amp;geo=EU27_2020&amp;unit=MIO_T&amp;freq=A&amp;airpol=GHG&amp;src_crf=CRF1A1</t>
        </is>
      </c>
      <c r="J32" s="72" t="inlineStr">
        <is>
          <t>https://doi.org/10.2908/ENV_AIR_GGE</t>
        </is>
      </c>
    </row>
    <row r="33" ht="26" customHeight="1">
      <c r="A33" s="67" t="inlineStr"/>
      <c r="B33" s="22" t="inlineStr"/>
      <c r="C33" s="65" t="n"/>
      <c r="D33" s="66" t="n"/>
      <c r="E33" s="22" t="inlineStr"/>
      <c r="F33" s="22" t="inlineStr"/>
      <c r="G33" s="73" t="inlineStr">
        <is>
          <t>env_air_gge CRF1B</t>
        </is>
      </c>
      <c r="H33" s="74" t="n">
        <v>47.89066</v>
      </c>
      <c r="I33" s="35" t="inlineStr">
        <is>
          <t>Eurostat env_air_gge · geo=EU27_2020, unit=MIO_T, freq=A, airpol=GHG, src_crf=CRF1B · https://ec.europa.eu/eurostat/api/dissemination/statistics/1.0/data/env_air_gge?format=JSON&amp;lang=EN&amp;geo=EU27_2020&amp;unit=MIO_T&amp;freq=A&amp;airpol=GHG&amp;src_crf=CRF1B</t>
        </is>
      </c>
      <c r="J33" s="72" t="inlineStr">
        <is>
          <t>https://doi.org/10.2908/ENV_AIR_GGE</t>
        </is>
      </c>
    </row>
    <row r="34" ht="26" customHeight="1">
      <c r="A34" s="14" t="inlineStr">
        <is>
          <t>E1</t>
        </is>
      </c>
      <c r="B34" s="15" t="inlineStr">
        <is>
          <t>Energy supply GHG emissions</t>
        </is>
      </c>
      <c r="C34" s="63" t="n">
        <v>2024</v>
      </c>
      <c r="D34" s="64" t="n">
        <v>689.1</v>
      </c>
      <c r="E34" s="15" t="inlineStr">
        <is>
          <t>Derived from the live source</t>
        </is>
      </c>
      <c r="F34" s="19" t="inlineStr">
        <is>
          <t>CONFIRMED — Reproduces from the primary source</t>
        </is>
      </c>
      <c r="G34" s="70" t="inlineStr">
        <is>
          <t>env_air_gge CRF1A1</t>
        </is>
      </c>
      <c r="H34" s="71" t="n">
        <v>642.41481</v>
      </c>
      <c r="I34" s="34" t="inlineStr">
        <is>
          <t>Eurostat env_air_gge · geo=EU27_2020, unit=MIO_T, freq=A, airpol=GHG, src_crf=CRF1A1 · https://ec.europa.eu/eurostat/api/dissemination/statistics/1.0/data/env_air_gge?format=JSON&amp;lang=EN&amp;geo=EU27_2020&amp;unit=MIO_T&amp;freq=A&amp;airpol=GHG&amp;src_crf=CRF1A1</t>
        </is>
      </c>
      <c r="J34" s="72" t="inlineStr">
        <is>
          <t>https://doi.org/10.2908/ENV_AIR_GGE</t>
        </is>
      </c>
    </row>
    <row r="35" ht="26" customHeight="1">
      <c r="A35" s="14" t="inlineStr"/>
      <c r="B35" s="15" t="inlineStr"/>
      <c r="C35" s="63" t="n"/>
      <c r="D35" s="64" t="n"/>
      <c r="E35" s="15" t="inlineStr"/>
      <c r="F35" s="15" t="inlineStr"/>
      <c r="G35" s="70" t="inlineStr">
        <is>
          <t>env_air_gge CRF1B</t>
        </is>
      </c>
      <c r="H35" s="71" t="n">
        <v>46.71211</v>
      </c>
      <c r="I35" s="34" t="inlineStr">
        <is>
          <t>Eurostat env_air_gge · geo=EU27_2020, unit=MIO_T, freq=A, airpol=GHG, src_crf=CRF1B · https://ec.europa.eu/eurostat/api/dissemination/statistics/1.0/data/env_air_gge?format=JSON&amp;lang=EN&amp;geo=EU27_2020&amp;unit=MIO_T&amp;freq=A&amp;airpol=GHG&amp;src_crf=CRF1B</t>
        </is>
      </c>
      <c r="J35" s="72" t="inlineStr">
        <is>
          <t>https://doi.org/10.2908/ENV_AIR_GGE</t>
        </is>
      </c>
    </row>
    <row r="36" ht="22" customHeight="1">
      <c r="G36" s="3" t="inlineStr">
        <is>
          <t>Formula:  Value = IF(A &gt;= 2023, ROUND(([env_air_gge CRF1A1] + [env_air_gge CRF1B]), 1), ([Power and heat]+[Petroleum refineries]+[Other (mining, gas transport, …)]+[Fugitive emissions]+[Total (reported, no breakdown)]))</t>
        </is>
      </c>
    </row>
    <row r="37" ht="26" customHeight="1">
      <c r="A37" s="67" t="inlineStr">
        <is>
          <t>E2 (fossil)</t>
        </is>
      </c>
      <c r="B37" s="22" t="inlineStr">
        <is>
          <t>Fossil share of EU electricity mix</t>
        </is>
      </c>
      <c r="C37" s="65" t="n">
        <v>2023</v>
      </c>
      <c r="D37" s="66" t="n">
        <v>31.42</v>
      </c>
      <c r="E37" s="22" t="inlineStr">
        <is>
          <t>Derived from the live source</t>
        </is>
      </c>
      <c r="F37" s="26" t="inlineStr">
        <is>
          <t>CONFIRMED — Reproduces from the primary source</t>
        </is>
      </c>
      <c r="G37" s="73" t="inlineStr">
        <is>
          <t>Numerator · nrg_bal_peh C0000X0350-0370</t>
        </is>
      </c>
      <c r="H37" s="74" t="n">
        <v>318691.393</v>
      </c>
      <c r="I37" s="35" t="inlineStr">
        <is>
          <t>Eurostat nrg_bal_peh · geo=EU27_2020, unit=GWH, freq=A, nrg_bal=GEP, siec=C0000X0350-0370 · https://ec.europa.eu/eurostat/api/dissemination/statistics/1.0/data/nrg_bal_peh?format=JSON&amp;lang=EN&amp;geo=EU27_2020&amp;unit=GWH&amp;freq=A&amp;nrg_bal=GEP&amp;siec=C0000X0350-0370</t>
        </is>
      </c>
      <c r="J37" s="72" t="inlineStr">
        <is>
          <t>https://doi.org/10.2908/NRG_BAL_PEH</t>
        </is>
      </c>
    </row>
    <row r="38" ht="26" customHeight="1">
      <c r="A38" s="67" t="inlineStr"/>
      <c r="B38" s="22" t="inlineStr"/>
      <c r="C38" s="65" t="n"/>
      <c r="D38" s="66" t="n"/>
      <c r="E38" s="22" t="inlineStr"/>
      <c r="F38" s="22" t="inlineStr"/>
      <c r="G38" s="73" t="inlineStr">
        <is>
          <t>Numerator · nrg_bal_peh P1000</t>
        </is>
      </c>
      <c r="H38" s="74" t="n">
        <v>1352.571</v>
      </c>
      <c r="I38" s="35" t="inlineStr">
        <is>
          <t>Eurostat nrg_bal_peh · geo=EU27_2020, unit=GWH, freq=A, nrg_bal=GEP, siec=P1000 · https://ec.europa.eu/eurostat/api/dissemination/statistics/1.0/data/nrg_bal_peh?format=JSON&amp;lang=EN&amp;geo=EU27_2020&amp;unit=GWH&amp;freq=A&amp;nrg_bal=GEP&amp;siec=P1000</t>
        </is>
      </c>
      <c r="J38" s="72" t="inlineStr">
        <is>
          <t>https://doi.org/10.2908/NRG_BAL_PEH</t>
        </is>
      </c>
    </row>
    <row r="39" ht="26" customHeight="1">
      <c r="A39" s="67" t="inlineStr"/>
      <c r="B39" s="22" t="inlineStr"/>
      <c r="C39" s="65" t="n"/>
      <c r="D39" s="66" t="n"/>
      <c r="E39" s="22" t="inlineStr"/>
      <c r="F39" s="22" t="inlineStr"/>
      <c r="G39" s="73" t="inlineStr">
        <is>
          <t>Numerator · nrg_bal_peh S2000</t>
        </is>
      </c>
      <c r="H39" s="74" t="n">
        <v>1975.972</v>
      </c>
      <c r="I39" s="35" t="inlineStr">
        <is>
          <t>Eurostat nrg_bal_peh · geo=EU27_2020, unit=GWH, freq=A, nrg_bal=GEP, siec=S2000 · https://ec.europa.eu/eurostat/api/dissemination/statistics/1.0/data/nrg_bal_peh?format=JSON&amp;lang=EN&amp;geo=EU27_2020&amp;unit=GWH&amp;freq=A&amp;nrg_bal=GEP&amp;siec=S2000</t>
        </is>
      </c>
      <c r="J39" s="72" t="inlineStr">
        <is>
          <t>https://doi.org/10.2908/NRG_BAL_PEH</t>
        </is>
      </c>
    </row>
    <row r="40" ht="26" customHeight="1">
      <c r="A40" s="67" t="inlineStr"/>
      <c r="B40" s="22" t="inlineStr"/>
      <c r="C40" s="65" t="n"/>
      <c r="D40" s="66" t="n"/>
      <c r="E40" s="22" t="inlineStr"/>
      <c r="F40" s="22" t="inlineStr"/>
      <c r="G40" s="73" t="inlineStr">
        <is>
          <t>Numerator · nrg_bal_peh O4000XBIO</t>
        </is>
      </c>
      <c r="H40" s="74" t="n">
        <v>47866.955</v>
      </c>
      <c r="I40" s="35" t="inlineStr">
        <is>
          <t>Eurostat nrg_bal_peh · geo=EU27_2020, unit=GWH, freq=A, nrg_bal=GEP, siec=O4000XBIO · https://ec.europa.eu/eurostat/api/dissemination/statistics/1.0/data/nrg_bal_peh?format=JSON&amp;lang=EN&amp;geo=EU27_2020&amp;unit=GWH&amp;freq=A&amp;nrg_bal=GEP&amp;siec=O4000XBIO</t>
        </is>
      </c>
      <c r="J40" s="72" t="inlineStr">
        <is>
          <t>https://doi.org/10.2908/NRG_BAL_PEH</t>
        </is>
      </c>
    </row>
    <row r="41" ht="26" customHeight="1">
      <c r="A41" s="67" t="inlineStr"/>
      <c r="B41" s="22" t="inlineStr"/>
      <c r="C41" s="65" t="n"/>
      <c r="D41" s="66" t="n"/>
      <c r="E41" s="22" t="inlineStr"/>
      <c r="F41" s="22" t="inlineStr"/>
      <c r="G41" s="73" t="inlineStr">
        <is>
          <t>Numerator · nrg_bal_peh G3000</t>
        </is>
      </c>
      <c r="H41" s="74" t="n">
        <v>462535.657</v>
      </c>
      <c r="I41" s="35" t="inlineStr">
        <is>
          <t>Eurostat nrg_bal_peh · geo=EU27_2020, unit=GWH, freq=A, nrg_bal=GEP, siec=G3000 · https://ec.europa.eu/eurostat/api/dissemination/statistics/1.0/data/nrg_bal_peh?format=JSON&amp;lang=EN&amp;geo=EU27_2020&amp;unit=GWH&amp;freq=A&amp;nrg_bal=GEP&amp;siec=G3000</t>
        </is>
      </c>
      <c r="J41" s="72" t="inlineStr">
        <is>
          <t>https://doi.org/10.2908/NRG_BAL_PEH</t>
        </is>
      </c>
    </row>
    <row r="42" ht="26" customHeight="1">
      <c r="A42" s="67" t="inlineStr"/>
      <c r="B42" s="22" t="inlineStr"/>
      <c r="C42" s="65" t="n"/>
      <c r="D42" s="66" t="n"/>
      <c r="E42" s="22" t="inlineStr"/>
      <c r="F42" s="22" t="inlineStr"/>
      <c r="G42" s="73" t="inlineStr">
        <is>
          <t>Denominator · nrg_bal_peh TOTAL</t>
        </is>
      </c>
      <c r="H42" s="74" t="n">
        <v>2760944.843</v>
      </c>
      <c r="I42" s="35" t="inlineStr">
        <is>
          <t>Eurostat nrg_bal_peh · geo=EU27_2020, unit=GWH, freq=A, nrg_bal=GEP, siec=TOTAL · https://ec.europa.eu/eurostat/api/dissemination/statistics/1.0/data/nrg_bal_peh?format=JSON&amp;lang=EN&amp;geo=EU27_2020&amp;unit=GWH&amp;freq=A&amp;nrg_bal=GEP&amp;siec=TOTAL</t>
        </is>
      </c>
      <c r="J42" s="72" t="inlineStr">
        <is>
          <t>https://doi.org/10.2908/NRG_BAL_PEH</t>
        </is>
      </c>
    </row>
    <row r="43" ht="26" customHeight="1">
      <c r="A43" s="67" t="inlineStr"/>
      <c r="B43" s="22" t="inlineStr"/>
      <c r="C43" s="65" t="n"/>
      <c r="D43" s="66" t="n"/>
      <c r="E43" s="22" t="inlineStr"/>
      <c r="F43" s="22" t="inlineStr"/>
      <c r="G43" s="73" t="inlineStr">
        <is>
          <t>Report baseline 2022 (%)</t>
        </is>
      </c>
      <c r="H43" s="74" t="n">
        <v>38.76</v>
      </c>
      <c r="I43" s="35" t="inlineStr">
        <is>
          <t>ESABCC (2024) “Towards EU climate neutrality”, underlying-data workbook — the report's own 2022 figure, the anchor the later years are spliced onto.</t>
        </is>
      </c>
    </row>
    <row r="44" ht="26" customHeight="1">
      <c r="A44" s="67" t="inlineStr"/>
      <c r="B44" s="22" t="inlineStr"/>
      <c r="C44" s="65" t="n"/>
      <c r="D44" s="66" t="n"/>
      <c r="E44" s="22" t="inlineStr"/>
      <c r="F44" s="22" t="inlineStr"/>
      <c r="G44" s="73" t="inlineStr">
        <is>
          <t>Live source at 2022 (same basis as the columns left)</t>
        </is>
      </c>
      <c r="H44" s="74" t="n">
        <v>0.371935</v>
      </c>
      <c r="I44" s="35" t="inlineStr">
        <is>
          <t>Eurostat nrg_bal_peh · fossil ÷ total gross electricity production · EU27_2020 — the same query, read at 2022; dividing by it cancels the level difference between the source's scope and the report's, leaving only the year-on-year change.</t>
        </is>
      </c>
      <c r="J44" s="72" t="inlineStr">
        <is>
          <t>https://doi.org/10.2908/NRG_BAL_PEH</t>
        </is>
      </c>
    </row>
    <row r="45" ht="26" customHeight="1">
      <c r="A45" s="67" t="inlineStr"/>
      <c r="B45" s="22" t="inlineStr"/>
      <c r="C45" s="65" t="n"/>
      <c r="D45" s="66" t="n"/>
      <c r="E45" s="22" t="inlineStr"/>
      <c r="F45" s="22" t="inlineStr"/>
      <c r="G45" s="73" t="inlineStr">
        <is>
          <t>fraction → % (× 100)</t>
        </is>
      </c>
      <c r="H45" s="74" t="n">
        <v>100</v>
      </c>
      <c r="I45" s="35" t="inlineStr">
        <is>
          <t>Unit convention: the report workbook computes this share as a fraction, the indicator database stores it as a percent number (migrations 058 / 075 / 076). The conversion is carried here as its own column so the grid and the plotted series agree.</t>
        </is>
      </c>
    </row>
    <row r="46" ht="26" customHeight="1">
      <c r="A46" s="14" t="inlineStr">
        <is>
          <t>E2 (fossil)</t>
        </is>
      </c>
      <c r="B46" s="15" t="inlineStr">
        <is>
          <t>Fossil share of EU electricity mix</t>
        </is>
      </c>
      <c r="C46" s="63" t="n">
        <v>2024</v>
      </c>
      <c r="D46" s="64" t="n">
        <v>28.11</v>
      </c>
      <c r="E46" s="15" t="inlineStr">
        <is>
          <t>Derived from the live source</t>
        </is>
      </c>
      <c r="F46" s="19" t="inlineStr">
        <is>
          <t>CONFIRMED — Reproduces from the primary source</t>
        </is>
      </c>
      <c r="G46" s="70" t="inlineStr">
        <is>
          <t>Numerator · nrg_bal_peh C0000X0350-0370</t>
        </is>
      </c>
      <c r="H46" s="71" t="n">
        <v>271891.735</v>
      </c>
      <c r="I46" s="34" t="inlineStr">
        <is>
          <t>Eurostat nrg_bal_peh · geo=EU27_2020, unit=GWH, freq=A, nrg_bal=GEP, siec=C0000X0350-0370 · https://ec.europa.eu/eurostat/api/dissemination/statistics/1.0/data/nrg_bal_peh?format=JSON&amp;lang=EN&amp;geo=EU27_2020&amp;unit=GWH&amp;freq=A&amp;nrg_bal=GEP&amp;siec=C0000X0350-0370</t>
        </is>
      </c>
      <c r="J46" s="72" t="inlineStr">
        <is>
          <t>https://doi.org/10.2908/NRG_BAL_PEH</t>
        </is>
      </c>
    </row>
    <row r="47" ht="26" customHeight="1">
      <c r="A47" s="14" t="inlineStr"/>
      <c r="B47" s="15" t="inlineStr"/>
      <c r="C47" s="63" t="n"/>
      <c r="D47" s="64" t="n"/>
      <c r="E47" s="15" t="inlineStr"/>
      <c r="F47" s="15" t="inlineStr"/>
      <c r="G47" s="70" t="inlineStr">
        <is>
          <t>Numerator · nrg_bal_peh P1000</t>
        </is>
      </c>
      <c r="H47" s="71" t="n">
        <v>776.357</v>
      </c>
      <c r="I47" s="34" t="inlineStr">
        <is>
          <t>Eurostat nrg_bal_peh · geo=EU27_2020, unit=GWH, freq=A, nrg_bal=GEP, siec=P1000 · https://ec.europa.eu/eurostat/api/dissemination/statistics/1.0/data/nrg_bal_peh?format=JSON&amp;lang=EN&amp;geo=EU27_2020&amp;unit=GWH&amp;freq=A&amp;nrg_bal=GEP&amp;siec=P1000</t>
        </is>
      </c>
      <c r="J47" s="72" t="inlineStr">
        <is>
          <t>https://doi.org/10.2908/NRG_BAL_PEH</t>
        </is>
      </c>
    </row>
    <row r="48" ht="26" customHeight="1">
      <c r="A48" s="14" t="inlineStr"/>
      <c r="B48" s="15" t="inlineStr"/>
      <c r="C48" s="63" t="n"/>
      <c r="D48" s="64" t="n"/>
      <c r="E48" s="15" t="inlineStr"/>
      <c r="F48" s="15" t="inlineStr"/>
      <c r="G48" s="70" t="inlineStr">
        <is>
          <t>Numerator · nrg_bal_peh S2000</t>
        </is>
      </c>
      <c r="H48" s="71" t="n">
        <v>1522.83</v>
      </c>
      <c r="I48" s="34" t="inlineStr">
        <is>
          <t>Eurostat nrg_bal_peh · geo=EU27_2020, unit=GWH, freq=A, nrg_bal=GEP, siec=S2000 · https://ec.europa.eu/eurostat/api/dissemination/statistics/1.0/data/nrg_bal_peh?format=JSON&amp;lang=EN&amp;geo=EU27_2020&amp;unit=GWH&amp;freq=A&amp;nrg_bal=GEP&amp;siec=S2000</t>
        </is>
      </c>
      <c r="J48" s="72" t="inlineStr">
        <is>
          <t>https://doi.org/10.2908/NRG_BAL_PEH</t>
        </is>
      </c>
    </row>
    <row r="49" ht="26" customHeight="1">
      <c r="A49" s="14" t="inlineStr"/>
      <c r="B49" s="15" t="inlineStr"/>
      <c r="C49" s="63" t="n"/>
      <c r="D49" s="64" t="n"/>
      <c r="E49" s="15" t="inlineStr"/>
      <c r="F49" s="15" t="inlineStr"/>
      <c r="G49" s="70" t="inlineStr">
        <is>
          <t>Numerator · nrg_bal_peh O4000XBIO</t>
        </is>
      </c>
      <c r="H49" s="71" t="n">
        <v>45734.24</v>
      </c>
      <c r="I49" s="34" t="inlineStr">
        <is>
          <t>Eurostat nrg_bal_peh · geo=EU27_2020, unit=GWH, freq=A, nrg_bal=GEP, siec=O4000XBIO · https://ec.europa.eu/eurostat/api/dissemination/statistics/1.0/data/nrg_bal_peh?format=JSON&amp;lang=EN&amp;geo=EU27_2020&amp;unit=GWH&amp;freq=A&amp;nrg_bal=GEP&amp;siec=O4000XBIO</t>
        </is>
      </c>
      <c r="J49" s="72" t="inlineStr">
        <is>
          <t>https://doi.org/10.2908/NRG_BAL_PEH</t>
        </is>
      </c>
    </row>
    <row r="50" ht="26" customHeight="1">
      <c r="A50" s="14" t="inlineStr"/>
      <c r="B50" s="15" t="inlineStr"/>
      <c r="C50" s="63" t="n"/>
      <c r="D50" s="64" t="n"/>
      <c r="E50" s="15" t="inlineStr"/>
      <c r="F50" s="15" t="inlineStr"/>
      <c r="G50" s="70" t="inlineStr">
        <is>
          <t>Numerator · nrg_bal_peh G3000</t>
        </is>
      </c>
      <c r="H50" s="71" t="n">
        <v>443188.995</v>
      </c>
      <c r="I50" s="34" t="inlineStr">
        <is>
          <t>Eurostat nrg_bal_peh · geo=EU27_2020, unit=GWH, freq=A, nrg_bal=GEP, siec=G3000 · https://ec.europa.eu/eurostat/api/dissemination/statistics/1.0/data/nrg_bal_peh?format=JSON&amp;lang=EN&amp;geo=EU27_2020&amp;unit=GWH&amp;freq=A&amp;nrg_bal=GEP&amp;siec=G3000</t>
        </is>
      </c>
      <c r="J50" s="72" t="inlineStr">
        <is>
          <t>https://doi.org/10.2908/NRG_BAL_PEH</t>
        </is>
      </c>
    </row>
    <row r="51" ht="26" customHeight="1">
      <c r="A51" s="14" t="inlineStr"/>
      <c r="B51" s="15" t="inlineStr"/>
      <c r="C51" s="63" t="n"/>
      <c r="D51" s="64" t="n"/>
      <c r="E51" s="15" t="inlineStr"/>
      <c r="F51" s="15" t="inlineStr"/>
      <c r="G51" s="70" t="inlineStr">
        <is>
          <t>Denominator · nrg_bal_peh TOTAL</t>
        </is>
      </c>
      <c r="H51" s="71" t="n">
        <v>2828734.401</v>
      </c>
      <c r="I51" s="34" t="inlineStr">
        <is>
          <t>Eurostat nrg_bal_peh · geo=EU27_2020, unit=GWH, freq=A, nrg_bal=GEP, siec=TOTAL · https://ec.europa.eu/eurostat/api/dissemination/statistics/1.0/data/nrg_bal_peh?format=JSON&amp;lang=EN&amp;geo=EU27_2020&amp;unit=GWH&amp;freq=A&amp;nrg_bal=GEP&amp;siec=TOTAL</t>
        </is>
      </c>
      <c r="J51" s="72" t="inlineStr">
        <is>
          <t>https://doi.org/10.2908/NRG_BAL_PEH</t>
        </is>
      </c>
    </row>
    <row r="52" ht="26" customHeight="1">
      <c r="A52" s="14" t="inlineStr"/>
      <c r="B52" s="15" t="inlineStr"/>
      <c r="C52" s="63" t="n"/>
      <c r="D52" s="64" t="n"/>
      <c r="E52" s="15" t="inlineStr"/>
      <c r="F52" s="15" t="inlineStr"/>
      <c r="G52" s="70" t="inlineStr">
        <is>
          <t>Report baseline 2022 (%)</t>
        </is>
      </c>
      <c r="H52" s="71" t="n">
        <v>38.76</v>
      </c>
      <c r="I52" s="34" t="inlineStr">
        <is>
          <t>ESABCC (2024) “Towards EU climate neutrality”, underlying-data workbook — the report's own 2022 figure, the anchor the later years are spliced onto.</t>
        </is>
      </c>
    </row>
    <row r="53" ht="26" customHeight="1">
      <c r="A53" s="14" t="inlineStr"/>
      <c r="B53" s="15" t="inlineStr"/>
      <c r="C53" s="63" t="n"/>
      <c r="D53" s="64" t="n"/>
      <c r="E53" s="15" t="inlineStr"/>
      <c r="F53" s="15" t="inlineStr"/>
      <c r="G53" s="70" t="inlineStr">
        <is>
          <t>Live source at 2022 (same basis as the columns left)</t>
        </is>
      </c>
      <c r="H53" s="71" t="n">
        <v>0.371935</v>
      </c>
      <c r="I53" s="34" t="inlineStr">
        <is>
          <t>Eurostat nrg_bal_peh · fossil ÷ total gross electricity production · EU27_2020 — the same query, read at 2022; dividing by it cancels the level difference between the source's scope and the report's, leaving only the year-on-year change.</t>
        </is>
      </c>
      <c r="J53" s="72" t="inlineStr">
        <is>
          <t>https://doi.org/10.2908/NRG_BAL_PEH</t>
        </is>
      </c>
    </row>
    <row r="54" ht="26" customHeight="1">
      <c r="A54" s="14" t="inlineStr"/>
      <c r="B54" s="15" t="inlineStr"/>
      <c r="C54" s="63" t="n"/>
      <c r="D54" s="64" t="n"/>
      <c r="E54" s="15" t="inlineStr"/>
      <c r="F54" s="15" t="inlineStr"/>
      <c r="G54" s="70" t="inlineStr">
        <is>
          <t>fraction → % (× 100)</t>
        </is>
      </c>
      <c r="H54" s="71" t="n">
        <v>100</v>
      </c>
      <c r="I54" s="34" t="inlineStr">
        <is>
          <t>Unit convention: the report workbook computes this share as a fraction, the indicator database stores it as a percent number (migrations 058 / 075 / 076). The conversion is carried here as its own column so the grid and the plotted series agree.</t>
        </is>
      </c>
    </row>
    <row r="55" ht="22" customHeight="1">
      <c r="G55" s="3" t="inlineStr">
        <is>
          <t>Formula:  Value = IF(A &gt;= 2023, ROUND([Report baseline 2022 (%)] * ([Numerator · nrg_bal_peh C0000X0350-0370] + [Numerator · nrg_bal_peh P1000] + [Numerator · nrg_bal_peh S2000] + [Numerator · nrg_bal_peh O4000XBIO] + [Numerator · nrg_bal_peh G3000]) / ([Denominator · nrg_bal_peh TOTAL]) / [Live source at 2022 (same basis as the columns left)], 2), (([Solid fossil fuels]+[Natural &amp; manufactured gases]+[Oil products &amp; other fossils]) / [Total]) * [fraction → % (× 100)])</t>
        </is>
      </c>
    </row>
    <row r="56" ht="26" customHeight="1">
      <c r="A56" s="67" t="inlineStr">
        <is>
          <t>E2 (RES)</t>
        </is>
      </c>
      <c r="B56" s="22" t="inlineStr">
        <is>
          <t>Non-biomass renewable share of EU electricity mix</t>
        </is>
      </c>
      <c r="C56" s="65" t="n">
        <v>2023</v>
      </c>
      <c r="D56" s="66" t="n">
        <v>40.4</v>
      </c>
      <c r="E56" s="22" t="inlineStr">
        <is>
          <t>Taken as published</t>
        </is>
      </c>
      <c r="F56" s="26" t="inlineStr">
        <is>
          <t>CONFIRMED — Reproduces from the primary source</t>
        </is>
      </c>
      <c r="G56" s="73" t="inlineStr">
        <is>
          <t>Post-report figure as published</t>
        </is>
      </c>
      <c r="H56" s="74" t="n">
        <v>40.01</v>
      </c>
      <c r="I56" s="35" t="inlineStr">
        <is>
          <t>Eurostat (nrg_bal_peh) — https://ec.europa.eu/eurostat/databrowser/view/nrg_bal_peh/default/table</t>
        </is>
      </c>
      <c r="J56" s="72" t="inlineStr">
        <is>
          <t>https://doi.org/10.2908/NRG_BAL_PEH</t>
        </is>
      </c>
    </row>
    <row r="57" ht="26" customHeight="1">
      <c r="A57" s="67" t="inlineStr"/>
      <c r="B57" s="22" t="inlineStr"/>
      <c r="C57" s="65" t="n"/>
      <c r="D57" s="66" t="n"/>
      <c r="E57" s="22" t="inlineStr"/>
      <c r="F57" s="22" t="inlineStr"/>
      <c r="G57" s="73" t="inlineStr">
        <is>
          <t>fraction → % (× 100)</t>
        </is>
      </c>
      <c r="H57" s="74" t="n">
        <v>100</v>
      </c>
      <c r="I57" s="35" t="inlineStr">
        <is>
          <t>Unit convention: the report workbook computes this share as a fraction, the indicator database stores it as a percent number (migrations 058 / 075 / 076). The conversion is carried here as its own column so the grid and the plotted series agree.</t>
        </is>
      </c>
    </row>
    <row r="58" ht="26" customHeight="1">
      <c r="A58" s="14" t="inlineStr">
        <is>
          <t>E2 (RES)</t>
        </is>
      </c>
      <c r="B58" s="15" t="inlineStr">
        <is>
          <t>Non-biomass renewable share of EU electricity mix</t>
        </is>
      </c>
      <c r="C58" s="63" t="n">
        <v>2024</v>
      </c>
      <c r="D58" s="64" t="n">
        <v>43.21</v>
      </c>
      <c r="E58" s="15" t="inlineStr">
        <is>
          <t>Taken as published</t>
        </is>
      </c>
      <c r="F58" s="32" t="inlineStr">
        <is>
          <t>REVISION — 2–5% off the source — see the fact-check</t>
        </is>
      </c>
      <c r="G58" s="70" t="inlineStr">
        <is>
          <t>Post-report figure as published</t>
        </is>
      </c>
      <c r="H58" s="71" t="n">
        <v>41.38</v>
      </c>
      <c r="I58" s="34" t="inlineStr">
        <is>
          <t>Eurostat (nrg_bal_peh) — https://ec.europa.eu/eurostat/databrowser/view/nrg_bal_peh/default/table</t>
        </is>
      </c>
      <c r="J58" s="72" t="inlineStr">
        <is>
          <t>https://doi.org/10.2908/NRG_BAL_PEH</t>
        </is>
      </c>
    </row>
    <row r="59" ht="26" customHeight="1">
      <c r="A59" s="14" t="inlineStr"/>
      <c r="B59" s="15" t="inlineStr"/>
      <c r="C59" s="63" t="n"/>
      <c r="D59" s="64" t="n"/>
      <c r="E59" s="15" t="inlineStr"/>
      <c r="F59" s="15" t="inlineStr"/>
      <c r="G59" s="70" t="inlineStr">
        <is>
          <t>fraction → % (× 100)</t>
        </is>
      </c>
      <c r="H59" s="71" t="n">
        <v>100</v>
      </c>
      <c r="I59" s="34" t="inlineStr">
        <is>
          <t>Unit convention: the report workbook computes this share as a fraction, the indicator database stores it as a percent number (migrations 058 / 075 / 076). The conversion is carried here as its own column so the grid and the plotted series agree.</t>
        </is>
      </c>
    </row>
    <row r="60" ht="22" customHeight="1">
      <c r="G60" s="3" t="inlineStr">
        <is>
          <t>Formula:  Value = IF(A &gt;= 2023, [Post-report figure as published], (([Renewable - hydro]+[Renewable - solar]+[Renewable - wind]+[Renewable - other non-bio]) / [Total]) * [fraction → % (× 100)])</t>
        </is>
      </c>
    </row>
    <row r="61" ht="26" customHeight="1">
      <c r="A61" s="67" t="inlineStr">
        <is>
          <t>E3</t>
        </is>
      </c>
      <c r="B61" s="22" t="inlineStr">
        <is>
          <t>Average GHG intensity of EU electricity</t>
        </is>
      </c>
      <c r="C61" s="65" t="n">
        <v>2023</v>
      </c>
      <c r="D61" s="66" t="n">
        <v>208.7</v>
      </c>
      <c r="E61" s="22" t="inlineStr">
        <is>
          <t>Derived from the live source</t>
        </is>
      </c>
      <c r="F61" s="26" t="inlineStr">
        <is>
          <t>CONFIRMED — Reproduces from the primary source</t>
        </is>
      </c>
      <c r="G61" s="73" t="inlineStr">
        <is>
          <t>Numerator · env_air_gge CRF1A1</t>
        </is>
      </c>
      <c r="H61" s="74" t="n">
        <v>698.41559</v>
      </c>
      <c r="I61" s="35" t="inlineStr">
        <is>
          <t>Eurostat env_air_gge · geo=EU27_2020, unit=MIO_T, freq=A, airpol=GHG, src_crf=CRF1A1 · https://ec.europa.eu/eurostat/api/dissemination/statistics/1.0/data/env_air_gge?format=JSON&amp;lang=EN&amp;geo=EU27_2020&amp;unit=MIO_T&amp;freq=A&amp;airpol=GHG&amp;src_crf=CRF1A1</t>
        </is>
      </c>
      <c r="J61" s="72" t="inlineStr">
        <is>
          <t>https://doi.org/10.2908/ENV_AIR_GGE</t>
        </is>
      </c>
    </row>
    <row r="62" ht="26" customHeight="1">
      <c r="A62" s="67" t="inlineStr"/>
      <c r="B62" s="22" t="inlineStr"/>
      <c r="C62" s="65" t="n"/>
      <c r="D62" s="66" t="n"/>
      <c r="E62" s="22" t="inlineStr"/>
      <c r="F62" s="22" t="inlineStr"/>
      <c r="G62" s="73" t="inlineStr">
        <is>
          <t>Denominator · nrg_bal_peh TOTAL</t>
        </is>
      </c>
      <c r="H62" s="74" t="n">
        <v>2760944.843</v>
      </c>
      <c r="I62" s="35" t="inlineStr">
        <is>
          <t>Eurostat nrg_bal_peh · geo=EU27_2020, unit=GWH, freq=A, nrg_bal=GEP, siec=TOTAL · https://ec.europa.eu/eurostat/api/dissemination/statistics/1.0/data/nrg_bal_peh?format=JSON&amp;lang=EN&amp;geo=EU27_2020&amp;unit=GWH&amp;freq=A&amp;nrg_bal=GEP&amp;siec=TOTAL</t>
        </is>
      </c>
      <c r="J62" s="72" t="inlineStr">
        <is>
          <t>https://doi.org/10.2908/NRG_BAL_PEH</t>
        </is>
      </c>
    </row>
    <row r="63" ht="26" customHeight="1">
      <c r="A63" s="67" t="inlineStr"/>
      <c r="B63" s="22" t="inlineStr"/>
      <c r="C63" s="65" t="n"/>
      <c r="D63" s="66" t="n"/>
      <c r="E63" s="22" t="inlineStr"/>
      <c r="F63" s="22" t="inlineStr"/>
      <c r="G63" s="73" t="inlineStr">
        <is>
          <t>Report baseline 2022 (g CO₂eq/kWh)</t>
        </is>
      </c>
      <c r="H63" s="74" t="n">
        <v>251</v>
      </c>
      <c r="I63" s="35" t="inlineStr">
        <is>
          <t>ESABCC (2024) “Towards EU climate neutrality”, underlying-data workbook — the report's own 2022 figure, the anchor the later years are spliced onto.</t>
        </is>
      </c>
    </row>
    <row r="64" ht="26" customHeight="1">
      <c r="A64" s="67" t="inlineStr"/>
      <c r="B64" s="22" t="inlineStr"/>
      <c r="C64" s="65" t="n"/>
      <c r="D64" s="66" t="n"/>
      <c r="E64" s="22" t="inlineStr"/>
      <c r="F64" s="22" t="inlineStr"/>
      <c r="G64" s="73" t="inlineStr">
        <is>
          <t>Live source at 2022 (same basis as the columns left)</t>
        </is>
      </c>
      <c r="H64" s="74" t="n">
        <v>0.000304</v>
      </c>
      <c r="I64" s="35" t="inlineStr">
        <is>
          <t>Eurostat env_air_gge CRF 1.A.1 ÷ nrg_bal_peh gross electricity production · EU27_2020 — the same query, read at 2022; dividing by it cancels the level difference between the source's scope and the report's, leaving only the year-on-year change.</t>
        </is>
      </c>
      <c r="J64" s="72" t="inlineStr">
        <is>
          <t>https://doi.org/10.2908/ENV_AIR_GGE</t>
        </is>
      </c>
    </row>
    <row r="65" ht="26" customHeight="1">
      <c r="A65" s="14" t="inlineStr">
        <is>
          <t>E3</t>
        </is>
      </c>
      <c r="B65" s="15" t="inlineStr">
        <is>
          <t>Average GHG intensity of EU electricity</t>
        </is>
      </c>
      <c r="C65" s="63" t="n">
        <v>2024</v>
      </c>
      <c r="D65" s="64" t="n">
        <v>187.4</v>
      </c>
      <c r="E65" s="15" t="inlineStr">
        <is>
          <t>Derived from the live source</t>
        </is>
      </c>
      <c r="F65" s="19" t="inlineStr">
        <is>
          <t>CONFIRMED — Reproduces from the primary source</t>
        </is>
      </c>
      <c r="G65" s="70" t="inlineStr">
        <is>
          <t>Numerator · env_air_gge CRF1A1</t>
        </is>
      </c>
      <c r="H65" s="71" t="n">
        <v>642.41481</v>
      </c>
      <c r="I65" s="34" t="inlineStr">
        <is>
          <t>Eurostat env_air_gge · geo=EU27_2020, unit=MIO_T, freq=A, airpol=GHG, src_crf=CRF1A1 · https://ec.europa.eu/eurostat/api/dissemination/statistics/1.0/data/env_air_gge?format=JSON&amp;lang=EN&amp;geo=EU27_2020&amp;unit=MIO_T&amp;freq=A&amp;airpol=GHG&amp;src_crf=CRF1A1</t>
        </is>
      </c>
      <c r="J65" s="72" t="inlineStr">
        <is>
          <t>https://doi.org/10.2908/ENV_AIR_GGE</t>
        </is>
      </c>
    </row>
    <row r="66" ht="26" customHeight="1">
      <c r="A66" s="14" t="inlineStr"/>
      <c r="B66" s="15" t="inlineStr"/>
      <c r="C66" s="63" t="n"/>
      <c r="D66" s="64" t="n"/>
      <c r="E66" s="15" t="inlineStr"/>
      <c r="F66" s="15" t="inlineStr"/>
      <c r="G66" s="70" t="inlineStr">
        <is>
          <t>Denominator · nrg_bal_peh TOTAL</t>
        </is>
      </c>
      <c r="H66" s="71" t="n">
        <v>2828734.401</v>
      </c>
      <c r="I66" s="34" t="inlineStr">
        <is>
          <t>Eurostat nrg_bal_peh · geo=EU27_2020, unit=GWH, freq=A, nrg_bal=GEP, siec=TOTAL · https://ec.europa.eu/eurostat/api/dissemination/statistics/1.0/data/nrg_bal_peh?format=JSON&amp;lang=EN&amp;geo=EU27_2020&amp;unit=GWH&amp;freq=A&amp;nrg_bal=GEP&amp;siec=TOTAL</t>
        </is>
      </c>
      <c r="J66" s="72" t="inlineStr">
        <is>
          <t>https://doi.org/10.2908/NRG_BAL_PEH</t>
        </is>
      </c>
    </row>
    <row r="67" ht="26" customHeight="1">
      <c r="A67" s="14" t="inlineStr"/>
      <c r="B67" s="15" t="inlineStr"/>
      <c r="C67" s="63" t="n"/>
      <c r="D67" s="64" t="n"/>
      <c r="E67" s="15" t="inlineStr"/>
      <c r="F67" s="15" t="inlineStr"/>
      <c r="G67" s="70" t="inlineStr">
        <is>
          <t>Report baseline 2022 (g CO₂eq/kWh)</t>
        </is>
      </c>
      <c r="H67" s="71" t="n">
        <v>251</v>
      </c>
      <c r="I67" s="34" t="inlineStr">
        <is>
          <t>ESABCC (2024) “Towards EU climate neutrality”, underlying-data workbook — the report's own 2022 figure, the anchor the later years are spliced onto.</t>
        </is>
      </c>
    </row>
    <row r="68" ht="26" customHeight="1">
      <c r="A68" s="14" t="inlineStr"/>
      <c r="B68" s="15" t="inlineStr"/>
      <c r="C68" s="63" t="n"/>
      <c r="D68" s="64" t="n"/>
      <c r="E68" s="15" t="inlineStr"/>
      <c r="F68" s="15" t="inlineStr"/>
      <c r="G68" s="70" t="inlineStr">
        <is>
          <t>Live source at 2022 (same basis as the columns left)</t>
        </is>
      </c>
      <c r="H68" s="71" t="n">
        <v>0.000304</v>
      </c>
      <c r="I68" s="34" t="inlineStr">
        <is>
          <t>Eurostat env_air_gge CRF 1.A.1 ÷ nrg_bal_peh gross electricity production · EU27_2020 — the same query, read at 2022; dividing by it cancels the level difference between the source's scope and the report's, leaving only the year-on-year change.</t>
        </is>
      </c>
      <c r="J68" s="72" t="inlineStr">
        <is>
          <t>https://doi.org/10.2908/ENV_AIR_GGE</t>
        </is>
      </c>
    </row>
    <row r="69" ht="22" customHeight="1">
      <c r="G69" s="3" t="inlineStr">
        <is>
          <t>Formula:  Value = IF(A &gt;= 2023, ROUND([Report baseline 2022 (g CO₂eq/kWh)] * ([Numerator · env_air_gge CRF1A1]) / ([Denominator · nrg_bal_peh TOTAL]) / [Live source at 2022 (same basis as the columns left)], 1), [Historical])</t>
        </is>
      </c>
    </row>
    <row r="70" ht="26" customHeight="1">
      <c r="A70" s="67" t="inlineStr">
        <is>
          <t>E4a</t>
        </is>
      </c>
      <c r="B70" s="22" t="inlineStr">
        <is>
          <t>Annual solar PV capacity additions (EU)</t>
        </is>
      </c>
      <c r="C70" s="65" t="n">
        <v>2022</v>
      </c>
      <c r="D70" s="66" t="n">
        <v>33.34</v>
      </c>
      <c r="E70" s="22" t="inlineStr">
        <is>
          <t>Taken as published</t>
        </is>
      </c>
      <c r="F70" s="29" t="inlineStr">
        <is>
          <t>NOT CHECKABLE — Published figure — source named, not re-derived</t>
        </is>
      </c>
      <c r="G70" s="73" t="inlineStr">
        <is>
          <t>(no calc inputs recorded)</t>
        </is>
      </c>
      <c r="H70" s="74" t="n"/>
      <c r="I70" s="35" t="inlineStr">
        <is>
          <t>Eurostat (nrg_inf_epcrw)</t>
        </is>
      </c>
    </row>
    <row r="71" ht="26" customHeight="1">
      <c r="A71" s="14" t="inlineStr">
        <is>
          <t>E4a</t>
        </is>
      </c>
      <c r="B71" s="15" t="inlineStr">
        <is>
          <t>Annual solar PV capacity additions (EU)</t>
        </is>
      </c>
      <c r="C71" s="63" t="n">
        <v>2023</v>
      </c>
      <c r="D71" s="64" t="n">
        <v>51.63</v>
      </c>
      <c r="E71" s="15" t="inlineStr">
        <is>
          <t>Taken as published</t>
        </is>
      </c>
      <c r="F71" s="33" t="inlineStr">
        <is>
          <t>NOT CHECKABLE — Published figure — source named, not re-derived</t>
        </is>
      </c>
      <c r="G71" s="70" t="inlineStr">
        <is>
          <t>Post-report figure as published</t>
        </is>
      </c>
      <c r="H71" s="71" t="n">
        <v>56</v>
      </c>
      <c r="I71" s="34" t="inlineStr">
        <is>
          <t>Eurostat (nrg_inf_epcrw); 2023+ SolarPower Europe, EU Market Outlook — https://ec.europa.eu/eurostat/databrowser/view/nrg_inf_epcrw/default/table</t>
        </is>
      </c>
      <c r="J71" s="72" t="inlineStr">
        <is>
          <t>https://www.solarpowereurope.org/insights/outlooks/eu-market-outlook-for-solar-power-2024-2028</t>
        </is>
      </c>
    </row>
    <row r="72" ht="26" customHeight="1">
      <c r="A72" s="67" t="inlineStr">
        <is>
          <t>E4a</t>
        </is>
      </c>
      <c r="B72" s="22" t="inlineStr">
        <is>
          <t>Annual solar PV capacity additions (EU)</t>
        </is>
      </c>
      <c r="C72" s="65" t="n">
        <v>2024</v>
      </c>
      <c r="D72" s="66" t="n">
        <v>60.96</v>
      </c>
      <c r="E72" s="22" t="inlineStr">
        <is>
          <t>Taken as published</t>
        </is>
      </c>
      <c r="F72" s="29" t="inlineStr">
        <is>
          <t>NOT CHECKABLE — Published figure — source named, not re-derived</t>
        </is>
      </c>
      <c r="G72" s="73" t="inlineStr">
        <is>
          <t>Post-report figure as published</t>
        </is>
      </c>
      <c r="H72" s="74" t="n">
        <v>65.5</v>
      </c>
      <c r="I72" s="35" t="inlineStr">
        <is>
          <t>Eurostat (nrg_inf_epcrw); 2023+ SolarPower Europe, EU Market Outlook — https://ec.europa.eu/eurostat/databrowser/view/nrg_inf_epcrw/default/table</t>
        </is>
      </c>
      <c r="J72" s="72" t="inlineStr">
        <is>
          <t>https://www.solarpowereurope.org/insights/outlooks/eu-market-outlook-for-solar-power-2024-2028</t>
        </is>
      </c>
    </row>
    <row r="73" ht="22" customHeight="1">
      <c r="G73" s="3" t="inlineStr">
        <is>
          <t>Formula:  Value = IF(A &gt;= 2023, [Post-report figure as published], ([Solar PV cumulative capacity (MW)] - [Solar PV cumulative capacity (MW) (previous year)]) / 1000.0)</t>
        </is>
      </c>
    </row>
    <row r="74" ht="26" customHeight="1">
      <c r="A74" s="14" t="inlineStr">
        <is>
          <t>E4b/c</t>
        </is>
      </c>
      <c r="B74" s="15" t="inlineStr">
        <is>
          <t>Annual wind capacity additions (EU)</t>
        </is>
      </c>
      <c r="C74" s="63" t="n">
        <v>2022</v>
      </c>
      <c r="D74" s="64" t="n">
        <v>15.88</v>
      </c>
      <c r="E74" s="15" t="inlineStr">
        <is>
          <t>Taken as published</t>
        </is>
      </c>
      <c r="F74" s="33" t="inlineStr">
        <is>
          <t>NOT CHECKABLE — Published figure — source named, not re-derived</t>
        </is>
      </c>
      <c r="G74" s="70" t="inlineStr">
        <is>
          <t>(no calc inputs recorded)</t>
        </is>
      </c>
      <c r="H74" s="71" t="n"/>
      <c r="I74" s="34" t="inlineStr">
        <is>
          <t>Eurostat (nrg_inf_epcrw)</t>
        </is>
      </c>
    </row>
    <row r="75" ht="26" customHeight="1">
      <c r="A75" s="67" t="inlineStr">
        <is>
          <t>E4b/c</t>
        </is>
      </c>
      <c r="B75" s="22" t="inlineStr">
        <is>
          <t>Annual wind capacity additions (EU)</t>
        </is>
      </c>
      <c r="C75" s="65" t="n">
        <v>2023</v>
      </c>
      <c r="D75" s="66" t="n">
        <v>12.12</v>
      </c>
      <c r="E75" s="22" t="inlineStr">
        <is>
          <t>Taken as published</t>
        </is>
      </c>
      <c r="F75" s="29" t="inlineStr">
        <is>
          <t>NOT CHECKABLE — Published figure — source named, not re-derived</t>
        </is>
      </c>
      <c r="G75" s="73" t="inlineStr">
        <is>
          <t>Post-report figure as published</t>
        </is>
      </c>
      <c r="H75" s="74" t="n">
        <v>16.2</v>
      </c>
      <c r="I75" s="35" t="inlineStr">
        <is>
          <t>Eurostat (nrg_inf_epcrw); 2023+ WindEurope annual statistics — https://ec.europa.eu/eurostat/databrowser/view/nrg_inf_epcrw/default/table</t>
        </is>
      </c>
      <c r="J75" s="72" t="inlineStr">
        <is>
          <t>https://windeurope.org/intelligence-platform/product/wind-energy-in-europe-2024-statistics-and-the-outlook-for-2025-2030/</t>
        </is>
      </c>
    </row>
    <row r="76" ht="26" customHeight="1">
      <c r="A76" s="14" t="inlineStr">
        <is>
          <t>E4b/c</t>
        </is>
      </c>
      <c r="B76" s="15" t="inlineStr">
        <is>
          <t>Annual wind capacity additions (EU)</t>
        </is>
      </c>
      <c r="C76" s="63" t="n">
        <v>2024</v>
      </c>
      <c r="D76" s="64" t="n">
        <v>15.32</v>
      </c>
      <c r="E76" s="15" t="inlineStr">
        <is>
          <t>Taken as published</t>
        </is>
      </c>
      <c r="F76" s="33" t="inlineStr">
        <is>
          <t>NOT CHECKABLE — Published figure — source named, not re-derived</t>
        </is>
      </c>
      <c r="G76" s="70" t="inlineStr">
        <is>
          <t>Post-report figure as published</t>
        </is>
      </c>
      <c r="H76" s="71" t="n">
        <v>12.9</v>
      </c>
      <c r="I76" s="34" t="inlineStr">
        <is>
          <t>Eurostat (nrg_inf_epcrw); 2023+ WindEurope annual statistics — https://ec.europa.eu/eurostat/databrowser/view/nrg_inf_epcrw/default/table</t>
        </is>
      </c>
      <c r="J76" s="72" t="inlineStr">
        <is>
          <t>https://windeurope.org/intelligence-platform/product/wind-energy-in-europe-2024-statistics-and-the-outlook-for-2025-2030/</t>
        </is>
      </c>
    </row>
    <row r="77" ht="22" customHeight="1">
      <c r="G77" s="3" t="inlineStr">
        <is>
          <t>Formula:  Value = IF(A &gt;= 2023, [Post-report figure as published], ([Onshore wind cumulative capacity (MW)] - [Onshore wind cumulative capacity (MW) (previous year)]) / 1000.0)</t>
        </is>
      </c>
    </row>
    <row r="78" ht="26" customHeight="1">
      <c r="A78" s="67" t="inlineStr">
        <is>
          <t>E5</t>
        </is>
      </c>
      <c r="B78" s="22" t="inlineStr">
        <is>
          <t>Electrification rate of final energy use</t>
        </is>
      </c>
      <c r="C78" s="65" t="n">
        <v>2022</v>
      </c>
      <c r="D78" s="66" t="n">
        <v>22.93</v>
      </c>
      <c r="E78" s="22" t="inlineStr">
        <is>
          <t>Taken as published</t>
        </is>
      </c>
      <c r="F78" s="29" t="inlineStr">
        <is>
          <t>NOT CHECKABLE — Published figure — source named, not re-derived</t>
        </is>
      </c>
      <c r="G78" s="73" t="inlineStr">
        <is>
          <t>(no calc inputs recorded)</t>
        </is>
      </c>
      <c r="H78" s="74" t="n"/>
      <c r="I78" s="35" t="inlineStr">
        <is>
          <t>Eurostat (nrg_bal_c)</t>
        </is>
      </c>
      <c r="J78" s="72" t="inlineStr">
        <is>
          <t>https://doi.org/10.2908/NRG_BAL_C</t>
        </is>
      </c>
    </row>
    <row r="79" ht="26" customHeight="1">
      <c r="A79" s="14" t="inlineStr">
        <is>
          <t>E5</t>
        </is>
      </c>
      <c r="B79" s="15" t="inlineStr">
        <is>
          <t>Electrification rate of final energy use</t>
        </is>
      </c>
      <c r="C79" s="63" t="n">
        <v>2023</v>
      </c>
      <c r="D79" s="64" t="n">
        <v>23.08</v>
      </c>
      <c r="E79" s="15" t="inlineStr">
        <is>
          <t>Taken as published</t>
        </is>
      </c>
      <c r="F79" s="33" t="inlineStr">
        <is>
          <t>NOT CHECKABLE — Published figure — source named, not re-derived</t>
        </is>
      </c>
      <c r="G79" s="70" t="inlineStr">
        <is>
          <t>(no calc inputs recorded)</t>
        </is>
      </c>
      <c r="H79" s="71" t="n"/>
      <c r="I79" s="34" t="inlineStr">
        <is>
          <t>Eurostat (nrg_bal_c)</t>
        </is>
      </c>
      <c r="J79" s="72" t="inlineStr">
        <is>
          <t>https://doi.org/10.2908/NRG_BAL_C</t>
        </is>
      </c>
    </row>
    <row r="80" ht="26" customHeight="1">
      <c r="A80" s="67" t="inlineStr">
        <is>
          <t>E5</t>
        </is>
      </c>
      <c r="B80" s="22" t="inlineStr">
        <is>
          <t>Electrification rate of final energy use</t>
        </is>
      </c>
      <c r="C80" s="65" t="n">
        <v>2024</v>
      </c>
      <c r="D80" s="66" t="n">
        <v>23.44</v>
      </c>
      <c r="E80" s="22" t="inlineStr">
        <is>
          <t>Taken as published</t>
        </is>
      </c>
      <c r="F80" s="29" t="inlineStr">
        <is>
          <t>NOT CHECKABLE — Published figure — source named, not re-derived</t>
        </is>
      </c>
      <c r="G80" s="73" t="inlineStr">
        <is>
          <t>(no calc inputs recorded)</t>
        </is>
      </c>
      <c r="H80" s="74" t="n"/>
      <c r="I80" s="35" t="inlineStr">
        <is>
          <t>Eurostat (nrg_bal_c)</t>
        </is>
      </c>
      <c r="J80" s="72" t="inlineStr">
        <is>
          <t>https://doi.org/10.2908/NRG_BAL_C</t>
        </is>
      </c>
    </row>
    <row r="81" ht="26" customHeight="1">
      <c r="A81" s="14" t="inlineStr">
        <is>
          <t>E6</t>
        </is>
      </c>
      <c r="B81" s="15" t="inlineStr">
        <is>
          <t>Energy-related methane emissions (EU-27)</t>
        </is>
      </c>
      <c r="C81" s="63" t="n">
        <v>2022</v>
      </c>
      <c r="D81" s="64" t="n">
        <v>64.45999999999999</v>
      </c>
      <c r="E81" s="15" t="inlineStr">
        <is>
          <t>Derived from the live source</t>
        </is>
      </c>
      <c r="F81" s="19" t="inlineStr">
        <is>
          <t>CONFIRMED — Reproduces from the primary source</t>
        </is>
      </c>
      <c r="G81" s="70" t="inlineStr">
        <is>
          <t>env_air_gge CRF1 CH4</t>
        </is>
      </c>
      <c r="H81" s="71" t="n">
        <v>2.07953</v>
      </c>
      <c r="I81" s="34" t="inlineStr">
        <is>
          <t>Eurostat env_air_gge · geo=EU27_2020, unit=MIO_T, freq=A, airpol=CH4, src_crf=CRF1 · https://ec.europa.eu/eurostat/api/dissemination/statistics/1.0/data/env_air_gge?format=JSON&amp;lang=EN&amp;geo=EU27_2020&amp;unit=MIO_T&amp;freq=A&amp;airpol=CH4&amp;src_crf=CRF1</t>
        </is>
      </c>
      <c r="J81" s="72" t="inlineStr">
        <is>
          <t>https://doi.org/10.2908/ENV_AIR_GGE</t>
        </is>
      </c>
    </row>
    <row r="82" ht="26" customHeight="1">
      <c r="A82" s="14" t="inlineStr"/>
      <c r="B82" s="15" t="inlineStr"/>
      <c r="C82" s="63" t="n"/>
      <c r="D82" s="64" t="n"/>
      <c r="E82" s="15" t="inlineStr"/>
      <c r="F82" s="15" t="inlineStr"/>
      <c r="G82" s="70" t="inlineStr">
        <is>
          <t>Report baseline 2021 (Mt CO₂eq)</t>
        </is>
      </c>
      <c r="H82" s="71" t="n">
        <v>69.91</v>
      </c>
      <c r="I82" s="34" t="inlineStr">
        <is>
          <t>ESABCC (2024) “Towards EU climate neutrality”, underlying-data workbook — the report's own 2021 figure, the anchor the later years are spliced onto.</t>
        </is>
      </c>
    </row>
    <row r="83" ht="26" customHeight="1">
      <c r="A83" s="14" t="inlineStr"/>
      <c r="B83" s="15" t="inlineStr"/>
      <c r="C83" s="63" t="n"/>
      <c r="D83" s="64" t="n"/>
      <c r="E83" s="15" t="inlineStr"/>
      <c r="F83" s="15" t="inlineStr"/>
      <c r="G83" s="70" t="inlineStr">
        <is>
          <t>Live source at 2021 (same basis as the columns left)</t>
        </is>
      </c>
      <c r="H83" s="71" t="n">
        <v>2.2554</v>
      </c>
      <c r="I83" s="34" t="inlineStr">
        <is>
          <t>Eurostat env_air_gge · CRF 1 energy CH₄ · EU27_2020 — the same query, read at 2021; dividing by it cancels the level difference between the source's scope and the report's, leaving only the year-on-year change.</t>
        </is>
      </c>
      <c r="J83" s="72" t="inlineStr">
        <is>
          <t>https://doi.org/10.2908/ENV_AIR_GGE</t>
        </is>
      </c>
    </row>
    <row r="84" ht="26" customHeight="1">
      <c r="A84" s="67" t="inlineStr">
        <is>
          <t>E6</t>
        </is>
      </c>
      <c r="B84" s="22" t="inlineStr">
        <is>
          <t>Energy-related methane emissions (EU-27)</t>
        </is>
      </c>
      <c r="C84" s="65" t="n">
        <v>2023</v>
      </c>
      <c r="D84" s="66" t="n">
        <v>60.05</v>
      </c>
      <c r="E84" s="22" t="inlineStr">
        <is>
          <t>Derived from the live source</t>
        </is>
      </c>
      <c r="F84" s="26" t="inlineStr">
        <is>
          <t>CONFIRMED — Reproduces from the primary source</t>
        </is>
      </c>
      <c r="G84" s="73" t="inlineStr">
        <is>
          <t>env_air_gge CRF1 CH4</t>
        </is>
      </c>
      <c r="H84" s="74" t="n">
        <v>1.93717</v>
      </c>
      <c r="I84" s="35" t="inlineStr">
        <is>
          <t>Eurostat env_air_gge · geo=EU27_2020, unit=MIO_T, freq=A, airpol=CH4, src_crf=CRF1 · https://ec.europa.eu/eurostat/api/dissemination/statistics/1.0/data/env_air_gge?format=JSON&amp;lang=EN&amp;geo=EU27_2020&amp;unit=MIO_T&amp;freq=A&amp;airpol=CH4&amp;src_crf=CRF1</t>
        </is>
      </c>
      <c r="J84" s="72" t="inlineStr">
        <is>
          <t>https://doi.org/10.2908/ENV_AIR_GGE</t>
        </is>
      </c>
    </row>
    <row r="85" ht="26" customHeight="1">
      <c r="A85" s="67" t="inlineStr"/>
      <c r="B85" s="22" t="inlineStr"/>
      <c r="C85" s="65" t="n"/>
      <c r="D85" s="66" t="n"/>
      <c r="E85" s="22" t="inlineStr"/>
      <c r="F85" s="22" t="inlineStr"/>
      <c r="G85" s="73" t="inlineStr">
        <is>
          <t>Report baseline 2021 (Mt CO₂eq)</t>
        </is>
      </c>
      <c r="H85" s="74" t="n">
        <v>69.91</v>
      </c>
      <c r="I85" s="35" t="inlineStr">
        <is>
          <t>ESABCC (2024) “Towards EU climate neutrality”, underlying-data workbook — the report's own 2021 figure, the anchor the later years are spliced onto.</t>
        </is>
      </c>
    </row>
    <row r="86" ht="26" customHeight="1">
      <c r="A86" s="67" t="inlineStr"/>
      <c r="B86" s="22" t="inlineStr"/>
      <c r="C86" s="65" t="n"/>
      <c r="D86" s="66" t="n"/>
      <c r="E86" s="22" t="inlineStr"/>
      <c r="F86" s="22" t="inlineStr"/>
      <c r="G86" s="73" t="inlineStr">
        <is>
          <t>Live source at 2021 (same basis as the columns left)</t>
        </is>
      </c>
      <c r="H86" s="74" t="n">
        <v>2.2554</v>
      </c>
      <c r="I86" s="35" t="inlineStr">
        <is>
          <t>Eurostat env_air_gge · CRF 1 energy CH₄ · EU27_2020 — the same query, read at 2021; dividing by it cancels the level difference between the source's scope and the report's, leaving only the year-on-year change.</t>
        </is>
      </c>
      <c r="J86" s="72" t="inlineStr">
        <is>
          <t>https://doi.org/10.2908/ENV_AIR_GGE</t>
        </is>
      </c>
    </row>
    <row r="87" ht="26" customHeight="1">
      <c r="A87" s="14" t="inlineStr">
        <is>
          <t>E6</t>
        </is>
      </c>
      <c r="B87" s="15" t="inlineStr">
        <is>
          <t>Energy-related methane emissions (EU-27)</t>
        </is>
      </c>
      <c r="C87" s="63" t="n">
        <v>2024</v>
      </c>
      <c r="D87" s="64" t="n">
        <v>57.77</v>
      </c>
      <c r="E87" s="15" t="inlineStr">
        <is>
          <t>Derived from the live source</t>
        </is>
      </c>
      <c r="F87" s="19" t="inlineStr">
        <is>
          <t>CONFIRMED — Reproduces from the primary source</t>
        </is>
      </c>
      <c r="G87" s="70" t="inlineStr">
        <is>
          <t>env_air_gge CRF1 CH4</t>
        </is>
      </c>
      <c r="H87" s="71" t="n">
        <v>1.8637</v>
      </c>
      <c r="I87" s="34" t="inlineStr">
        <is>
          <t>Eurostat env_air_gge · geo=EU27_2020, unit=MIO_T, freq=A, airpol=CH4, src_crf=CRF1 · https://ec.europa.eu/eurostat/api/dissemination/statistics/1.0/data/env_air_gge?format=JSON&amp;lang=EN&amp;geo=EU27_2020&amp;unit=MIO_T&amp;freq=A&amp;airpol=CH4&amp;src_crf=CRF1</t>
        </is>
      </c>
      <c r="J87" s="72" t="inlineStr">
        <is>
          <t>https://doi.org/10.2908/ENV_AIR_GGE</t>
        </is>
      </c>
    </row>
    <row r="88" ht="26" customHeight="1">
      <c r="A88" s="14" t="inlineStr"/>
      <c r="B88" s="15" t="inlineStr"/>
      <c r="C88" s="63" t="n"/>
      <c r="D88" s="64" t="n"/>
      <c r="E88" s="15" t="inlineStr"/>
      <c r="F88" s="15" t="inlineStr"/>
      <c r="G88" s="70" t="inlineStr">
        <is>
          <t>Report baseline 2021 (Mt CO₂eq)</t>
        </is>
      </c>
      <c r="H88" s="71" t="n">
        <v>69.91</v>
      </c>
      <c r="I88" s="34" t="inlineStr">
        <is>
          <t>ESABCC (2024) “Towards EU climate neutrality”, underlying-data workbook — the report's own 2021 figure, the anchor the later years are spliced onto.</t>
        </is>
      </c>
    </row>
    <row r="89" ht="26" customHeight="1">
      <c r="A89" s="14" t="inlineStr"/>
      <c r="B89" s="15" t="inlineStr"/>
      <c r="C89" s="63" t="n"/>
      <c r="D89" s="64" t="n"/>
      <c r="E89" s="15" t="inlineStr"/>
      <c r="F89" s="15" t="inlineStr"/>
      <c r="G89" s="70" t="inlineStr">
        <is>
          <t>Live source at 2021 (same basis as the columns left)</t>
        </is>
      </c>
      <c r="H89" s="71" t="n">
        <v>2.2554</v>
      </c>
      <c r="I89" s="34" t="inlineStr">
        <is>
          <t>Eurostat env_air_gge · CRF 1 energy CH₄ · EU27_2020 — the same query, read at 2021; dividing by it cancels the level difference between the source's scope and the report's, leaving only the year-on-year change.</t>
        </is>
      </c>
      <c r="J89" s="72" t="inlineStr">
        <is>
          <t>https://doi.org/10.2908/ENV_AIR_GGE</t>
        </is>
      </c>
    </row>
    <row r="90" ht="22" customHeight="1">
      <c r="G90" s="3" t="inlineStr">
        <is>
          <t>Formula:  Value = IF(A &gt;= 2022, ROUND([Report baseline 2021 (Mt CO₂eq)] * [env_air_gge CRF1 CH4] / [Live source at 2021 (same basis as the columns left)], 2), ([Fuel combustion]+[Fugitive - solid fuels]+[Fugitive - other]))</t>
        </is>
      </c>
    </row>
    <row r="91" ht="26" customHeight="1">
      <c r="A91" s="67" t="inlineStr">
        <is>
          <t>I1</t>
        </is>
      </c>
      <c r="B91" s="22" t="inlineStr">
        <is>
          <t>Industrial GHG emissions</t>
        </is>
      </c>
      <c r="C91" s="65" t="n">
        <v>2023</v>
      </c>
      <c r="D91" s="66" t="n">
        <v>622.1</v>
      </c>
      <c r="E91" s="22" t="inlineStr">
        <is>
          <t>Derived from the live source</t>
        </is>
      </c>
      <c r="F91" s="26" t="inlineStr">
        <is>
          <t>CONFIRMED — Reproduces from the primary source</t>
        </is>
      </c>
      <c r="G91" s="73" t="inlineStr">
        <is>
          <t>env_air_gge CRF1A2</t>
        </is>
      </c>
      <c r="H91" s="74" t="n">
        <v>358.77037</v>
      </c>
      <c r="I91" s="35" t="inlineStr">
        <is>
          <t>Eurostat env_air_gge · geo=EU27_2020, unit=MIO_T, freq=A, airpol=GHG, src_crf=CRF1A2 · https://ec.europa.eu/eurostat/api/dissemination/statistics/1.0/data/env_air_gge?format=JSON&amp;lang=EN&amp;geo=EU27_2020&amp;unit=MIO_T&amp;freq=A&amp;airpol=GHG&amp;src_crf=CRF1A2</t>
        </is>
      </c>
      <c r="J91" s="72" t="inlineStr">
        <is>
          <t>https://doi.org/10.2908/ENV_AIR_GGE</t>
        </is>
      </c>
    </row>
    <row r="92" ht="26" customHeight="1">
      <c r="A92" s="67" t="inlineStr"/>
      <c r="B92" s="22" t="inlineStr"/>
      <c r="C92" s="65" t="n"/>
      <c r="D92" s="66" t="n"/>
      <c r="E92" s="22" t="inlineStr"/>
      <c r="F92" s="22" t="inlineStr"/>
      <c r="G92" s="73" t="inlineStr">
        <is>
          <t>env_air_gge CRF2</t>
        </is>
      </c>
      <c r="H92" s="74" t="n">
        <v>263.32847</v>
      </c>
      <c r="I92" s="35" t="inlineStr">
        <is>
          <t>Eurostat env_air_gge · geo=EU27_2020, unit=MIO_T, freq=A, airpol=GHG, src_crf=CRF2 · https://ec.europa.eu/eurostat/api/dissemination/statistics/1.0/data/env_air_gge?format=JSON&amp;lang=EN&amp;geo=EU27_2020&amp;unit=MIO_T&amp;freq=A&amp;airpol=GHG&amp;src_crf=CRF2</t>
        </is>
      </c>
      <c r="J92" s="72" t="inlineStr">
        <is>
          <t>https://doi.org/10.2908/ENV_AIR_GGE</t>
        </is>
      </c>
    </row>
    <row r="93" ht="26" customHeight="1">
      <c r="A93" s="14" t="inlineStr">
        <is>
          <t>I1</t>
        </is>
      </c>
      <c r="B93" s="15" t="inlineStr">
        <is>
          <t>Industrial GHG emissions</t>
        </is>
      </c>
      <c r="C93" s="63" t="n">
        <v>2024</v>
      </c>
      <c r="D93" s="64" t="n">
        <v>611.4</v>
      </c>
      <c r="E93" s="15" t="inlineStr">
        <is>
          <t>Derived from the live source</t>
        </is>
      </c>
      <c r="F93" s="19" t="inlineStr">
        <is>
          <t>CONFIRMED — Reproduces from the primary source</t>
        </is>
      </c>
      <c r="G93" s="70" t="inlineStr">
        <is>
          <t>env_air_gge CRF1A2</t>
        </is>
      </c>
      <c r="H93" s="71" t="n">
        <v>351.56216</v>
      </c>
      <c r="I93" s="34" t="inlineStr">
        <is>
          <t>Eurostat env_air_gge · geo=EU27_2020, unit=MIO_T, freq=A, airpol=GHG, src_crf=CRF1A2 · https://ec.europa.eu/eurostat/api/dissemination/statistics/1.0/data/env_air_gge?format=JSON&amp;lang=EN&amp;geo=EU27_2020&amp;unit=MIO_T&amp;freq=A&amp;airpol=GHG&amp;src_crf=CRF1A2</t>
        </is>
      </c>
      <c r="J93" s="72" t="inlineStr">
        <is>
          <t>https://doi.org/10.2908/ENV_AIR_GGE</t>
        </is>
      </c>
    </row>
    <row r="94" ht="26" customHeight="1">
      <c r="A94" s="14" t="inlineStr"/>
      <c r="B94" s="15" t="inlineStr"/>
      <c r="C94" s="63" t="n"/>
      <c r="D94" s="64" t="n"/>
      <c r="E94" s="15" t="inlineStr"/>
      <c r="F94" s="15" t="inlineStr"/>
      <c r="G94" s="70" t="inlineStr">
        <is>
          <t>env_air_gge CRF2</t>
        </is>
      </c>
      <c r="H94" s="71" t="n">
        <v>259.86627</v>
      </c>
      <c r="I94" s="34" t="inlineStr">
        <is>
          <t>Eurostat env_air_gge · geo=EU27_2020, unit=MIO_T, freq=A, airpol=GHG, src_crf=CRF2 · https://ec.europa.eu/eurostat/api/dissemination/statistics/1.0/data/env_air_gge?format=JSON&amp;lang=EN&amp;geo=EU27_2020&amp;unit=MIO_T&amp;freq=A&amp;airpol=GHG&amp;src_crf=CRF2</t>
        </is>
      </c>
      <c r="J94" s="72" t="inlineStr">
        <is>
          <t>https://doi.org/10.2908/ENV_AIR_GGE</t>
        </is>
      </c>
    </row>
    <row r="95" ht="22" customHeight="1">
      <c r="G95" s="3" t="inlineStr">
        <is>
          <t>Formula:  Value = IF(A &gt;= 2023, ROUND(([env_air_gge CRF1A2] + [env_air_gge CRF2]), 1), ([1.A.2 - Manufacturing Industries and Construction]+[2 - Industrial Processes and Product Use])/1000)</t>
        </is>
      </c>
    </row>
    <row r="96" ht="26" customHeight="1">
      <c r="A96" s="67" t="inlineStr">
        <is>
          <t>I3</t>
        </is>
      </c>
      <c r="B96" s="22" t="inlineStr">
        <is>
          <t>Circular material use rate (EU)</t>
        </is>
      </c>
      <c r="C96" s="65" t="n">
        <v>2022</v>
      </c>
      <c r="D96" s="66" t="n">
        <v>11.4</v>
      </c>
      <c r="E96" s="22" t="inlineStr">
        <is>
          <t>Derived from the live source</t>
        </is>
      </c>
      <c r="F96" s="26" t="inlineStr">
        <is>
          <t>CONFIRMED — Reproduces from the primary source</t>
        </is>
      </c>
      <c r="G96" s="73" t="inlineStr">
        <is>
          <t>cei_srm030 PC</t>
        </is>
      </c>
      <c r="H96" s="74" t="n">
        <v>11.4</v>
      </c>
      <c r="I96" s="35" t="inlineStr">
        <is>
          <t>Eurostat cei_srm030 · geo=EU27_2020, unit=PC · https://ec.europa.eu/eurostat/api/dissemination/statistics/1.0/data/cei_srm030?format=JSON&amp;lang=EN&amp;geo=EU27_2020&amp;unit=PC</t>
        </is>
      </c>
      <c r="J96" s="72" t="inlineStr">
        <is>
          <t>https://doi.org/10.2908/CEI_SRM030</t>
        </is>
      </c>
    </row>
    <row r="97" ht="26" customHeight="1">
      <c r="A97" s="67" t="inlineStr"/>
      <c r="B97" s="22" t="inlineStr"/>
      <c r="C97" s="65" t="n"/>
      <c r="D97" s="66" t="n"/>
      <c r="E97" s="22" t="inlineStr"/>
      <c r="F97" s="22" t="inlineStr"/>
      <c r="G97" s="73" t="inlineStr">
        <is>
          <t>fraction → % (× 100)</t>
        </is>
      </c>
      <c r="H97" s="74" t="n">
        <v>100</v>
      </c>
      <c r="I97" s="35" t="inlineStr">
        <is>
          <t>Unit convention: the report workbook computes this share as a fraction, the indicator database stores it as a percent number (migrations 058 / 075 / 076). The conversion is carried here as its own column so the grid and the plotted series agree.</t>
        </is>
      </c>
    </row>
    <row r="98" ht="26" customHeight="1">
      <c r="A98" s="14" t="inlineStr">
        <is>
          <t>I3</t>
        </is>
      </c>
      <c r="B98" s="15" t="inlineStr">
        <is>
          <t>Circular material use rate (EU)</t>
        </is>
      </c>
      <c r="C98" s="63" t="n">
        <v>2023</v>
      </c>
      <c r="D98" s="64" t="n">
        <v>12.1</v>
      </c>
      <c r="E98" s="15" t="inlineStr">
        <is>
          <t>Derived from the live source</t>
        </is>
      </c>
      <c r="F98" s="19" t="inlineStr">
        <is>
          <t>CONFIRMED — Reproduces from the primary source</t>
        </is>
      </c>
      <c r="G98" s="70" t="inlineStr">
        <is>
          <t>cei_srm030 PC</t>
        </is>
      </c>
      <c r="H98" s="71" t="n">
        <v>12.1</v>
      </c>
      <c r="I98" s="34" t="inlineStr">
        <is>
          <t>Eurostat cei_srm030 · geo=EU27_2020, unit=PC · https://ec.europa.eu/eurostat/api/dissemination/statistics/1.0/data/cei_srm030?format=JSON&amp;lang=EN&amp;geo=EU27_2020&amp;unit=PC</t>
        </is>
      </c>
      <c r="J98" s="72" t="inlineStr">
        <is>
          <t>https://doi.org/10.2908/CEI_SRM030</t>
        </is>
      </c>
    </row>
    <row r="99" ht="26" customHeight="1">
      <c r="A99" s="14" t="inlineStr"/>
      <c r="B99" s="15" t="inlineStr"/>
      <c r="C99" s="63" t="n"/>
      <c r="D99" s="64" t="n"/>
      <c r="E99" s="15" t="inlineStr"/>
      <c r="F99" s="15" t="inlineStr"/>
      <c r="G99" s="70" t="inlineStr">
        <is>
          <t>fraction → % (× 100)</t>
        </is>
      </c>
      <c r="H99" s="71" t="n">
        <v>100</v>
      </c>
      <c r="I99" s="34" t="inlineStr">
        <is>
          <t>Unit convention: the report workbook computes this share as a fraction, the indicator database stores it as a percent number (migrations 058 / 075 / 076). The conversion is carried here as its own column so the grid and the plotted series agree.</t>
        </is>
      </c>
    </row>
    <row r="100" ht="26" customHeight="1">
      <c r="A100" s="67" t="inlineStr">
        <is>
          <t>I3</t>
        </is>
      </c>
      <c r="B100" s="22" t="inlineStr">
        <is>
          <t>Circular material use rate (EU)</t>
        </is>
      </c>
      <c r="C100" s="65" t="n">
        <v>2024</v>
      </c>
      <c r="D100" s="66" t="n">
        <v>12.2</v>
      </c>
      <c r="E100" s="22" t="inlineStr">
        <is>
          <t>Derived from the live source</t>
        </is>
      </c>
      <c r="F100" s="26" t="inlineStr">
        <is>
          <t>CONFIRMED — Reproduces from the primary source</t>
        </is>
      </c>
      <c r="G100" s="73" t="inlineStr">
        <is>
          <t>cei_srm030 PC</t>
        </is>
      </c>
      <c r="H100" s="74" t="n">
        <v>12.2</v>
      </c>
      <c r="I100" s="35" t="inlineStr">
        <is>
          <t>Eurostat cei_srm030 · geo=EU27_2020, unit=PC · https://ec.europa.eu/eurostat/api/dissemination/statistics/1.0/data/cei_srm030?format=JSON&amp;lang=EN&amp;geo=EU27_2020&amp;unit=PC</t>
        </is>
      </c>
      <c r="J100" s="72" t="inlineStr">
        <is>
          <t>https://doi.org/10.2908/CEI_SRM030</t>
        </is>
      </c>
    </row>
    <row r="101" ht="26" customHeight="1">
      <c r="A101" s="67" t="inlineStr"/>
      <c r="B101" s="22" t="inlineStr"/>
      <c r="C101" s="65" t="n"/>
      <c r="D101" s="66" t="n"/>
      <c r="E101" s="22" t="inlineStr"/>
      <c r="F101" s="22" t="inlineStr"/>
      <c r="G101" s="73" t="inlineStr">
        <is>
          <t>fraction → % (× 100)</t>
        </is>
      </c>
      <c r="H101" s="74" t="n">
        <v>100</v>
      </c>
      <c r="I101" s="35" t="inlineStr">
        <is>
          <t>Unit convention: the report workbook computes this share as a fraction, the indicator database stores it as a percent number (migrations 058 / 075 / 076). The conversion is carried here as its own column so the grid and the plotted series agree.</t>
        </is>
      </c>
    </row>
    <row r="102" ht="22" customHeight="1">
      <c r="G102" s="3" t="inlineStr">
        <is>
          <t>Formula:  Value = IF(A &gt;= 2022, ROUND([cei_srm030 PC], 1), ([Report figure (2024 report underlying data)]) * [fraction → % (× 100)])</t>
        </is>
      </c>
    </row>
    <row r="103" ht="26" customHeight="1">
      <c r="A103" s="14" t="inlineStr">
        <is>
          <t>I5</t>
        </is>
      </c>
      <c r="B103" s="15" t="inlineStr">
        <is>
          <t>Industrial final energy consumption (EU)</t>
        </is>
      </c>
      <c r="C103" s="63" t="n">
        <v>2022</v>
      </c>
      <c r="D103" s="64" t="n">
        <v>2638.9</v>
      </c>
      <c r="E103" s="15" t="inlineStr">
        <is>
          <t>Reconstructed from the sheet's own conversion</t>
        </is>
      </c>
      <c r="F103" s="33" t="inlineStr">
        <is>
          <t>NOT CHECKABLE — Published figure — source named, not re-derived</t>
        </is>
      </c>
      <c r="G103" s="70" t="inlineStr">
        <is>
          <t>Total</t>
        </is>
      </c>
      <c r="H103" s="71" t="n">
        <v>225.9501289767842</v>
      </c>
      <c r="I103" s="34" t="inlineStr">
        <is>
          <t>Eurostat energy balances</t>
        </is>
      </c>
    </row>
    <row r="104" ht="26" customHeight="1">
      <c r="A104" s="67" t="inlineStr">
        <is>
          <t>I5</t>
        </is>
      </c>
      <c r="B104" s="22" t="inlineStr">
        <is>
          <t>Industrial final energy consumption (EU)</t>
        </is>
      </c>
      <c r="C104" s="65" t="n">
        <v>2023</v>
      </c>
      <c r="D104" s="66" t="n">
        <v>2501.3</v>
      </c>
      <c r="E104" s="22" t="inlineStr">
        <is>
          <t>Reconstructed from the sheet's own conversion</t>
        </is>
      </c>
      <c r="F104" s="29" t="inlineStr">
        <is>
          <t>NOT CHECKABLE — Published figure — source named, not re-derived</t>
        </is>
      </c>
      <c r="G104" s="73" t="inlineStr">
        <is>
          <t>Total</t>
        </is>
      </c>
      <c r="H104" s="74" t="n">
        <v>214.7205503009458</v>
      </c>
      <c r="I104" s="35" t="inlineStr">
        <is>
          <t>Eurostat energy balances</t>
        </is>
      </c>
    </row>
    <row r="105" ht="22" customHeight="1">
      <c r="G105" s="3" t="inlineStr">
        <is>
          <t>Formula:  Value = [Total]*(11.630000000000003)</t>
        </is>
      </c>
    </row>
    <row r="106" ht="26" customHeight="1">
      <c r="A106" s="14" t="inlineStr">
        <is>
          <t>I6</t>
        </is>
      </c>
      <c r="B106" s="15" t="inlineStr">
        <is>
          <t>Electricity share of industrial final energy use</t>
        </is>
      </c>
      <c r="C106" s="63" t="n">
        <v>2022</v>
      </c>
      <c r="D106" s="64" t="n">
        <v>33.62</v>
      </c>
      <c r="E106" s="15" t="inlineStr">
        <is>
          <t>Taken as published</t>
        </is>
      </c>
      <c r="F106" s="19" t="inlineStr">
        <is>
          <t>CONFIRMED — Reproduces from the primary source</t>
        </is>
      </c>
      <c r="G106" s="70" t="inlineStr">
        <is>
          <t>Post-report figure as published</t>
        </is>
      </c>
      <c r="H106" s="71" t="n">
        <v>33.3</v>
      </c>
      <c r="I106" s="34" t="inlineStr">
        <is>
          <t>Eurostat (nrg_bal_c) — https://ec.europa.eu/eurostat/databrowser/view/nrg_bal_c/default/table</t>
        </is>
      </c>
      <c r="J106" s="72" t="inlineStr">
        <is>
          <t>https://doi.org/10.2908/NRG_BAL_C</t>
        </is>
      </c>
    </row>
    <row r="107" ht="26" customHeight="1">
      <c r="A107" s="14" t="inlineStr"/>
      <c r="B107" s="15" t="inlineStr"/>
      <c r="C107" s="63" t="n"/>
      <c r="D107" s="64" t="n"/>
      <c r="E107" s="15" t="inlineStr"/>
      <c r="F107" s="15" t="inlineStr"/>
      <c r="G107" s="70" t="inlineStr">
        <is>
          <t>fraction → % (× 100)</t>
        </is>
      </c>
      <c r="H107" s="71" t="n">
        <v>100</v>
      </c>
      <c r="I107" s="34" t="inlineStr">
        <is>
          <t>Unit convention: the report workbook computes this share as a fraction, the indicator database stores it as a percent number (migrations 058 / 075 / 076). The conversion is carried here as its own column so the grid and the plotted series agree.</t>
        </is>
      </c>
    </row>
    <row r="108" ht="26" customHeight="1">
      <c r="A108" s="67" t="inlineStr">
        <is>
          <t>I6</t>
        </is>
      </c>
      <c r="B108" s="22" t="inlineStr">
        <is>
          <t>Electricity share of industrial final energy use</t>
        </is>
      </c>
      <c r="C108" s="65" t="n">
        <v>2023</v>
      </c>
      <c r="D108" s="66" t="n">
        <v>33.59</v>
      </c>
      <c r="E108" s="22" t="inlineStr">
        <is>
          <t>Taken as published</t>
        </is>
      </c>
      <c r="F108" s="48" t="inlineStr">
        <is>
          <t>REVISION — 2–5% off the source — see the fact-check</t>
        </is>
      </c>
      <c r="G108" s="73" t="inlineStr">
        <is>
          <t>Post-report figure as published</t>
        </is>
      </c>
      <c r="H108" s="74" t="n">
        <v>32.6</v>
      </c>
      <c r="I108" s="35" t="inlineStr">
        <is>
          <t>Eurostat (nrg_bal_c) — https://ec.europa.eu/eurostat/databrowser/view/nrg_bal_c/default/table</t>
        </is>
      </c>
      <c r="J108" s="72" t="inlineStr">
        <is>
          <t>https://doi.org/10.2908/NRG_BAL_C</t>
        </is>
      </c>
    </row>
    <row r="109" ht="26" customHeight="1">
      <c r="A109" s="67" t="inlineStr"/>
      <c r="B109" s="22" t="inlineStr"/>
      <c r="C109" s="65" t="n"/>
      <c r="D109" s="66" t="n"/>
      <c r="E109" s="22" t="inlineStr"/>
      <c r="F109" s="22" t="inlineStr"/>
      <c r="G109" s="73" t="inlineStr">
        <is>
          <t>fraction → % (× 100)</t>
        </is>
      </c>
      <c r="H109" s="74" t="n">
        <v>100</v>
      </c>
      <c r="I109" s="35" t="inlineStr">
        <is>
          <t>Unit convention: the report workbook computes this share as a fraction, the indicator database stores it as a percent number (migrations 058 / 075 / 076). The conversion is carried here as its own column so the grid and the plotted series agree.</t>
        </is>
      </c>
    </row>
    <row r="110" ht="26" customHeight="1">
      <c r="A110" s="14" t="inlineStr">
        <is>
          <t>I6</t>
        </is>
      </c>
      <c r="B110" s="15" t="inlineStr">
        <is>
          <t>Electricity share of industrial final energy use</t>
        </is>
      </c>
      <c r="C110" s="63" t="n">
        <v>2024</v>
      </c>
      <c r="D110" s="64" t="n">
        <v>34.02</v>
      </c>
      <c r="E110" s="15" t="inlineStr">
        <is>
          <t>Taken as published</t>
        </is>
      </c>
      <c r="F110" s="33" t="inlineStr">
        <is>
          <t>NOT CHECKABLE — Published figure — source named, not re-derived</t>
        </is>
      </c>
      <c r="G110" s="70" t="inlineStr">
        <is>
          <t>(no calc inputs recorded)</t>
        </is>
      </c>
      <c r="H110" s="71" t="n"/>
      <c r="I110" s="34" t="inlineStr">
        <is>
          <t>Eurostat (nrg_bal_c)</t>
        </is>
      </c>
      <c r="J110" s="72" t="inlineStr">
        <is>
          <t>https://doi.org/10.2908/NRG_BAL_C</t>
        </is>
      </c>
    </row>
    <row r="111" ht="22" customHeight="1">
      <c r="G111" s="3" t="inlineStr">
        <is>
          <t>Formula:  Value = IF(A &gt;= 2022, [Post-report figure as published], ([electricity]/[Total energy use]) * [fraction → % (× 100)])</t>
        </is>
      </c>
    </row>
    <row r="112" ht="26" customHeight="1">
      <c r="A112" s="67" t="inlineStr">
        <is>
          <t>T1</t>
        </is>
      </c>
      <c r="B112" s="22" t="inlineStr">
        <is>
          <t>Transport GHG emissions (EU)</t>
        </is>
      </c>
      <c r="C112" s="65" t="n">
        <v>2023</v>
      </c>
      <c r="D112" s="66" t="n">
        <v>901.9</v>
      </c>
      <c r="E112" s="22" t="inlineStr">
        <is>
          <t>Derived from the live source</t>
        </is>
      </c>
      <c r="F112" s="26" t="inlineStr">
        <is>
          <t>CONFIRMED — Reproduces from the primary source</t>
        </is>
      </c>
      <c r="G112" s="73" t="inlineStr">
        <is>
          <t>env_air_gge CRF1A3</t>
        </is>
      </c>
      <c r="H112" s="74" t="n">
        <v>795.6403800000001</v>
      </c>
      <c r="I112" s="35" t="inlineStr">
        <is>
          <t>Eurostat env_air_gge · geo=EU27_2020, unit=MIO_T, freq=A, airpol=GHG, src_crf=CRF1A3 · https://ec.europa.eu/eurostat/api/dissemination/statistics/1.0/data/env_air_gge?format=JSON&amp;lang=EN&amp;geo=EU27_2020&amp;unit=MIO_T&amp;freq=A&amp;airpol=GHG&amp;src_crf=CRF1A3</t>
        </is>
      </c>
      <c r="J112" s="72" t="inlineStr">
        <is>
          <t>https://doi.org/10.2908/ENV_AIR_GGE</t>
        </is>
      </c>
    </row>
    <row r="113" ht="26" customHeight="1">
      <c r="A113" s="67" t="inlineStr"/>
      <c r="B113" s="22" t="inlineStr"/>
      <c r="C113" s="65" t="n"/>
      <c r="D113" s="66" t="n"/>
      <c r="E113" s="22" t="inlineStr"/>
      <c r="F113" s="22" t="inlineStr"/>
      <c r="G113" s="73" t="inlineStr">
        <is>
          <t>env_air_gge CRF1D1A</t>
        </is>
      </c>
      <c r="H113" s="74" t="n">
        <v>122.75595</v>
      </c>
      <c r="I113" s="35" t="inlineStr">
        <is>
          <t>Eurostat env_air_gge · geo=EU27_2020, unit=MIO_T, freq=A, airpol=GHG, src_crf=CRF1D1A · https://ec.europa.eu/eurostat/api/dissemination/statistics/1.0/data/env_air_gge?format=JSON&amp;lang=EN&amp;geo=EU27_2020&amp;unit=MIO_T&amp;freq=A&amp;airpol=GHG&amp;src_crf=CRF1D1A</t>
        </is>
      </c>
      <c r="J113" s="72" t="inlineStr">
        <is>
          <t>https://doi.org/10.2908/ENV_AIR_GGE</t>
        </is>
      </c>
    </row>
    <row r="114" ht="26" customHeight="1">
      <c r="A114" s="14" t="inlineStr">
        <is>
          <t>T1</t>
        </is>
      </c>
      <c r="B114" s="15" t="inlineStr">
        <is>
          <t>Transport GHG emissions (EU)</t>
        </is>
      </c>
      <c r="C114" s="63" t="n">
        <v>2024</v>
      </c>
      <c r="D114" s="64" t="n">
        <v>920</v>
      </c>
      <c r="E114" s="15" t="inlineStr">
        <is>
          <t>Derived from the live source</t>
        </is>
      </c>
      <c r="F114" s="19" t="inlineStr">
        <is>
          <t>CONFIRMED — Reproduces from the primary source</t>
        </is>
      </c>
      <c r="G114" s="70" t="inlineStr">
        <is>
          <t>env_air_gge CRF1A3</t>
        </is>
      </c>
      <c r="H114" s="71" t="n">
        <v>804.76405</v>
      </c>
      <c r="I114" s="34" t="inlineStr">
        <is>
          <t>Eurostat env_air_gge · geo=EU27_2020, unit=MIO_T, freq=A, airpol=GHG, src_crf=CRF1A3 · https://ec.europa.eu/eurostat/api/dissemination/statistics/1.0/data/env_air_gge?format=JSON&amp;lang=EN&amp;geo=EU27_2020&amp;unit=MIO_T&amp;freq=A&amp;airpol=GHG&amp;src_crf=CRF1A3</t>
        </is>
      </c>
      <c r="J114" s="72" t="inlineStr">
        <is>
          <t>https://doi.org/10.2908/ENV_AIR_GGE</t>
        </is>
      </c>
    </row>
    <row r="115" ht="26" customHeight="1">
      <c r="A115" s="14" t="inlineStr"/>
      <c r="B115" s="15" t="inlineStr"/>
      <c r="C115" s="63" t="n"/>
      <c r="D115" s="64" t="n"/>
      <c r="E115" s="15" t="inlineStr"/>
      <c r="F115" s="15" t="inlineStr"/>
      <c r="G115" s="70" t="inlineStr">
        <is>
          <t>env_air_gge CRF1D1A</t>
        </is>
      </c>
      <c r="H115" s="71" t="n">
        <v>129.98166</v>
      </c>
      <c r="I115" s="34" t="inlineStr">
        <is>
          <t>Eurostat env_air_gge · geo=EU27_2020, unit=MIO_T, freq=A, airpol=GHG, src_crf=CRF1D1A · https://ec.europa.eu/eurostat/api/dissemination/statistics/1.0/data/env_air_gge?format=JSON&amp;lang=EN&amp;geo=EU27_2020&amp;unit=MIO_T&amp;freq=A&amp;airpol=GHG&amp;src_crf=CRF1D1A</t>
        </is>
      </c>
      <c r="J115" s="72" t="inlineStr">
        <is>
          <t>https://doi.org/10.2908/ENV_AIR_GGE</t>
        </is>
      </c>
    </row>
    <row r="116" ht="22" customHeight="1">
      <c r="G116" s="3" t="inlineStr">
        <is>
          <t>Formula:  Value = IF(A &gt;= 2022, IF(A &gt;= 2023, ROUND(([env_air_gge CRF1A3] + [env_air_gge CRF1D1A]), 1), [Report figure — row missing from the seeded grid]), [Road - cars and motorcycles]+[Road - HDV and buses]+[Road - Light Duty Trucks]+[- of which Railways, IWW]+[Aviation]+[- of which Other])</t>
        </is>
      </c>
    </row>
    <row r="117" ht="26" customHeight="1">
      <c r="A117" s="67" t="inlineStr">
        <is>
          <t>T2a</t>
        </is>
      </c>
      <c r="B117" s="22" t="inlineStr">
        <is>
          <t>Total passenger transport demand</t>
        </is>
      </c>
      <c r="C117" s="65" t="n">
        <v>2022</v>
      </c>
      <c r="D117" s="66" t="n">
        <v>5625.2</v>
      </c>
      <c r="E117" s="22" t="inlineStr">
        <is>
          <t>Taken as published</t>
        </is>
      </c>
      <c r="F117" s="29" t="inlineStr">
        <is>
          <t>NOT CHECKABLE — Published figure — source named, not re-derived</t>
        </is>
      </c>
      <c r="G117" s="73" t="inlineStr">
        <is>
          <t>Post-report figure as published</t>
        </is>
      </c>
      <c r="H117" s="74" t="n">
        <v>5617</v>
      </c>
      <c r="I117" s="35" t="inlineStr">
        <is>
          <t>European Commission, DG MOVE — EU transport in figures: statistical pocketbook — https://transport.ec.europa.eu/facts-funding/studies-data/eu-transport-figures-statistical-pocketbook_en</t>
        </is>
      </c>
    </row>
    <row r="118" ht="26" customHeight="1">
      <c r="A118" s="14" t="inlineStr">
        <is>
          <t>T2a</t>
        </is>
      </c>
      <c r="B118" s="15" t="inlineStr">
        <is>
          <t>Total passenger transport demand</t>
        </is>
      </c>
      <c r="C118" s="63" t="n">
        <v>2023</v>
      </c>
      <c r="D118" s="64" t="n">
        <v>5932</v>
      </c>
      <c r="E118" s="15" t="inlineStr">
        <is>
          <t>Taken as published</t>
        </is>
      </c>
      <c r="F118" s="33" t="inlineStr">
        <is>
          <t>NOT CHECKABLE — Published figure — source named, not re-derived</t>
        </is>
      </c>
      <c r="G118" s="70" t="inlineStr">
        <is>
          <t>Post-report figure as published</t>
        </is>
      </c>
      <c r="H118" s="71" t="n">
        <v>5932</v>
      </c>
      <c r="I118" s="34" t="inlineStr">
        <is>
          <t>European Commission, DG MOVE — EU transport in figures: statistical pocketbook — https://transport.ec.europa.eu/facts-funding/studies-data/eu-transport-figures-statistical-pocketbook_en</t>
        </is>
      </c>
    </row>
    <row r="119" ht="22" customHeight="1">
      <c r="G119" s="3" t="inlineStr">
        <is>
          <t>Formula:  Value = IF(A &gt;= 2022, [Post-report figure as published], [cars and 2-wheels]+[buses and coaches]+[rail]+[aviation])</t>
        </is>
      </c>
    </row>
    <row r="120" ht="26" customHeight="1">
      <c r="A120" s="67" t="inlineStr">
        <is>
          <t>T2b</t>
        </is>
      </c>
      <c r="B120" s="22" t="inlineStr">
        <is>
          <t>Total freight transport demand</t>
        </is>
      </c>
      <c r="C120" s="65" t="n">
        <v>2023</v>
      </c>
      <c r="D120" s="66" t="n">
        <v>2319</v>
      </c>
      <c r="E120" s="22" t="inlineStr">
        <is>
          <t>Taken as published</t>
        </is>
      </c>
      <c r="F120" s="29" t="inlineStr">
        <is>
          <t>NOT CHECKABLE — Published figure — source named, not re-derived</t>
        </is>
      </c>
      <c r="G120" s="73" t="inlineStr">
        <is>
          <t>Post-report figure as published</t>
        </is>
      </c>
      <c r="H120" s="74" t="n">
        <v>2319</v>
      </c>
      <c r="I120" s="35" t="inlineStr">
        <is>
          <t>European Commission, DG MOVE — EU transport in figures: statistical pocketbook — https://transport.ec.europa.eu/facts-funding/studies-data/eu-transport-figures-statistical-pocketbook_en</t>
        </is>
      </c>
    </row>
    <row r="121" ht="22" customHeight="1">
      <c r="G121" s="3" t="inlineStr">
        <is>
          <t>Formula:  Value = IF(A &gt;= 2023, [Post-report figure as published], [Road]+[Rail]+[IWW])</t>
        </is>
      </c>
    </row>
    <row r="122" ht="26" customHeight="1">
      <c r="A122" s="14" t="inlineStr">
        <is>
          <t>T3a</t>
        </is>
      </c>
      <c r="B122" s="15" t="inlineStr">
        <is>
          <t>Road share of motorised inland passenger transport</t>
        </is>
      </c>
      <c r="C122" s="63" t="n">
        <v>2021</v>
      </c>
      <c r="D122" s="64" t="n">
        <v>86.23</v>
      </c>
      <c r="E122" s="15" t="inlineStr">
        <is>
          <t>Taken as published</t>
        </is>
      </c>
      <c r="F122" s="33" t="inlineStr">
        <is>
          <t>NOT CHECKABLE — Published figure — source named, not re-derived</t>
        </is>
      </c>
      <c r="G122" s="70" t="inlineStr">
        <is>
          <t>(no calc inputs recorded)</t>
        </is>
      </c>
      <c r="H122" s="71" t="n"/>
      <c r="I122" s="34" t="inlineStr">
        <is>
          <t>European Commission, DG MOVE — EU transport in figures: statistical pocketbook</t>
        </is>
      </c>
    </row>
    <row r="123" ht="26" customHeight="1">
      <c r="A123" s="67" t="inlineStr">
        <is>
          <t>T3a</t>
        </is>
      </c>
      <c r="B123" s="22" t="inlineStr">
        <is>
          <t>Road share of motorised inland passenger transport</t>
        </is>
      </c>
      <c r="C123" s="65" t="n">
        <v>2022</v>
      </c>
      <c r="D123" s="66" t="n">
        <v>84.12</v>
      </c>
      <c r="E123" s="22" t="inlineStr">
        <is>
          <t>Taken as published</t>
        </is>
      </c>
      <c r="F123" s="29" t="inlineStr">
        <is>
          <t>NOT CHECKABLE — Published figure — source named, not re-derived</t>
        </is>
      </c>
      <c r="G123" s="73" t="inlineStr">
        <is>
          <t>(no calc inputs recorded)</t>
        </is>
      </c>
      <c r="H123" s="74" t="n"/>
      <c r="I123" s="35" t="inlineStr">
        <is>
          <t>European Commission, DG MOVE — EU transport in figures: statistical pocketbook</t>
        </is>
      </c>
    </row>
    <row r="124" ht="26" customHeight="1">
      <c r="A124" s="14" t="inlineStr">
        <is>
          <t>T3a</t>
        </is>
      </c>
      <c r="B124" s="15" t="inlineStr">
        <is>
          <t>Road share of motorised inland passenger transport</t>
        </is>
      </c>
      <c r="C124" s="63" t="n">
        <v>2023</v>
      </c>
      <c r="D124" s="64" t="n">
        <v>83.67</v>
      </c>
      <c r="E124" s="15" t="inlineStr">
        <is>
          <t>Taken as published</t>
        </is>
      </c>
      <c r="F124" s="33" t="inlineStr">
        <is>
          <t>NOT CHECKABLE — Published figure — source named, not re-derived</t>
        </is>
      </c>
      <c r="G124" s="70" t="inlineStr">
        <is>
          <t>(no calc inputs recorded)</t>
        </is>
      </c>
      <c r="H124" s="71" t="n"/>
      <c r="I124" s="34" t="inlineStr">
        <is>
          <t>European Commission, DG MOVE — EU transport in figures: statistical pocketbook</t>
        </is>
      </c>
    </row>
    <row r="125" ht="26" customHeight="1">
      <c r="A125" s="67" t="inlineStr">
        <is>
          <t>T3a</t>
        </is>
      </c>
      <c r="B125" s="22" t="inlineStr">
        <is>
          <t>Road share of motorised inland passenger transport</t>
        </is>
      </c>
      <c r="C125" s="65" t="n">
        <v>2024</v>
      </c>
      <c r="D125" s="66" t="n">
        <v>83.3</v>
      </c>
      <c r="E125" s="22" t="inlineStr">
        <is>
          <t>Taken as published</t>
        </is>
      </c>
      <c r="F125" s="29" t="inlineStr">
        <is>
          <t>NOT CHECKABLE — Published figure — source named, not re-derived</t>
        </is>
      </c>
      <c r="G125" s="73" t="inlineStr">
        <is>
          <t>(no calc inputs recorded)</t>
        </is>
      </c>
      <c r="H125" s="74" t="n"/>
      <c r="I125" s="35" t="inlineStr">
        <is>
          <t>European Commission, DG MOVE — EU transport in figures: statistical pocketbook</t>
        </is>
      </c>
    </row>
    <row r="126" ht="26" customHeight="1">
      <c r="A126" s="14" t="inlineStr">
        <is>
          <t>T3b</t>
        </is>
      </c>
      <c r="B126" s="15" t="inlineStr">
        <is>
          <t>Intra-EU air passenger transport</t>
        </is>
      </c>
      <c r="C126" s="63" t="n">
        <v>2022</v>
      </c>
      <c r="D126" s="64" t="n">
        <v>512</v>
      </c>
      <c r="E126" s="15" t="inlineStr">
        <is>
          <t>Reconstructed from the sheet's own conversion</t>
        </is>
      </c>
      <c r="F126" s="33" t="inlineStr">
        <is>
          <t>NOT CHECKABLE — Published figure — source named, not re-derived</t>
        </is>
      </c>
      <c r="G126" s="70" t="inlineStr">
        <is>
          <t>Air passenger demand (Gpkm)</t>
        </is>
      </c>
      <c r="H126" s="71" t="n">
        <v>512</v>
      </c>
      <c r="I126" s="34" t="inlineStr">
        <is>
          <t>Eurostat Statistical Pocketbook 2022</t>
        </is>
      </c>
    </row>
    <row r="127" ht="26" customHeight="1">
      <c r="A127" s="67" t="inlineStr">
        <is>
          <t>T3b</t>
        </is>
      </c>
      <c r="B127" s="22" t="inlineStr">
        <is>
          <t>Intra-EU air passenger transport</t>
        </is>
      </c>
      <c r="C127" s="65" t="n">
        <v>2023</v>
      </c>
      <c r="D127" s="66" t="n">
        <v>582</v>
      </c>
      <c r="E127" s="22" t="inlineStr">
        <is>
          <t>Reconstructed from the sheet's own conversion</t>
        </is>
      </c>
      <c r="F127" s="29" t="inlineStr">
        <is>
          <t>NOT CHECKABLE — Published figure — source named, not re-derived</t>
        </is>
      </c>
      <c r="G127" s="73" t="inlineStr">
        <is>
          <t>Air passenger demand (Gpkm)</t>
        </is>
      </c>
      <c r="H127" s="74" t="n">
        <v>582</v>
      </c>
      <c r="I127" s="35" t="inlineStr">
        <is>
          <t>Eurostat Statistical Pocketbook 2022</t>
        </is>
      </c>
    </row>
    <row r="128" ht="22" customHeight="1">
      <c r="G128" s="3" t="inlineStr">
        <is>
          <t>Formula:  Value = [Air passenger demand (Gpkm)]</t>
        </is>
      </c>
    </row>
    <row r="129" ht="26" customHeight="1">
      <c r="A129" s="14" t="inlineStr">
        <is>
          <t>T4</t>
        </is>
      </c>
      <c r="B129" s="15" t="inlineStr">
        <is>
          <t>Average CO₂ intensity of new passenger cars (WLTP)</t>
        </is>
      </c>
      <c r="C129" s="63" t="n">
        <v>2023</v>
      </c>
      <c r="D129" s="64" t="n">
        <v>106.4</v>
      </c>
      <c r="E129" s="15" t="inlineStr">
        <is>
          <t>Reconstructed from the sheet's own conversion</t>
        </is>
      </c>
      <c r="F129" s="33" t="inlineStr">
        <is>
          <t>NOT CHECKABLE — Published figure — source named, not re-derived</t>
        </is>
      </c>
      <c r="G129" s="70" t="inlineStr">
        <is>
          <t>New-car CO2 intensity WLTP (gCO2/km)</t>
        </is>
      </c>
      <c r="H129" s="71" t="n">
        <v>106.4</v>
      </c>
      <c r="I129" s="34" t="inlineStr">
        <is>
          <t>EEA</t>
        </is>
      </c>
      <c r="J129" s="72" t="inlineStr">
        <is>
          <t>https://www.eea.europa.eu/en/datahub/datahubitem-view/3b7fe76c-524a-439a-bfd2-a6e4046302a2</t>
        </is>
      </c>
    </row>
    <row r="130" ht="26" customHeight="1">
      <c r="A130" s="67" t="inlineStr">
        <is>
          <t>T4</t>
        </is>
      </c>
      <c r="B130" s="22" t="inlineStr">
        <is>
          <t>Average CO₂ intensity of new passenger cars (WLTP)</t>
        </is>
      </c>
      <c r="C130" s="65" t="n">
        <v>2024</v>
      </c>
      <c r="D130" s="66" t="n">
        <v>106.8</v>
      </c>
      <c r="E130" s="22" t="inlineStr">
        <is>
          <t>Reconstructed from the sheet's own conversion</t>
        </is>
      </c>
      <c r="F130" s="29" t="inlineStr">
        <is>
          <t>NOT CHECKABLE — Published figure — source named, not re-derived</t>
        </is>
      </c>
      <c r="G130" s="73" t="inlineStr">
        <is>
          <t>New-car CO2 intensity WLTP (gCO2/km)</t>
        </is>
      </c>
      <c r="H130" s="74" t="n">
        <v>106.8</v>
      </c>
      <c r="I130" s="35" t="inlineStr">
        <is>
          <t>EEA</t>
        </is>
      </c>
      <c r="J130" s="72" t="inlineStr">
        <is>
          <t>https://www.eea.europa.eu/en/datahub/datahubitem-view/3b7fe76c-524a-439a-bfd2-a6e4046302a2</t>
        </is>
      </c>
    </row>
    <row r="131" ht="26" customHeight="1">
      <c r="A131" s="14" t="inlineStr">
        <is>
          <t>T4</t>
        </is>
      </c>
      <c r="B131" s="15" t="inlineStr">
        <is>
          <t>Average CO₂ intensity of new passenger cars (WLTP)</t>
        </is>
      </c>
      <c r="C131" s="63" t="n">
        <v>2025</v>
      </c>
      <c r="D131" s="64" t="n">
        <v>96.7</v>
      </c>
      <c r="E131" s="15" t="inlineStr">
        <is>
          <t>Reconstructed from the sheet's own conversion</t>
        </is>
      </c>
      <c r="F131" s="33" t="inlineStr">
        <is>
          <t>NOT CHECKABLE — Published figure — source named, not re-derived</t>
        </is>
      </c>
      <c r="G131" s="70" t="inlineStr">
        <is>
          <t>New-car CO2 intensity WLTP (gCO2/km)</t>
        </is>
      </c>
      <c r="H131" s="71" t="n">
        <v>96.7</v>
      </c>
      <c r="I131" s="34" t="inlineStr">
        <is>
          <t>EEA</t>
        </is>
      </c>
      <c r="J131" s="72" t="inlineStr">
        <is>
          <t>https://www.eea.europa.eu/en/datahub/datahubitem-view/3b7fe76c-524a-439a-bfd2-a6e4046302a2</t>
        </is>
      </c>
    </row>
    <row r="132" ht="22" customHeight="1">
      <c r="G132" s="3" t="inlineStr">
        <is>
          <t>Formula:  Value = [New-car CO2 intensity WLTP (gCO2/km)]</t>
        </is>
      </c>
    </row>
    <row r="133" ht="26" customHeight="1">
      <c r="A133" s="67" t="inlineStr">
        <is>
          <t>T5a</t>
        </is>
      </c>
      <c r="B133" s="22" t="inlineStr">
        <is>
          <t>ZEV share of new passenger car registrations</t>
        </is>
      </c>
      <c r="C133" s="65" t="n">
        <v>2023</v>
      </c>
      <c r="D133" s="66" t="n">
        <v>14.6</v>
      </c>
      <c r="E133" s="22" t="inlineStr">
        <is>
          <t>Taken as published</t>
        </is>
      </c>
      <c r="F133" s="29" t="inlineStr">
        <is>
          <t>NOT CHECKABLE — Published figure — source named, not re-derived</t>
        </is>
      </c>
      <c r="G133" s="73" t="inlineStr">
        <is>
          <t>Post-report figure as published</t>
        </is>
      </c>
      <c r="H133" s="74" t="n">
        <v>14.6</v>
      </c>
      <c r="I133" s="35" t="inlineStr">
        <is>
          <t>EU Alternative Fuels Observatory; EEA for 2022 — https://alternative-fuels-observatory.ec.europa.eu/</t>
        </is>
      </c>
      <c r="J133" s="72" t="inlineStr">
        <is>
          <t>https://alternative-fuels-observatory.ec.europa.eu/transport-mode/road/european-union-eu27</t>
        </is>
      </c>
    </row>
    <row r="134" ht="26" customHeight="1">
      <c r="A134" s="67" t="inlineStr"/>
      <c r="B134" s="22" t="inlineStr"/>
      <c r="C134" s="65" t="n"/>
      <c r="D134" s="66" t="n"/>
      <c r="E134" s="22" t="inlineStr"/>
      <c r="F134" s="22" t="inlineStr"/>
      <c r="G134" s="73" t="inlineStr">
        <is>
          <t>fraction → % (× 100)</t>
        </is>
      </c>
      <c r="H134" s="74" t="n">
        <v>100</v>
      </c>
      <c r="I134" s="35" t="inlineStr">
        <is>
          <t>Unit convention: the report workbook computes this share as a fraction, the indicator database stores it as a percent number (migrations 058 / 075 / 076). The conversion is carried here as its own column so the grid and the plotted series agree.</t>
        </is>
      </c>
    </row>
    <row r="135" ht="26" customHeight="1">
      <c r="A135" s="14" t="inlineStr">
        <is>
          <t>T5a</t>
        </is>
      </c>
      <c r="B135" s="15" t="inlineStr">
        <is>
          <t>ZEV share of new passenger car registrations</t>
        </is>
      </c>
      <c r="C135" s="63" t="n">
        <v>2024</v>
      </c>
      <c r="D135" s="64" t="n">
        <v>13.6</v>
      </c>
      <c r="E135" s="15" t="inlineStr">
        <is>
          <t>Taken as published</t>
        </is>
      </c>
      <c r="F135" s="33" t="inlineStr">
        <is>
          <t>NOT CHECKABLE — Published figure — source named, not re-derived</t>
        </is>
      </c>
      <c r="G135" s="70" t="inlineStr">
        <is>
          <t>Post-report figure as published</t>
        </is>
      </c>
      <c r="H135" s="71" t="n">
        <v>13.6</v>
      </c>
      <c r="I135" s="34" t="inlineStr">
        <is>
          <t>EU Alternative Fuels Observatory; EEA for 2022 — https://alternative-fuels-observatory.ec.europa.eu/</t>
        </is>
      </c>
      <c r="J135" s="72" t="inlineStr">
        <is>
          <t>https://alternative-fuels-observatory.ec.europa.eu/transport-mode/road/european-union-eu27</t>
        </is>
      </c>
    </row>
    <row r="136" ht="26" customHeight="1">
      <c r="A136" s="14" t="inlineStr"/>
      <c r="B136" s="15" t="inlineStr"/>
      <c r="C136" s="63" t="n"/>
      <c r="D136" s="64" t="n"/>
      <c r="E136" s="15" t="inlineStr"/>
      <c r="F136" s="15" t="inlineStr"/>
      <c r="G136" s="70" t="inlineStr">
        <is>
          <t>fraction → % (× 100)</t>
        </is>
      </c>
      <c r="H136" s="71" t="n">
        <v>100</v>
      </c>
      <c r="I136" s="34" t="inlineStr">
        <is>
          <t>Unit convention: the report workbook computes this share as a fraction, the indicator database stores it as a percent number (migrations 058 / 075 / 076). The conversion is carried here as its own column so the grid and the plotted series agree.</t>
        </is>
      </c>
    </row>
    <row r="137" ht="26" customHeight="1">
      <c r="A137" s="67" t="inlineStr">
        <is>
          <t>T5a</t>
        </is>
      </c>
      <c r="B137" s="22" t="inlineStr">
        <is>
          <t>ZEV share of new passenger car registrations</t>
        </is>
      </c>
      <c r="C137" s="65" t="n">
        <v>2025</v>
      </c>
      <c r="D137" s="66" t="n">
        <v>17.4</v>
      </c>
      <c r="E137" s="22" t="inlineStr">
        <is>
          <t>Taken as published</t>
        </is>
      </c>
      <c r="F137" s="29" t="inlineStr">
        <is>
          <t>NOT CHECKABLE — Published figure — source named, not re-derived</t>
        </is>
      </c>
      <c r="G137" s="73" t="inlineStr">
        <is>
          <t>Post-report figure as published</t>
        </is>
      </c>
      <c r="H137" s="74" t="n">
        <v>17.4</v>
      </c>
      <c r="I137" s="35" t="inlineStr">
        <is>
          <t>EU Alternative Fuels Observatory; EEA for 2022 — https://alternative-fuels-observatory.ec.europa.eu/</t>
        </is>
      </c>
      <c r="J137" s="72" t="inlineStr">
        <is>
          <t>https://alternative-fuels-observatory.ec.europa.eu/transport-mode/road/european-union-eu27</t>
        </is>
      </c>
    </row>
    <row r="138" ht="26" customHeight="1">
      <c r="A138" s="67" t="inlineStr"/>
      <c r="B138" s="22" t="inlineStr"/>
      <c r="C138" s="65" t="n"/>
      <c r="D138" s="66" t="n"/>
      <c r="E138" s="22" t="inlineStr"/>
      <c r="F138" s="22" t="inlineStr"/>
      <c r="G138" s="73" t="inlineStr">
        <is>
          <t>fraction → % (× 100)</t>
        </is>
      </c>
      <c r="H138" s="74" t="n">
        <v>100</v>
      </c>
      <c r="I138" s="35" t="inlineStr">
        <is>
          <t>Unit convention: the report workbook computes this share as a fraction, the indicator database stores it as a percent number (migrations 058 / 075 / 076). The conversion is carried here as its own column so the grid and the plotted series agree.</t>
        </is>
      </c>
    </row>
    <row r="139" ht="22" customHeight="1">
      <c r="G139" s="3" t="inlineStr">
        <is>
          <t>Formula:  Value = IF(A &gt;= 2023, [Post-report figure as published], ([ZEV]) * [fraction → % (× 100)])</t>
        </is>
      </c>
    </row>
    <row r="140" ht="26" customHeight="1">
      <c r="A140" s="14" t="inlineStr">
        <is>
          <t>T5b</t>
        </is>
      </c>
      <c r="B140" s="15" t="inlineStr">
        <is>
          <t>Zero-emission lorries in the EU fleet</t>
        </is>
      </c>
      <c r="C140" s="63" t="n">
        <v>2023</v>
      </c>
      <c r="D140" s="64" t="n">
        <v>6513</v>
      </c>
      <c r="E140" s="15" t="inlineStr">
        <is>
          <t>Taken as published</t>
        </is>
      </c>
      <c r="F140" s="33" t="inlineStr">
        <is>
          <t>NOT CHECKABLE — Published figure — source named, not re-derived</t>
        </is>
      </c>
      <c r="G140" s="70" t="inlineStr">
        <is>
          <t>(no calc inputs recorded)</t>
        </is>
      </c>
      <c r="H140" s="71" t="n"/>
      <c r="I140" s="34" t="inlineStr">
        <is>
          <t>EU Alternative Fuels Observatory; EEA for 2022</t>
        </is>
      </c>
      <c r="J140" s="72" t="inlineStr">
        <is>
          <t>https://alternative-fuels-observatory.ec.europa.eu/transport-mode/road/european-union-eu27</t>
        </is>
      </c>
    </row>
    <row r="141" ht="26" customHeight="1">
      <c r="A141" s="67" t="inlineStr">
        <is>
          <t>T5b</t>
        </is>
      </c>
      <c r="B141" s="22" t="inlineStr">
        <is>
          <t>Zero-emission lorries in the EU fleet</t>
        </is>
      </c>
      <c r="C141" s="65" t="n">
        <v>2024</v>
      </c>
      <c r="D141" s="66" t="n">
        <v>9831</v>
      </c>
      <c r="E141" s="22" t="inlineStr">
        <is>
          <t>Taken as published</t>
        </is>
      </c>
      <c r="F141" s="29" t="inlineStr">
        <is>
          <t>NOT CHECKABLE — Published figure — source named, not re-derived</t>
        </is>
      </c>
      <c r="G141" s="73" t="inlineStr">
        <is>
          <t>(no calc inputs recorded)</t>
        </is>
      </c>
      <c r="H141" s="74" t="n"/>
      <c r="I141" s="35" t="inlineStr">
        <is>
          <t>EU Alternative Fuels Observatory; EEA for 2022</t>
        </is>
      </c>
      <c r="J141" s="72" t="inlineStr">
        <is>
          <t>https://alternative-fuels-observatory.ec.europa.eu/transport-mode/road/european-union-eu27</t>
        </is>
      </c>
    </row>
    <row r="142" ht="26" customHeight="1">
      <c r="A142" s="14" t="inlineStr">
        <is>
          <t>T6a</t>
        </is>
      </c>
      <c r="B142" s="15" t="inlineStr">
        <is>
          <t>Fossil share of transport energy use</t>
        </is>
      </c>
      <c r="C142" s="63" t="n">
        <v>2022</v>
      </c>
      <c r="D142" s="64" t="n">
        <v>93.41</v>
      </c>
      <c r="E142" s="15" t="inlineStr">
        <is>
          <t>Derived from the live source</t>
        </is>
      </c>
      <c r="F142" s="19" t="inlineStr">
        <is>
          <t>CONFIRMED — Reproduces from the primary source</t>
        </is>
      </c>
      <c r="G142" s="70" t="inlineStr">
        <is>
          <t>Numerator · nrg_bal_s O4000XBIO</t>
        </is>
      </c>
      <c r="H142" s="71" t="n">
        <v>2963833.369</v>
      </c>
      <c r="I142" s="34" t="inlineStr">
        <is>
          <t>Eurostat nrg_bal_s · geo=EU27_2020, unit=GWH, freq=A, nrg_bal=FC_TRA_E, siec=O4000XBIO · https://ec.europa.eu/eurostat/api/dissemination/statistics/1.0/data/nrg_bal_s?format=JSON&amp;lang=EN&amp;geo=EU27_2020&amp;unit=GWH&amp;freq=A&amp;nrg_bal=FC_TRA_E&amp;siec=O4000XBIO</t>
        </is>
      </c>
      <c r="J142" s="72" t="inlineStr">
        <is>
          <t>https://doi.org/10.2908/NRG_BAL_S</t>
        </is>
      </c>
    </row>
    <row r="143" ht="26" customHeight="1">
      <c r="A143" s="14" t="inlineStr"/>
      <c r="B143" s="15" t="inlineStr"/>
      <c r="C143" s="63" t="n"/>
      <c r="D143" s="64" t="n"/>
      <c r="E143" s="15" t="inlineStr"/>
      <c r="F143" s="15" t="inlineStr"/>
      <c r="G143" s="70" t="inlineStr">
        <is>
          <t>Numerator · nrg_bal_s G3000</t>
        </is>
      </c>
      <c r="H143" s="71" t="n">
        <v>38675.108</v>
      </c>
      <c r="I143" s="34" t="inlineStr">
        <is>
          <t>Eurostat nrg_bal_s · geo=EU27_2020, unit=GWH, freq=A, nrg_bal=FC_TRA_E, siec=G3000 · https://ec.europa.eu/eurostat/api/dissemination/statistics/1.0/data/nrg_bal_s?format=JSON&amp;lang=EN&amp;geo=EU27_2020&amp;unit=GWH&amp;freq=A&amp;nrg_bal=FC_TRA_E&amp;siec=G3000</t>
        </is>
      </c>
      <c r="J143" s="72" t="inlineStr">
        <is>
          <t>https://doi.org/10.2908/NRG_BAL_S</t>
        </is>
      </c>
    </row>
    <row r="144" ht="26" customHeight="1">
      <c r="A144" s="14" t="inlineStr"/>
      <c r="B144" s="15" t="inlineStr"/>
      <c r="C144" s="63" t="n"/>
      <c r="D144" s="64" t="n"/>
      <c r="E144" s="15" t="inlineStr"/>
      <c r="F144" s="15" t="inlineStr"/>
      <c r="G144" s="70" t="inlineStr">
        <is>
          <t>Numerator · nrg_bal_s C0000X0350-0370</t>
        </is>
      </c>
      <c r="H144" s="71" t="n">
        <v>5.322</v>
      </c>
      <c r="I144" s="34" t="inlineStr">
        <is>
          <t>Eurostat nrg_bal_s · geo=EU27_2020, unit=GWH, freq=A, nrg_bal=FC_TRA_E, siec=C0000X0350-0370 · https://ec.europa.eu/eurostat/api/dissemination/statistics/1.0/data/nrg_bal_s?format=JSON&amp;lang=EN&amp;geo=EU27_2020&amp;unit=GWH&amp;freq=A&amp;nrg_bal=FC_TRA_E&amp;siec=C0000X0350-0370</t>
        </is>
      </c>
      <c r="J144" s="72" t="inlineStr">
        <is>
          <t>https://doi.org/10.2908/NRG_BAL_S</t>
        </is>
      </c>
    </row>
    <row r="145" ht="26" customHeight="1">
      <c r="A145" s="14" t="inlineStr"/>
      <c r="B145" s="15" t="inlineStr"/>
      <c r="C145" s="63" t="n"/>
      <c r="D145" s="64" t="n"/>
      <c r="E145" s="15" t="inlineStr"/>
      <c r="F145" s="15" t="inlineStr"/>
      <c r="G145" s="70" t="inlineStr">
        <is>
          <t>Denominator · nrg_bal_s TOTAL</t>
        </is>
      </c>
      <c r="H145" s="71" t="n">
        <v>3262504.29</v>
      </c>
      <c r="I145" s="34" t="inlineStr">
        <is>
          <t>Eurostat nrg_bal_s · geo=EU27_2020, unit=GWH, freq=A, nrg_bal=FC_TRA_E, siec=TOTAL · https://ec.europa.eu/eurostat/api/dissemination/statistics/1.0/data/nrg_bal_s?format=JSON&amp;lang=EN&amp;geo=EU27_2020&amp;unit=GWH&amp;freq=A&amp;nrg_bal=FC_TRA_E&amp;siec=TOTAL</t>
        </is>
      </c>
      <c r="J145" s="72" t="inlineStr">
        <is>
          <t>https://doi.org/10.2908/NRG_BAL_S</t>
        </is>
      </c>
    </row>
    <row r="146" ht="26" customHeight="1">
      <c r="A146" s="14" t="inlineStr"/>
      <c r="B146" s="15" t="inlineStr"/>
      <c r="C146" s="63" t="n"/>
      <c r="D146" s="64" t="n"/>
      <c r="E146" s="15" t="inlineStr"/>
      <c r="F146" s="15" t="inlineStr"/>
      <c r="G146" s="70" t="inlineStr">
        <is>
          <t>Report baseline 2021 (%)</t>
        </is>
      </c>
      <c r="H146" s="71" t="n">
        <v>93.44</v>
      </c>
      <c r="I146" s="34" t="inlineStr">
        <is>
          <t>ESABCC (2024) “Towards EU climate neutrality”, underlying-data workbook — the report's own 2021 figure, the anchor the later years are spliced onto.</t>
        </is>
      </c>
    </row>
    <row r="147" ht="26" customHeight="1">
      <c r="A147" s="14" t="inlineStr"/>
      <c r="B147" s="15" t="inlineStr"/>
      <c r="C147" s="63" t="n"/>
      <c r="D147" s="64" t="n"/>
      <c r="E147" s="15" t="inlineStr"/>
      <c r="F147" s="15" t="inlineStr"/>
      <c r="G147" s="70" t="inlineStr">
        <is>
          <t>Live source at 2021 (same basis as the columns left)</t>
        </is>
      </c>
      <c r="H147" s="71" t="n">
        <v>0.920608</v>
      </c>
      <c r="I147" s="34" t="inlineStr">
        <is>
          <t>Eurostat nrg_bal_s · fossil ÷ total transport final energy · EU27_2020 — the same query, read at 2021; dividing by it cancels the level difference between the source's scope and the report's, leaving only the year-on-year change.</t>
        </is>
      </c>
      <c r="J147" s="72" t="inlineStr">
        <is>
          <t>https://doi.org/10.2908/NRG_BAL_S</t>
        </is>
      </c>
    </row>
    <row r="148" ht="26" customHeight="1">
      <c r="A148" s="14" t="inlineStr"/>
      <c r="B148" s="15" t="inlineStr"/>
      <c r="C148" s="63" t="n"/>
      <c r="D148" s="64" t="n"/>
      <c r="E148" s="15" t="inlineStr"/>
      <c r="F148" s="15" t="inlineStr"/>
      <c r="G148" s="70" t="inlineStr">
        <is>
          <t>fraction → % (× 100)</t>
        </is>
      </c>
      <c r="H148" s="71" t="n">
        <v>100</v>
      </c>
      <c r="I148" s="34" t="inlineStr">
        <is>
          <t>Unit convention: the report workbook computes this share as a fraction, the indicator database stores it as a percent number (migrations 058 / 075 / 076). The conversion is carried here as its own column so the grid and the plotted series agree.</t>
        </is>
      </c>
    </row>
    <row r="149" ht="26" customHeight="1">
      <c r="A149" s="67" t="inlineStr">
        <is>
          <t>T6a</t>
        </is>
      </c>
      <c r="B149" s="22" t="inlineStr">
        <is>
          <t>Fossil share of transport energy use</t>
        </is>
      </c>
      <c r="C149" s="65" t="n">
        <v>2023</v>
      </c>
      <c r="D149" s="66" t="n">
        <v>92.91</v>
      </c>
      <c r="E149" s="22" t="inlineStr">
        <is>
          <t>Derived from the live source</t>
        </is>
      </c>
      <c r="F149" s="26" t="inlineStr">
        <is>
          <t>CONFIRMED — Reproduces from the primary source</t>
        </is>
      </c>
      <c r="G149" s="73" t="inlineStr">
        <is>
          <t>Numerator · nrg_bal_s O4000XBIO</t>
        </is>
      </c>
      <c r="H149" s="74" t="n">
        <v>2942574.626</v>
      </c>
      <c r="I149" s="35" t="inlineStr">
        <is>
          <t>Eurostat nrg_bal_s · geo=EU27_2020, unit=GWH, freq=A, nrg_bal=FC_TRA_E, siec=O4000XBIO · https://ec.europa.eu/eurostat/api/dissemination/statistics/1.0/data/nrg_bal_s?format=JSON&amp;lang=EN&amp;geo=EU27_2020&amp;unit=GWH&amp;freq=A&amp;nrg_bal=FC_TRA_E&amp;siec=O4000XBIO</t>
        </is>
      </c>
      <c r="J149" s="72" t="inlineStr">
        <is>
          <t>https://doi.org/10.2908/NRG_BAL_S</t>
        </is>
      </c>
    </row>
    <row r="150" ht="26" customHeight="1">
      <c r="A150" s="67" t="inlineStr"/>
      <c r="B150" s="22" t="inlineStr"/>
      <c r="C150" s="65" t="n"/>
      <c r="D150" s="66" t="n"/>
      <c r="E150" s="22" t="inlineStr"/>
      <c r="F150" s="22" t="inlineStr"/>
      <c r="G150" s="73" t="inlineStr">
        <is>
          <t>Numerator · nrg_bal_s G3000</t>
        </is>
      </c>
      <c r="H150" s="74" t="n">
        <v>37106.605</v>
      </c>
      <c r="I150" s="35" t="inlineStr">
        <is>
          <t>Eurostat nrg_bal_s · geo=EU27_2020, unit=GWH, freq=A, nrg_bal=FC_TRA_E, siec=G3000 · https://ec.europa.eu/eurostat/api/dissemination/statistics/1.0/data/nrg_bal_s?format=JSON&amp;lang=EN&amp;geo=EU27_2020&amp;unit=GWH&amp;freq=A&amp;nrg_bal=FC_TRA_E&amp;siec=G3000</t>
        </is>
      </c>
      <c r="J150" s="72" t="inlineStr">
        <is>
          <t>https://doi.org/10.2908/NRG_BAL_S</t>
        </is>
      </c>
    </row>
    <row r="151" ht="26" customHeight="1">
      <c r="A151" s="67" t="inlineStr"/>
      <c r="B151" s="22" t="inlineStr"/>
      <c r="C151" s="65" t="n"/>
      <c r="D151" s="66" t="n"/>
      <c r="E151" s="22" t="inlineStr"/>
      <c r="F151" s="22" t="inlineStr"/>
      <c r="G151" s="73" t="inlineStr">
        <is>
          <t>Numerator · nrg_bal_s C0000X0350-0370</t>
        </is>
      </c>
      <c r="H151" s="74" t="n">
        <v>4.452</v>
      </c>
      <c r="I151" s="35" t="inlineStr">
        <is>
          <t>Eurostat nrg_bal_s · geo=EU27_2020, unit=GWH, freq=A, nrg_bal=FC_TRA_E, siec=C0000X0350-0370 · https://ec.europa.eu/eurostat/api/dissemination/statistics/1.0/data/nrg_bal_s?format=JSON&amp;lang=EN&amp;geo=EU27_2020&amp;unit=GWH&amp;freq=A&amp;nrg_bal=FC_TRA_E&amp;siec=C0000X0350-0370</t>
        </is>
      </c>
      <c r="J151" s="72" t="inlineStr">
        <is>
          <t>https://doi.org/10.2908/NRG_BAL_S</t>
        </is>
      </c>
    </row>
    <row r="152" ht="26" customHeight="1">
      <c r="A152" s="67" t="inlineStr"/>
      <c r="B152" s="22" t="inlineStr"/>
      <c r="C152" s="65" t="n"/>
      <c r="D152" s="66" t="n"/>
      <c r="E152" s="22" t="inlineStr"/>
      <c r="F152" s="22" t="inlineStr"/>
      <c r="G152" s="73" t="inlineStr">
        <is>
          <t>Denominator · nrg_bal_s TOTAL</t>
        </is>
      </c>
      <c r="H152" s="74" t="n">
        <v>3254970.995</v>
      </c>
      <c r="I152" s="35" t="inlineStr">
        <is>
          <t>Eurostat nrg_bal_s · geo=EU27_2020, unit=GWH, freq=A, nrg_bal=FC_TRA_E, siec=TOTAL · https://ec.europa.eu/eurostat/api/dissemination/statistics/1.0/data/nrg_bal_s?format=JSON&amp;lang=EN&amp;geo=EU27_2020&amp;unit=GWH&amp;freq=A&amp;nrg_bal=FC_TRA_E&amp;siec=TOTAL</t>
        </is>
      </c>
      <c r="J152" s="72" t="inlineStr">
        <is>
          <t>https://doi.org/10.2908/NRG_BAL_S</t>
        </is>
      </c>
    </row>
    <row r="153" ht="26" customHeight="1">
      <c r="A153" s="67" t="inlineStr"/>
      <c r="B153" s="22" t="inlineStr"/>
      <c r="C153" s="65" t="n"/>
      <c r="D153" s="66" t="n"/>
      <c r="E153" s="22" t="inlineStr"/>
      <c r="F153" s="22" t="inlineStr"/>
      <c r="G153" s="73" t="inlineStr">
        <is>
          <t>Report baseline 2021 (%)</t>
        </is>
      </c>
      <c r="H153" s="74" t="n">
        <v>93.44</v>
      </c>
      <c r="I153" s="35" t="inlineStr">
        <is>
          <t>ESABCC (2024) “Towards EU climate neutrality”, underlying-data workbook — the report's own 2021 figure, the anchor the later years are spliced onto.</t>
        </is>
      </c>
    </row>
    <row r="154" ht="26" customHeight="1">
      <c r="A154" s="67" t="inlineStr"/>
      <c r="B154" s="22" t="inlineStr"/>
      <c r="C154" s="65" t="n"/>
      <c r="D154" s="66" t="n"/>
      <c r="E154" s="22" t="inlineStr"/>
      <c r="F154" s="22" t="inlineStr"/>
      <c r="G154" s="73" t="inlineStr">
        <is>
          <t>Live source at 2021 (same basis as the columns left)</t>
        </is>
      </c>
      <c r="H154" s="74" t="n">
        <v>0.920608</v>
      </c>
      <c r="I154" s="35" t="inlineStr">
        <is>
          <t>Eurostat nrg_bal_s · fossil ÷ total transport final energy · EU27_2020 — the same query, read at 2021; dividing by it cancels the level difference between the source's scope and the report's, leaving only the year-on-year change.</t>
        </is>
      </c>
      <c r="J154" s="72" t="inlineStr">
        <is>
          <t>https://doi.org/10.2908/NRG_BAL_S</t>
        </is>
      </c>
    </row>
    <row r="155" ht="26" customHeight="1">
      <c r="A155" s="67" t="inlineStr"/>
      <c r="B155" s="22" t="inlineStr"/>
      <c r="C155" s="65" t="n"/>
      <c r="D155" s="66" t="n"/>
      <c r="E155" s="22" t="inlineStr"/>
      <c r="F155" s="22" t="inlineStr"/>
      <c r="G155" s="73" t="inlineStr">
        <is>
          <t>fraction → % (× 100)</t>
        </is>
      </c>
      <c r="H155" s="74" t="n">
        <v>100</v>
      </c>
      <c r="I155" s="35" t="inlineStr">
        <is>
          <t>Unit convention: the report workbook computes this share as a fraction, the indicator database stores it as a percent number (migrations 058 / 075 / 076). The conversion is carried here as its own column so the grid and the plotted series agree.</t>
        </is>
      </c>
    </row>
    <row r="156" ht="26" customHeight="1">
      <c r="A156" s="14" t="inlineStr">
        <is>
          <t>T6a</t>
        </is>
      </c>
      <c r="B156" s="15" t="inlineStr">
        <is>
          <t>Fossil share of transport energy use</t>
        </is>
      </c>
      <c r="C156" s="63" t="n">
        <v>2024</v>
      </c>
      <c r="D156" s="64" t="n">
        <v>93.17</v>
      </c>
      <c r="E156" s="15" t="inlineStr">
        <is>
          <t>Derived from the live source</t>
        </is>
      </c>
      <c r="F156" s="19" t="inlineStr">
        <is>
          <t>CONFIRMED — Reproduces from the primary source</t>
        </is>
      </c>
      <c r="G156" s="70" t="inlineStr">
        <is>
          <t>Numerator · nrg_bal_s O4000XBIO</t>
        </is>
      </c>
      <c r="H156" s="71" t="n">
        <v>2991857.74</v>
      </c>
      <c r="I156" s="34" t="inlineStr">
        <is>
          <t>Eurostat nrg_bal_s · geo=EU27_2020, unit=GWH, freq=A, nrg_bal=FC_TRA_E, siec=O4000XBIO · https://ec.europa.eu/eurostat/api/dissemination/statistics/1.0/data/nrg_bal_s?format=JSON&amp;lang=EN&amp;geo=EU27_2020&amp;unit=GWH&amp;freq=A&amp;nrg_bal=FC_TRA_E&amp;siec=O4000XBIO</t>
        </is>
      </c>
      <c r="J156" s="72" t="inlineStr">
        <is>
          <t>https://doi.org/10.2908/NRG_BAL_S</t>
        </is>
      </c>
    </row>
    <row r="157" ht="26" customHeight="1">
      <c r="A157" s="14" t="inlineStr"/>
      <c r="B157" s="15" t="inlineStr"/>
      <c r="C157" s="63" t="n"/>
      <c r="D157" s="64" t="n"/>
      <c r="E157" s="15" t="inlineStr"/>
      <c r="F157" s="15" t="inlineStr"/>
      <c r="G157" s="70" t="inlineStr">
        <is>
          <t>Numerator · nrg_bal_s G3000</t>
        </is>
      </c>
      <c r="H157" s="71" t="n">
        <v>37201.655</v>
      </c>
      <c r="I157" s="34" t="inlineStr">
        <is>
          <t>Eurostat nrg_bal_s · geo=EU27_2020, unit=GWH, freq=A, nrg_bal=FC_TRA_E, siec=G3000 · https://ec.europa.eu/eurostat/api/dissemination/statistics/1.0/data/nrg_bal_s?format=JSON&amp;lang=EN&amp;geo=EU27_2020&amp;unit=GWH&amp;freq=A&amp;nrg_bal=FC_TRA_E&amp;siec=G3000</t>
        </is>
      </c>
      <c r="J157" s="72" t="inlineStr">
        <is>
          <t>https://doi.org/10.2908/NRG_BAL_S</t>
        </is>
      </c>
    </row>
    <row r="158" ht="26" customHeight="1">
      <c r="A158" s="14" t="inlineStr"/>
      <c r="B158" s="15" t="inlineStr"/>
      <c r="C158" s="63" t="n"/>
      <c r="D158" s="64" t="n"/>
      <c r="E158" s="15" t="inlineStr"/>
      <c r="F158" s="15" t="inlineStr"/>
      <c r="G158" s="70" t="inlineStr">
        <is>
          <t>Numerator · nrg_bal_s C0000X0350-0370</t>
        </is>
      </c>
      <c r="H158" s="71" t="n">
        <v>5.083</v>
      </c>
      <c r="I158" s="34" t="inlineStr">
        <is>
          <t>Eurostat nrg_bal_s · geo=EU27_2020, unit=GWH, freq=A, nrg_bal=FC_TRA_E, siec=C0000X0350-0370 · https://ec.europa.eu/eurostat/api/dissemination/statistics/1.0/data/nrg_bal_s?format=JSON&amp;lang=EN&amp;geo=EU27_2020&amp;unit=GWH&amp;freq=A&amp;nrg_bal=FC_TRA_E&amp;siec=C0000X0350-0370</t>
        </is>
      </c>
      <c r="J158" s="72" t="inlineStr">
        <is>
          <t>https://doi.org/10.2908/NRG_BAL_S</t>
        </is>
      </c>
    </row>
    <row r="159" ht="26" customHeight="1">
      <c r="A159" s="14" t="inlineStr"/>
      <c r="B159" s="15" t="inlineStr"/>
      <c r="C159" s="63" t="n"/>
      <c r="D159" s="64" t="n"/>
      <c r="E159" s="15" t="inlineStr"/>
      <c r="F159" s="15" t="inlineStr"/>
      <c r="G159" s="70" t="inlineStr">
        <is>
          <t>Denominator · nrg_bal_s TOTAL</t>
        </is>
      </c>
      <c r="H159" s="71" t="n">
        <v>3299731.965</v>
      </c>
      <c r="I159" s="34" t="inlineStr">
        <is>
          <t>Eurostat nrg_bal_s · geo=EU27_2020, unit=GWH, freq=A, nrg_bal=FC_TRA_E, siec=TOTAL · https://ec.europa.eu/eurostat/api/dissemination/statistics/1.0/data/nrg_bal_s?format=JSON&amp;lang=EN&amp;geo=EU27_2020&amp;unit=GWH&amp;freq=A&amp;nrg_bal=FC_TRA_E&amp;siec=TOTAL</t>
        </is>
      </c>
      <c r="J159" s="72" t="inlineStr">
        <is>
          <t>https://doi.org/10.2908/NRG_BAL_S</t>
        </is>
      </c>
    </row>
    <row r="160" ht="26" customHeight="1">
      <c r="A160" s="14" t="inlineStr"/>
      <c r="B160" s="15" t="inlineStr"/>
      <c r="C160" s="63" t="n"/>
      <c r="D160" s="64" t="n"/>
      <c r="E160" s="15" t="inlineStr"/>
      <c r="F160" s="15" t="inlineStr"/>
      <c r="G160" s="70" t="inlineStr">
        <is>
          <t>Report baseline 2021 (%)</t>
        </is>
      </c>
      <c r="H160" s="71" t="n">
        <v>93.44</v>
      </c>
      <c r="I160" s="34" t="inlineStr">
        <is>
          <t>ESABCC (2024) “Towards EU climate neutrality”, underlying-data workbook — the report's own 2021 figure, the anchor the later years are spliced onto.</t>
        </is>
      </c>
    </row>
    <row r="161" ht="26" customHeight="1">
      <c r="A161" s="14" t="inlineStr"/>
      <c r="B161" s="15" t="inlineStr"/>
      <c r="C161" s="63" t="n"/>
      <c r="D161" s="64" t="n"/>
      <c r="E161" s="15" t="inlineStr"/>
      <c r="F161" s="15" t="inlineStr"/>
      <c r="G161" s="70" t="inlineStr">
        <is>
          <t>Live source at 2021 (same basis as the columns left)</t>
        </is>
      </c>
      <c r="H161" s="71" t="n">
        <v>0.920608</v>
      </c>
      <c r="I161" s="34" t="inlineStr">
        <is>
          <t>Eurostat nrg_bal_s · fossil ÷ total transport final energy · EU27_2020 — the same query, read at 2021; dividing by it cancels the level difference between the source's scope and the report's, leaving only the year-on-year change.</t>
        </is>
      </c>
      <c r="J161" s="72" t="inlineStr">
        <is>
          <t>https://doi.org/10.2908/NRG_BAL_S</t>
        </is>
      </c>
    </row>
    <row r="162" ht="26" customHeight="1">
      <c r="A162" s="14" t="inlineStr"/>
      <c r="B162" s="15" t="inlineStr"/>
      <c r="C162" s="63" t="n"/>
      <c r="D162" s="64" t="n"/>
      <c r="E162" s="15" t="inlineStr"/>
      <c r="F162" s="15" t="inlineStr"/>
      <c r="G162" s="70" t="inlineStr">
        <is>
          <t>fraction → % (× 100)</t>
        </is>
      </c>
      <c r="H162" s="71" t="n">
        <v>100</v>
      </c>
      <c r="I162" s="34" t="inlineStr">
        <is>
          <t>Unit convention: the report workbook computes this share as a fraction, the indicator database stores it as a percent number (migrations 058 / 075 / 076). The conversion is carried here as its own column so the grid and the plotted series agree.</t>
        </is>
      </c>
    </row>
    <row r="163" ht="22" customHeight="1">
      <c r="G163" s="3" t="inlineStr">
        <is>
          <t>Formula:  Value = IF(A &gt;= 2022, ROUND([Report baseline 2021 (%)] * ([Numerator · nrg_bal_s O4000XBIO] + [Numerator · nrg_bal_s G3000] + [Numerator · nrg_bal_s C0000X0350-0370]) / ([Denominator · nrg_bal_s TOTAL]) / [Live source at 2021 (same basis as the columns left)], 2), ([% fossil]) * [fraction → % (× 100)])</t>
        </is>
      </c>
    </row>
    <row r="164" ht="26" customHeight="1">
      <c r="A164" s="67" t="inlineStr">
        <is>
          <t>B1</t>
        </is>
      </c>
      <c r="B164" s="22" t="inlineStr">
        <is>
          <t>Residential + tertiary building GHG emissions</t>
        </is>
      </c>
      <c r="C164" s="65" t="n">
        <v>2023</v>
      </c>
      <c r="D164" s="66" t="n">
        <v>437.3</v>
      </c>
      <c r="E164" s="22" t="inlineStr">
        <is>
          <t>Derived from the live source</t>
        </is>
      </c>
      <c r="F164" s="26" t="inlineStr">
        <is>
          <t>CONFIRMED — Reproduces from the primary source</t>
        </is>
      </c>
      <c r="G164" s="73" t="inlineStr">
        <is>
          <t>env_air_gge CRF1A4</t>
        </is>
      </c>
      <c r="H164" s="74" t="n">
        <v>437.33717</v>
      </c>
      <c r="I164" s="35" t="inlineStr">
        <is>
          <t>Eurostat env_air_gge · geo=EU27_2020, unit=MIO_T, freq=A, airpol=GHG, src_crf=CRF1A4 · https://ec.europa.eu/eurostat/api/dissemination/statistics/1.0/data/env_air_gge?format=JSON&amp;lang=EN&amp;geo=EU27_2020&amp;unit=MIO_T&amp;freq=A&amp;airpol=GHG&amp;src_crf=CRF1A4</t>
        </is>
      </c>
      <c r="J164" s="72" t="inlineStr">
        <is>
          <t>https://doi.org/10.2908/ENV_AIR_GGE</t>
        </is>
      </c>
    </row>
    <row r="165" ht="26" customHeight="1">
      <c r="A165" s="14" t="inlineStr">
        <is>
          <t>B1</t>
        </is>
      </c>
      <c r="B165" s="15" t="inlineStr">
        <is>
          <t>Residential + tertiary building GHG emissions</t>
        </is>
      </c>
      <c r="C165" s="63" t="n">
        <v>2024</v>
      </c>
      <c r="D165" s="64" t="n">
        <v>430.7</v>
      </c>
      <c r="E165" s="15" t="inlineStr">
        <is>
          <t>Derived from the live source</t>
        </is>
      </c>
      <c r="F165" s="19" t="inlineStr">
        <is>
          <t>CONFIRMED — Reproduces from the primary source</t>
        </is>
      </c>
      <c r="G165" s="70" t="inlineStr">
        <is>
          <t>env_air_gge CRF1A4</t>
        </is>
      </c>
      <c r="H165" s="71" t="n">
        <v>430.706</v>
      </c>
      <c r="I165" s="34" t="inlineStr">
        <is>
          <t>Eurostat env_air_gge · geo=EU27_2020, unit=MIO_T, freq=A, airpol=GHG, src_crf=CRF1A4 · https://ec.europa.eu/eurostat/api/dissemination/statistics/1.0/data/env_air_gge?format=JSON&amp;lang=EN&amp;geo=EU27_2020&amp;unit=MIO_T&amp;freq=A&amp;airpol=GHG&amp;src_crf=CRF1A4</t>
        </is>
      </c>
      <c r="J165" s="72" t="inlineStr">
        <is>
          <t>https://doi.org/10.2908/ENV_AIR_GGE</t>
        </is>
      </c>
    </row>
    <row r="166" ht="22" customHeight="1">
      <c r="G166" s="3" t="inlineStr">
        <is>
          <t>Formula:  Value = IF(A &gt;= 2022, IF(A &gt;= 2023, ROUND([env_air_gge CRF1A4], 1), [Report figure — row missing from the seeded grid]), [Residential (CRF 1.A.4.b)]+[Tertiary (CRF 1.A.4.a)]+[Agriculture &amp; fisheries energy (CRF 1.A.4.c)])</t>
        </is>
      </c>
    </row>
    <row r="167" ht="26" customHeight="1">
      <c r="A167" s="67" t="inlineStr">
        <is>
          <t>B2</t>
        </is>
      </c>
      <c r="B167" s="22" t="inlineStr">
        <is>
          <t>Final energy consumption in buildings</t>
        </is>
      </c>
      <c r="C167" s="65" t="n">
        <v>2022</v>
      </c>
      <c r="D167" s="66" t="n">
        <v>4524.2</v>
      </c>
      <c r="E167" s="22" t="inlineStr">
        <is>
          <t>Taken as published</t>
        </is>
      </c>
      <c r="F167" s="29" t="inlineStr">
        <is>
          <t>NOT CHECKABLE — Published figure — source named, not re-derived</t>
        </is>
      </c>
      <c r="G167" s="73" t="inlineStr">
        <is>
          <t>Post-report figure as published</t>
        </is>
      </c>
      <c r="H167" s="74" t="n">
        <v>4213.6</v>
      </c>
      <c r="I167" s="35" t="inlineStr">
        <is>
          <t>Eurostat (nrg_bal_c) — https://ec.europa.eu/eurostat/databrowser/view/nrg_bal_c/default/table</t>
        </is>
      </c>
      <c r="J167" s="72" t="inlineStr">
        <is>
          <t>https://doi.org/10.2908/NRG_BAL_C</t>
        </is>
      </c>
    </row>
    <row r="168" ht="26" customHeight="1">
      <c r="A168" s="14" t="inlineStr">
        <is>
          <t>B2</t>
        </is>
      </c>
      <c r="B168" s="15" t="inlineStr">
        <is>
          <t>Final energy consumption in buildings</t>
        </is>
      </c>
      <c r="C168" s="63" t="n">
        <v>2023</v>
      </c>
      <c r="D168" s="64" t="n">
        <v>4324.2</v>
      </c>
      <c r="E168" s="15" t="inlineStr">
        <is>
          <t>Taken as published</t>
        </is>
      </c>
      <c r="F168" s="33" t="inlineStr">
        <is>
          <t>NOT CHECKABLE — Published figure — source named, not re-derived</t>
        </is>
      </c>
      <c r="G168" s="70" t="inlineStr">
        <is>
          <t>Post-report figure as published</t>
        </is>
      </c>
      <c r="H168" s="71" t="n">
        <v>4037.9</v>
      </c>
      <c r="I168" s="34" t="inlineStr">
        <is>
          <t>Eurostat (nrg_bal_c) — https://ec.europa.eu/eurostat/databrowser/view/nrg_bal_c/default/table</t>
        </is>
      </c>
      <c r="J168" s="72" t="inlineStr">
        <is>
          <t>https://doi.org/10.2908/NRG_BAL_C</t>
        </is>
      </c>
    </row>
    <row r="169" ht="22" customHeight="1">
      <c r="G169" s="3" t="inlineStr">
        <is>
          <t>Formula:  Value = IF(A &gt;= 2022, [Post-report figure as published], ([Residential households (TJ)]+[Tertiary commercial &amp; public services (TJ)]+[Agriculture &amp; forestry (TJ)]) * [TJ → TWh (EJ2TWh/1e6)])</t>
        </is>
      </c>
    </row>
    <row r="170" ht="26" customHeight="1">
      <c r="A170" s="67" t="inlineStr">
        <is>
          <t>B5a</t>
        </is>
      </c>
      <c r="B170" s="22" t="inlineStr">
        <is>
          <t>Fossil share of residential energy mix</t>
        </is>
      </c>
      <c r="C170" s="65" t="n">
        <v>2023</v>
      </c>
      <c r="D170" s="66" t="n">
        <v>42</v>
      </c>
      <c r="E170" s="22" t="inlineStr">
        <is>
          <t>Taken as published</t>
        </is>
      </c>
      <c r="F170" s="29" t="inlineStr">
        <is>
          <t>NOT CHECKABLE — Published figure — source named, not re-derived</t>
        </is>
      </c>
      <c r="G170" s="73" t="inlineStr">
        <is>
          <t>Post-report figure as published</t>
        </is>
      </c>
      <c r="H170" s="74" t="n">
        <v>42</v>
      </c>
      <c r="I170" s="35" t="inlineStr">
        <is>
          <t>Eurostat (nrg_bal_c) — https://ec.europa.eu/eurostat/databrowser/view/nrg_bal_c/default/table</t>
        </is>
      </c>
      <c r="J170" s="72" t="inlineStr">
        <is>
          <t>https://doi.org/10.2908/NRG_BAL_C</t>
        </is>
      </c>
    </row>
    <row r="171" ht="26" customHeight="1">
      <c r="A171" s="67" t="inlineStr"/>
      <c r="B171" s="22" t="inlineStr"/>
      <c r="C171" s="65" t="n"/>
      <c r="D171" s="66" t="n"/>
      <c r="E171" s="22" t="inlineStr"/>
      <c r="F171" s="22" t="inlineStr"/>
      <c r="G171" s="73" t="inlineStr">
        <is>
          <t>fraction → % (× 100)</t>
        </is>
      </c>
      <c r="H171" s="74" t="n">
        <v>100</v>
      </c>
      <c r="I171" s="35" t="inlineStr">
        <is>
          <t>Unit convention: the report workbook computes this share as a fraction, the indicator database stores it as a percent number (migrations 058 / 075 / 076). The conversion is carried here as its own column so the grid and the plotted series agree.</t>
        </is>
      </c>
    </row>
    <row r="172" ht="22" customHeight="1">
      <c r="G172" s="3" t="inlineStr">
        <is>
          <t>Formula:  Value = IF(A &gt;= 2023, [Post-report figure as published], (([Other fossils (solids, …)]+[Liquid fossils]+[Natural gas])/[Total]) * [fraction → % (× 100)])</t>
        </is>
      </c>
    </row>
    <row r="173" ht="26" customHeight="1">
      <c r="A173" s="14" t="inlineStr">
        <is>
          <t>B5b</t>
        </is>
      </c>
      <c r="B173" s="15" t="inlineStr">
        <is>
          <t>Fossil share of tertiary energy mix</t>
        </is>
      </c>
      <c r="C173" s="63" t="n">
        <v>2023</v>
      </c>
      <c r="D173" s="64" t="n">
        <v>32.2</v>
      </c>
      <c r="E173" s="15" t="inlineStr">
        <is>
          <t>Taken as published</t>
        </is>
      </c>
      <c r="F173" s="33" t="inlineStr">
        <is>
          <t>NOT CHECKABLE — Published figure — source named, not re-derived</t>
        </is>
      </c>
      <c r="G173" s="70" t="inlineStr">
        <is>
          <t>Post-report figure as published</t>
        </is>
      </c>
      <c r="H173" s="71" t="n">
        <v>32.2</v>
      </c>
      <c r="I173" s="34" t="inlineStr">
        <is>
          <t>Eurostat (nrg_bal_c) — https://ec.europa.eu/eurostat/databrowser/view/nrg_bal_c/default/table</t>
        </is>
      </c>
      <c r="J173" s="72" t="inlineStr">
        <is>
          <t>https://doi.org/10.2908/NRG_BAL_C</t>
        </is>
      </c>
    </row>
    <row r="174" ht="26" customHeight="1">
      <c r="A174" s="14" t="inlineStr"/>
      <c r="B174" s="15" t="inlineStr"/>
      <c r="C174" s="63" t="n"/>
      <c r="D174" s="64" t="n"/>
      <c r="E174" s="15" t="inlineStr"/>
      <c r="F174" s="15" t="inlineStr"/>
      <c r="G174" s="70" t="inlineStr">
        <is>
          <t>fraction → % (× 100)</t>
        </is>
      </c>
      <c r="H174" s="71" t="n">
        <v>100</v>
      </c>
      <c r="I174" s="34" t="inlineStr">
        <is>
          <t>Unit convention: the report workbook computes this share as a fraction, the indicator database stores it as a percent number (migrations 058 / 075 / 076). The conversion is carried here as its own column so the grid and the plotted series agree.</t>
        </is>
      </c>
    </row>
    <row r="175" ht="22" customHeight="1">
      <c r="G175" s="3" t="inlineStr">
        <is>
          <t>Formula:  Value = IF(A &gt;= 2023, [Post-report figure as published], (([Other fossils (solids/liquid) (tertiary, ktoe)]+[Liquid fossils (tertiary, ktoe)]+[Natural gas (tertiary, ktoe)]) / ([Other fossils (solids/liquid) (tertiary, ktoe)]+[Liquid fossils (tertiary, ktoe)]+[Natural gas (tertiary, ktoe)]+[Electricity (tertiary, ktoe)]+[District heating (tertiary, ktoe)]+[Renewables - bio (tertiary, ktoe)]+[Renewables - other (tertiary, ktoe)])) * [fraction → % (× 100)])</t>
        </is>
      </c>
    </row>
    <row r="176" ht="26" customHeight="1">
      <c r="A176" s="67" t="inlineStr">
        <is>
          <t>B6</t>
        </is>
      </c>
      <c r="B176" s="22" t="inlineStr">
        <is>
          <t>EU stock of installed heat pumps</t>
        </is>
      </c>
      <c r="C176" s="65" t="n">
        <v>2023</v>
      </c>
      <c r="D176" s="66" t="n">
        <v>23.96</v>
      </c>
      <c r="E176" s="22" t="inlineStr">
        <is>
          <t>Reconstructed from the sheet's own conversion</t>
        </is>
      </c>
      <c r="F176" s="29" t="inlineStr">
        <is>
          <t>NOT CHECKABLE — Published figure — source named, not re-derived</t>
        </is>
      </c>
      <c r="G176" s="73" t="inlineStr">
        <is>
          <t>Total heat-pump stock (thousand units)</t>
        </is>
      </c>
      <c r="H176" s="74" t="n">
        <v>23960</v>
      </c>
      <c r="I176" s="35" t="inlineStr">
        <is>
          <t>EHPA annual report</t>
        </is>
      </c>
      <c r="J176" s="72" t="inlineStr">
        <is>
          <t>https://ehpa.org/market-data/</t>
        </is>
      </c>
    </row>
    <row r="177" ht="26" customHeight="1">
      <c r="A177" s="67" t="inlineStr"/>
      <c r="B177" s="22" t="inlineStr"/>
      <c r="C177" s="65" t="n"/>
      <c r="D177" s="66" t="n"/>
      <c r="E177" s="22" t="inlineStr"/>
      <c r="F177" s="22" t="inlineStr"/>
      <c r="G177" s="73" t="inlineStr">
        <is>
          <t>thousand → million (/1000)</t>
        </is>
      </c>
      <c r="H177" s="74" t="n">
        <v>0.001</v>
      </c>
      <c r="I177" s="35" t="inlineStr"/>
    </row>
    <row r="178" ht="26" customHeight="1">
      <c r="A178" s="14" t="inlineStr">
        <is>
          <t>B6</t>
        </is>
      </c>
      <c r="B178" s="15" t="inlineStr">
        <is>
          <t>EU stock of installed heat pumps</t>
        </is>
      </c>
      <c r="C178" s="63" t="n">
        <v>2024</v>
      </c>
      <c r="D178" s="64" t="n">
        <v>25.5</v>
      </c>
      <c r="E178" s="15" t="inlineStr">
        <is>
          <t>Reconstructed from the sheet's own conversion</t>
        </is>
      </c>
      <c r="F178" s="33" t="inlineStr">
        <is>
          <t>NOT CHECKABLE — Published figure — source named, not re-derived</t>
        </is>
      </c>
      <c r="G178" s="70" t="inlineStr">
        <is>
          <t>Total heat-pump stock (thousand units)</t>
        </is>
      </c>
      <c r="H178" s="71" t="n">
        <v>25500</v>
      </c>
      <c r="I178" s="34" t="inlineStr">
        <is>
          <t>EHPA annual report</t>
        </is>
      </c>
      <c r="J178" s="72" t="inlineStr">
        <is>
          <t>https://ehpa.org/market-data/</t>
        </is>
      </c>
    </row>
    <row r="179" ht="26" customHeight="1">
      <c r="A179" s="14" t="inlineStr"/>
      <c r="B179" s="15" t="inlineStr"/>
      <c r="C179" s="63" t="n"/>
      <c r="D179" s="64" t="n"/>
      <c r="E179" s="15" t="inlineStr"/>
      <c r="F179" s="15" t="inlineStr"/>
      <c r="G179" s="70" t="inlineStr">
        <is>
          <t>thousand → million (/1000)</t>
        </is>
      </c>
      <c r="H179" s="71" t="n">
        <v>0.001</v>
      </c>
      <c r="I179" s="34" t="inlineStr"/>
    </row>
    <row r="180" ht="22" customHeight="1">
      <c r="G180" s="3" t="inlineStr">
        <is>
          <t>Formula:  Value = [Total heat-pump stock (thousand units)] * [thousand → million (/1000)]</t>
        </is>
      </c>
    </row>
    <row r="181" ht="26" customHeight="1">
      <c r="A181" s="67" t="inlineStr">
        <is>
          <t>A1</t>
        </is>
      </c>
      <c r="B181" s="22" t="inlineStr">
        <is>
          <t>Agricultural non-CO₂ emissions</t>
        </is>
      </c>
      <c r="C181" s="65" t="n">
        <v>2023</v>
      </c>
      <c r="D181" s="66" t="n">
        <v>359.9</v>
      </c>
      <c r="E181" s="22" t="inlineStr">
        <is>
          <t>Derived from the live source</t>
        </is>
      </c>
      <c r="F181" s="26" t="inlineStr">
        <is>
          <t>CONFIRMED — Reproduces from the primary source</t>
        </is>
      </c>
      <c r="G181" s="73" t="inlineStr">
        <is>
          <t>env_air_gge CRF3 CH4</t>
        </is>
      </c>
      <c r="H181" s="74" t="n">
        <v>8.172219999999999</v>
      </c>
      <c r="I181" s="35" t="inlineStr">
        <is>
          <t>Eurostat env_air_gge · geo=EU27_2020, unit=MIO_T, freq=A, airpol=CH4, src_crf=CRF3 · https://ec.europa.eu/eurostat/api/dissemination/statistics/1.0/data/env_air_gge?format=JSON&amp;lang=EN&amp;geo=EU27_2020&amp;unit=MIO_T&amp;freq=A&amp;airpol=CH4&amp;src_crf=CRF3</t>
        </is>
      </c>
      <c r="J181" s="72" t="inlineStr">
        <is>
          <t>https://doi.org/10.2908/ENV_AIR_GGE</t>
        </is>
      </c>
    </row>
    <row r="182" ht="26" customHeight="1">
      <c r="A182" s="67" t="inlineStr"/>
      <c r="B182" s="22" t="inlineStr"/>
      <c r="C182" s="65" t="n"/>
      <c r="D182" s="66" t="n"/>
      <c r="E182" s="22" t="inlineStr"/>
      <c r="F182" s="22" t="inlineStr"/>
      <c r="G182" s="73" t="inlineStr">
        <is>
          <t>env_air_gge CRF3 N2O</t>
        </is>
      </c>
      <c r="H182" s="74" t="n">
        <v>0.47204</v>
      </c>
      <c r="I182" s="35" t="inlineStr">
        <is>
          <t>Eurostat env_air_gge · geo=EU27_2020, unit=MIO_T, freq=A, airpol=N2O, src_crf=CRF3 · https://ec.europa.eu/eurostat/api/dissemination/statistics/1.0/data/env_air_gge?format=JSON&amp;lang=EN&amp;geo=EU27_2020&amp;unit=MIO_T&amp;freq=A&amp;airpol=N2O&amp;src_crf=CRF3</t>
        </is>
      </c>
      <c r="J182" s="72" t="inlineStr">
        <is>
          <t>https://doi.org/10.2908/ENV_AIR_GGE</t>
        </is>
      </c>
    </row>
    <row r="183" ht="26" customHeight="1">
      <c r="A183" s="67" t="inlineStr"/>
      <c r="B183" s="22" t="inlineStr"/>
      <c r="C183" s="65" t="n"/>
      <c r="D183" s="66" t="n"/>
      <c r="E183" s="22" t="inlineStr"/>
      <c r="F183" s="22" t="inlineStr"/>
      <c r="G183" s="73" t="inlineStr">
        <is>
          <t>Report baseline 2022 (Mt CO₂eq)</t>
        </is>
      </c>
      <c r="H183" s="74" t="n">
        <v>360.9</v>
      </c>
      <c r="I183" s="35" t="inlineStr">
        <is>
          <t>ESABCC (2024) “Towards EU climate neutrality”, underlying-data workbook — the report's own 2022 figure, the anchor the later years are spliced onto.</t>
        </is>
      </c>
    </row>
    <row r="184" ht="26" customHeight="1">
      <c r="A184" s="67" t="inlineStr"/>
      <c r="B184" s="22" t="inlineStr"/>
      <c r="C184" s="65" t="n"/>
      <c r="D184" s="66" t="n"/>
      <c r="E184" s="22" t="inlineStr"/>
      <c r="F184" s="22" t="inlineStr"/>
      <c r="G184" s="73" t="inlineStr">
        <is>
          <t>Live source at 2022 (same basis as the columns left)</t>
        </is>
      </c>
      <c r="H184" s="74" t="n">
        <v>354.85225</v>
      </c>
      <c r="I184" s="35" t="inlineStr">
        <is>
          <t>Eurostat env_air_gge · CRF 3 CH₄+N₂O (GWP-weighted) · EU27_2020 — the same query, read at 2022; dividing by it cancels the level difference between the source's scope and the report's, leaving only the year-on-year change.</t>
        </is>
      </c>
      <c r="J184" s="72" t="inlineStr">
        <is>
          <t>https://doi.org/10.2908/ENV_AIR_GGE</t>
        </is>
      </c>
    </row>
    <row r="185" ht="26" customHeight="1">
      <c r="A185" s="14" t="inlineStr">
        <is>
          <t>A1</t>
        </is>
      </c>
      <c r="B185" s="15" t="inlineStr">
        <is>
          <t>Agricultural non-CO₂ emissions</t>
        </is>
      </c>
      <c r="C185" s="63" t="n">
        <v>2024</v>
      </c>
      <c r="D185" s="64" t="n">
        <v>355.7</v>
      </c>
      <c r="E185" s="15" t="inlineStr">
        <is>
          <t>Derived from the live source</t>
        </is>
      </c>
      <c r="F185" s="19" t="inlineStr">
        <is>
          <t>CONFIRMED — Reproduces from the primary source</t>
        </is>
      </c>
      <c r="G185" s="70" t="inlineStr">
        <is>
          <t>env_air_gge CRF3 CH4</t>
        </is>
      </c>
      <c r="H185" s="71" t="n">
        <v>8.071619999999999</v>
      </c>
      <c r="I185" s="34" t="inlineStr">
        <is>
          <t>Eurostat env_air_gge · geo=EU27_2020, unit=MIO_T, freq=A, airpol=CH4, src_crf=CRF3 · https://ec.europa.eu/eurostat/api/dissemination/statistics/1.0/data/env_air_gge?format=JSON&amp;lang=EN&amp;geo=EU27_2020&amp;unit=MIO_T&amp;freq=A&amp;airpol=CH4&amp;src_crf=CRF3</t>
        </is>
      </c>
      <c r="J185" s="72" t="inlineStr">
        <is>
          <t>https://doi.org/10.2908/ENV_AIR_GGE</t>
        </is>
      </c>
    </row>
    <row r="186" ht="26" customHeight="1">
      <c r="A186" s="14" t="inlineStr"/>
      <c r="B186" s="15" t="inlineStr"/>
      <c r="C186" s="63" t="n"/>
      <c r="D186" s="64" t="n"/>
      <c r="E186" s="15" t="inlineStr"/>
      <c r="F186" s="15" t="inlineStr"/>
      <c r="G186" s="70" t="inlineStr">
        <is>
          <t>env_air_gge CRF3 N2O</t>
        </is>
      </c>
      <c r="H186" s="71" t="n">
        <v>0.46684</v>
      </c>
      <c r="I186" s="34" t="inlineStr">
        <is>
          <t>Eurostat env_air_gge · geo=EU27_2020, unit=MIO_T, freq=A, airpol=N2O, src_crf=CRF3 · https://ec.europa.eu/eurostat/api/dissemination/statistics/1.0/data/env_air_gge?format=JSON&amp;lang=EN&amp;geo=EU27_2020&amp;unit=MIO_T&amp;freq=A&amp;airpol=N2O&amp;src_crf=CRF3</t>
        </is>
      </c>
      <c r="J186" s="72" t="inlineStr">
        <is>
          <t>https://doi.org/10.2908/ENV_AIR_GGE</t>
        </is>
      </c>
    </row>
    <row r="187" ht="26" customHeight="1">
      <c r="A187" s="14" t="inlineStr"/>
      <c r="B187" s="15" t="inlineStr"/>
      <c r="C187" s="63" t="n"/>
      <c r="D187" s="64" t="n"/>
      <c r="E187" s="15" t="inlineStr"/>
      <c r="F187" s="15" t="inlineStr"/>
      <c r="G187" s="70" t="inlineStr">
        <is>
          <t>Report baseline 2022 (Mt CO₂eq)</t>
        </is>
      </c>
      <c r="H187" s="71" t="n">
        <v>360.9</v>
      </c>
      <c r="I187" s="34" t="inlineStr">
        <is>
          <t>ESABCC (2024) “Towards EU climate neutrality”, underlying-data workbook — the report's own 2022 figure, the anchor the later years are spliced onto.</t>
        </is>
      </c>
    </row>
    <row r="188" ht="26" customHeight="1">
      <c r="A188" s="14" t="inlineStr"/>
      <c r="B188" s="15" t="inlineStr"/>
      <c r="C188" s="63" t="n"/>
      <c r="D188" s="64" t="n"/>
      <c r="E188" s="15" t="inlineStr"/>
      <c r="F188" s="15" t="inlineStr"/>
      <c r="G188" s="70" t="inlineStr">
        <is>
          <t>Live source at 2022 (same basis as the columns left)</t>
        </is>
      </c>
      <c r="H188" s="71" t="n">
        <v>354.85225</v>
      </c>
      <c r="I188" s="34" t="inlineStr">
        <is>
          <t>Eurostat env_air_gge · CRF 3 CH₄+N₂O (GWP-weighted) · EU27_2020 — the same query, read at 2022; dividing by it cancels the level difference between the source's scope and the report's, leaving only the year-on-year change.</t>
        </is>
      </c>
      <c r="J188" s="72" t="inlineStr">
        <is>
          <t>https://doi.org/10.2908/ENV_AIR_GGE</t>
        </is>
      </c>
    </row>
    <row r="189" ht="22" customHeight="1">
      <c r="G189" s="3" t="inlineStr">
        <is>
          <t>Formula:  Value = IF(A &gt;= 2022, IF(A &gt;= 2023, ROUND([Report baseline 2022 (Mt CO₂eq)] * ([env_air_gge CRF3 CH4] * 28 + [env_air_gge CRF3 N2O] * 265) / [Live source at 2022 (same basis as the columns left)], 1), [Report figure — row missing from the seeded grid]), [Enteric fermentation]+[Manure management]+[Fertilizer use]+[Other])</t>
        </is>
      </c>
    </row>
    <row r="190" ht="26" customHeight="1">
      <c r="A190" s="67" t="inlineStr">
        <is>
          <t>L1</t>
        </is>
      </c>
      <c r="B190" s="22" t="inlineStr">
        <is>
          <t>LULUCF net GHG balance</t>
        </is>
      </c>
      <c r="C190" s="65" t="n">
        <v>2023</v>
      </c>
      <c r="D190" s="66" t="n">
        <v>-215.5</v>
      </c>
      <c r="E190" s="22" t="inlineStr">
        <is>
          <t>Derived from the live source</t>
        </is>
      </c>
      <c r="F190" s="26" t="inlineStr">
        <is>
          <t>CONFIRMED — Reproduces from the primary source</t>
        </is>
      </c>
      <c r="G190" s="73" t="inlineStr">
        <is>
          <t>env_air_gge CRF4</t>
        </is>
      </c>
      <c r="H190" s="74" t="n">
        <v>-215.51495</v>
      </c>
      <c r="I190" s="35" t="inlineStr">
        <is>
          <t>Eurostat env_air_gge · geo=EU27_2020, unit=MIO_T, freq=A, airpol=GHG, src_crf=CRF4 · https://ec.europa.eu/eurostat/api/dissemination/statistics/1.0/data/env_air_gge?format=JSON&amp;lang=EN&amp;geo=EU27_2020&amp;unit=MIO_T&amp;freq=A&amp;airpol=GHG&amp;src_crf=CRF4</t>
        </is>
      </c>
      <c r="J190" s="72" t="inlineStr">
        <is>
          <t>https://doi.org/10.2908/ENV_AIR_GGE</t>
        </is>
      </c>
    </row>
    <row r="191" ht="26" customHeight="1">
      <c r="A191" s="14" t="inlineStr">
        <is>
          <t>L1</t>
        </is>
      </c>
      <c r="B191" s="15" t="inlineStr">
        <is>
          <t>LULUCF net GHG balance</t>
        </is>
      </c>
      <c r="C191" s="63" t="n">
        <v>2024</v>
      </c>
      <c r="D191" s="64" t="n">
        <v>-231</v>
      </c>
      <c r="E191" s="15" t="inlineStr">
        <is>
          <t>Derived from the live source</t>
        </is>
      </c>
      <c r="F191" s="19" t="inlineStr">
        <is>
          <t>CONFIRMED — Reproduces from the primary source</t>
        </is>
      </c>
      <c r="G191" s="70" t="inlineStr">
        <is>
          <t>env_air_gge CRF4</t>
        </is>
      </c>
      <c r="H191" s="71" t="n">
        <v>-230.98516</v>
      </c>
      <c r="I191" s="34" t="inlineStr">
        <is>
          <t>Eurostat env_air_gge · geo=EU27_2020, unit=MIO_T, freq=A, airpol=GHG, src_crf=CRF4 · https://ec.europa.eu/eurostat/api/dissemination/statistics/1.0/data/env_air_gge?format=JSON&amp;lang=EN&amp;geo=EU27_2020&amp;unit=MIO_T&amp;freq=A&amp;airpol=GHG&amp;src_crf=CRF4</t>
        </is>
      </c>
      <c r="J191" s="72" t="inlineStr">
        <is>
          <t>https://doi.org/10.2908/ENV_AIR_GGE</t>
        </is>
      </c>
    </row>
    <row r="192" ht="22" customHeight="1">
      <c r="G192" s="3" t="inlineStr">
        <is>
          <t>Formula:  Value = IF(A &gt;= 2023, ROUND([env_air_gge CRF4], 1), [4 - Land Use, Land-Use Change and Forestry] / 1000)</t>
        </is>
      </c>
    </row>
    <row r="193" ht="26" customHeight="1">
      <c r="A193" s="67" t="inlineStr">
        <is>
          <t>L6</t>
        </is>
      </c>
      <c r="B193" s="22" t="inlineStr">
        <is>
          <t>Forest land living-biomass carbon sink</t>
        </is>
      </c>
      <c r="C193" s="65" t="n">
        <v>2022</v>
      </c>
      <c r="D193" s="66" t="n">
        <v>236.7</v>
      </c>
      <c r="E193" s="22" t="inlineStr">
        <is>
          <t>Derived from the live source</t>
        </is>
      </c>
      <c r="F193" s="26" t="inlineStr">
        <is>
          <t>CONFIRMED — Reproduces from the primary source</t>
        </is>
      </c>
      <c r="G193" s="73" t="inlineStr">
        <is>
          <t>env_air_gge CRF4A</t>
        </is>
      </c>
      <c r="H193" s="74" t="n">
        <v>-302.45655</v>
      </c>
      <c r="I193" s="35" t="inlineStr">
        <is>
          <t>Eurostat env_air_gge · geo=EU27_2020, unit=MIO_T, freq=A, airpol=GHG, src_crf=CRF4A · https://ec.europa.eu/eurostat/api/dissemination/statistics/1.0/data/env_air_gge?format=JSON&amp;lang=EN&amp;geo=EU27_2020&amp;unit=MIO_T&amp;freq=A&amp;airpol=GHG&amp;src_crf=CRF4A</t>
        </is>
      </c>
      <c r="J193" s="72" t="inlineStr">
        <is>
          <t>https://doi.org/10.2908/ENV_AIR_GGE</t>
        </is>
      </c>
    </row>
    <row r="194" ht="26" customHeight="1">
      <c r="A194" s="67" t="inlineStr"/>
      <c r="B194" s="22" t="inlineStr"/>
      <c r="C194" s="65" t="n"/>
      <c r="D194" s="66" t="n"/>
      <c r="E194" s="22" t="inlineStr"/>
      <c r="F194" s="22" t="inlineStr"/>
      <c r="G194" s="73" t="inlineStr">
        <is>
          <t>Report baseline 2021 (Mt CO₂eq)</t>
        </is>
      </c>
      <c r="H194" s="74" t="n">
        <v>231.8</v>
      </c>
      <c r="I194" s="35" t="inlineStr">
        <is>
          <t>ESABCC (2024) “Towards EU climate neutrality”, underlying-data workbook — the report's own 2021 figure, the anchor the later years are spliced onto.</t>
        </is>
      </c>
    </row>
    <row r="195" ht="26" customHeight="1">
      <c r="A195" s="67" t="inlineStr"/>
      <c r="B195" s="22" t="inlineStr"/>
      <c r="C195" s="65" t="n"/>
      <c r="D195" s="66" t="n"/>
      <c r="E195" s="22" t="inlineStr"/>
      <c r="F195" s="22" t="inlineStr"/>
      <c r="G195" s="73" t="inlineStr">
        <is>
          <t>Live source at 2021 (same basis as the columns left)</t>
        </is>
      </c>
      <c r="H195" s="74" t="n">
        <v>-296.16285</v>
      </c>
      <c r="I195" s="35" t="inlineStr">
        <is>
          <t>Eurostat env_air_gge · CRF 4.A forest land · EU27_2020 — the same query, read at 2021; dividing by it cancels the level difference between the source's scope and the report's, leaving only the year-on-year change.</t>
        </is>
      </c>
      <c r="J195" s="72" t="inlineStr">
        <is>
          <t>https://doi.org/10.2908/ENV_AIR_GGE</t>
        </is>
      </c>
    </row>
    <row r="196" ht="26" customHeight="1">
      <c r="A196" s="14" t="inlineStr">
        <is>
          <t>L6</t>
        </is>
      </c>
      <c r="B196" s="15" t="inlineStr">
        <is>
          <t>Forest land living-biomass carbon sink</t>
        </is>
      </c>
      <c r="C196" s="63" t="n">
        <v>2023</v>
      </c>
      <c r="D196" s="64" t="n">
        <v>255.7</v>
      </c>
      <c r="E196" s="15" t="inlineStr">
        <is>
          <t>Derived from the live source</t>
        </is>
      </c>
      <c r="F196" s="19" t="inlineStr">
        <is>
          <t>CONFIRMED — Reproduces from the primary source</t>
        </is>
      </c>
      <c r="G196" s="70" t="inlineStr">
        <is>
          <t>env_air_gge CRF4A</t>
        </is>
      </c>
      <c r="H196" s="71" t="n">
        <v>-326.66099</v>
      </c>
      <c r="I196" s="34" t="inlineStr">
        <is>
          <t>Eurostat env_air_gge · geo=EU27_2020, unit=MIO_T, freq=A, airpol=GHG, src_crf=CRF4A · https://ec.europa.eu/eurostat/api/dissemination/statistics/1.0/data/env_air_gge?format=JSON&amp;lang=EN&amp;geo=EU27_2020&amp;unit=MIO_T&amp;freq=A&amp;airpol=GHG&amp;src_crf=CRF4A</t>
        </is>
      </c>
      <c r="J196" s="72" t="inlineStr">
        <is>
          <t>https://doi.org/10.2908/ENV_AIR_GGE</t>
        </is>
      </c>
    </row>
    <row r="197" ht="26" customHeight="1">
      <c r="A197" s="14" t="inlineStr"/>
      <c r="B197" s="15" t="inlineStr"/>
      <c r="C197" s="63" t="n"/>
      <c r="D197" s="64" t="n"/>
      <c r="E197" s="15" t="inlineStr"/>
      <c r="F197" s="15" t="inlineStr"/>
      <c r="G197" s="70" t="inlineStr">
        <is>
          <t>Report baseline 2021 (Mt CO₂eq)</t>
        </is>
      </c>
      <c r="H197" s="71" t="n">
        <v>231.8</v>
      </c>
      <c r="I197" s="34" t="inlineStr">
        <is>
          <t>ESABCC (2024) “Towards EU climate neutrality”, underlying-data workbook — the report's own 2021 figure, the anchor the later years are spliced onto.</t>
        </is>
      </c>
    </row>
    <row r="198" ht="26" customHeight="1">
      <c r="A198" s="14" t="inlineStr"/>
      <c r="B198" s="15" t="inlineStr"/>
      <c r="C198" s="63" t="n"/>
      <c r="D198" s="64" t="n"/>
      <c r="E198" s="15" t="inlineStr"/>
      <c r="F198" s="15" t="inlineStr"/>
      <c r="G198" s="70" t="inlineStr">
        <is>
          <t>Live source at 2021 (same basis as the columns left)</t>
        </is>
      </c>
      <c r="H198" s="71" t="n">
        <v>-296.16285</v>
      </c>
      <c r="I198" s="34" t="inlineStr">
        <is>
          <t>Eurostat env_air_gge · CRF 4.A forest land · EU27_2020 — the same query, read at 2021; dividing by it cancels the level difference between the source's scope and the report's, leaving only the year-on-year change.</t>
        </is>
      </c>
      <c r="J198" s="72" t="inlineStr">
        <is>
          <t>https://doi.org/10.2908/ENV_AIR_GGE</t>
        </is>
      </c>
    </row>
    <row r="199" ht="26" customHeight="1">
      <c r="A199" s="67" t="inlineStr">
        <is>
          <t>L6</t>
        </is>
      </c>
      <c r="B199" s="22" t="inlineStr">
        <is>
          <t>Forest land living-biomass carbon sink</t>
        </is>
      </c>
      <c r="C199" s="65" t="n">
        <v>2024</v>
      </c>
      <c r="D199" s="66" t="n">
        <v>258.3</v>
      </c>
      <c r="E199" s="22" t="inlineStr">
        <is>
          <t>Derived from the live source</t>
        </is>
      </c>
      <c r="F199" s="26" t="inlineStr">
        <is>
          <t>CONFIRMED — Reproduces from the primary source</t>
        </is>
      </c>
      <c r="G199" s="73" t="inlineStr">
        <is>
          <t>env_air_gge CRF4A</t>
        </is>
      </c>
      <c r="H199" s="74" t="n">
        <v>-329.98746</v>
      </c>
      <c r="I199" s="35" t="inlineStr">
        <is>
          <t>Eurostat env_air_gge · geo=EU27_2020, unit=MIO_T, freq=A, airpol=GHG, src_crf=CRF4A · https://ec.europa.eu/eurostat/api/dissemination/statistics/1.0/data/env_air_gge?format=JSON&amp;lang=EN&amp;geo=EU27_2020&amp;unit=MIO_T&amp;freq=A&amp;airpol=GHG&amp;src_crf=CRF4A</t>
        </is>
      </c>
      <c r="J199" s="72" t="inlineStr">
        <is>
          <t>https://doi.org/10.2908/ENV_AIR_GGE</t>
        </is>
      </c>
    </row>
    <row r="200" ht="26" customHeight="1">
      <c r="A200" s="67" t="inlineStr"/>
      <c r="B200" s="22" t="inlineStr"/>
      <c r="C200" s="65" t="n"/>
      <c r="D200" s="66" t="n"/>
      <c r="E200" s="22" t="inlineStr"/>
      <c r="F200" s="22" t="inlineStr"/>
      <c r="G200" s="73" t="inlineStr">
        <is>
          <t>Report baseline 2021 (Mt CO₂eq)</t>
        </is>
      </c>
      <c r="H200" s="74" t="n">
        <v>231.8</v>
      </c>
      <c r="I200" s="35" t="inlineStr">
        <is>
          <t>ESABCC (2024) “Towards EU climate neutrality”, underlying-data workbook — the report's own 2021 figure, the anchor the later years are spliced onto.</t>
        </is>
      </c>
    </row>
    <row r="201" ht="26" customHeight="1">
      <c r="A201" s="67" t="inlineStr"/>
      <c r="B201" s="22" t="inlineStr"/>
      <c r="C201" s="65" t="n"/>
      <c r="D201" s="66" t="n"/>
      <c r="E201" s="22" t="inlineStr"/>
      <c r="F201" s="22" t="inlineStr"/>
      <c r="G201" s="73" t="inlineStr">
        <is>
          <t>Live source at 2021 (same basis as the columns left)</t>
        </is>
      </c>
      <c r="H201" s="74" t="n">
        <v>-296.16285</v>
      </c>
      <c r="I201" s="35" t="inlineStr">
        <is>
          <t>Eurostat env_air_gge · CRF 4.A forest land · EU27_2020 — the same query, read at 2021; dividing by it cancels the level difference between the source's scope and the report's, leaving only the year-on-year change.</t>
        </is>
      </c>
      <c r="J201" s="72" t="inlineStr">
        <is>
          <t>https://doi.org/10.2908/ENV_AIR_GGE</t>
        </is>
      </c>
    </row>
    <row r="202" ht="22" customHeight="1">
      <c r="G202" s="3" t="inlineStr">
        <is>
          <t>Formula:  Value = IF(A &gt;= 2022, ROUND([Report baseline 2021 (Mt CO₂eq)] * [env_air_gge CRF4A] / [Live source at 2021 (same basis as the columns left)], 1), ([Carbon stock gain in living biomass]+[Carbon stock loss in living biomass]) * 0.003664)</t>
        </is>
      </c>
    </row>
    <row r="203" ht="26" customHeight="1">
      <c r="A203" s="14" t="inlineStr">
        <is>
          <t>L7</t>
        </is>
      </c>
      <c r="B203" s="15" t="inlineStr">
        <is>
          <t>Non-forest LULUCF net GHG emissions</t>
        </is>
      </c>
      <c r="C203" s="63" t="n">
        <v>2022</v>
      </c>
      <c r="D203" s="64" t="n">
        <v>121</v>
      </c>
      <c r="E203" s="15" t="inlineStr">
        <is>
          <t>Derived from the live source</t>
        </is>
      </c>
      <c r="F203" s="19" t="inlineStr">
        <is>
          <t>CONFIRMED — Reproduces from the primary source</t>
        </is>
      </c>
      <c r="G203" s="70" t="inlineStr">
        <is>
          <t>env_air_gge CRF4B</t>
        </is>
      </c>
      <c r="H203" s="71" t="n">
        <v>48.81144</v>
      </c>
      <c r="I203" s="34" t="inlineStr">
        <is>
          <t>Eurostat env_air_gge · geo=EU27_2020, unit=MIO_T, freq=A, airpol=GHG, src_crf=CRF4B · https://ec.europa.eu/eurostat/api/dissemination/statistics/1.0/data/env_air_gge?format=JSON&amp;lang=EN&amp;geo=EU27_2020&amp;unit=MIO_T&amp;freq=A&amp;airpol=GHG&amp;src_crf=CRF4B</t>
        </is>
      </c>
      <c r="J203" s="72" t="inlineStr">
        <is>
          <t>https://doi.org/10.2908/ENV_AIR_GGE</t>
        </is>
      </c>
    </row>
    <row r="204" ht="26" customHeight="1">
      <c r="A204" s="14" t="inlineStr"/>
      <c r="B204" s="15" t="inlineStr"/>
      <c r="C204" s="63" t="n"/>
      <c r="D204" s="64" t="n"/>
      <c r="E204" s="15" t="inlineStr"/>
      <c r="F204" s="15" t="inlineStr"/>
      <c r="G204" s="70" t="inlineStr">
        <is>
          <t>env_air_gge CRF4C</t>
        </is>
      </c>
      <c r="H204" s="71" t="n">
        <v>13.87313</v>
      </c>
      <c r="I204" s="34" t="inlineStr">
        <is>
          <t>Eurostat env_air_gge · geo=EU27_2020, unit=MIO_T, freq=A, airpol=GHG, src_crf=CRF4C · https://ec.europa.eu/eurostat/api/dissemination/statistics/1.0/data/env_air_gge?format=JSON&amp;lang=EN&amp;geo=EU27_2020&amp;unit=MIO_T&amp;freq=A&amp;airpol=GHG&amp;src_crf=CRF4C</t>
        </is>
      </c>
      <c r="J204" s="72" t="inlineStr">
        <is>
          <t>https://doi.org/10.2908/ENV_AIR_GGE</t>
        </is>
      </c>
    </row>
    <row r="205" ht="26" customHeight="1">
      <c r="A205" s="14" t="inlineStr"/>
      <c r="B205" s="15" t="inlineStr"/>
      <c r="C205" s="63" t="n"/>
      <c r="D205" s="64" t="n"/>
      <c r="E205" s="15" t="inlineStr"/>
      <c r="F205" s="15" t="inlineStr"/>
      <c r="G205" s="70" t="inlineStr">
        <is>
          <t>env_air_gge CRF4D</t>
        </is>
      </c>
      <c r="H205" s="71" t="n">
        <v>24.99028</v>
      </c>
      <c r="I205" s="34" t="inlineStr">
        <is>
          <t>Eurostat env_air_gge · geo=EU27_2020, unit=MIO_T, freq=A, airpol=GHG, src_crf=CRF4D · https://ec.europa.eu/eurostat/api/dissemination/statistics/1.0/data/env_air_gge?format=JSON&amp;lang=EN&amp;geo=EU27_2020&amp;unit=MIO_T&amp;freq=A&amp;airpol=GHG&amp;src_crf=CRF4D</t>
        </is>
      </c>
      <c r="J205" s="72" t="inlineStr">
        <is>
          <t>https://doi.org/10.2908/ENV_AIR_GGE</t>
        </is>
      </c>
    </row>
    <row r="206" ht="26" customHeight="1">
      <c r="A206" s="14" t="inlineStr"/>
      <c r="B206" s="15" t="inlineStr"/>
      <c r="C206" s="63" t="n"/>
      <c r="D206" s="64" t="n"/>
      <c r="E206" s="15" t="inlineStr"/>
      <c r="F206" s="15" t="inlineStr"/>
      <c r="G206" s="70" t="inlineStr">
        <is>
          <t>env_air_gge CRF4E</t>
        </is>
      </c>
      <c r="H206" s="71" t="n">
        <v>31.19317</v>
      </c>
      <c r="I206" s="34" t="inlineStr">
        <is>
          <t>Eurostat env_air_gge · geo=EU27_2020, unit=MIO_T, freq=A, airpol=GHG, src_crf=CRF4E · https://ec.europa.eu/eurostat/api/dissemination/statistics/1.0/data/env_air_gge?format=JSON&amp;lang=EN&amp;geo=EU27_2020&amp;unit=MIO_T&amp;freq=A&amp;airpol=GHG&amp;src_crf=CRF4E</t>
        </is>
      </c>
      <c r="J206" s="72" t="inlineStr">
        <is>
          <t>https://doi.org/10.2908/ENV_AIR_GGE</t>
        </is>
      </c>
    </row>
    <row r="207" ht="26" customHeight="1">
      <c r="A207" s="14" t="inlineStr"/>
      <c r="B207" s="15" t="inlineStr"/>
      <c r="C207" s="63" t="n"/>
      <c r="D207" s="64" t="n"/>
      <c r="E207" s="15" t="inlineStr"/>
      <c r="F207" s="15" t="inlineStr"/>
      <c r="G207" s="70" t="inlineStr">
        <is>
          <t>env_air_gge CRF4F</t>
        </is>
      </c>
      <c r="H207" s="71" t="n">
        <v>2.15242</v>
      </c>
      <c r="I207" s="34" t="inlineStr">
        <is>
          <t>Eurostat env_air_gge · geo=EU27_2020, unit=MIO_T, freq=A, airpol=GHG, src_crf=CRF4F · https://ec.europa.eu/eurostat/api/dissemination/statistics/1.0/data/env_air_gge?format=JSON&amp;lang=EN&amp;geo=EU27_2020&amp;unit=MIO_T&amp;freq=A&amp;airpol=GHG&amp;src_crf=CRF4F</t>
        </is>
      </c>
      <c r="J207" s="72" t="inlineStr">
        <is>
          <t>https://doi.org/10.2908/ENV_AIR_GGE</t>
        </is>
      </c>
    </row>
    <row r="208" ht="26" customHeight="1">
      <c r="A208" s="67" t="inlineStr">
        <is>
          <t>L7</t>
        </is>
      </c>
      <c r="B208" s="22" t="inlineStr">
        <is>
          <t>Non-forest LULUCF net GHG emissions</t>
        </is>
      </c>
      <c r="C208" s="65" t="n">
        <v>2023</v>
      </c>
      <c r="D208" s="66" t="n">
        <v>135.6</v>
      </c>
      <c r="E208" s="22" t="inlineStr">
        <is>
          <t>Derived from the live source</t>
        </is>
      </c>
      <c r="F208" s="26" t="inlineStr">
        <is>
          <t>CONFIRMED — Reproduces from the primary source</t>
        </is>
      </c>
      <c r="G208" s="73" t="inlineStr">
        <is>
          <t>env_air_gge CRF4B</t>
        </is>
      </c>
      <c r="H208" s="74" t="n">
        <v>64.02566</v>
      </c>
      <c r="I208" s="35" t="inlineStr">
        <is>
          <t>Eurostat env_air_gge · geo=EU27_2020, unit=MIO_T, freq=A, airpol=GHG, src_crf=CRF4B · https://ec.europa.eu/eurostat/api/dissemination/statistics/1.0/data/env_air_gge?format=JSON&amp;lang=EN&amp;geo=EU27_2020&amp;unit=MIO_T&amp;freq=A&amp;airpol=GHG&amp;src_crf=CRF4B</t>
        </is>
      </c>
      <c r="J208" s="72" t="inlineStr">
        <is>
          <t>https://doi.org/10.2908/ENV_AIR_GGE</t>
        </is>
      </c>
    </row>
    <row r="209" ht="26" customHeight="1">
      <c r="A209" s="67" t="inlineStr"/>
      <c r="B209" s="22" t="inlineStr"/>
      <c r="C209" s="65" t="n"/>
      <c r="D209" s="66" t="n"/>
      <c r="E209" s="22" t="inlineStr"/>
      <c r="F209" s="22" t="inlineStr"/>
      <c r="G209" s="73" t="inlineStr">
        <is>
          <t>env_air_gge CRF4C</t>
        </is>
      </c>
      <c r="H209" s="74" t="n">
        <v>6.01163</v>
      </c>
      <c r="I209" s="35" t="inlineStr">
        <is>
          <t>Eurostat env_air_gge · geo=EU27_2020, unit=MIO_T, freq=A, airpol=GHG, src_crf=CRF4C · https://ec.europa.eu/eurostat/api/dissemination/statistics/1.0/data/env_air_gge?format=JSON&amp;lang=EN&amp;geo=EU27_2020&amp;unit=MIO_T&amp;freq=A&amp;airpol=GHG&amp;src_crf=CRF4C</t>
        </is>
      </c>
      <c r="J209" s="72" t="inlineStr">
        <is>
          <t>https://doi.org/10.2908/ENV_AIR_GGE</t>
        </is>
      </c>
    </row>
    <row r="210" ht="26" customHeight="1">
      <c r="A210" s="67" t="inlineStr"/>
      <c r="B210" s="22" t="inlineStr"/>
      <c r="C210" s="65" t="n"/>
      <c r="D210" s="66" t="n"/>
      <c r="E210" s="22" t="inlineStr"/>
      <c r="F210" s="22" t="inlineStr"/>
      <c r="G210" s="73" t="inlineStr">
        <is>
          <t>env_air_gge CRF4D</t>
        </is>
      </c>
      <c r="H210" s="74" t="n">
        <v>23.35143</v>
      </c>
      <c r="I210" s="35" t="inlineStr">
        <is>
          <t>Eurostat env_air_gge · geo=EU27_2020, unit=MIO_T, freq=A, airpol=GHG, src_crf=CRF4D · https://ec.europa.eu/eurostat/api/dissemination/statistics/1.0/data/env_air_gge?format=JSON&amp;lang=EN&amp;geo=EU27_2020&amp;unit=MIO_T&amp;freq=A&amp;airpol=GHG&amp;src_crf=CRF4D</t>
        </is>
      </c>
      <c r="J210" s="72" t="inlineStr">
        <is>
          <t>https://doi.org/10.2908/ENV_AIR_GGE</t>
        </is>
      </c>
    </row>
    <row r="211" ht="26" customHeight="1">
      <c r="A211" s="67" t="inlineStr"/>
      <c r="B211" s="22" t="inlineStr"/>
      <c r="C211" s="65" t="n"/>
      <c r="D211" s="66" t="n"/>
      <c r="E211" s="22" t="inlineStr"/>
      <c r="F211" s="22" t="inlineStr"/>
      <c r="G211" s="73" t="inlineStr">
        <is>
          <t>env_air_gge CRF4E</t>
        </is>
      </c>
      <c r="H211" s="74" t="n">
        <v>40.4274</v>
      </c>
      <c r="I211" s="35" t="inlineStr">
        <is>
          <t>Eurostat env_air_gge · geo=EU27_2020, unit=MIO_T, freq=A, airpol=GHG, src_crf=CRF4E · https://ec.europa.eu/eurostat/api/dissemination/statistics/1.0/data/env_air_gge?format=JSON&amp;lang=EN&amp;geo=EU27_2020&amp;unit=MIO_T&amp;freq=A&amp;airpol=GHG&amp;src_crf=CRF4E</t>
        </is>
      </c>
      <c r="J211" s="72" t="inlineStr">
        <is>
          <t>https://doi.org/10.2908/ENV_AIR_GGE</t>
        </is>
      </c>
    </row>
    <row r="212" ht="26" customHeight="1">
      <c r="A212" s="67" t="inlineStr"/>
      <c r="B212" s="22" t="inlineStr"/>
      <c r="C212" s="65" t="n"/>
      <c r="D212" s="66" t="n"/>
      <c r="E212" s="22" t="inlineStr"/>
      <c r="F212" s="22" t="inlineStr"/>
      <c r="G212" s="73" t="inlineStr">
        <is>
          <t>env_air_gge CRF4F</t>
        </is>
      </c>
      <c r="H212" s="74" t="n">
        <v>1.83318</v>
      </c>
      <c r="I212" s="35" t="inlineStr">
        <is>
          <t>Eurostat env_air_gge · geo=EU27_2020, unit=MIO_T, freq=A, airpol=GHG, src_crf=CRF4F · https://ec.europa.eu/eurostat/api/dissemination/statistics/1.0/data/env_air_gge?format=JSON&amp;lang=EN&amp;geo=EU27_2020&amp;unit=MIO_T&amp;freq=A&amp;airpol=GHG&amp;src_crf=CRF4F</t>
        </is>
      </c>
      <c r="J212" s="72" t="inlineStr">
        <is>
          <t>https://doi.org/10.2908/ENV_AIR_GGE</t>
        </is>
      </c>
    </row>
    <row r="213" ht="26" customHeight="1">
      <c r="A213" s="14" t="inlineStr">
        <is>
          <t>L7</t>
        </is>
      </c>
      <c r="B213" s="15" t="inlineStr">
        <is>
          <t>Non-forest LULUCF net GHG emissions</t>
        </is>
      </c>
      <c r="C213" s="63" t="n">
        <v>2024</v>
      </c>
      <c r="D213" s="64" t="n">
        <v>123</v>
      </c>
      <c r="E213" s="15" t="inlineStr">
        <is>
          <t>Derived from the live source</t>
        </is>
      </c>
      <c r="F213" s="19" t="inlineStr">
        <is>
          <t>CONFIRMED — Reproduces from the primary source</t>
        </is>
      </c>
      <c r="G213" s="70" t="inlineStr">
        <is>
          <t>env_air_gge CRF4B</t>
        </is>
      </c>
      <c r="H213" s="71" t="n">
        <v>48.87363</v>
      </c>
      <c r="I213" s="34" t="inlineStr">
        <is>
          <t>Eurostat env_air_gge · geo=EU27_2020, unit=MIO_T, freq=A, airpol=GHG, src_crf=CRF4B · https://ec.europa.eu/eurostat/api/dissemination/statistics/1.0/data/env_air_gge?format=JSON&amp;lang=EN&amp;geo=EU27_2020&amp;unit=MIO_T&amp;freq=A&amp;airpol=GHG&amp;src_crf=CRF4B</t>
        </is>
      </c>
      <c r="J213" s="72" t="inlineStr">
        <is>
          <t>https://doi.org/10.2908/ENV_AIR_GGE</t>
        </is>
      </c>
    </row>
    <row r="214" ht="26" customHeight="1">
      <c r="A214" s="14" t="inlineStr"/>
      <c r="B214" s="15" t="inlineStr"/>
      <c r="C214" s="63" t="n"/>
      <c r="D214" s="64" t="n"/>
      <c r="E214" s="15" t="inlineStr"/>
      <c r="F214" s="15" t="inlineStr"/>
      <c r="G214" s="70" t="inlineStr">
        <is>
          <t>env_air_gge CRF4C</t>
        </is>
      </c>
      <c r="H214" s="71" t="n">
        <v>9.16827</v>
      </c>
      <c r="I214" s="34" t="inlineStr">
        <is>
          <t>Eurostat env_air_gge · geo=EU27_2020, unit=MIO_T, freq=A, airpol=GHG, src_crf=CRF4C · https://ec.europa.eu/eurostat/api/dissemination/statistics/1.0/data/env_air_gge?format=JSON&amp;lang=EN&amp;geo=EU27_2020&amp;unit=MIO_T&amp;freq=A&amp;airpol=GHG&amp;src_crf=CRF4C</t>
        </is>
      </c>
      <c r="J214" s="72" t="inlineStr">
        <is>
          <t>https://doi.org/10.2908/ENV_AIR_GGE</t>
        </is>
      </c>
    </row>
    <row r="215" ht="26" customHeight="1">
      <c r="A215" s="14" t="inlineStr"/>
      <c r="B215" s="15" t="inlineStr"/>
      <c r="C215" s="63" t="n"/>
      <c r="D215" s="64" t="n"/>
      <c r="E215" s="15" t="inlineStr"/>
      <c r="F215" s="15" t="inlineStr"/>
      <c r="G215" s="70" t="inlineStr">
        <is>
          <t>env_air_gge CRF4D</t>
        </is>
      </c>
      <c r="H215" s="71" t="n">
        <v>23.08914</v>
      </c>
      <c r="I215" s="34" t="inlineStr">
        <is>
          <t>Eurostat env_air_gge · geo=EU27_2020, unit=MIO_T, freq=A, airpol=GHG, src_crf=CRF4D · https://ec.europa.eu/eurostat/api/dissemination/statistics/1.0/data/env_air_gge?format=JSON&amp;lang=EN&amp;geo=EU27_2020&amp;unit=MIO_T&amp;freq=A&amp;airpol=GHG&amp;src_crf=CRF4D</t>
        </is>
      </c>
      <c r="J215" s="72" t="inlineStr">
        <is>
          <t>https://doi.org/10.2908/ENV_AIR_GGE</t>
        </is>
      </c>
    </row>
    <row r="216" ht="26" customHeight="1">
      <c r="A216" s="14" t="inlineStr"/>
      <c r="B216" s="15" t="inlineStr"/>
      <c r="C216" s="63" t="n"/>
      <c r="D216" s="64" t="n"/>
      <c r="E216" s="15" t="inlineStr"/>
      <c r="F216" s="15" t="inlineStr"/>
      <c r="G216" s="70" t="inlineStr">
        <is>
          <t>env_air_gge CRF4E</t>
        </is>
      </c>
      <c r="H216" s="71" t="n">
        <v>39.8874</v>
      </c>
      <c r="I216" s="34" t="inlineStr">
        <is>
          <t>Eurostat env_air_gge · geo=EU27_2020, unit=MIO_T, freq=A, airpol=GHG, src_crf=CRF4E · https://ec.europa.eu/eurostat/api/dissemination/statistics/1.0/data/env_air_gge?format=JSON&amp;lang=EN&amp;geo=EU27_2020&amp;unit=MIO_T&amp;freq=A&amp;airpol=GHG&amp;src_crf=CRF4E</t>
        </is>
      </c>
      <c r="J216" s="72" t="inlineStr">
        <is>
          <t>https://doi.org/10.2908/ENV_AIR_GGE</t>
        </is>
      </c>
    </row>
    <row r="217" ht="26" customHeight="1">
      <c r="A217" s="14" t="inlineStr"/>
      <c r="B217" s="15" t="inlineStr"/>
      <c r="C217" s="63" t="n"/>
      <c r="D217" s="64" t="n"/>
      <c r="E217" s="15" t="inlineStr"/>
      <c r="F217" s="15" t="inlineStr"/>
      <c r="G217" s="70" t="inlineStr">
        <is>
          <t>env_air_gge CRF4F</t>
        </is>
      </c>
      <c r="H217" s="71" t="n">
        <v>1.9467</v>
      </c>
      <c r="I217" s="34" t="inlineStr">
        <is>
          <t>Eurostat env_air_gge · geo=EU27_2020, unit=MIO_T, freq=A, airpol=GHG, src_crf=CRF4F · https://ec.europa.eu/eurostat/api/dissemination/statistics/1.0/data/env_air_gge?format=JSON&amp;lang=EN&amp;geo=EU27_2020&amp;unit=MIO_T&amp;freq=A&amp;airpol=GHG&amp;src_crf=CRF4F</t>
        </is>
      </c>
      <c r="J217" s="72" t="inlineStr">
        <is>
          <t>https://doi.org/10.2908/ENV_AIR_GGE</t>
        </is>
      </c>
    </row>
    <row r="218" ht="22" customHeight="1">
      <c r="G218" s="3" t="inlineStr">
        <is>
          <t>Formula:  Value = IF(A &gt;= 2022, ROUND(([env_air_gge CRF4B] + [env_air_gge CRF4C] + [env_air_gge CRF4D] + [env_air_gge CRF4E] + [env_air_gge CRF4F]), 1), ([4.B - Cropland]+[4.C - Grassland]+[4.D - Wetlands]+[4.E - Settlements]+[4.F - Other Land]+[4.H - Other LULUCF]) * 0.001)</t>
        </is>
      </c>
    </row>
    <row r="219" ht="26" customHeight="1">
      <c r="A219" s="67" t="inlineStr">
        <is>
          <t>L8</t>
        </is>
      </c>
      <c r="B219" s="22" t="inlineStr">
        <is>
          <t>Total bioenergy use (EU-27)</t>
        </is>
      </c>
      <c r="C219" s="65" t="n">
        <v>2022</v>
      </c>
      <c r="D219" s="66" t="n">
        <v>1811.9</v>
      </c>
      <c r="E219" s="22" t="inlineStr">
        <is>
          <t>Derived from the live source</t>
        </is>
      </c>
      <c r="F219" s="26" t="inlineStr">
        <is>
          <t>CONFIRMED — Reproduces from the primary source</t>
        </is>
      </c>
      <c r="G219" s="73" t="inlineStr">
        <is>
          <t>nrg_bal_c BIOE</t>
        </is>
      </c>
      <c r="H219" s="74" t="n">
        <v>1698044.762</v>
      </c>
      <c r="I219" s="35" t="inlineStr">
        <is>
          <t>Eurostat nrg_bal_c · geo=EU27_2020, unit=GWH, freq=A, nrg_bal=GIC, siec=BIOE · https://ec.europa.eu/eurostat/api/dissemination/statistics/1.0/data/nrg_bal_c?format=JSON&amp;lang=EN&amp;geo=EU27_2020&amp;unit=GWH&amp;freq=A&amp;nrg_bal=GIC&amp;siec=BIOE</t>
        </is>
      </c>
      <c r="J219" s="72" t="inlineStr">
        <is>
          <t>https://doi.org/10.2908/NRG_BAL_C</t>
        </is>
      </c>
    </row>
    <row r="220" ht="26" customHeight="1">
      <c r="A220" s="67" t="inlineStr"/>
      <c r="B220" s="22" t="inlineStr"/>
      <c r="C220" s="65" t="n"/>
      <c r="D220" s="66" t="n"/>
      <c r="E220" s="22" t="inlineStr"/>
      <c r="F220" s="22" t="inlineStr"/>
      <c r="G220" s="73" t="inlineStr">
        <is>
          <t>Unit conversion (× 0.001)</t>
        </is>
      </c>
      <c r="H220" s="74" t="n">
        <v>0.001</v>
      </c>
      <c r="I220" s="35" t="inlineStr">
        <is>
          <t>Unit conversion applied to the source figure so it is expressed in TWh.</t>
        </is>
      </c>
    </row>
    <row r="221" ht="26" customHeight="1">
      <c r="A221" s="14" t="inlineStr">
        <is>
          <t>L8</t>
        </is>
      </c>
      <c r="B221" s="15" t="inlineStr">
        <is>
          <t>Total bioenergy use (EU-27)</t>
        </is>
      </c>
      <c r="C221" s="63" t="n">
        <v>2023</v>
      </c>
      <c r="D221" s="64" t="n">
        <v>1766.3</v>
      </c>
      <c r="E221" s="15" t="inlineStr">
        <is>
          <t>Derived from the live source</t>
        </is>
      </c>
      <c r="F221" s="19" t="inlineStr">
        <is>
          <t>CONFIRMED — Reproduces from the primary source</t>
        </is>
      </c>
      <c r="G221" s="70" t="inlineStr">
        <is>
          <t>nrg_bal_c BIOE</t>
        </is>
      </c>
      <c r="H221" s="71" t="n">
        <v>1664896.118</v>
      </c>
      <c r="I221" s="34" t="inlineStr">
        <is>
          <t>Eurostat nrg_bal_c · geo=EU27_2020, unit=GWH, freq=A, nrg_bal=GIC, siec=BIOE · https://ec.europa.eu/eurostat/api/dissemination/statistics/1.0/data/nrg_bal_c?format=JSON&amp;lang=EN&amp;geo=EU27_2020&amp;unit=GWH&amp;freq=A&amp;nrg_bal=GIC&amp;siec=BIOE</t>
        </is>
      </c>
      <c r="J221" s="72" t="inlineStr">
        <is>
          <t>https://doi.org/10.2908/NRG_BAL_C</t>
        </is>
      </c>
    </row>
    <row r="222" ht="26" customHeight="1">
      <c r="A222" s="14" t="inlineStr"/>
      <c r="B222" s="15" t="inlineStr"/>
      <c r="C222" s="63" t="n"/>
      <c r="D222" s="64" t="n"/>
      <c r="E222" s="15" t="inlineStr"/>
      <c r="F222" s="15" t="inlineStr"/>
      <c r="G222" s="70" t="inlineStr">
        <is>
          <t>Unit conversion (× 0.001)</t>
        </is>
      </c>
      <c r="H222" s="71" t="n">
        <v>0.001</v>
      </c>
      <c r="I222" s="34" t="inlineStr">
        <is>
          <t>Unit conversion applied to the source figure so it is expressed in TWh.</t>
        </is>
      </c>
    </row>
    <row r="223" ht="26" customHeight="1">
      <c r="A223" s="67" t="inlineStr">
        <is>
          <t>L8</t>
        </is>
      </c>
      <c r="B223" s="22" t="inlineStr">
        <is>
          <t>Total bioenergy use (EU-27)</t>
        </is>
      </c>
      <c r="C223" s="65" t="n">
        <v>2024</v>
      </c>
      <c r="D223" s="66" t="n">
        <v>1761.2</v>
      </c>
      <c r="E223" s="22" t="inlineStr">
        <is>
          <t>Derived from the live source</t>
        </is>
      </c>
      <c r="F223" s="26" t="inlineStr">
        <is>
          <t>CONFIRMED — Reproduces from the primary source</t>
        </is>
      </c>
      <c r="G223" s="73" t="inlineStr">
        <is>
          <t>nrg_bal_c BIOE</t>
        </is>
      </c>
      <c r="H223" s="74" t="n">
        <v>1663518.857</v>
      </c>
      <c r="I223" s="35" t="inlineStr">
        <is>
          <t>Eurostat nrg_bal_c · geo=EU27_2020, unit=GWH, freq=A, nrg_bal=GIC, siec=BIOE · https://ec.europa.eu/eurostat/api/dissemination/statistics/1.0/data/nrg_bal_c?format=JSON&amp;lang=EN&amp;geo=EU27_2020&amp;unit=GWH&amp;freq=A&amp;nrg_bal=GIC&amp;siec=BIOE</t>
        </is>
      </c>
      <c r="J223" s="72" t="inlineStr">
        <is>
          <t>https://doi.org/10.2908/NRG_BAL_C</t>
        </is>
      </c>
    </row>
    <row r="224" ht="26" customHeight="1">
      <c r="A224" s="67" t="inlineStr"/>
      <c r="B224" s="22" t="inlineStr"/>
      <c r="C224" s="65" t="n"/>
      <c r="D224" s="66" t="n"/>
      <c r="E224" s="22" t="inlineStr"/>
      <c r="F224" s="22" t="inlineStr"/>
      <c r="G224" s="73" t="inlineStr">
        <is>
          <t>Unit conversion (× 0.001)</t>
        </is>
      </c>
      <c r="H224" s="74" t="n">
        <v>0.001</v>
      </c>
      <c r="I224" s="35" t="inlineStr">
        <is>
          <t>Unit conversion applied to the source figure so it is expressed in TWh.</t>
        </is>
      </c>
    </row>
    <row r="225" ht="22" customHeight="1">
      <c r="G225" s="3" t="inlineStr">
        <is>
          <t>Formula:  Value = IF(A &gt;= 2022, ROUND([nrg_bal_c BIOE] * [Unit conversion (× 0.001)], 1), ([Power and heat: Primary solid biofuels]+[Power and heat: Charcoal]+[Power and heat: Pure biogasoline]+[Power and heat: Blended biogasoline]+[Power and heat: Pure biodiesels]+[Power and heat: Blended biodiesels]+[Power and heat: Pure bio jet kerosene]+[Power and heat: Blended bio jet kerosene]+[Power and heat: Other liquid biofuels]+[Power and heat: Biogases]+[Industry: Primary solid biofuels]+[Industry: Charcoal]+[Industry: Pure biogasoline]+[Industry: Blended biogasoline]+[Industry: Pure biodiesels]+[Industry: Blended biodiesels]+[Industry: Pure bio jet kerosene]+[Industry: Blended bio jet kerosene]+[Industry: Other liquid biofuels]+[Industry: Biogases]+[Transport: Primary solid biofuels]+[Transport: Charcoal]+[Transport: Pure biogasoline]+[Transport: Blended biogasoline]+[Transport: Pure biodiesels]+[Transport: Blended biodiesels]+[Transport: Pure bio jet kerosene]+[Transport: Blended bio jet kerosene]+[Transport: Other liquid biofuels]+[Transport: Biogases]+[Other sectors: Primary solid biofuels]+[Other sectors: Charcoal]+[Other sectors: Pure biogasoline]+[Other sectors: Blended biogasoline]+[Other sectors: Pure biodiesels]+[Other sectors: Blended biodiesels]+[Other sectors: Pure bio jet kerosene]+[Other sectors: Blended bio jet kerosene]+[Other sectors: Other liquid biofuels]+[Other sectors: Biogases]) * 0.001)</t>
        </is>
      </c>
    </row>
    <row r="226" ht="26" customHeight="1">
      <c r="A226" s="14" t="inlineStr">
        <is>
          <t>F1</t>
        </is>
      </c>
      <c r="B226" s="15" t="inlineStr">
        <is>
          <t>EU fossil-fuel subsidies (FFST)</t>
        </is>
      </c>
      <c r="C226" s="63" t="n">
        <v>2023</v>
      </c>
      <c r="D226" s="64" t="n">
        <v>111</v>
      </c>
      <c r="E226" s="15" t="inlineStr">
        <is>
          <t>Reconstructed from the sheet's own conversion</t>
        </is>
      </c>
      <c r="F226" s="33" t="inlineStr">
        <is>
          <t>NOT CHECKABLE — Published figure — source named, not re-derived</t>
        </is>
      </c>
      <c r="G226" s="70" t="inlineStr">
        <is>
          <t>Report figure (2024 report underlying data)</t>
        </is>
      </c>
      <c r="H226" s="71" t="n">
        <v>111</v>
      </c>
      <c r="I226" s="34" t="inlineStr">
        <is>
          <t>ESABCC (2024) “Towards EU climate neutrality: Progress, policy gaps and opportunities”, underlying-data workbook — Fossil Fuel Subsidy Tracker; 2023: EC Report on Energy Subsidies in the EU (COM(2025)17). The report carries this indicator as a published series, with no further breakdown.</t>
        </is>
      </c>
    </row>
    <row r="227" ht="22" customHeight="1">
      <c r="G227" s="3" t="inlineStr">
        <is>
          <t>Formula:  Value = [Report figure (2024 report underlying data)]</t>
        </is>
      </c>
    </row>
    <row r="228" ht="26" customHeight="1">
      <c r="A228" s="67" t="inlineStr">
        <is>
          <t>F2 (share)</t>
        </is>
      </c>
      <c r="B228" s="22" t="inlineStr">
        <is>
          <t>Green share of EU bond issuance</t>
        </is>
      </c>
      <c r="C228" s="65" t="n">
        <v>2023</v>
      </c>
      <c r="D228" s="66" t="n">
        <v>5.3</v>
      </c>
      <c r="E228" s="22" t="inlineStr">
        <is>
          <t>Reconstructed from the sheet's own conversion</t>
        </is>
      </c>
      <c r="F228" s="29" t="inlineStr">
        <is>
          <t>NOT CHECKABLE — Published figure — source named, not re-derived</t>
        </is>
      </c>
      <c r="G228" s="73" t="inlineStr">
        <is>
          <t>Report figure (2024 report underlying data)</t>
        </is>
      </c>
      <c r="H228" s="74" t="n">
        <v>5.3</v>
      </c>
      <c r="I228" s="35" t="inlineStr">
        <is>
          <t>ESABCC (2024) “Towards EU climate neutrality: Progress, policy gaps and opportunities”, underlying-data workbook — BloombergNEF; 2023+ EEA "Green bonds in Europe" (LSEG/Refinitiv). The report carries this indicator as a published series, with no further breakdown.</t>
        </is>
      </c>
      <c r="J228" s="72" t="inlineStr">
        <is>
          <t>https://www.eea.europa.eu/en/analysis/maps-and-charts/percentage-of-green-bond-issuances-1</t>
        </is>
      </c>
    </row>
    <row r="229" ht="26" customHeight="1">
      <c r="A229" s="14" t="inlineStr">
        <is>
          <t>F2 (share)</t>
        </is>
      </c>
      <c r="B229" s="15" t="inlineStr">
        <is>
          <t>Green share of EU bond issuance</t>
        </is>
      </c>
      <c r="C229" s="63" t="n">
        <v>2024</v>
      </c>
      <c r="D229" s="64" t="n">
        <v>6.9</v>
      </c>
      <c r="E229" s="15" t="inlineStr">
        <is>
          <t>Reconstructed from the sheet's own conversion</t>
        </is>
      </c>
      <c r="F229" s="33" t="inlineStr">
        <is>
          <t>NOT CHECKABLE — Published figure — source named, not re-derived</t>
        </is>
      </c>
      <c r="G229" s="70" t="inlineStr">
        <is>
          <t>Report figure (2024 report underlying data)</t>
        </is>
      </c>
      <c r="H229" s="71" t="n">
        <v>6.9</v>
      </c>
      <c r="I229" s="34" t="inlineStr">
        <is>
          <t>ESABCC (2024) “Towards EU climate neutrality: Progress, policy gaps and opportunities”, underlying-data workbook — BloombergNEF; 2023+ EEA "Green bonds in Europe" (LSEG/Refinitiv). The report carries this indicator as a published series, with no further breakdown.</t>
        </is>
      </c>
      <c r="J229" s="72" t="inlineStr">
        <is>
          <t>https://www.eea.europa.eu/en/analysis/maps-and-charts/percentage-of-green-bond-issuances-1</t>
        </is>
      </c>
    </row>
    <row r="230" ht="22" customHeight="1">
      <c r="G230" s="3" t="inlineStr">
        <is>
          <t>Formula:  Value = [Report figure (2024 report underlying data)]</t>
        </is>
      </c>
    </row>
    <row r="231" ht="26" customHeight="1">
      <c r="A231" s="67" t="inlineStr">
        <is>
          <t>F3</t>
        </is>
      </c>
      <c r="B231" s="22" t="inlineStr">
        <is>
          <t>EU R&amp;D expenditure (GERD)</t>
        </is>
      </c>
      <c r="C231" s="65" t="n">
        <v>2023</v>
      </c>
      <c r="D231" s="66" t="n">
        <v>2.26</v>
      </c>
      <c r="E231" s="22" t="inlineStr">
        <is>
          <t>Derived from the live source</t>
        </is>
      </c>
      <c r="F231" s="26" t="inlineStr">
        <is>
          <t>CONFIRMED — Reproduces from the primary source</t>
        </is>
      </c>
      <c r="G231" s="73" t="inlineStr">
        <is>
          <t>rd_e_gerdtot TOTAL</t>
        </is>
      </c>
      <c r="H231" s="74" t="n">
        <v>2.26</v>
      </c>
      <c r="I231" s="35" t="inlineStr">
        <is>
          <t>Eurostat rd_e_gerdtot · geo=EU27_2020, sectperf=TOTAL, unit=PC_GDP · https://ec.europa.eu/eurostat/api/dissemination/statistics/1.0/data/rd_e_gerdtot?format=JSON&amp;lang=EN&amp;geo=EU27_2020&amp;sectperf=TOTAL&amp;unit=PC_GDP</t>
        </is>
      </c>
      <c r="J231" s="72" t="inlineStr">
        <is>
          <t>https://doi.org/10.2908/RD_E_GERDTOT</t>
        </is>
      </c>
    </row>
    <row r="232" ht="26" customHeight="1">
      <c r="A232" s="14" t="inlineStr">
        <is>
          <t>F3</t>
        </is>
      </c>
      <c r="B232" s="15" t="inlineStr">
        <is>
          <t>EU R&amp;D expenditure (GERD)</t>
        </is>
      </c>
      <c r="C232" s="63" t="n">
        <v>2024</v>
      </c>
      <c r="D232" s="64" t="n">
        <v>2.24</v>
      </c>
      <c r="E232" s="15" t="inlineStr">
        <is>
          <t>Derived from the live source</t>
        </is>
      </c>
      <c r="F232" s="19" t="inlineStr">
        <is>
          <t>CONFIRMED — Reproduces from the primary source</t>
        </is>
      </c>
      <c r="G232" s="70" t="inlineStr">
        <is>
          <t>rd_e_gerdtot TOTAL</t>
        </is>
      </c>
      <c r="H232" s="71" t="n">
        <v>2.24</v>
      </c>
      <c r="I232" s="34" t="inlineStr">
        <is>
          <t>Eurostat rd_e_gerdtot · geo=EU27_2020, sectperf=TOTAL, unit=PC_GDP · https://ec.europa.eu/eurostat/api/dissemination/statistics/1.0/data/rd_e_gerdtot?format=JSON&amp;lang=EN&amp;geo=EU27_2020&amp;sectperf=TOTAL&amp;unit=PC_GDP</t>
        </is>
      </c>
      <c r="J232" s="72" t="inlineStr">
        <is>
          <t>https://doi.org/10.2908/RD_E_GERDTOT</t>
        </is>
      </c>
    </row>
    <row r="233" ht="22" customHeight="1">
      <c r="G233" s="3" t="inlineStr">
        <is>
          <t>Formula:  Value = IF(A &gt;= 2023, ROUND([rd_e_gerdtot TOTAL], 2), [Report figure (2024 report underlying data)])</t>
        </is>
      </c>
    </row>
    <row r="234" ht="26" customHeight="1">
      <c r="A234" s="67" t="inlineStr">
        <is>
          <t>F5</t>
        </is>
      </c>
      <c r="B234" s="22" t="inlineStr">
        <is>
          <t>Cleantech venture &amp; growth investment in the EU</t>
        </is>
      </c>
      <c r="C234" s="65" t="n">
        <v>2023</v>
      </c>
      <c r="D234" s="66" t="n">
        <v>0.07000000000000001</v>
      </c>
      <c r="E234" s="22" t="inlineStr">
        <is>
          <t>Reconstructed from the sheet's own conversion</t>
        </is>
      </c>
      <c r="F234" s="29" t="inlineStr">
        <is>
          <t>NOT CHECKABLE — Published figure — source named, not re-derived</t>
        </is>
      </c>
      <c r="G234" s="73" t="inlineStr">
        <is>
          <t>Report figure (2024 report underlying data)</t>
        </is>
      </c>
      <c r="H234" s="74" t="n">
        <v>0.07000000000000001</v>
      </c>
      <c r="I234" s="35" t="inlineStr">
        <is>
          <t>ESABCC (2024) “Towards EU climate neutrality: Progress, policy gaps and opportunities”, underlying-data workbook — Cleantech for Europe. The report carries this indicator as a published series, with no further breakdown.</t>
        </is>
      </c>
    </row>
    <row r="235" ht="26" customHeight="1">
      <c r="A235" s="14" t="inlineStr">
        <is>
          <t>F5</t>
        </is>
      </c>
      <c r="B235" s="15" t="inlineStr">
        <is>
          <t>Cleantech venture &amp; growth investment in the EU</t>
        </is>
      </c>
      <c r="C235" s="63" t="n">
        <v>2024</v>
      </c>
      <c r="D235" s="64" t="n">
        <v>0.05</v>
      </c>
      <c r="E235" s="15" t="inlineStr">
        <is>
          <t>Reconstructed from the sheet's own conversion</t>
        </is>
      </c>
      <c r="F235" s="33" t="inlineStr">
        <is>
          <t>NOT CHECKABLE — Published figure — source named, not re-derived</t>
        </is>
      </c>
      <c r="G235" s="70" t="inlineStr">
        <is>
          <t>Report figure (2024 report underlying data)</t>
        </is>
      </c>
      <c r="H235" s="71" t="n">
        <v>0.05</v>
      </c>
      <c r="I235" s="34" t="inlineStr">
        <is>
          <t>ESABCC (2024) “Towards EU climate neutrality: Progress, policy gaps and opportunities”, underlying-data workbook — Cleantech for Europe. The report carries this indicator as a published series, with no further breakdown.</t>
        </is>
      </c>
    </row>
    <row r="236" ht="26" customHeight="1">
      <c r="A236" s="67" t="inlineStr">
        <is>
          <t>F5</t>
        </is>
      </c>
      <c r="B236" s="22" t="inlineStr">
        <is>
          <t>Cleantech venture &amp; growth investment in the EU</t>
        </is>
      </c>
      <c r="C236" s="65" t="n">
        <v>2025</v>
      </c>
      <c r="D236" s="66" t="n">
        <v>0.04</v>
      </c>
      <c r="E236" s="22" t="inlineStr">
        <is>
          <t>Reconstructed from the sheet's own conversion</t>
        </is>
      </c>
      <c r="F236" s="29" t="inlineStr">
        <is>
          <t>NOT CHECKABLE — Published figure — source named, not re-derived</t>
        </is>
      </c>
      <c r="G236" s="73" t="inlineStr">
        <is>
          <t>Report figure (2024 report underlying data)</t>
        </is>
      </c>
      <c r="H236" s="74" t="n">
        <v>0.04</v>
      </c>
      <c r="I236" s="35" t="inlineStr">
        <is>
          <t>ESABCC (2024) “Towards EU climate neutrality: Progress, policy gaps and opportunities”, underlying-data workbook — Cleantech for Europe. The report carries this indicator as a published series, with no further breakdown.</t>
        </is>
      </c>
    </row>
    <row r="237" ht="22" customHeight="1">
      <c r="G237" s="3" t="inlineStr">
        <is>
          <t>Formula:  Value = [Report figure (2024 report underlying data)]</t>
        </is>
      </c>
    </row>
    <row r="238" ht="26" customHeight="1">
      <c r="A238" s="14" t="inlineStr">
        <is>
          <t>I2 (steel, production)</t>
        </is>
      </c>
      <c r="B238" s="15" t="inlineStr">
        <is>
          <t>Steel production (EU)</t>
        </is>
      </c>
      <c r="C238" s="63" t="n">
        <v>2022</v>
      </c>
      <c r="D238" s="64" t="n">
        <v>136.3</v>
      </c>
      <c r="E238" s="15" t="inlineStr">
        <is>
          <t>Reconstructed from the sheet's own conversion</t>
        </is>
      </c>
      <c r="F238" s="19" t="inlineStr">
        <is>
          <t>CONFIRMED — Reproduces from the primary source</t>
        </is>
      </c>
      <c r="G238" s="70" t="inlineStr">
        <is>
          <t>Report figure (2024 report underlying data)</t>
        </is>
      </c>
      <c r="H238" s="71" t="n">
        <v>136.3</v>
      </c>
      <c r="I238" s="34" t="inlineStr">
        <is>
          <t>ESABCC (2024) “Towards EU climate neutrality: Progress, policy gaps and opportunities”, underlying-data workbook — Eurofer, Steel in figures 2022. The report carries this indicator as a published series, with no further breakdown.</t>
        </is>
      </c>
      <c r="J238" s="72" t="inlineStr">
        <is>
          <t>https://www.eurofer.eu/publications/brochures-booklets-and-factsheets/european-steel-in-figures-2024</t>
        </is>
      </c>
    </row>
    <row r="239" ht="26" customHeight="1">
      <c r="A239" s="67" t="inlineStr">
        <is>
          <t>I2 (steel, production)</t>
        </is>
      </c>
      <c r="B239" s="22" t="inlineStr">
        <is>
          <t>Steel production (EU)</t>
        </is>
      </c>
      <c r="C239" s="65" t="n">
        <v>2023</v>
      </c>
      <c r="D239" s="66" t="n">
        <v>125.9</v>
      </c>
      <c r="E239" s="22" t="inlineStr">
        <is>
          <t>Reconstructed from the sheet's own conversion</t>
        </is>
      </c>
      <c r="F239" s="26" t="inlineStr">
        <is>
          <t>CONFIRMED — Reproduces from the primary source</t>
        </is>
      </c>
      <c r="G239" s="73" t="inlineStr">
        <is>
          <t>Report figure (2024 report underlying data)</t>
        </is>
      </c>
      <c r="H239" s="74" t="n">
        <v>125.9</v>
      </c>
      <c r="I239" s="35" t="inlineStr">
        <is>
          <t>ESABCC (2024) “Towards EU climate neutrality: Progress, policy gaps and opportunities”, underlying-data workbook — Eurofer, Steel in figures 2022. The report carries this indicator as a published series, with no further breakdown.</t>
        </is>
      </c>
      <c r="J239" s="72" t="inlineStr">
        <is>
          <t>https://www.eurofer.eu/publications/brochures-booklets-and-factsheets/european-steel-in-figures-2024</t>
        </is>
      </c>
    </row>
    <row r="240" ht="26" customHeight="1">
      <c r="A240" s="14" t="inlineStr">
        <is>
          <t>I2 (steel, production)</t>
        </is>
      </c>
      <c r="B240" s="15" t="inlineStr">
        <is>
          <t>Steel production (EU)</t>
        </is>
      </c>
      <c r="C240" s="63" t="n">
        <v>2024</v>
      </c>
      <c r="D240" s="64" t="n">
        <v>128.8</v>
      </c>
      <c r="E240" s="15" t="inlineStr">
        <is>
          <t>Reconstructed from the sheet's own conversion</t>
        </is>
      </c>
      <c r="F240" s="19" t="inlineStr">
        <is>
          <t>CONFIRMED — Reproduces from the primary source</t>
        </is>
      </c>
      <c r="G240" s="70" t="inlineStr">
        <is>
          <t>Report figure (2024 report underlying data)</t>
        </is>
      </c>
      <c r="H240" s="71" t="n">
        <v>128.8</v>
      </c>
      <c r="I240" s="34" t="inlineStr">
        <is>
          <t>ESABCC (2024) “Towards EU climate neutrality: Progress, policy gaps and opportunities”, underlying-data workbook — Eurofer, Steel in figures 2022. The report carries this indicator as a published series, with no further breakdown.</t>
        </is>
      </c>
      <c r="J240" s="72" t="inlineStr">
        <is>
          <t>https://www.eurofer.eu/publications/brochures-booklets-and-factsheets/european-steel-in-figures-2024</t>
        </is>
      </c>
    </row>
    <row r="241" ht="26" customHeight="1">
      <c r="A241" s="67" t="inlineStr">
        <is>
          <t>I2 (steel, production)</t>
        </is>
      </c>
      <c r="B241" s="22" t="inlineStr">
        <is>
          <t>Steel production (EU)</t>
        </is>
      </c>
      <c r="C241" s="65" t="n">
        <v>2025</v>
      </c>
      <c r="D241" s="66" t="n">
        <v>128.8</v>
      </c>
      <c r="E241" s="22" t="inlineStr">
        <is>
          <t>Reconstructed from the sheet's own conversion</t>
        </is>
      </c>
      <c r="F241" s="48" t="inlineStr">
        <is>
          <t>REVISION — 2–5% off the source — see the fact-check</t>
        </is>
      </c>
      <c r="G241" s="73" t="inlineStr">
        <is>
          <t>Report figure (2024 report underlying data)</t>
        </is>
      </c>
      <c r="H241" s="74" t="n">
        <v>126.2</v>
      </c>
      <c r="I241" s="35" t="inlineStr">
        <is>
          <t>ESABCC (2024) “Towards EU climate neutrality: Progress, policy gaps and opportunities”, underlying-data workbook — Eurofer, Steel in figures 2022. The report carries this indicator as a published series, with no further breakdown.</t>
        </is>
      </c>
      <c r="J241" s="72" t="inlineStr">
        <is>
          <t>https://www.eurofer.eu/publications/brochures-booklets-and-factsheets/european-steel-in-figures-2024</t>
        </is>
      </c>
    </row>
    <row r="242" ht="22" customHeight="1">
      <c r="G242" s="3" t="inlineStr">
        <is>
          <t>Formula:  Value = [Report figure (2024 report underlying data)]</t>
        </is>
      </c>
    </row>
    <row r="243" ht="26" customHeight="1">
      <c r="A243" s="14" t="inlineStr">
        <is>
          <t>I2 (cement, production)</t>
        </is>
      </c>
      <c r="B243" s="15" t="inlineStr">
        <is>
          <t>Cement production (EU)</t>
        </is>
      </c>
      <c r="C243" s="63" t="n">
        <v>2022</v>
      </c>
      <c r="D243" s="64" t="n">
        <v>174.7</v>
      </c>
      <c r="E243" s="15" t="inlineStr">
        <is>
          <t>Derived from the live source</t>
        </is>
      </c>
      <c r="F243" s="19" t="inlineStr">
        <is>
          <t>CONFIRMED — Reproduces from the primary source</t>
        </is>
      </c>
      <c r="G243" s="70" t="inlineStr">
        <is>
          <t>sts_inpr_a C235</t>
        </is>
      </c>
      <c r="H243" s="71" t="n">
        <v>95.7</v>
      </c>
      <c r="I243" s="34" t="inlineStr">
        <is>
          <t>Eurostat sts_inpr_a · geo=EU27_2020, indic_bt=PRD, s_adj=CA, unit=I21, nace_r2=C235 · https://ec.europa.eu/eurostat/api/dissemination/statistics/1.0/data/sts_inpr_a?format=JSON&amp;lang=EN&amp;geo=EU27_2020&amp;indic_bt=PRD&amp;s_adj=CA&amp;unit=I21&amp;nace_r2=C235</t>
        </is>
      </c>
      <c r="J243" s="72" t="inlineStr">
        <is>
          <t>https://doi.org/10.2908/STS_INPR_A</t>
        </is>
      </c>
    </row>
    <row r="244" ht="26" customHeight="1">
      <c r="A244" s="14" t="inlineStr"/>
      <c r="B244" s="15" t="inlineStr"/>
      <c r="C244" s="63" t="n"/>
      <c r="D244" s="64" t="n"/>
      <c r="E244" s="15" t="inlineStr"/>
      <c r="F244" s="15" t="inlineStr"/>
      <c r="G244" s="70" t="inlineStr">
        <is>
          <t>Report baseline 2021 (Mt)</t>
        </is>
      </c>
      <c r="H244" s="71" t="n">
        <v>182.5</v>
      </c>
      <c r="I244" s="34" t="inlineStr">
        <is>
          <t>ESABCC (2024) “Towards EU climate neutrality”, underlying-data workbook — the report's own 2021 figure, the anchor the later years are spliced onto.</t>
        </is>
      </c>
    </row>
    <row r="245" ht="26" customHeight="1">
      <c r="A245" s="14" t="inlineStr"/>
      <c r="B245" s="15" t="inlineStr"/>
      <c r="C245" s="63" t="n"/>
      <c r="D245" s="64" t="n"/>
      <c r="E245" s="15" t="inlineStr"/>
      <c r="F245" s="15" t="inlineStr"/>
      <c r="G245" s="70" t="inlineStr">
        <is>
          <t>Live source at 2021 (same basis as the columns left)</t>
        </is>
      </c>
      <c r="H245" s="71" t="n">
        <v>100</v>
      </c>
      <c r="I245" s="34" t="inlineStr">
        <is>
          <t>Eurostat sts_inpr_a · production-volume index (2021=100), NACE C235 cement/lime/plaster · EU27_2020 — the same query, read at 2021; dividing by it cancels the level difference between the source's scope and the report's, leaving only the year-on-year change.</t>
        </is>
      </c>
      <c r="J245" s="72" t="inlineStr">
        <is>
          <t>https://doi.org/10.2908/STS_INPR_A</t>
        </is>
      </c>
    </row>
    <row r="246" ht="26" customHeight="1">
      <c r="A246" s="67" t="inlineStr">
        <is>
          <t>I2 (cement, production)</t>
        </is>
      </c>
      <c r="B246" s="22" t="inlineStr">
        <is>
          <t>Cement production (EU)</t>
        </is>
      </c>
      <c r="C246" s="65" t="n">
        <v>2023</v>
      </c>
      <c r="D246" s="66" t="n">
        <v>160.8</v>
      </c>
      <c r="E246" s="22" t="inlineStr">
        <is>
          <t>Derived from the live source</t>
        </is>
      </c>
      <c r="F246" s="26" t="inlineStr">
        <is>
          <t>CONFIRMED — Reproduces from the primary source</t>
        </is>
      </c>
      <c r="G246" s="73" t="inlineStr">
        <is>
          <t>sts_inpr_a C235</t>
        </is>
      </c>
      <c r="H246" s="74" t="n">
        <v>88.09999999999999</v>
      </c>
      <c r="I246" s="35" t="inlineStr">
        <is>
          <t>Eurostat sts_inpr_a · geo=EU27_2020, indic_bt=PRD, s_adj=CA, unit=I21, nace_r2=C235 · https://ec.europa.eu/eurostat/api/dissemination/statistics/1.0/data/sts_inpr_a?format=JSON&amp;lang=EN&amp;geo=EU27_2020&amp;indic_bt=PRD&amp;s_adj=CA&amp;unit=I21&amp;nace_r2=C235</t>
        </is>
      </c>
      <c r="J246" s="72" t="inlineStr">
        <is>
          <t>https://doi.org/10.2908/STS_INPR_A</t>
        </is>
      </c>
    </row>
    <row r="247" ht="26" customHeight="1">
      <c r="A247" s="67" t="inlineStr"/>
      <c r="B247" s="22" t="inlineStr"/>
      <c r="C247" s="65" t="n"/>
      <c r="D247" s="66" t="n"/>
      <c r="E247" s="22" t="inlineStr"/>
      <c r="F247" s="22" t="inlineStr"/>
      <c r="G247" s="73" t="inlineStr">
        <is>
          <t>Report baseline 2021 (Mt)</t>
        </is>
      </c>
      <c r="H247" s="74" t="n">
        <v>182.5</v>
      </c>
      <c r="I247" s="35" t="inlineStr">
        <is>
          <t>ESABCC (2024) “Towards EU climate neutrality”, underlying-data workbook — the report's own 2021 figure, the anchor the later years are spliced onto.</t>
        </is>
      </c>
    </row>
    <row r="248" ht="26" customHeight="1">
      <c r="A248" s="67" t="inlineStr"/>
      <c r="B248" s="22" t="inlineStr"/>
      <c r="C248" s="65" t="n"/>
      <c r="D248" s="66" t="n"/>
      <c r="E248" s="22" t="inlineStr"/>
      <c r="F248" s="22" t="inlineStr"/>
      <c r="G248" s="73" t="inlineStr">
        <is>
          <t>Live source at 2021 (same basis as the columns left)</t>
        </is>
      </c>
      <c r="H248" s="74" t="n">
        <v>100</v>
      </c>
      <c r="I248" s="35" t="inlineStr">
        <is>
          <t>Eurostat sts_inpr_a · production-volume index (2021=100), NACE C235 cement/lime/plaster · EU27_2020 — the same query, read at 2021; dividing by it cancels the level difference between the source's scope and the report's, leaving only the year-on-year change.</t>
        </is>
      </c>
      <c r="J248" s="72" t="inlineStr">
        <is>
          <t>https://doi.org/10.2908/STS_INPR_A</t>
        </is>
      </c>
    </row>
    <row r="249" ht="26" customHeight="1">
      <c r="A249" s="14" t="inlineStr">
        <is>
          <t>I2 (cement, production)</t>
        </is>
      </c>
      <c r="B249" s="15" t="inlineStr">
        <is>
          <t>Cement production (EU)</t>
        </is>
      </c>
      <c r="C249" s="63" t="n">
        <v>2024</v>
      </c>
      <c r="D249" s="64" t="n">
        <v>159.1</v>
      </c>
      <c r="E249" s="15" t="inlineStr">
        <is>
          <t>Derived from the live source</t>
        </is>
      </c>
      <c r="F249" s="19" t="inlineStr">
        <is>
          <t>CONFIRMED — Reproduces from the primary source</t>
        </is>
      </c>
      <c r="G249" s="70" t="inlineStr">
        <is>
          <t>sts_inpr_a C235</t>
        </is>
      </c>
      <c r="H249" s="71" t="n">
        <v>87.2</v>
      </c>
      <c r="I249" s="34" t="inlineStr">
        <is>
          <t>Eurostat sts_inpr_a · geo=EU27_2020, indic_bt=PRD, s_adj=CA, unit=I21, nace_r2=C235 · https://ec.europa.eu/eurostat/api/dissemination/statistics/1.0/data/sts_inpr_a?format=JSON&amp;lang=EN&amp;geo=EU27_2020&amp;indic_bt=PRD&amp;s_adj=CA&amp;unit=I21&amp;nace_r2=C235</t>
        </is>
      </c>
      <c r="J249" s="72" t="inlineStr">
        <is>
          <t>https://doi.org/10.2908/STS_INPR_A</t>
        </is>
      </c>
    </row>
    <row r="250" ht="26" customHeight="1">
      <c r="A250" s="14" t="inlineStr"/>
      <c r="B250" s="15" t="inlineStr"/>
      <c r="C250" s="63" t="n"/>
      <c r="D250" s="64" t="n"/>
      <c r="E250" s="15" t="inlineStr"/>
      <c r="F250" s="15" t="inlineStr"/>
      <c r="G250" s="70" t="inlineStr">
        <is>
          <t>Report baseline 2021 (Mt)</t>
        </is>
      </c>
      <c r="H250" s="71" t="n">
        <v>182.5</v>
      </c>
      <c r="I250" s="34" t="inlineStr">
        <is>
          <t>ESABCC (2024) “Towards EU climate neutrality”, underlying-data workbook — the report's own 2021 figure, the anchor the later years are spliced onto.</t>
        </is>
      </c>
    </row>
    <row r="251" ht="26" customHeight="1">
      <c r="A251" s="14" t="inlineStr"/>
      <c r="B251" s="15" t="inlineStr"/>
      <c r="C251" s="63" t="n"/>
      <c r="D251" s="64" t="n"/>
      <c r="E251" s="15" t="inlineStr"/>
      <c r="F251" s="15" t="inlineStr"/>
      <c r="G251" s="70" t="inlineStr">
        <is>
          <t>Live source at 2021 (same basis as the columns left)</t>
        </is>
      </c>
      <c r="H251" s="71" t="n">
        <v>100</v>
      </c>
      <c r="I251" s="34" t="inlineStr">
        <is>
          <t>Eurostat sts_inpr_a · production-volume index (2021=100), NACE C235 cement/lime/plaster · EU27_2020 — the same query, read at 2021; dividing by it cancels the level difference between the source's scope and the report's, leaving only the year-on-year change.</t>
        </is>
      </c>
      <c r="J251" s="72" t="inlineStr">
        <is>
          <t>https://doi.org/10.2908/STS_INPR_A</t>
        </is>
      </c>
    </row>
    <row r="252" ht="26" customHeight="1">
      <c r="A252" s="67" t="inlineStr">
        <is>
          <t>I2 (cement, production)</t>
        </is>
      </c>
      <c r="B252" s="22" t="inlineStr">
        <is>
          <t>Cement production (EU)</t>
        </is>
      </c>
      <c r="C252" s="65" t="n">
        <v>2025</v>
      </c>
      <c r="D252" s="66" t="n">
        <v>157.7</v>
      </c>
      <c r="E252" s="22" t="inlineStr">
        <is>
          <t>Derived from the live source</t>
        </is>
      </c>
      <c r="F252" s="29" t="inlineStr">
        <is>
          <t>NOT CHECKABLE — Published figure — source named, not re-derived</t>
        </is>
      </c>
      <c r="G252" s="73" t="inlineStr">
        <is>
          <t>(no calc inputs recorded)</t>
        </is>
      </c>
      <c r="H252" s="74" t="n"/>
      <c r="I252" s="35" t="inlineStr">
        <is>
          <t>Cembureau (data provided)</t>
        </is>
      </c>
      <c r="J252" s="72" t="inlineStr">
        <is>
          <t>https://www.cementeurope.eu/about-us/key-facts-figures/</t>
        </is>
      </c>
    </row>
    <row r="253" ht="22" customHeight="1">
      <c r="G253" s="3" t="inlineStr">
        <is>
          <t>Formula:  Value = IF(A &gt;= 2022, ROUND([Report baseline 2021 (Mt)] * [sts_inpr_a C235] / [Live source at 2021 (same basis as the columns left)], 1), [Report figure (2024 report underlying data)])</t>
        </is>
      </c>
    </row>
    <row r="254" ht="26" customHeight="1">
      <c r="A254" s="14" t="inlineStr">
        <is>
          <t>I2 (chemicals, production)</t>
        </is>
      </c>
      <c r="B254" s="15" t="inlineStr">
        <is>
          <t>Chemicals production (EU)</t>
        </is>
      </c>
      <c r="C254" s="63" t="n">
        <v>2022</v>
      </c>
      <c r="D254" s="64" t="n">
        <v>25.36</v>
      </c>
      <c r="E254" s="15" t="inlineStr">
        <is>
          <t>Derived from the live source</t>
        </is>
      </c>
      <c r="F254" s="19" t="inlineStr">
        <is>
          <t>CONFIRMED — Reproduces from the primary source</t>
        </is>
      </c>
      <c r="G254" s="70" t="inlineStr">
        <is>
          <t>sts_inpr_a C201</t>
        </is>
      </c>
      <c r="H254" s="71" t="n">
        <v>94.5</v>
      </c>
      <c r="I254" s="34" t="inlineStr">
        <is>
          <t>Eurostat sts_inpr_a · geo=EU27_2020, indic_bt=PRD, s_adj=CA, unit=I21, nace_r2=C201 · https://ec.europa.eu/eurostat/api/dissemination/statistics/1.0/data/sts_inpr_a?format=JSON&amp;lang=EN&amp;geo=EU27_2020&amp;indic_bt=PRD&amp;s_adj=CA&amp;unit=I21&amp;nace_r2=C201</t>
        </is>
      </c>
      <c r="J254" s="72" t="inlineStr">
        <is>
          <t>https://doi.org/10.2908/STS_INPR_A</t>
        </is>
      </c>
    </row>
    <row r="255" ht="26" customHeight="1">
      <c r="A255" s="14" t="inlineStr"/>
      <c r="B255" s="15" t="inlineStr"/>
      <c r="C255" s="63" t="n"/>
      <c r="D255" s="64" t="n"/>
      <c r="E255" s="15" t="inlineStr"/>
      <c r="F255" s="15" t="inlineStr"/>
      <c r="G255" s="70" t="inlineStr">
        <is>
          <t>Report baseline 2021 (Mt)</t>
        </is>
      </c>
      <c r="H255" s="71" t="n">
        <v>26.84</v>
      </c>
      <c r="I255" s="34" t="inlineStr">
        <is>
          <t>ESABCC (2024) “Towards EU climate neutrality”, underlying-data workbook — the report's own 2021 figure, the anchor the later years are spliced onto.</t>
        </is>
      </c>
    </row>
    <row r="256" ht="26" customHeight="1">
      <c r="A256" s="14" t="inlineStr"/>
      <c r="B256" s="15" t="inlineStr"/>
      <c r="C256" s="63" t="n"/>
      <c r="D256" s="64" t="n"/>
      <c r="E256" s="15" t="inlineStr"/>
      <c r="F256" s="15" t="inlineStr"/>
      <c r="G256" s="70" t="inlineStr">
        <is>
          <t>Live source at 2021 (same basis as the columns left)</t>
        </is>
      </c>
      <c r="H256" s="71" t="n">
        <v>100</v>
      </c>
      <c r="I256" s="34" t="inlineStr">
        <is>
          <t>Eurostat sts_inpr_a · production-volume index (2021=100), NACE C201 basic chemicals · EU27_2020 — the same query, read at 2021; dividing by it cancels the level difference between the source's scope and the report's, leaving only the year-on-year change.</t>
        </is>
      </c>
      <c r="J256" s="72" t="inlineStr">
        <is>
          <t>https://doi.org/10.2908/STS_INPR_A</t>
        </is>
      </c>
    </row>
    <row r="257" ht="26" customHeight="1">
      <c r="A257" s="67" t="inlineStr">
        <is>
          <t>I2 (chemicals, production)</t>
        </is>
      </c>
      <c r="B257" s="22" t="inlineStr">
        <is>
          <t>Chemicals production (EU)</t>
        </is>
      </c>
      <c r="C257" s="65" t="n">
        <v>2023</v>
      </c>
      <c r="D257" s="66" t="n">
        <v>21.45</v>
      </c>
      <c r="E257" s="22" t="inlineStr">
        <is>
          <t>Derived from the live source</t>
        </is>
      </c>
      <c r="F257" s="26" t="inlineStr">
        <is>
          <t>CONFIRMED — Reproduces from the primary source</t>
        </is>
      </c>
      <c r="G257" s="73" t="inlineStr">
        <is>
          <t>sts_inpr_a C201</t>
        </is>
      </c>
      <c r="H257" s="74" t="n">
        <v>79.90000000000001</v>
      </c>
      <c r="I257" s="35" t="inlineStr">
        <is>
          <t>Eurostat sts_inpr_a · geo=EU27_2020, indic_bt=PRD, s_adj=CA, unit=I21, nace_r2=C201 · https://ec.europa.eu/eurostat/api/dissemination/statistics/1.0/data/sts_inpr_a?format=JSON&amp;lang=EN&amp;geo=EU27_2020&amp;indic_bt=PRD&amp;s_adj=CA&amp;unit=I21&amp;nace_r2=C201</t>
        </is>
      </c>
      <c r="J257" s="72" t="inlineStr">
        <is>
          <t>https://doi.org/10.2908/STS_INPR_A</t>
        </is>
      </c>
    </row>
    <row r="258" ht="26" customHeight="1">
      <c r="A258" s="67" t="inlineStr"/>
      <c r="B258" s="22" t="inlineStr"/>
      <c r="C258" s="65" t="n"/>
      <c r="D258" s="66" t="n"/>
      <c r="E258" s="22" t="inlineStr"/>
      <c r="F258" s="22" t="inlineStr"/>
      <c r="G258" s="73" t="inlineStr">
        <is>
          <t>Report baseline 2021 (Mt)</t>
        </is>
      </c>
      <c r="H258" s="74" t="n">
        <v>26.84</v>
      </c>
      <c r="I258" s="35" t="inlineStr">
        <is>
          <t>ESABCC (2024) “Towards EU climate neutrality”, underlying-data workbook — the report's own 2021 figure, the anchor the later years are spliced onto.</t>
        </is>
      </c>
    </row>
    <row r="259" ht="26" customHeight="1">
      <c r="A259" s="67" t="inlineStr"/>
      <c r="B259" s="22" t="inlineStr"/>
      <c r="C259" s="65" t="n"/>
      <c r="D259" s="66" t="n"/>
      <c r="E259" s="22" t="inlineStr"/>
      <c r="F259" s="22" t="inlineStr"/>
      <c r="G259" s="73" t="inlineStr">
        <is>
          <t>Live source at 2021 (same basis as the columns left)</t>
        </is>
      </c>
      <c r="H259" s="74" t="n">
        <v>100</v>
      </c>
      <c r="I259" s="35" t="inlineStr">
        <is>
          <t>Eurostat sts_inpr_a · production-volume index (2021=100), NACE C201 basic chemicals · EU27_2020 — the same query, read at 2021; dividing by it cancels the level difference between the source's scope and the report's, leaving only the year-on-year change.</t>
        </is>
      </c>
      <c r="J259" s="72" t="inlineStr">
        <is>
          <t>https://doi.org/10.2908/STS_INPR_A</t>
        </is>
      </c>
    </row>
    <row r="260" ht="26" customHeight="1">
      <c r="A260" s="14" t="inlineStr">
        <is>
          <t>I2 (chemicals, production)</t>
        </is>
      </c>
      <c r="B260" s="15" t="inlineStr">
        <is>
          <t>Chemicals production (EU)</t>
        </is>
      </c>
      <c r="C260" s="63" t="n">
        <v>2024</v>
      </c>
      <c r="D260" s="64" t="n">
        <v>19.89</v>
      </c>
      <c r="E260" s="15" t="inlineStr">
        <is>
          <t>Derived from the live source</t>
        </is>
      </c>
      <c r="F260" s="19" t="inlineStr">
        <is>
          <t>CONFIRMED — Reproduces from the primary source</t>
        </is>
      </c>
      <c r="G260" s="70" t="inlineStr">
        <is>
          <t>sts_inpr_a C201</t>
        </is>
      </c>
      <c r="H260" s="71" t="n">
        <v>74.09999999999999</v>
      </c>
      <c r="I260" s="34" t="inlineStr">
        <is>
          <t>Eurostat sts_inpr_a · geo=EU27_2020, indic_bt=PRD, s_adj=CA, unit=I21, nace_r2=C201 · https://ec.europa.eu/eurostat/api/dissemination/statistics/1.0/data/sts_inpr_a?format=JSON&amp;lang=EN&amp;geo=EU27_2020&amp;indic_bt=PRD&amp;s_adj=CA&amp;unit=I21&amp;nace_r2=C201</t>
        </is>
      </c>
      <c r="J260" s="72" t="inlineStr">
        <is>
          <t>https://doi.org/10.2908/STS_INPR_A</t>
        </is>
      </c>
    </row>
    <row r="261" ht="26" customHeight="1">
      <c r="A261" s="14" t="inlineStr"/>
      <c r="B261" s="15" t="inlineStr"/>
      <c r="C261" s="63" t="n"/>
      <c r="D261" s="64" t="n"/>
      <c r="E261" s="15" t="inlineStr"/>
      <c r="F261" s="15" t="inlineStr"/>
      <c r="G261" s="70" t="inlineStr">
        <is>
          <t>Report baseline 2021 (Mt)</t>
        </is>
      </c>
      <c r="H261" s="71" t="n">
        <v>26.84</v>
      </c>
      <c r="I261" s="34" t="inlineStr">
        <is>
          <t>ESABCC (2024) “Towards EU climate neutrality”, underlying-data workbook — the report's own 2021 figure, the anchor the later years are spliced onto.</t>
        </is>
      </c>
    </row>
    <row r="262" ht="26" customHeight="1">
      <c r="A262" s="14" t="inlineStr"/>
      <c r="B262" s="15" t="inlineStr"/>
      <c r="C262" s="63" t="n"/>
      <c r="D262" s="64" t="n"/>
      <c r="E262" s="15" t="inlineStr"/>
      <c r="F262" s="15" t="inlineStr"/>
      <c r="G262" s="70" t="inlineStr">
        <is>
          <t>Live source at 2021 (same basis as the columns left)</t>
        </is>
      </c>
      <c r="H262" s="71" t="n">
        <v>100</v>
      </c>
      <c r="I262" s="34" t="inlineStr">
        <is>
          <t>Eurostat sts_inpr_a · production-volume index (2021=100), NACE C201 basic chemicals · EU27_2020 — the same query, read at 2021; dividing by it cancels the level difference between the source's scope and the report's, leaving only the year-on-year change.</t>
        </is>
      </c>
      <c r="J262" s="72" t="inlineStr">
        <is>
          <t>https://doi.org/10.2908/STS_INPR_A</t>
        </is>
      </c>
    </row>
    <row r="263" ht="26" customHeight="1">
      <c r="A263" s="67" t="inlineStr">
        <is>
          <t>I2 (chemicals, production)</t>
        </is>
      </c>
      <c r="B263" s="22" t="inlineStr">
        <is>
          <t>Chemicals production (EU)</t>
        </is>
      </c>
      <c r="C263" s="65" t="n">
        <v>2025</v>
      </c>
      <c r="D263" s="66" t="n">
        <v>18.55</v>
      </c>
      <c r="E263" s="22" t="inlineStr">
        <is>
          <t>Derived from the live source</t>
        </is>
      </c>
      <c r="F263" s="26" t="inlineStr">
        <is>
          <t>CONFIRMED — Reproduces from the primary source</t>
        </is>
      </c>
      <c r="G263" s="73" t="inlineStr">
        <is>
          <t>sts_inpr_a C201</t>
        </is>
      </c>
      <c r="H263" s="74" t="n">
        <v>69.09999999999999</v>
      </c>
      <c r="I263" s="35" t="inlineStr">
        <is>
          <t>Eurostat sts_inpr_a · geo=EU27_2020, indic_bt=PRD, s_adj=CA, unit=I21, nace_r2=C201 · https://ec.europa.eu/eurostat/api/dissemination/statistics/1.0/data/sts_inpr_a?format=JSON&amp;lang=EN&amp;geo=EU27_2020&amp;indic_bt=PRD&amp;s_adj=CA&amp;unit=I21&amp;nace_r2=C201</t>
        </is>
      </c>
      <c r="J263" s="72" t="inlineStr">
        <is>
          <t>https://doi.org/10.2908/STS_INPR_A</t>
        </is>
      </c>
    </row>
    <row r="264" ht="26" customHeight="1">
      <c r="A264" s="67" t="inlineStr"/>
      <c r="B264" s="22" t="inlineStr"/>
      <c r="C264" s="65" t="n"/>
      <c r="D264" s="66" t="n"/>
      <c r="E264" s="22" t="inlineStr"/>
      <c r="F264" s="22" t="inlineStr"/>
      <c r="G264" s="73" t="inlineStr">
        <is>
          <t>Report baseline 2021 (Mt)</t>
        </is>
      </c>
      <c r="H264" s="74" t="n">
        <v>26.84</v>
      </c>
      <c r="I264" s="35" t="inlineStr">
        <is>
          <t>ESABCC (2024) “Towards EU climate neutrality”, underlying-data workbook — the report's own 2021 figure, the anchor the later years are spliced onto.</t>
        </is>
      </c>
    </row>
    <row r="265" ht="26" customHeight="1">
      <c r="A265" s="67" t="inlineStr"/>
      <c r="B265" s="22" t="inlineStr"/>
      <c r="C265" s="65" t="n"/>
      <c r="D265" s="66" t="n"/>
      <c r="E265" s="22" t="inlineStr"/>
      <c r="F265" s="22" t="inlineStr"/>
      <c r="G265" s="73" t="inlineStr">
        <is>
          <t>Live source at 2021 (same basis as the columns left)</t>
        </is>
      </c>
      <c r="H265" s="74" t="n">
        <v>100</v>
      </c>
      <c r="I265" s="35" t="inlineStr">
        <is>
          <t>Eurostat sts_inpr_a · production-volume index (2021=100), NACE C201 basic chemicals · EU27_2020 — the same query, read at 2021; dividing by it cancels the level difference between the source's scope and the report's, leaving only the year-on-year change.</t>
        </is>
      </c>
      <c r="J265" s="72" t="inlineStr">
        <is>
          <t>https://doi.org/10.2908/STS_INPR_A</t>
        </is>
      </c>
    </row>
    <row r="266" ht="22" customHeight="1">
      <c r="G266" s="3" t="inlineStr">
        <is>
          <t>Formula:  Value = IF(A &gt;= 2022, ROUND([Report baseline 2021 (Mt)] * [sts_inpr_a C201] / [Live source at 2021 (same basis as the columns left)], 2), [Report figure (2024 report underlying data)])</t>
        </is>
      </c>
    </row>
    <row r="267" ht="26" customHeight="1">
      <c r="A267" s="14" t="inlineStr">
        <is>
          <t>A2 (bovine, production)</t>
        </is>
      </c>
      <c r="B267" s="15" t="inlineStr">
        <is>
          <t>Bovine meat: production (EU)</t>
        </is>
      </c>
      <c r="C267" s="63" t="n">
        <v>2021</v>
      </c>
      <c r="D267" s="64" t="n">
        <v>6.802</v>
      </c>
      <c r="E267" s="15" t="inlineStr">
        <is>
          <t>Derived from the live source</t>
        </is>
      </c>
      <c r="F267" s="19" t="inlineStr">
        <is>
          <t>CONFIRMED — Reproduces from the primary source</t>
        </is>
      </c>
      <c r="G267" s="70" t="inlineStr">
        <is>
          <t>apro_mt_pann B1000</t>
        </is>
      </c>
      <c r="H267" s="71" t="n">
        <v>6801.91</v>
      </c>
      <c r="I267" s="34" t="inlineStr">
        <is>
          <t>Eurostat apro_mt_pann · geo=EU27_2020, meat=B1000, meatitem=SLAUGHT, unit=THS_T · https://ec.europa.eu/eurostat/api/dissemination/statistics/1.0/data/apro_mt_pann?format=JSON&amp;lang=EN&amp;geo=EU27_2020&amp;meat=B1000&amp;meatitem=SLAUGHT&amp;unit=THS_T</t>
        </is>
      </c>
      <c r="J267" s="72" t="inlineStr">
        <is>
          <t>https://doi.org/10.2908/APRO_MT_PANN</t>
        </is>
      </c>
    </row>
    <row r="268" ht="26" customHeight="1">
      <c r="A268" s="14" t="inlineStr"/>
      <c r="B268" s="15" t="inlineStr"/>
      <c r="C268" s="63" t="n"/>
      <c r="D268" s="64" t="n"/>
      <c r="E268" s="15" t="inlineStr"/>
      <c r="F268" s="15" t="inlineStr"/>
      <c r="G268" s="70" t="inlineStr">
        <is>
          <t>Unit conversion (× 0.001)</t>
        </is>
      </c>
      <c r="H268" s="71" t="n">
        <v>0.001</v>
      </c>
      <c r="I268" s="34" t="inlineStr">
        <is>
          <t>Unit conversion applied to the source figure so it is expressed in Mt.</t>
        </is>
      </c>
    </row>
    <row r="269" ht="26" customHeight="1">
      <c r="A269" s="67" t="inlineStr">
        <is>
          <t>A2 (bovine, production)</t>
        </is>
      </c>
      <c r="B269" s="22" t="inlineStr">
        <is>
          <t>Bovine meat: production (EU)</t>
        </is>
      </c>
      <c r="C269" s="65" t="n">
        <v>2022</v>
      </c>
      <c r="D269" s="66" t="n">
        <v>6.64</v>
      </c>
      <c r="E269" s="22" t="inlineStr">
        <is>
          <t>Derived from the live source</t>
        </is>
      </c>
      <c r="F269" s="26" t="inlineStr">
        <is>
          <t>CONFIRMED — Reproduces from the primary source</t>
        </is>
      </c>
      <c r="G269" s="73" t="inlineStr">
        <is>
          <t>apro_mt_pann B1000</t>
        </is>
      </c>
      <c r="H269" s="74" t="n">
        <v>6640.26</v>
      </c>
      <c r="I269" s="35" t="inlineStr">
        <is>
          <t>Eurostat apro_mt_pann · geo=EU27_2020, meat=B1000, meatitem=SLAUGHT, unit=THS_T · https://ec.europa.eu/eurostat/api/dissemination/statistics/1.0/data/apro_mt_pann?format=JSON&amp;lang=EN&amp;geo=EU27_2020&amp;meat=B1000&amp;meatitem=SLAUGHT&amp;unit=THS_T</t>
        </is>
      </c>
      <c r="J269" s="72" t="inlineStr">
        <is>
          <t>https://doi.org/10.2908/APRO_MT_PANN</t>
        </is>
      </c>
    </row>
    <row r="270" ht="26" customHeight="1">
      <c r="A270" s="67" t="inlineStr"/>
      <c r="B270" s="22" t="inlineStr"/>
      <c r="C270" s="65" t="n"/>
      <c r="D270" s="66" t="n"/>
      <c r="E270" s="22" t="inlineStr"/>
      <c r="F270" s="22" t="inlineStr"/>
      <c r="G270" s="73" t="inlineStr">
        <is>
          <t>Unit conversion (× 0.001)</t>
        </is>
      </c>
      <c r="H270" s="74" t="n">
        <v>0.001</v>
      </c>
      <c r="I270" s="35" t="inlineStr">
        <is>
          <t>Unit conversion applied to the source figure so it is expressed in Mt.</t>
        </is>
      </c>
    </row>
    <row r="271" ht="26" customHeight="1">
      <c r="A271" s="14" t="inlineStr">
        <is>
          <t>A2 (bovine, production)</t>
        </is>
      </c>
      <c r="B271" s="15" t="inlineStr">
        <is>
          <t>Bovine meat: production (EU)</t>
        </is>
      </c>
      <c r="C271" s="63" t="n">
        <v>2023</v>
      </c>
      <c r="D271" s="64" t="n">
        <v>6.385</v>
      </c>
      <c r="E271" s="15" t="inlineStr">
        <is>
          <t>Derived from the live source</t>
        </is>
      </c>
      <c r="F271" s="19" t="inlineStr">
        <is>
          <t>CONFIRMED — Reproduces from the primary source</t>
        </is>
      </c>
      <c r="G271" s="70" t="inlineStr">
        <is>
          <t>apro_mt_pann B1000</t>
        </is>
      </c>
      <c r="H271" s="71" t="n">
        <v>6384.77</v>
      </c>
      <c r="I271" s="34" t="inlineStr">
        <is>
          <t>Eurostat apro_mt_pann · geo=EU27_2020, meat=B1000, meatitem=SLAUGHT, unit=THS_T · https://ec.europa.eu/eurostat/api/dissemination/statistics/1.0/data/apro_mt_pann?format=JSON&amp;lang=EN&amp;geo=EU27_2020&amp;meat=B1000&amp;meatitem=SLAUGHT&amp;unit=THS_T</t>
        </is>
      </c>
      <c r="J271" s="72" t="inlineStr">
        <is>
          <t>https://doi.org/10.2908/APRO_MT_PANN</t>
        </is>
      </c>
    </row>
    <row r="272" ht="26" customHeight="1">
      <c r="A272" s="14" t="inlineStr"/>
      <c r="B272" s="15" t="inlineStr"/>
      <c r="C272" s="63" t="n"/>
      <c r="D272" s="64" t="n"/>
      <c r="E272" s="15" t="inlineStr"/>
      <c r="F272" s="15" t="inlineStr"/>
      <c r="G272" s="70" t="inlineStr">
        <is>
          <t>Unit conversion (× 0.001)</t>
        </is>
      </c>
      <c r="H272" s="71" t="n">
        <v>0.001</v>
      </c>
      <c r="I272" s="34" t="inlineStr">
        <is>
          <t>Unit conversion applied to the source figure so it is expressed in Mt.</t>
        </is>
      </c>
    </row>
    <row r="273" ht="26" customHeight="1">
      <c r="A273" s="67" t="inlineStr">
        <is>
          <t>A2 (bovine, production)</t>
        </is>
      </c>
      <c r="B273" s="22" t="inlineStr">
        <is>
          <t>Bovine meat: production (EU)</t>
        </is>
      </c>
      <c r="C273" s="65" t="n">
        <v>2024</v>
      </c>
      <c r="D273" s="66" t="n">
        <v>6.584</v>
      </c>
      <c r="E273" s="22" t="inlineStr">
        <is>
          <t>Derived from the live source</t>
        </is>
      </c>
      <c r="F273" s="26" t="inlineStr">
        <is>
          <t>CONFIRMED — Reproduces from the primary source</t>
        </is>
      </c>
      <c r="G273" s="73" t="inlineStr">
        <is>
          <t>apro_mt_pann B1000</t>
        </is>
      </c>
      <c r="H273" s="74" t="n">
        <v>6584.01</v>
      </c>
      <c r="I273" s="35" t="inlineStr">
        <is>
          <t>Eurostat apro_mt_pann · geo=EU27_2020, meat=B1000, meatitem=SLAUGHT, unit=THS_T · https://ec.europa.eu/eurostat/api/dissemination/statistics/1.0/data/apro_mt_pann?format=JSON&amp;lang=EN&amp;geo=EU27_2020&amp;meat=B1000&amp;meatitem=SLAUGHT&amp;unit=THS_T</t>
        </is>
      </c>
      <c r="J273" s="72" t="inlineStr">
        <is>
          <t>https://doi.org/10.2908/APRO_MT_PANN</t>
        </is>
      </c>
    </row>
    <row r="274" ht="26" customHeight="1">
      <c r="A274" s="67" t="inlineStr"/>
      <c r="B274" s="22" t="inlineStr"/>
      <c r="C274" s="65" t="n"/>
      <c r="D274" s="66" t="n"/>
      <c r="E274" s="22" t="inlineStr"/>
      <c r="F274" s="22" t="inlineStr"/>
      <c r="G274" s="73" t="inlineStr">
        <is>
          <t>Unit conversion (× 0.001)</t>
        </is>
      </c>
      <c r="H274" s="74" t="n">
        <v>0.001</v>
      </c>
      <c r="I274" s="35" t="inlineStr">
        <is>
          <t>Unit conversion applied to the source figure so it is expressed in Mt.</t>
        </is>
      </c>
    </row>
    <row r="275" ht="26" customHeight="1">
      <c r="A275" s="14" t="inlineStr">
        <is>
          <t>A2 (bovine, production)</t>
        </is>
      </c>
      <c r="B275" s="15" t="inlineStr">
        <is>
          <t>Bovine meat: production (EU)</t>
        </is>
      </c>
      <c r="C275" s="63" t="n">
        <v>2025</v>
      </c>
      <c r="D275" s="64" t="n">
        <v>6.32</v>
      </c>
      <c r="E275" s="15" t="inlineStr">
        <is>
          <t>Derived from the live source</t>
        </is>
      </c>
      <c r="F275" s="19" t="inlineStr">
        <is>
          <t>CONFIRMED — Reproduces from the primary source</t>
        </is>
      </c>
      <c r="G275" s="70" t="inlineStr">
        <is>
          <t>apro_mt_pann B1000</t>
        </is>
      </c>
      <c r="H275" s="71" t="n">
        <v>6319.82</v>
      </c>
      <c r="I275" s="34" t="inlineStr">
        <is>
          <t>Eurostat apro_mt_pann · geo=EU27_2020, meat=B1000, meatitem=SLAUGHT, unit=THS_T · https://ec.europa.eu/eurostat/api/dissemination/statistics/1.0/data/apro_mt_pann?format=JSON&amp;lang=EN&amp;geo=EU27_2020&amp;meat=B1000&amp;meatitem=SLAUGHT&amp;unit=THS_T</t>
        </is>
      </c>
      <c r="J275" s="72" t="inlineStr">
        <is>
          <t>https://doi.org/10.2908/APRO_MT_PANN</t>
        </is>
      </c>
    </row>
    <row r="276" ht="26" customHeight="1">
      <c r="A276" s="14" t="inlineStr"/>
      <c r="B276" s="15" t="inlineStr"/>
      <c r="C276" s="63" t="n"/>
      <c r="D276" s="64" t="n"/>
      <c r="E276" s="15" t="inlineStr"/>
      <c r="F276" s="15" t="inlineStr"/>
      <c r="G276" s="70" t="inlineStr">
        <is>
          <t>Unit conversion (× 0.001)</t>
        </is>
      </c>
      <c r="H276" s="71" t="n">
        <v>0.001</v>
      </c>
      <c r="I276" s="34" t="inlineStr">
        <is>
          <t>Unit conversion applied to the source figure so it is expressed in Mt.</t>
        </is>
      </c>
    </row>
    <row r="277" ht="22" customHeight="1">
      <c r="G277" s="3" t="inlineStr">
        <is>
          <t>Formula:  Value = IF(A &gt;= 2021, ROUND([apro_mt_pann B1000] * [Unit conversion (× 0.001)], 3), [Report figure (2024 report underlying data)])</t>
        </is>
      </c>
    </row>
    <row r="278" ht="26" customHeight="1">
      <c r="A278" s="67" t="inlineStr">
        <is>
          <t>A2 (dairy, production)</t>
        </is>
      </c>
      <c r="B278" s="22" t="inlineStr">
        <is>
          <t>Dairy products: production (EU)</t>
        </is>
      </c>
      <c r="C278" s="65" t="n">
        <v>2021</v>
      </c>
      <c r="D278" s="66" t="n">
        <v>162.6</v>
      </c>
      <c r="E278" s="22" t="inlineStr">
        <is>
          <t>Derived from the live source</t>
        </is>
      </c>
      <c r="F278" s="26" t="inlineStr">
        <is>
          <t>CONFIRMED — Reproduces from the primary source</t>
        </is>
      </c>
      <c r="G278" s="73" t="inlineStr">
        <is>
          <t>apro_mk_farm D1100A</t>
        </is>
      </c>
      <c r="H278" s="74" t="n">
        <v>159772.68</v>
      </c>
      <c r="I278" s="35" t="inlineStr">
        <is>
          <t>Eurostat apro_mk_farm · geo=EU27_2020, dairyprod=D1100A, milkitem=PRO · https://ec.europa.eu/eurostat/api/dissemination/statistics/1.0/data/apro_mk_farm?format=JSON&amp;lang=EN&amp;geo=EU27_2020&amp;dairyprod=D1100A&amp;milkitem=PRO</t>
        </is>
      </c>
      <c r="J278" s="72" t="inlineStr">
        <is>
          <t>https://doi.org/10.2908/APRO_MK_FARM</t>
        </is>
      </c>
    </row>
    <row r="279" ht="26" customHeight="1">
      <c r="A279" s="67" t="inlineStr"/>
      <c r="B279" s="22" t="inlineStr"/>
      <c r="C279" s="65" t="n"/>
      <c r="D279" s="66" t="n"/>
      <c r="E279" s="22" t="inlineStr"/>
      <c r="F279" s="22" t="inlineStr"/>
      <c r="G279" s="73" t="inlineStr">
        <is>
          <t>Report baseline 2020 (Mt)</t>
        </is>
      </c>
      <c r="H279" s="74" t="n">
        <v>163.1</v>
      </c>
      <c r="I279" s="35" t="inlineStr">
        <is>
          <t>ESABCC (2024) “Towards EU climate neutrality”, underlying-data workbook — the report's own 2020 figure, the anchor the later years are spliced onto.</t>
        </is>
      </c>
    </row>
    <row r="280" ht="26" customHeight="1">
      <c r="A280" s="67" t="inlineStr"/>
      <c r="B280" s="22" t="inlineStr"/>
      <c r="C280" s="65" t="n"/>
      <c r="D280" s="66" t="n"/>
      <c r="E280" s="22" t="inlineStr"/>
      <c r="F280" s="22" t="inlineStr"/>
      <c r="G280" s="73" t="inlineStr">
        <is>
          <t>Live source at 2020 (same basis as the columns left)</t>
        </is>
      </c>
      <c r="H280" s="74" t="n">
        <v>160281.96</v>
      </c>
      <c r="I280" s="35" t="inlineStr">
        <is>
          <t>Eurostat apro_mk_farm · raw milk total available on farms · EU27_2020 — the same query, read at 2020; dividing by it cancels the level difference between the source's scope and the report's, leaving only the year-on-year change.</t>
        </is>
      </c>
      <c r="J280" s="72" t="inlineStr">
        <is>
          <t>https://doi.org/10.2908/APRO_MK_FARM</t>
        </is>
      </c>
    </row>
    <row r="281" ht="26" customHeight="1">
      <c r="A281" s="14" t="inlineStr">
        <is>
          <t>A2 (dairy, production)</t>
        </is>
      </c>
      <c r="B281" s="15" t="inlineStr">
        <is>
          <t>Dairy products: production (EU)</t>
        </is>
      </c>
      <c r="C281" s="63" t="n">
        <v>2022</v>
      </c>
      <c r="D281" s="64" t="n">
        <v>162.8</v>
      </c>
      <c r="E281" s="15" t="inlineStr">
        <is>
          <t>Derived from the live source</t>
        </is>
      </c>
      <c r="F281" s="19" t="inlineStr">
        <is>
          <t>CONFIRMED — Reproduces from the primary source</t>
        </is>
      </c>
      <c r="G281" s="70" t="inlineStr">
        <is>
          <t>apro_mk_farm D1100A</t>
        </is>
      </c>
      <c r="H281" s="71" t="n">
        <v>159996.09</v>
      </c>
      <c r="I281" s="34" t="inlineStr">
        <is>
          <t>Eurostat apro_mk_farm · geo=EU27_2020, dairyprod=D1100A, milkitem=PRO · https://ec.europa.eu/eurostat/api/dissemination/statistics/1.0/data/apro_mk_farm?format=JSON&amp;lang=EN&amp;geo=EU27_2020&amp;dairyprod=D1100A&amp;milkitem=PRO</t>
        </is>
      </c>
      <c r="J281" s="72" t="inlineStr">
        <is>
          <t>https://doi.org/10.2908/APRO_MK_FARM</t>
        </is>
      </c>
    </row>
    <row r="282" ht="26" customHeight="1">
      <c r="A282" s="14" t="inlineStr"/>
      <c r="B282" s="15" t="inlineStr"/>
      <c r="C282" s="63" t="n"/>
      <c r="D282" s="64" t="n"/>
      <c r="E282" s="15" t="inlineStr"/>
      <c r="F282" s="15" t="inlineStr"/>
      <c r="G282" s="70" t="inlineStr">
        <is>
          <t>Report baseline 2020 (Mt)</t>
        </is>
      </c>
      <c r="H282" s="71" t="n">
        <v>163.1</v>
      </c>
      <c r="I282" s="34" t="inlineStr">
        <is>
          <t>ESABCC (2024) “Towards EU climate neutrality”, underlying-data workbook — the report's own 2020 figure, the anchor the later years are spliced onto.</t>
        </is>
      </c>
    </row>
    <row r="283" ht="26" customHeight="1">
      <c r="A283" s="14" t="inlineStr"/>
      <c r="B283" s="15" t="inlineStr"/>
      <c r="C283" s="63" t="n"/>
      <c r="D283" s="64" t="n"/>
      <c r="E283" s="15" t="inlineStr"/>
      <c r="F283" s="15" t="inlineStr"/>
      <c r="G283" s="70" t="inlineStr">
        <is>
          <t>Live source at 2020 (same basis as the columns left)</t>
        </is>
      </c>
      <c r="H283" s="71" t="n">
        <v>160281.96</v>
      </c>
      <c r="I283" s="34" t="inlineStr">
        <is>
          <t>Eurostat apro_mk_farm · raw milk total available on farms · EU27_2020 — the same query, read at 2020; dividing by it cancels the level difference between the source's scope and the report's, leaving only the year-on-year change.</t>
        </is>
      </c>
      <c r="J283" s="72" t="inlineStr">
        <is>
          <t>https://doi.org/10.2908/APRO_MK_FARM</t>
        </is>
      </c>
    </row>
    <row r="284" ht="26" customHeight="1">
      <c r="A284" s="67" t="inlineStr">
        <is>
          <t>A2 (dairy, production)</t>
        </is>
      </c>
      <c r="B284" s="22" t="inlineStr">
        <is>
          <t>Dairy products: production (EU)</t>
        </is>
      </c>
      <c r="C284" s="65" t="n">
        <v>2023</v>
      </c>
      <c r="D284" s="66" t="n">
        <v>163.7</v>
      </c>
      <c r="E284" s="22" t="inlineStr">
        <is>
          <t>Derived from the live source</t>
        </is>
      </c>
      <c r="F284" s="26" t="inlineStr">
        <is>
          <t>CONFIRMED — Reproduces from the primary source</t>
        </is>
      </c>
      <c r="G284" s="73" t="inlineStr">
        <is>
          <t>apro_mk_farm D1100A</t>
        </is>
      </c>
      <c r="H284" s="74" t="n">
        <v>160887.23</v>
      </c>
      <c r="I284" s="35" t="inlineStr">
        <is>
          <t>Eurostat apro_mk_farm · geo=EU27_2020, dairyprod=D1100A, milkitem=PRO · https://ec.europa.eu/eurostat/api/dissemination/statistics/1.0/data/apro_mk_farm?format=JSON&amp;lang=EN&amp;geo=EU27_2020&amp;dairyprod=D1100A&amp;milkitem=PRO</t>
        </is>
      </c>
      <c r="J284" s="72" t="inlineStr">
        <is>
          <t>https://doi.org/10.2908/APRO_MK_FARM</t>
        </is>
      </c>
    </row>
    <row r="285" ht="26" customHeight="1">
      <c r="A285" s="67" t="inlineStr"/>
      <c r="B285" s="22" t="inlineStr"/>
      <c r="C285" s="65" t="n"/>
      <c r="D285" s="66" t="n"/>
      <c r="E285" s="22" t="inlineStr"/>
      <c r="F285" s="22" t="inlineStr"/>
      <c r="G285" s="73" t="inlineStr">
        <is>
          <t>Report baseline 2020 (Mt)</t>
        </is>
      </c>
      <c r="H285" s="74" t="n">
        <v>163.1</v>
      </c>
      <c r="I285" s="35" t="inlineStr">
        <is>
          <t>ESABCC (2024) “Towards EU climate neutrality”, underlying-data workbook — the report's own 2020 figure, the anchor the later years are spliced onto.</t>
        </is>
      </c>
    </row>
    <row r="286" ht="26" customHeight="1">
      <c r="A286" s="67" t="inlineStr"/>
      <c r="B286" s="22" t="inlineStr"/>
      <c r="C286" s="65" t="n"/>
      <c r="D286" s="66" t="n"/>
      <c r="E286" s="22" t="inlineStr"/>
      <c r="F286" s="22" t="inlineStr"/>
      <c r="G286" s="73" t="inlineStr">
        <is>
          <t>Live source at 2020 (same basis as the columns left)</t>
        </is>
      </c>
      <c r="H286" s="74" t="n">
        <v>160281.96</v>
      </c>
      <c r="I286" s="35" t="inlineStr">
        <is>
          <t>Eurostat apro_mk_farm · raw milk total available on farms · EU27_2020 — the same query, read at 2020; dividing by it cancels the level difference between the source's scope and the report's, leaving only the year-on-year change.</t>
        </is>
      </c>
      <c r="J286" s="72" t="inlineStr">
        <is>
          <t>https://doi.org/10.2908/APRO_MK_FARM</t>
        </is>
      </c>
    </row>
    <row r="287" ht="26" customHeight="1">
      <c r="A287" s="14" t="inlineStr">
        <is>
          <t>A2 (dairy, production)</t>
        </is>
      </c>
      <c r="B287" s="15" t="inlineStr">
        <is>
          <t>Dairy products: production (EU)</t>
        </is>
      </c>
      <c r="C287" s="63" t="n">
        <v>2024</v>
      </c>
      <c r="D287" s="64" t="n">
        <v>164.6</v>
      </c>
      <c r="E287" s="15" t="inlineStr">
        <is>
          <t>Derived from the live source</t>
        </is>
      </c>
      <c r="F287" s="19" t="inlineStr">
        <is>
          <t>CONFIRMED — Reproduces from the primary source</t>
        </is>
      </c>
      <c r="G287" s="70" t="inlineStr">
        <is>
          <t>apro_mk_farm D1100A</t>
        </is>
      </c>
      <c r="H287" s="71" t="n">
        <v>161798.04</v>
      </c>
      <c r="I287" s="34" t="inlineStr">
        <is>
          <t>Eurostat apro_mk_farm · geo=EU27_2020, dairyprod=D1100A, milkitem=PRO · https://ec.europa.eu/eurostat/api/dissemination/statistics/1.0/data/apro_mk_farm?format=JSON&amp;lang=EN&amp;geo=EU27_2020&amp;dairyprod=D1100A&amp;milkitem=PRO</t>
        </is>
      </c>
      <c r="J287" s="72" t="inlineStr">
        <is>
          <t>https://doi.org/10.2908/APRO_MK_FARM</t>
        </is>
      </c>
    </row>
    <row r="288" ht="26" customHeight="1">
      <c r="A288" s="14" t="inlineStr"/>
      <c r="B288" s="15" t="inlineStr"/>
      <c r="C288" s="63" t="n"/>
      <c r="D288" s="64" t="n"/>
      <c r="E288" s="15" t="inlineStr"/>
      <c r="F288" s="15" t="inlineStr"/>
      <c r="G288" s="70" t="inlineStr">
        <is>
          <t>Report baseline 2020 (Mt)</t>
        </is>
      </c>
      <c r="H288" s="71" t="n">
        <v>163.1</v>
      </c>
      <c r="I288" s="34" t="inlineStr">
        <is>
          <t>ESABCC (2024) “Towards EU climate neutrality”, underlying-data workbook — the report's own 2020 figure, the anchor the later years are spliced onto.</t>
        </is>
      </c>
    </row>
    <row r="289" ht="26" customHeight="1">
      <c r="A289" s="14" t="inlineStr"/>
      <c r="B289" s="15" t="inlineStr"/>
      <c r="C289" s="63" t="n"/>
      <c r="D289" s="64" t="n"/>
      <c r="E289" s="15" t="inlineStr"/>
      <c r="F289" s="15" t="inlineStr"/>
      <c r="G289" s="70" t="inlineStr">
        <is>
          <t>Live source at 2020 (same basis as the columns left)</t>
        </is>
      </c>
      <c r="H289" s="71" t="n">
        <v>160281.96</v>
      </c>
      <c r="I289" s="34" t="inlineStr">
        <is>
          <t>Eurostat apro_mk_farm · raw milk total available on farms · EU27_2020 — the same query, read at 2020; dividing by it cancels the level difference between the source's scope and the report's, leaving only the year-on-year change.</t>
        </is>
      </c>
      <c r="J289" s="72" t="inlineStr">
        <is>
          <t>https://doi.org/10.2908/APRO_MK_FARM</t>
        </is>
      </c>
    </row>
    <row r="290" ht="22" customHeight="1">
      <c r="G290" s="3" t="inlineStr">
        <is>
          <t>Formula:  Value = IF(A &gt;= 2021, ROUND([Report baseline 2020 (Mt)] * [apro_mk_farm D1100A] / [Live source at 2020 (same basis as the columns left)], 1), [Report figure (2024 report underlying data)])</t>
        </is>
      </c>
    </row>
    <row r="291" ht="26" customHeight="1">
      <c r="A291" s="67" t="inlineStr">
        <is>
          <t>A2 (pig, GHG)</t>
        </is>
      </c>
      <c r="B291" s="22" t="inlineStr">
        <is>
          <t>Pig meat: GHG emissions (EU)</t>
        </is>
      </c>
      <c r="C291" s="65" t="n">
        <v>2022</v>
      </c>
      <c r="D291" s="66" t="n">
        <v>28.01</v>
      </c>
      <c r="E291" s="22" t="inlineStr">
        <is>
          <t>Derived from the live source</t>
        </is>
      </c>
      <c r="F291" s="26" t="inlineStr">
        <is>
          <t>CONFIRMED — Reproduces from the primary source</t>
        </is>
      </c>
      <c r="G291" s="73" t="inlineStr">
        <is>
          <t>env_air_gge CRF3A3</t>
        </is>
      </c>
      <c r="H291" s="74" t="n">
        <v>4.06167</v>
      </c>
      <c r="I291" s="35" t="inlineStr">
        <is>
          <t>Eurostat env_air_gge · geo=EU27_2020, unit=MIO_T, freq=A, airpol=GHG, src_crf=CRF3A3 · https://ec.europa.eu/eurostat/api/dissemination/statistics/1.0/data/env_air_gge?format=JSON&amp;lang=EN&amp;geo=EU27_2020&amp;unit=MIO_T&amp;freq=A&amp;airpol=GHG&amp;src_crf=CRF3A3</t>
        </is>
      </c>
      <c r="J291" s="72" t="inlineStr">
        <is>
          <t>https://doi.org/10.2908/ENV_AIR_GGE</t>
        </is>
      </c>
    </row>
    <row r="292" ht="26" customHeight="1">
      <c r="A292" s="67" t="inlineStr"/>
      <c r="B292" s="22" t="inlineStr"/>
      <c r="C292" s="65" t="n"/>
      <c r="D292" s="66" t="n"/>
      <c r="E292" s="22" t="inlineStr"/>
      <c r="F292" s="22" t="inlineStr"/>
      <c r="G292" s="73" t="inlineStr">
        <is>
          <t>env_air_gge CRF3B3</t>
        </is>
      </c>
      <c r="H292" s="74" t="n">
        <v>21.96053</v>
      </c>
      <c r="I292" s="35" t="inlineStr">
        <is>
          <t>Eurostat env_air_gge · geo=EU27_2020, unit=MIO_T, freq=A, airpol=GHG, src_crf=CRF3B3 · https://ec.europa.eu/eurostat/api/dissemination/statistics/1.0/data/env_air_gge?format=JSON&amp;lang=EN&amp;geo=EU27_2020&amp;unit=MIO_T&amp;freq=A&amp;airpol=GHG&amp;src_crf=CRF3B3</t>
        </is>
      </c>
      <c r="J292" s="72" t="inlineStr">
        <is>
          <t>https://doi.org/10.2908/ENV_AIR_GGE</t>
        </is>
      </c>
    </row>
    <row r="293" ht="26" customHeight="1">
      <c r="A293" s="67" t="inlineStr"/>
      <c r="B293" s="22" t="inlineStr"/>
      <c r="C293" s="65" t="n"/>
      <c r="D293" s="66" t="n"/>
      <c r="E293" s="22" t="inlineStr"/>
      <c r="F293" s="22" t="inlineStr"/>
      <c r="G293" s="73" t="inlineStr">
        <is>
          <t>Report baseline 2021 (Mt CO₂eq)</t>
        </is>
      </c>
      <c r="H293" s="74" t="n">
        <v>28.58</v>
      </c>
      <c r="I293" s="35" t="inlineStr">
        <is>
          <t>ESABCC (2024) “Towards EU climate neutrality”, underlying-data workbook — the report's own 2021 figure, the anchor the later years are spliced onto.</t>
        </is>
      </c>
    </row>
    <row r="294" ht="26" customHeight="1">
      <c r="A294" s="67" t="inlineStr"/>
      <c r="B294" s="22" t="inlineStr"/>
      <c r="C294" s="65" t="n"/>
      <c r="D294" s="66" t="n"/>
      <c r="E294" s="22" t="inlineStr"/>
      <c r="F294" s="22" t="inlineStr"/>
      <c r="G294" s="73" t="inlineStr">
        <is>
          <t>Live source at 2021 (same basis as the columns left)</t>
        </is>
      </c>
      <c r="H294" s="74" t="n">
        <v>26.55012</v>
      </c>
      <c r="I294" s="35" t="inlineStr">
        <is>
          <t>Eurostat env_air_gge · swine enteric (CRF 3.A.3) + manure (CRF 3.B.3) GHG · EU27_2020 — the same query, read at 2021; dividing by it cancels the level difference between the source's scope and the report's, leaving only the year-on-year change.</t>
        </is>
      </c>
      <c r="J294" s="72" t="inlineStr">
        <is>
          <t>https://doi.org/10.2908/ENV_AIR_GGE</t>
        </is>
      </c>
    </row>
    <row r="295" ht="26" customHeight="1">
      <c r="A295" s="14" t="inlineStr">
        <is>
          <t>A2 (pig, GHG)</t>
        </is>
      </c>
      <c r="B295" s="15" t="inlineStr">
        <is>
          <t>Pig meat: GHG emissions (EU)</t>
        </is>
      </c>
      <c r="C295" s="63" t="n">
        <v>2023</v>
      </c>
      <c r="D295" s="64" t="n">
        <v>26.82</v>
      </c>
      <c r="E295" s="15" t="inlineStr">
        <is>
          <t>Derived from the live source</t>
        </is>
      </c>
      <c r="F295" s="19" t="inlineStr">
        <is>
          <t>CONFIRMED — Reproduces from the primary source</t>
        </is>
      </c>
      <c r="G295" s="70" t="inlineStr">
        <is>
          <t>env_air_gge CRF3A3</t>
        </is>
      </c>
      <c r="H295" s="71" t="n">
        <v>3.97275</v>
      </c>
      <c r="I295" s="34" t="inlineStr">
        <is>
          <t>Eurostat env_air_gge · geo=EU27_2020, unit=MIO_T, freq=A, airpol=GHG, src_crf=CRF3A3 · https://ec.europa.eu/eurostat/api/dissemination/statistics/1.0/data/env_air_gge?format=JSON&amp;lang=EN&amp;geo=EU27_2020&amp;unit=MIO_T&amp;freq=A&amp;airpol=GHG&amp;src_crf=CRF3A3</t>
        </is>
      </c>
      <c r="J295" s="72" t="inlineStr">
        <is>
          <t>https://doi.org/10.2908/ENV_AIR_GGE</t>
        </is>
      </c>
    </row>
    <row r="296" ht="26" customHeight="1">
      <c r="A296" s="14" t="inlineStr"/>
      <c r="B296" s="15" t="inlineStr"/>
      <c r="C296" s="63" t="n"/>
      <c r="D296" s="64" t="n"/>
      <c r="E296" s="15" t="inlineStr"/>
      <c r="F296" s="15" t="inlineStr"/>
      <c r="G296" s="70" t="inlineStr">
        <is>
          <t>env_air_gge CRF3B3</t>
        </is>
      </c>
      <c r="H296" s="71" t="n">
        <v>20.93875</v>
      </c>
      <c r="I296" s="34" t="inlineStr">
        <is>
          <t>Eurostat env_air_gge · geo=EU27_2020, unit=MIO_T, freq=A, airpol=GHG, src_crf=CRF3B3 · https://ec.europa.eu/eurostat/api/dissemination/statistics/1.0/data/env_air_gge?format=JSON&amp;lang=EN&amp;geo=EU27_2020&amp;unit=MIO_T&amp;freq=A&amp;airpol=GHG&amp;src_crf=CRF3B3</t>
        </is>
      </c>
      <c r="J296" s="72" t="inlineStr">
        <is>
          <t>https://doi.org/10.2908/ENV_AIR_GGE</t>
        </is>
      </c>
    </row>
    <row r="297" ht="26" customHeight="1">
      <c r="A297" s="14" t="inlineStr"/>
      <c r="B297" s="15" t="inlineStr"/>
      <c r="C297" s="63" t="n"/>
      <c r="D297" s="64" t="n"/>
      <c r="E297" s="15" t="inlineStr"/>
      <c r="F297" s="15" t="inlineStr"/>
      <c r="G297" s="70" t="inlineStr">
        <is>
          <t>Report baseline 2021 (Mt CO₂eq)</t>
        </is>
      </c>
      <c r="H297" s="71" t="n">
        <v>28.58</v>
      </c>
      <c r="I297" s="34" t="inlineStr">
        <is>
          <t>ESABCC (2024) “Towards EU climate neutrality”, underlying-data workbook — the report's own 2021 figure, the anchor the later years are spliced onto.</t>
        </is>
      </c>
    </row>
    <row r="298" ht="26" customHeight="1">
      <c r="A298" s="14" t="inlineStr"/>
      <c r="B298" s="15" t="inlineStr"/>
      <c r="C298" s="63" t="n"/>
      <c r="D298" s="64" t="n"/>
      <c r="E298" s="15" t="inlineStr"/>
      <c r="F298" s="15" t="inlineStr"/>
      <c r="G298" s="70" t="inlineStr">
        <is>
          <t>Live source at 2021 (same basis as the columns left)</t>
        </is>
      </c>
      <c r="H298" s="71" t="n">
        <v>26.55012</v>
      </c>
      <c r="I298" s="34" t="inlineStr">
        <is>
          <t>Eurostat env_air_gge · swine enteric (CRF 3.A.3) + manure (CRF 3.B.3) GHG · EU27_2020 — the same query, read at 2021; dividing by it cancels the level difference between the source's scope and the report's, leaving only the year-on-year change.</t>
        </is>
      </c>
      <c r="J298" s="72" t="inlineStr">
        <is>
          <t>https://doi.org/10.2908/ENV_AIR_GGE</t>
        </is>
      </c>
    </row>
    <row r="299" ht="26" customHeight="1">
      <c r="A299" s="67" t="inlineStr">
        <is>
          <t>A2 (pig, GHG)</t>
        </is>
      </c>
      <c r="B299" s="22" t="inlineStr">
        <is>
          <t>Pig meat: GHG emissions (EU)</t>
        </is>
      </c>
      <c r="C299" s="65" t="n">
        <v>2024</v>
      </c>
      <c r="D299" s="66" t="n">
        <v>26.18</v>
      </c>
      <c r="E299" s="22" t="inlineStr">
        <is>
          <t>Derived from the live source</t>
        </is>
      </c>
      <c r="F299" s="26" t="inlineStr">
        <is>
          <t>CONFIRMED — Reproduces from the primary source</t>
        </is>
      </c>
      <c r="G299" s="73" t="inlineStr">
        <is>
          <t>env_air_gge CRF3A3</t>
        </is>
      </c>
      <c r="H299" s="74" t="n">
        <v>3.90006</v>
      </c>
      <c r="I299" s="35" t="inlineStr">
        <is>
          <t>Eurostat env_air_gge · geo=EU27_2020, unit=MIO_T, freq=A, airpol=GHG, src_crf=CRF3A3 · https://ec.europa.eu/eurostat/api/dissemination/statistics/1.0/data/env_air_gge?format=JSON&amp;lang=EN&amp;geo=EU27_2020&amp;unit=MIO_T&amp;freq=A&amp;airpol=GHG&amp;src_crf=CRF3A3</t>
        </is>
      </c>
      <c r="J299" s="72" t="inlineStr">
        <is>
          <t>https://doi.org/10.2908/ENV_AIR_GGE</t>
        </is>
      </c>
    </row>
    <row r="300" ht="26" customHeight="1">
      <c r="A300" s="67" t="inlineStr"/>
      <c r="B300" s="22" t="inlineStr"/>
      <c r="C300" s="65" t="n"/>
      <c r="D300" s="66" t="n"/>
      <c r="E300" s="22" t="inlineStr"/>
      <c r="F300" s="22" t="inlineStr"/>
      <c r="G300" s="73" t="inlineStr">
        <is>
          <t>env_air_gge CRF3B3</t>
        </is>
      </c>
      <c r="H300" s="74" t="n">
        <v>20.42516</v>
      </c>
      <c r="I300" s="35" t="inlineStr">
        <is>
          <t>Eurostat env_air_gge · geo=EU27_2020, unit=MIO_T, freq=A, airpol=GHG, src_crf=CRF3B3 · https://ec.europa.eu/eurostat/api/dissemination/statistics/1.0/data/env_air_gge?format=JSON&amp;lang=EN&amp;geo=EU27_2020&amp;unit=MIO_T&amp;freq=A&amp;airpol=GHG&amp;src_crf=CRF3B3</t>
        </is>
      </c>
      <c r="J300" s="72" t="inlineStr">
        <is>
          <t>https://doi.org/10.2908/ENV_AIR_GGE</t>
        </is>
      </c>
    </row>
    <row r="301" ht="26" customHeight="1">
      <c r="A301" s="67" t="inlineStr"/>
      <c r="B301" s="22" t="inlineStr"/>
      <c r="C301" s="65" t="n"/>
      <c r="D301" s="66" t="n"/>
      <c r="E301" s="22" t="inlineStr"/>
      <c r="F301" s="22" t="inlineStr"/>
      <c r="G301" s="73" t="inlineStr">
        <is>
          <t>Report baseline 2021 (Mt CO₂eq)</t>
        </is>
      </c>
      <c r="H301" s="74" t="n">
        <v>28.58</v>
      </c>
      <c r="I301" s="35" t="inlineStr">
        <is>
          <t>ESABCC (2024) “Towards EU climate neutrality”, underlying-data workbook — the report's own 2021 figure, the anchor the later years are spliced onto.</t>
        </is>
      </c>
    </row>
    <row r="302" ht="26" customHeight="1">
      <c r="A302" s="67" t="inlineStr"/>
      <c r="B302" s="22" t="inlineStr"/>
      <c r="C302" s="65" t="n"/>
      <c r="D302" s="66" t="n"/>
      <c r="E302" s="22" t="inlineStr"/>
      <c r="F302" s="22" t="inlineStr"/>
      <c r="G302" s="73" t="inlineStr">
        <is>
          <t>Live source at 2021 (same basis as the columns left)</t>
        </is>
      </c>
      <c r="H302" s="74" t="n">
        <v>26.55012</v>
      </c>
      <c r="I302" s="35" t="inlineStr">
        <is>
          <t>Eurostat env_air_gge · swine enteric (CRF 3.A.3) + manure (CRF 3.B.3) GHG · EU27_2020 — the same query, read at 2021; dividing by it cancels the level difference between the source's scope and the report's, leaving only the year-on-year change.</t>
        </is>
      </c>
      <c r="J302" s="72" t="inlineStr">
        <is>
          <t>https://doi.org/10.2908/ENV_AIR_GGE</t>
        </is>
      </c>
    </row>
    <row r="303" ht="22" customHeight="1">
      <c r="G303" s="3" t="inlineStr">
        <is>
          <t>Formula:  Value = IF(A &gt;= 2022, ROUND([Report baseline 2021 (Mt CO₂eq)] * ([env_air_gge CRF3A3] + [env_air_gge CRF3B3]) / [Live source at 2021 (same basis as the columns left)], 2), [Report figure (2024 report underlying data)])</t>
        </is>
      </c>
    </row>
    <row r="304" ht="26" customHeight="1">
      <c r="A304" s="14" t="inlineStr">
        <is>
          <t>A2 (pig, production)</t>
        </is>
      </c>
      <c r="B304" s="15" t="inlineStr">
        <is>
          <t>Pig meat: production (EU)</t>
        </is>
      </c>
      <c r="C304" s="63" t="n">
        <v>2021</v>
      </c>
      <c r="D304" s="64" t="n">
        <v>23.39</v>
      </c>
      <c r="E304" s="15" t="inlineStr">
        <is>
          <t>Derived from the live source</t>
        </is>
      </c>
      <c r="F304" s="19" t="inlineStr">
        <is>
          <t>CONFIRMED — Reproduces from the primary source</t>
        </is>
      </c>
      <c r="G304" s="70" t="inlineStr">
        <is>
          <t>apro_mt_pann B3100</t>
        </is>
      </c>
      <c r="H304" s="71" t="n">
        <v>23393.67</v>
      </c>
      <c r="I304" s="34" t="inlineStr">
        <is>
          <t>Eurostat apro_mt_pann · geo=EU27_2020, meat=B3100, meatitem=SLAUGHT, unit=THS_T · https://ec.europa.eu/eurostat/api/dissemination/statistics/1.0/data/apro_mt_pann?format=JSON&amp;lang=EN&amp;geo=EU27_2020&amp;meat=B3100&amp;meatitem=SLAUGHT&amp;unit=THS_T</t>
        </is>
      </c>
      <c r="J304" s="72" t="inlineStr">
        <is>
          <t>https://doi.org/10.2908/APRO_MT_PANN</t>
        </is>
      </c>
    </row>
    <row r="305" ht="26" customHeight="1">
      <c r="A305" s="14" t="inlineStr"/>
      <c r="B305" s="15" t="inlineStr"/>
      <c r="C305" s="63" t="n"/>
      <c r="D305" s="64" t="n"/>
      <c r="E305" s="15" t="inlineStr"/>
      <c r="F305" s="15" t="inlineStr"/>
      <c r="G305" s="70" t="inlineStr">
        <is>
          <t>Unit conversion (× 0.001)</t>
        </is>
      </c>
      <c r="H305" s="71" t="n">
        <v>0.001</v>
      </c>
      <c r="I305" s="34" t="inlineStr">
        <is>
          <t>Unit conversion applied to the source figure so it is expressed in Mt.</t>
        </is>
      </c>
    </row>
    <row r="306" ht="26" customHeight="1">
      <c r="A306" s="67" t="inlineStr">
        <is>
          <t>A2 (pig, production)</t>
        </is>
      </c>
      <c r="B306" s="22" t="inlineStr">
        <is>
          <t>Pig meat: production (EU)</t>
        </is>
      </c>
      <c r="C306" s="65" t="n">
        <v>2022</v>
      </c>
      <c r="D306" s="66" t="n">
        <v>22.07</v>
      </c>
      <c r="E306" s="22" t="inlineStr">
        <is>
          <t>Derived from the live source</t>
        </is>
      </c>
      <c r="F306" s="26" t="inlineStr">
        <is>
          <t>CONFIRMED — Reproduces from the primary source</t>
        </is>
      </c>
      <c r="G306" s="73" t="inlineStr">
        <is>
          <t>apro_mt_pann B3100</t>
        </is>
      </c>
      <c r="H306" s="74" t="n">
        <v>22065.92</v>
      </c>
      <c r="I306" s="35" t="inlineStr">
        <is>
          <t>Eurostat apro_mt_pann · geo=EU27_2020, meat=B3100, meatitem=SLAUGHT, unit=THS_T · https://ec.europa.eu/eurostat/api/dissemination/statistics/1.0/data/apro_mt_pann?format=JSON&amp;lang=EN&amp;geo=EU27_2020&amp;meat=B3100&amp;meatitem=SLAUGHT&amp;unit=THS_T</t>
        </is>
      </c>
      <c r="J306" s="72" t="inlineStr">
        <is>
          <t>https://doi.org/10.2908/APRO_MT_PANN</t>
        </is>
      </c>
    </row>
    <row r="307" ht="26" customHeight="1">
      <c r="A307" s="67" t="inlineStr"/>
      <c r="B307" s="22" t="inlineStr"/>
      <c r="C307" s="65" t="n"/>
      <c r="D307" s="66" t="n"/>
      <c r="E307" s="22" t="inlineStr"/>
      <c r="F307" s="22" t="inlineStr"/>
      <c r="G307" s="73" t="inlineStr">
        <is>
          <t>Unit conversion (× 0.001)</t>
        </is>
      </c>
      <c r="H307" s="74" t="n">
        <v>0.001</v>
      </c>
      <c r="I307" s="35" t="inlineStr">
        <is>
          <t>Unit conversion applied to the source figure so it is expressed in Mt.</t>
        </is>
      </c>
    </row>
    <row r="308" ht="26" customHeight="1">
      <c r="A308" s="14" t="inlineStr">
        <is>
          <t>A2 (pig, production)</t>
        </is>
      </c>
      <c r="B308" s="15" t="inlineStr">
        <is>
          <t>Pig meat: production (EU)</t>
        </is>
      </c>
      <c r="C308" s="63" t="n">
        <v>2023</v>
      </c>
      <c r="D308" s="64" t="n">
        <v>20.64</v>
      </c>
      <c r="E308" s="15" t="inlineStr">
        <is>
          <t>Derived from the live source</t>
        </is>
      </c>
      <c r="F308" s="19" t="inlineStr">
        <is>
          <t>CONFIRMED — Reproduces from the primary source</t>
        </is>
      </c>
      <c r="G308" s="70" t="inlineStr">
        <is>
          <t>apro_mt_pann B3100</t>
        </is>
      </c>
      <c r="H308" s="71" t="n">
        <v>20641.09</v>
      </c>
      <c r="I308" s="34" t="inlineStr">
        <is>
          <t>Eurostat apro_mt_pann · geo=EU27_2020, meat=B3100, meatitem=SLAUGHT, unit=THS_T · https://ec.europa.eu/eurostat/api/dissemination/statistics/1.0/data/apro_mt_pann?format=JSON&amp;lang=EN&amp;geo=EU27_2020&amp;meat=B3100&amp;meatitem=SLAUGHT&amp;unit=THS_T</t>
        </is>
      </c>
      <c r="J308" s="72" t="inlineStr">
        <is>
          <t>https://doi.org/10.2908/APRO_MT_PANN</t>
        </is>
      </c>
    </row>
    <row r="309" ht="26" customHeight="1">
      <c r="A309" s="14" t="inlineStr"/>
      <c r="B309" s="15" t="inlineStr"/>
      <c r="C309" s="63" t="n"/>
      <c r="D309" s="64" t="n"/>
      <c r="E309" s="15" t="inlineStr"/>
      <c r="F309" s="15" t="inlineStr"/>
      <c r="G309" s="70" t="inlineStr">
        <is>
          <t>Unit conversion (× 0.001)</t>
        </is>
      </c>
      <c r="H309" s="71" t="n">
        <v>0.001</v>
      </c>
      <c r="I309" s="34" t="inlineStr">
        <is>
          <t>Unit conversion applied to the source figure so it is expressed in Mt.</t>
        </is>
      </c>
    </row>
    <row r="310" ht="26" customHeight="1">
      <c r="A310" s="67" t="inlineStr">
        <is>
          <t>A2 (pig, production)</t>
        </is>
      </c>
      <c r="B310" s="22" t="inlineStr">
        <is>
          <t>Pig meat: production (EU)</t>
        </is>
      </c>
      <c r="C310" s="65" t="n">
        <v>2024</v>
      </c>
      <c r="D310" s="66" t="n">
        <v>21.09</v>
      </c>
      <c r="E310" s="22" t="inlineStr">
        <is>
          <t>Derived from the live source</t>
        </is>
      </c>
      <c r="F310" s="26" t="inlineStr">
        <is>
          <t>CONFIRMED — Reproduces from the primary source</t>
        </is>
      </c>
      <c r="G310" s="73" t="inlineStr">
        <is>
          <t>apro_mt_pann B3100</t>
        </is>
      </c>
      <c r="H310" s="74" t="n">
        <v>21091.62</v>
      </c>
      <c r="I310" s="35" t="inlineStr">
        <is>
          <t>Eurostat apro_mt_pann · geo=EU27_2020, meat=B3100, meatitem=SLAUGHT, unit=THS_T · https://ec.europa.eu/eurostat/api/dissemination/statistics/1.0/data/apro_mt_pann?format=JSON&amp;lang=EN&amp;geo=EU27_2020&amp;meat=B3100&amp;meatitem=SLAUGHT&amp;unit=THS_T</t>
        </is>
      </c>
      <c r="J310" s="72" t="inlineStr">
        <is>
          <t>https://doi.org/10.2908/APRO_MT_PANN</t>
        </is>
      </c>
    </row>
    <row r="311" ht="26" customHeight="1">
      <c r="A311" s="67" t="inlineStr"/>
      <c r="B311" s="22" t="inlineStr"/>
      <c r="C311" s="65" t="n"/>
      <c r="D311" s="66" t="n"/>
      <c r="E311" s="22" t="inlineStr"/>
      <c r="F311" s="22" t="inlineStr"/>
      <c r="G311" s="73" t="inlineStr">
        <is>
          <t>Unit conversion (× 0.001)</t>
        </is>
      </c>
      <c r="H311" s="74" t="n">
        <v>0.001</v>
      </c>
      <c r="I311" s="35" t="inlineStr">
        <is>
          <t>Unit conversion applied to the source figure so it is expressed in Mt.</t>
        </is>
      </c>
    </row>
    <row r="312" ht="26" customHeight="1">
      <c r="A312" s="14" t="inlineStr">
        <is>
          <t>A2 (pig, production)</t>
        </is>
      </c>
      <c r="B312" s="15" t="inlineStr">
        <is>
          <t>Pig meat: production (EU)</t>
        </is>
      </c>
      <c r="C312" s="63" t="n">
        <v>2025</v>
      </c>
      <c r="D312" s="64" t="n">
        <v>21.84</v>
      </c>
      <c r="E312" s="15" t="inlineStr">
        <is>
          <t>Derived from the live source</t>
        </is>
      </c>
      <c r="F312" s="19" t="inlineStr">
        <is>
          <t>CONFIRMED — Reproduces from the primary source</t>
        </is>
      </c>
      <c r="G312" s="70" t="inlineStr">
        <is>
          <t>apro_mt_pann B3100</t>
        </is>
      </c>
      <c r="H312" s="71" t="n">
        <v>21837.73</v>
      </c>
      <c r="I312" s="34" t="inlineStr">
        <is>
          <t>Eurostat apro_mt_pann · geo=EU27_2020, meat=B3100, meatitem=SLAUGHT, unit=THS_T · https://ec.europa.eu/eurostat/api/dissemination/statistics/1.0/data/apro_mt_pann?format=JSON&amp;lang=EN&amp;geo=EU27_2020&amp;meat=B3100&amp;meatitem=SLAUGHT&amp;unit=THS_T</t>
        </is>
      </c>
      <c r="J312" s="72" t="inlineStr">
        <is>
          <t>https://doi.org/10.2908/APRO_MT_PANN</t>
        </is>
      </c>
    </row>
    <row r="313" ht="26" customHeight="1">
      <c r="A313" s="14" t="inlineStr"/>
      <c r="B313" s="15" t="inlineStr"/>
      <c r="C313" s="63" t="n"/>
      <c r="D313" s="64" t="n"/>
      <c r="E313" s="15" t="inlineStr"/>
      <c r="F313" s="15" t="inlineStr"/>
      <c r="G313" s="70" t="inlineStr">
        <is>
          <t>Unit conversion (× 0.001)</t>
        </is>
      </c>
      <c r="H313" s="71" t="n">
        <v>0.001</v>
      </c>
      <c r="I313" s="34" t="inlineStr">
        <is>
          <t>Unit conversion applied to the source figure so it is expressed in Mt.</t>
        </is>
      </c>
    </row>
    <row r="314" ht="22" customHeight="1">
      <c r="G314" s="3" t="inlineStr">
        <is>
          <t>Formula:  Value = IF(A &gt;= 2021, ROUND([apro_mt_pann B3100] * [Unit conversion (× 0.001)], 2), [Report figure (2024 report underlying data)])</t>
        </is>
      </c>
    </row>
    <row r="315" ht="26" customHeight="1">
      <c r="A315" s="67" t="inlineStr">
        <is>
          <t>A2 (pig, intensity)</t>
        </is>
      </c>
      <c r="B315" s="22" t="inlineStr">
        <is>
          <t>Pig meat: GHG intensity (EU)</t>
        </is>
      </c>
      <c r="C315" s="65" t="n">
        <v>2021</v>
      </c>
      <c r="D315" s="66" t="n">
        <v>1.219</v>
      </c>
      <c r="E315" s="22" t="inlineStr">
        <is>
          <t>Derived from the live source</t>
        </is>
      </c>
      <c r="F315" s="26" t="inlineStr">
        <is>
          <t>CONFIRMED — Reproduces from the primary source</t>
        </is>
      </c>
      <c r="G315" s="73" t="inlineStr">
        <is>
          <t>Numerator · env_air_gge CRF3A3</t>
        </is>
      </c>
      <c r="H315" s="74" t="n">
        <v>4.28352</v>
      </c>
      <c r="I315" s="35" t="inlineStr">
        <is>
          <t>Eurostat env_air_gge · geo=EU27_2020, unit=MIO_T, freq=A, airpol=GHG, src_crf=CRF3A3 · https://ec.europa.eu/eurostat/api/dissemination/statistics/1.0/data/env_air_gge?format=JSON&amp;lang=EN&amp;geo=EU27_2020&amp;unit=MIO_T&amp;freq=A&amp;airpol=GHG&amp;src_crf=CRF3A3</t>
        </is>
      </c>
      <c r="J315" s="72" t="inlineStr">
        <is>
          <t>https://doi.org/10.2908/ENV_AIR_GGE</t>
        </is>
      </c>
    </row>
    <row r="316" ht="26" customHeight="1">
      <c r="A316" s="67" t="inlineStr"/>
      <c r="B316" s="22" t="inlineStr"/>
      <c r="C316" s="65" t="n"/>
      <c r="D316" s="66" t="n"/>
      <c r="E316" s="22" t="inlineStr"/>
      <c r="F316" s="22" t="inlineStr"/>
      <c r="G316" s="73" t="inlineStr">
        <is>
          <t>Numerator · env_air_gge CRF3B3</t>
        </is>
      </c>
      <c r="H316" s="74" t="n">
        <v>22.2666</v>
      </c>
      <c r="I316" s="35" t="inlineStr">
        <is>
          <t>Eurostat env_air_gge · geo=EU27_2020, unit=MIO_T, freq=A, airpol=GHG, src_crf=CRF3B3 · https://ec.europa.eu/eurostat/api/dissemination/statistics/1.0/data/env_air_gge?format=JSON&amp;lang=EN&amp;geo=EU27_2020&amp;unit=MIO_T&amp;freq=A&amp;airpol=GHG&amp;src_crf=CRF3B3</t>
        </is>
      </c>
      <c r="J316" s="72" t="inlineStr">
        <is>
          <t>https://doi.org/10.2908/ENV_AIR_GGE</t>
        </is>
      </c>
    </row>
    <row r="317" ht="26" customHeight="1">
      <c r="A317" s="67" t="inlineStr"/>
      <c r="B317" s="22" t="inlineStr"/>
      <c r="C317" s="65" t="n"/>
      <c r="D317" s="66" t="n"/>
      <c r="E317" s="22" t="inlineStr"/>
      <c r="F317" s="22" t="inlineStr"/>
      <c r="G317" s="73" t="inlineStr">
        <is>
          <t>Denominator · apro_mt_pann B3100</t>
        </is>
      </c>
      <c r="H317" s="74" t="n">
        <v>23393.67</v>
      </c>
      <c r="I317" s="35" t="inlineStr">
        <is>
          <t>Eurostat apro_mt_pann · geo=EU27_2020, meat=B3100, meatitem=SLAUGHT, unit=THS_T · https://ec.europa.eu/eurostat/api/dissemination/statistics/1.0/data/apro_mt_pann?format=JSON&amp;lang=EN&amp;geo=EU27_2020&amp;meat=B3100&amp;meatitem=SLAUGHT&amp;unit=THS_T</t>
        </is>
      </c>
      <c r="J317" s="72" t="inlineStr">
        <is>
          <t>https://doi.org/10.2908/APRO_MT_PANN</t>
        </is>
      </c>
    </row>
    <row r="318" ht="26" customHeight="1">
      <c r="A318" s="67" t="inlineStr"/>
      <c r="B318" s="22" t="inlineStr"/>
      <c r="C318" s="65" t="n"/>
      <c r="D318" s="66" t="n"/>
      <c r="E318" s="22" t="inlineStr"/>
      <c r="F318" s="22" t="inlineStr"/>
      <c r="G318" s="73" t="inlineStr">
        <is>
          <t>Report baseline 2020 (t CO₂eq/t)</t>
        </is>
      </c>
      <c r="H318" s="74" t="n">
        <v>1.264</v>
      </c>
      <c r="I318" s="35" t="inlineStr">
        <is>
          <t>ESABCC (2024) “Towards EU climate neutrality”, underlying-data workbook — the report's own 2020 figure, the anchor the later years are spliced onto.</t>
        </is>
      </c>
    </row>
    <row r="319" ht="26" customHeight="1">
      <c r="A319" s="67" t="inlineStr"/>
      <c r="B319" s="22" t="inlineStr"/>
      <c r="C319" s="65" t="n"/>
      <c r="D319" s="66" t="n"/>
      <c r="E319" s="22" t="inlineStr"/>
      <c r="F319" s="22" t="inlineStr"/>
      <c r="G319" s="73" t="inlineStr">
        <is>
          <t>Live source at 2020 (same basis as the columns left)</t>
        </is>
      </c>
      <c r="H319" s="74" t="n">
        <v>0.001177</v>
      </c>
      <c r="I319" s="35" t="inlineStr">
        <is>
          <t>Eurostat env_air_gge swine GHG (3.A.3 + 3.B.3) ÷ apro_mt_pann pigmeat (B3100) · EU27_2020 — the same query, read at 2020; dividing by it cancels the level difference between the source's scope and the report's, leaving only the year-on-year change.</t>
        </is>
      </c>
      <c r="J319" s="72" t="inlineStr">
        <is>
          <t>https://doi.org/10.2908/ENV_AIR_GGE</t>
        </is>
      </c>
    </row>
    <row r="320" ht="26" customHeight="1">
      <c r="A320" s="14" t="inlineStr">
        <is>
          <t>A2 (pig, intensity)</t>
        </is>
      </c>
      <c r="B320" s="15" t="inlineStr">
        <is>
          <t>Pig meat: GHG intensity (EU)</t>
        </is>
      </c>
      <c r="C320" s="63" t="n">
        <v>2022</v>
      </c>
      <c r="D320" s="64" t="n">
        <v>1.266</v>
      </c>
      <c r="E320" s="15" t="inlineStr">
        <is>
          <t>Derived from the live source</t>
        </is>
      </c>
      <c r="F320" s="19" t="inlineStr">
        <is>
          <t>CONFIRMED — Reproduces from the primary source</t>
        </is>
      </c>
      <c r="G320" s="70" t="inlineStr">
        <is>
          <t>Numerator · env_air_gge CRF3A3</t>
        </is>
      </c>
      <c r="H320" s="71" t="n">
        <v>4.06167</v>
      </c>
      <c r="I320" s="34" t="inlineStr">
        <is>
          <t>Eurostat env_air_gge · geo=EU27_2020, unit=MIO_T, freq=A, airpol=GHG, src_crf=CRF3A3 · https://ec.europa.eu/eurostat/api/dissemination/statistics/1.0/data/env_air_gge?format=JSON&amp;lang=EN&amp;geo=EU27_2020&amp;unit=MIO_T&amp;freq=A&amp;airpol=GHG&amp;src_crf=CRF3A3</t>
        </is>
      </c>
      <c r="J320" s="72" t="inlineStr">
        <is>
          <t>https://doi.org/10.2908/ENV_AIR_GGE</t>
        </is>
      </c>
    </row>
    <row r="321" ht="26" customHeight="1">
      <c r="A321" s="14" t="inlineStr"/>
      <c r="B321" s="15" t="inlineStr"/>
      <c r="C321" s="63" t="n"/>
      <c r="D321" s="64" t="n"/>
      <c r="E321" s="15" t="inlineStr"/>
      <c r="F321" s="15" t="inlineStr"/>
      <c r="G321" s="70" t="inlineStr">
        <is>
          <t>Numerator · env_air_gge CRF3B3</t>
        </is>
      </c>
      <c r="H321" s="71" t="n">
        <v>21.96053</v>
      </c>
      <c r="I321" s="34" t="inlineStr">
        <is>
          <t>Eurostat env_air_gge · geo=EU27_2020, unit=MIO_T, freq=A, airpol=GHG, src_crf=CRF3B3 · https://ec.europa.eu/eurostat/api/dissemination/statistics/1.0/data/env_air_gge?format=JSON&amp;lang=EN&amp;geo=EU27_2020&amp;unit=MIO_T&amp;freq=A&amp;airpol=GHG&amp;src_crf=CRF3B3</t>
        </is>
      </c>
      <c r="J321" s="72" t="inlineStr">
        <is>
          <t>https://doi.org/10.2908/ENV_AIR_GGE</t>
        </is>
      </c>
    </row>
    <row r="322" ht="26" customHeight="1">
      <c r="A322" s="14" t="inlineStr"/>
      <c r="B322" s="15" t="inlineStr"/>
      <c r="C322" s="63" t="n"/>
      <c r="D322" s="64" t="n"/>
      <c r="E322" s="15" t="inlineStr"/>
      <c r="F322" s="15" t="inlineStr"/>
      <c r="G322" s="70" t="inlineStr">
        <is>
          <t>Denominator · apro_mt_pann B3100</t>
        </is>
      </c>
      <c r="H322" s="71" t="n">
        <v>22065.92</v>
      </c>
      <c r="I322" s="34" t="inlineStr">
        <is>
          <t>Eurostat apro_mt_pann · geo=EU27_2020, meat=B3100, meatitem=SLAUGHT, unit=THS_T · https://ec.europa.eu/eurostat/api/dissemination/statistics/1.0/data/apro_mt_pann?format=JSON&amp;lang=EN&amp;geo=EU27_2020&amp;meat=B3100&amp;meatitem=SLAUGHT&amp;unit=THS_T</t>
        </is>
      </c>
      <c r="J322" s="72" t="inlineStr">
        <is>
          <t>https://doi.org/10.2908/APRO_MT_PANN</t>
        </is>
      </c>
    </row>
    <row r="323" ht="26" customHeight="1">
      <c r="A323" s="14" t="inlineStr"/>
      <c r="B323" s="15" t="inlineStr"/>
      <c r="C323" s="63" t="n"/>
      <c r="D323" s="64" t="n"/>
      <c r="E323" s="15" t="inlineStr"/>
      <c r="F323" s="15" t="inlineStr"/>
      <c r="G323" s="70" t="inlineStr">
        <is>
          <t>Report baseline 2020 (t CO₂eq/t)</t>
        </is>
      </c>
      <c r="H323" s="71" t="n">
        <v>1.264</v>
      </c>
      <c r="I323" s="34" t="inlineStr">
        <is>
          <t>ESABCC (2024) “Towards EU climate neutrality”, underlying-data workbook — the report's own 2020 figure, the anchor the later years are spliced onto.</t>
        </is>
      </c>
    </row>
    <row r="324" ht="26" customHeight="1">
      <c r="A324" s="14" t="inlineStr"/>
      <c r="B324" s="15" t="inlineStr"/>
      <c r="C324" s="63" t="n"/>
      <c r="D324" s="64" t="n"/>
      <c r="E324" s="15" t="inlineStr"/>
      <c r="F324" s="15" t="inlineStr"/>
      <c r="G324" s="70" t="inlineStr">
        <is>
          <t>Live source at 2020 (same basis as the columns left)</t>
        </is>
      </c>
      <c r="H324" s="71" t="n">
        <v>0.001177</v>
      </c>
      <c r="I324" s="34" t="inlineStr">
        <is>
          <t>Eurostat env_air_gge swine GHG (3.A.3 + 3.B.3) ÷ apro_mt_pann pigmeat (B3100) · EU27_2020 — the same query, read at 2020; dividing by it cancels the level difference between the source's scope and the report's, leaving only the year-on-year change.</t>
        </is>
      </c>
      <c r="J324" s="72" t="inlineStr">
        <is>
          <t>https://doi.org/10.2908/ENV_AIR_GGE</t>
        </is>
      </c>
    </row>
    <row r="325" ht="26" customHeight="1">
      <c r="A325" s="67" t="inlineStr">
        <is>
          <t>A2 (pig, intensity)</t>
        </is>
      </c>
      <c r="B325" s="22" t="inlineStr">
        <is>
          <t>Pig meat: GHG intensity (EU)</t>
        </is>
      </c>
      <c r="C325" s="65" t="n">
        <v>2023</v>
      </c>
      <c r="D325" s="66" t="n">
        <v>1.296</v>
      </c>
      <c r="E325" s="22" t="inlineStr">
        <is>
          <t>Derived from the live source</t>
        </is>
      </c>
      <c r="F325" s="26" t="inlineStr">
        <is>
          <t>CONFIRMED — Reproduces from the primary source</t>
        </is>
      </c>
      <c r="G325" s="73" t="inlineStr">
        <is>
          <t>Numerator · env_air_gge CRF3A3</t>
        </is>
      </c>
      <c r="H325" s="74" t="n">
        <v>3.97275</v>
      </c>
      <c r="I325" s="35" t="inlineStr">
        <is>
          <t>Eurostat env_air_gge · geo=EU27_2020, unit=MIO_T, freq=A, airpol=GHG, src_crf=CRF3A3 · https://ec.europa.eu/eurostat/api/dissemination/statistics/1.0/data/env_air_gge?format=JSON&amp;lang=EN&amp;geo=EU27_2020&amp;unit=MIO_T&amp;freq=A&amp;airpol=GHG&amp;src_crf=CRF3A3</t>
        </is>
      </c>
      <c r="J325" s="72" t="inlineStr">
        <is>
          <t>https://doi.org/10.2908/ENV_AIR_GGE</t>
        </is>
      </c>
    </row>
    <row r="326" ht="26" customHeight="1">
      <c r="A326" s="67" t="inlineStr"/>
      <c r="B326" s="22" t="inlineStr"/>
      <c r="C326" s="65" t="n"/>
      <c r="D326" s="66" t="n"/>
      <c r="E326" s="22" t="inlineStr"/>
      <c r="F326" s="22" t="inlineStr"/>
      <c r="G326" s="73" t="inlineStr">
        <is>
          <t>Numerator · env_air_gge CRF3B3</t>
        </is>
      </c>
      <c r="H326" s="74" t="n">
        <v>20.93875</v>
      </c>
      <c r="I326" s="35" t="inlineStr">
        <is>
          <t>Eurostat env_air_gge · geo=EU27_2020, unit=MIO_T, freq=A, airpol=GHG, src_crf=CRF3B3 · https://ec.europa.eu/eurostat/api/dissemination/statistics/1.0/data/env_air_gge?format=JSON&amp;lang=EN&amp;geo=EU27_2020&amp;unit=MIO_T&amp;freq=A&amp;airpol=GHG&amp;src_crf=CRF3B3</t>
        </is>
      </c>
      <c r="J326" s="72" t="inlineStr">
        <is>
          <t>https://doi.org/10.2908/ENV_AIR_GGE</t>
        </is>
      </c>
    </row>
    <row r="327" ht="26" customHeight="1">
      <c r="A327" s="67" t="inlineStr"/>
      <c r="B327" s="22" t="inlineStr"/>
      <c r="C327" s="65" t="n"/>
      <c r="D327" s="66" t="n"/>
      <c r="E327" s="22" t="inlineStr"/>
      <c r="F327" s="22" t="inlineStr"/>
      <c r="G327" s="73" t="inlineStr">
        <is>
          <t>Denominator · apro_mt_pann B3100</t>
        </is>
      </c>
      <c r="H327" s="74" t="n">
        <v>20641.09</v>
      </c>
      <c r="I327" s="35" t="inlineStr">
        <is>
          <t>Eurostat apro_mt_pann · geo=EU27_2020, meat=B3100, meatitem=SLAUGHT, unit=THS_T · https://ec.europa.eu/eurostat/api/dissemination/statistics/1.0/data/apro_mt_pann?format=JSON&amp;lang=EN&amp;geo=EU27_2020&amp;meat=B3100&amp;meatitem=SLAUGHT&amp;unit=THS_T</t>
        </is>
      </c>
      <c r="J327" s="72" t="inlineStr">
        <is>
          <t>https://doi.org/10.2908/APRO_MT_PANN</t>
        </is>
      </c>
    </row>
    <row r="328" ht="26" customHeight="1">
      <c r="A328" s="67" t="inlineStr"/>
      <c r="B328" s="22" t="inlineStr"/>
      <c r="C328" s="65" t="n"/>
      <c r="D328" s="66" t="n"/>
      <c r="E328" s="22" t="inlineStr"/>
      <c r="F328" s="22" t="inlineStr"/>
      <c r="G328" s="73" t="inlineStr">
        <is>
          <t>Report baseline 2020 (t CO₂eq/t)</t>
        </is>
      </c>
      <c r="H328" s="74" t="n">
        <v>1.264</v>
      </c>
      <c r="I328" s="35" t="inlineStr">
        <is>
          <t>ESABCC (2024) “Towards EU climate neutrality”, underlying-data workbook — the report's own 2020 figure, the anchor the later years are spliced onto.</t>
        </is>
      </c>
    </row>
    <row r="329" ht="26" customHeight="1">
      <c r="A329" s="67" t="inlineStr"/>
      <c r="B329" s="22" t="inlineStr"/>
      <c r="C329" s="65" t="n"/>
      <c r="D329" s="66" t="n"/>
      <c r="E329" s="22" t="inlineStr"/>
      <c r="F329" s="22" t="inlineStr"/>
      <c r="G329" s="73" t="inlineStr">
        <is>
          <t>Live source at 2020 (same basis as the columns left)</t>
        </is>
      </c>
      <c r="H329" s="74" t="n">
        <v>0.001177</v>
      </c>
      <c r="I329" s="35" t="inlineStr">
        <is>
          <t>Eurostat env_air_gge swine GHG (3.A.3 + 3.B.3) ÷ apro_mt_pann pigmeat (B3100) · EU27_2020 — the same query, read at 2020; dividing by it cancels the level difference between the source's scope and the report's, leaving only the year-on-year change.</t>
        </is>
      </c>
      <c r="J329" s="72" t="inlineStr">
        <is>
          <t>https://doi.org/10.2908/ENV_AIR_GGE</t>
        </is>
      </c>
    </row>
    <row r="330" ht="26" customHeight="1">
      <c r="A330" s="14" t="inlineStr">
        <is>
          <t>A2 (pig, intensity)</t>
        </is>
      </c>
      <c r="B330" s="15" t="inlineStr">
        <is>
          <t>Pig meat: GHG intensity (EU)</t>
        </is>
      </c>
      <c r="C330" s="63" t="n">
        <v>2024</v>
      </c>
      <c r="D330" s="64" t="n">
        <v>1.238</v>
      </c>
      <c r="E330" s="15" t="inlineStr">
        <is>
          <t>Derived from the live source</t>
        </is>
      </c>
      <c r="F330" s="19" t="inlineStr">
        <is>
          <t>CONFIRMED — Reproduces from the primary source</t>
        </is>
      </c>
      <c r="G330" s="70" t="inlineStr">
        <is>
          <t>Numerator · env_air_gge CRF3A3</t>
        </is>
      </c>
      <c r="H330" s="71" t="n">
        <v>3.90006</v>
      </c>
      <c r="I330" s="34" t="inlineStr">
        <is>
          <t>Eurostat env_air_gge · geo=EU27_2020, unit=MIO_T, freq=A, airpol=GHG, src_crf=CRF3A3 · https://ec.europa.eu/eurostat/api/dissemination/statistics/1.0/data/env_air_gge?format=JSON&amp;lang=EN&amp;geo=EU27_2020&amp;unit=MIO_T&amp;freq=A&amp;airpol=GHG&amp;src_crf=CRF3A3</t>
        </is>
      </c>
      <c r="J330" s="72" t="inlineStr">
        <is>
          <t>https://doi.org/10.2908/ENV_AIR_GGE</t>
        </is>
      </c>
    </row>
    <row r="331" ht="26" customHeight="1">
      <c r="A331" s="14" t="inlineStr"/>
      <c r="B331" s="15" t="inlineStr"/>
      <c r="C331" s="63" t="n"/>
      <c r="D331" s="64" t="n"/>
      <c r="E331" s="15" t="inlineStr"/>
      <c r="F331" s="15" t="inlineStr"/>
      <c r="G331" s="70" t="inlineStr">
        <is>
          <t>Numerator · env_air_gge CRF3B3</t>
        </is>
      </c>
      <c r="H331" s="71" t="n">
        <v>20.42516</v>
      </c>
      <c r="I331" s="34" t="inlineStr">
        <is>
          <t>Eurostat env_air_gge · geo=EU27_2020, unit=MIO_T, freq=A, airpol=GHG, src_crf=CRF3B3 · https://ec.europa.eu/eurostat/api/dissemination/statistics/1.0/data/env_air_gge?format=JSON&amp;lang=EN&amp;geo=EU27_2020&amp;unit=MIO_T&amp;freq=A&amp;airpol=GHG&amp;src_crf=CRF3B3</t>
        </is>
      </c>
      <c r="J331" s="72" t="inlineStr">
        <is>
          <t>https://doi.org/10.2908/ENV_AIR_GGE</t>
        </is>
      </c>
    </row>
    <row r="332" ht="26" customHeight="1">
      <c r="A332" s="14" t="inlineStr"/>
      <c r="B332" s="15" t="inlineStr"/>
      <c r="C332" s="63" t="n"/>
      <c r="D332" s="64" t="n"/>
      <c r="E332" s="15" t="inlineStr"/>
      <c r="F332" s="15" t="inlineStr"/>
      <c r="G332" s="70" t="inlineStr">
        <is>
          <t>Denominator · apro_mt_pann B3100</t>
        </is>
      </c>
      <c r="H332" s="71" t="n">
        <v>21091.62</v>
      </c>
      <c r="I332" s="34" t="inlineStr">
        <is>
          <t>Eurostat apro_mt_pann · geo=EU27_2020, meat=B3100, meatitem=SLAUGHT, unit=THS_T · https://ec.europa.eu/eurostat/api/dissemination/statistics/1.0/data/apro_mt_pann?format=JSON&amp;lang=EN&amp;geo=EU27_2020&amp;meat=B3100&amp;meatitem=SLAUGHT&amp;unit=THS_T</t>
        </is>
      </c>
      <c r="J332" s="72" t="inlineStr">
        <is>
          <t>https://doi.org/10.2908/APRO_MT_PANN</t>
        </is>
      </c>
    </row>
    <row r="333" ht="26" customHeight="1">
      <c r="A333" s="14" t="inlineStr"/>
      <c r="B333" s="15" t="inlineStr"/>
      <c r="C333" s="63" t="n"/>
      <c r="D333" s="64" t="n"/>
      <c r="E333" s="15" t="inlineStr"/>
      <c r="F333" s="15" t="inlineStr"/>
      <c r="G333" s="70" t="inlineStr">
        <is>
          <t>Report baseline 2020 (t CO₂eq/t)</t>
        </is>
      </c>
      <c r="H333" s="71" t="n">
        <v>1.264</v>
      </c>
      <c r="I333" s="34" t="inlineStr">
        <is>
          <t>ESABCC (2024) “Towards EU climate neutrality”, underlying-data workbook — the report's own 2020 figure, the anchor the later years are spliced onto.</t>
        </is>
      </c>
    </row>
    <row r="334" ht="26" customHeight="1">
      <c r="A334" s="14" t="inlineStr"/>
      <c r="B334" s="15" t="inlineStr"/>
      <c r="C334" s="63" t="n"/>
      <c r="D334" s="64" t="n"/>
      <c r="E334" s="15" t="inlineStr"/>
      <c r="F334" s="15" t="inlineStr"/>
      <c r="G334" s="70" t="inlineStr">
        <is>
          <t>Live source at 2020 (same basis as the columns left)</t>
        </is>
      </c>
      <c r="H334" s="71" t="n">
        <v>0.001177</v>
      </c>
      <c r="I334" s="34" t="inlineStr">
        <is>
          <t>Eurostat env_air_gge swine GHG (3.A.3 + 3.B.3) ÷ apro_mt_pann pigmeat (B3100) · EU27_2020 — the same query, read at 2020; dividing by it cancels the level difference between the source's scope and the report's, leaving only the year-on-year change.</t>
        </is>
      </c>
      <c r="J334" s="72" t="inlineStr">
        <is>
          <t>https://doi.org/10.2908/ENV_AIR_GGE</t>
        </is>
      </c>
    </row>
    <row r="335" ht="22" customHeight="1">
      <c r="G335" s="3" t="inlineStr">
        <is>
          <t>Formula:  Value = IF(A &gt;= 2021, ROUND([Report baseline 2020 (t CO₂eq/t)] * ([Numerator · env_air_gge CRF3A3] + [Numerator · env_air_gge CRF3B3]) / ([Denominator · apro_mt_pann B3100]) / [Live source at 2020 (same basis as the columns left)], 3), [Report figure (2024 report underlying data)])</t>
        </is>
      </c>
    </row>
    <row r="336" ht="26" customHeight="1">
      <c r="A336" s="67" t="inlineStr">
        <is>
          <t>A4 (bovine, production)</t>
        </is>
      </c>
      <c r="B336" s="22" t="inlineStr">
        <is>
          <t>Bovine meat: production (EU)</t>
        </is>
      </c>
      <c r="C336" s="65" t="n">
        <v>2021</v>
      </c>
      <c r="D336" s="66" t="n">
        <v>6.802</v>
      </c>
      <c r="E336" s="22" t="inlineStr">
        <is>
          <t>Derived from the live source</t>
        </is>
      </c>
      <c r="F336" s="26" t="inlineStr">
        <is>
          <t>CONFIRMED — Reproduces from the primary source</t>
        </is>
      </c>
      <c r="G336" s="73" t="inlineStr">
        <is>
          <t>apro_mt_pann B1000</t>
        </is>
      </c>
      <c r="H336" s="74" t="n">
        <v>6801.91</v>
      </c>
      <c r="I336" s="35" t="inlineStr">
        <is>
          <t>Eurostat apro_mt_pann · geo=EU27_2020, meat=B1000, meatitem=SLAUGHT, unit=THS_T · https://ec.europa.eu/eurostat/api/dissemination/statistics/1.0/data/apro_mt_pann?format=JSON&amp;lang=EN&amp;geo=EU27_2020&amp;meat=B1000&amp;meatitem=SLAUGHT&amp;unit=THS_T</t>
        </is>
      </c>
      <c r="J336" s="72" t="inlineStr">
        <is>
          <t>https://doi.org/10.2908/APRO_MT_PANN</t>
        </is>
      </c>
    </row>
    <row r="337" ht="26" customHeight="1">
      <c r="A337" s="67" t="inlineStr"/>
      <c r="B337" s="22" t="inlineStr"/>
      <c r="C337" s="65" t="n"/>
      <c r="D337" s="66" t="n"/>
      <c r="E337" s="22" t="inlineStr"/>
      <c r="F337" s="22" t="inlineStr"/>
      <c r="G337" s="73" t="inlineStr">
        <is>
          <t>Unit conversion (× 0.001)</t>
        </is>
      </c>
      <c r="H337" s="74" t="n">
        <v>0.001</v>
      </c>
      <c r="I337" s="35" t="inlineStr">
        <is>
          <t>Unit conversion applied to the source figure so it is expressed in Mt.</t>
        </is>
      </c>
    </row>
    <row r="338" ht="26" customHeight="1">
      <c r="A338" s="14" t="inlineStr">
        <is>
          <t>A4 (bovine, production)</t>
        </is>
      </c>
      <c r="B338" s="15" t="inlineStr">
        <is>
          <t>Bovine meat: production (EU)</t>
        </is>
      </c>
      <c r="C338" s="63" t="n">
        <v>2022</v>
      </c>
      <c r="D338" s="64" t="n">
        <v>6.64</v>
      </c>
      <c r="E338" s="15" t="inlineStr">
        <is>
          <t>Derived from the live source</t>
        </is>
      </c>
      <c r="F338" s="19" t="inlineStr">
        <is>
          <t>CONFIRMED — Reproduces from the primary source</t>
        </is>
      </c>
      <c r="G338" s="70" t="inlineStr">
        <is>
          <t>apro_mt_pann B1000</t>
        </is>
      </c>
      <c r="H338" s="71" t="n">
        <v>6640.26</v>
      </c>
      <c r="I338" s="34" t="inlineStr">
        <is>
          <t>Eurostat apro_mt_pann · geo=EU27_2020, meat=B1000, meatitem=SLAUGHT, unit=THS_T · https://ec.europa.eu/eurostat/api/dissemination/statistics/1.0/data/apro_mt_pann?format=JSON&amp;lang=EN&amp;geo=EU27_2020&amp;meat=B1000&amp;meatitem=SLAUGHT&amp;unit=THS_T</t>
        </is>
      </c>
      <c r="J338" s="72" t="inlineStr">
        <is>
          <t>https://doi.org/10.2908/APRO_MT_PANN</t>
        </is>
      </c>
    </row>
    <row r="339" ht="26" customHeight="1">
      <c r="A339" s="14" t="inlineStr"/>
      <c r="B339" s="15" t="inlineStr"/>
      <c r="C339" s="63" t="n"/>
      <c r="D339" s="64" t="n"/>
      <c r="E339" s="15" t="inlineStr"/>
      <c r="F339" s="15" t="inlineStr"/>
      <c r="G339" s="70" t="inlineStr">
        <is>
          <t>Unit conversion (× 0.001)</t>
        </is>
      </c>
      <c r="H339" s="71" t="n">
        <v>0.001</v>
      </c>
      <c r="I339" s="34" t="inlineStr">
        <is>
          <t>Unit conversion applied to the source figure so it is expressed in Mt.</t>
        </is>
      </c>
    </row>
    <row r="340" ht="26" customHeight="1">
      <c r="A340" s="67" t="inlineStr">
        <is>
          <t>A4 (bovine, production)</t>
        </is>
      </c>
      <c r="B340" s="22" t="inlineStr">
        <is>
          <t>Bovine meat: production (EU)</t>
        </is>
      </c>
      <c r="C340" s="65" t="n">
        <v>2023</v>
      </c>
      <c r="D340" s="66" t="n">
        <v>6.385</v>
      </c>
      <c r="E340" s="22" t="inlineStr">
        <is>
          <t>Derived from the live source</t>
        </is>
      </c>
      <c r="F340" s="26" t="inlineStr">
        <is>
          <t>CONFIRMED — Reproduces from the primary source</t>
        </is>
      </c>
      <c r="G340" s="73" t="inlineStr">
        <is>
          <t>apro_mt_pann B1000</t>
        </is>
      </c>
      <c r="H340" s="74" t="n">
        <v>6384.77</v>
      </c>
      <c r="I340" s="35" t="inlineStr">
        <is>
          <t>Eurostat apro_mt_pann · geo=EU27_2020, meat=B1000, meatitem=SLAUGHT, unit=THS_T · https://ec.europa.eu/eurostat/api/dissemination/statistics/1.0/data/apro_mt_pann?format=JSON&amp;lang=EN&amp;geo=EU27_2020&amp;meat=B1000&amp;meatitem=SLAUGHT&amp;unit=THS_T</t>
        </is>
      </c>
      <c r="J340" s="72" t="inlineStr">
        <is>
          <t>https://doi.org/10.2908/APRO_MT_PANN</t>
        </is>
      </c>
    </row>
    <row r="341" ht="26" customHeight="1">
      <c r="A341" s="67" t="inlineStr"/>
      <c r="B341" s="22" t="inlineStr"/>
      <c r="C341" s="65" t="n"/>
      <c r="D341" s="66" t="n"/>
      <c r="E341" s="22" t="inlineStr"/>
      <c r="F341" s="22" t="inlineStr"/>
      <c r="G341" s="73" t="inlineStr">
        <is>
          <t>Unit conversion (× 0.001)</t>
        </is>
      </c>
      <c r="H341" s="74" t="n">
        <v>0.001</v>
      </c>
      <c r="I341" s="35" t="inlineStr">
        <is>
          <t>Unit conversion applied to the source figure so it is expressed in Mt.</t>
        </is>
      </c>
    </row>
    <row r="342" ht="26" customHeight="1">
      <c r="A342" s="14" t="inlineStr">
        <is>
          <t>A4 (bovine, production)</t>
        </is>
      </c>
      <c r="B342" s="15" t="inlineStr">
        <is>
          <t>Bovine meat: production (EU)</t>
        </is>
      </c>
      <c r="C342" s="63" t="n">
        <v>2024</v>
      </c>
      <c r="D342" s="64" t="n">
        <v>6.584</v>
      </c>
      <c r="E342" s="15" t="inlineStr">
        <is>
          <t>Derived from the live source</t>
        </is>
      </c>
      <c r="F342" s="19" t="inlineStr">
        <is>
          <t>CONFIRMED — Reproduces from the primary source</t>
        </is>
      </c>
      <c r="G342" s="70" t="inlineStr">
        <is>
          <t>apro_mt_pann B1000</t>
        </is>
      </c>
      <c r="H342" s="71" t="n">
        <v>6584.01</v>
      </c>
      <c r="I342" s="34" t="inlineStr">
        <is>
          <t>Eurostat apro_mt_pann · geo=EU27_2020, meat=B1000, meatitem=SLAUGHT, unit=THS_T · https://ec.europa.eu/eurostat/api/dissemination/statistics/1.0/data/apro_mt_pann?format=JSON&amp;lang=EN&amp;geo=EU27_2020&amp;meat=B1000&amp;meatitem=SLAUGHT&amp;unit=THS_T</t>
        </is>
      </c>
      <c r="J342" s="72" t="inlineStr">
        <is>
          <t>https://doi.org/10.2908/APRO_MT_PANN</t>
        </is>
      </c>
    </row>
    <row r="343" ht="26" customHeight="1">
      <c r="A343" s="14" t="inlineStr"/>
      <c r="B343" s="15" t="inlineStr"/>
      <c r="C343" s="63" t="n"/>
      <c r="D343" s="64" t="n"/>
      <c r="E343" s="15" t="inlineStr"/>
      <c r="F343" s="15" t="inlineStr"/>
      <c r="G343" s="70" t="inlineStr">
        <is>
          <t>Unit conversion (× 0.001)</t>
        </is>
      </c>
      <c r="H343" s="71" t="n">
        <v>0.001</v>
      </c>
      <c r="I343" s="34" t="inlineStr">
        <is>
          <t>Unit conversion applied to the source figure so it is expressed in Mt.</t>
        </is>
      </c>
    </row>
    <row r="344" ht="26" customHeight="1">
      <c r="A344" s="67" t="inlineStr">
        <is>
          <t>A4 (bovine, production)</t>
        </is>
      </c>
      <c r="B344" s="22" t="inlineStr">
        <is>
          <t>Bovine meat: production (EU)</t>
        </is>
      </c>
      <c r="C344" s="65" t="n">
        <v>2025</v>
      </c>
      <c r="D344" s="66" t="n">
        <v>6.32</v>
      </c>
      <c r="E344" s="22" t="inlineStr">
        <is>
          <t>Derived from the live source</t>
        </is>
      </c>
      <c r="F344" s="26" t="inlineStr">
        <is>
          <t>CONFIRMED — Reproduces from the primary source</t>
        </is>
      </c>
      <c r="G344" s="73" t="inlineStr">
        <is>
          <t>apro_mt_pann B1000</t>
        </is>
      </c>
      <c r="H344" s="74" t="n">
        <v>6319.82</v>
      </c>
      <c r="I344" s="35" t="inlineStr">
        <is>
          <t>Eurostat apro_mt_pann · geo=EU27_2020, meat=B1000, meatitem=SLAUGHT, unit=THS_T · https://ec.europa.eu/eurostat/api/dissemination/statistics/1.0/data/apro_mt_pann?format=JSON&amp;lang=EN&amp;geo=EU27_2020&amp;meat=B1000&amp;meatitem=SLAUGHT&amp;unit=THS_T</t>
        </is>
      </c>
      <c r="J344" s="72" t="inlineStr">
        <is>
          <t>https://doi.org/10.2908/APRO_MT_PANN</t>
        </is>
      </c>
    </row>
    <row r="345" ht="26" customHeight="1">
      <c r="A345" s="67" t="inlineStr"/>
      <c r="B345" s="22" t="inlineStr"/>
      <c r="C345" s="65" t="n"/>
      <c r="D345" s="66" t="n"/>
      <c r="E345" s="22" t="inlineStr"/>
      <c r="F345" s="22" t="inlineStr"/>
      <c r="G345" s="73" t="inlineStr">
        <is>
          <t>Unit conversion (× 0.001)</t>
        </is>
      </c>
      <c r="H345" s="74" t="n">
        <v>0.001</v>
      </c>
      <c r="I345" s="35" t="inlineStr">
        <is>
          <t>Unit conversion applied to the source figure so it is expressed in Mt.</t>
        </is>
      </c>
    </row>
    <row r="346" ht="22" customHeight="1">
      <c r="G346" s="3" t="inlineStr">
        <is>
          <t>Formula:  Value = IF(A &gt;= 2021, ROUND([apro_mt_pann B1000] * [Unit conversion (× 0.001)], 3), [Report figure (2024 report underlying data)])</t>
        </is>
      </c>
    </row>
    <row r="347" ht="26" customHeight="1">
      <c r="A347" s="14" t="inlineStr">
        <is>
          <t>A4 (bovine, herd)</t>
        </is>
      </c>
      <c r="B347" s="15" t="inlineStr">
        <is>
          <t>Bovine meat: herd size (EU)</t>
        </is>
      </c>
      <c r="C347" s="63" t="n">
        <v>2021</v>
      </c>
      <c r="D347" s="64" t="n">
        <v>59.5</v>
      </c>
      <c r="E347" s="15" t="inlineStr">
        <is>
          <t>Derived from the live source</t>
        </is>
      </c>
      <c r="F347" s="19" t="inlineStr">
        <is>
          <t>CONFIRMED — Reproduces from the primary source</t>
        </is>
      </c>
      <c r="G347" s="70" t="inlineStr">
        <is>
          <t>apro_mt_lscatl A2000</t>
        </is>
      </c>
      <c r="H347" s="71" t="n">
        <v>75705.3</v>
      </c>
      <c r="I347" s="34" t="inlineStr">
        <is>
          <t>Eurostat apro_mt_lscatl · geo=EU27_2020, animals=A2000, month=M11_M12, unit=THS_HD · https://ec.europa.eu/eurostat/api/dissemination/statistics/1.0/data/apro_mt_lscatl?format=JSON&amp;lang=EN&amp;geo=EU27_2020&amp;animals=A2000&amp;month=M11_M12&amp;unit=THS_HD</t>
        </is>
      </c>
      <c r="J347" s="72" t="inlineStr">
        <is>
          <t>https://doi.org/10.2908/APRO_MT_LSCATL</t>
        </is>
      </c>
    </row>
    <row r="348" ht="26" customHeight="1">
      <c r="A348" s="14" t="inlineStr"/>
      <c r="B348" s="15" t="inlineStr"/>
      <c r="C348" s="63" t="n"/>
      <c r="D348" s="64" t="n"/>
      <c r="E348" s="15" t="inlineStr"/>
      <c r="F348" s="15" t="inlineStr"/>
      <c r="G348" s="70" t="inlineStr">
        <is>
          <t>Report baseline 2020 (million heads)</t>
        </is>
      </c>
      <c r="H348" s="71" t="n">
        <v>60.16</v>
      </c>
      <c r="I348" s="34" t="inlineStr">
        <is>
          <t>ESABCC (2024) “Towards EU climate neutrality”, underlying-data workbook — the report's own 2020 figure, the anchor the later years are spliced onto.</t>
        </is>
      </c>
    </row>
    <row r="349" ht="26" customHeight="1">
      <c r="A349" s="14" t="inlineStr"/>
      <c r="B349" s="15" t="inlineStr"/>
      <c r="C349" s="63" t="n"/>
      <c r="D349" s="64" t="n"/>
      <c r="E349" s="15" t="inlineStr"/>
      <c r="F349" s="15" t="inlineStr"/>
      <c r="G349" s="70" t="inlineStr">
        <is>
          <t>Live source at 2020 (same basis as the columns left)</t>
        </is>
      </c>
      <c r="H349" s="71" t="n">
        <v>76551.10000000001</v>
      </c>
      <c r="I349" s="34" t="inlineStr">
        <is>
          <t>Eurostat apro_mt_lscatl · live bovine animals (A2000), Nov–Dec survey · EU27_2020 — the same query, read at 2020; dividing by it cancels the level difference between the source's scope and the report's, leaving only the year-on-year change.</t>
        </is>
      </c>
      <c r="J349" s="72" t="inlineStr">
        <is>
          <t>https://doi.org/10.2908/APRO_MT_LSCATL</t>
        </is>
      </c>
    </row>
    <row r="350" ht="26" customHeight="1">
      <c r="A350" s="67" t="inlineStr">
        <is>
          <t>A4 (bovine, herd)</t>
        </is>
      </c>
      <c r="B350" s="22" t="inlineStr">
        <is>
          <t>Bovine meat: herd size (EU)</t>
        </is>
      </c>
      <c r="C350" s="65" t="n">
        <v>2022</v>
      </c>
      <c r="D350" s="66" t="n">
        <v>58.79</v>
      </c>
      <c r="E350" s="22" t="inlineStr">
        <is>
          <t>Derived from the live source</t>
        </is>
      </c>
      <c r="F350" s="26" t="inlineStr">
        <is>
          <t>CONFIRMED — Reproduces from the primary source</t>
        </is>
      </c>
      <c r="G350" s="73" t="inlineStr">
        <is>
          <t>apro_mt_lscatl A2000</t>
        </is>
      </c>
      <c r="H350" s="74" t="n">
        <v>74807.63</v>
      </c>
      <c r="I350" s="35" t="inlineStr">
        <is>
          <t>Eurostat apro_mt_lscatl · geo=EU27_2020, animals=A2000, month=M11_M12, unit=THS_HD · https://ec.europa.eu/eurostat/api/dissemination/statistics/1.0/data/apro_mt_lscatl?format=JSON&amp;lang=EN&amp;geo=EU27_2020&amp;animals=A2000&amp;month=M11_M12&amp;unit=THS_HD</t>
        </is>
      </c>
      <c r="J350" s="72" t="inlineStr">
        <is>
          <t>https://doi.org/10.2908/APRO_MT_LSCATL</t>
        </is>
      </c>
    </row>
    <row r="351" ht="26" customHeight="1">
      <c r="A351" s="67" t="inlineStr"/>
      <c r="B351" s="22" t="inlineStr"/>
      <c r="C351" s="65" t="n"/>
      <c r="D351" s="66" t="n"/>
      <c r="E351" s="22" t="inlineStr"/>
      <c r="F351" s="22" t="inlineStr"/>
      <c r="G351" s="73" t="inlineStr">
        <is>
          <t>Report baseline 2020 (million heads)</t>
        </is>
      </c>
      <c r="H351" s="74" t="n">
        <v>60.16</v>
      </c>
      <c r="I351" s="35" t="inlineStr">
        <is>
          <t>ESABCC (2024) “Towards EU climate neutrality”, underlying-data workbook — the report's own 2020 figure, the anchor the later years are spliced onto.</t>
        </is>
      </c>
    </row>
    <row r="352" ht="26" customHeight="1">
      <c r="A352" s="67" t="inlineStr"/>
      <c r="B352" s="22" t="inlineStr"/>
      <c r="C352" s="65" t="n"/>
      <c r="D352" s="66" t="n"/>
      <c r="E352" s="22" t="inlineStr"/>
      <c r="F352" s="22" t="inlineStr"/>
      <c r="G352" s="73" t="inlineStr">
        <is>
          <t>Live source at 2020 (same basis as the columns left)</t>
        </is>
      </c>
      <c r="H352" s="74" t="n">
        <v>76551.10000000001</v>
      </c>
      <c r="I352" s="35" t="inlineStr">
        <is>
          <t>Eurostat apro_mt_lscatl · live bovine animals (A2000), Nov–Dec survey · EU27_2020 — the same query, read at 2020; dividing by it cancels the level difference between the source's scope and the report's, leaving only the year-on-year change.</t>
        </is>
      </c>
      <c r="J352" s="72" t="inlineStr">
        <is>
          <t>https://doi.org/10.2908/APRO_MT_LSCATL</t>
        </is>
      </c>
    </row>
    <row r="353" ht="26" customHeight="1">
      <c r="A353" s="14" t="inlineStr">
        <is>
          <t>A4 (bovine, herd)</t>
        </is>
      </c>
      <c r="B353" s="15" t="inlineStr">
        <is>
          <t>Bovine meat: herd size (EU)</t>
        </is>
      </c>
      <c r="C353" s="63" t="n">
        <v>2023</v>
      </c>
      <c r="D353" s="64" t="n">
        <v>57.97</v>
      </c>
      <c r="E353" s="15" t="inlineStr">
        <is>
          <t>Derived from the live source</t>
        </is>
      </c>
      <c r="F353" s="19" t="inlineStr">
        <is>
          <t>CONFIRMED — Reproduces from the primary source</t>
        </is>
      </c>
      <c r="G353" s="70" t="inlineStr">
        <is>
          <t>apro_mt_lscatl A2000</t>
        </is>
      </c>
      <c r="H353" s="71" t="n">
        <v>73761.42999999999</v>
      </c>
      <c r="I353" s="34" t="inlineStr">
        <is>
          <t>Eurostat apro_mt_lscatl · geo=EU27_2020, animals=A2000, month=M11_M12, unit=THS_HD · https://ec.europa.eu/eurostat/api/dissemination/statistics/1.0/data/apro_mt_lscatl?format=JSON&amp;lang=EN&amp;geo=EU27_2020&amp;animals=A2000&amp;month=M11_M12&amp;unit=THS_HD</t>
        </is>
      </c>
      <c r="J353" s="72" t="inlineStr">
        <is>
          <t>https://doi.org/10.2908/APRO_MT_LSCATL</t>
        </is>
      </c>
    </row>
    <row r="354" ht="26" customHeight="1">
      <c r="A354" s="14" t="inlineStr"/>
      <c r="B354" s="15" t="inlineStr"/>
      <c r="C354" s="63" t="n"/>
      <c r="D354" s="64" t="n"/>
      <c r="E354" s="15" t="inlineStr"/>
      <c r="F354" s="15" t="inlineStr"/>
      <c r="G354" s="70" t="inlineStr">
        <is>
          <t>Report baseline 2020 (million heads)</t>
        </is>
      </c>
      <c r="H354" s="71" t="n">
        <v>60.16</v>
      </c>
      <c r="I354" s="34" t="inlineStr">
        <is>
          <t>ESABCC (2024) “Towards EU climate neutrality”, underlying-data workbook — the report's own 2020 figure, the anchor the later years are spliced onto.</t>
        </is>
      </c>
    </row>
    <row r="355" ht="26" customHeight="1">
      <c r="A355" s="14" t="inlineStr"/>
      <c r="B355" s="15" t="inlineStr"/>
      <c r="C355" s="63" t="n"/>
      <c r="D355" s="64" t="n"/>
      <c r="E355" s="15" t="inlineStr"/>
      <c r="F355" s="15" t="inlineStr"/>
      <c r="G355" s="70" t="inlineStr">
        <is>
          <t>Live source at 2020 (same basis as the columns left)</t>
        </is>
      </c>
      <c r="H355" s="71" t="n">
        <v>76551.10000000001</v>
      </c>
      <c r="I355" s="34" t="inlineStr">
        <is>
          <t>Eurostat apro_mt_lscatl · live bovine animals (A2000), Nov–Dec survey · EU27_2020 — the same query, read at 2020; dividing by it cancels the level difference between the source's scope and the report's, leaving only the year-on-year change.</t>
        </is>
      </c>
      <c r="J355" s="72" t="inlineStr">
        <is>
          <t>https://doi.org/10.2908/APRO_MT_LSCATL</t>
        </is>
      </c>
    </row>
    <row r="356" ht="26" customHeight="1">
      <c r="A356" s="67" t="inlineStr">
        <is>
          <t>A4 (bovine, herd)</t>
        </is>
      </c>
      <c r="B356" s="22" t="inlineStr">
        <is>
          <t>Bovine meat: herd size (EU)</t>
        </is>
      </c>
      <c r="C356" s="65" t="n">
        <v>2024</v>
      </c>
      <c r="D356" s="66" t="n">
        <v>56.5</v>
      </c>
      <c r="E356" s="22" t="inlineStr">
        <is>
          <t>Derived from the live source</t>
        </is>
      </c>
      <c r="F356" s="26" t="inlineStr">
        <is>
          <t>CONFIRMED — Reproduces from the primary source</t>
        </is>
      </c>
      <c r="G356" s="73" t="inlineStr">
        <is>
          <t>apro_mt_lscatl A2000</t>
        </is>
      </c>
      <c r="H356" s="74" t="n">
        <v>71896.32000000001</v>
      </c>
      <c r="I356" s="35" t="inlineStr">
        <is>
          <t>Eurostat apro_mt_lscatl · geo=EU27_2020, animals=A2000, month=M11_M12, unit=THS_HD · https://ec.europa.eu/eurostat/api/dissemination/statistics/1.0/data/apro_mt_lscatl?format=JSON&amp;lang=EN&amp;geo=EU27_2020&amp;animals=A2000&amp;month=M11_M12&amp;unit=THS_HD</t>
        </is>
      </c>
      <c r="J356" s="72" t="inlineStr">
        <is>
          <t>https://doi.org/10.2908/APRO_MT_LSCATL</t>
        </is>
      </c>
    </row>
    <row r="357" ht="26" customHeight="1">
      <c r="A357" s="67" t="inlineStr"/>
      <c r="B357" s="22" t="inlineStr"/>
      <c r="C357" s="65" t="n"/>
      <c r="D357" s="66" t="n"/>
      <c r="E357" s="22" t="inlineStr"/>
      <c r="F357" s="22" t="inlineStr"/>
      <c r="G357" s="73" t="inlineStr">
        <is>
          <t>Report baseline 2020 (million heads)</t>
        </is>
      </c>
      <c r="H357" s="74" t="n">
        <v>60.16</v>
      </c>
      <c r="I357" s="35" t="inlineStr">
        <is>
          <t>ESABCC (2024) “Towards EU climate neutrality”, underlying-data workbook — the report's own 2020 figure, the anchor the later years are spliced onto.</t>
        </is>
      </c>
    </row>
    <row r="358" ht="26" customHeight="1">
      <c r="A358" s="67" t="inlineStr"/>
      <c r="B358" s="22" t="inlineStr"/>
      <c r="C358" s="65" t="n"/>
      <c r="D358" s="66" t="n"/>
      <c r="E358" s="22" t="inlineStr"/>
      <c r="F358" s="22" t="inlineStr"/>
      <c r="G358" s="73" t="inlineStr">
        <is>
          <t>Live source at 2020 (same basis as the columns left)</t>
        </is>
      </c>
      <c r="H358" s="74" t="n">
        <v>76551.10000000001</v>
      </c>
      <c r="I358" s="35" t="inlineStr">
        <is>
          <t>Eurostat apro_mt_lscatl · live bovine animals (A2000), Nov–Dec survey · EU27_2020 — the same query, read at 2020; dividing by it cancels the level difference between the source's scope and the report's, leaving only the year-on-year change.</t>
        </is>
      </c>
      <c r="J358" s="72" t="inlineStr">
        <is>
          <t>https://doi.org/10.2908/APRO_MT_LSCATL</t>
        </is>
      </c>
    </row>
    <row r="359" ht="26" customHeight="1">
      <c r="A359" s="14" t="inlineStr">
        <is>
          <t>A4 (bovine, herd)</t>
        </is>
      </c>
      <c r="B359" s="15" t="inlineStr">
        <is>
          <t>Bovine meat: herd size (EU)</t>
        </is>
      </c>
      <c r="C359" s="63" t="n">
        <v>2025</v>
      </c>
      <c r="D359" s="64" t="n">
        <v>56.26</v>
      </c>
      <c r="E359" s="15" t="inlineStr">
        <is>
          <t>Derived from the live source</t>
        </is>
      </c>
      <c r="F359" s="19" t="inlineStr">
        <is>
          <t>CONFIRMED — Reproduces from the primary source</t>
        </is>
      </c>
      <c r="G359" s="70" t="inlineStr">
        <is>
          <t>apro_mt_lscatl A2000</t>
        </is>
      </c>
      <c r="H359" s="71" t="n">
        <v>71583.23</v>
      </c>
      <c r="I359" s="34" t="inlineStr">
        <is>
          <t>Eurostat apro_mt_lscatl · geo=EU27_2020, animals=A2000, month=M11_M12, unit=THS_HD · https://ec.europa.eu/eurostat/api/dissemination/statistics/1.0/data/apro_mt_lscatl?format=JSON&amp;lang=EN&amp;geo=EU27_2020&amp;animals=A2000&amp;month=M11_M12&amp;unit=THS_HD</t>
        </is>
      </c>
      <c r="J359" s="72" t="inlineStr">
        <is>
          <t>https://doi.org/10.2908/APRO_MT_LSCATL</t>
        </is>
      </c>
    </row>
    <row r="360" ht="26" customHeight="1">
      <c r="A360" s="14" t="inlineStr"/>
      <c r="B360" s="15" t="inlineStr"/>
      <c r="C360" s="63" t="n"/>
      <c r="D360" s="64" t="n"/>
      <c r="E360" s="15" t="inlineStr"/>
      <c r="F360" s="15" t="inlineStr"/>
      <c r="G360" s="70" t="inlineStr">
        <is>
          <t>Report baseline 2020 (million heads)</t>
        </is>
      </c>
      <c r="H360" s="71" t="n">
        <v>60.16</v>
      </c>
      <c r="I360" s="34" t="inlineStr">
        <is>
          <t>ESABCC (2024) “Towards EU climate neutrality”, underlying-data workbook — the report's own 2020 figure, the anchor the later years are spliced onto.</t>
        </is>
      </c>
    </row>
    <row r="361" ht="26" customHeight="1">
      <c r="A361" s="14" t="inlineStr"/>
      <c r="B361" s="15" t="inlineStr"/>
      <c r="C361" s="63" t="n"/>
      <c r="D361" s="64" t="n"/>
      <c r="E361" s="15" t="inlineStr"/>
      <c r="F361" s="15" t="inlineStr"/>
      <c r="G361" s="70" t="inlineStr">
        <is>
          <t>Live source at 2020 (same basis as the columns left)</t>
        </is>
      </c>
      <c r="H361" s="71" t="n">
        <v>76551.10000000001</v>
      </c>
      <c r="I361" s="34" t="inlineStr">
        <is>
          <t>Eurostat apro_mt_lscatl · live bovine animals (A2000), Nov–Dec survey · EU27_2020 — the same query, read at 2020; dividing by it cancels the level difference between the source's scope and the report's, leaving only the year-on-year change.</t>
        </is>
      </c>
      <c r="J361" s="72" t="inlineStr">
        <is>
          <t>https://doi.org/10.2908/APRO_MT_LSCATL</t>
        </is>
      </c>
    </row>
    <row r="362" ht="22" customHeight="1">
      <c r="G362" s="3" t="inlineStr">
        <is>
          <t>Formula:  Value = IF(A &gt;= 2021, ROUND([Report baseline 2020 (million heads)] * [apro_mt_lscatl A2000] / [Live source at 2020 (same basis as the columns left)], 2), [Report figure (2024 report underlying data)])</t>
        </is>
      </c>
    </row>
    <row r="363" ht="26" customHeight="1">
      <c r="A363" s="67" t="inlineStr">
        <is>
          <t>A4 (dairy, production)</t>
        </is>
      </c>
      <c r="B363" s="22" t="inlineStr">
        <is>
          <t>Dairy products: production (EU)</t>
        </is>
      </c>
      <c r="C363" s="65" t="n">
        <v>2021</v>
      </c>
      <c r="D363" s="66" t="n">
        <v>162.6</v>
      </c>
      <c r="E363" s="22" t="inlineStr">
        <is>
          <t>Derived from the live source</t>
        </is>
      </c>
      <c r="F363" s="26" t="inlineStr">
        <is>
          <t>CONFIRMED — Reproduces from the primary source</t>
        </is>
      </c>
      <c r="G363" s="73" t="inlineStr">
        <is>
          <t>apro_mk_farm D1100A</t>
        </is>
      </c>
      <c r="H363" s="74" t="n">
        <v>159772.68</v>
      </c>
      <c r="I363" s="35" t="inlineStr">
        <is>
          <t>Eurostat apro_mk_farm · geo=EU27_2020, dairyprod=D1100A, milkitem=PRO · https://ec.europa.eu/eurostat/api/dissemination/statistics/1.0/data/apro_mk_farm?format=JSON&amp;lang=EN&amp;geo=EU27_2020&amp;dairyprod=D1100A&amp;milkitem=PRO</t>
        </is>
      </c>
      <c r="J363" s="72" t="inlineStr">
        <is>
          <t>https://doi.org/10.2908/APRO_MK_FARM</t>
        </is>
      </c>
    </row>
    <row r="364" ht="26" customHeight="1">
      <c r="A364" s="67" t="inlineStr"/>
      <c r="B364" s="22" t="inlineStr"/>
      <c r="C364" s="65" t="n"/>
      <c r="D364" s="66" t="n"/>
      <c r="E364" s="22" t="inlineStr"/>
      <c r="F364" s="22" t="inlineStr"/>
      <c r="G364" s="73" t="inlineStr">
        <is>
          <t>Report baseline 2020 (Mt)</t>
        </is>
      </c>
      <c r="H364" s="74" t="n">
        <v>163.1</v>
      </c>
      <c r="I364" s="35" t="inlineStr">
        <is>
          <t>ESABCC (2024) “Towards EU climate neutrality”, underlying-data workbook — the report's own 2020 figure, the anchor the later years are spliced onto.</t>
        </is>
      </c>
    </row>
    <row r="365" ht="26" customHeight="1">
      <c r="A365" s="67" t="inlineStr"/>
      <c r="B365" s="22" t="inlineStr"/>
      <c r="C365" s="65" t="n"/>
      <c r="D365" s="66" t="n"/>
      <c r="E365" s="22" t="inlineStr"/>
      <c r="F365" s="22" t="inlineStr"/>
      <c r="G365" s="73" t="inlineStr">
        <is>
          <t>Live source at 2020 (same basis as the columns left)</t>
        </is>
      </c>
      <c r="H365" s="74" t="n">
        <v>160281.96</v>
      </c>
      <c r="I365" s="35" t="inlineStr">
        <is>
          <t>Eurostat apro_mk_farm · raw milk total available on farms · EU27_2020 — the same query, read at 2020; dividing by it cancels the level difference between the source's scope and the report's, leaving only the year-on-year change.</t>
        </is>
      </c>
      <c r="J365" s="72" t="inlineStr">
        <is>
          <t>https://doi.org/10.2908/APRO_MK_FARM</t>
        </is>
      </c>
    </row>
    <row r="366" ht="26" customHeight="1">
      <c r="A366" s="14" t="inlineStr">
        <is>
          <t>A4 (dairy, production)</t>
        </is>
      </c>
      <c r="B366" s="15" t="inlineStr">
        <is>
          <t>Dairy products: production (EU)</t>
        </is>
      </c>
      <c r="C366" s="63" t="n">
        <v>2022</v>
      </c>
      <c r="D366" s="64" t="n">
        <v>162.8</v>
      </c>
      <c r="E366" s="15" t="inlineStr">
        <is>
          <t>Derived from the live source</t>
        </is>
      </c>
      <c r="F366" s="19" t="inlineStr">
        <is>
          <t>CONFIRMED — Reproduces from the primary source</t>
        </is>
      </c>
      <c r="G366" s="70" t="inlineStr">
        <is>
          <t>apro_mk_farm D1100A</t>
        </is>
      </c>
      <c r="H366" s="71" t="n">
        <v>159996.09</v>
      </c>
      <c r="I366" s="34" t="inlineStr">
        <is>
          <t>Eurostat apro_mk_farm · geo=EU27_2020, dairyprod=D1100A, milkitem=PRO · https://ec.europa.eu/eurostat/api/dissemination/statistics/1.0/data/apro_mk_farm?format=JSON&amp;lang=EN&amp;geo=EU27_2020&amp;dairyprod=D1100A&amp;milkitem=PRO</t>
        </is>
      </c>
      <c r="J366" s="72" t="inlineStr">
        <is>
          <t>https://doi.org/10.2908/APRO_MK_FARM</t>
        </is>
      </c>
    </row>
    <row r="367" ht="26" customHeight="1">
      <c r="A367" s="14" t="inlineStr"/>
      <c r="B367" s="15" t="inlineStr"/>
      <c r="C367" s="63" t="n"/>
      <c r="D367" s="64" t="n"/>
      <c r="E367" s="15" t="inlineStr"/>
      <c r="F367" s="15" t="inlineStr"/>
      <c r="G367" s="70" t="inlineStr">
        <is>
          <t>Report baseline 2020 (Mt)</t>
        </is>
      </c>
      <c r="H367" s="71" t="n">
        <v>163.1</v>
      </c>
      <c r="I367" s="34" t="inlineStr">
        <is>
          <t>ESABCC (2024) “Towards EU climate neutrality”, underlying-data workbook — the report's own 2020 figure, the anchor the later years are spliced onto.</t>
        </is>
      </c>
    </row>
    <row r="368" ht="26" customHeight="1">
      <c r="A368" s="14" t="inlineStr"/>
      <c r="B368" s="15" t="inlineStr"/>
      <c r="C368" s="63" t="n"/>
      <c r="D368" s="64" t="n"/>
      <c r="E368" s="15" t="inlineStr"/>
      <c r="F368" s="15" t="inlineStr"/>
      <c r="G368" s="70" t="inlineStr">
        <is>
          <t>Live source at 2020 (same basis as the columns left)</t>
        </is>
      </c>
      <c r="H368" s="71" t="n">
        <v>160281.96</v>
      </c>
      <c r="I368" s="34" t="inlineStr">
        <is>
          <t>Eurostat apro_mk_farm · raw milk total available on farms · EU27_2020 — the same query, read at 2020; dividing by it cancels the level difference between the source's scope and the report's, leaving only the year-on-year change.</t>
        </is>
      </c>
      <c r="J368" s="72" t="inlineStr">
        <is>
          <t>https://doi.org/10.2908/APRO_MK_FARM</t>
        </is>
      </c>
    </row>
    <row r="369" ht="26" customHeight="1">
      <c r="A369" s="67" t="inlineStr">
        <is>
          <t>A4 (dairy, production)</t>
        </is>
      </c>
      <c r="B369" s="22" t="inlineStr">
        <is>
          <t>Dairy products: production (EU)</t>
        </is>
      </c>
      <c r="C369" s="65" t="n">
        <v>2023</v>
      </c>
      <c r="D369" s="66" t="n">
        <v>163.7</v>
      </c>
      <c r="E369" s="22" t="inlineStr">
        <is>
          <t>Derived from the live source</t>
        </is>
      </c>
      <c r="F369" s="26" t="inlineStr">
        <is>
          <t>CONFIRMED — Reproduces from the primary source</t>
        </is>
      </c>
      <c r="G369" s="73" t="inlineStr">
        <is>
          <t>apro_mk_farm D1100A</t>
        </is>
      </c>
      <c r="H369" s="74" t="n">
        <v>160887.23</v>
      </c>
      <c r="I369" s="35" t="inlineStr">
        <is>
          <t>Eurostat apro_mk_farm · geo=EU27_2020, dairyprod=D1100A, milkitem=PRO · https://ec.europa.eu/eurostat/api/dissemination/statistics/1.0/data/apro_mk_farm?format=JSON&amp;lang=EN&amp;geo=EU27_2020&amp;dairyprod=D1100A&amp;milkitem=PRO</t>
        </is>
      </c>
      <c r="J369" s="72" t="inlineStr">
        <is>
          <t>https://doi.org/10.2908/APRO_MK_FARM</t>
        </is>
      </c>
    </row>
    <row r="370" ht="26" customHeight="1">
      <c r="A370" s="67" t="inlineStr"/>
      <c r="B370" s="22" t="inlineStr"/>
      <c r="C370" s="65" t="n"/>
      <c r="D370" s="66" t="n"/>
      <c r="E370" s="22" t="inlineStr"/>
      <c r="F370" s="22" t="inlineStr"/>
      <c r="G370" s="73" t="inlineStr">
        <is>
          <t>Report baseline 2020 (Mt)</t>
        </is>
      </c>
      <c r="H370" s="74" t="n">
        <v>163.1</v>
      </c>
      <c r="I370" s="35" t="inlineStr">
        <is>
          <t>ESABCC (2024) “Towards EU climate neutrality”, underlying-data workbook — the report's own 2020 figure, the anchor the later years are spliced onto.</t>
        </is>
      </c>
    </row>
    <row r="371" ht="26" customHeight="1">
      <c r="A371" s="67" t="inlineStr"/>
      <c r="B371" s="22" t="inlineStr"/>
      <c r="C371" s="65" t="n"/>
      <c r="D371" s="66" t="n"/>
      <c r="E371" s="22" t="inlineStr"/>
      <c r="F371" s="22" t="inlineStr"/>
      <c r="G371" s="73" t="inlineStr">
        <is>
          <t>Live source at 2020 (same basis as the columns left)</t>
        </is>
      </c>
      <c r="H371" s="74" t="n">
        <v>160281.96</v>
      </c>
      <c r="I371" s="35" t="inlineStr">
        <is>
          <t>Eurostat apro_mk_farm · raw milk total available on farms · EU27_2020 — the same query, read at 2020; dividing by it cancels the level difference between the source's scope and the report's, leaving only the year-on-year change.</t>
        </is>
      </c>
      <c r="J371" s="72" t="inlineStr">
        <is>
          <t>https://doi.org/10.2908/APRO_MK_FARM</t>
        </is>
      </c>
    </row>
    <row r="372" ht="26" customHeight="1">
      <c r="A372" s="14" t="inlineStr">
        <is>
          <t>A4 (dairy, production)</t>
        </is>
      </c>
      <c r="B372" s="15" t="inlineStr">
        <is>
          <t>Dairy products: production (EU)</t>
        </is>
      </c>
      <c r="C372" s="63" t="n">
        <v>2024</v>
      </c>
      <c r="D372" s="64" t="n">
        <v>164.6</v>
      </c>
      <c r="E372" s="15" t="inlineStr">
        <is>
          <t>Derived from the live source</t>
        </is>
      </c>
      <c r="F372" s="19" t="inlineStr">
        <is>
          <t>CONFIRMED — Reproduces from the primary source</t>
        </is>
      </c>
      <c r="G372" s="70" t="inlineStr">
        <is>
          <t>apro_mk_farm D1100A</t>
        </is>
      </c>
      <c r="H372" s="71" t="n">
        <v>161798.04</v>
      </c>
      <c r="I372" s="34" t="inlineStr">
        <is>
          <t>Eurostat apro_mk_farm · geo=EU27_2020, dairyprod=D1100A, milkitem=PRO · https://ec.europa.eu/eurostat/api/dissemination/statistics/1.0/data/apro_mk_farm?format=JSON&amp;lang=EN&amp;geo=EU27_2020&amp;dairyprod=D1100A&amp;milkitem=PRO</t>
        </is>
      </c>
      <c r="J372" s="72" t="inlineStr">
        <is>
          <t>https://doi.org/10.2908/APRO_MK_FARM</t>
        </is>
      </c>
    </row>
    <row r="373" ht="26" customHeight="1">
      <c r="A373" s="14" t="inlineStr"/>
      <c r="B373" s="15" t="inlineStr"/>
      <c r="C373" s="63" t="n"/>
      <c r="D373" s="64" t="n"/>
      <c r="E373" s="15" t="inlineStr"/>
      <c r="F373" s="15" t="inlineStr"/>
      <c r="G373" s="70" t="inlineStr">
        <is>
          <t>Report baseline 2020 (Mt)</t>
        </is>
      </c>
      <c r="H373" s="71" t="n">
        <v>163.1</v>
      </c>
      <c r="I373" s="34" t="inlineStr">
        <is>
          <t>ESABCC (2024) “Towards EU climate neutrality”, underlying-data workbook — the report's own 2020 figure, the anchor the later years are spliced onto.</t>
        </is>
      </c>
    </row>
    <row r="374" ht="26" customHeight="1">
      <c r="A374" s="14" t="inlineStr"/>
      <c r="B374" s="15" t="inlineStr"/>
      <c r="C374" s="63" t="n"/>
      <c r="D374" s="64" t="n"/>
      <c r="E374" s="15" t="inlineStr"/>
      <c r="F374" s="15" t="inlineStr"/>
      <c r="G374" s="70" t="inlineStr">
        <is>
          <t>Live source at 2020 (same basis as the columns left)</t>
        </is>
      </c>
      <c r="H374" s="71" t="n">
        <v>160281.96</v>
      </c>
      <c r="I374" s="34" t="inlineStr">
        <is>
          <t>Eurostat apro_mk_farm · raw milk total available on farms · EU27_2020 — the same query, read at 2020; dividing by it cancels the level difference between the source's scope and the report's, leaving only the year-on-year change.</t>
        </is>
      </c>
      <c r="J374" s="72" t="inlineStr">
        <is>
          <t>https://doi.org/10.2908/APRO_MK_FARM</t>
        </is>
      </c>
    </row>
    <row r="375" ht="22" customHeight="1">
      <c r="G375" s="3" t="inlineStr">
        <is>
          <t>Formula:  Value = IF(A &gt;= 2021, ROUND([Report baseline 2020 (Mt)] * [apro_mk_farm D1100A] / [Live source at 2020 (same basis as the columns left)], 1), [Report figure (2024 report underlying data)])</t>
        </is>
      </c>
    </row>
    <row r="376" ht="26" customHeight="1">
      <c r="A376" s="67" t="inlineStr">
        <is>
          <t>A4 (dairy, herd)</t>
        </is>
      </c>
      <c r="B376" s="22" t="inlineStr">
        <is>
          <t>Dairy products: herd size (EU)</t>
        </is>
      </c>
      <c r="C376" s="65" t="n">
        <v>2021</v>
      </c>
      <c r="D376" s="66" t="n">
        <v>20.21</v>
      </c>
      <c r="E376" s="22" t="inlineStr">
        <is>
          <t>Derived from the live source</t>
        </is>
      </c>
      <c r="F376" s="26" t="inlineStr">
        <is>
          <t>CONFIRMED — Reproduces from the primary source</t>
        </is>
      </c>
      <c r="G376" s="73" t="inlineStr">
        <is>
          <t>apro_mt_lscatl A2300F</t>
        </is>
      </c>
      <c r="H376" s="74" t="n">
        <v>20212.53</v>
      </c>
      <c r="I376" s="35" t="inlineStr">
        <is>
          <t>Eurostat apro_mt_lscatl · geo=EU27_2020, animals=A2300F, month=M11_M12, unit=THS_HD · https://ec.europa.eu/eurostat/api/dissemination/statistics/1.0/data/apro_mt_lscatl?format=JSON&amp;lang=EN&amp;geo=EU27_2020&amp;animals=A2300F&amp;month=M11_M12&amp;unit=THS_HD</t>
        </is>
      </c>
      <c r="J376" s="72" t="inlineStr">
        <is>
          <t>https://doi.org/10.2908/APRO_MT_LSCATL</t>
        </is>
      </c>
    </row>
    <row r="377" ht="26" customHeight="1">
      <c r="A377" s="67" t="inlineStr"/>
      <c r="B377" s="22" t="inlineStr"/>
      <c r="C377" s="65" t="n"/>
      <c r="D377" s="66" t="n"/>
      <c r="E377" s="22" t="inlineStr"/>
      <c r="F377" s="22" t="inlineStr"/>
      <c r="G377" s="73" t="inlineStr">
        <is>
          <t>Unit conversion (× 0.001)</t>
        </is>
      </c>
      <c r="H377" s="74" t="n">
        <v>0.001</v>
      </c>
      <c r="I377" s="35" t="inlineStr">
        <is>
          <t>Unit conversion applied to the source figure so it is expressed in million heads.</t>
        </is>
      </c>
    </row>
    <row r="378" ht="26" customHeight="1">
      <c r="A378" s="14" t="inlineStr">
        <is>
          <t>A4 (dairy, herd)</t>
        </is>
      </c>
      <c r="B378" s="15" t="inlineStr">
        <is>
          <t>Dairy products: herd size (EU)</t>
        </is>
      </c>
      <c r="C378" s="63" t="n">
        <v>2022</v>
      </c>
      <c r="D378" s="64" t="n">
        <v>20.07</v>
      </c>
      <c r="E378" s="15" t="inlineStr">
        <is>
          <t>Derived from the live source</t>
        </is>
      </c>
      <c r="F378" s="19" t="inlineStr">
        <is>
          <t>CONFIRMED — Reproduces from the primary source</t>
        </is>
      </c>
      <c r="G378" s="70" t="inlineStr">
        <is>
          <t>apro_mt_lscatl A2300F</t>
        </is>
      </c>
      <c r="H378" s="71" t="n">
        <v>20073.77</v>
      </c>
      <c r="I378" s="34" t="inlineStr">
        <is>
          <t>Eurostat apro_mt_lscatl · geo=EU27_2020, animals=A2300F, month=M11_M12, unit=THS_HD · https://ec.europa.eu/eurostat/api/dissemination/statistics/1.0/data/apro_mt_lscatl?format=JSON&amp;lang=EN&amp;geo=EU27_2020&amp;animals=A2300F&amp;month=M11_M12&amp;unit=THS_HD</t>
        </is>
      </c>
      <c r="J378" s="72" t="inlineStr">
        <is>
          <t>https://doi.org/10.2908/APRO_MT_LSCATL</t>
        </is>
      </c>
    </row>
    <row r="379" ht="26" customHeight="1">
      <c r="A379" s="14" t="inlineStr"/>
      <c r="B379" s="15" t="inlineStr"/>
      <c r="C379" s="63" t="n"/>
      <c r="D379" s="64" t="n"/>
      <c r="E379" s="15" t="inlineStr"/>
      <c r="F379" s="15" t="inlineStr"/>
      <c r="G379" s="70" t="inlineStr">
        <is>
          <t>Unit conversion (× 0.001)</t>
        </is>
      </c>
      <c r="H379" s="71" t="n">
        <v>0.001</v>
      </c>
      <c r="I379" s="34" t="inlineStr">
        <is>
          <t>Unit conversion applied to the source figure so it is expressed in million heads.</t>
        </is>
      </c>
    </row>
    <row r="380" ht="26" customHeight="1">
      <c r="A380" s="67" t="inlineStr">
        <is>
          <t>A4 (dairy, herd)</t>
        </is>
      </c>
      <c r="B380" s="22" t="inlineStr">
        <is>
          <t>Dairy products: herd size (EU)</t>
        </is>
      </c>
      <c r="C380" s="65" t="n">
        <v>2023</v>
      </c>
      <c r="D380" s="66" t="n">
        <v>19.91</v>
      </c>
      <c r="E380" s="22" t="inlineStr">
        <is>
          <t>Derived from the live source</t>
        </is>
      </c>
      <c r="F380" s="26" t="inlineStr">
        <is>
          <t>CONFIRMED — Reproduces from the primary source</t>
        </is>
      </c>
      <c r="G380" s="73" t="inlineStr">
        <is>
          <t>apro_mt_lscatl A2300F</t>
        </is>
      </c>
      <c r="H380" s="74" t="n">
        <v>19911.96</v>
      </c>
      <c r="I380" s="35" t="inlineStr">
        <is>
          <t>Eurostat apro_mt_lscatl · geo=EU27_2020, animals=A2300F, month=M11_M12, unit=THS_HD · https://ec.europa.eu/eurostat/api/dissemination/statistics/1.0/data/apro_mt_lscatl?format=JSON&amp;lang=EN&amp;geo=EU27_2020&amp;animals=A2300F&amp;month=M11_M12&amp;unit=THS_HD</t>
        </is>
      </c>
      <c r="J380" s="72" t="inlineStr">
        <is>
          <t>https://doi.org/10.2908/APRO_MT_LSCATL</t>
        </is>
      </c>
    </row>
    <row r="381" ht="26" customHeight="1">
      <c r="A381" s="67" t="inlineStr"/>
      <c r="B381" s="22" t="inlineStr"/>
      <c r="C381" s="65" t="n"/>
      <c r="D381" s="66" t="n"/>
      <c r="E381" s="22" t="inlineStr"/>
      <c r="F381" s="22" t="inlineStr"/>
      <c r="G381" s="73" t="inlineStr">
        <is>
          <t>Unit conversion (× 0.001)</t>
        </is>
      </c>
      <c r="H381" s="74" t="n">
        <v>0.001</v>
      </c>
      <c r="I381" s="35" t="inlineStr">
        <is>
          <t>Unit conversion applied to the source figure so it is expressed in million heads.</t>
        </is>
      </c>
    </row>
    <row r="382" ht="26" customHeight="1">
      <c r="A382" s="14" t="inlineStr">
        <is>
          <t>A4 (dairy, herd)</t>
        </is>
      </c>
      <c r="B382" s="15" t="inlineStr">
        <is>
          <t>Dairy products: herd size (EU)</t>
        </is>
      </c>
      <c r="C382" s="63" t="n">
        <v>2024</v>
      </c>
      <c r="D382" s="64" t="n">
        <v>19.22</v>
      </c>
      <c r="E382" s="15" t="inlineStr">
        <is>
          <t>Derived from the live source</t>
        </is>
      </c>
      <c r="F382" s="19" t="inlineStr">
        <is>
          <t>CONFIRMED — Reproduces from the primary source</t>
        </is>
      </c>
      <c r="G382" s="70" t="inlineStr">
        <is>
          <t>apro_mt_lscatl A2300F</t>
        </is>
      </c>
      <c r="H382" s="71" t="n">
        <v>19221.66</v>
      </c>
      <c r="I382" s="34" t="inlineStr">
        <is>
          <t>Eurostat apro_mt_lscatl · geo=EU27_2020, animals=A2300F, month=M11_M12, unit=THS_HD · https://ec.europa.eu/eurostat/api/dissemination/statistics/1.0/data/apro_mt_lscatl?format=JSON&amp;lang=EN&amp;geo=EU27_2020&amp;animals=A2300F&amp;month=M11_M12&amp;unit=THS_HD</t>
        </is>
      </c>
      <c r="J382" s="72" t="inlineStr">
        <is>
          <t>https://doi.org/10.2908/APRO_MT_LSCATL</t>
        </is>
      </c>
    </row>
    <row r="383" ht="26" customHeight="1">
      <c r="A383" s="14" t="inlineStr"/>
      <c r="B383" s="15" t="inlineStr"/>
      <c r="C383" s="63" t="n"/>
      <c r="D383" s="64" t="n"/>
      <c r="E383" s="15" t="inlineStr"/>
      <c r="F383" s="15" t="inlineStr"/>
      <c r="G383" s="70" t="inlineStr">
        <is>
          <t>Unit conversion (× 0.001)</t>
        </is>
      </c>
      <c r="H383" s="71" t="n">
        <v>0.001</v>
      </c>
      <c r="I383" s="34" t="inlineStr">
        <is>
          <t>Unit conversion applied to the source figure so it is expressed in million heads.</t>
        </is>
      </c>
    </row>
    <row r="384" ht="26" customHeight="1">
      <c r="A384" s="67" t="inlineStr">
        <is>
          <t>A4 (dairy, herd)</t>
        </is>
      </c>
      <c r="B384" s="22" t="inlineStr">
        <is>
          <t>Dairy products: herd size (EU)</t>
        </is>
      </c>
      <c r="C384" s="65" t="n">
        <v>2025</v>
      </c>
      <c r="D384" s="66" t="n">
        <v>19.02</v>
      </c>
      <c r="E384" s="22" t="inlineStr">
        <is>
          <t>Derived from the live source</t>
        </is>
      </c>
      <c r="F384" s="26" t="inlineStr">
        <is>
          <t>CONFIRMED — Reproduces from the primary source</t>
        </is>
      </c>
      <c r="G384" s="73" t="inlineStr">
        <is>
          <t>apro_mt_lscatl A2300F</t>
        </is>
      </c>
      <c r="H384" s="74" t="n">
        <v>19015.37</v>
      </c>
      <c r="I384" s="35" t="inlineStr">
        <is>
          <t>Eurostat apro_mt_lscatl · geo=EU27_2020, animals=A2300F, month=M11_M12, unit=THS_HD · https://ec.europa.eu/eurostat/api/dissemination/statistics/1.0/data/apro_mt_lscatl?format=JSON&amp;lang=EN&amp;geo=EU27_2020&amp;animals=A2300F&amp;month=M11_M12&amp;unit=THS_HD</t>
        </is>
      </c>
      <c r="J384" s="72" t="inlineStr">
        <is>
          <t>https://doi.org/10.2908/APRO_MT_LSCATL</t>
        </is>
      </c>
    </row>
    <row r="385" ht="26" customHeight="1">
      <c r="A385" s="67" t="inlineStr"/>
      <c r="B385" s="22" t="inlineStr"/>
      <c r="C385" s="65" t="n"/>
      <c r="D385" s="66" t="n"/>
      <c r="E385" s="22" t="inlineStr"/>
      <c r="F385" s="22" t="inlineStr"/>
      <c r="G385" s="73" t="inlineStr">
        <is>
          <t>Unit conversion (× 0.001)</t>
        </is>
      </c>
      <c r="H385" s="74" t="n">
        <v>0.001</v>
      </c>
      <c r="I385" s="35" t="inlineStr">
        <is>
          <t>Unit conversion applied to the source figure so it is expressed in million heads.</t>
        </is>
      </c>
    </row>
    <row r="386" ht="22" customHeight="1">
      <c r="G386" s="3" t="inlineStr">
        <is>
          <t>Formula:  Value = IF(A &gt;= 2021, ROUND([apro_mt_lscatl A2300F] * [Unit conversion (× 0.001)], 2), [Report figure (2024 report underlying data)])</t>
        </is>
      </c>
    </row>
    <row r="387" ht="26" customHeight="1">
      <c r="A387" s="14" t="inlineStr">
        <is>
          <t>A4 (pig, production)</t>
        </is>
      </c>
      <c r="B387" s="15" t="inlineStr">
        <is>
          <t>Pig meat: production (EU)</t>
        </is>
      </c>
      <c r="C387" s="63" t="n">
        <v>2021</v>
      </c>
      <c r="D387" s="64" t="n">
        <v>23.39</v>
      </c>
      <c r="E387" s="15" t="inlineStr">
        <is>
          <t>Derived from the live source</t>
        </is>
      </c>
      <c r="F387" s="19" t="inlineStr">
        <is>
          <t>CONFIRMED — Reproduces from the primary source</t>
        </is>
      </c>
      <c r="G387" s="70" t="inlineStr">
        <is>
          <t>apro_mt_pann B3100</t>
        </is>
      </c>
      <c r="H387" s="71" t="n">
        <v>23393.67</v>
      </c>
      <c r="I387" s="34" t="inlineStr">
        <is>
          <t>Eurostat apro_mt_pann · geo=EU27_2020, meat=B3100, meatitem=SLAUGHT, unit=THS_T · https://ec.europa.eu/eurostat/api/dissemination/statistics/1.0/data/apro_mt_pann?format=JSON&amp;lang=EN&amp;geo=EU27_2020&amp;meat=B3100&amp;meatitem=SLAUGHT&amp;unit=THS_T</t>
        </is>
      </c>
      <c r="J387" s="72" t="inlineStr">
        <is>
          <t>https://doi.org/10.2908/APRO_MT_PANN</t>
        </is>
      </c>
    </row>
    <row r="388" ht="26" customHeight="1">
      <c r="A388" s="14" t="inlineStr"/>
      <c r="B388" s="15" t="inlineStr"/>
      <c r="C388" s="63" t="n"/>
      <c r="D388" s="64" t="n"/>
      <c r="E388" s="15" t="inlineStr"/>
      <c r="F388" s="15" t="inlineStr"/>
      <c r="G388" s="70" t="inlineStr">
        <is>
          <t>Unit conversion (× 0.001)</t>
        </is>
      </c>
      <c r="H388" s="71" t="n">
        <v>0.001</v>
      </c>
      <c r="I388" s="34" t="inlineStr">
        <is>
          <t>Unit conversion applied to the source figure so it is expressed in Mt.</t>
        </is>
      </c>
    </row>
    <row r="389" ht="26" customHeight="1">
      <c r="A389" s="67" t="inlineStr">
        <is>
          <t>A4 (pig, production)</t>
        </is>
      </c>
      <c r="B389" s="22" t="inlineStr">
        <is>
          <t>Pig meat: production (EU)</t>
        </is>
      </c>
      <c r="C389" s="65" t="n">
        <v>2022</v>
      </c>
      <c r="D389" s="66" t="n">
        <v>22.07</v>
      </c>
      <c r="E389" s="22" t="inlineStr">
        <is>
          <t>Derived from the live source</t>
        </is>
      </c>
      <c r="F389" s="26" t="inlineStr">
        <is>
          <t>CONFIRMED — Reproduces from the primary source</t>
        </is>
      </c>
      <c r="G389" s="73" t="inlineStr">
        <is>
          <t>apro_mt_pann B3100</t>
        </is>
      </c>
      <c r="H389" s="74" t="n">
        <v>22065.92</v>
      </c>
      <c r="I389" s="35" t="inlineStr">
        <is>
          <t>Eurostat apro_mt_pann · geo=EU27_2020, meat=B3100, meatitem=SLAUGHT, unit=THS_T · https://ec.europa.eu/eurostat/api/dissemination/statistics/1.0/data/apro_mt_pann?format=JSON&amp;lang=EN&amp;geo=EU27_2020&amp;meat=B3100&amp;meatitem=SLAUGHT&amp;unit=THS_T</t>
        </is>
      </c>
      <c r="J389" s="72" t="inlineStr">
        <is>
          <t>https://doi.org/10.2908/APRO_MT_PANN</t>
        </is>
      </c>
    </row>
    <row r="390" ht="26" customHeight="1">
      <c r="A390" s="67" t="inlineStr"/>
      <c r="B390" s="22" t="inlineStr"/>
      <c r="C390" s="65" t="n"/>
      <c r="D390" s="66" t="n"/>
      <c r="E390" s="22" t="inlineStr"/>
      <c r="F390" s="22" t="inlineStr"/>
      <c r="G390" s="73" t="inlineStr">
        <is>
          <t>Unit conversion (× 0.001)</t>
        </is>
      </c>
      <c r="H390" s="74" t="n">
        <v>0.001</v>
      </c>
      <c r="I390" s="35" t="inlineStr">
        <is>
          <t>Unit conversion applied to the source figure so it is expressed in Mt.</t>
        </is>
      </c>
    </row>
    <row r="391" ht="26" customHeight="1">
      <c r="A391" s="14" t="inlineStr">
        <is>
          <t>A4 (pig, production)</t>
        </is>
      </c>
      <c r="B391" s="15" t="inlineStr">
        <is>
          <t>Pig meat: production (EU)</t>
        </is>
      </c>
      <c r="C391" s="63" t="n">
        <v>2023</v>
      </c>
      <c r="D391" s="64" t="n">
        <v>20.64</v>
      </c>
      <c r="E391" s="15" t="inlineStr">
        <is>
          <t>Derived from the live source</t>
        </is>
      </c>
      <c r="F391" s="19" t="inlineStr">
        <is>
          <t>CONFIRMED — Reproduces from the primary source</t>
        </is>
      </c>
      <c r="G391" s="70" t="inlineStr">
        <is>
          <t>apro_mt_pann B3100</t>
        </is>
      </c>
      <c r="H391" s="71" t="n">
        <v>20641.09</v>
      </c>
      <c r="I391" s="34" t="inlineStr">
        <is>
          <t>Eurostat apro_mt_pann · geo=EU27_2020, meat=B3100, meatitem=SLAUGHT, unit=THS_T · https://ec.europa.eu/eurostat/api/dissemination/statistics/1.0/data/apro_mt_pann?format=JSON&amp;lang=EN&amp;geo=EU27_2020&amp;meat=B3100&amp;meatitem=SLAUGHT&amp;unit=THS_T</t>
        </is>
      </c>
      <c r="J391" s="72" t="inlineStr">
        <is>
          <t>https://doi.org/10.2908/APRO_MT_PANN</t>
        </is>
      </c>
    </row>
    <row r="392" ht="26" customHeight="1">
      <c r="A392" s="14" t="inlineStr"/>
      <c r="B392" s="15" t="inlineStr"/>
      <c r="C392" s="63" t="n"/>
      <c r="D392" s="64" t="n"/>
      <c r="E392" s="15" t="inlineStr"/>
      <c r="F392" s="15" t="inlineStr"/>
      <c r="G392" s="70" t="inlineStr">
        <is>
          <t>Unit conversion (× 0.001)</t>
        </is>
      </c>
      <c r="H392" s="71" t="n">
        <v>0.001</v>
      </c>
      <c r="I392" s="34" t="inlineStr">
        <is>
          <t>Unit conversion applied to the source figure so it is expressed in Mt.</t>
        </is>
      </c>
    </row>
    <row r="393" ht="26" customHeight="1">
      <c r="A393" s="67" t="inlineStr">
        <is>
          <t>A4 (pig, production)</t>
        </is>
      </c>
      <c r="B393" s="22" t="inlineStr">
        <is>
          <t>Pig meat: production (EU)</t>
        </is>
      </c>
      <c r="C393" s="65" t="n">
        <v>2024</v>
      </c>
      <c r="D393" s="66" t="n">
        <v>21.09</v>
      </c>
      <c r="E393" s="22" t="inlineStr">
        <is>
          <t>Derived from the live source</t>
        </is>
      </c>
      <c r="F393" s="26" t="inlineStr">
        <is>
          <t>CONFIRMED — Reproduces from the primary source</t>
        </is>
      </c>
      <c r="G393" s="73" t="inlineStr">
        <is>
          <t>apro_mt_pann B3100</t>
        </is>
      </c>
      <c r="H393" s="74" t="n">
        <v>21091.62</v>
      </c>
      <c r="I393" s="35" t="inlineStr">
        <is>
          <t>Eurostat apro_mt_pann · geo=EU27_2020, meat=B3100, meatitem=SLAUGHT, unit=THS_T · https://ec.europa.eu/eurostat/api/dissemination/statistics/1.0/data/apro_mt_pann?format=JSON&amp;lang=EN&amp;geo=EU27_2020&amp;meat=B3100&amp;meatitem=SLAUGHT&amp;unit=THS_T</t>
        </is>
      </c>
      <c r="J393" s="72" t="inlineStr">
        <is>
          <t>https://doi.org/10.2908/APRO_MT_PANN</t>
        </is>
      </c>
    </row>
    <row r="394" ht="26" customHeight="1">
      <c r="A394" s="67" t="inlineStr"/>
      <c r="B394" s="22" t="inlineStr"/>
      <c r="C394" s="65" t="n"/>
      <c r="D394" s="66" t="n"/>
      <c r="E394" s="22" t="inlineStr"/>
      <c r="F394" s="22" t="inlineStr"/>
      <c r="G394" s="73" t="inlineStr">
        <is>
          <t>Unit conversion (× 0.001)</t>
        </is>
      </c>
      <c r="H394" s="74" t="n">
        <v>0.001</v>
      </c>
      <c r="I394" s="35" t="inlineStr">
        <is>
          <t>Unit conversion applied to the source figure so it is expressed in Mt.</t>
        </is>
      </c>
    </row>
    <row r="395" ht="26" customHeight="1">
      <c r="A395" s="14" t="inlineStr">
        <is>
          <t>A4 (pig, production)</t>
        </is>
      </c>
      <c r="B395" s="15" t="inlineStr">
        <is>
          <t>Pig meat: production (EU)</t>
        </is>
      </c>
      <c r="C395" s="63" t="n">
        <v>2025</v>
      </c>
      <c r="D395" s="64" t="n">
        <v>21.84</v>
      </c>
      <c r="E395" s="15" t="inlineStr">
        <is>
          <t>Derived from the live source</t>
        </is>
      </c>
      <c r="F395" s="19" t="inlineStr">
        <is>
          <t>CONFIRMED — Reproduces from the primary source</t>
        </is>
      </c>
      <c r="G395" s="70" t="inlineStr">
        <is>
          <t>apro_mt_pann B3100</t>
        </is>
      </c>
      <c r="H395" s="71" t="n">
        <v>21837.73</v>
      </c>
      <c r="I395" s="34" t="inlineStr">
        <is>
          <t>Eurostat apro_mt_pann · geo=EU27_2020, meat=B3100, meatitem=SLAUGHT, unit=THS_T · https://ec.europa.eu/eurostat/api/dissemination/statistics/1.0/data/apro_mt_pann?format=JSON&amp;lang=EN&amp;geo=EU27_2020&amp;meat=B3100&amp;meatitem=SLAUGHT&amp;unit=THS_T</t>
        </is>
      </c>
      <c r="J395" s="72" t="inlineStr">
        <is>
          <t>https://doi.org/10.2908/APRO_MT_PANN</t>
        </is>
      </c>
    </row>
    <row r="396" ht="26" customHeight="1">
      <c r="A396" s="14" t="inlineStr"/>
      <c r="B396" s="15" t="inlineStr"/>
      <c r="C396" s="63" t="n"/>
      <c r="D396" s="64" t="n"/>
      <c r="E396" s="15" t="inlineStr"/>
      <c r="F396" s="15" t="inlineStr"/>
      <c r="G396" s="70" t="inlineStr">
        <is>
          <t>Unit conversion (× 0.001)</t>
        </is>
      </c>
      <c r="H396" s="71" t="n">
        <v>0.001</v>
      </c>
      <c r="I396" s="34" t="inlineStr">
        <is>
          <t>Unit conversion applied to the source figure so it is expressed in Mt.</t>
        </is>
      </c>
    </row>
    <row r="397" ht="22" customHeight="1">
      <c r="G397" s="3" t="inlineStr">
        <is>
          <t>Formula:  Value = IF(A &gt;= 2021, ROUND([apro_mt_pann B3100] * [Unit conversion (× 0.001)], 2), [Report figure (2024 report underlying data)])</t>
        </is>
      </c>
    </row>
    <row r="398" ht="26" customHeight="1">
      <c r="A398" s="67" t="inlineStr">
        <is>
          <t>A4 (pig, herd)</t>
        </is>
      </c>
      <c r="B398" s="22" t="inlineStr">
        <is>
          <t>Pig meat: herd size (EU)</t>
        </is>
      </c>
      <c r="C398" s="65" t="n">
        <v>2021</v>
      </c>
      <c r="D398" s="66" t="n">
        <v>135.9</v>
      </c>
      <c r="E398" s="22" t="inlineStr">
        <is>
          <t>Derived from the live source</t>
        </is>
      </c>
      <c r="F398" s="26" t="inlineStr">
        <is>
          <t>CONFIRMED — Reproduces from the primary source</t>
        </is>
      </c>
      <c r="G398" s="73" t="inlineStr">
        <is>
          <t>apro_mt_lspig A3100</t>
        </is>
      </c>
      <c r="H398" s="74" t="n">
        <v>141681.38</v>
      </c>
      <c r="I398" s="35" t="inlineStr">
        <is>
          <t>Eurostat apro_mt_lspig · geo=EU27_2020, animals=A3100, month=M11_M12, unit=THS_HD · https://ec.europa.eu/eurostat/api/dissemination/statistics/1.0/data/apro_mt_lspig?format=JSON&amp;lang=EN&amp;geo=EU27_2020&amp;animals=A3100&amp;month=M11_M12&amp;unit=THS_HD</t>
        </is>
      </c>
      <c r="J398" s="72" t="inlineStr">
        <is>
          <t>https://doi.org/10.2908/APRO_MT_LSPIG</t>
        </is>
      </c>
    </row>
    <row r="399" ht="26" customHeight="1">
      <c r="A399" s="67" t="inlineStr"/>
      <c r="B399" s="22" t="inlineStr"/>
      <c r="C399" s="65" t="n"/>
      <c r="D399" s="66" t="n"/>
      <c r="E399" s="22" t="inlineStr"/>
      <c r="F399" s="22" t="inlineStr"/>
      <c r="G399" s="73" t="inlineStr">
        <is>
          <t>Report baseline 2020 (million heads)</t>
        </is>
      </c>
      <c r="H399" s="74" t="n">
        <v>140</v>
      </c>
      <c r="I399" s="35" t="inlineStr">
        <is>
          <t>ESABCC (2024) “Towards EU climate neutrality”, underlying-data workbook — the report's own 2020 figure, the anchor the later years are spliced onto.</t>
        </is>
      </c>
    </row>
    <row r="400" ht="26" customHeight="1">
      <c r="A400" s="67" t="inlineStr"/>
      <c r="B400" s="22" t="inlineStr"/>
      <c r="C400" s="65" t="n"/>
      <c r="D400" s="66" t="n"/>
      <c r="E400" s="22" t="inlineStr"/>
      <c r="F400" s="22" t="inlineStr"/>
      <c r="G400" s="73" t="inlineStr">
        <is>
          <t>Live source at 2020 (same basis as the columns left)</t>
        </is>
      </c>
      <c r="H400" s="74" t="n">
        <v>145918.6</v>
      </c>
      <c r="I400" s="35" t="inlineStr">
        <is>
          <t>Eurostat apro_mt_lspig · live swine (A3100), Nov–Dec survey · EU27_2020 — the same query, read at 2020; dividing by it cancels the level difference between the source's scope and the report's, leaving only the year-on-year change.</t>
        </is>
      </c>
      <c r="J400" s="72" t="inlineStr">
        <is>
          <t>https://doi.org/10.2908/APRO_MT_LSPIG</t>
        </is>
      </c>
    </row>
    <row r="401" ht="26" customHeight="1">
      <c r="A401" s="14" t="inlineStr">
        <is>
          <t>A4 (pig, herd)</t>
        </is>
      </c>
      <c r="B401" s="15" t="inlineStr">
        <is>
          <t>Pig meat: herd size (EU)</t>
        </is>
      </c>
      <c r="C401" s="63" t="n">
        <v>2022</v>
      </c>
      <c r="D401" s="64" t="n">
        <v>129</v>
      </c>
      <c r="E401" s="15" t="inlineStr">
        <is>
          <t>Derived from the live source</t>
        </is>
      </c>
      <c r="F401" s="19" t="inlineStr">
        <is>
          <t>CONFIRMED — Reproduces from the primary source</t>
        </is>
      </c>
      <c r="G401" s="70" t="inlineStr">
        <is>
          <t>apro_mt_lspig A3100</t>
        </is>
      </c>
      <c r="H401" s="71" t="n">
        <v>134410.04</v>
      </c>
      <c r="I401" s="34" t="inlineStr">
        <is>
          <t>Eurostat apro_mt_lspig · geo=EU27_2020, animals=A3100, month=M11_M12, unit=THS_HD · https://ec.europa.eu/eurostat/api/dissemination/statistics/1.0/data/apro_mt_lspig?format=JSON&amp;lang=EN&amp;geo=EU27_2020&amp;animals=A3100&amp;month=M11_M12&amp;unit=THS_HD</t>
        </is>
      </c>
      <c r="J401" s="72" t="inlineStr">
        <is>
          <t>https://doi.org/10.2908/APRO_MT_LSPIG</t>
        </is>
      </c>
    </row>
    <row r="402" ht="26" customHeight="1">
      <c r="A402" s="14" t="inlineStr"/>
      <c r="B402" s="15" t="inlineStr"/>
      <c r="C402" s="63" t="n"/>
      <c r="D402" s="64" t="n"/>
      <c r="E402" s="15" t="inlineStr"/>
      <c r="F402" s="15" t="inlineStr"/>
      <c r="G402" s="70" t="inlineStr">
        <is>
          <t>Report baseline 2020 (million heads)</t>
        </is>
      </c>
      <c r="H402" s="71" t="n">
        <v>140</v>
      </c>
      <c r="I402" s="34" t="inlineStr">
        <is>
          <t>ESABCC (2024) “Towards EU climate neutrality”, underlying-data workbook — the report's own 2020 figure, the anchor the later years are spliced onto.</t>
        </is>
      </c>
    </row>
    <row r="403" ht="26" customHeight="1">
      <c r="A403" s="14" t="inlineStr"/>
      <c r="B403" s="15" t="inlineStr"/>
      <c r="C403" s="63" t="n"/>
      <c r="D403" s="64" t="n"/>
      <c r="E403" s="15" t="inlineStr"/>
      <c r="F403" s="15" t="inlineStr"/>
      <c r="G403" s="70" t="inlineStr">
        <is>
          <t>Live source at 2020 (same basis as the columns left)</t>
        </is>
      </c>
      <c r="H403" s="71" t="n">
        <v>145918.6</v>
      </c>
      <c r="I403" s="34" t="inlineStr">
        <is>
          <t>Eurostat apro_mt_lspig · live swine (A3100), Nov–Dec survey · EU27_2020 — the same query, read at 2020; dividing by it cancels the level difference between the source's scope and the report's, leaving only the year-on-year change.</t>
        </is>
      </c>
      <c r="J403" s="72" t="inlineStr">
        <is>
          <t>https://doi.org/10.2908/APRO_MT_LSPIG</t>
        </is>
      </c>
    </row>
    <row r="404" ht="26" customHeight="1">
      <c r="A404" s="67" t="inlineStr">
        <is>
          <t>A4 (pig, herd)</t>
        </is>
      </c>
      <c r="B404" s="22" t="inlineStr">
        <is>
          <t>Pig meat: herd size (EU)</t>
        </is>
      </c>
      <c r="C404" s="65" t="n">
        <v>2023</v>
      </c>
      <c r="D404" s="66" t="n">
        <v>127.5</v>
      </c>
      <c r="E404" s="22" t="inlineStr">
        <is>
          <t>Derived from the live source</t>
        </is>
      </c>
      <c r="F404" s="26" t="inlineStr">
        <is>
          <t>CONFIRMED — Reproduces from the primary source</t>
        </is>
      </c>
      <c r="G404" s="73" t="inlineStr">
        <is>
          <t>apro_mt_lspig A3100</t>
        </is>
      </c>
      <c r="H404" s="74" t="n">
        <v>132845.67</v>
      </c>
      <c r="I404" s="35" t="inlineStr">
        <is>
          <t>Eurostat apro_mt_lspig · geo=EU27_2020, animals=A3100, month=M11_M12, unit=THS_HD · https://ec.europa.eu/eurostat/api/dissemination/statistics/1.0/data/apro_mt_lspig?format=JSON&amp;lang=EN&amp;geo=EU27_2020&amp;animals=A3100&amp;month=M11_M12&amp;unit=THS_HD</t>
        </is>
      </c>
      <c r="J404" s="72" t="inlineStr">
        <is>
          <t>https://doi.org/10.2908/APRO_MT_LSPIG</t>
        </is>
      </c>
    </row>
    <row r="405" ht="26" customHeight="1">
      <c r="A405" s="67" t="inlineStr"/>
      <c r="B405" s="22" t="inlineStr"/>
      <c r="C405" s="65" t="n"/>
      <c r="D405" s="66" t="n"/>
      <c r="E405" s="22" t="inlineStr"/>
      <c r="F405" s="22" t="inlineStr"/>
      <c r="G405" s="73" t="inlineStr">
        <is>
          <t>Report baseline 2020 (million heads)</t>
        </is>
      </c>
      <c r="H405" s="74" t="n">
        <v>140</v>
      </c>
      <c r="I405" s="35" t="inlineStr">
        <is>
          <t>ESABCC (2024) “Towards EU climate neutrality”, underlying-data workbook — the report's own 2020 figure, the anchor the later years are spliced onto.</t>
        </is>
      </c>
    </row>
    <row r="406" ht="26" customHeight="1">
      <c r="A406" s="67" t="inlineStr"/>
      <c r="B406" s="22" t="inlineStr"/>
      <c r="C406" s="65" t="n"/>
      <c r="D406" s="66" t="n"/>
      <c r="E406" s="22" t="inlineStr"/>
      <c r="F406" s="22" t="inlineStr"/>
      <c r="G406" s="73" t="inlineStr">
        <is>
          <t>Live source at 2020 (same basis as the columns left)</t>
        </is>
      </c>
      <c r="H406" s="74" t="n">
        <v>145918.6</v>
      </c>
      <c r="I406" s="35" t="inlineStr">
        <is>
          <t>Eurostat apro_mt_lspig · live swine (A3100), Nov–Dec survey · EU27_2020 — the same query, read at 2020; dividing by it cancels the level difference between the source's scope and the report's, leaving only the year-on-year change.</t>
        </is>
      </c>
      <c r="J406" s="72" t="inlineStr">
        <is>
          <t>https://doi.org/10.2908/APRO_MT_LSPIG</t>
        </is>
      </c>
    </row>
    <row r="407" ht="26" customHeight="1">
      <c r="A407" s="14" t="inlineStr">
        <is>
          <t>A4 (pig, herd)</t>
        </is>
      </c>
      <c r="B407" s="15" t="inlineStr">
        <is>
          <t>Pig meat: herd size (EU)</t>
        </is>
      </c>
      <c r="C407" s="63" t="n">
        <v>2024</v>
      </c>
      <c r="D407" s="64" t="n">
        <v>126.8</v>
      </c>
      <c r="E407" s="15" t="inlineStr">
        <is>
          <t>Derived from the live source</t>
        </is>
      </c>
      <c r="F407" s="19" t="inlineStr">
        <is>
          <t>CONFIRMED — Reproduces from the primary source</t>
        </is>
      </c>
      <c r="G407" s="70" t="inlineStr">
        <is>
          <t>apro_mt_lspig A3100</t>
        </is>
      </c>
      <c r="H407" s="71" t="n">
        <v>132135.52</v>
      </c>
      <c r="I407" s="34" t="inlineStr">
        <is>
          <t>Eurostat apro_mt_lspig · geo=EU27_2020, animals=A3100, month=M11_M12, unit=THS_HD · https://ec.europa.eu/eurostat/api/dissemination/statistics/1.0/data/apro_mt_lspig?format=JSON&amp;lang=EN&amp;geo=EU27_2020&amp;animals=A3100&amp;month=M11_M12&amp;unit=THS_HD</t>
        </is>
      </c>
      <c r="J407" s="72" t="inlineStr">
        <is>
          <t>https://doi.org/10.2908/APRO_MT_LSPIG</t>
        </is>
      </c>
    </row>
    <row r="408" ht="26" customHeight="1">
      <c r="A408" s="14" t="inlineStr"/>
      <c r="B408" s="15" t="inlineStr"/>
      <c r="C408" s="63" t="n"/>
      <c r="D408" s="64" t="n"/>
      <c r="E408" s="15" t="inlineStr"/>
      <c r="F408" s="15" t="inlineStr"/>
      <c r="G408" s="70" t="inlineStr">
        <is>
          <t>Report baseline 2020 (million heads)</t>
        </is>
      </c>
      <c r="H408" s="71" t="n">
        <v>140</v>
      </c>
      <c r="I408" s="34" t="inlineStr">
        <is>
          <t>ESABCC (2024) “Towards EU climate neutrality”, underlying-data workbook — the report's own 2020 figure, the anchor the later years are spliced onto.</t>
        </is>
      </c>
    </row>
    <row r="409" ht="26" customHeight="1">
      <c r="A409" s="14" t="inlineStr"/>
      <c r="B409" s="15" t="inlineStr"/>
      <c r="C409" s="63" t="n"/>
      <c r="D409" s="64" t="n"/>
      <c r="E409" s="15" t="inlineStr"/>
      <c r="F409" s="15" t="inlineStr"/>
      <c r="G409" s="70" t="inlineStr">
        <is>
          <t>Live source at 2020 (same basis as the columns left)</t>
        </is>
      </c>
      <c r="H409" s="71" t="n">
        <v>145918.6</v>
      </c>
      <c r="I409" s="34" t="inlineStr">
        <is>
          <t>Eurostat apro_mt_lspig · live swine (A3100), Nov–Dec survey · EU27_2020 — the same query, read at 2020; dividing by it cancels the level difference between the source's scope and the report's, leaving only the year-on-year change.</t>
        </is>
      </c>
      <c r="J409" s="72" t="inlineStr">
        <is>
          <t>https://doi.org/10.2908/APRO_MT_LSPIG</t>
        </is>
      </c>
    </row>
    <row r="410" ht="26" customHeight="1">
      <c r="A410" s="67" t="inlineStr">
        <is>
          <t>A4 (pig, herd)</t>
        </is>
      </c>
      <c r="B410" s="22" t="inlineStr">
        <is>
          <t>Pig meat: herd size (EU)</t>
        </is>
      </c>
      <c r="C410" s="65" t="n">
        <v>2025</v>
      </c>
      <c r="D410" s="66" t="n">
        <v>126.1</v>
      </c>
      <c r="E410" s="22" t="inlineStr">
        <is>
          <t>Derived from the live source</t>
        </is>
      </c>
      <c r="F410" s="26" t="inlineStr">
        <is>
          <t>CONFIRMED — Reproduces from the primary source</t>
        </is>
      </c>
      <c r="G410" s="73" t="inlineStr">
        <is>
          <t>apro_mt_lspig A3100</t>
        </is>
      </c>
      <c r="H410" s="74" t="n">
        <v>131450.44</v>
      </c>
      <c r="I410" s="35" t="inlineStr">
        <is>
          <t>Eurostat apro_mt_lspig · geo=EU27_2020, animals=A3100, month=M11_M12, unit=THS_HD · https://ec.europa.eu/eurostat/api/dissemination/statistics/1.0/data/apro_mt_lspig?format=JSON&amp;lang=EN&amp;geo=EU27_2020&amp;animals=A3100&amp;month=M11_M12&amp;unit=THS_HD</t>
        </is>
      </c>
      <c r="J410" s="72" t="inlineStr">
        <is>
          <t>https://doi.org/10.2908/APRO_MT_LSPIG</t>
        </is>
      </c>
    </row>
    <row r="411" ht="26" customHeight="1">
      <c r="A411" s="67" t="inlineStr"/>
      <c r="B411" s="22" t="inlineStr"/>
      <c r="C411" s="65" t="n"/>
      <c r="D411" s="66" t="n"/>
      <c r="E411" s="22" t="inlineStr"/>
      <c r="F411" s="22" t="inlineStr"/>
      <c r="G411" s="73" t="inlineStr">
        <is>
          <t>Report baseline 2020 (million heads)</t>
        </is>
      </c>
      <c r="H411" s="74" t="n">
        <v>140</v>
      </c>
      <c r="I411" s="35" t="inlineStr">
        <is>
          <t>ESABCC (2024) “Towards EU climate neutrality”, underlying-data workbook — the report's own 2020 figure, the anchor the later years are spliced onto.</t>
        </is>
      </c>
    </row>
    <row r="412" ht="26" customHeight="1">
      <c r="A412" s="67" t="inlineStr"/>
      <c r="B412" s="22" t="inlineStr"/>
      <c r="C412" s="65" t="n"/>
      <c r="D412" s="66" t="n"/>
      <c r="E412" s="22" t="inlineStr"/>
      <c r="F412" s="22" t="inlineStr"/>
      <c r="G412" s="73" t="inlineStr">
        <is>
          <t>Live source at 2020 (same basis as the columns left)</t>
        </is>
      </c>
      <c r="H412" s="74" t="n">
        <v>145918.6</v>
      </c>
      <c r="I412" s="35" t="inlineStr">
        <is>
          <t>Eurostat apro_mt_lspig · live swine (A3100), Nov–Dec survey · EU27_2020 — the same query, read at 2020; dividing by it cancels the level difference between the source's scope and the report's, leaving only the year-on-year change.</t>
        </is>
      </c>
      <c r="J412" s="72" t="inlineStr">
        <is>
          <t>https://doi.org/10.2908/APRO_MT_LSPIG</t>
        </is>
      </c>
    </row>
    <row r="413" ht="22" customHeight="1">
      <c r="G413" s="3" t="inlineStr">
        <is>
          <t>Formula:  Value = IF(A &gt;= 2021, ROUND([Report baseline 2020 (million heads)] * [apro_mt_lspig A3100] / [Live source at 2020 (same basis as the columns left)], 1), [Report figure (2024 report underlying data)])</t>
        </is>
      </c>
    </row>
    <row r="414" ht="26" customHeight="1">
      <c r="A414" s="14" t="inlineStr">
        <is>
          <t>A6</t>
        </is>
      </c>
      <c r="B414" s="15" t="inlineStr">
        <is>
          <t>Food waste per capita (EU)</t>
        </is>
      </c>
      <c r="C414" s="63" t="n">
        <v>2021</v>
      </c>
      <c r="D414" s="64" t="n">
        <v>129</v>
      </c>
      <c r="E414" s="15" t="inlineStr">
        <is>
          <t>Derived from the live source</t>
        </is>
      </c>
      <c r="F414" s="19" t="inlineStr">
        <is>
          <t>CONFIRMED — Reproduces from the primary source</t>
        </is>
      </c>
      <c r="G414" s="70" t="inlineStr">
        <is>
          <t>env_wasfw TOT</t>
        </is>
      </c>
      <c r="H414" s="71" t="n">
        <v>129</v>
      </c>
      <c r="I414" s="34" t="inlineStr">
        <is>
          <t>Eurostat env_wasfw · geo=EU27_2020, nace_r2=TOT, unit=KG_HAB · https://ec.europa.eu/eurostat/api/dissemination/statistics/1.0/data/env_wasfw?format=JSON&amp;lang=EN&amp;geo=EU27_2020&amp;nace_r2=TOT&amp;unit=KG_HAB</t>
        </is>
      </c>
      <c r="J414" s="72" t="inlineStr">
        <is>
          <t>https://doi.org/10.2908/ENV_WASFW</t>
        </is>
      </c>
    </row>
    <row r="415" ht="26" customHeight="1">
      <c r="A415" s="67" t="inlineStr">
        <is>
          <t>A6</t>
        </is>
      </c>
      <c r="B415" s="22" t="inlineStr">
        <is>
          <t>Food waste per capita (EU)</t>
        </is>
      </c>
      <c r="C415" s="65" t="n">
        <v>2022</v>
      </c>
      <c r="D415" s="66" t="n">
        <v>129</v>
      </c>
      <c r="E415" s="22" t="inlineStr">
        <is>
          <t>Derived from the live source</t>
        </is>
      </c>
      <c r="F415" s="26" t="inlineStr">
        <is>
          <t>CONFIRMED — Reproduces from the primary source</t>
        </is>
      </c>
      <c r="G415" s="73" t="inlineStr">
        <is>
          <t>env_wasfw TOT</t>
        </is>
      </c>
      <c r="H415" s="74" t="n">
        <v>129</v>
      </c>
      <c r="I415" s="35" t="inlineStr">
        <is>
          <t>Eurostat env_wasfw · geo=EU27_2020, nace_r2=TOT, unit=KG_HAB · https://ec.europa.eu/eurostat/api/dissemination/statistics/1.0/data/env_wasfw?format=JSON&amp;lang=EN&amp;geo=EU27_2020&amp;nace_r2=TOT&amp;unit=KG_HAB</t>
        </is>
      </c>
      <c r="J415" s="72" t="inlineStr">
        <is>
          <t>https://doi.org/10.2908/ENV_WASFW</t>
        </is>
      </c>
    </row>
    <row r="416" ht="26" customHeight="1">
      <c r="A416" s="14" t="inlineStr">
        <is>
          <t>A6</t>
        </is>
      </c>
      <c r="B416" s="15" t="inlineStr">
        <is>
          <t>Food waste per capita (EU)</t>
        </is>
      </c>
      <c r="C416" s="63" t="n">
        <v>2023</v>
      </c>
      <c r="D416" s="64" t="n">
        <v>129</v>
      </c>
      <c r="E416" s="15" t="inlineStr">
        <is>
          <t>Derived from the live source</t>
        </is>
      </c>
      <c r="F416" s="19" t="inlineStr">
        <is>
          <t>CONFIRMED — Reproduces from the primary source</t>
        </is>
      </c>
      <c r="G416" s="70" t="inlineStr">
        <is>
          <t>env_wasfw TOT</t>
        </is>
      </c>
      <c r="H416" s="71" t="n">
        <v>129</v>
      </c>
      <c r="I416" s="34" t="inlineStr">
        <is>
          <t>Eurostat env_wasfw · geo=EU27_2020, nace_r2=TOT, unit=KG_HAB · https://ec.europa.eu/eurostat/api/dissemination/statistics/1.0/data/env_wasfw?format=JSON&amp;lang=EN&amp;geo=EU27_2020&amp;nace_r2=TOT&amp;unit=KG_HAB</t>
        </is>
      </c>
      <c r="J416" s="72" t="inlineStr">
        <is>
          <t>https://doi.org/10.2908/ENV_WASFW</t>
        </is>
      </c>
    </row>
    <row r="417" ht="22" customHeight="1">
      <c r="G417" s="3" t="inlineStr">
        <is>
          <t>Formula:  Value = IF(A &gt;= 2021, ROUND([env_wasfw TOT], 0), [Report figure (2024 report underlying data)])</t>
        </is>
      </c>
    </row>
    <row r="418" ht="26" customHeight="1">
      <c r="A418" s="67" t="inlineStr">
        <is>
          <t>B4 (population)</t>
        </is>
      </c>
      <c r="B418" s="22" t="inlineStr">
        <is>
          <t>EU population (index, 2005 = 1.0)</t>
        </is>
      </c>
      <c r="C418" s="65" t="n">
        <v>2021</v>
      </c>
      <c r="D418" s="66" t="n">
        <v>1.027</v>
      </c>
      <c r="E418" s="22" t="inlineStr">
        <is>
          <t>Derived from the live source</t>
        </is>
      </c>
      <c r="F418" s="26" t="inlineStr">
        <is>
          <t>CONFIRMED — Reproduces from the primary source</t>
        </is>
      </c>
      <c r="G418" s="73" t="inlineStr">
        <is>
          <t>demo_gind AVG</t>
        </is>
      </c>
      <c r="H418" s="74" t="n">
        <v>445883647</v>
      </c>
      <c r="I418" s="35" t="inlineStr">
        <is>
          <t>Eurostat demo_gind · geo=EU27_2020, indic_de=AVG · https://ec.europa.eu/eurostat/api/dissemination/statistics/1.0/data/demo_gind?format=JSON&amp;lang=EN&amp;geo=EU27_2020&amp;indic_de=AVG</t>
        </is>
      </c>
      <c r="J418" s="72" t="inlineStr">
        <is>
          <t>https://doi.org/10.2908/DEMO_GIND</t>
        </is>
      </c>
    </row>
    <row r="419" ht="26" customHeight="1">
      <c r="A419" s="67" t="inlineStr"/>
      <c r="B419" s="22" t="inlineStr"/>
      <c r="C419" s="65" t="n"/>
      <c r="D419" s="66" t="n"/>
      <c r="E419" s="22" t="inlineStr"/>
      <c r="F419" s="22" t="inlineStr"/>
      <c r="G419" s="73" t="inlineStr">
        <is>
          <t>Report baseline 2020 (index (2005 = 1.0))</t>
        </is>
      </c>
      <c r="H419" s="74" t="n">
        <v>1.028</v>
      </c>
      <c r="I419" s="35" t="inlineStr">
        <is>
          <t>ESABCC (2024) “Towards EU climate neutrality”, underlying-data workbook — the report's own 2020 figure, the anchor the later years are spliced onto.</t>
        </is>
      </c>
    </row>
    <row r="420" ht="26" customHeight="1">
      <c r="A420" s="67" t="inlineStr"/>
      <c r="B420" s="22" t="inlineStr"/>
      <c r="C420" s="65" t="n"/>
      <c r="D420" s="66" t="n"/>
      <c r="E420" s="22" t="inlineStr"/>
      <c r="F420" s="22" t="inlineStr"/>
      <c r="G420" s="73" t="inlineStr">
        <is>
          <t>Live source at 2020 (same basis as the columns left)</t>
        </is>
      </c>
      <c r="H420" s="74" t="n">
        <v>446437975</v>
      </c>
      <c r="I420" s="35" t="inlineStr">
        <is>
          <t>Eurostat demo_gind · average population (indexed onto report 2005=1.0 baseline) · EU27_2020 — the same query, read at 2020; dividing by it cancels the level difference between the source's scope and the report's, leaving only the year-on-year change.</t>
        </is>
      </c>
      <c r="J420" s="72" t="inlineStr">
        <is>
          <t>https://doi.org/10.2908/DEMO_GIND</t>
        </is>
      </c>
    </row>
    <row r="421" ht="26" customHeight="1">
      <c r="A421" s="14" t="inlineStr">
        <is>
          <t>B4 (population)</t>
        </is>
      </c>
      <c r="B421" s="15" t="inlineStr">
        <is>
          <t>EU population (index, 2005 = 1.0)</t>
        </is>
      </c>
      <c r="C421" s="63" t="n">
        <v>2022</v>
      </c>
      <c r="D421" s="64" t="n">
        <v>1.029</v>
      </c>
      <c r="E421" s="15" t="inlineStr">
        <is>
          <t>Derived from the live source</t>
        </is>
      </c>
      <c r="F421" s="19" t="inlineStr">
        <is>
          <t>CONFIRMED — Reproduces from the primary source</t>
        </is>
      </c>
      <c r="G421" s="70" t="inlineStr">
        <is>
          <t>demo_gind AVG</t>
        </is>
      </c>
      <c r="H421" s="71" t="n">
        <v>446940424</v>
      </c>
      <c r="I421" s="34" t="inlineStr">
        <is>
          <t>Eurostat demo_gind · geo=EU27_2020, indic_de=AVG · https://ec.europa.eu/eurostat/api/dissemination/statistics/1.0/data/demo_gind?format=JSON&amp;lang=EN&amp;geo=EU27_2020&amp;indic_de=AVG</t>
        </is>
      </c>
      <c r="J421" s="72" t="inlineStr">
        <is>
          <t>https://doi.org/10.2908/DEMO_GIND</t>
        </is>
      </c>
    </row>
    <row r="422" ht="26" customHeight="1">
      <c r="A422" s="14" t="inlineStr"/>
      <c r="B422" s="15" t="inlineStr"/>
      <c r="C422" s="63" t="n"/>
      <c r="D422" s="64" t="n"/>
      <c r="E422" s="15" t="inlineStr"/>
      <c r="F422" s="15" t="inlineStr"/>
      <c r="G422" s="70" t="inlineStr">
        <is>
          <t>Report baseline 2020 (index (2005 = 1.0))</t>
        </is>
      </c>
      <c r="H422" s="71" t="n">
        <v>1.028</v>
      </c>
      <c r="I422" s="34" t="inlineStr">
        <is>
          <t>ESABCC (2024) “Towards EU climate neutrality”, underlying-data workbook — the report's own 2020 figure, the anchor the later years are spliced onto.</t>
        </is>
      </c>
    </row>
    <row r="423" ht="26" customHeight="1">
      <c r="A423" s="14" t="inlineStr"/>
      <c r="B423" s="15" t="inlineStr"/>
      <c r="C423" s="63" t="n"/>
      <c r="D423" s="64" t="n"/>
      <c r="E423" s="15" t="inlineStr"/>
      <c r="F423" s="15" t="inlineStr"/>
      <c r="G423" s="70" t="inlineStr">
        <is>
          <t>Live source at 2020 (same basis as the columns left)</t>
        </is>
      </c>
      <c r="H423" s="71" t="n">
        <v>446437975</v>
      </c>
      <c r="I423" s="34" t="inlineStr">
        <is>
          <t>Eurostat demo_gind · average population (indexed onto report 2005=1.0 baseline) · EU27_2020 — the same query, read at 2020; dividing by it cancels the level difference between the source's scope and the report's, leaving only the year-on-year change.</t>
        </is>
      </c>
      <c r="J423" s="72" t="inlineStr">
        <is>
          <t>https://doi.org/10.2908/DEMO_GIND</t>
        </is>
      </c>
    </row>
    <row r="424" ht="26" customHeight="1">
      <c r="A424" s="67" t="inlineStr">
        <is>
          <t>B4 (population)</t>
        </is>
      </c>
      <c r="B424" s="22" t="inlineStr">
        <is>
          <t>EU population (index, 2005 = 1.0)</t>
        </is>
      </c>
      <c r="C424" s="65" t="n">
        <v>2023</v>
      </c>
      <c r="D424" s="66" t="n">
        <v>1.033</v>
      </c>
      <c r="E424" s="22" t="inlineStr">
        <is>
          <t>Derived from the live source</t>
        </is>
      </c>
      <c r="F424" s="26" t="inlineStr">
        <is>
          <t>CONFIRMED — Reproduces from the primary source</t>
        </is>
      </c>
      <c r="G424" s="73" t="inlineStr">
        <is>
          <t>demo_gind AVG</t>
        </is>
      </c>
      <c r="H424" s="74" t="n">
        <v>448647774</v>
      </c>
      <c r="I424" s="35" t="inlineStr">
        <is>
          <t>Eurostat demo_gind · geo=EU27_2020, indic_de=AVG · https://ec.europa.eu/eurostat/api/dissemination/statistics/1.0/data/demo_gind?format=JSON&amp;lang=EN&amp;geo=EU27_2020&amp;indic_de=AVG</t>
        </is>
      </c>
      <c r="J424" s="72" t="inlineStr">
        <is>
          <t>https://doi.org/10.2908/DEMO_GIND</t>
        </is>
      </c>
    </row>
    <row r="425" ht="26" customHeight="1">
      <c r="A425" s="67" t="inlineStr"/>
      <c r="B425" s="22" t="inlineStr"/>
      <c r="C425" s="65" t="n"/>
      <c r="D425" s="66" t="n"/>
      <c r="E425" s="22" t="inlineStr"/>
      <c r="F425" s="22" t="inlineStr"/>
      <c r="G425" s="73" t="inlineStr">
        <is>
          <t>Report baseline 2020 (index (2005 = 1.0))</t>
        </is>
      </c>
      <c r="H425" s="74" t="n">
        <v>1.028</v>
      </c>
      <c r="I425" s="35" t="inlineStr">
        <is>
          <t>ESABCC (2024) “Towards EU climate neutrality”, underlying-data workbook — the report's own 2020 figure, the anchor the later years are spliced onto.</t>
        </is>
      </c>
    </row>
    <row r="426" ht="26" customHeight="1">
      <c r="A426" s="67" t="inlineStr"/>
      <c r="B426" s="22" t="inlineStr"/>
      <c r="C426" s="65" t="n"/>
      <c r="D426" s="66" t="n"/>
      <c r="E426" s="22" t="inlineStr"/>
      <c r="F426" s="22" t="inlineStr"/>
      <c r="G426" s="73" t="inlineStr">
        <is>
          <t>Live source at 2020 (same basis as the columns left)</t>
        </is>
      </c>
      <c r="H426" s="74" t="n">
        <v>446437975</v>
      </c>
      <c r="I426" s="35" t="inlineStr">
        <is>
          <t>Eurostat demo_gind · average population (indexed onto report 2005=1.0 baseline) · EU27_2020 — the same query, read at 2020; dividing by it cancels the level difference between the source's scope and the report's, leaving only the year-on-year change.</t>
        </is>
      </c>
      <c r="J426" s="72" t="inlineStr">
        <is>
          <t>https://doi.org/10.2908/DEMO_GIND</t>
        </is>
      </c>
    </row>
    <row r="427" ht="26" customHeight="1">
      <c r="A427" s="14" t="inlineStr">
        <is>
          <t>B4 (population)</t>
        </is>
      </c>
      <c r="B427" s="15" t="inlineStr">
        <is>
          <t>EU population (index, 2005 = 1.0)</t>
        </is>
      </c>
      <c r="C427" s="63" t="n">
        <v>2024</v>
      </c>
      <c r="D427" s="64" t="n">
        <v>1.036</v>
      </c>
      <c r="E427" s="15" t="inlineStr">
        <is>
          <t>Derived from the live source</t>
        </is>
      </c>
      <c r="F427" s="19" t="inlineStr">
        <is>
          <t>CONFIRMED — Reproduces from the primary source</t>
        </is>
      </c>
      <c r="G427" s="70" t="inlineStr">
        <is>
          <t>demo_gind AVG</t>
        </is>
      </c>
      <c r="H427" s="71" t="n">
        <v>450068417</v>
      </c>
      <c r="I427" s="34" t="inlineStr">
        <is>
          <t>Eurostat demo_gind · geo=EU27_2020, indic_de=AVG · https://ec.europa.eu/eurostat/api/dissemination/statistics/1.0/data/demo_gind?format=JSON&amp;lang=EN&amp;geo=EU27_2020&amp;indic_de=AVG</t>
        </is>
      </c>
      <c r="J427" s="72" t="inlineStr">
        <is>
          <t>https://doi.org/10.2908/DEMO_GIND</t>
        </is>
      </c>
    </row>
    <row r="428" ht="26" customHeight="1">
      <c r="A428" s="14" t="inlineStr"/>
      <c r="B428" s="15" t="inlineStr"/>
      <c r="C428" s="63" t="n"/>
      <c r="D428" s="64" t="n"/>
      <c r="E428" s="15" t="inlineStr"/>
      <c r="F428" s="15" t="inlineStr"/>
      <c r="G428" s="70" t="inlineStr">
        <is>
          <t>Report baseline 2020 (index (2005 = 1.0))</t>
        </is>
      </c>
      <c r="H428" s="71" t="n">
        <v>1.028</v>
      </c>
      <c r="I428" s="34" t="inlineStr">
        <is>
          <t>ESABCC (2024) “Towards EU climate neutrality”, underlying-data workbook — the report's own 2020 figure, the anchor the later years are spliced onto.</t>
        </is>
      </c>
    </row>
    <row r="429" ht="26" customHeight="1">
      <c r="A429" s="14" t="inlineStr"/>
      <c r="B429" s="15" t="inlineStr"/>
      <c r="C429" s="63" t="n"/>
      <c r="D429" s="64" t="n"/>
      <c r="E429" s="15" t="inlineStr"/>
      <c r="F429" s="15" t="inlineStr"/>
      <c r="G429" s="70" t="inlineStr">
        <is>
          <t>Live source at 2020 (same basis as the columns left)</t>
        </is>
      </c>
      <c r="H429" s="71" t="n">
        <v>446437975</v>
      </c>
      <c r="I429" s="34" t="inlineStr">
        <is>
          <t>Eurostat demo_gind · average population (indexed onto report 2005=1.0 baseline) · EU27_2020 — the same query, read at 2020; dividing by it cancels the level difference between the source's scope and the report's, leaving only the year-on-year change.</t>
        </is>
      </c>
      <c r="J429" s="72" t="inlineStr">
        <is>
          <t>https://doi.org/10.2908/DEMO_GIND</t>
        </is>
      </c>
    </row>
    <row r="430" ht="26" customHeight="1">
      <c r="A430" s="67" t="inlineStr">
        <is>
          <t>B4 (population)</t>
        </is>
      </c>
      <c r="B430" s="22" t="inlineStr">
        <is>
          <t>EU population (index, 2005 = 1.0)</t>
        </is>
      </c>
      <c r="C430" s="65" t="n">
        <v>2025</v>
      </c>
      <c r="D430" s="66" t="n">
        <v>1.04</v>
      </c>
      <c r="E430" s="22" t="inlineStr">
        <is>
          <t>Derived from the live source</t>
        </is>
      </c>
      <c r="F430" s="26" t="inlineStr">
        <is>
          <t>CONFIRMED — Reproduces from the primary source</t>
        </is>
      </c>
      <c r="G430" s="73" t="inlineStr">
        <is>
          <t>demo_gind AVG</t>
        </is>
      </c>
      <c r="H430" s="74" t="n">
        <v>451637436</v>
      </c>
      <c r="I430" s="35" t="inlineStr">
        <is>
          <t>Eurostat demo_gind · geo=EU27_2020, indic_de=AVG · https://ec.europa.eu/eurostat/api/dissemination/statistics/1.0/data/demo_gind?format=JSON&amp;lang=EN&amp;geo=EU27_2020&amp;indic_de=AVG</t>
        </is>
      </c>
      <c r="J430" s="72" t="inlineStr">
        <is>
          <t>https://doi.org/10.2908/DEMO_GIND</t>
        </is>
      </c>
    </row>
    <row r="431" ht="26" customHeight="1">
      <c r="A431" s="67" t="inlineStr"/>
      <c r="B431" s="22" t="inlineStr"/>
      <c r="C431" s="65" t="n"/>
      <c r="D431" s="66" t="n"/>
      <c r="E431" s="22" t="inlineStr"/>
      <c r="F431" s="22" t="inlineStr"/>
      <c r="G431" s="73" t="inlineStr">
        <is>
          <t>Report baseline 2020 (index (2005 = 1.0))</t>
        </is>
      </c>
      <c r="H431" s="74" t="n">
        <v>1.028</v>
      </c>
      <c r="I431" s="35" t="inlineStr">
        <is>
          <t>ESABCC (2024) “Towards EU climate neutrality”, underlying-data workbook — the report's own 2020 figure, the anchor the later years are spliced onto.</t>
        </is>
      </c>
    </row>
    <row r="432" ht="26" customHeight="1">
      <c r="A432" s="67" t="inlineStr"/>
      <c r="B432" s="22" t="inlineStr"/>
      <c r="C432" s="65" t="n"/>
      <c r="D432" s="66" t="n"/>
      <c r="E432" s="22" t="inlineStr"/>
      <c r="F432" s="22" t="inlineStr"/>
      <c r="G432" s="73" t="inlineStr">
        <is>
          <t>Live source at 2020 (same basis as the columns left)</t>
        </is>
      </c>
      <c r="H432" s="74" t="n">
        <v>446437975</v>
      </c>
      <c r="I432" s="35" t="inlineStr">
        <is>
          <t>Eurostat demo_gind · average population (indexed onto report 2005=1.0 baseline) · EU27_2020 — the same query, read at 2020; dividing by it cancels the level difference between the source's scope and the report's, leaving only the year-on-year change.</t>
        </is>
      </c>
      <c r="J432" s="72" t="inlineStr">
        <is>
          <t>https://doi.org/10.2908/DEMO_GIND</t>
        </is>
      </c>
    </row>
    <row r="433" ht="22" customHeight="1">
      <c r="G433" s="3" t="inlineStr">
        <is>
          <t>Formula:  Value = IF(A &gt;= 2021, ROUND([Report baseline 2020 (index (2005 = 1.0))] * [demo_gind AVG] / [Live source at 2020 (same basis as the columns left)], 3), [Report figure (2024 report underlying data)])</t>
        </is>
      </c>
    </row>
    <row r="435">
      <c r="A435" s="51" t="inlineStr">
        <is>
          <t>Notes: “Derived from the live source” means the figure is recomputed from the publisher's own data, with the query in the last column. “Reconstructed” means the sheet's own conversion pins the input exactly from the published figure. “Taken as published” means the figure is the publication's own — no derivation is claimed. The verdict column is the 27 July 2026 fact-check: whether the stored figure still reproduces from that source today. Two series (L1, L7) reproduce their source but sit on a different level than the report years — see docs-internal/indicator-postreport-factcheck-2026-07-27.md.</t>
        </is>
      </c>
    </row>
  </sheetData>
  <autoFilter ref="A5:J433"/>
  <mergeCells count="55">
    <mergeCell ref="G172:I172"/>
    <mergeCell ref="G175:I175"/>
    <mergeCell ref="G128:I128"/>
    <mergeCell ref="G189:I189"/>
    <mergeCell ref="G386:I386"/>
    <mergeCell ref="G69:I69"/>
    <mergeCell ref="G18:I18"/>
    <mergeCell ref="G346:I346"/>
    <mergeCell ref="G413:I413"/>
    <mergeCell ref="A1:H1"/>
    <mergeCell ref="G314:I314"/>
    <mergeCell ref="G121:I121"/>
    <mergeCell ref="G139:I139"/>
    <mergeCell ref="G335:I335"/>
    <mergeCell ref="G95:I95"/>
    <mergeCell ref="G266:I266"/>
    <mergeCell ref="G397:I397"/>
    <mergeCell ref="G180:I180"/>
    <mergeCell ref="G225:I225"/>
    <mergeCell ref="G192:I192"/>
    <mergeCell ref="G55:I55"/>
    <mergeCell ref="G73:I73"/>
    <mergeCell ref="G163:I163"/>
    <mergeCell ref="G290:I290"/>
    <mergeCell ref="G433:I433"/>
    <mergeCell ref="G227:I227"/>
    <mergeCell ref="G25:I25"/>
    <mergeCell ref="G218:I218"/>
    <mergeCell ref="G230:I230"/>
    <mergeCell ref="G119:I119"/>
    <mergeCell ref="G90:I90"/>
    <mergeCell ref="A435:I435"/>
    <mergeCell ref="G60:I60"/>
    <mergeCell ref="A2:H2"/>
    <mergeCell ref="G31:I31"/>
    <mergeCell ref="G202:I202"/>
    <mergeCell ref="G102:I102"/>
    <mergeCell ref="G277:I277"/>
    <mergeCell ref="G242:I242"/>
    <mergeCell ref="G111:I111"/>
    <mergeCell ref="G105:I105"/>
    <mergeCell ref="G77:I77"/>
    <mergeCell ref="G11:I11"/>
    <mergeCell ref="G303:I303"/>
    <mergeCell ref="G375:I375"/>
    <mergeCell ref="G36:I36"/>
    <mergeCell ref="G169:I169"/>
    <mergeCell ref="G362:I362"/>
    <mergeCell ref="G132:I132"/>
    <mergeCell ref="G166:I166"/>
    <mergeCell ref="G237:I237"/>
    <mergeCell ref="G233:I233"/>
    <mergeCell ref="G417:I417"/>
    <mergeCell ref="G253:I253"/>
    <mergeCell ref="G116:I116"/>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2" r:id="rId7"/>
    <hyperlink xmlns:r="http://schemas.openxmlformats.org/officeDocument/2006/relationships" ref="J14" r:id="rId8"/>
    <hyperlink xmlns:r="http://schemas.openxmlformats.org/officeDocument/2006/relationships" ref="J16" r:id="rId9"/>
    <hyperlink xmlns:r="http://schemas.openxmlformats.org/officeDocument/2006/relationships" ref="J19" r:id="rId10"/>
    <hyperlink xmlns:r="http://schemas.openxmlformats.org/officeDocument/2006/relationships" ref="J21" r:id="rId11"/>
    <hyperlink xmlns:r="http://schemas.openxmlformats.org/officeDocument/2006/relationships" ref="J23" r:id="rId12"/>
    <hyperlink xmlns:r="http://schemas.openxmlformats.org/officeDocument/2006/relationships" ref="J26" r:id="rId13"/>
    <hyperlink xmlns:r="http://schemas.openxmlformats.org/officeDocument/2006/relationships" ref="J28" r:id="rId14"/>
    <hyperlink xmlns:r="http://schemas.openxmlformats.org/officeDocument/2006/relationships" ref="J30" r:id="rId15"/>
    <hyperlink xmlns:r="http://schemas.openxmlformats.org/officeDocument/2006/relationships" ref="J32" r:id="rId16"/>
    <hyperlink xmlns:r="http://schemas.openxmlformats.org/officeDocument/2006/relationships" ref="J33" r:id="rId17"/>
    <hyperlink xmlns:r="http://schemas.openxmlformats.org/officeDocument/2006/relationships" ref="J34" r:id="rId18"/>
    <hyperlink xmlns:r="http://schemas.openxmlformats.org/officeDocument/2006/relationships" ref="J35" r:id="rId19"/>
    <hyperlink xmlns:r="http://schemas.openxmlformats.org/officeDocument/2006/relationships" ref="J37" r:id="rId20"/>
    <hyperlink xmlns:r="http://schemas.openxmlformats.org/officeDocument/2006/relationships" ref="J38" r:id="rId21"/>
    <hyperlink xmlns:r="http://schemas.openxmlformats.org/officeDocument/2006/relationships" ref="J39" r:id="rId22"/>
    <hyperlink xmlns:r="http://schemas.openxmlformats.org/officeDocument/2006/relationships" ref="J40" r:id="rId23"/>
    <hyperlink xmlns:r="http://schemas.openxmlformats.org/officeDocument/2006/relationships" ref="J41" r:id="rId24"/>
    <hyperlink xmlns:r="http://schemas.openxmlformats.org/officeDocument/2006/relationships" ref="J42" r:id="rId25"/>
    <hyperlink xmlns:r="http://schemas.openxmlformats.org/officeDocument/2006/relationships" ref="J44" r:id="rId26"/>
    <hyperlink xmlns:r="http://schemas.openxmlformats.org/officeDocument/2006/relationships" ref="J46" r:id="rId27"/>
    <hyperlink xmlns:r="http://schemas.openxmlformats.org/officeDocument/2006/relationships" ref="J47" r:id="rId28"/>
    <hyperlink xmlns:r="http://schemas.openxmlformats.org/officeDocument/2006/relationships" ref="J48" r:id="rId29"/>
    <hyperlink xmlns:r="http://schemas.openxmlformats.org/officeDocument/2006/relationships" ref="J49" r:id="rId30"/>
    <hyperlink xmlns:r="http://schemas.openxmlformats.org/officeDocument/2006/relationships" ref="J50" r:id="rId31"/>
    <hyperlink xmlns:r="http://schemas.openxmlformats.org/officeDocument/2006/relationships" ref="J51" r:id="rId32"/>
    <hyperlink xmlns:r="http://schemas.openxmlformats.org/officeDocument/2006/relationships" ref="J53" r:id="rId33"/>
    <hyperlink xmlns:r="http://schemas.openxmlformats.org/officeDocument/2006/relationships" ref="J56" r:id="rId34"/>
    <hyperlink xmlns:r="http://schemas.openxmlformats.org/officeDocument/2006/relationships" ref="J58" r:id="rId35"/>
    <hyperlink xmlns:r="http://schemas.openxmlformats.org/officeDocument/2006/relationships" ref="J61" r:id="rId36"/>
    <hyperlink xmlns:r="http://schemas.openxmlformats.org/officeDocument/2006/relationships" ref="J62" r:id="rId37"/>
    <hyperlink xmlns:r="http://schemas.openxmlformats.org/officeDocument/2006/relationships" ref="J64" r:id="rId38"/>
    <hyperlink xmlns:r="http://schemas.openxmlformats.org/officeDocument/2006/relationships" ref="J65" r:id="rId39"/>
    <hyperlink xmlns:r="http://schemas.openxmlformats.org/officeDocument/2006/relationships" ref="J66" r:id="rId40"/>
    <hyperlink xmlns:r="http://schemas.openxmlformats.org/officeDocument/2006/relationships" ref="J68" r:id="rId41"/>
    <hyperlink xmlns:r="http://schemas.openxmlformats.org/officeDocument/2006/relationships" ref="J71" r:id="rId42"/>
    <hyperlink xmlns:r="http://schemas.openxmlformats.org/officeDocument/2006/relationships" ref="J72" r:id="rId43"/>
    <hyperlink xmlns:r="http://schemas.openxmlformats.org/officeDocument/2006/relationships" ref="J75" r:id="rId44"/>
    <hyperlink xmlns:r="http://schemas.openxmlformats.org/officeDocument/2006/relationships" ref="J76" r:id="rId45"/>
    <hyperlink xmlns:r="http://schemas.openxmlformats.org/officeDocument/2006/relationships" ref="J78" r:id="rId46"/>
    <hyperlink xmlns:r="http://schemas.openxmlformats.org/officeDocument/2006/relationships" ref="J79" r:id="rId47"/>
    <hyperlink xmlns:r="http://schemas.openxmlformats.org/officeDocument/2006/relationships" ref="J80" r:id="rId48"/>
    <hyperlink xmlns:r="http://schemas.openxmlformats.org/officeDocument/2006/relationships" ref="J81" r:id="rId49"/>
    <hyperlink xmlns:r="http://schemas.openxmlformats.org/officeDocument/2006/relationships" ref="J83" r:id="rId50"/>
    <hyperlink xmlns:r="http://schemas.openxmlformats.org/officeDocument/2006/relationships" ref="J84" r:id="rId51"/>
    <hyperlink xmlns:r="http://schemas.openxmlformats.org/officeDocument/2006/relationships" ref="J86" r:id="rId52"/>
    <hyperlink xmlns:r="http://schemas.openxmlformats.org/officeDocument/2006/relationships" ref="J87" r:id="rId53"/>
    <hyperlink xmlns:r="http://schemas.openxmlformats.org/officeDocument/2006/relationships" ref="J89" r:id="rId54"/>
    <hyperlink xmlns:r="http://schemas.openxmlformats.org/officeDocument/2006/relationships" ref="J91" r:id="rId55"/>
    <hyperlink xmlns:r="http://schemas.openxmlformats.org/officeDocument/2006/relationships" ref="J92" r:id="rId56"/>
    <hyperlink xmlns:r="http://schemas.openxmlformats.org/officeDocument/2006/relationships" ref="J93" r:id="rId57"/>
    <hyperlink xmlns:r="http://schemas.openxmlformats.org/officeDocument/2006/relationships" ref="J94" r:id="rId58"/>
    <hyperlink xmlns:r="http://schemas.openxmlformats.org/officeDocument/2006/relationships" ref="J96" r:id="rId59"/>
    <hyperlink xmlns:r="http://schemas.openxmlformats.org/officeDocument/2006/relationships" ref="J98" r:id="rId60"/>
    <hyperlink xmlns:r="http://schemas.openxmlformats.org/officeDocument/2006/relationships" ref="J100" r:id="rId61"/>
    <hyperlink xmlns:r="http://schemas.openxmlformats.org/officeDocument/2006/relationships" ref="J106" r:id="rId62"/>
    <hyperlink xmlns:r="http://schemas.openxmlformats.org/officeDocument/2006/relationships" ref="J108" r:id="rId63"/>
    <hyperlink xmlns:r="http://schemas.openxmlformats.org/officeDocument/2006/relationships" ref="J110" r:id="rId64"/>
    <hyperlink xmlns:r="http://schemas.openxmlformats.org/officeDocument/2006/relationships" ref="J112" r:id="rId65"/>
    <hyperlink xmlns:r="http://schemas.openxmlformats.org/officeDocument/2006/relationships" ref="J113" r:id="rId66"/>
    <hyperlink xmlns:r="http://schemas.openxmlformats.org/officeDocument/2006/relationships" ref="J114" r:id="rId67"/>
    <hyperlink xmlns:r="http://schemas.openxmlformats.org/officeDocument/2006/relationships" ref="J115" r:id="rId68"/>
    <hyperlink xmlns:r="http://schemas.openxmlformats.org/officeDocument/2006/relationships" ref="J129" r:id="rId69"/>
    <hyperlink xmlns:r="http://schemas.openxmlformats.org/officeDocument/2006/relationships" ref="J130" r:id="rId70"/>
    <hyperlink xmlns:r="http://schemas.openxmlformats.org/officeDocument/2006/relationships" ref="J131" r:id="rId71"/>
    <hyperlink xmlns:r="http://schemas.openxmlformats.org/officeDocument/2006/relationships" ref="J133" r:id="rId72"/>
    <hyperlink xmlns:r="http://schemas.openxmlformats.org/officeDocument/2006/relationships" ref="J135" r:id="rId73"/>
    <hyperlink xmlns:r="http://schemas.openxmlformats.org/officeDocument/2006/relationships" ref="J137" r:id="rId74"/>
    <hyperlink xmlns:r="http://schemas.openxmlformats.org/officeDocument/2006/relationships" ref="J140" r:id="rId75"/>
    <hyperlink xmlns:r="http://schemas.openxmlformats.org/officeDocument/2006/relationships" ref="J141" r:id="rId76"/>
    <hyperlink xmlns:r="http://schemas.openxmlformats.org/officeDocument/2006/relationships" ref="J142" r:id="rId77"/>
    <hyperlink xmlns:r="http://schemas.openxmlformats.org/officeDocument/2006/relationships" ref="J143" r:id="rId78"/>
    <hyperlink xmlns:r="http://schemas.openxmlformats.org/officeDocument/2006/relationships" ref="J144" r:id="rId79"/>
    <hyperlink xmlns:r="http://schemas.openxmlformats.org/officeDocument/2006/relationships" ref="J145" r:id="rId80"/>
    <hyperlink xmlns:r="http://schemas.openxmlformats.org/officeDocument/2006/relationships" ref="J147" r:id="rId81"/>
    <hyperlink xmlns:r="http://schemas.openxmlformats.org/officeDocument/2006/relationships" ref="J149" r:id="rId82"/>
    <hyperlink xmlns:r="http://schemas.openxmlformats.org/officeDocument/2006/relationships" ref="J150" r:id="rId83"/>
    <hyperlink xmlns:r="http://schemas.openxmlformats.org/officeDocument/2006/relationships" ref="J151" r:id="rId84"/>
    <hyperlink xmlns:r="http://schemas.openxmlformats.org/officeDocument/2006/relationships" ref="J152" r:id="rId85"/>
    <hyperlink xmlns:r="http://schemas.openxmlformats.org/officeDocument/2006/relationships" ref="J154" r:id="rId86"/>
    <hyperlink xmlns:r="http://schemas.openxmlformats.org/officeDocument/2006/relationships" ref="J156" r:id="rId87"/>
    <hyperlink xmlns:r="http://schemas.openxmlformats.org/officeDocument/2006/relationships" ref="J157" r:id="rId88"/>
    <hyperlink xmlns:r="http://schemas.openxmlformats.org/officeDocument/2006/relationships" ref="J158" r:id="rId89"/>
    <hyperlink xmlns:r="http://schemas.openxmlformats.org/officeDocument/2006/relationships" ref="J159" r:id="rId90"/>
    <hyperlink xmlns:r="http://schemas.openxmlformats.org/officeDocument/2006/relationships" ref="J161" r:id="rId91"/>
    <hyperlink xmlns:r="http://schemas.openxmlformats.org/officeDocument/2006/relationships" ref="J164" r:id="rId92"/>
    <hyperlink xmlns:r="http://schemas.openxmlformats.org/officeDocument/2006/relationships" ref="J165" r:id="rId93"/>
    <hyperlink xmlns:r="http://schemas.openxmlformats.org/officeDocument/2006/relationships" ref="J167" r:id="rId94"/>
    <hyperlink xmlns:r="http://schemas.openxmlformats.org/officeDocument/2006/relationships" ref="J168" r:id="rId95"/>
    <hyperlink xmlns:r="http://schemas.openxmlformats.org/officeDocument/2006/relationships" ref="J170" r:id="rId96"/>
    <hyperlink xmlns:r="http://schemas.openxmlformats.org/officeDocument/2006/relationships" ref="J173" r:id="rId97"/>
    <hyperlink xmlns:r="http://schemas.openxmlformats.org/officeDocument/2006/relationships" ref="J176" r:id="rId98"/>
    <hyperlink xmlns:r="http://schemas.openxmlformats.org/officeDocument/2006/relationships" ref="J178" r:id="rId99"/>
    <hyperlink xmlns:r="http://schemas.openxmlformats.org/officeDocument/2006/relationships" ref="J181" r:id="rId100"/>
    <hyperlink xmlns:r="http://schemas.openxmlformats.org/officeDocument/2006/relationships" ref="J182" r:id="rId101"/>
    <hyperlink xmlns:r="http://schemas.openxmlformats.org/officeDocument/2006/relationships" ref="J184" r:id="rId102"/>
    <hyperlink xmlns:r="http://schemas.openxmlformats.org/officeDocument/2006/relationships" ref="J185" r:id="rId103"/>
    <hyperlink xmlns:r="http://schemas.openxmlformats.org/officeDocument/2006/relationships" ref="J186" r:id="rId104"/>
    <hyperlink xmlns:r="http://schemas.openxmlformats.org/officeDocument/2006/relationships" ref="J188" r:id="rId105"/>
    <hyperlink xmlns:r="http://schemas.openxmlformats.org/officeDocument/2006/relationships" ref="J190" r:id="rId106"/>
    <hyperlink xmlns:r="http://schemas.openxmlformats.org/officeDocument/2006/relationships" ref="J191" r:id="rId107"/>
    <hyperlink xmlns:r="http://schemas.openxmlformats.org/officeDocument/2006/relationships" ref="J193" r:id="rId108"/>
    <hyperlink xmlns:r="http://schemas.openxmlformats.org/officeDocument/2006/relationships" ref="J195" r:id="rId109"/>
    <hyperlink xmlns:r="http://schemas.openxmlformats.org/officeDocument/2006/relationships" ref="J196" r:id="rId110"/>
    <hyperlink xmlns:r="http://schemas.openxmlformats.org/officeDocument/2006/relationships" ref="J198" r:id="rId111"/>
    <hyperlink xmlns:r="http://schemas.openxmlformats.org/officeDocument/2006/relationships" ref="J199" r:id="rId112"/>
    <hyperlink xmlns:r="http://schemas.openxmlformats.org/officeDocument/2006/relationships" ref="J201" r:id="rId113"/>
    <hyperlink xmlns:r="http://schemas.openxmlformats.org/officeDocument/2006/relationships" ref="J203" r:id="rId114"/>
    <hyperlink xmlns:r="http://schemas.openxmlformats.org/officeDocument/2006/relationships" ref="J204" r:id="rId115"/>
    <hyperlink xmlns:r="http://schemas.openxmlformats.org/officeDocument/2006/relationships" ref="J205" r:id="rId116"/>
    <hyperlink xmlns:r="http://schemas.openxmlformats.org/officeDocument/2006/relationships" ref="J206" r:id="rId117"/>
    <hyperlink xmlns:r="http://schemas.openxmlformats.org/officeDocument/2006/relationships" ref="J207" r:id="rId118"/>
    <hyperlink xmlns:r="http://schemas.openxmlformats.org/officeDocument/2006/relationships" ref="J208" r:id="rId119"/>
    <hyperlink xmlns:r="http://schemas.openxmlformats.org/officeDocument/2006/relationships" ref="J209" r:id="rId120"/>
    <hyperlink xmlns:r="http://schemas.openxmlformats.org/officeDocument/2006/relationships" ref="J210" r:id="rId121"/>
    <hyperlink xmlns:r="http://schemas.openxmlformats.org/officeDocument/2006/relationships" ref="J211" r:id="rId122"/>
    <hyperlink xmlns:r="http://schemas.openxmlformats.org/officeDocument/2006/relationships" ref="J212" r:id="rId123"/>
    <hyperlink xmlns:r="http://schemas.openxmlformats.org/officeDocument/2006/relationships" ref="J213" r:id="rId124"/>
    <hyperlink xmlns:r="http://schemas.openxmlformats.org/officeDocument/2006/relationships" ref="J214" r:id="rId125"/>
    <hyperlink xmlns:r="http://schemas.openxmlformats.org/officeDocument/2006/relationships" ref="J215" r:id="rId126"/>
    <hyperlink xmlns:r="http://schemas.openxmlformats.org/officeDocument/2006/relationships" ref="J216" r:id="rId127"/>
    <hyperlink xmlns:r="http://schemas.openxmlformats.org/officeDocument/2006/relationships" ref="J217" r:id="rId128"/>
    <hyperlink xmlns:r="http://schemas.openxmlformats.org/officeDocument/2006/relationships" ref="J219" r:id="rId129"/>
    <hyperlink xmlns:r="http://schemas.openxmlformats.org/officeDocument/2006/relationships" ref="J221" r:id="rId130"/>
    <hyperlink xmlns:r="http://schemas.openxmlformats.org/officeDocument/2006/relationships" ref="J223" r:id="rId131"/>
    <hyperlink xmlns:r="http://schemas.openxmlformats.org/officeDocument/2006/relationships" ref="J228" r:id="rId132"/>
    <hyperlink xmlns:r="http://schemas.openxmlformats.org/officeDocument/2006/relationships" ref="J229" r:id="rId133"/>
    <hyperlink xmlns:r="http://schemas.openxmlformats.org/officeDocument/2006/relationships" ref="J231" r:id="rId134"/>
    <hyperlink xmlns:r="http://schemas.openxmlformats.org/officeDocument/2006/relationships" ref="J232" r:id="rId135"/>
    <hyperlink xmlns:r="http://schemas.openxmlformats.org/officeDocument/2006/relationships" ref="J238" r:id="rId136"/>
    <hyperlink xmlns:r="http://schemas.openxmlformats.org/officeDocument/2006/relationships" ref="J239" r:id="rId137"/>
    <hyperlink xmlns:r="http://schemas.openxmlformats.org/officeDocument/2006/relationships" ref="J240" r:id="rId138"/>
    <hyperlink xmlns:r="http://schemas.openxmlformats.org/officeDocument/2006/relationships" ref="J241" r:id="rId139"/>
    <hyperlink xmlns:r="http://schemas.openxmlformats.org/officeDocument/2006/relationships" ref="J243" r:id="rId140"/>
    <hyperlink xmlns:r="http://schemas.openxmlformats.org/officeDocument/2006/relationships" ref="J245" r:id="rId141"/>
    <hyperlink xmlns:r="http://schemas.openxmlformats.org/officeDocument/2006/relationships" ref="J246" r:id="rId142"/>
    <hyperlink xmlns:r="http://schemas.openxmlformats.org/officeDocument/2006/relationships" ref="J248" r:id="rId143"/>
    <hyperlink xmlns:r="http://schemas.openxmlformats.org/officeDocument/2006/relationships" ref="J249" r:id="rId144"/>
    <hyperlink xmlns:r="http://schemas.openxmlformats.org/officeDocument/2006/relationships" ref="J251" r:id="rId145"/>
    <hyperlink xmlns:r="http://schemas.openxmlformats.org/officeDocument/2006/relationships" ref="J252" r:id="rId146"/>
    <hyperlink xmlns:r="http://schemas.openxmlformats.org/officeDocument/2006/relationships" ref="J254" r:id="rId147"/>
    <hyperlink xmlns:r="http://schemas.openxmlformats.org/officeDocument/2006/relationships" ref="J256" r:id="rId148"/>
    <hyperlink xmlns:r="http://schemas.openxmlformats.org/officeDocument/2006/relationships" ref="J257" r:id="rId149"/>
    <hyperlink xmlns:r="http://schemas.openxmlformats.org/officeDocument/2006/relationships" ref="J259" r:id="rId150"/>
    <hyperlink xmlns:r="http://schemas.openxmlformats.org/officeDocument/2006/relationships" ref="J260" r:id="rId151"/>
    <hyperlink xmlns:r="http://schemas.openxmlformats.org/officeDocument/2006/relationships" ref="J262" r:id="rId152"/>
    <hyperlink xmlns:r="http://schemas.openxmlformats.org/officeDocument/2006/relationships" ref="J263" r:id="rId153"/>
    <hyperlink xmlns:r="http://schemas.openxmlformats.org/officeDocument/2006/relationships" ref="J265" r:id="rId154"/>
    <hyperlink xmlns:r="http://schemas.openxmlformats.org/officeDocument/2006/relationships" ref="J267" r:id="rId155"/>
    <hyperlink xmlns:r="http://schemas.openxmlformats.org/officeDocument/2006/relationships" ref="J269" r:id="rId156"/>
    <hyperlink xmlns:r="http://schemas.openxmlformats.org/officeDocument/2006/relationships" ref="J271" r:id="rId157"/>
    <hyperlink xmlns:r="http://schemas.openxmlformats.org/officeDocument/2006/relationships" ref="J273" r:id="rId158"/>
    <hyperlink xmlns:r="http://schemas.openxmlformats.org/officeDocument/2006/relationships" ref="J275" r:id="rId159"/>
    <hyperlink xmlns:r="http://schemas.openxmlformats.org/officeDocument/2006/relationships" ref="J278" r:id="rId160"/>
    <hyperlink xmlns:r="http://schemas.openxmlformats.org/officeDocument/2006/relationships" ref="J280" r:id="rId161"/>
    <hyperlink xmlns:r="http://schemas.openxmlformats.org/officeDocument/2006/relationships" ref="J281" r:id="rId162"/>
    <hyperlink xmlns:r="http://schemas.openxmlformats.org/officeDocument/2006/relationships" ref="J283" r:id="rId163"/>
    <hyperlink xmlns:r="http://schemas.openxmlformats.org/officeDocument/2006/relationships" ref="J284" r:id="rId164"/>
    <hyperlink xmlns:r="http://schemas.openxmlformats.org/officeDocument/2006/relationships" ref="J286" r:id="rId165"/>
    <hyperlink xmlns:r="http://schemas.openxmlformats.org/officeDocument/2006/relationships" ref="J287" r:id="rId166"/>
    <hyperlink xmlns:r="http://schemas.openxmlformats.org/officeDocument/2006/relationships" ref="J289" r:id="rId167"/>
    <hyperlink xmlns:r="http://schemas.openxmlformats.org/officeDocument/2006/relationships" ref="J291" r:id="rId168"/>
    <hyperlink xmlns:r="http://schemas.openxmlformats.org/officeDocument/2006/relationships" ref="J292" r:id="rId169"/>
    <hyperlink xmlns:r="http://schemas.openxmlformats.org/officeDocument/2006/relationships" ref="J294" r:id="rId170"/>
    <hyperlink xmlns:r="http://schemas.openxmlformats.org/officeDocument/2006/relationships" ref="J295" r:id="rId171"/>
    <hyperlink xmlns:r="http://schemas.openxmlformats.org/officeDocument/2006/relationships" ref="J296" r:id="rId172"/>
    <hyperlink xmlns:r="http://schemas.openxmlformats.org/officeDocument/2006/relationships" ref="J298" r:id="rId173"/>
    <hyperlink xmlns:r="http://schemas.openxmlformats.org/officeDocument/2006/relationships" ref="J299" r:id="rId174"/>
    <hyperlink xmlns:r="http://schemas.openxmlformats.org/officeDocument/2006/relationships" ref="J300" r:id="rId175"/>
    <hyperlink xmlns:r="http://schemas.openxmlformats.org/officeDocument/2006/relationships" ref="J302" r:id="rId176"/>
    <hyperlink xmlns:r="http://schemas.openxmlformats.org/officeDocument/2006/relationships" ref="J304" r:id="rId177"/>
    <hyperlink xmlns:r="http://schemas.openxmlformats.org/officeDocument/2006/relationships" ref="J306" r:id="rId178"/>
    <hyperlink xmlns:r="http://schemas.openxmlformats.org/officeDocument/2006/relationships" ref="J308" r:id="rId179"/>
    <hyperlink xmlns:r="http://schemas.openxmlformats.org/officeDocument/2006/relationships" ref="J310" r:id="rId180"/>
    <hyperlink xmlns:r="http://schemas.openxmlformats.org/officeDocument/2006/relationships" ref="J312" r:id="rId181"/>
    <hyperlink xmlns:r="http://schemas.openxmlformats.org/officeDocument/2006/relationships" ref="J315" r:id="rId182"/>
    <hyperlink xmlns:r="http://schemas.openxmlformats.org/officeDocument/2006/relationships" ref="J316" r:id="rId183"/>
    <hyperlink xmlns:r="http://schemas.openxmlformats.org/officeDocument/2006/relationships" ref="J317" r:id="rId184"/>
    <hyperlink xmlns:r="http://schemas.openxmlformats.org/officeDocument/2006/relationships" ref="J319" r:id="rId185"/>
    <hyperlink xmlns:r="http://schemas.openxmlformats.org/officeDocument/2006/relationships" ref="J320" r:id="rId186"/>
    <hyperlink xmlns:r="http://schemas.openxmlformats.org/officeDocument/2006/relationships" ref="J321" r:id="rId187"/>
    <hyperlink xmlns:r="http://schemas.openxmlformats.org/officeDocument/2006/relationships" ref="J322" r:id="rId188"/>
    <hyperlink xmlns:r="http://schemas.openxmlformats.org/officeDocument/2006/relationships" ref="J324" r:id="rId189"/>
    <hyperlink xmlns:r="http://schemas.openxmlformats.org/officeDocument/2006/relationships" ref="J325" r:id="rId190"/>
    <hyperlink xmlns:r="http://schemas.openxmlformats.org/officeDocument/2006/relationships" ref="J326" r:id="rId191"/>
    <hyperlink xmlns:r="http://schemas.openxmlformats.org/officeDocument/2006/relationships" ref="J327" r:id="rId192"/>
    <hyperlink xmlns:r="http://schemas.openxmlformats.org/officeDocument/2006/relationships" ref="J329" r:id="rId193"/>
    <hyperlink xmlns:r="http://schemas.openxmlformats.org/officeDocument/2006/relationships" ref="J330" r:id="rId194"/>
    <hyperlink xmlns:r="http://schemas.openxmlformats.org/officeDocument/2006/relationships" ref="J331" r:id="rId195"/>
    <hyperlink xmlns:r="http://schemas.openxmlformats.org/officeDocument/2006/relationships" ref="J332" r:id="rId196"/>
    <hyperlink xmlns:r="http://schemas.openxmlformats.org/officeDocument/2006/relationships" ref="J334" r:id="rId197"/>
    <hyperlink xmlns:r="http://schemas.openxmlformats.org/officeDocument/2006/relationships" ref="J336" r:id="rId198"/>
    <hyperlink xmlns:r="http://schemas.openxmlformats.org/officeDocument/2006/relationships" ref="J338" r:id="rId199"/>
    <hyperlink xmlns:r="http://schemas.openxmlformats.org/officeDocument/2006/relationships" ref="J340" r:id="rId200"/>
    <hyperlink xmlns:r="http://schemas.openxmlformats.org/officeDocument/2006/relationships" ref="J342" r:id="rId201"/>
    <hyperlink xmlns:r="http://schemas.openxmlformats.org/officeDocument/2006/relationships" ref="J344" r:id="rId202"/>
    <hyperlink xmlns:r="http://schemas.openxmlformats.org/officeDocument/2006/relationships" ref="J347" r:id="rId203"/>
    <hyperlink xmlns:r="http://schemas.openxmlformats.org/officeDocument/2006/relationships" ref="J349" r:id="rId204"/>
    <hyperlink xmlns:r="http://schemas.openxmlformats.org/officeDocument/2006/relationships" ref="J350" r:id="rId205"/>
    <hyperlink xmlns:r="http://schemas.openxmlformats.org/officeDocument/2006/relationships" ref="J352" r:id="rId206"/>
    <hyperlink xmlns:r="http://schemas.openxmlformats.org/officeDocument/2006/relationships" ref="J353" r:id="rId207"/>
    <hyperlink xmlns:r="http://schemas.openxmlformats.org/officeDocument/2006/relationships" ref="J355" r:id="rId208"/>
    <hyperlink xmlns:r="http://schemas.openxmlformats.org/officeDocument/2006/relationships" ref="J356" r:id="rId209"/>
    <hyperlink xmlns:r="http://schemas.openxmlformats.org/officeDocument/2006/relationships" ref="J358" r:id="rId210"/>
    <hyperlink xmlns:r="http://schemas.openxmlformats.org/officeDocument/2006/relationships" ref="J359" r:id="rId211"/>
    <hyperlink xmlns:r="http://schemas.openxmlformats.org/officeDocument/2006/relationships" ref="J361" r:id="rId212"/>
    <hyperlink xmlns:r="http://schemas.openxmlformats.org/officeDocument/2006/relationships" ref="J363" r:id="rId213"/>
    <hyperlink xmlns:r="http://schemas.openxmlformats.org/officeDocument/2006/relationships" ref="J365" r:id="rId214"/>
    <hyperlink xmlns:r="http://schemas.openxmlformats.org/officeDocument/2006/relationships" ref="J366" r:id="rId215"/>
    <hyperlink xmlns:r="http://schemas.openxmlformats.org/officeDocument/2006/relationships" ref="J368" r:id="rId216"/>
    <hyperlink xmlns:r="http://schemas.openxmlformats.org/officeDocument/2006/relationships" ref="J369" r:id="rId217"/>
    <hyperlink xmlns:r="http://schemas.openxmlformats.org/officeDocument/2006/relationships" ref="J371" r:id="rId218"/>
    <hyperlink xmlns:r="http://schemas.openxmlformats.org/officeDocument/2006/relationships" ref="J372" r:id="rId219"/>
    <hyperlink xmlns:r="http://schemas.openxmlformats.org/officeDocument/2006/relationships" ref="J374" r:id="rId220"/>
    <hyperlink xmlns:r="http://schemas.openxmlformats.org/officeDocument/2006/relationships" ref="J376" r:id="rId221"/>
    <hyperlink xmlns:r="http://schemas.openxmlformats.org/officeDocument/2006/relationships" ref="J378" r:id="rId222"/>
    <hyperlink xmlns:r="http://schemas.openxmlformats.org/officeDocument/2006/relationships" ref="J380" r:id="rId223"/>
    <hyperlink xmlns:r="http://schemas.openxmlformats.org/officeDocument/2006/relationships" ref="J382" r:id="rId224"/>
    <hyperlink xmlns:r="http://schemas.openxmlformats.org/officeDocument/2006/relationships" ref="J384" r:id="rId225"/>
    <hyperlink xmlns:r="http://schemas.openxmlformats.org/officeDocument/2006/relationships" ref="J387" r:id="rId226"/>
    <hyperlink xmlns:r="http://schemas.openxmlformats.org/officeDocument/2006/relationships" ref="J389" r:id="rId227"/>
    <hyperlink xmlns:r="http://schemas.openxmlformats.org/officeDocument/2006/relationships" ref="J391" r:id="rId228"/>
    <hyperlink xmlns:r="http://schemas.openxmlformats.org/officeDocument/2006/relationships" ref="J393" r:id="rId229"/>
    <hyperlink xmlns:r="http://schemas.openxmlformats.org/officeDocument/2006/relationships" ref="J395" r:id="rId230"/>
    <hyperlink xmlns:r="http://schemas.openxmlformats.org/officeDocument/2006/relationships" ref="J398" r:id="rId231"/>
    <hyperlink xmlns:r="http://schemas.openxmlformats.org/officeDocument/2006/relationships" ref="J400" r:id="rId232"/>
    <hyperlink xmlns:r="http://schemas.openxmlformats.org/officeDocument/2006/relationships" ref="J401" r:id="rId233"/>
    <hyperlink xmlns:r="http://schemas.openxmlformats.org/officeDocument/2006/relationships" ref="J403" r:id="rId234"/>
    <hyperlink xmlns:r="http://schemas.openxmlformats.org/officeDocument/2006/relationships" ref="J404" r:id="rId235"/>
    <hyperlink xmlns:r="http://schemas.openxmlformats.org/officeDocument/2006/relationships" ref="J406" r:id="rId236"/>
    <hyperlink xmlns:r="http://schemas.openxmlformats.org/officeDocument/2006/relationships" ref="J407" r:id="rId237"/>
    <hyperlink xmlns:r="http://schemas.openxmlformats.org/officeDocument/2006/relationships" ref="J409" r:id="rId238"/>
    <hyperlink xmlns:r="http://schemas.openxmlformats.org/officeDocument/2006/relationships" ref="J410" r:id="rId239"/>
    <hyperlink xmlns:r="http://schemas.openxmlformats.org/officeDocument/2006/relationships" ref="J412" r:id="rId240"/>
    <hyperlink xmlns:r="http://schemas.openxmlformats.org/officeDocument/2006/relationships" ref="J414" r:id="rId241"/>
    <hyperlink xmlns:r="http://schemas.openxmlformats.org/officeDocument/2006/relationships" ref="J415" r:id="rId242"/>
    <hyperlink xmlns:r="http://schemas.openxmlformats.org/officeDocument/2006/relationships" ref="J416" r:id="rId243"/>
    <hyperlink xmlns:r="http://schemas.openxmlformats.org/officeDocument/2006/relationships" ref="J418" r:id="rId244"/>
    <hyperlink xmlns:r="http://schemas.openxmlformats.org/officeDocument/2006/relationships" ref="J420" r:id="rId245"/>
    <hyperlink xmlns:r="http://schemas.openxmlformats.org/officeDocument/2006/relationships" ref="J421" r:id="rId246"/>
    <hyperlink xmlns:r="http://schemas.openxmlformats.org/officeDocument/2006/relationships" ref="J423" r:id="rId247"/>
    <hyperlink xmlns:r="http://schemas.openxmlformats.org/officeDocument/2006/relationships" ref="J424" r:id="rId248"/>
    <hyperlink xmlns:r="http://schemas.openxmlformats.org/officeDocument/2006/relationships" ref="J426" r:id="rId249"/>
    <hyperlink xmlns:r="http://schemas.openxmlformats.org/officeDocument/2006/relationships" ref="J427" r:id="rId250"/>
    <hyperlink xmlns:r="http://schemas.openxmlformats.org/officeDocument/2006/relationships" ref="J429" r:id="rId251"/>
    <hyperlink xmlns:r="http://schemas.openxmlformats.org/officeDocument/2006/relationships" ref="J430" r:id="rId252"/>
    <hyperlink xmlns:r="http://schemas.openxmlformats.org/officeDocument/2006/relationships" ref="J432" r:id="rId253"/>
  </hyperlinks>
  <pageMargins left="0.75" right="0.75" top="1" bottom="1" header="0.5" footer="0.5"/>
</worksheet>
</file>

<file path=xl/worksheets/sheet14.xml><?xml version="1.0" encoding="utf-8"?>
<worksheet xmlns="http://schemas.openxmlformats.org/spreadsheetml/2006/main">
  <sheetPr>
    <tabColor rgb="004D7E83"/>
    <outlinePr summaryBelow="1" summaryRight="1"/>
    <pageSetUpPr/>
  </sheetPr>
  <dimension ref="A1:K75"/>
  <sheetViews>
    <sheetView showGridLines="0" zoomScale="100" workbookViewId="0">
      <selection activeCell="A1" sqref="A1"/>
    </sheetView>
  </sheetViews>
  <sheetFormatPr baseColWidth="8" defaultRowHeight="15"/>
  <cols>
    <col width="10" customWidth="1" min="1" max="1"/>
    <col width="44" customWidth="1" min="2" max="2"/>
    <col width="17" customWidth="1" min="3" max="3"/>
    <col width="13" customWidth="1" min="4" max="4"/>
    <col width="11" customWidth="1" min="5" max="5"/>
    <col width="13" customWidth="1" min="6" max="6"/>
    <col width="11" customWidth="1" min="7" max="7"/>
    <col width="13" customWidth="1" min="8" max="8"/>
    <col width="12" customWidth="1" min="9" max="9"/>
    <col width="13" customWidth="1" min="10" max="10"/>
    <col width="26" customWidth="1" min="11" max="11"/>
  </cols>
  <sheetData>
    <row r="1" ht="26" customHeight="1">
      <c r="A1" s="1" t="inlineStr">
        <is>
          <t>Everything that has moved since the 2024 report, in one figure</t>
        </is>
      </c>
    </row>
    <row r="2" ht="30" customHeight="1">
      <c r="A2" s="2" t="inlineStr">
        <is>
          <t>55 of the 97 progress indicators have gained data since the report. They are measured in Mt, TWh, %, vehicles and head of cattle, so they are shown as the change against each indicator's own report baseline — the figure answers “how far, and which way”, not “how big”. The numbers behind every bar are in the table below it.</t>
        </is>
      </c>
    </row>
    <row r="3">
      <c r="A3" s="3" t="inlineStr">
        <is>
          <t>Summer Prep · Policy Gap 2.0 Report — prepared 27 July 2026. No better/worse reading is applied: whether a move is progress depends on the indicator.</t>
        </is>
      </c>
    </row>
    <row r="5" ht="32" customHeight="1">
      <c r="A5" s="5" t="inlineStr">
        <is>
          <t>Code</t>
        </is>
      </c>
      <c r="B5" s="5" t="inlineStr">
        <is>
          <t>Indicator</t>
        </is>
      </c>
      <c r="C5" s="5" t="inlineStr">
        <is>
          <t>Chapter</t>
        </is>
      </c>
      <c r="D5" s="5" t="inlineStr">
        <is>
          <t>Unit</t>
        </is>
      </c>
      <c r="E5" s="5" t="inlineStr">
        <is>
          <t>Baseline yr</t>
        </is>
      </c>
      <c r="F5" s="5" t="inlineStr">
        <is>
          <t>Baseline value</t>
        </is>
      </c>
      <c r="G5" s="5" t="inlineStr">
        <is>
          <t>Latest yr</t>
        </is>
      </c>
      <c r="H5" s="5" t="inlineStr">
        <is>
          <t>Latest value</t>
        </is>
      </c>
      <c r="I5" s="5" t="inlineStr">
        <is>
          <t>Change</t>
        </is>
      </c>
      <c r="J5" s="5" t="inlineStr">
        <is>
          <t>Change %</t>
        </is>
      </c>
      <c r="K5" s="5" t="inlineStr">
        <is>
          <t>Source check (27 Jul 2026)</t>
        </is>
      </c>
    </row>
    <row r="6" ht="15" customHeight="1">
      <c r="A6" s="47" t="inlineStr">
        <is>
          <t>F5</t>
        </is>
      </c>
      <c r="B6" s="15" t="inlineStr">
        <is>
          <t>Cleantech venture &amp; growth investment in the EU</t>
        </is>
      </c>
      <c r="C6" s="15" t="inlineStr">
        <is>
          <t>Finance &amp; innovation</t>
        </is>
      </c>
      <c r="D6" s="15" t="inlineStr">
        <is>
          <t>% of GDP</t>
        </is>
      </c>
      <c r="E6" s="16" t="n">
        <v>2022</v>
      </c>
      <c r="F6" s="17" t="n">
        <v>0.06</v>
      </c>
      <c r="G6" s="16" t="n">
        <v>2025</v>
      </c>
      <c r="H6" s="17" t="n">
        <v>0.04</v>
      </c>
      <c r="I6" s="17" t="n">
        <v>-0.02</v>
      </c>
      <c r="J6" s="18" t="n">
        <v>-0.3333333333333333</v>
      </c>
      <c r="K6" s="34" t="inlineStr">
        <is>
          <t>Published figure, not re-derived</t>
        </is>
      </c>
    </row>
    <row r="7" ht="15" customHeight="1">
      <c r="A7" s="37" t="inlineStr">
        <is>
          <t>I2 (chemicals, production)</t>
        </is>
      </c>
      <c r="B7" s="22" t="inlineStr">
        <is>
          <t>Chemicals production (EU)</t>
        </is>
      </c>
      <c r="C7" s="22" t="inlineStr">
        <is>
          <t>Industry</t>
        </is>
      </c>
      <c r="D7" s="22" t="inlineStr">
        <is>
          <t>Mt</t>
        </is>
      </c>
      <c r="E7" s="23" t="n">
        <v>2021</v>
      </c>
      <c r="F7" s="24" t="n">
        <v>26.84</v>
      </c>
      <c r="G7" s="23" t="n">
        <v>2025</v>
      </c>
      <c r="H7" s="24" t="n">
        <v>18.55</v>
      </c>
      <c r="I7" s="24" t="n">
        <v>-8.289999999999999</v>
      </c>
      <c r="J7" s="25" t="n">
        <v>-0.3088673621460507</v>
      </c>
      <c r="K7" s="35" t="inlineStr">
        <is>
          <t>Reproduces from source</t>
        </is>
      </c>
    </row>
    <row r="8" ht="15" customHeight="1">
      <c r="A8" s="30" t="inlineStr">
        <is>
          <t>E2 (fossil)</t>
        </is>
      </c>
      <c r="B8" s="15" t="inlineStr">
        <is>
          <t>Fossil share of EU electricity mix</t>
        </is>
      </c>
      <c r="C8" s="15" t="inlineStr">
        <is>
          <t>Energy supply</t>
        </is>
      </c>
      <c r="D8" s="15" t="inlineStr">
        <is>
          <t>%</t>
        </is>
      </c>
      <c r="E8" s="16" t="n">
        <v>2022</v>
      </c>
      <c r="F8" s="17" t="n">
        <v>38.76</v>
      </c>
      <c r="G8" s="16" t="n">
        <v>2024</v>
      </c>
      <c r="H8" s="17" t="n">
        <v>28.11</v>
      </c>
      <c r="I8" s="17" t="n">
        <v>-10.65</v>
      </c>
      <c r="J8" s="18" t="n">
        <v>-0.2747678018575851</v>
      </c>
      <c r="K8" s="34" t="inlineStr">
        <is>
          <t>Reproduces from source</t>
        </is>
      </c>
    </row>
    <row r="9" ht="15" customHeight="1">
      <c r="A9" s="31" t="inlineStr">
        <is>
          <t>E1</t>
        </is>
      </c>
      <c r="B9" s="22" t="inlineStr">
        <is>
          <t>Energy supply GHG emissions</t>
        </is>
      </c>
      <c r="C9" s="22" t="inlineStr">
        <is>
          <t>Energy supply</t>
        </is>
      </c>
      <c r="D9" s="22" t="inlineStr">
        <is>
          <t>Mt CO₂eq</t>
        </is>
      </c>
      <c r="E9" s="23" t="n">
        <v>2022</v>
      </c>
      <c r="F9" s="24" t="n">
        <v>924</v>
      </c>
      <c r="G9" s="23" t="n">
        <v>2024</v>
      </c>
      <c r="H9" s="24" t="n">
        <v>689.1</v>
      </c>
      <c r="I9" s="24" t="n">
        <v>-234.9</v>
      </c>
      <c r="J9" s="25" t="n">
        <v>-0.2542207792207792</v>
      </c>
      <c r="K9" s="35" t="inlineStr">
        <is>
          <t>Reproduces from source</t>
        </is>
      </c>
    </row>
    <row r="10" ht="15" customHeight="1">
      <c r="A10" s="30" t="inlineStr">
        <is>
          <t>E3</t>
        </is>
      </c>
      <c r="B10" s="15" t="inlineStr">
        <is>
          <t>Average GHG intensity of EU electricity</t>
        </is>
      </c>
      <c r="C10" s="15" t="inlineStr">
        <is>
          <t>Energy supply</t>
        </is>
      </c>
      <c r="D10" s="15" t="inlineStr">
        <is>
          <t>g CO₂eq/kWh</t>
        </is>
      </c>
      <c r="E10" s="16" t="n">
        <v>2022</v>
      </c>
      <c r="F10" s="17" t="n">
        <v>251</v>
      </c>
      <c r="G10" s="16" t="n">
        <v>2024</v>
      </c>
      <c r="H10" s="17" t="n">
        <v>187.4</v>
      </c>
      <c r="I10" s="17" t="n">
        <v>-63.59999999999999</v>
      </c>
      <c r="J10" s="18" t="n">
        <v>-0.2533864541832669</v>
      </c>
      <c r="K10" s="34" t="inlineStr">
        <is>
          <t>Reproduces from source</t>
        </is>
      </c>
    </row>
    <row r="11" ht="15" customHeight="1">
      <c r="A11" s="31" t="inlineStr">
        <is>
          <t>E6</t>
        </is>
      </c>
      <c r="B11" s="22" t="inlineStr">
        <is>
          <t>Energy-related methane emissions (EU-27)</t>
        </is>
      </c>
      <c r="C11" s="22" t="inlineStr">
        <is>
          <t>Energy supply</t>
        </is>
      </c>
      <c r="D11" s="22" t="inlineStr">
        <is>
          <t>Mt CO₂eq</t>
        </is>
      </c>
      <c r="E11" s="23" t="n">
        <v>2021</v>
      </c>
      <c r="F11" s="24" t="n">
        <v>69.91</v>
      </c>
      <c r="G11" s="23" t="n">
        <v>2024</v>
      </c>
      <c r="H11" s="24" t="n">
        <v>57.77</v>
      </c>
      <c r="I11" s="24" t="n">
        <v>-12.13999999999999</v>
      </c>
      <c r="J11" s="25" t="n">
        <v>-0.1736518380775282</v>
      </c>
      <c r="K11" s="35" t="inlineStr">
        <is>
          <t>Reproduces from source</t>
        </is>
      </c>
    </row>
    <row r="12" ht="15" customHeight="1">
      <c r="A12" s="41" t="inlineStr">
        <is>
          <t>B5b</t>
        </is>
      </c>
      <c r="B12" s="15" t="inlineStr">
        <is>
          <t>Fossil share of tertiary energy mix</t>
        </is>
      </c>
      <c r="C12" s="15" t="inlineStr">
        <is>
          <t>Buildings</t>
        </is>
      </c>
      <c r="D12" s="15" t="inlineStr">
        <is>
          <t>%</t>
        </is>
      </c>
      <c r="E12" s="16" t="n">
        <v>2021</v>
      </c>
      <c r="F12" s="17" t="n">
        <v>38.74</v>
      </c>
      <c r="G12" s="16" t="n">
        <v>2023</v>
      </c>
      <c r="H12" s="17" t="n">
        <v>32.2</v>
      </c>
      <c r="I12" s="17" t="n">
        <v>-6.539999999999999</v>
      </c>
      <c r="J12" s="18" t="n">
        <v>-0.1688177594217862</v>
      </c>
      <c r="K12" s="34" t="inlineStr">
        <is>
          <t>Published figure, not re-derived</t>
        </is>
      </c>
    </row>
    <row r="13" ht="15" customHeight="1">
      <c r="A13" s="37" t="inlineStr">
        <is>
          <t>I2 (steel, production)</t>
        </is>
      </c>
      <c r="B13" s="22" t="inlineStr">
        <is>
          <t>Steel production (EU)</t>
        </is>
      </c>
      <c r="C13" s="22" t="inlineStr">
        <is>
          <t>Industry</t>
        </is>
      </c>
      <c r="D13" s="22" t="inlineStr">
        <is>
          <t>Mt</t>
        </is>
      </c>
      <c r="E13" s="23" t="n">
        <v>2021</v>
      </c>
      <c r="F13" s="24" t="n">
        <v>152.8</v>
      </c>
      <c r="G13" s="23" t="n">
        <v>2025</v>
      </c>
      <c r="H13" s="24" t="n">
        <v>128.8</v>
      </c>
      <c r="I13" s="24" t="n">
        <v>-24</v>
      </c>
      <c r="J13" s="25" t="n">
        <v>-0.1570680628272251</v>
      </c>
      <c r="K13" s="35" t="inlineStr">
        <is>
          <t>2–5% off source</t>
        </is>
      </c>
    </row>
    <row r="14" ht="15" customHeight="1">
      <c r="A14" s="36" t="inlineStr">
        <is>
          <t>I2 (cement, production)</t>
        </is>
      </c>
      <c r="B14" s="15" t="inlineStr">
        <is>
          <t>Cement production (EU)</t>
        </is>
      </c>
      <c r="C14" s="15" t="inlineStr">
        <is>
          <t>Industry</t>
        </is>
      </c>
      <c r="D14" s="15" t="inlineStr">
        <is>
          <t>Mt</t>
        </is>
      </c>
      <c r="E14" s="16" t="n">
        <v>2021</v>
      </c>
      <c r="F14" s="17" t="n">
        <v>182.5</v>
      </c>
      <c r="G14" s="16" t="n">
        <v>2025</v>
      </c>
      <c r="H14" s="17" t="n">
        <v>157.7</v>
      </c>
      <c r="I14" s="17" t="n">
        <v>-24.80000000000001</v>
      </c>
      <c r="J14" s="18" t="n">
        <v>-0.1358904109589042</v>
      </c>
      <c r="K14" s="34" t="inlineStr">
        <is>
          <t>Reproduces from source</t>
        </is>
      </c>
    </row>
    <row r="15" ht="15" customHeight="1">
      <c r="A15" s="37" t="inlineStr">
        <is>
          <t>I1</t>
        </is>
      </c>
      <c r="B15" s="22" t="inlineStr">
        <is>
          <t>Industrial GHG emissions</t>
        </is>
      </c>
      <c r="C15" s="22" t="inlineStr">
        <is>
          <t>Industry</t>
        </is>
      </c>
      <c r="D15" s="22" t="inlineStr">
        <is>
          <t>Mt CO₂eq</t>
        </is>
      </c>
      <c r="E15" s="23" t="n">
        <v>2022</v>
      </c>
      <c r="F15" s="24" t="n">
        <v>691.3</v>
      </c>
      <c r="G15" s="23" t="n">
        <v>2024</v>
      </c>
      <c r="H15" s="24" t="n">
        <v>611.4</v>
      </c>
      <c r="I15" s="24" t="n">
        <v>-79.89999999999998</v>
      </c>
      <c r="J15" s="25" t="n">
        <v>-0.1155793432663098</v>
      </c>
      <c r="K15" s="35" t="inlineStr">
        <is>
          <t>Reproduces from source</t>
        </is>
      </c>
    </row>
    <row r="16" ht="15" customHeight="1">
      <c r="A16" s="41" t="inlineStr">
        <is>
          <t>B2</t>
        </is>
      </c>
      <c r="B16" s="15" t="inlineStr">
        <is>
          <t>Final energy consumption in buildings</t>
        </is>
      </c>
      <c r="C16" s="15" t="inlineStr">
        <is>
          <t>Buildings</t>
        </is>
      </c>
      <c r="D16" s="15" t="inlineStr">
        <is>
          <t>TWh</t>
        </is>
      </c>
      <c r="E16" s="16" t="n">
        <v>2021</v>
      </c>
      <c r="F16" s="17" t="n">
        <v>4878.7</v>
      </c>
      <c r="G16" s="16" t="n">
        <v>2023</v>
      </c>
      <c r="H16" s="17" t="n">
        <v>4324.2</v>
      </c>
      <c r="I16" s="17" t="n">
        <v>-554.5</v>
      </c>
      <c r="J16" s="18" t="n">
        <v>-0.1136573267468793</v>
      </c>
      <c r="K16" s="34" t="inlineStr">
        <is>
          <t>Published figure, not re-derived</t>
        </is>
      </c>
    </row>
    <row r="17" ht="15" customHeight="1">
      <c r="A17" s="38" t="inlineStr">
        <is>
          <t>T4</t>
        </is>
      </c>
      <c r="B17" s="22" t="inlineStr">
        <is>
          <t>Average CO₂ intensity of new passenger cars (WLTP)</t>
        </is>
      </c>
      <c r="C17" s="22" t="inlineStr">
        <is>
          <t>Transport</t>
        </is>
      </c>
      <c r="D17" s="22" t="inlineStr">
        <is>
          <t>g CO₂/km</t>
        </is>
      </c>
      <c r="E17" s="23" t="n">
        <v>2022</v>
      </c>
      <c r="F17" s="24" t="n">
        <v>108.2</v>
      </c>
      <c r="G17" s="23" t="n">
        <v>2025</v>
      </c>
      <c r="H17" s="24" t="n">
        <v>96.7</v>
      </c>
      <c r="I17" s="24" t="n">
        <v>-11.5</v>
      </c>
      <c r="J17" s="25" t="n">
        <v>-0.1062846580406654</v>
      </c>
      <c r="K17" s="35" t="inlineStr">
        <is>
          <t>Published figure, not re-derived</t>
        </is>
      </c>
    </row>
    <row r="18" ht="15" customHeight="1">
      <c r="A18" s="41" t="inlineStr">
        <is>
          <t>B1</t>
        </is>
      </c>
      <c r="B18" s="15" t="inlineStr">
        <is>
          <t>Residential + tertiary building GHG emissions</t>
        </is>
      </c>
      <c r="C18" s="15" t="inlineStr">
        <is>
          <t>Buildings</t>
        </is>
      </c>
      <c r="D18" s="15" t="inlineStr">
        <is>
          <t>Mt CO₂eq</t>
        </is>
      </c>
      <c r="E18" s="16" t="n">
        <v>2022</v>
      </c>
      <c r="F18" s="17" t="n">
        <v>481.8</v>
      </c>
      <c r="G18" s="16" t="n">
        <v>2024</v>
      </c>
      <c r="H18" s="17" t="n">
        <v>430.7</v>
      </c>
      <c r="I18" s="17" t="n">
        <v>-51.10000000000002</v>
      </c>
      <c r="J18" s="18" t="n">
        <v>-0.1060606060606061</v>
      </c>
      <c r="K18" s="34" t="inlineStr">
        <is>
          <t>Reproduces from source</t>
        </is>
      </c>
    </row>
    <row r="19" ht="15" customHeight="1">
      <c r="A19" s="37" t="inlineStr">
        <is>
          <t>I5</t>
        </is>
      </c>
      <c r="B19" s="22" t="inlineStr">
        <is>
          <t>Industrial final energy consumption (EU)</t>
        </is>
      </c>
      <c r="C19" s="22" t="inlineStr">
        <is>
          <t>Industry</t>
        </is>
      </c>
      <c r="D19" s="22" t="inlineStr">
        <is>
          <t>TWh</t>
        </is>
      </c>
      <c r="E19" s="23" t="n">
        <v>2021</v>
      </c>
      <c r="F19" s="24" t="n">
        <v>2795.2</v>
      </c>
      <c r="G19" s="23" t="n">
        <v>2023</v>
      </c>
      <c r="H19" s="24" t="n">
        <v>2501.3</v>
      </c>
      <c r="I19" s="24" t="n">
        <v>-293.8999999999996</v>
      </c>
      <c r="J19" s="25" t="n">
        <v>-0.1051445334859758</v>
      </c>
      <c r="K19" s="35" t="inlineStr">
        <is>
          <t>Published figure, not re-derived</t>
        </is>
      </c>
    </row>
    <row r="20" ht="15" customHeight="1">
      <c r="A20" s="42" t="inlineStr">
        <is>
          <t>A4 (pig, herd)</t>
        </is>
      </c>
      <c r="B20" s="15" t="inlineStr">
        <is>
          <t>Pig meat: herd size (EU)</t>
        </is>
      </c>
      <c r="C20" s="15" t="inlineStr">
        <is>
          <t>Agriculture</t>
        </is>
      </c>
      <c r="D20" s="15" t="inlineStr">
        <is>
          <t>million heads</t>
        </is>
      </c>
      <c r="E20" s="16" t="n">
        <v>2020</v>
      </c>
      <c r="F20" s="17" t="n">
        <v>140</v>
      </c>
      <c r="G20" s="16" t="n">
        <v>2025</v>
      </c>
      <c r="H20" s="17" t="n">
        <v>126.1</v>
      </c>
      <c r="I20" s="17" t="n">
        <v>-13.90000000000001</v>
      </c>
      <c r="J20" s="18" t="n">
        <v>-0.09928571428571432</v>
      </c>
      <c r="K20" s="34" t="inlineStr">
        <is>
          <t>Reproduces from source</t>
        </is>
      </c>
    </row>
    <row r="21" ht="15" customHeight="1">
      <c r="A21" s="21" t="inlineStr">
        <is>
          <t>O3</t>
        </is>
      </c>
      <c r="B21" s="22" t="inlineStr">
        <is>
          <t>Gross inland energy consumption (EU-27)</t>
        </is>
      </c>
      <c r="C21" s="22" t="inlineStr">
        <is>
          <t>Energy demand</t>
        </is>
      </c>
      <c r="D21" s="22" t="inlineStr">
        <is>
          <t>TWh</t>
        </is>
      </c>
      <c r="E21" s="23" t="n">
        <v>2021</v>
      </c>
      <c r="F21" s="24" t="n">
        <v>16534</v>
      </c>
      <c r="G21" s="23" t="n">
        <v>2024</v>
      </c>
      <c r="H21" s="24" t="n">
        <v>15023.9</v>
      </c>
      <c r="I21" s="24" t="n">
        <v>-1510.1</v>
      </c>
      <c r="J21" s="25" t="n">
        <v>-0.09133301076569494</v>
      </c>
      <c r="K21" s="35" t="inlineStr">
        <is>
          <t>Published figure, not re-derived</t>
        </is>
      </c>
    </row>
    <row r="22" ht="15" customHeight="1">
      <c r="A22" s="47" t="inlineStr">
        <is>
          <t>F1</t>
        </is>
      </c>
      <c r="B22" s="15" t="inlineStr">
        <is>
          <t>EU fossil-fuel subsidies (FFST)</t>
        </is>
      </c>
      <c r="C22" s="15" t="inlineStr">
        <is>
          <t>Finance &amp; innovation</t>
        </is>
      </c>
      <c r="D22" s="15" t="inlineStr">
        <is>
          <t>billion EUR</t>
        </is>
      </c>
      <c r="E22" s="16" t="n">
        <v>2022</v>
      </c>
      <c r="F22" s="17" t="n">
        <v>122</v>
      </c>
      <c r="G22" s="16" t="n">
        <v>2023</v>
      </c>
      <c r="H22" s="17" t="n">
        <v>111</v>
      </c>
      <c r="I22" s="17" t="n">
        <v>-11</v>
      </c>
      <c r="J22" s="18" t="n">
        <v>-0.09016393442622951</v>
      </c>
      <c r="K22" s="34" t="inlineStr">
        <is>
          <t>Published figure, not re-derived</t>
        </is>
      </c>
    </row>
    <row r="23" ht="15" customHeight="1">
      <c r="A23" s="21" t="inlineStr">
        <is>
          <t>O2 (PEC)</t>
        </is>
      </c>
      <c r="B23" s="22" t="inlineStr">
        <is>
          <t>Primary energy consumption (EU-27)</t>
        </is>
      </c>
      <c r="C23" s="22" t="inlineStr">
        <is>
          <t>Energy demand</t>
        </is>
      </c>
      <c r="D23" s="22" t="inlineStr">
        <is>
          <t>TWh</t>
        </is>
      </c>
      <c r="E23" s="23" t="n">
        <v>2021</v>
      </c>
      <c r="F23" s="24" t="n">
        <v>15248</v>
      </c>
      <c r="G23" s="23" t="n">
        <v>2024</v>
      </c>
      <c r="H23" s="24" t="n">
        <v>13883</v>
      </c>
      <c r="I23" s="24" t="n">
        <v>-1365</v>
      </c>
      <c r="J23" s="25" t="n">
        <v>-0.0895199370409234</v>
      </c>
      <c r="K23" s="35" t="inlineStr">
        <is>
          <t>Reproduces from source</t>
        </is>
      </c>
    </row>
    <row r="24" ht="15" customHeight="1">
      <c r="A24" s="42" t="inlineStr">
        <is>
          <t>A2 (bovine, production)</t>
        </is>
      </c>
      <c r="B24" s="15" t="inlineStr">
        <is>
          <t>Bovine meat: production (EU)</t>
        </is>
      </c>
      <c r="C24" s="15" t="inlineStr">
        <is>
          <t>Agriculture</t>
        </is>
      </c>
      <c r="D24" s="15" t="inlineStr">
        <is>
          <t>Mt</t>
        </is>
      </c>
      <c r="E24" s="16" t="n">
        <v>2020</v>
      </c>
      <c r="F24" s="17" t="n">
        <v>6.936</v>
      </c>
      <c r="G24" s="16" t="n">
        <v>2025</v>
      </c>
      <c r="H24" s="17" t="n">
        <v>6.32</v>
      </c>
      <c r="I24" s="17" t="n">
        <v>-0.6159999999999997</v>
      </c>
      <c r="J24" s="18" t="n">
        <v>-0.08881199538638979</v>
      </c>
      <c r="K24" s="34" t="inlineStr">
        <is>
          <t>Reproduces from source</t>
        </is>
      </c>
    </row>
    <row r="25" ht="15" customHeight="1">
      <c r="A25" s="43" t="inlineStr">
        <is>
          <t>A4 (bovine, production)</t>
        </is>
      </c>
      <c r="B25" s="22" t="inlineStr">
        <is>
          <t>Bovine meat: production (EU)</t>
        </is>
      </c>
      <c r="C25" s="22" t="inlineStr">
        <is>
          <t>Agriculture</t>
        </is>
      </c>
      <c r="D25" s="22" t="inlineStr">
        <is>
          <t>Mt</t>
        </is>
      </c>
      <c r="E25" s="23" t="n">
        <v>2020</v>
      </c>
      <c r="F25" s="24" t="n">
        <v>6.936</v>
      </c>
      <c r="G25" s="23" t="n">
        <v>2025</v>
      </c>
      <c r="H25" s="24" t="n">
        <v>6.32</v>
      </c>
      <c r="I25" s="24" t="n">
        <v>-0.6159999999999997</v>
      </c>
      <c r="J25" s="25" t="n">
        <v>-0.08881199538638979</v>
      </c>
      <c r="K25" s="35" t="inlineStr">
        <is>
          <t>Reproduces from source</t>
        </is>
      </c>
    </row>
    <row r="26" ht="15" customHeight="1">
      <c r="A26" s="14" t="inlineStr">
        <is>
          <t>O1</t>
        </is>
      </c>
      <c r="B26" s="15" t="inlineStr">
        <is>
          <t>Total EU GHG emissions (European Climate Law scope)</t>
        </is>
      </c>
      <c r="C26" s="15" t="inlineStr">
        <is>
          <t>Emissions</t>
        </is>
      </c>
      <c r="D26" s="15" t="inlineStr">
        <is>
          <t>Mt CO₂eq</t>
        </is>
      </c>
      <c r="E26" s="16" t="n">
        <v>2022</v>
      </c>
      <c r="F26" s="17" t="n">
        <v>3333.9</v>
      </c>
      <c r="G26" s="16" t="n">
        <v>2024</v>
      </c>
      <c r="H26" s="17" t="n">
        <v>3043.2</v>
      </c>
      <c r="I26" s="17" t="n">
        <v>-290.7000000000003</v>
      </c>
      <c r="J26" s="18" t="n">
        <v>-0.08719517681994068</v>
      </c>
      <c r="K26" s="34" t="inlineStr">
        <is>
          <t>Reproduces from source</t>
        </is>
      </c>
    </row>
    <row r="27" ht="15" customHeight="1">
      <c r="A27" s="43" t="inlineStr">
        <is>
          <t>A2 (pig, GHG)</t>
        </is>
      </c>
      <c r="B27" s="22" t="inlineStr">
        <is>
          <t>Pig meat: GHG emissions (EU)</t>
        </is>
      </c>
      <c r="C27" s="22" t="inlineStr">
        <is>
          <t>Agriculture</t>
        </is>
      </c>
      <c r="D27" s="22" t="inlineStr">
        <is>
          <t>Mt CO₂eq</t>
        </is>
      </c>
      <c r="E27" s="23" t="n">
        <v>2021</v>
      </c>
      <c r="F27" s="24" t="n">
        <v>28.58</v>
      </c>
      <c r="G27" s="23" t="n">
        <v>2024</v>
      </c>
      <c r="H27" s="24" t="n">
        <v>26.18</v>
      </c>
      <c r="I27" s="24" t="n">
        <v>-2.399999999999999</v>
      </c>
      <c r="J27" s="25" t="n">
        <v>-0.08397480755773264</v>
      </c>
      <c r="K27" s="35" t="inlineStr">
        <is>
          <t>Reproduces from source</t>
        </is>
      </c>
    </row>
    <row r="28" ht="15" customHeight="1">
      <c r="A28" s="41" t="inlineStr">
        <is>
          <t>B5a</t>
        </is>
      </c>
      <c r="B28" s="15" t="inlineStr">
        <is>
          <t>Fossil share of residential energy mix</t>
        </is>
      </c>
      <c r="C28" s="15" t="inlineStr">
        <is>
          <t>Buildings</t>
        </is>
      </c>
      <c r="D28" s="15" t="inlineStr">
        <is>
          <t>%</t>
        </is>
      </c>
      <c r="E28" s="16" t="n">
        <v>2021</v>
      </c>
      <c r="F28" s="17" t="n">
        <v>45.58</v>
      </c>
      <c r="G28" s="16" t="n">
        <v>2023</v>
      </c>
      <c r="H28" s="17" t="n">
        <v>42</v>
      </c>
      <c r="I28" s="17" t="n">
        <v>-3.579999999999998</v>
      </c>
      <c r="J28" s="18" t="n">
        <v>-0.07854322071083805</v>
      </c>
      <c r="K28" s="34" t="inlineStr">
        <is>
          <t>Published figure, not re-derived</t>
        </is>
      </c>
    </row>
    <row r="29" ht="15" customHeight="1">
      <c r="A29" s="43" t="inlineStr">
        <is>
          <t>A4 (dairy, herd)</t>
        </is>
      </c>
      <c r="B29" s="22" t="inlineStr">
        <is>
          <t>Dairy products: herd size (EU)</t>
        </is>
      </c>
      <c r="C29" s="22" t="inlineStr">
        <is>
          <t>Agriculture</t>
        </is>
      </c>
      <c r="D29" s="22" t="inlineStr">
        <is>
          <t>million heads</t>
        </is>
      </c>
      <c r="E29" s="23" t="n">
        <v>2020</v>
      </c>
      <c r="F29" s="24" t="n">
        <v>20.63</v>
      </c>
      <c r="G29" s="23" t="n">
        <v>2025</v>
      </c>
      <c r="H29" s="24" t="n">
        <v>19.02</v>
      </c>
      <c r="I29" s="24" t="n">
        <v>-1.609999999999999</v>
      </c>
      <c r="J29" s="25" t="n">
        <v>-0.07804168686379057</v>
      </c>
      <c r="K29" s="35" t="inlineStr">
        <is>
          <t>Reproduces from source</t>
        </is>
      </c>
    </row>
    <row r="30" ht="15" customHeight="1">
      <c r="A30" s="28" t="inlineStr">
        <is>
          <t>O2 (FEC)</t>
        </is>
      </c>
      <c r="B30" s="15" t="inlineStr">
        <is>
          <t>Final energy consumption (EU-27)</t>
        </is>
      </c>
      <c r="C30" s="15" t="inlineStr">
        <is>
          <t>Energy demand</t>
        </is>
      </c>
      <c r="D30" s="15" t="inlineStr">
        <is>
          <t>TWh</t>
        </is>
      </c>
      <c r="E30" s="16" t="n">
        <v>2021</v>
      </c>
      <c r="F30" s="17" t="n">
        <v>11263</v>
      </c>
      <c r="G30" s="16" t="n">
        <v>2024</v>
      </c>
      <c r="H30" s="17" t="n">
        <v>10471.8</v>
      </c>
      <c r="I30" s="17" t="n">
        <v>-791.2000000000007</v>
      </c>
      <c r="J30" s="18" t="n">
        <v>-0.0702477137529966</v>
      </c>
      <c r="K30" s="34" t="inlineStr">
        <is>
          <t>Reproduces from source</t>
        </is>
      </c>
    </row>
    <row r="31" ht="15" customHeight="1">
      <c r="A31" s="43" t="inlineStr">
        <is>
          <t>A4 (bovine, herd)</t>
        </is>
      </c>
      <c r="B31" s="22" t="inlineStr">
        <is>
          <t>Bovine meat: herd size (EU)</t>
        </is>
      </c>
      <c r="C31" s="22" t="inlineStr">
        <is>
          <t>Agriculture</t>
        </is>
      </c>
      <c r="D31" s="22" t="inlineStr">
        <is>
          <t>million heads</t>
        </is>
      </c>
      <c r="E31" s="23" t="n">
        <v>2020</v>
      </c>
      <c r="F31" s="24" t="n">
        <v>60.16</v>
      </c>
      <c r="G31" s="23" t="n">
        <v>2025</v>
      </c>
      <c r="H31" s="24" t="n">
        <v>56.26</v>
      </c>
      <c r="I31" s="24" t="n">
        <v>-3.899999999999999</v>
      </c>
      <c r="J31" s="25" t="n">
        <v>-0.06482712765957445</v>
      </c>
      <c r="K31" s="35" t="inlineStr">
        <is>
          <t>Reproduces from source</t>
        </is>
      </c>
    </row>
    <row r="32" ht="15" customHeight="1">
      <c r="A32" s="42" t="inlineStr">
        <is>
          <t>A2 (pig, production)</t>
        </is>
      </c>
      <c r="B32" s="15" t="inlineStr">
        <is>
          <t>Pig meat: production (EU)</t>
        </is>
      </c>
      <c r="C32" s="15" t="inlineStr">
        <is>
          <t>Agriculture</t>
        </is>
      </c>
      <c r="D32" s="15" t="inlineStr">
        <is>
          <t>Mt</t>
        </is>
      </c>
      <c r="E32" s="16" t="n">
        <v>2020</v>
      </c>
      <c r="F32" s="17" t="n">
        <v>23.22</v>
      </c>
      <c r="G32" s="16" t="n">
        <v>2025</v>
      </c>
      <c r="H32" s="17" t="n">
        <v>21.84</v>
      </c>
      <c r="I32" s="17" t="n">
        <v>-1.379999999999999</v>
      </c>
      <c r="J32" s="18" t="n">
        <v>-0.05943152454780358</v>
      </c>
      <c r="K32" s="34" t="inlineStr">
        <is>
          <t>Reproduces from source</t>
        </is>
      </c>
    </row>
    <row r="33" ht="15" customHeight="1">
      <c r="A33" s="43" t="inlineStr">
        <is>
          <t>A4 (pig, production)</t>
        </is>
      </c>
      <c r="B33" s="22" t="inlineStr">
        <is>
          <t>Pig meat: production (EU)</t>
        </is>
      </c>
      <c r="C33" s="22" t="inlineStr">
        <is>
          <t>Agriculture</t>
        </is>
      </c>
      <c r="D33" s="22" t="inlineStr">
        <is>
          <t>Mt</t>
        </is>
      </c>
      <c r="E33" s="23" t="n">
        <v>2020</v>
      </c>
      <c r="F33" s="24" t="n">
        <v>23.22</v>
      </c>
      <c r="G33" s="23" t="n">
        <v>2025</v>
      </c>
      <c r="H33" s="24" t="n">
        <v>21.84</v>
      </c>
      <c r="I33" s="24" t="n">
        <v>-1.379999999999999</v>
      </c>
      <c r="J33" s="25" t="n">
        <v>-0.05943152454780358</v>
      </c>
      <c r="K33" s="35" t="inlineStr">
        <is>
          <t>Reproduces from source</t>
        </is>
      </c>
    </row>
    <row r="34" ht="15" customHeight="1">
      <c r="A34" s="39" t="inlineStr">
        <is>
          <t>T3a</t>
        </is>
      </c>
      <c r="B34" s="15" t="inlineStr">
        <is>
          <t>Road share of motorised inland passenger transport</t>
        </is>
      </c>
      <c r="C34" s="15" t="inlineStr">
        <is>
          <t>Transport</t>
        </is>
      </c>
      <c r="D34" s="15" t="inlineStr">
        <is>
          <t>%</t>
        </is>
      </c>
      <c r="E34" s="16" t="n">
        <v>2020</v>
      </c>
      <c r="F34" s="17" t="n">
        <v>86.5</v>
      </c>
      <c r="G34" s="16" t="n">
        <v>2024</v>
      </c>
      <c r="H34" s="17" t="n">
        <v>83.3</v>
      </c>
      <c r="I34" s="17" t="n">
        <v>-3.200000000000003</v>
      </c>
      <c r="J34" s="18" t="n">
        <v>-0.03699421965317922</v>
      </c>
      <c r="K34" s="34" t="inlineStr">
        <is>
          <t>—</t>
        </is>
      </c>
    </row>
    <row r="35" ht="15" customHeight="1">
      <c r="A35" s="43" t="inlineStr">
        <is>
          <t>A2 (pig, intensity)</t>
        </is>
      </c>
      <c r="B35" s="22" t="inlineStr">
        <is>
          <t>Pig meat: GHG intensity (EU)</t>
        </is>
      </c>
      <c r="C35" s="22" t="inlineStr">
        <is>
          <t>Agriculture</t>
        </is>
      </c>
      <c r="D35" s="22" t="inlineStr">
        <is>
          <t>t CO₂eq/t</t>
        </is>
      </c>
      <c r="E35" s="23" t="n">
        <v>2020</v>
      </c>
      <c r="F35" s="24" t="n">
        <v>1.264</v>
      </c>
      <c r="G35" s="23" t="n">
        <v>2024</v>
      </c>
      <c r="H35" s="24" t="n">
        <v>1.238</v>
      </c>
      <c r="I35" s="24" t="n">
        <v>-0.02600000000000002</v>
      </c>
      <c r="J35" s="25" t="n">
        <v>-0.02056962025316458</v>
      </c>
      <c r="K35" s="35" t="inlineStr">
        <is>
          <t>Reproduces from source</t>
        </is>
      </c>
    </row>
    <row r="36" ht="15" customHeight="1">
      <c r="A36" s="44" t="inlineStr">
        <is>
          <t>L8</t>
        </is>
      </c>
      <c r="B36" s="15" t="inlineStr">
        <is>
          <t>Total bioenergy use (EU-27)</t>
        </is>
      </c>
      <c r="C36" s="15" t="inlineStr">
        <is>
          <t>LULUCF</t>
        </is>
      </c>
      <c r="D36" s="15" t="inlineStr">
        <is>
          <t>TWh</t>
        </is>
      </c>
      <c r="E36" s="16" t="n">
        <v>2021</v>
      </c>
      <c r="F36" s="17" t="n">
        <v>1795.7</v>
      </c>
      <c r="G36" s="16" t="n">
        <v>2024</v>
      </c>
      <c r="H36" s="17" t="n">
        <v>1761.2</v>
      </c>
      <c r="I36" s="17" t="n">
        <v>-34.5</v>
      </c>
      <c r="J36" s="18" t="n">
        <v>-0.01921256334577045</v>
      </c>
      <c r="K36" s="34" t="inlineStr">
        <is>
          <t>Reproduces from source</t>
        </is>
      </c>
    </row>
    <row r="37" ht="15" customHeight="1">
      <c r="A37" s="43" t="inlineStr">
        <is>
          <t>A6</t>
        </is>
      </c>
      <c r="B37" s="22" t="inlineStr">
        <is>
          <t>Food waste per capita (EU)</t>
        </is>
      </c>
      <c r="C37" s="22" t="inlineStr">
        <is>
          <t>Agriculture</t>
        </is>
      </c>
      <c r="D37" s="22" t="inlineStr">
        <is>
          <t>kg/cap/year</t>
        </is>
      </c>
      <c r="E37" s="23" t="n">
        <v>2020</v>
      </c>
      <c r="F37" s="24" t="n">
        <v>131</v>
      </c>
      <c r="G37" s="23" t="n">
        <v>2023</v>
      </c>
      <c r="H37" s="24" t="n">
        <v>129</v>
      </c>
      <c r="I37" s="24" t="n">
        <v>-2</v>
      </c>
      <c r="J37" s="25" t="n">
        <v>-0.01526717557251908</v>
      </c>
      <c r="K37" s="35" t="inlineStr">
        <is>
          <t>Reproduces from source</t>
        </is>
      </c>
    </row>
    <row r="38" ht="15" customHeight="1">
      <c r="A38" s="42" t="inlineStr">
        <is>
          <t>A1</t>
        </is>
      </c>
      <c r="B38" s="15" t="inlineStr">
        <is>
          <t>Agricultural non-CO₂ emissions</t>
        </is>
      </c>
      <c r="C38" s="15" t="inlineStr">
        <is>
          <t>Agriculture</t>
        </is>
      </c>
      <c r="D38" s="15" t="inlineStr">
        <is>
          <t>Mt CO₂eq</t>
        </is>
      </c>
      <c r="E38" s="16" t="n">
        <v>2022</v>
      </c>
      <c r="F38" s="17" t="n">
        <v>360.9</v>
      </c>
      <c r="G38" s="16" t="n">
        <v>2024</v>
      </c>
      <c r="H38" s="17" t="n">
        <v>355.7</v>
      </c>
      <c r="I38" s="17" t="n">
        <v>-5.199999999999989</v>
      </c>
      <c r="J38" s="18" t="n">
        <v>-0.01440842338597947</v>
      </c>
      <c r="K38" s="34" t="inlineStr">
        <is>
          <t>Reproduces from source</t>
        </is>
      </c>
    </row>
    <row r="39" ht="15" customHeight="1">
      <c r="A39" s="46" t="inlineStr">
        <is>
          <t>F3</t>
        </is>
      </c>
      <c r="B39" s="22" t="inlineStr">
        <is>
          <t>EU R&amp;D expenditure (GERD)</t>
        </is>
      </c>
      <c r="C39" s="22" t="inlineStr">
        <is>
          <t>Finance &amp; innovation</t>
        </is>
      </c>
      <c r="D39" s="22" t="inlineStr">
        <is>
          <t>% of GDP</t>
        </is>
      </c>
      <c r="E39" s="23" t="n">
        <v>2022</v>
      </c>
      <c r="F39" s="24" t="n">
        <v>2.27</v>
      </c>
      <c r="G39" s="23" t="n">
        <v>2024</v>
      </c>
      <c r="H39" s="24" t="n">
        <v>2.24</v>
      </c>
      <c r="I39" s="24" t="n">
        <v>-0.0299999999999998</v>
      </c>
      <c r="J39" s="25" t="n">
        <v>-0.01321585903083692</v>
      </c>
      <c r="K39" s="35" t="inlineStr">
        <is>
          <t>Reproduces from source</t>
        </is>
      </c>
    </row>
    <row r="40" ht="15" customHeight="1">
      <c r="A40" s="39" t="inlineStr">
        <is>
          <t>T6a</t>
        </is>
      </c>
      <c r="B40" s="15" t="inlineStr">
        <is>
          <t>Fossil share of transport energy use</t>
        </is>
      </c>
      <c r="C40" s="15" t="inlineStr">
        <is>
          <t>Transport</t>
        </is>
      </c>
      <c r="D40" s="15" t="inlineStr">
        <is>
          <t>%</t>
        </is>
      </c>
      <c r="E40" s="16" t="n">
        <v>2021</v>
      </c>
      <c r="F40" s="17" t="n">
        <v>93.44</v>
      </c>
      <c r="G40" s="16" t="n">
        <v>2024</v>
      </c>
      <c r="H40" s="17" t="n">
        <v>93.17</v>
      </c>
      <c r="I40" s="17" t="n">
        <v>-0.269999999999996</v>
      </c>
      <c r="J40" s="18" t="n">
        <v>-0.002889554794520505</v>
      </c>
      <c r="K40" s="34" t="inlineStr">
        <is>
          <t>Reproduces from source</t>
        </is>
      </c>
    </row>
    <row r="41" ht="15" customHeight="1">
      <c r="A41" s="43" t="inlineStr">
        <is>
          <t>A2 (dairy, production)</t>
        </is>
      </c>
      <c r="B41" s="22" t="inlineStr">
        <is>
          <t>Dairy products: production (EU)</t>
        </is>
      </c>
      <c r="C41" s="22" t="inlineStr">
        <is>
          <t>Agriculture</t>
        </is>
      </c>
      <c r="D41" s="22" t="inlineStr">
        <is>
          <t>Mt</t>
        </is>
      </c>
      <c r="E41" s="23" t="n">
        <v>2020</v>
      </c>
      <c r="F41" s="24" t="n">
        <v>163.1</v>
      </c>
      <c r="G41" s="23" t="n">
        <v>2024</v>
      </c>
      <c r="H41" s="24" t="n">
        <v>164.6</v>
      </c>
      <c r="I41" s="24" t="n">
        <v>1.5</v>
      </c>
      <c r="J41" s="25" t="n">
        <v>0.009196811771919068</v>
      </c>
      <c r="K41" s="35" t="inlineStr">
        <is>
          <t>Reproduces from source</t>
        </is>
      </c>
    </row>
    <row r="42" ht="15" customHeight="1">
      <c r="A42" s="42" t="inlineStr">
        <is>
          <t>A4 (dairy, production)</t>
        </is>
      </c>
      <c r="B42" s="15" t="inlineStr">
        <is>
          <t>Dairy products: production (EU)</t>
        </is>
      </c>
      <c r="C42" s="15" t="inlineStr">
        <is>
          <t>Agriculture</t>
        </is>
      </c>
      <c r="D42" s="15" t="inlineStr">
        <is>
          <t>Mt</t>
        </is>
      </c>
      <c r="E42" s="16" t="n">
        <v>2020</v>
      </c>
      <c r="F42" s="17" t="n">
        <v>163.1</v>
      </c>
      <c r="G42" s="16" t="n">
        <v>2024</v>
      </c>
      <c r="H42" s="17" t="n">
        <v>164.6</v>
      </c>
      <c r="I42" s="17" t="n">
        <v>1.5</v>
      </c>
      <c r="J42" s="18" t="n">
        <v>0.009196811771919068</v>
      </c>
      <c r="K42" s="34" t="inlineStr">
        <is>
          <t>Reproduces from source</t>
        </is>
      </c>
    </row>
    <row r="43" ht="15" customHeight="1">
      <c r="A43" s="40" t="inlineStr">
        <is>
          <t>B4 (population)</t>
        </is>
      </c>
      <c r="B43" s="22" t="inlineStr">
        <is>
          <t>EU population (index, 2005 = 1.0)</t>
        </is>
      </c>
      <c r="C43" s="22" t="inlineStr">
        <is>
          <t>Buildings</t>
        </is>
      </c>
      <c r="D43" s="22" t="inlineStr">
        <is>
          <t>index (2005 = 1.0)</t>
        </is>
      </c>
      <c r="E43" s="23" t="n">
        <v>2020</v>
      </c>
      <c r="F43" s="24" t="n">
        <v>1.028</v>
      </c>
      <c r="G43" s="23" t="n">
        <v>2025</v>
      </c>
      <c r="H43" s="24" t="n">
        <v>1.04</v>
      </c>
      <c r="I43" s="24" t="n">
        <v>0.01200000000000001</v>
      </c>
      <c r="J43" s="25" t="n">
        <v>0.01167315175097277</v>
      </c>
      <c r="K43" s="35" t="inlineStr">
        <is>
          <t>Reproduces from source</t>
        </is>
      </c>
    </row>
    <row r="44" ht="15" customHeight="1">
      <c r="A44" s="39" t="inlineStr">
        <is>
          <t>T1</t>
        </is>
      </c>
      <c r="B44" s="15" t="inlineStr">
        <is>
          <t>Transport GHG emissions (EU)</t>
        </is>
      </c>
      <c r="C44" s="15" t="inlineStr">
        <is>
          <t>Transport</t>
        </is>
      </c>
      <c r="D44" s="15" t="inlineStr">
        <is>
          <t>Mt CO₂eq</t>
        </is>
      </c>
      <c r="E44" s="16" t="n">
        <v>2022</v>
      </c>
      <c r="F44" s="17" t="n">
        <v>906.6</v>
      </c>
      <c r="G44" s="16" t="n">
        <v>2024</v>
      </c>
      <c r="H44" s="17" t="n">
        <v>920</v>
      </c>
      <c r="I44" s="17" t="n">
        <v>13.39999999999998</v>
      </c>
      <c r="J44" s="18" t="n">
        <v>0.01478049856607101</v>
      </c>
      <c r="K44" s="34" t="inlineStr">
        <is>
          <t>Reproduces from source</t>
        </is>
      </c>
    </row>
    <row r="45" ht="15" customHeight="1">
      <c r="A45" s="46" t="inlineStr">
        <is>
          <t>F2 (share)</t>
        </is>
      </c>
      <c r="B45" s="22" t="inlineStr">
        <is>
          <t>Green share of EU bond issuance</t>
        </is>
      </c>
      <c r="C45" s="22" t="inlineStr">
        <is>
          <t>Finance &amp; innovation</t>
        </is>
      </c>
      <c r="D45" s="22" t="inlineStr">
        <is>
          <t>%</t>
        </is>
      </c>
      <c r="E45" s="23" t="n">
        <v>2022</v>
      </c>
      <c r="F45" s="24" t="n">
        <v>6.74</v>
      </c>
      <c r="G45" s="23" t="n">
        <v>2024</v>
      </c>
      <c r="H45" s="24" t="n">
        <v>6.9</v>
      </c>
      <c r="I45" s="24" t="n">
        <v>0.1600000000000001</v>
      </c>
      <c r="J45" s="25" t="n">
        <v>0.02373887240356085</v>
      </c>
      <c r="K45" s="35" t="inlineStr">
        <is>
          <t>Published figure, not re-derived</t>
        </is>
      </c>
    </row>
    <row r="46" ht="15" customHeight="1">
      <c r="A46" s="36" t="inlineStr">
        <is>
          <t>I6</t>
        </is>
      </c>
      <c r="B46" s="15" t="inlineStr">
        <is>
          <t>Electricity share of industrial final energy use</t>
        </is>
      </c>
      <c r="C46" s="15" t="inlineStr">
        <is>
          <t>Industry</t>
        </is>
      </c>
      <c r="D46" s="15" t="inlineStr">
        <is>
          <t>%</t>
        </is>
      </c>
      <c r="E46" s="16" t="n">
        <v>2021</v>
      </c>
      <c r="F46" s="17" t="n">
        <v>33.22</v>
      </c>
      <c r="G46" s="16" t="n">
        <v>2024</v>
      </c>
      <c r="H46" s="17" t="n">
        <v>34.02</v>
      </c>
      <c r="I46" s="17" t="n">
        <v>0.8000000000000043</v>
      </c>
      <c r="J46" s="18" t="n">
        <v>0.02408187838651428</v>
      </c>
      <c r="K46" s="34" t="inlineStr">
        <is>
          <t>2–5% off source</t>
        </is>
      </c>
    </row>
    <row r="47" ht="15" customHeight="1">
      <c r="A47" s="38" t="inlineStr">
        <is>
          <t>T2b</t>
        </is>
      </c>
      <c r="B47" s="22" t="inlineStr">
        <is>
          <t>Total freight transport demand</t>
        </is>
      </c>
      <c r="C47" s="22" t="inlineStr">
        <is>
          <t>Transport</t>
        </is>
      </c>
      <c r="D47" s="22" t="inlineStr">
        <is>
          <t>Gtkm</t>
        </is>
      </c>
      <c r="E47" s="23" t="n">
        <v>2020</v>
      </c>
      <c r="F47" s="24" t="n">
        <v>2254</v>
      </c>
      <c r="G47" s="23" t="n">
        <v>2023</v>
      </c>
      <c r="H47" s="24" t="n">
        <v>2319</v>
      </c>
      <c r="I47" s="24" t="n">
        <v>65</v>
      </c>
      <c r="J47" s="25" t="n">
        <v>0.02883762200532387</v>
      </c>
      <c r="K47" s="35" t="inlineStr">
        <is>
          <t>Published figure, not re-derived</t>
        </is>
      </c>
    </row>
    <row r="48" ht="15" customHeight="1">
      <c r="A48" s="28" t="inlineStr">
        <is>
          <t>E5</t>
        </is>
      </c>
      <c r="B48" s="15" t="inlineStr">
        <is>
          <t>Electrification rate of final energy use</t>
        </is>
      </c>
      <c r="C48" s="15" t="inlineStr">
        <is>
          <t>Energy demand</t>
        </is>
      </c>
      <c r="D48" s="15" t="inlineStr">
        <is>
          <t>%</t>
        </is>
      </c>
      <c r="E48" s="16" t="n">
        <v>2021</v>
      </c>
      <c r="F48" s="17" t="n">
        <v>22.75</v>
      </c>
      <c r="G48" s="16" t="n">
        <v>2024</v>
      </c>
      <c r="H48" s="17" t="n">
        <v>23.44</v>
      </c>
      <c r="I48" s="17" t="n">
        <v>0.6900000000000013</v>
      </c>
      <c r="J48" s="18" t="n">
        <v>0.03032967032967039</v>
      </c>
      <c r="K48" s="34" t="inlineStr">
        <is>
          <t>—</t>
        </is>
      </c>
    </row>
    <row r="49" ht="15" customHeight="1">
      <c r="A49" s="37" t="inlineStr">
        <is>
          <t>I3</t>
        </is>
      </c>
      <c r="B49" s="22" t="inlineStr">
        <is>
          <t>Circular material use rate (EU)</t>
        </is>
      </c>
      <c r="C49" s="22" t="inlineStr">
        <is>
          <t>Industry</t>
        </is>
      </c>
      <c r="D49" s="22" t="inlineStr">
        <is>
          <t>%</t>
        </is>
      </c>
      <c r="E49" s="23" t="n">
        <v>2021</v>
      </c>
      <c r="F49" s="24" t="n">
        <v>11.7</v>
      </c>
      <c r="G49" s="23" t="n">
        <v>2024</v>
      </c>
      <c r="H49" s="24" t="n">
        <v>12.2</v>
      </c>
      <c r="I49" s="24" t="n">
        <v>0.5</v>
      </c>
      <c r="J49" s="25" t="n">
        <v>0.04273504273504274</v>
      </c>
      <c r="K49" s="35" t="inlineStr">
        <is>
          <t>Reproduces from source</t>
        </is>
      </c>
    </row>
    <row r="50" ht="15" customHeight="1">
      <c r="A50" s="44" t="inlineStr">
        <is>
          <t>L1</t>
        </is>
      </c>
      <c r="B50" s="15" t="inlineStr">
        <is>
          <t>LULUCF net GHG balance</t>
        </is>
      </c>
      <c r="C50" s="15" t="inlineStr">
        <is>
          <t>LULUCF</t>
        </is>
      </c>
      <c r="D50" s="15" t="inlineStr">
        <is>
          <t>Mt CO₂eq</t>
        </is>
      </c>
      <c r="E50" s="16" t="n">
        <v>2022</v>
      </c>
      <c r="F50" s="17" t="n">
        <v>-244</v>
      </c>
      <c r="G50" s="16" t="n">
        <v>2024</v>
      </c>
      <c r="H50" s="17" t="n">
        <v>-231</v>
      </c>
      <c r="I50" s="17" t="n">
        <v>13</v>
      </c>
      <c r="J50" s="18" t="n">
        <v>0.05327868852459016</v>
      </c>
      <c r="K50" s="34" t="inlineStr">
        <is>
          <t>Reproduces from source</t>
        </is>
      </c>
    </row>
    <row r="51" ht="15" customHeight="1">
      <c r="A51" s="45" t="inlineStr">
        <is>
          <t>L6</t>
        </is>
      </c>
      <c r="B51" s="22" t="inlineStr">
        <is>
          <t>Forest land living-biomass carbon sink</t>
        </is>
      </c>
      <c r="C51" s="22" t="inlineStr">
        <is>
          <t>LULUCF</t>
        </is>
      </c>
      <c r="D51" s="22" t="inlineStr">
        <is>
          <t>Mt CO₂eq</t>
        </is>
      </c>
      <c r="E51" s="23" t="n">
        <v>2021</v>
      </c>
      <c r="F51" s="24" t="n">
        <v>231.8</v>
      </c>
      <c r="G51" s="23" t="n">
        <v>2024</v>
      </c>
      <c r="H51" s="24" t="n">
        <v>258.3</v>
      </c>
      <c r="I51" s="24" t="n">
        <v>26.5</v>
      </c>
      <c r="J51" s="25" t="n">
        <v>0.1143226919758412</v>
      </c>
      <c r="K51" s="35" t="inlineStr">
        <is>
          <t>Reproduces from source</t>
        </is>
      </c>
    </row>
    <row r="52" ht="15" customHeight="1">
      <c r="A52" s="44" t="inlineStr">
        <is>
          <t>L7</t>
        </is>
      </c>
      <c r="B52" s="15" t="inlineStr">
        <is>
          <t>Non-forest LULUCF net GHG emissions</t>
        </is>
      </c>
      <c r="C52" s="15" t="inlineStr">
        <is>
          <t>LULUCF</t>
        </is>
      </c>
      <c r="D52" s="15" t="inlineStr">
        <is>
          <t>Mt CO₂eq</t>
        </is>
      </c>
      <c r="E52" s="16" t="n">
        <v>2021</v>
      </c>
      <c r="F52" s="17" t="n">
        <v>97.44</v>
      </c>
      <c r="G52" s="16" t="n">
        <v>2024</v>
      </c>
      <c r="H52" s="17" t="n">
        <v>123</v>
      </c>
      <c r="I52" s="17" t="n">
        <v>25.56</v>
      </c>
      <c r="J52" s="18" t="n">
        <v>0.2623152709359606</v>
      </c>
      <c r="K52" s="34" t="inlineStr">
        <is>
          <t>Reproduces from source</t>
        </is>
      </c>
    </row>
    <row r="53" ht="15" customHeight="1">
      <c r="A53" s="31" t="inlineStr">
        <is>
          <t>E2 (RES)</t>
        </is>
      </c>
      <c r="B53" s="22" t="inlineStr">
        <is>
          <t>Non-biomass renewable share of EU electricity mix</t>
        </is>
      </c>
      <c r="C53" s="22" t="inlineStr">
        <is>
          <t>Energy supply</t>
        </is>
      </c>
      <c r="D53" s="22" t="inlineStr">
        <is>
          <t>%</t>
        </is>
      </c>
      <c r="E53" s="23" t="n">
        <v>2022</v>
      </c>
      <c r="F53" s="24" t="n">
        <v>33.76</v>
      </c>
      <c r="G53" s="23" t="n">
        <v>2024</v>
      </c>
      <c r="H53" s="24" t="n">
        <v>43.21</v>
      </c>
      <c r="I53" s="24" t="n">
        <v>9.450000000000003</v>
      </c>
      <c r="J53" s="25" t="n">
        <v>0.2799170616113745</v>
      </c>
      <c r="K53" s="35" t="inlineStr">
        <is>
          <t>2–5% off source</t>
        </is>
      </c>
    </row>
    <row r="54" ht="15" customHeight="1">
      <c r="A54" s="41" t="inlineStr">
        <is>
          <t>B6</t>
        </is>
      </c>
      <c r="B54" s="15" t="inlineStr">
        <is>
          <t>EU stock of installed heat pumps</t>
        </is>
      </c>
      <c r="C54" s="15" t="inlineStr">
        <is>
          <t>Buildings</t>
        </is>
      </c>
      <c r="D54" s="15" t="inlineStr">
        <is>
          <t>million units</t>
        </is>
      </c>
      <c r="E54" s="16" t="n">
        <v>2022</v>
      </c>
      <c r="F54" s="17" t="n">
        <v>19.79</v>
      </c>
      <c r="G54" s="16" t="n">
        <v>2024</v>
      </c>
      <c r="H54" s="17" t="n">
        <v>25.5</v>
      </c>
      <c r="I54" s="17" t="n">
        <v>5.710000000000001</v>
      </c>
      <c r="J54" s="18" t="n">
        <v>0.2885295603840324</v>
      </c>
      <c r="K54" s="34" t="inlineStr">
        <is>
          <t>Published figure, not re-derived</t>
        </is>
      </c>
    </row>
    <row r="55" ht="15" customHeight="1">
      <c r="A55" s="38" t="inlineStr">
        <is>
          <t>T5a</t>
        </is>
      </c>
      <c r="B55" s="22" t="inlineStr">
        <is>
          <t>ZEV share of new passenger car registrations</t>
        </is>
      </c>
      <c r="C55" s="22" t="inlineStr">
        <is>
          <t>Transport</t>
        </is>
      </c>
      <c r="D55" s="22" t="inlineStr">
        <is>
          <t>%</t>
        </is>
      </c>
      <c r="E55" s="23" t="n">
        <v>2022</v>
      </c>
      <c r="F55" s="24" t="n">
        <v>13.41</v>
      </c>
      <c r="G55" s="23" t="n">
        <v>2025</v>
      </c>
      <c r="H55" s="24" t="n">
        <v>17.4</v>
      </c>
      <c r="I55" s="24" t="n">
        <v>3.989999999999998</v>
      </c>
      <c r="J55" s="25" t="n">
        <v>0.2975391498881431</v>
      </c>
      <c r="K55" s="35" t="inlineStr">
        <is>
          <t>Published figure, not re-derived</t>
        </is>
      </c>
    </row>
    <row r="56" ht="15" customHeight="1">
      <c r="A56" s="39" t="inlineStr">
        <is>
          <t>T2a</t>
        </is>
      </c>
      <c r="B56" s="15" t="inlineStr">
        <is>
          <t>Total passenger transport demand</t>
        </is>
      </c>
      <c r="C56" s="15" t="inlineStr">
        <is>
          <t>Transport</t>
        </is>
      </c>
      <c r="D56" s="15" t="inlineStr">
        <is>
          <t>Gpkm</t>
        </is>
      </c>
      <c r="E56" s="16" t="n">
        <v>2020</v>
      </c>
      <c r="F56" s="17" t="n">
        <v>4435.8</v>
      </c>
      <c r="G56" s="16" t="n">
        <v>2023</v>
      </c>
      <c r="H56" s="17" t="n">
        <v>5932</v>
      </c>
      <c r="I56" s="17" t="n">
        <v>1496.2</v>
      </c>
      <c r="J56" s="18" t="n">
        <v>0.3373010505433067</v>
      </c>
      <c r="K56" s="34" t="inlineStr">
        <is>
          <t>Published figure, not re-derived</t>
        </is>
      </c>
    </row>
    <row r="57" ht="15" customHeight="1">
      <c r="A57" s="31" t="inlineStr">
        <is>
          <t>E4b/c</t>
        </is>
      </c>
      <c r="B57" s="22" t="inlineStr">
        <is>
          <t>Annual wind capacity additions (EU)</t>
        </is>
      </c>
      <c r="C57" s="22" t="inlineStr">
        <is>
          <t>Energy supply</t>
        </is>
      </c>
      <c r="D57" s="22" t="inlineStr">
        <is>
          <t>GW/yr</t>
        </is>
      </c>
      <c r="E57" s="23" t="n">
        <v>2021</v>
      </c>
      <c r="F57" s="24" t="n">
        <v>10.72</v>
      </c>
      <c r="G57" s="23" t="n">
        <v>2024</v>
      </c>
      <c r="H57" s="24" t="n">
        <v>15.32</v>
      </c>
      <c r="I57" s="24" t="n">
        <v>4.6</v>
      </c>
      <c r="J57" s="25" t="n">
        <v>0.4291044776119403</v>
      </c>
      <c r="K57" s="35" t="inlineStr">
        <is>
          <t>Published figure, not re-derived</t>
        </is>
      </c>
    </row>
    <row r="58" ht="15" customHeight="1">
      <c r="A58" s="30" t="inlineStr">
        <is>
          <t>E4a</t>
        </is>
      </c>
      <c r="B58" s="15" t="inlineStr">
        <is>
          <t>Annual solar PV capacity additions (EU)</t>
        </is>
      </c>
      <c r="C58" s="15" t="inlineStr">
        <is>
          <t>Energy supply</t>
        </is>
      </c>
      <c r="D58" s="15" t="inlineStr">
        <is>
          <t>GW/yr</t>
        </is>
      </c>
      <c r="E58" s="16" t="n">
        <v>2021</v>
      </c>
      <c r="F58" s="17" t="n">
        <v>25.7</v>
      </c>
      <c r="G58" s="16" t="n">
        <v>2024</v>
      </c>
      <c r="H58" s="17" t="n">
        <v>60.96</v>
      </c>
      <c r="I58" s="17" t="n">
        <v>35.26000000000001</v>
      </c>
      <c r="J58" s="18" t="n">
        <v>1.371984435797665</v>
      </c>
      <c r="K58" s="34" t="inlineStr">
        <is>
          <t>Published figure, not re-derived</t>
        </is>
      </c>
    </row>
    <row r="59" ht="15" customHeight="1">
      <c r="A59" s="38" t="inlineStr">
        <is>
          <t>T5b</t>
        </is>
      </c>
      <c r="B59" s="22" t="inlineStr">
        <is>
          <t>Zero-emission lorries in the EU fleet</t>
        </is>
      </c>
      <c r="C59" s="22" t="inlineStr">
        <is>
          <t>Transport</t>
        </is>
      </c>
      <c r="D59" s="22" t="inlineStr">
        <is>
          <t>vehicles</t>
        </is>
      </c>
      <c r="E59" s="23" t="n">
        <v>2022</v>
      </c>
      <c r="F59" s="24" t="n">
        <v>3794</v>
      </c>
      <c r="G59" s="23" t="n">
        <v>2024</v>
      </c>
      <c r="H59" s="24" t="n">
        <v>9831</v>
      </c>
      <c r="I59" s="24" t="n">
        <v>6037</v>
      </c>
      <c r="J59" s="25" t="n">
        <v>1.591196626251977</v>
      </c>
      <c r="K59" s="35" t="inlineStr">
        <is>
          <t>—</t>
        </is>
      </c>
    </row>
    <row r="60" ht="15" customHeight="1">
      <c r="A60" s="39" t="inlineStr">
        <is>
          <t>T3b</t>
        </is>
      </c>
      <c r="B60" s="15" t="inlineStr">
        <is>
          <t>Intra-EU air passenger transport</t>
        </is>
      </c>
      <c r="C60" s="15" t="inlineStr">
        <is>
          <t>Transport</t>
        </is>
      </c>
      <c r="D60" s="15" t="inlineStr">
        <is>
          <t>Gpkm</t>
        </is>
      </c>
      <c r="E60" s="16" t="n">
        <v>2020</v>
      </c>
      <c r="F60" s="17" t="n">
        <v>177.9</v>
      </c>
      <c r="G60" s="16" t="n">
        <v>2023</v>
      </c>
      <c r="H60" s="17" t="n">
        <v>582</v>
      </c>
      <c r="I60" s="17" t="n">
        <v>404.1</v>
      </c>
      <c r="J60" s="18" t="n">
        <v>2.27150084317032</v>
      </c>
      <c r="K60" s="34" t="inlineStr">
        <is>
          <t>Published figure, not re-derived</t>
        </is>
      </c>
    </row>
    <row r="62">
      <c r="A62" s="51" t="inlineStr">
        <is>
          <t>Notes: bars are coloured by report chapter. A long bar is a large move relative to that indicator's own baseline, not a large quantity — indicators with small baselines (capacity additions, ZEV shares) move by large percentages by nature.</t>
        </is>
      </c>
    </row>
    <row r="63">
      <c r="A63" s="51" t="inlineStr">
        <is>
          <t>Source: ESABCC (2024) “Towards EU climate neutrality”, progress indicators, extended with the post-publication points in the Policy Gap 2.0 indicator database. Every post-report value was re-checked against its primary source on 27 July 2026 (see the “Source check” column).</t>
        </is>
      </c>
    </row>
    <row r="65">
      <c r="A65" s="4" t="inlineStr">
        <is>
          <t>Coverage — how much of each chapter has new data</t>
        </is>
      </c>
    </row>
    <row r="66" ht="22" customHeight="1">
      <c r="A66" s="5" t="inlineStr"/>
      <c r="B66" s="5" t="inlineStr">
        <is>
          <t>Chapter</t>
        </is>
      </c>
      <c r="C66" s="5" t="inlineStr">
        <is>
          <t>With new data</t>
        </is>
      </c>
      <c r="D66" s="5" t="inlineStr">
        <is>
          <t>Still at the report figure</t>
        </is>
      </c>
    </row>
    <row r="67" ht="15" customHeight="1">
      <c r="A67" s="15" t="inlineStr"/>
      <c r="B67" s="15" t="inlineStr">
        <is>
          <t>Emissions</t>
        </is>
      </c>
      <c r="C67" s="49" t="n">
        <v>1</v>
      </c>
      <c r="D67" s="49" t="n">
        <v>0</v>
      </c>
    </row>
    <row r="68" ht="15" customHeight="1">
      <c r="A68" s="22" t="inlineStr"/>
      <c r="B68" s="22" t="inlineStr">
        <is>
          <t>Energy supply</t>
        </is>
      </c>
      <c r="C68" s="50" t="n">
        <v>7</v>
      </c>
      <c r="D68" s="50" t="n">
        <v>0</v>
      </c>
    </row>
    <row r="69" ht="15" customHeight="1">
      <c r="A69" s="15" t="inlineStr"/>
      <c r="B69" s="15" t="inlineStr">
        <is>
          <t>Energy demand</t>
        </is>
      </c>
      <c r="C69" s="49" t="n">
        <v>4</v>
      </c>
      <c r="D69" s="49" t="n">
        <v>0</v>
      </c>
    </row>
    <row r="70" ht="15" customHeight="1">
      <c r="A70" s="22" t="inlineStr"/>
      <c r="B70" s="22" t="inlineStr">
        <is>
          <t>Industry</t>
        </is>
      </c>
      <c r="C70" s="50" t="n">
        <v>7</v>
      </c>
      <c r="D70" s="50" t="n">
        <v>11</v>
      </c>
    </row>
    <row r="71" ht="15" customHeight="1">
      <c r="A71" s="15" t="inlineStr"/>
      <c r="B71" s="15" t="inlineStr">
        <is>
          <t>Transport</t>
        </is>
      </c>
      <c r="C71" s="49" t="n">
        <v>9</v>
      </c>
      <c r="D71" s="49" t="n">
        <v>1</v>
      </c>
    </row>
    <row r="72" ht="15" customHeight="1">
      <c r="A72" s="22" t="inlineStr"/>
      <c r="B72" s="22" t="inlineStr">
        <is>
          <t>Buildings</t>
        </is>
      </c>
      <c r="C72" s="50" t="n">
        <v>6</v>
      </c>
      <c r="D72" s="50" t="n">
        <v>6</v>
      </c>
    </row>
    <row r="73" ht="15" customHeight="1">
      <c r="A73" s="15" t="inlineStr"/>
      <c r="B73" s="15" t="inlineStr">
        <is>
          <t>Agriculture</t>
        </is>
      </c>
      <c r="C73" s="49" t="n">
        <v>13</v>
      </c>
      <c r="D73" s="49" t="n">
        <v>13</v>
      </c>
    </row>
    <row r="74" ht="15" customHeight="1">
      <c r="A74" s="22" t="inlineStr"/>
      <c r="B74" s="22" t="inlineStr">
        <is>
          <t>LULUCF</t>
        </is>
      </c>
      <c r="C74" s="50" t="n">
        <v>4</v>
      </c>
      <c r="D74" s="50" t="n">
        <v>9</v>
      </c>
    </row>
    <row r="75" ht="15" customHeight="1">
      <c r="A75" s="15" t="inlineStr"/>
      <c r="B75" s="15" t="inlineStr">
        <is>
          <t>Finance &amp; innovation</t>
        </is>
      </c>
      <c r="C75" s="49" t="n">
        <v>4</v>
      </c>
      <c r="D75" s="49" t="n">
        <v>2</v>
      </c>
    </row>
  </sheetData>
  <autoFilter ref="A5:K60"/>
  <mergeCells count="5">
    <mergeCell ref="A62:K62"/>
    <mergeCell ref="A3:K3"/>
    <mergeCell ref="A2:K2"/>
    <mergeCell ref="A63:K63"/>
    <mergeCell ref="A1:K1"/>
  </mergeCell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tabColor rgb="004D7E83"/>
    <outlinePr summaryBelow="1" summaryRight="1"/>
    <pageSetUpPr/>
  </sheetPr>
  <dimension ref="A1:M101"/>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4" customWidth="1" min="2" max="2"/>
    <col width="16" customWidth="1" min="3" max="3"/>
    <col width="14" customWidth="1" min="4" max="4"/>
    <col width="12" customWidth="1" min="5" max="5"/>
    <col width="14" customWidth="1" min="6" max="6"/>
    <col width="11" customWidth="1" min="7" max="7"/>
    <col width="14" customWidth="1" min="8" max="8"/>
    <col width="12" customWidth="1" min="9" max="9"/>
    <col width="12" customWidth="1" min="10" max="10"/>
    <col width="24" customWidth="1" min="11" max="11"/>
    <col width="30" customWidth="1" min="12" max="12"/>
    <col width="34" customWidth="1" min="13" max="13"/>
  </cols>
  <sheetData>
    <row r="1" ht="26" customHeight="1">
      <c r="A1" s="1" t="inlineStr">
        <is>
          <t>What the report published, and what the database holds now</t>
        </is>
      </c>
    </row>
    <row r="2" ht="30" customHeight="1">
      <c r="A2" s="2" t="inlineStr">
        <is>
          <t>“Report figure” is the last value the 2024 report itself carried. “Latest” is the most recent value in the Policy Gap 2.0 workspace indicator database today.</t>
        </is>
      </c>
    </row>
    <row r="4" ht="32" customHeight="1">
      <c r="A4" s="5" t="inlineStr">
        <is>
          <t>Code</t>
        </is>
      </c>
      <c r="B4" s="5" t="inlineStr">
        <is>
          <t>Indicator</t>
        </is>
      </c>
      <c r="C4" s="5" t="inlineStr">
        <is>
          <t>Chapter</t>
        </is>
      </c>
      <c r="D4" s="5" t="inlineStr">
        <is>
          <t>Unit</t>
        </is>
      </c>
      <c r="E4" s="5" t="inlineStr">
        <is>
          <t>Report year</t>
        </is>
      </c>
      <c r="F4" s="5" t="inlineStr">
        <is>
          <t>Report figure</t>
        </is>
      </c>
      <c r="G4" s="5" t="inlineStr">
        <is>
          <t>Latest year</t>
        </is>
      </c>
      <c r="H4" s="5" t="inlineStr">
        <is>
          <t>Latest value</t>
        </is>
      </c>
      <c r="I4" s="5" t="inlineStr">
        <is>
          <t>Change</t>
        </is>
      </c>
      <c r="J4" s="5" t="inlineStr">
        <is>
          <t>Change %</t>
        </is>
      </c>
      <c r="K4" s="5" t="inlineStr">
        <is>
          <t>How the later figure was obtained</t>
        </is>
      </c>
      <c r="L4" s="5" t="inlineStr">
        <is>
          <t>Source check (27 Jul 2026)</t>
        </is>
      </c>
      <c r="M4" s="5" t="inlineStr">
        <is>
          <t>Primary source</t>
        </is>
      </c>
    </row>
    <row r="5" ht="15" customHeight="1">
      <c r="A5" s="14" t="inlineStr">
        <is>
          <t>O1</t>
        </is>
      </c>
      <c r="B5" s="15" t="inlineStr">
        <is>
          <t>Total EU GHG emissions (European Climate Law scope)</t>
        </is>
      </c>
      <c r="C5" s="15" t="inlineStr">
        <is>
          <t>Emissions</t>
        </is>
      </c>
      <c r="D5" s="15" t="inlineStr">
        <is>
          <t>Mt CO₂eq</t>
        </is>
      </c>
      <c r="E5" s="16" t="n">
        <v>2022</v>
      </c>
      <c r="F5" s="17" t="n">
        <v>3333.9</v>
      </c>
      <c r="G5" s="16" t="n">
        <v>2024</v>
      </c>
      <c r="H5" s="17" t="n">
        <v>3043.2</v>
      </c>
      <c r="I5" s="17" t="n">
        <v>-290.7000000000003</v>
      </c>
      <c r="J5" s="18" t="n">
        <v>-0.08719517681994068</v>
      </c>
      <c r="K5" s="34" t="inlineStr">
        <is>
          <t>Report's own derivation, continued</t>
        </is>
      </c>
      <c r="L5" s="34" t="inlineStr">
        <is>
          <t>Reproduces from source</t>
        </is>
      </c>
      <c r="M5" s="20" t="inlineStr">
        <is>
          <t>EEA GHG data viewer; 2023+ Eurostat (env_air_gge)</t>
        </is>
      </c>
    </row>
    <row r="6" ht="15" customHeight="1">
      <c r="A6" s="31" t="inlineStr">
        <is>
          <t>E1</t>
        </is>
      </c>
      <c r="B6" s="22" t="inlineStr">
        <is>
          <t>Energy supply GHG emissions</t>
        </is>
      </c>
      <c r="C6" s="22" t="inlineStr">
        <is>
          <t>Energy supply</t>
        </is>
      </c>
      <c r="D6" s="22" t="inlineStr">
        <is>
          <t>Mt CO₂eq</t>
        </is>
      </c>
      <c r="E6" s="23" t="n">
        <v>2022</v>
      </c>
      <c r="F6" s="24" t="n">
        <v>924</v>
      </c>
      <c r="G6" s="23" t="n">
        <v>2024</v>
      </c>
      <c r="H6" s="24" t="n">
        <v>689.1</v>
      </c>
      <c r="I6" s="24" t="n">
        <v>-234.9</v>
      </c>
      <c r="J6" s="25" t="n">
        <v>-0.2542207792207792</v>
      </c>
      <c r="K6" s="35" t="inlineStr">
        <is>
          <t>Report's own derivation, continued</t>
        </is>
      </c>
      <c r="L6" s="35" t="inlineStr">
        <is>
          <t>Reproduces from source</t>
        </is>
      </c>
      <c r="M6" s="27" t="inlineStr">
        <is>
          <t>EEA GHG data viewer; 2023+ Eurostat (env_air_gge)</t>
        </is>
      </c>
    </row>
    <row r="7" ht="15" customHeight="1">
      <c r="A7" s="30" t="inlineStr">
        <is>
          <t>E2 (RES)</t>
        </is>
      </c>
      <c r="B7" s="15" t="inlineStr">
        <is>
          <t>Non-biomass renewable share of EU electricity mix</t>
        </is>
      </c>
      <c r="C7" s="15" t="inlineStr">
        <is>
          <t>Energy supply</t>
        </is>
      </c>
      <c r="D7" s="15" t="inlineStr">
        <is>
          <t>%</t>
        </is>
      </c>
      <c r="E7" s="16" t="n">
        <v>2022</v>
      </c>
      <c r="F7" s="17" t="n">
        <v>33.76</v>
      </c>
      <c r="G7" s="16" t="n">
        <v>2024</v>
      </c>
      <c r="H7" s="17" t="n">
        <v>43.21</v>
      </c>
      <c r="I7" s="17" t="n">
        <v>9.450000000000003</v>
      </c>
      <c r="J7" s="18" t="n">
        <v>0.2799170616113745</v>
      </c>
      <c r="K7" s="34" t="inlineStr">
        <is>
          <t>Report's own derivation, continued</t>
        </is>
      </c>
      <c r="L7" s="34" t="inlineStr">
        <is>
          <t>2–5% off source</t>
        </is>
      </c>
      <c r="M7" s="20" t="inlineStr">
        <is>
          <t>Eurostat (nrg_bal_peh)</t>
        </is>
      </c>
    </row>
    <row r="8" ht="15" customHeight="1">
      <c r="A8" s="31" t="inlineStr">
        <is>
          <t>E2 (fossil)</t>
        </is>
      </c>
      <c r="B8" s="22" t="inlineStr">
        <is>
          <t>Fossil share of EU electricity mix</t>
        </is>
      </c>
      <c r="C8" s="22" t="inlineStr">
        <is>
          <t>Energy supply</t>
        </is>
      </c>
      <c r="D8" s="22" t="inlineStr">
        <is>
          <t>%</t>
        </is>
      </c>
      <c r="E8" s="23" t="n">
        <v>2022</v>
      </c>
      <c r="F8" s="24" t="n">
        <v>38.76</v>
      </c>
      <c r="G8" s="23" t="n">
        <v>2024</v>
      </c>
      <c r="H8" s="24" t="n">
        <v>28.11</v>
      </c>
      <c r="I8" s="24" t="n">
        <v>-10.65</v>
      </c>
      <c r="J8" s="25" t="n">
        <v>-0.2747678018575851</v>
      </c>
      <c r="K8" s="35" t="inlineStr">
        <is>
          <t>Report's own derivation, continued</t>
        </is>
      </c>
      <c r="L8" s="35" t="inlineStr">
        <is>
          <t>Reproduces from source</t>
        </is>
      </c>
      <c r="M8" s="27" t="inlineStr">
        <is>
          <t>Eurostat (nrg_bal_peh)</t>
        </is>
      </c>
    </row>
    <row r="9" ht="15" customHeight="1">
      <c r="A9" s="30" t="inlineStr">
        <is>
          <t>E3</t>
        </is>
      </c>
      <c r="B9" s="15" t="inlineStr">
        <is>
          <t>Average GHG intensity of EU electricity</t>
        </is>
      </c>
      <c r="C9" s="15" t="inlineStr">
        <is>
          <t>Energy supply</t>
        </is>
      </c>
      <c r="D9" s="15" t="inlineStr">
        <is>
          <t>g CO₂eq/kWh</t>
        </is>
      </c>
      <c r="E9" s="16" t="n">
        <v>2022</v>
      </c>
      <c r="F9" s="17" t="n">
        <v>251</v>
      </c>
      <c r="G9" s="16" t="n">
        <v>2024</v>
      </c>
      <c r="H9" s="17" t="n">
        <v>187.4</v>
      </c>
      <c r="I9" s="17" t="n">
        <v>-63.59999999999999</v>
      </c>
      <c r="J9" s="18" t="n">
        <v>-0.2533864541832669</v>
      </c>
      <c r="K9" s="34" t="inlineStr">
        <is>
          <t>Different recipe for the later years</t>
        </is>
      </c>
      <c r="L9" s="34" t="inlineStr">
        <is>
          <t>Reproduces from source</t>
        </is>
      </c>
      <c r="M9" s="20" t="inlineStr">
        <is>
          <t>EEA</t>
        </is>
      </c>
    </row>
    <row r="10" ht="15" customHeight="1">
      <c r="A10" s="31" t="inlineStr">
        <is>
          <t>E4a</t>
        </is>
      </c>
      <c r="B10" s="22" t="inlineStr">
        <is>
          <t>Annual solar PV capacity additions (EU)</t>
        </is>
      </c>
      <c r="C10" s="22" t="inlineStr">
        <is>
          <t>Energy supply</t>
        </is>
      </c>
      <c r="D10" s="22" t="inlineStr">
        <is>
          <t>GW/yr</t>
        </is>
      </c>
      <c r="E10" s="23" t="n">
        <v>2021</v>
      </c>
      <c r="F10" s="24" t="n">
        <v>25.7</v>
      </c>
      <c r="G10" s="23" t="n">
        <v>2024</v>
      </c>
      <c r="H10" s="24" t="n">
        <v>60.96</v>
      </c>
      <c r="I10" s="24" t="n">
        <v>35.26000000000001</v>
      </c>
      <c r="J10" s="25" t="n">
        <v>1.371984435797665</v>
      </c>
      <c r="K10" s="35" t="inlineStr">
        <is>
          <t>Published figure, no derivation</t>
        </is>
      </c>
      <c r="L10" s="35" t="inlineStr">
        <is>
          <t>Published figure, not re-derived</t>
        </is>
      </c>
      <c r="M10" s="35" t="inlineStr">
        <is>
          <t>Eurostat (nrg_inf_epcrw)</t>
        </is>
      </c>
    </row>
    <row r="11" ht="15" customHeight="1">
      <c r="A11" s="30" t="inlineStr">
        <is>
          <t>E4b/c</t>
        </is>
      </c>
      <c r="B11" s="15" t="inlineStr">
        <is>
          <t>Annual wind capacity additions (EU)</t>
        </is>
      </c>
      <c r="C11" s="15" t="inlineStr">
        <is>
          <t>Energy supply</t>
        </is>
      </c>
      <c r="D11" s="15" t="inlineStr">
        <is>
          <t>GW/yr</t>
        </is>
      </c>
      <c r="E11" s="16" t="n">
        <v>2021</v>
      </c>
      <c r="F11" s="17" t="n">
        <v>10.72</v>
      </c>
      <c r="G11" s="16" t="n">
        <v>2024</v>
      </c>
      <c r="H11" s="17" t="n">
        <v>15.32</v>
      </c>
      <c r="I11" s="17" t="n">
        <v>4.6</v>
      </c>
      <c r="J11" s="18" t="n">
        <v>0.4291044776119403</v>
      </c>
      <c r="K11" s="34" t="inlineStr">
        <is>
          <t>Published figure, no derivation</t>
        </is>
      </c>
      <c r="L11" s="34" t="inlineStr">
        <is>
          <t>Published figure, not re-derived</t>
        </is>
      </c>
      <c r="M11" s="34" t="inlineStr">
        <is>
          <t>Eurostat (nrg_inf_epcrw)</t>
        </is>
      </c>
    </row>
    <row r="12" ht="15" customHeight="1">
      <c r="A12" s="31" t="inlineStr">
        <is>
          <t>E6</t>
        </is>
      </c>
      <c r="B12" s="22" t="inlineStr">
        <is>
          <t>Energy-related methane emissions (EU-27)</t>
        </is>
      </c>
      <c r="C12" s="22" t="inlineStr">
        <is>
          <t>Energy supply</t>
        </is>
      </c>
      <c r="D12" s="22" t="inlineStr">
        <is>
          <t>Mt CO₂eq</t>
        </is>
      </c>
      <c r="E12" s="23" t="n">
        <v>2021</v>
      </c>
      <c r="F12" s="24" t="n">
        <v>69.91</v>
      </c>
      <c r="G12" s="23" t="n">
        <v>2024</v>
      </c>
      <c r="H12" s="24" t="n">
        <v>57.77</v>
      </c>
      <c r="I12" s="24" t="n">
        <v>-12.13999999999999</v>
      </c>
      <c r="J12" s="25" t="n">
        <v>-0.1736518380775282</v>
      </c>
      <c r="K12" s="35" t="inlineStr">
        <is>
          <t>Different recipe for the later years</t>
        </is>
      </c>
      <c r="L12" s="35" t="inlineStr">
        <is>
          <t>Reproduces from source</t>
        </is>
      </c>
      <c r="M12" s="27" t="inlineStr">
        <is>
          <t>EEA GHG data viewer; 2022+ Eurostat (env_air_gge)</t>
        </is>
      </c>
    </row>
    <row r="13" ht="15" customHeight="1">
      <c r="A13" s="28" t="inlineStr">
        <is>
          <t>E5</t>
        </is>
      </c>
      <c r="B13" s="15" t="inlineStr">
        <is>
          <t>Electrification rate of final energy use</t>
        </is>
      </c>
      <c r="C13" s="15" t="inlineStr">
        <is>
          <t>Energy demand</t>
        </is>
      </c>
      <c r="D13" s="15" t="inlineStr">
        <is>
          <t>%</t>
        </is>
      </c>
      <c r="E13" s="16" t="n">
        <v>2021</v>
      </c>
      <c r="F13" s="17" t="n">
        <v>22.75</v>
      </c>
      <c r="G13" s="16" t="n">
        <v>2024</v>
      </c>
      <c r="H13" s="17" t="n">
        <v>23.44</v>
      </c>
      <c r="I13" s="17" t="n">
        <v>0.6900000000000013</v>
      </c>
      <c r="J13" s="18" t="n">
        <v>0.03032967032967039</v>
      </c>
      <c r="K13" s="34" t="inlineStr">
        <is>
          <t>Report's formula, input back-computed</t>
        </is>
      </c>
      <c r="L13" s="34" t="inlineStr">
        <is>
          <t>—</t>
        </is>
      </c>
      <c r="M13" s="20" t="inlineStr">
        <is>
          <t>Eurostat (nrg_bal_c)</t>
        </is>
      </c>
    </row>
    <row r="14" ht="15" customHeight="1">
      <c r="A14" s="21" t="inlineStr">
        <is>
          <t>O2 (FEC)</t>
        </is>
      </c>
      <c r="B14" s="22" t="inlineStr">
        <is>
          <t>Final energy consumption (EU-27)</t>
        </is>
      </c>
      <c r="C14" s="22" t="inlineStr">
        <is>
          <t>Energy demand</t>
        </is>
      </c>
      <c r="D14" s="22" t="inlineStr">
        <is>
          <t>TWh</t>
        </is>
      </c>
      <c r="E14" s="23" t="n">
        <v>2021</v>
      </c>
      <c r="F14" s="24" t="n">
        <v>11263</v>
      </c>
      <c r="G14" s="23" t="n">
        <v>2024</v>
      </c>
      <c r="H14" s="24" t="n">
        <v>10471.8</v>
      </c>
      <c r="I14" s="24" t="n">
        <v>-791.2000000000007</v>
      </c>
      <c r="J14" s="25" t="n">
        <v>-0.0702477137529966</v>
      </c>
      <c r="K14" s="35" t="inlineStr">
        <is>
          <t>Report's own derivation, continued</t>
        </is>
      </c>
      <c r="L14" s="35" t="inlineStr">
        <is>
          <t>Reproduces from source</t>
        </is>
      </c>
      <c r="M14" s="27" t="inlineStr">
        <is>
          <t>Eurostat (nrg_ind_eff)</t>
        </is>
      </c>
    </row>
    <row r="15" ht="15" customHeight="1">
      <c r="A15" s="28" t="inlineStr">
        <is>
          <t>O2 (PEC)</t>
        </is>
      </c>
      <c r="B15" s="15" t="inlineStr">
        <is>
          <t>Primary energy consumption (EU-27)</t>
        </is>
      </c>
      <c r="C15" s="15" t="inlineStr">
        <is>
          <t>Energy demand</t>
        </is>
      </c>
      <c r="D15" s="15" t="inlineStr">
        <is>
          <t>TWh</t>
        </is>
      </c>
      <c r="E15" s="16" t="n">
        <v>2021</v>
      </c>
      <c r="F15" s="17" t="n">
        <v>15248</v>
      </c>
      <c r="G15" s="16" t="n">
        <v>2024</v>
      </c>
      <c r="H15" s="17" t="n">
        <v>13883</v>
      </c>
      <c r="I15" s="17" t="n">
        <v>-1365</v>
      </c>
      <c r="J15" s="18" t="n">
        <v>-0.0895199370409234</v>
      </c>
      <c r="K15" s="34" t="inlineStr">
        <is>
          <t>Report's own derivation, continued</t>
        </is>
      </c>
      <c r="L15" s="34" t="inlineStr">
        <is>
          <t>Reproduces from source</t>
        </is>
      </c>
      <c r="M15" s="20" t="inlineStr">
        <is>
          <t>Eurostat (nrg_ind_eff)</t>
        </is>
      </c>
    </row>
    <row r="16" ht="15" customHeight="1">
      <c r="A16" s="21" t="inlineStr">
        <is>
          <t>O3</t>
        </is>
      </c>
      <c r="B16" s="22" t="inlineStr">
        <is>
          <t>Gross inland energy consumption (EU-27)</t>
        </is>
      </c>
      <c r="C16" s="22" t="inlineStr">
        <is>
          <t>Energy demand</t>
        </is>
      </c>
      <c r="D16" s="22" t="inlineStr">
        <is>
          <t>TWh</t>
        </is>
      </c>
      <c r="E16" s="23" t="n">
        <v>2021</v>
      </c>
      <c r="F16" s="24" t="n">
        <v>16534</v>
      </c>
      <c r="G16" s="23" t="n">
        <v>2024</v>
      </c>
      <c r="H16" s="24" t="n">
        <v>15023.9</v>
      </c>
      <c r="I16" s="24" t="n">
        <v>-1510.1</v>
      </c>
      <c r="J16" s="25" t="n">
        <v>-0.09133301076569494</v>
      </c>
      <c r="K16" s="35" t="inlineStr">
        <is>
          <t>Report's own derivation, continued</t>
        </is>
      </c>
      <c r="L16" s="35" t="inlineStr">
        <is>
          <t>Published figure, not re-derived</t>
        </is>
      </c>
      <c r="M16" s="27" t="inlineStr">
        <is>
          <t>Eurostat (nrg_bal_c)</t>
        </is>
      </c>
    </row>
    <row r="17" ht="15" customHeight="1">
      <c r="A17" s="36" t="inlineStr">
        <is>
          <t>I1</t>
        </is>
      </c>
      <c r="B17" s="15" t="inlineStr">
        <is>
          <t>Industrial GHG emissions</t>
        </is>
      </c>
      <c r="C17" s="15" t="inlineStr">
        <is>
          <t>Industry</t>
        </is>
      </c>
      <c r="D17" s="15" t="inlineStr">
        <is>
          <t>Mt CO₂eq</t>
        </is>
      </c>
      <c r="E17" s="16" t="n">
        <v>2022</v>
      </c>
      <c r="F17" s="17" t="n">
        <v>691.3</v>
      </c>
      <c r="G17" s="16" t="n">
        <v>2024</v>
      </c>
      <c r="H17" s="17" t="n">
        <v>611.4</v>
      </c>
      <c r="I17" s="17" t="n">
        <v>-79.89999999999998</v>
      </c>
      <c r="J17" s="18" t="n">
        <v>-0.1155793432663098</v>
      </c>
      <c r="K17" s="34" t="inlineStr">
        <is>
          <t>Report's own derivation, continued</t>
        </is>
      </c>
      <c r="L17" s="34" t="inlineStr">
        <is>
          <t>Reproduces from source</t>
        </is>
      </c>
      <c r="M17" s="20" t="inlineStr">
        <is>
          <t>EEA GHG data viewer (Eurostat env_air_gge mirror)</t>
        </is>
      </c>
    </row>
    <row r="18" ht="15" customHeight="1">
      <c r="A18" s="37" t="inlineStr">
        <is>
          <t>I2 (cement, production)</t>
        </is>
      </c>
      <c r="B18" s="22" t="inlineStr">
        <is>
          <t>Cement production (EU)</t>
        </is>
      </c>
      <c r="C18" s="22" t="inlineStr">
        <is>
          <t>Industry</t>
        </is>
      </c>
      <c r="D18" s="22" t="inlineStr">
        <is>
          <t>Mt</t>
        </is>
      </c>
      <c r="E18" s="23" t="n">
        <v>2021</v>
      </c>
      <c r="F18" s="24" t="n">
        <v>182.5</v>
      </c>
      <c r="G18" s="23" t="n">
        <v>2025</v>
      </c>
      <c r="H18" s="24" t="n">
        <v>157.7</v>
      </c>
      <c r="I18" s="24" t="n">
        <v>-24.80000000000001</v>
      </c>
      <c r="J18" s="25" t="n">
        <v>-0.1358904109589042</v>
      </c>
      <c r="K18" s="35" t="inlineStr">
        <is>
          <t>Different recipe for the later years</t>
        </is>
      </c>
      <c r="L18" s="35" t="inlineStr">
        <is>
          <t>Reproduces from source</t>
        </is>
      </c>
      <c r="M18" s="27" t="inlineStr">
        <is>
          <t>Cembureau (data provided)</t>
        </is>
      </c>
    </row>
    <row r="19" ht="15" customHeight="1">
      <c r="A19" s="36" t="inlineStr">
        <is>
          <t>I2 (cement, use)</t>
        </is>
      </c>
      <c r="B19" s="15" t="inlineStr">
        <is>
          <t>Cement apparent use (consumption) (EU)</t>
        </is>
      </c>
      <c r="C19" s="15" t="inlineStr">
        <is>
          <t>Industry</t>
        </is>
      </c>
      <c r="D19" s="15" t="inlineStr">
        <is>
          <t>Mt</t>
        </is>
      </c>
      <c r="E19" s="16" t="n">
        <v>2021</v>
      </c>
      <c r="F19" s="17" t="n">
        <v>170.5</v>
      </c>
      <c r="G19" s="16" t="n">
        <v>2021</v>
      </c>
      <c r="H19" s="17" t="n">
        <v>170.5</v>
      </c>
      <c r="I19" s="17" t="n"/>
      <c r="J19" s="18" t="n"/>
      <c r="K19" s="34" t="inlineStr">
        <is>
          <t>No later data — report figure stands</t>
        </is>
      </c>
      <c r="L19" s="34" t="inlineStr">
        <is>
          <t>—</t>
        </is>
      </c>
      <c r="M19" s="20" t="inlineStr">
        <is>
          <t>Cembureau (data provided)</t>
        </is>
      </c>
    </row>
    <row r="20" ht="15" customHeight="1">
      <c r="A20" s="37" t="inlineStr">
        <is>
          <t>I2 (chemicals, production)</t>
        </is>
      </c>
      <c r="B20" s="22" t="inlineStr">
        <is>
          <t>Chemicals production (EU)</t>
        </is>
      </c>
      <c r="C20" s="22" t="inlineStr">
        <is>
          <t>Industry</t>
        </is>
      </c>
      <c r="D20" s="22" t="inlineStr">
        <is>
          <t>Mt</t>
        </is>
      </c>
      <c r="E20" s="23" t="n">
        <v>2021</v>
      </c>
      <c r="F20" s="24" t="n">
        <v>26.84</v>
      </c>
      <c r="G20" s="23" t="n">
        <v>2025</v>
      </c>
      <c r="H20" s="24" t="n">
        <v>18.55</v>
      </c>
      <c r="I20" s="24" t="n">
        <v>-8.289999999999999</v>
      </c>
      <c r="J20" s="25" t="n">
        <v>-0.3088673621460507</v>
      </c>
      <c r="K20" s="35" t="inlineStr">
        <is>
          <t>Different recipe for the later years</t>
        </is>
      </c>
      <c r="L20" s="35" t="inlineStr">
        <is>
          <t>Reproduces from source</t>
        </is>
      </c>
      <c r="M20" s="35" t="inlineStr">
        <is>
          <t>Eurostat DS-056120 (sold production) and DS-059268 (trade)</t>
        </is>
      </c>
    </row>
    <row r="21" ht="15" customHeight="1">
      <c r="A21" s="36" t="inlineStr">
        <is>
          <t>I2 (chemicals, trade)</t>
        </is>
      </c>
      <c r="B21" s="15" t="inlineStr">
        <is>
          <t>Chemicals net trade balance (EU)</t>
        </is>
      </c>
      <c r="C21" s="15" t="inlineStr">
        <is>
          <t>Industry</t>
        </is>
      </c>
      <c r="D21" s="15" t="inlineStr">
        <is>
          <t>Mt</t>
        </is>
      </c>
      <c r="E21" s="16" t="n">
        <v>2021</v>
      </c>
      <c r="F21" s="17" t="n">
        <v>-2.268</v>
      </c>
      <c r="G21" s="16" t="n">
        <v>2021</v>
      </c>
      <c r="H21" s="17" t="n">
        <v>-2.268</v>
      </c>
      <c r="I21" s="17" t="n"/>
      <c r="J21" s="18" t="n"/>
      <c r="K21" s="34" t="inlineStr">
        <is>
          <t>No later data — report figure stands</t>
        </is>
      </c>
      <c r="L21" s="34" t="inlineStr">
        <is>
          <t>—</t>
        </is>
      </c>
      <c r="M21" s="34" t="inlineStr">
        <is>
          <t>Eurostat DS-056120 (sold production) and DS-059268 (trade)</t>
        </is>
      </c>
    </row>
    <row r="22" ht="15" customHeight="1">
      <c r="A22" s="37" t="inlineStr">
        <is>
          <t>I2 (chemicals, use)</t>
        </is>
      </c>
      <c r="B22" s="22" t="inlineStr">
        <is>
          <t>Chemicals apparent use (consumption) (EU)</t>
        </is>
      </c>
      <c r="C22" s="22" t="inlineStr">
        <is>
          <t>Industry</t>
        </is>
      </c>
      <c r="D22" s="22" t="inlineStr">
        <is>
          <t>Mt</t>
        </is>
      </c>
      <c r="E22" s="23" t="n">
        <v>2021</v>
      </c>
      <c r="F22" s="24" t="n">
        <v>29.11</v>
      </c>
      <c r="G22" s="23" t="n">
        <v>2021</v>
      </c>
      <c r="H22" s="24" t="n">
        <v>29.11</v>
      </c>
      <c r="I22" s="24" t="n"/>
      <c r="J22" s="25" t="n"/>
      <c r="K22" s="35" t="inlineStr">
        <is>
          <t>No later data — report figure stands</t>
        </is>
      </c>
      <c r="L22" s="35" t="inlineStr">
        <is>
          <t>—</t>
        </is>
      </c>
      <c r="M22" s="35" t="inlineStr">
        <is>
          <t>Eurostat DS-056120 (sold production) and DS-059268 (trade)</t>
        </is>
      </c>
    </row>
    <row r="23" ht="15" customHeight="1">
      <c r="A23" s="36" t="inlineStr">
        <is>
          <t>I2 (steel, production)</t>
        </is>
      </c>
      <c r="B23" s="15" t="inlineStr">
        <is>
          <t>Steel production (EU)</t>
        </is>
      </c>
      <c r="C23" s="15" t="inlineStr">
        <is>
          <t>Industry</t>
        </is>
      </c>
      <c r="D23" s="15" t="inlineStr">
        <is>
          <t>Mt</t>
        </is>
      </c>
      <c r="E23" s="16" t="n">
        <v>2021</v>
      </c>
      <c r="F23" s="17" t="n">
        <v>152.8</v>
      </c>
      <c r="G23" s="16" t="n">
        <v>2025</v>
      </c>
      <c r="H23" s="17" t="n">
        <v>128.8</v>
      </c>
      <c r="I23" s="17" t="n">
        <v>-24</v>
      </c>
      <c r="J23" s="18" t="n">
        <v>-0.1570680628272251</v>
      </c>
      <c r="K23" s="34" t="inlineStr">
        <is>
          <t>Report's formula, input back-computed</t>
        </is>
      </c>
      <c r="L23" s="34" t="inlineStr">
        <is>
          <t>2–5% off source</t>
        </is>
      </c>
      <c r="M23" s="20" t="inlineStr">
        <is>
          <t>Eurofer, Steel in figures 2022</t>
        </is>
      </c>
    </row>
    <row r="24" ht="15" customHeight="1">
      <c r="A24" s="37" t="inlineStr">
        <is>
          <t>I2 (steel, trade)</t>
        </is>
      </c>
      <c r="B24" s="22" t="inlineStr">
        <is>
          <t>Steel net trade balance (EU)</t>
        </is>
      </c>
      <c r="C24" s="22" t="inlineStr">
        <is>
          <t>Industry</t>
        </is>
      </c>
      <c r="D24" s="22" t="inlineStr">
        <is>
          <t>Mt</t>
        </is>
      </c>
      <c r="E24" s="23" t="n">
        <v>2021</v>
      </c>
      <c r="F24" s="24" t="n">
        <v>-25.77</v>
      </c>
      <c r="G24" s="23" t="n">
        <v>2021</v>
      </c>
      <c r="H24" s="24" t="n">
        <v>-25.77</v>
      </c>
      <c r="I24" s="24" t="n"/>
      <c r="J24" s="25" t="n"/>
      <c r="K24" s="35" t="inlineStr">
        <is>
          <t>No later data — report figure stands</t>
        </is>
      </c>
      <c r="L24" s="35" t="inlineStr">
        <is>
          <t>—</t>
        </is>
      </c>
      <c r="M24" s="27" t="inlineStr">
        <is>
          <t>Eurofer, Steel in figures 2022; trade from Eurostat DS-059268</t>
        </is>
      </c>
    </row>
    <row r="25" ht="15" customHeight="1">
      <c r="A25" s="36" t="inlineStr">
        <is>
          <t>I2 (steel, use)</t>
        </is>
      </c>
      <c r="B25" s="15" t="inlineStr">
        <is>
          <t>Steel apparent use (consumption) (EU)</t>
        </is>
      </c>
      <c r="C25" s="15" t="inlineStr">
        <is>
          <t>Industry</t>
        </is>
      </c>
      <c r="D25" s="15" t="inlineStr">
        <is>
          <t>Mt</t>
        </is>
      </c>
      <c r="E25" s="16" t="n">
        <v>2021</v>
      </c>
      <c r="F25" s="17" t="n">
        <v>149</v>
      </c>
      <c r="G25" s="16" t="n">
        <v>2021</v>
      </c>
      <c r="H25" s="17" t="n">
        <v>149</v>
      </c>
      <c r="I25" s="17" t="n"/>
      <c r="J25" s="18" t="n"/>
      <c r="K25" s="34" t="inlineStr">
        <is>
          <t>No later data — report figure stands</t>
        </is>
      </c>
      <c r="L25" s="34" t="inlineStr">
        <is>
          <t>—</t>
        </is>
      </c>
      <c r="M25" s="20" t="inlineStr">
        <is>
          <t>Eurofer, Steel in figures 2022</t>
        </is>
      </c>
    </row>
    <row r="26" ht="15" customHeight="1">
      <c r="A26" s="37" t="inlineStr">
        <is>
          <t>I3</t>
        </is>
      </c>
      <c r="B26" s="22" t="inlineStr">
        <is>
          <t>Circular material use rate (EU)</t>
        </is>
      </c>
      <c r="C26" s="22" t="inlineStr">
        <is>
          <t>Industry</t>
        </is>
      </c>
      <c r="D26" s="22" t="inlineStr">
        <is>
          <t>%</t>
        </is>
      </c>
      <c r="E26" s="23" t="n">
        <v>2021</v>
      </c>
      <c r="F26" s="24" t="n">
        <v>11.7</v>
      </c>
      <c r="G26" s="23" t="n">
        <v>2024</v>
      </c>
      <c r="H26" s="24" t="n">
        <v>12.2</v>
      </c>
      <c r="I26" s="24" t="n">
        <v>0.5</v>
      </c>
      <c r="J26" s="25" t="n">
        <v>0.04273504273504274</v>
      </c>
      <c r="K26" s="35" t="inlineStr">
        <is>
          <t>Different recipe for the later years</t>
        </is>
      </c>
      <c r="L26" s="35" t="inlineStr">
        <is>
          <t>Reproduces from source</t>
        </is>
      </c>
      <c r="M26" s="27" t="inlineStr">
        <is>
          <t>Eurostat (cei_srm030)</t>
        </is>
      </c>
    </row>
    <row r="27" ht="15" customHeight="1">
      <c r="A27" s="36" t="inlineStr">
        <is>
          <t>I4 (cement)</t>
        </is>
      </c>
      <c r="B27" s="15" t="inlineStr">
        <is>
          <t>GHG intensity of EU cement production</t>
        </is>
      </c>
      <c r="C27" s="15" t="inlineStr">
        <is>
          <t>Industry</t>
        </is>
      </c>
      <c r="D27" s="15" t="inlineStr">
        <is>
          <t>t CO₂eq/t</t>
        </is>
      </c>
      <c r="E27" s="16" t="n">
        <v>2021</v>
      </c>
      <c r="F27" s="17" t="n">
        <v>0.6038</v>
      </c>
      <c r="G27" s="16" t="n">
        <v>2021</v>
      </c>
      <c r="H27" s="17" t="n">
        <v>0.6038</v>
      </c>
      <c r="I27" s="17" t="n"/>
      <c r="J27" s="18" t="n"/>
      <c r="K27" s="34" t="inlineStr">
        <is>
          <t>No later data — report figure stands</t>
        </is>
      </c>
      <c r="L27" s="34" t="inlineStr">
        <is>
          <t>—</t>
        </is>
      </c>
      <c r="M27" s="20" t="inlineStr">
        <is>
          <t>EEA + Cembureau</t>
        </is>
      </c>
    </row>
    <row r="28" ht="15" customHeight="1">
      <c r="A28" s="37" t="inlineStr">
        <is>
          <t>I4 (chemicals)</t>
        </is>
      </c>
      <c r="B28" s="22" t="inlineStr">
        <is>
          <t>GHG intensity of EU base organic chemicals</t>
        </is>
      </c>
      <c r="C28" s="22" t="inlineStr">
        <is>
          <t>Industry</t>
        </is>
      </c>
      <c r="D28" s="22" t="inlineStr">
        <is>
          <t>t CO₂eq/t</t>
        </is>
      </c>
      <c r="E28" s="23" t="n">
        <v>2022</v>
      </c>
      <c r="F28" s="24" t="n">
        <v>0.767</v>
      </c>
      <c r="G28" s="23" t="n">
        <v>2022</v>
      </c>
      <c r="H28" s="24" t="n">
        <v>0.767</v>
      </c>
      <c r="I28" s="24" t="n"/>
      <c r="J28" s="25" t="n"/>
      <c r="K28" s="35" t="inlineStr">
        <is>
          <t>No later data — report figure stands</t>
        </is>
      </c>
      <c r="L28" s="35" t="inlineStr">
        <is>
          <t>—</t>
        </is>
      </c>
      <c r="M28" s="27" t="inlineStr">
        <is>
          <t>EEA + Eurostat (DS-056120)</t>
        </is>
      </c>
    </row>
    <row r="29" ht="15" customHeight="1">
      <c r="A29" s="36" t="inlineStr">
        <is>
          <t>I4 (steel)</t>
        </is>
      </c>
      <c r="B29" s="15" t="inlineStr">
        <is>
          <t>GHG intensity of EU steel production</t>
        </is>
      </c>
      <c r="C29" s="15" t="inlineStr">
        <is>
          <t>Industry</t>
        </is>
      </c>
      <c r="D29" s="15" t="inlineStr">
        <is>
          <t>t CO₂eq/t</t>
        </is>
      </c>
      <c r="E29" s="16" t="n">
        <v>2021</v>
      </c>
      <c r="F29" s="17" t="n">
        <v>0.9623</v>
      </c>
      <c r="G29" s="16" t="n">
        <v>2021</v>
      </c>
      <c r="H29" s="17" t="n">
        <v>0.9623</v>
      </c>
      <c r="I29" s="17" t="n"/>
      <c r="J29" s="18" t="n"/>
      <c r="K29" s="34" t="inlineStr">
        <is>
          <t>No later data — report figure stands</t>
        </is>
      </c>
      <c r="L29" s="34" t="inlineStr">
        <is>
          <t>—</t>
        </is>
      </c>
      <c r="M29" s="20" t="inlineStr">
        <is>
          <t>EEA + Eurofer</t>
        </is>
      </c>
    </row>
    <row r="30" ht="15" customHeight="1">
      <c r="A30" s="37" t="inlineStr">
        <is>
          <t>I5</t>
        </is>
      </c>
      <c r="B30" s="22" t="inlineStr">
        <is>
          <t>Industrial final energy consumption (EU)</t>
        </is>
      </c>
      <c r="C30" s="22" t="inlineStr">
        <is>
          <t>Industry</t>
        </is>
      </c>
      <c r="D30" s="22" t="inlineStr">
        <is>
          <t>TWh</t>
        </is>
      </c>
      <c r="E30" s="23" t="n">
        <v>2021</v>
      </c>
      <c r="F30" s="24" t="n">
        <v>2795.2</v>
      </c>
      <c r="G30" s="23" t="n">
        <v>2023</v>
      </c>
      <c r="H30" s="24" t="n">
        <v>2501.3</v>
      </c>
      <c r="I30" s="24" t="n">
        <v>-293.8999999999996</v>
      </c>
      <c r="J30" s="25" t="n">
        <v>-0.1051445334859758</v>
      </c>
      <c r="K30" s="35" t="inlineStr">
        <is>
          <t>Report's formula, input back-computed</t>
        </is>
      </c>
      <c r="L30" s="35" t="inlineStr">
        <is>
          <t>Published figure, not re-derived</t>
        </is>
      </c>
      <c r="M30" s="27" t="inlineStr">
        <is>
          <t>Eurostat (nrg_bal_c)</t>
        </is>
      </c>
    </row>
    <row r="31" ht="15" customHeight="1">
      <c r="A31" s="36" t="inlineStr">
        <is>
          <t>I6</t>
        </is>
      </c>
      <c r="B31" s="15" t="inlineStr">
        <is>
          <t>Electricity share of industrial final energy use</t>
        </is>
      </c>
      <c r="C31" s="15" t="inlineStr">
        <is>
          <t>Industry</t>
        </is>
      </c>
      <c r="D31" s="15" t="inlineStr">
        <is>
          <t>%</t>
        </is>
      </c>
      <c r="E31" s="16" t="n">
        <v>2021</v>
      </c>
      <c r="F31" s="17" t="n">
        <v>33.22</v>
      </c>
      <c r="G31" s="16" t="n">
        <v>2024</v>
      </c>
      <c r="H31" s="17" t="n">
        <v>34.02</v>
      </c>
      <c r="I31" s="17" t="n">
        <v>0.8000000000000043</v>
      </c>
      <c r="J31" s="18" t="n">
        <v>0.02408187838651428</v>
      </c>
      <c r="K31" s="34" t="inlineStr">
        <is>
          <t>Report's own derivation, continued</t>
        </is>
      </c>
      <c r="L31" s="34" t="inlineStr">
        <is>
          <t>2–5% off source</t>
        </is>
      </c>
      <c r="M31" s="20" t="inlineStr">
        <is>
          <t>Eurostat (nrg_bal_c)</t>
        </is>
      </c>
    </row>
    <row r="32" ht="15" customHeight="1">
      <c r="A32" s="37" t="inlineStr">
        <is>
          <t>I7a</t>
        </is>
      </c>
      <c r="B32" s="22" t="inlineStr">
        <is>
          <t>Low-carbon steel projects (EU)</t>
        </is>
      </c>
      <c r="C32" s="22" t="inlineStr">
        <is>
          <t>Industry</t>
        </is>
      </c>
      <c r="D32" s="22" t="inlineStr">
        <is>
          <t>projects</t>
        </is>
      </c>
      <c r="E32" s="23" t="n">
        <v>2023</v>
      </c>
      <c r="F32" s="24" t="n">
        <v>48</v>
      </c>
      <c r="G32" s="23" t="n">
        <v>2023</v>
      </c>
      <c r="H32" s="24" t="n">
        <v>48</v>
      </c>
      <c r="I32" s="24" t="n"/>
      <c r="J32" s="25" t="n"/>
      <c r="K32" s="35" t="inlineStr">
        <is>
          <t>No later data — report figure stands</t>
        </is>
      </c>
      <c r="L32" s="35" t="inlineStr">
        <is>
          <t>—</t>
        </is>
      </c>
      <c r="M32" s="35" t="inlineStr">
        <is>
          <t>Green Steel Tracker (Leadership Group for Industry Transition)</t>
        </is>
      </c>
    </row>
    <row r="33" ht="15" customHeight="1">
      <c r="A33" s="36" t="inlineStr">
        <is>
          <t>I7b</t>
        </is>
      </c>
      <c r="B33" s="15" t="inlineStr">
        <is>
          <t>Low-carbon cement projects (EU)</t>
        </is>
      </c>
      <c r="C33" s="15" t="inlineStr">
        <is>
          <t>Industry</t>
        </is>
      </c>
      <c r="D33" s="15" t="inlineStr">
        <is>
          <t>projects</t>
        </is>
      </c>
      <c r="E33" s="16" t="n">
        <v>2023</v>
      </c>
      <c r="F33" s="17" t="n">
        <v>62</v>
      </c>
      <c r="G33" s="16" t="n">
        <v>2023</v>
      </c>
      <c r="H33" s="17" t="n">
        <v>62</v>
      </c>
      <c r="I33" s="17" t="n"/>
      <c r="J33" s="18" t="n"/>
      <c r="K33" s="34" t="inlineStr">
        <is>
          <t>No later data — report figure stands</t>
        </is>
      </c>
      <c r="L33" s="34" t="inlineStr">
        <is>
          <t>—</t>
        </is>
      </c>
      <c r="M33" s="20" t="inlineStr">
        <is>
          <t>Cembureau map of innovation projects</t>
        </is>
      </c>
    </row>
    <row r="34" ht="15" customHeight="1">
      <c r="A34" s="37" t="inlineStr">
        <is>
          <t>I7c</t>
        </is>
      </c>
      <c r="B34" s="22" t="inlineStr">
        <is>
          <t>Low-carbon chemicals projects (EU)</t>
        </is>
      </c>
      <c r="C34" s="22" t="inlineStr">
        <is>
          <t>Industry</t>
        </is>
      </c>
      <c r="D34" s="22" t="inlineStr">
        <is>
          <t>projects</t>
        </is>
      </c>
      <c r="E34" s="23" t="n">
        <v>2023</v>
      </c>
      <c r="F34" s="24" t="n">
        <v>171</v>
      </c>
      <c r="G34" s="23" t="n">
        <v>2023</v>
      </c>
      <c r="H34" s="24" t="n">
        <v>171</v>
      </c>
      <c r="I34" s="24" t="n"/>
      <c r="J34" s="25" t="n"/>
      <c r="K34" s="35" t="inlineStr">
        <is>
          <t>No later data — report figure stands</t>
        </is>
      </c>
      <c r="L34" s="35" t="inlineStr">
        <is>
          <t>—</t>
        </is>
      </c>
      <c r="M34" s="27" t="inlineStr">
        <is>
          <t>CEFIC low carbon projects map</t>
        </is>
      </c>
    </row>
    <row r="35" ht="15" customHeight="1">
      <c r="A35" s="39" t="inlineStr">
        <is>
          <t>T1</t>
        </is>
      </c>
      <c r="B35" s="15" t="inlineStr">
        <is>
          <t>Transport GHG emissions (EU)</t>
        </is>
      </c>
      <c r="C35" s="15" t="inlineStr">
        <is>
          <t>Transport</t>
        </is>
      </c>
      <c r="D35" s="15" t="inlineStr">
        <is>
          <t>Mt CO₂eq</t>
        </is>
      </c>
      <c r="E35" s="16" t="n">
        <v>2022</v>
      </c>
      <c r="F35" s="17" t="n">
        <v>906.6</v>
      </c>
      <c r="G35" s="16" t="n">
        <v>2024</v>
      </c>
      <c r="H35" s="17" t="n">
        <v>920</v>
      </c>
      <c r="I35" s="17" t="n">
        <v>13.39999999999998</v>
      </c>
      <c r="J35" s="18" t="n">
        <v>0.01478049856607101</v>
      </c>
      <c r="K35" s="34" t="inlineStr">
        <is>
          <t>Different recipe for the later years</t>
        </is>
      </c>
      <c r="L35" s="34" t="inlineStr">
        <is>
          <t>Reproduces from source</t>
        </is>
      </c>
      <c r="M35" s="20" t="inlineStr">
        <is>
          <t>EEA GHG data viewer (Eurostat env_air_gge mirror)</t>
        </is>
      </c>
    </row>
    <row r="36" ht="15" customHeight="1">
      <c r="A36" s="38" t="inlineStr">
        <is>
          <t>T2a</t>
        </is>
      </c>
      <c r="B36" s="22" t="inlineStr">
        <is>
          <t>Total passenger transport demand</t>
        </is>
      </c>
      <c r="C36" s="22" t="inlineStr">
        <is>
          <t>Transport</t>
        </is>
      </c>
      <c r="D36" s="22" t="inlineStr">
        <is>
          <t>Gpkm</t>
        </is>
      </c>
      <c r="E36" s="23" t="n">
        <v>2020</v>
      </c>
      <c r="F36" s="24" t="n">
        <v>4435.8</v>
      </c>
      <c r="G36" s="23" t="n">
        <v>2023</v>
      </c>
      <c r="H36" s="24" t="n">
        <v>5932</v>
      </c>
      <c r="I36" s="24" t="n">
        <v>1496.2</v>
      </c>
      <c r="J36" s="25" t="n">
        <v>0.3373010505433067</v>
      </c>
      <c r="K36" s="35" t="inlineStr">
        <is>
          <t>Published figure, no derivation</t>
        </is>
      </c>
      <c r="L36" s="35" t="inlineStr">
        <is>
          <t>Published figure, not re-derived</t>
        </is>
      </c>
      <c r="M36" s="35" t="inlineStr">
        <is>
          <t>European Commission, DG MOVE — EU transport in figures: statistical pocketbook</t>
        </is>
      </c>
    </row>
    <row r="37" ht="15" customHeight="1">
      <c r="A37" s="39" t="inlineStr">
        <is>
          <t>T2b</t>
        </is>
      </c>
      <c r="B37" s="15" t="inlineStr">
        <is>
          <t>Total freight transport demand</t>
        </is>
      </c>
      <c r="C37" s="15" t="inlineStr">
        <is>
          <t>Transport</t>
        </is>
      </c>
      <c r="D37" s="15" t="inlineStr">
        <is>
          <t>Gtkm</t>
        </is>
      </c>
      <c r="E37" s="16" t="n">
        <v>2020</v>
      </c>
      <c r="F37" s="17" t="n">
        <v>2254</v>
      </c>
      <c r="G37" s="16" t="n">
        <v>2023</v>
      </c>
      <c r="H37" s="17" t="n">
        <v>2319</v>
      </c>
      <c r="I37" s="17" t="n">
        <v>65</v>
      </c>
      <c r="J37" s="18" t="n">
        <v>0.02883762200532387</v>
      </c>
      <c r="K37" s="34" t="inlineStr">
        <is>
          <t>Published figure, no derivation</t>
        </is>
      </c>
      <c r="L37" s="34" t="inlineStr">
        <is>
          <t>Published figure, not re-derived</t>
        </is>
      </c>
      <c r="M37" s="34" t="inlineStr">
        <is>
          <t>European Commission, DG MOVE — EU transport in figures: statistical pocketbook</t>
        </is>
      </c>
    </row>
    <row r="38" ht="15" customHeight="1">
      <c r="A38" s="38" t="inlineStr">
        <is>
          <t>T3a</t>
        </is>
      </c>
      <c r="B38" s="22" t="inlineStr">
        <is>
          <t>Road share of motorised inland passenger transport</t>
        </is>
      </c>
      <c r="C38" s="22" t="inlineStr">
        <is>
          <t>Transport</t>
        </is>
      </c>
      <c r="D38" s="22" t="inlineStr">
        <is>
          <t>%</t>
        </is>
      </c>
      <c r="E38" s="23" t="n">
        <v>2020</v>
      </c>
      <c r="F38" s="24" t="n">
        <v>86.5</v>
      </c>
      <c r="G38" s="23" t="n">
        <v>2024</v>
      </c>
      <c r="H38" s="24" t="n">
        <v>83.3</v>
      </c>
      <c r="I38" s="24" t="n">
        <v>-3.200000000000003</v>
      </c>
      <c r="J38" s="25" t="n">
        <v>-0.03699421965317922</v>
      </c>
      <c r="K38" s="35" t="inlineStr">
        <is>
          <t>Report's formula, input back-computed</t>
        </is>
      </c>
      <c r="L38" s="35" t="inlineStr">
        <is>
          <t>—</t>
        </is>
      </c>
      <c r="M38" s="35" t="inlineStr">
        <is>
          <t>European Commission, DG MOVE — EU transport in figures: statistical pocketbook</t>
        </is>
      </c>
    </row>
    <row r="39" ht="15" customHeight="1">
      <c r="A39" s="39" t="inlineStr">
        <is>
          <t>T3b</t>
        </is>
      </c>
      <c r="B39" s="15" t="inlineStr">
        <is>
          <t>Intra-EU air passenger transport</t>
        </is>
      </c>
      <c r="C39" s="15" t="inlineStr">
        <is>
          <t>Transport</t>
        </is>
      </c>
      <c r="D39" s="15" t="inlineStr">
        <is>
          <t>Gpkm</t>
        </is>
      </c>
      <c r="E39" s="16" t="n">
        <v>2020</v>
      </c>
      <c r="F39" s="17" t="n">
        <v>177.9</v>
      </c>
      <c r="G39" s="16" t="n">
        <v>2023</v>
      </c>
      <c r="H39" s="17" t="n">
        <v>582</v>
      </c>
      <c r="I39" s="17" t="n">
        <v>404.1</v>
      </c>
      <c r="J39" s="18" t="n">
        <v>2.27150084317032</v>
      </c>
      <c r="K39" s="34" t="inlineStr">
        <is>
          <t>Report's formula, input back-computed</t>
        </is>
      </c>
      <c r="L39" s="34" t="inlineStr">
        <is>
          <t>Published figure, not re-derived</t>
        </is>
      </c>
      <c r="M39" s="34" t="inlineStr">
        <is>
          <t>European Commission, DG MOVE — EU transport in figures: statistical pocketbook</t>
        </is>
      </c>
    </row>
    <row r="40" ht="15" customHeight="1">
      <c r="A40" s="38" t="inlineStr">
        <is>
          <t>T4</t>
        </is>
      </c>
      <c r="B40" s="22" t="inlineStr">
        <is>
          <t>Average CO₂ intensity of new passenger cars (WLTP)</t>
        </is>
      </c>
      <c r="C40" s="22" t="inlineStr">
        <is>
          <t>Transport</t>
        </is>
      </c>
      <c r="D40" s="22" t="inlineStr">
        <is>
          <t>g CO₂/km</t>
        </is>
      </c>
      <c r="E40" s="23" t="n">
        <v>2022</v>
      </c>
      <c r="F40" s="24" t="n">
        <v>108.2</v>
      </c>
      <c r="G40" s="23" t="n">
        <v>2025</v>
      </c>
      <c r="H40" s="24" t="n">
        <v>96.7</v>
      </c>
      <c r="I40" s="24" t="n">
        <v>-11.5</v>
      </c>
      <c r="J40" s="25" t="n">
        <v>-0.1062846580406654</v>
      </c>
      <c r="K40" s="35" t="inlineStr">
        <is>
          <t>Report's formula, input back-computed</t>
        </is>
      </c>
      <c r="L40" s="35" t="inlineStr">
        <is>
          <t>Published figure, not re-derived</t>
        </is>
      </c>
      <c r="M40" s="27" t="inlineStr">
        <is>
          <t>EEA</t>
        </is>
      </c>
    </row>
    <row r="41" ht="15" customHeight="1">
      <c r="A41" s="39" t="inlineStr">
        <is>
          <t>T5a</t>
        </is>
      </c>
      <c r="B41" s="15" t="inlineStr">
        <is>
          <t>ZEV share of new passenger car registrations</t>
        </is>
      </c>
      <c r="C41" s="15" t="inlineStr">
        <is>
          <t>Transport</t>
        </is>
      </c>
      <c r="D41" s="15" t="inlineStr">
        <is>
          <t>%</t>
        </is>
      </c>
      <c r="E41" s="16" t="n">
        <v>2022</v>
      </c>
      <c r="F41" s="17" t="n">
        <v>13.41</v>
      </c>
      <c r="G41" s="16" t="n">
        <v>2025</v>
      </c>
      <c r="H41" s="17" t="n">
        <v>17.4</v>
      </c>
      <c r="I41" s="17" t="n">
        <v>3.989999999999998</v>
      </c>
      <c r="J41" s="18" t="n">
        <v>0.2975391498881431</v>
      </c>
      <c r="K41" s="34" t="inlineStr">
        <is>
          <t>Published figure, no derivation</t>
        </is>
      </c>
      <c r="L41" s="34" t="inlineStr">
        <is>
          <t>Published figure, not re-derived</t>
        </is>
      </c>
      <c r="M41" s="20" t="inlineStr">
        <is>
          <t>EU Alternative Fuels Observatory</t>
        </is>
      </c>
    </row>
    <row r="42" ht="15" customHeight="1">
      <c r="A42" s="38" t="inlineStr">
        <is>
          <t>T5b</t>
        </is>
      </c>
      <c r="B42" s="22" t="inlineStr">
        <is>
          <t>Zero-emission lorries in the EU fleet</t>
        </is>
      </c>
      <c r="C42" s="22" t="inlineStr">
        <is>
          <t>Transport</t>
        </is>
      </c>
      <c r="D42" s="22" t="inlineStr">
        <is>
          <t>vehicles</t>
        </is>
      </c>
      <c r="E42" s="23" t="n">
        <v>2022</v>
      </c>
      <c r="F42" s="24" t="n">
        <v>3794</v>
      </c>
      <c r="G42" s="23" t="n">
        <v>2024</v>
      </c>
      <c r="H42" s="24" t="n">
        <v>9831</v>
      </c>
      <c r="I42" s="24" t="n">
        <v>6037</v>
      </c>
      <c r="J42" s="25" t="n">
        <v>1.591196626251977</v>
      </c>
      <c r="K42" s="35" t="inlineStr">
        <is>
          <t>No calc grid</t>
        </is>
      </c>
      <c r="L42" s="35" t="inlineStr">
        <is>
          <t>—</t>
        </is>
      </c>
      <c r="M42" s="27" t="inlineStr">
        <is>
          <t>EU Alternative Fuels Observatory; EEA for 2022</t>
        </is>
      </c>
    </row>
    <row r="43" ht="15" customHeight="1">
      <c r="A43" s="39" t="inlineStr">
        <is>
          <t>T6a</t>
        </is>
      </c>
      <c r="B43" s="15" t="inlineStr">
        <is>
          <t>Fossil share of transport energy use</t>
        </is>
      </c>
      <c r="C43" s="15" t="inlineStr">
        <is>
          <t>Transport</t>
        </is>
      </c>
      <c r="D43" s="15" t="inlineStr">
        <is>
          <t>%</t>
        </is>
      </c>
      <c r="E43" s="16" t="n">
        <v>2021</v>
      </c>
      <c r="F43" s="17" t="n">
        <v>93.44</v>
      </c>
      <c r="G43" s="16" t="n">
        <v>2024</v>
      </c>
      <c r="H43" s="17" t="n">
        <v>93.17</v>
      </c>
      <c r="I43" s="17" t="n">
        <v>-0.269999999999996</v>
      </c>
      <c r="J43" s="18" t="n">
        <v>-0.002889554794520505</v>
      </c>
      <c r="K43" s="34" t="inlineStr">
        <is>
          <t>Different recipe for the later years</t>
        </is>
      </c>
      <c r="L43" s="34" t="inlineStr">
        <is>
          <t>Reproduces from source</t>
        </is>
      </c>
      <c r="M43" s="20" t="inlineStr">
        <is>
          <t>Eurostat (nrg_bal_s)</t>
        </is>
      </c>
    </row>
    <row r="44" ht="15" customHeight="1">
      <c r="A44" s="38" t="inlineStr">
        <is>
          <t>T6b</t>
        </is>
      </c>
      <c r="B44" s="22" t="inlineStr">
        <is>
          <t>Use of first-generation (food-crop) biofuels in transport</t>
        </is>
      </c>
      <c r="C44" s="22" t="inlineStr">
        <is>
          <t>Transport</t>
        </is>
      </c>
      <c r="D44" s="22" t="inlineStr">
        <is>
          <t>TWh</t>
        </is>
      </c>
      <c r="E44" s="23" t="n">
        <v>2015</v>
      </c>
      <c r="F44" s="24" t="n">
        <v>118.1</v>
      </c>
      <c r="G44" s="23" t="n">
        <v>2015</v>
      </c>
      <c r="H44" s="24" t="n">
        <v>118.1</v>
      </c>
      <c r="I44" s="24" t="n"/>
      <c r="J44" s="25" t="n"/>
      <c r="K44" s="35" t="inlineStr">
        <is>
          <t>No later data — report figure stands</t>
        </is>
      </c>
      <c r="L44" s="35" t="inlineStr">
        <is>
          <t>—</t>
        </is>
      </c>
      <c r="M44" s="35" t="inlineStr">
        <is>
          <t>SHARES summary</t>
        </is>
      </c>
    </row>
    <row r="45" ht="15" customHeight="1">
      <c r="A45" s="41" t="inlineStr">
        <is>
          <t>B1</t>
        </is>
      </c>
      <c r="B45" s="15" t="inlineStr">
        <is>
          <t>Residential + tertiary building GHG emissions</t>
        </is>
      </c>
      <c r="C45" s="15" t="inlineStr">
        <is>
          <t>Buildings</t>
        </is>
      </c>
      <c r="D45" s="15" t="inlineStr">
        <is>
          <t>Mt CO₂eq</t>
        </is>
      </c>
      <c r="E45" s="16" t="n">
        <v>2022</v>
      </c>
      <c r="F45" s="17" t="n">
        <v>481.8</v>
      </c>
      <c r="G45" s="16" t="n">
        <v>2024</v>
      </c>
      <c r="H45" s="17" t="n">
        <v>430.7</v>
      </c>
      <c r="I45" s="17" t="n">
        <v>-51.10000000000002</v>
      </c>
      <c r="J45" s="18" t="n">
        <v>-0.1060606060606061</v>
      </c>
      <c r="K45" s="34" t="inlineStr">
        <is>
          <t>Report's own derivation, continued</t>
        </is>
      </c>
      <c r="L45" s="34" t="inlineStr">
        <is>
          <t>Reproduces from source</t>
        </is>
      </c>
      <c r="M45" s="20" t="inlineStr">
        <is>
          <t>EEA GHG data viewer; 2023+ Eurostat (env_air_gge)</t>
        </is>
      </c>
    </row>
    <row r="46" ht="15" customHeight="1">
      <c r="A46" s="40" t="inlineStr">
        <is>
          <t>B2</t>
        </is>
      </c>
      <c r="B46" s="22" t="inlineStr">
        <is>
          <t>Final energy consumption in buildings</t>
        </is>
      </c>
      <c r="C46" s="22" t="inlineStr">
        <is>
          <t>Buildings</t>
        </is>
      </c>
      <c r="D46" s="22" t="inlineStr">
        <is>
          <t>TWh</t>
        </is>
      </c>
      <c r="E46" s="23" t="n">
        <v>2021</v>
      </c>
      <c r="F46" s="24" t="n">
        <v>4878.7</v>
      </c>
      <c r="G46" s="23" t="n">
        <v>2023</v>
      </c>
      <c r="H46" s="24" t="n">
        <v>4324.2</v>
      </c>
      <c r="I46" s="24" t="n">
        <v>-554.5</v>
      </c>
      <c r="J46" s="25" t="n">
        <v>-0.1136573267468793</v>
      </c>
      <c r="K46" s="35" t="inlineStr">
        <is>
          <t>Published figure, no derivation</t>
        </is>
      </c>
      <c r="L46" s="35" t="inlineStr">
        <is>
          <t>Published figure, not re-derived</t>
        </is>
      </c>
      <c r="M46" s="27" t="inlineStr">
        <is>
          <t>Eurostat (nrg_bal_c)</t>
        </is>
      </c>
    </row>
    <row r="47" ht="15" customHeight="1">
      <c r="A47" s="41" t="inlineStr">
        <is>
          <t>B3 (commercial)</t>
        </is>
      </c>
      <c r="B47" s="15" t="inlineStr">
        <is>
          <t>Commercial weighted renovation rate (EU)</t>
        </is>
      </c>
      <c r="C47" s="15" t="inlineStr">
        <is>
          <t>Buildings</t>
        </is>
      </c>
      <c r="D47" s="15" t="inlineStr">
        <is>
          <t>%</t>
        </is>
      </c>
      <c r="E47" s="16" t="n">
        <v>2020</v>
      </c>
      <c r="F47" s="17" t="n">
        <v>0.6</v>
      </c>
      <c r="G47" s="16" t="n">
        <v>2020</v>
      </c>
      <c r="H47" s="17" t="n">
        <v>0.6</v>
      </c>
      <c r="I47" s="17" t="n"/>
      <c r="J47" s="18" t="n"/>
      <c r="K47" s="34" t="inlineStr">
        <is>
          <t>No later data — report figure stands</t>
        </is>
      </c>
      <c r="L47" s="34" t="inlineStr">
        <is>
          <t>—</t>
        </is>
      </c>
      <c r="M47" s="34" t="inlineStr">
        <is>
          <t>Climate Target Plan impact assessment + Eurostat</t>
        </is>
      </c>
    </row>
    <row r="48" ht="15" customHeight="1">
      <c r="A48" s="40" t="inlineStr">
        <is>
          <t>B3 (residential)</t>
        </is>
      </c>
      <c r="B48" s="22" t="inlineStr">
        <is>
          <t>Residential weighted renovation rate (EU)</t>
        </is>
      </c>
      <c r="C48" s="22" t="inlineStr">
        <is>
          <t>Buildings</t>
        </is>
      </c>
      <c r="D48" s="22" t="inlineStr">
        <is>
          <t>%</t>
        </is>
      </c>
      <c r="E48" s="23" t="n">
        <v>2020</v>
      </c>
      <c r="F48" s="24" t="n">
        <v>1</v>
      </c>
      <c r="G48" s="23" t="n">
        <v>2020</v>
      </c>
      <c r="H48" s="24" t="n">
        <v>1</v>
      </c>
      <c r="I48" s="24" t="n"/>
      <c r="J48" s="25" t="n"/>
      <c r="K48" s="35" t="inlineStr">
        <is>
          <t>No later data — report figure stands</t>
        </is>
      </c>
      <c r="L48" s="35" t="inlineStr">
        <is>
          <t>—</t>
        </is>
      </c>
      <c r="M48" s="35" t="inlineStr">
        <is>
          <t>Climate Target Plan impact assessment + Eurostat</t>
        </is>
      </c>
    </row>
    <row r="49" ht="15" customHeight="1">
      <c r="A49" s="41" t="inlineStr">
        <is>
          <t>B4 (dwellings)</t>
        </is>
      </c>
      <c r="B49" s="15" t="inlineStr">
        <is>
          <t>Total number of dwellings (index, 2005 = 1.0)</t>
        </is>
      </c>
      <c r="C49" s="15" t="inlineStr">
        <is>
          <t>Buildings</t>
        </is>
      </c>
      <c r="D49" s="15" t="inlineStr">
        <is>
          <t>index (2005 = 1.0)</t>
        </is>
      </c>
      <c r="E49" s="16" t="n">
        <v>2016</v>
      </c>
      <c r="F49" s="17" t="n">
        <v>1.086</v>
      </c>
      <c r="G49" s="16" t="n">
        <v>2016</v>
      </c>
      <c r="H49" s="17" t="n">
        <v>1.086</v>
      </c>
      <c r="I49" s="17" t="n"/>
      <c r="J49" s="18" t="n"/>
      <c r="K49" s="34" t="inlineStr">
        <is>
          <t>No later data — report figure stands</t>
        </is>
      </c>
      <c r="L49" s="34" t="inlineStr">
        <is>
          <t>—</t>
        </is>
      </c>
      <c r="M49" s="20" t="inlineStr">
        <is>
          <t>European Building Stock Observatory (DG ENER) + Odyssee-Mure; population from Eurostat demo_gind</t>
        </is>
      </c>
    </row>
    <row r="50" ht="15" customHeight="1">
      <c r="A50" s="40" t="inlineStr">
        <is>
          <t>B4 (floor area)</t>
        </is>
      </c>
      <c r="B50" s="22" t="inlineStr">
        <is>
          <t>Average floor area per dwelling (index, 2005 = 1.0)</t>
        </is>
      </c>
      <c r="C50" s="22" t="inlineStr">
        <is>
          <t>Buildings</t>
        </is>
      </c>
      <c r="D50" s="22" t="inlineStr">
        <is>
          <t>index (2005 = 1.0)</t>
        </is>
      </c>
      <c r="E50" s="23" t="n">
        <v>2020</v>
      </c>
      <c r="F50" s="24" t="n">
        <v>1.044</v>
      </c>
      <c r="G50" s="23" t="n">
        <v>2020</v>
      </c>
      <c r="H50" s="24" t="n">
        <v>1.044</v>
      </c>
      <c r="I50" s="24" t="n"/>
      <c r="J50" s="25" t="n"/>
      <c r="K50" s="35" t="inlineStr">
        <is>
          <t>No later data — report figure stands</t>
        </is>
      </c>
      <c r="L50" s="35" t="inlineStr">
        <is>
          <t>—</t>
        </is>
      </c>
      <c r="M50" s="27" t="inlineStr">
        <is>
          <t>European Building Stock Observatory (DG ENER) + Odyssee-Mure; population from Eurostat demo_gind</t>
        </is>
      </c>
    </row>
    <row r="51" ht="15" customHeight="1">
      <c r="A51" s="41" t="inlineStr">
        <is>
          <t>B4 (population)</t>
        </is>
      </c>
      <c r="B51" s="15" t="inlineStr">
        <is>
          <t>EU population (index, 2005 = 1.0)</t>
        </is>
      </c>
      <c r="C51" s="15" t="inlineStr">
        <is>
          <t>Buildings</t>
        </is>
      </c>
      <c r="D51" s="15" t="inlineStr">
        <is>
          <t>index (2005 = 1.0)</t>
        </is>
      </c>
      <c r="E51" s="16" t="n">
        <v>2020</v>
      </c>
      <c r="F51" s="17" t="n">
        <v>1.028</v>
      </c>
      <c r="G51" s="16" t="n">
        <v>2025</v>
      </c>
      <c r="H51" s="17" t="n">
        <v>1.04</v>
      </c>
      <c r="I51" s="17" t="n">
        <v>0.01200000000000001</v>
      </c>
      <c r="J51" s="18" t="n">
        <v>0.01167315175097277</v>
      </c>
      <c r="K51" s="34" t="inlineStr">
        <is>
          <t>No calc grid</t>
        </is>
      </c>
      <c r="L51" s="34" t="inlineStr">
        <is>
          <t>Reproduces from source</t>
        </is>
      </c>
      <c r="M51" s="20" t="inlineStr">
        <is>
          <t>European Building Stock Observatory (DG ENER) + Odyssee-Mure; population from Eurostat demo_gind</t>
        </is>
      </c>
    </row>
    <row r="52" ht="15" customHeight="1">
      <c r="A52" s="40" t="inlineStr">
        <is>
          <t>B4 (surface residential)</t>
        </is>
      </c>
      <c r="B52" s="22" t="inlineStr">
        <is>
          <t>Total residential floor surface (index, 2005 = 1.0)</t>
        </is>
      </c>
      <c r="C52" s="22" t="inlineStr">
        <is>
          <t>Buildings</t>
        </is>
      </c>
      <c r="D52" s="22" t="inlineStr">
        <is>
          <t>index (2005 = 1.0)</t>
        </is>
      </c>
      <c r="E52" s="23" t="n">
        <v>2016</v>
      </c>
      <c r="F52" s="24" t="n">
        <v>1.131</v>
      </c>
      <c r="G52" s="23" t="n">
        <v>2016</v>
      </c>
      <c r="H52" s="24" t="n">
        <v>1.131</v>
      </c>
      <c r="I52" s="24" t="n"/>
      <c r="J52" s="25" t="n"/>
      <c r="K52" s="35" t="inlineStr">
        <is>
          <t>No later data — report figure stands</t>
        </is>
      </c>
      <c r="L52" s="35" t="inlineStr">
        <is>
          <t>—</t>
        </is>
      </c>
      <c r="M52" s="27" t="inlineStr">
        <is>
          <t>European Building Stock Observatory (DG ENER) + Odyssee-Mure; population from Eurostat demo_gind</t>
        </is>
      </c>
    </row>
    <row r="53" ht="15" customHeight="1">
      <c r="A53" s="41" t="inlineStr">
        <is>
          <t>B4 (surface tertiary)</t>
        </is>
      </c>
      <c r="B53" s="15" t="inlineStr">
        <is>
          <t>Total tertiary floor surface (index, 2005 = 1.0)</t>
        </is>
      </c>
      <c r="C53" s="15" t="inlineStr">
        <is>
          <t>Buildings</t>
        </is>
      </c>
      <c r="D53" s="15" t="inlineStr">
        <is>
          <t>index (2005 = 1.0)</t>
        </is>
      </c>
      <c r="E53" s="16" t="n">
        <v>2019</v>
      </c>
      <c r="F53" s="17" t="n">
        <v>1.12</v>
      </c>
      <c r="G53" s="16" t="n">
        <v>2019</v>
      </c>
      <c r="H53" s="17" t="n">
        <v>1.12</v>
      </c>
      <c r="I53" s="17" t="n"/>
      <c r="J53" s="18" t="n"/>
      <c r="K53" s="34" t="inlineStr">
        <is>
          <t>No later data — report figure stands</t>
        </is>
      </c>
      <c r="L53" s="34" t="inlineStr">
        <is>
          <t>—</t>
        </is>
      </c>
      <c r="M53" s="20" t="inlineStr">
        <is>
          <t>European Building Stock Observatory (DG ENER) + Odyssee-Mure; population from Eurostat demo_gind</t>
        </is>
      </c>
    </row>
    <row r="54" ht="15" customHeight="1">
      <c r="A54" s="40" t="inlineStr">
        <is>
          <t>B5a</t>
        </is>
      </c>
      <c r="B54" s="22" t="inlineStr">
        <is>
          <t>Fossil share of residential energy mix</t>
        </is>
      </c>
      <c r="C54" s="22" t="inlineStr">
        <is>
          <t>Buildings</t>
        </is>
      </c>
      <c r="D54" s="22" t="inlineStr">
        <is>
          <t>%</t>
        </is>
      </c>
      <c r="E54" s="23" t="n">
        <v>2021</v>
      </c>
      <c r="F54" s="24" t="n">
        <v>45.58</v>
      </c>
      <c r="G54" s="23" t="n">
        <v>2023</v>
      </c>
      <c r="H54" s="24" t="n">
        <v>42</v>
      </c>
      <c r="I54" s="24" t="n">
        <v>-3.579999999999998</v>
      </c>
      <c r="J54" s="25" t="n">
        <v>-0.07854322071083805</v>
      </c>
      <c r="K54" s="35" t="inlineStr">
        <is>
          <t>Published figure, no derivation</t>
        </is>
      </c>
      <c r="L54" s="35" t="inlineStr">
        <is>
          <t>Published figure, not re-derived</t>
        </is>
      </c>
      <c r="M54" s="27" t="inlineStr">
        <is>
          <t>Eurostat (nrg_bal_c)</t>
        </is>
      </c>
    </row>
    <row r="55" ht="15" customHeight="1">
      <c r="A55" s="41" t="inlineStr">
        <is>
          <t>B5b</t>
        </is>
      </c>
      <c r="B55" s="15" t="inlineStr">
        <is>
          <t>Fossil share of tertiary energy mix</t>
        </is>
      </c>
      <c r="C55" s="15" t="inlineStr">
        <is>
          <t>Buildings</t>
        </is>
      </c>
      <c r="D55" s="15" t="inlineStr">
        <is>
          <t>%</t>
        </is>
      </c>
      <c r="E55" s="16" t="n">
        <v>2021</v>
      </c>
      <c r="F55" s="17" t="n">
        <v>38.74</v>
      </c>
      <c r="G55" s="16" t="n">
        <v>2023</v>
      </c>
      <c r="H55" s="17" t="n">
        <v>32.2</v>
      </c>
      <c r="I55" s="17" t="n">
        <v>-6.539999999999999</v>
      </c>
      <c r="J55" s="18" t="n">
        <v>-0.1688177594217862</v>
      </c>
      <c r="K55" s="34" t="inlineStr">
        <is>
          <t>Published figure, no derivation</t>
        </is>
      </c>
      <c r="L55" s="34" t="inlineStr">
        <is>
          <t>Published figure, not re-derived</t>
        </is>
      </c>
      <c r="M55" s="20" t="inlineStr">
        <is>
          <t>Eurostat (nrg_bal_c)</t>
        </is>
      </c>
    </row>
    <row r="56" ht="15" customHeight="1">
      <c r="A56" s="40" t="inlineStr">
        <is>
          <t>B6</t>
        </is>
      </c>
      <c r="B56" s="22" t="inlineStr">
        <is>
          <t>EU stock of installed heat pumps</t>
        </is>
      </c>
      <c r="C56" s="22" t="inlineStr">
        <is>
          <t>Buildings</t>
        </is>
      </c>
      <c r="D56" s="22" t="inlineStr">
        <is>
          <t>million units</t>
        </is>
      </c>
      <c r="E56" s="23" t="n">
        <v>2022</v>
      </c>
      <c r="F56" s="24" t="n">
        <v>19.79</v>
      </c>
      <c r="G56" s="23" t="n">
        <v>2024</v>
      </c>
      <c r="H56" s="24" t="n">
        <v>25.5</v>
      </c>
      <c r="I56" s="24" t="n">
        <v>5.710000000000001</v>
      </c>
      <c r="J56" s="25" t="n">
        <v>0.2885295603840324</v>
      </c>
      <c r="K56" s="35" t="inlineStr">
        <is>
          <t>Report's formula, input back-computed</t>
        </is>
      </c>
      <c r="L56" s="35" t="inlineStr">
        <is>
          <t>Published figure, not re-derived</t>
        </is>
      </c>
      <c r="M56" s="27" t="inlineStr">
        <is>
          <t>European Heat Pump Association</t>
        </is>
      </c>
    </row>
    <row r="57" ht="15" customHeight="1">
      <c r="A57" s="42" t="inlineStr">
        <is>
          <t>A1</t>
        </is>
      </c>
      <c r="B57" s="15" t="inlineStr">
        <is>
          <t>Agricultural non-CO₂ emissions</t>
        </is>
      </c>
      <c r="C57" s="15" t="inlineStr">
        <is>
          <t>Agriculture</t>
        </is>
      </c>
      <c r="D57" s="15" t="inlineStr">
        <is>
          <t>Mt CO₂eq</t>
        </is>
      </c>
      <c r="E57" s="16" t="n">
        <v>2022</v>
      </c>
      <c r="F57" s="17" t="n">
        <v>360.9</v>
      </c>
      <c r="G57" s="16" t="n">
        <v>2024</v>
      </c>
      <c r="H57" s="17" t="n">
        <v>355.7</v>
      </c>
      <c r="I57" s="17" t="n">
        <v>-5.199999999999989</v>
      </c>
      <c r="J57" s="18" t="n">
        <v>-0.01440842338597947</v>
      </c>
      <c r="K57" s="34" t="inlineStr">
        <is>
          <t>Different recipe for the later years</t>
        </is>
      </c>
      <c r="L57" s="34" t="inlineStr">
        <is>
          <t>Reproduces from source</t>
        </is>
      </c>
      <c r="M57" s="20" t="inlineStr">
        <is>
          <t>EEA GHG data viewer; 2023+ Eurostat (env_air_gge, GWP-weighted)</t>
        </is>
      </c>
    </row>
    <row r="58" ht="15" customHeight="1">
      <c r="A58" s="43" t="inlineStr">
        <is>
          <t>A2 (bovine, GHG)</t>
        </is>
      </c>
      <c r="B58" s="22" t="inlineStr">
        <is>
          <t>Bovine meat: GHG emissions (EU)</t>
        </is>
      </c>
      <c r="C58" s="22" t="inlineStr">
        <is>
          <t>Agriculture</t>
        </is>
      </c>
      <c r="D58" s="22" t="inlineStr">
        <is>
          <t>Mt CO₂eq</t>
        </is>
      </c>
      <c r="E58" s="23" t="n">
        <v>2021</v>
      </c>
      <c r="F58" s="24" t="n">
        <v>100.3</v>
      </c>
      <c r="G58" s="23" t="n">
        <v>2021</v>
      </c>
      <c r="H58" s="24" t="n">
        <v>100.3</v>
      </c>
      <c r="I58" s="24" t="n"/>
      <c r="J58" s="25" t="n"/>
      <c r="K58" s="35" t="inlineStr">
        <is>
          <t>No later data — report figure stands</t>
        </is>
      </c>
      <c r="L58" s="35" t="inlineStr">
        <is>
          <t>—</t>
        </is>
      </c>
      <c r="M58" s="27" t="inlineStr">
        <is>
          <t>EEA GHG data viewer + Eurostat/FAOSTAT production</t>
        </is>
      </c>
    </row>
    <row r="59" ht="15" customHeight="1">
      <c r="A59" s="42" t="inlineStr">
        <is>
          <t>A2 (bovine, intensity)</t>
        </is>
      </c>
      <c r="B59" s="15" t="inlineStr">
        <is>
          <t>Bovine meat: GHG intensity (EU)</t>
        </is>
      </c>
      <c r="C59" s="15" t="inlineStr">
        <is>
          <t>Agriculture</t>
        </is>
      </c>
      <c r="D59" s="15" t="inlineStr">
        <is>
          <t>t CO₂eq/t</t>
        </is>
      </c>
      <c r="E59" s="16" t="n">
        <v>2020</v>
      </c>
      <c r="F59" s="17" t="n">
        <v>14.53</v>
      </c>
      <c r="G59" s="16" t="n">
        <v>2020</v>
      </c>
      <c r="H59" s="17" t="n">
        <v>14.53</v>
      </c>
      <c r="I59" s="17" t="n"/>
      <c r="J59" s="18" t="n"/>
      <c r="K59" s="34" t="inlineStr">
        <is>
          <t>No later data — report figure stands</t>
        </is>
      </c>
      <c r="L59" s="34" t="inlineStr">
        <is>
          <t>—</t>
        </is>
      </c>
      <c r="M59" s="20" t="inlineStr">
        <is>
          <t>EEA GHG data viewer + Eurostat/FAOSTAT production</t>
        </is>
      </c>
    </row>
    <row r="60" ht="15" customHeight="1">
      <c r="A60" s="43" t="inlineStr">
        <is>
          <t>A2 (bovine, production)</t>
        </is>
      </c>
      <c r="B60" s="22" t="inlineStr">
        <is>
          <t>Bovine meat: production (EU)</t>
        </is>
      </c>
      <c r="C60" s="22" t="inlineStr">
        <is>
          <t>Agriculture</t>
        </is>
      </c>
      <c r="D60" s="22" t="inlineStr">
        <is>
          <t>Mt</t>
        </is>
      </c>
      <c r="E60" s="23" t="n">
        <v>2020</v>
      </c>
      <c r="F60" s="24" t="n">
        <v>6.936</v>
      </c>
      <c r="G60" s="23" t="n">
        <v>2025</v>
      </c>
      <c r="H60" s="24" t="n">
        <v>6.32</v>
      </c>
      <c r="I60" s="24" t="n">
        <v>-0.6159999999999997</v>
      </c>
      <c r="J60" s="25" t="n">
        <v>-0.08881199538638979</v>
      </c>
      <c r="K60" s="35" t="inlineStr">
        <is>
          <t>Different recipe for the later years</t>
        </is>
      </c>
      <c r="L60" s="35" t="inlineStr">
        <is>
          <t>Reproduces from source</t>
        </is>
      </c>
      <c r="M60" s="27" t="inlineStr">
        <is>
          <t>Eurostat (apro_mt_pann)</t>
        </is>
      </c>
    </row>
    <row r="61" ht="15" customHeight="1">
      <c r="A61" s="42" t="inlineStr">
        <is>
          <t>A2 (dairy, GHG)</t>
        </is>
      </c>
      <c r="B61" s="15" t="inlineStr">
        <is>
          <t>Dairy products: GHG emissions (EU)</t>
        </is>
      </c>
      <c r="C61" s="15" t="inlineStr">
        <is>
          <t>Agriculture</t>
        </is>
      </c>
      <c r="D61" s="15" t="inlineStr">
        <is>
          <t>Mt CO₂eq</t>
        </is>
      </c>
      <c r="E61" s="16" t="n">
        <v>2021</v>
      </c>
      <c r="F61" s="17" t="n">
        <v>97.79000000000001</v>
      </c>
      <c r="G61" s="16" t="n">
        <v>2021</v>
      </c>
      <c r="H61" s="17" t="n">
        <v>97.79000000000001</v>
      </c>
      <c r="I61" s="17" t="n"/>
      <c r="J61" s="18" t="n"/>
      <c r="K61" s="34" t="inlineStr">
        <is>
          <t>No later data — report figure stands</t>
        </is>
      </c>
      <c r="L61" s="34" t="inlineStr">
        <is>
          <t>—</t>
        </is>
      </c>
      <c r="M61" s="20" t="inlineStr">
        <is>
          <t>EEA GHG data viewer + Eurostat/FAOSTAT production</t>
        </is>
      </c>
    </row>
    <row r="62" ht="15" customHeight="1">
      <c r="A62" s="43" t="inlineStr">
        <is>
          <t>A2 (dairy, intensity)</t>
        </is>
      </c>
      <c r="B62" s="22" t="inlineStr">
        <is>
          <t>Dairy products: GHG intensity (EU)</t>
        </is>
      </c>
      <c r="C62" s="22" t="inlineStr">
        <is>
          <t>Agriculture</t>
        </is>
      </c>
      <c r="D62" s="22" t="inlineStr">
        <is>
          <t>t CO₂eq/t</t>
        </is>
      </c>
      <c r="E62" s="23" t="n">
        <v>2020</v>
      </c>
      <c r="F62" s="24" t="n">
        <v>0.6049</v>
      </c>
      <c r="G62" s="23" t="n">
        <v>2020</v>
      </c>
      <c r="H62" s="24" t="n">
        <v>0.6049</v>
      </c>
      <c r="I62" s="24" t="n"/>
      <c r="J62" s="25" t="n"/>
      <c r="K62" s="35" t="inlineStr">
        <is>
          <t>No later data — report figure stands</t>
        </is>
      </c>
      <c r="L62" s="35" t="inlineStr">
        <is>
          <t>—</t>
        </is>
      </c>
      <c r="M62" s="27" t="inlineStr">
        <is>
          <t>EEA GHG data viewer + Eurostat/FAOSTAT production</t>
        </is>
      </c>
    </row>
    <row r="63" ht="15" customHeight="1">
      <c r="A63" s="42" t="inlineStr">
        <is>
          <t>A2 (dairy, production)</t>
        </is>
      </c>
      <c r="B63" s="15" t="inlineStr">
        <is>
          <t>Dairy products: production (EU)</t>
        </is>
      </c>
      <c r="C63" s="15" t="inlineStr">
        <is>
          <t>Agriculture</t>
        </is>
      </c>
      <c r="D63" s="15" t="inlineStr">
        <is>
          <t>Mt</t>
        </is>
      </c>
      <c r="E63" s="16" t="n">
        <v>2020</v>
      </c>
      <c r="F63" s="17" t="n">
        <v>163.1</v>
      </c>
      <c r="G63" s="16" t="n">
        <v>2024</v>
      </c>
      <c r="H63" s="17" t="n">
        <v>164.6</v>
      </c>
      <c r="I63" s="17" t="n">
        <v>1.5</v>
      </c>
      <c r="J63" s="18" t="n">
        <v>0.009196811771919068</v>
      </c>
      <c r="K63" s="34" t="inlineStr">
        <is>
          <t>Different recipe for the later years</t>
        </is>
      </c>
      <c r="L63" s="34" t="inlineStr">
        <is>
          <t>Reproduces from source</t>
        </is>
      </c>
      <c r="M63" s="20" t="inlineStr">
        <is>
          <t>Eurostat (apro_mk_farm)</t>
        </is>
      </c>
    </row>
    <row r="64" ht="15" customHeight="1">
      <c r="A64" s="43" t="inlineStr">
        <is>
          <t>A2 (pig, GHG)</t>
        </is>
      </c>
      <c r="B64" s="22" t="inlineStr">
        <is>
          <t>Pig meat: GHG emissions (EU)</t>
        </is>
      </c>
      <c r="C64" s="22" t="inlineStr">
        <is>
          <t>Agriculture</t>
        </is>
      </c>
      <c r="D64" s="22" t="inlineStr">
        <is>
          <t>Mt CO₂eq</t>
        </is>
      </c>
      <c r="E64" s="23" t="n">
        <v>2021</v>
      </c>
      <c r="F64" s="24" t="n">
        <v>28.58</v>
      </c>
      <c r="G64" s="23" t="n">
        <v>2024</v>
      </c>
      <c r="H64" s="24" t="n">
        <v>26.18</v>
      </c>
      <c r="I64" s="24" t="n">
        <v>-2.399999999999999</v>
      </c>
      <c r="J64" s="25" t="n">
        <v>-0.08397480755773264</v>
      </c>
      <c r="K64" s="35" t="inlineStr">
        <is>
          <t>Different recipe for the later years</t>
        </is>
      </c>
      <c r="L64" s="35" t="inlineStr">
        <is>
          <t>Reproduces from source</t>
        </is>
      </c>
      <c r="M64" s="27" t="inlineStr">
        <is>
          <t>EEA GHG data viewer; 2022+ Eurostat (env_air_gge, swine CRF3A3+3B3)</t>
        </is>
      </c>
    </row>
    <row r="65" ht="15" customHeight="1">
      <c r="A65" s="42" t="inlineStr">
        <is>
          <t>A2 (pig, intensity)</t>
        </is>
      </c>
      <c r="B65" s="15" t="inlineStr">
        <is>
          <t>Pig meat: GHG intensity (EU)</t>
        </is>
      </c>
      <c r="C65" s="15" t="inlineStr">
        <is>
          <t>Agriculture</t>
        </is>
      </c>
      <c r="D65" s="15" t="inlineStr">
        <is>
          <t>t CO₂eq/t</t>
        </is>
      </c>
      <c r="E65" s="16" t="n">
        <v>2020</v>
      </c>
      <c r="F65" s="17" t="n">
        <v>1.264</v>
      </c>
      <c r="G65" s="16" t="n">
        <v>2024</v>
      </c>
      <c r="H65" s="17" t="n">
        <v>1.238</v>
      </c>
      <c r="I65" s="17" t="n">
        <v>-0.02600000000000002</v>
      </c>
      <c r="J65" s="18" t="n">
        <v>-0.02056962025316458</v>
      </c>
      <c r="K65" s="34" t="inlineStr">
        <is>
          <t>Different recipe for the later years</t>
        </is>
      </c>
      <c r="L65" s="34" t="inlineStr">
        <is>
          <t>Reproduces from source</t>
        </is>
      </c>
      <c r="M65" s="20" t="inlineStr">
        <is>
          <t>EEA GHG data viewer; 2021+ Eurostat (env_air_gge ÷ apro_mt_pann)</t>
        </is>
      </c>
    </row>
    <row r="66" ht="15" customHeight="1">
      <c r="A66" s="43" t="inlineStr">
        <is>
          <t>A2 (pig, production)</t>
        </is>
      </c>
      <c r="B66" s="22" t="inlineStr">
        <is>
          <t>Pig meat: production (EU)</t>
        </is>
      </c>
      <c r="C66" s="22" t="inlineStr">
        <is>
          <t>Agriculture</t>
        </is>
      </c>
      <c r="D66" s="22" t="inlineStr">
        <is>
          <t>Mt</t>
        </is>
      </c>
      <c r="E66" s="23" t="n">
        <v>2020</v>
      </c>
      <c r="F66" s="24" t="n">
        <v>23.22</v>
      </c>
      <c r="G66" s="23" t="n">
        <v>2025</v>
      </c>
      <c r="H66" s="24" t="n">
        <v>21.84</v>
      </c>
      <c r="I66" s="24" t="n">
        <v>-1.379999999999999</v>
      </c>
      <c r="J66" s="25" t="n">
        <v>-0.05943152454780358</v>
      </c>
      <c r="K66" s="35" t="inlineStr">
        <is>
          <t>Different recipe for the later years</t>
        </is>
      </c>
      <c r="L66" s="35" t="inlineStr">
        <is>
          <t>Reproduces from source</t>
        </is>
      </c>
      <c r="M66" s="27" t="inlineStr">
        <is>
          <t>Eurostat (apro_mt_pann)</t>
        </is>
      </c>
    </row>
    <row r="67" ht="15" customHeight="1">
      <c r="A67" s="42" t="inlineStr">
        <is>
          <t>A3 (NUE)</t>
        </is>
      </c>
      <c r="B67" s="15" t="inlineStr">
        <is>
          <t>Nitrogen use efficiency in EU agriculture</t>
        </is>
      </c>
      <c r="C67" s="15" t="inlineStr">
        <is>
          <t>Agriculture</t>
        </is>
      </c>
      <c r="D67" s="15" t="inlineStr">
        <is>
          <t>%</t>
        </is>
      </c>
      <c r="E67" s="16" t="n">
        <v>2020</v>
      </c>
      <c r="F67" s="17" t="n">
        <v>49.03</v>
      </c>
      <c r="G67" s="16" t="n">
        <v>2020</v>
      </c>
      <c r="H67" s="17" t="n">
        <v>49.03</v>
      </c>
      <c r="I67" s="17" t="n"/>
      <c r="J67" s="18" t="n"/>
      <c r="K67" s="34" t="inlineStr">
        <is>
          <t>No later data — report figure stands</t>
        </is>
      </c>
      <c r="L67" s="34" t="inlineStr">
        <is>
          <t>—</t>
        </is>
      </c>
      <c r="M67" s="34" t="inlineStr">
        <is>
          <t>Ludemann et al. 2023</t>
        </is>
      </c>
    </row>
    <row r="68" ht="15" customHeight="1">
      <c r="A68" s="43" t="inlineStr">
        <is>
          <t>A3 (use)</t>
        </is>
      </c>
      <c r="B68" s="22" t="inlineStr">
        <is>
          <t>Total fertiliser nitrogen use (EU)</t>
        </is>
      </c>
      <c r="C68" s="22" t="inlineStr">
        <is>
          <t>Agriculture</t>
        </is>
      </c>
      <c r="D68" s="22" t="inlineStr">
        <is>
          <t>Mt N</t>
        </is>
      </c>
      <c r="E68" s="23" t="n">
        <v>2021</v>
      </c>
      <c r="F68" s="24" t="n">
        <v>15.01</v>
      </c>
      <c r="G68" s="23" t="n">
        <v>2021</v>
      </c>
      <c r="H68" s="24" t="n">
        <v>15.01</v>
      </c>
      <c r="I68" s="24" t="n"/>
      <c r="J68" s="25" t="n"/>
      <c r="K68" s="35" t="inlineStr">
        <is>
          <t>No later data — report figure stands</t>
        </is>
      </c>
      <c r="L68" s="35" t="inlineStr">
        <is>
          <t>—</t>
        </is>
      </c>
      <c r="M68" s="27" t="inlineStr">
        <is>
          <t>EU GHG inventory (CRF)</t>
        </is>
      </c>
    </row>
    <row r="69" ht="15" customHeight="1">
      <c r="A69" s="42" t="inlineStr">
        <is>
          <t>A4 (bovine, consumption)</t>
        </is>
      </c>
      <c r="B69" s="15" t="inlineStr">
        <is>
          <t>Bovine meat: consumption (EU)</t>
        </is>
      </c>
      <c r="C69" s="15" t="inlineStr">
        <is>
          <t>Agriculture</t>
        </is>
      </c>
      <c r="D69" s="15" t="inlineStr">
        <is>
          <t>Mt</t>
        </is>
      </c>
      <c r="E69" s="16" t="n">
        <v>2020</v>
      </c>
      <c r="F69" s="17" t="n">
        <v>6.115</v>
      </c>
      <c r="G69" s="16" t="n">
        <v>2020</v>
      </c>
      <c r="H69" s="17" t="n">
        <v>6.115</v>
      </c>
      <c r="I69" s="17" t="n"/>
      <c r="J69" s="18" t="n"/>
      <c r="K69" s="34" t="inlineStr">
        <is>
          <t>No later data — report figure stands</t>
        </is>
      </c>
      <c r="L69" s="34" t="inlineStr">
        <is>
          <t>—</t>
        </is>
      </c>
      <c r="M69" s="34" t="inlineStr">
        <is>
          <t>FAOSTAT food balance sheets</t>
        </is>
      </c>
    </row>
    <row r="70" ht="15" customHeight="1">
      <c r="A70" s="43" t="inlineStr">
        <is>
          <t>A4 (bovine, herd)</t>
        </is>
      </c>
      <c r="B70" s="22" t="inlineStr">
        <is>
          <t>Bovine meat: herd size (EU)</t>
        </is>
      </c>
      <c r="C70" s="22" t="inlineStr">
        <is>
          <t>Agriculture</t>
        </is>
      </c>
      <c r="D70" s="22" t="inlineStr">
        <is>
          <t>million heads</t>
        </is>
      </c>
      <c r="E70" s="23" t="n">
        <v>2020</v>
      </c>
      <c r="F70" s="24" t="n">
        <v>60.16</v>
      </c>
      <c r="G70" s="23" t="n">
        <v>2025</v>
      </c>
      <c r="H70" s="24" t="n">
        <v>56.26</v>
      </c>
      <c r="I70" s="24" t="n">
        <v>-3.899999999999999</v>
      </c>
      <c r="J70" s="25" t="n">
        <v>-0.06482712765957445</v>
      </c>
      <c r="K70" s="35" t="inlineStr">
        <is>
          <t>Different recipe for the later years</t>
        </is>
      </c>
      <c r="L70" s="35" t="inlineStr">
        <is>
          <t>Reproduces from source</t>
        </is>
      </c>
      <c r="M70" s="27" t="inlineStr">
        <is>
          <t>EU GHG inventory (CRF) livestock populations; 2021+ Eurostat survey trend</t>
        </is>
      </c>
    </row>
    <row r="71" ht="15" customHeight="1">
      <c r="A71" s="42" t="inlineStr">
        <is>
          <t>A4 (bovine, production)</t>
        </is>
      </c>
      <c r="B71" s="15" t="inlineStr">
        <is>
          <t>Bovine meat: production (EU)</t>
        </is>
      </c>
      <c r="C71" s="15" t="inlineStr">
        <is>
          <t>Agriculture</t>
        </is>
      </c>
      <c r="D71" s="15" t="inlineStr">
        <is>
          <t>Mt</t>
        </is>
      </c>
      <c r="E71" s="16" t="n">
        <v>2020</v>
      </c>
      <c r="F71" s="17" t="n">
        <v>6.936</v>
      </c>
      <c r="G71" s="16" t="n">
        <v>2025</v>
      </c>
      <c r="H71" s="17" t="n">
        <v>6.32</v>
      </c>
      <c r="I71" s="17" t="n">
        <v>-0.6159999999999997</v>
      </c>
      <c r="J71" s="18" t="n">
        <v>-0.08881199538638979</v>
      </c>
      <c r="K71" s="34" t="inlineStr">
        <is>
          <t>Different recipe for the later years</t>
        </is>
      </c>
      <c r="L71" s="34" t="inlineStr">
        <is>
          <t>Reproduces from source</t>
        </is>
      </c>
      <c r="M71" s="20" t="inlineStr">
        <is>
          <t>Eurostat (apro_mt_pann)</t>
        </is>
      </c>
    </row>
    <row r="72" ht="15" customHeight="1">
      <c r="A72" s="43" t="inlineStr">
        <is>
          <t>A4 (dairy, consumption)</t>
        </is>
      </c>
      <c r="B72" s="22" t="inlineStr">
        <is>
          <t>Dairy products: consumption (EU)</t>
        </is>
      </c>
      <c r="C72" s="22" t="inlineStr">
        <is>
          <t>Agriculture</t>
        </is>
      </c>
      <c r="D72" s="22" t="inlineStr">
        <is>
          <t>Mt</t>
        </is>
      </c>
      <c r="E72" s="23" t="n">
        <v>2020</v>
      </c>
      <c r="F72" s="24" t="n">
        <v>86.63</v>
      </c>
      <c r="G72" s="23" t="n">
        <v>2020</v>
      </c>
      <c r="H72" s="24" t="n">
        <v>86.63</v>
      </c>
      <c r="I72" s="24" t="n"/>
      <c r="J72" s="25" t="n"/>
      <c r="K72" s="35" t="inlineStr">
        <is>
          <t>No later data — report figure stands</t>
        </is>
      </c>
      <c r="L72" s="35" t="inlineStr">
        <is>
          <t>—</t>
        </is>
      </c>
      <c r="M72" s="35" t="inlineStr">
        <is>
          <t>FAOSTAT food balance sheets</t>
        </is>
      </c>
    </row>
    <row r="73" ht="15" customHeight="1">
      <c r="A73" s="42" t="inlineStr">
        <is>
          <t>A4 (dairy, herd)</t>
        </is>
      </c>
      <c r="B73" s="15" t="inlineStr">
        <is>
          <t>Dairy products: herd size (EU)</t>
        </is>
      </c>
      <c r="C73" s="15" t="inlineStr">
        <is>
          <t>Agriculture</t>
        </is>
      </c>
      <c r="D73" s="15" t="inlineStr">
        <is>
          <t>million heads</t>
        </is>
      </c>
      <c r="E73" s="16" t="n">
        <v>2020</v>
      </c>
      <c r="F73" s="17" t="n">
        <v>20.63</v>
      </c>
      <c r="G73" s="16" t="n">
        <v>2025</v>
      </c>
      <c r="H73" s="17" t="n">
        <v>19.02</v>
      </c>
      <c r="I73" s="17" t="n">
        <v>-1.609999999999999</v>
      </c>
      <c r="J73" s="18" t="n">
        <v>-0.07804168686379057</v>
      </c>
      <c r="K73" s="34" t="inlineStr">
        <is>
          <t>Different recipe for the later years</t>
        </is>
      </c>
      <c r="L73" s="34" t="inlineStr">
        <is>
          <t>Reproduces from source</t>
        </is>
      </c>
      <c r="M73" s="20" t="inlineStr">
        <is>
          <t>EU GHG inventory (CRF) livestock populations; 2021+ Eurostat survey trend</t>
        </is>
      </c>
    </row>
    <row r="74" ht="15" customHeight="1">
      <c r="A74" s="43" t="inlineStr">
        <is>
          <t>A4 (dairy, production)</t>
        </is>
      </c>
      <c r="B74" s="22" t="inlineStr">
        <is>
          <t>Dairy products: production (EU)</t>
        </is>
      </c>
      <c r="C74" s="22" t="inlineStr">
        <is>
          <t>Agriculture</t>
        </is>
      </c>
      <c r="D74" s="22" t="inlineStr">
        <is>
          <t>Mt</t>
        </is>
      </c>
      <c r="E74" s="23" t="n">
        <v>2020</v>
      </c>
      <c r="F74" s="24" t="n">
        <v>163.1</v>
      </c>
      <c r="G74" s="23" t="n">
        <v>2024</v>
      </c>
      <c r="H74" s="24" t="n">
        <v>164.6</v>
      </c>
      <c r="I74" s="24" t="n">
        <v>1.5</v>
      </c>
      <c r="J74" s="25" t="n">
        <v>0.009196811771919068</v>
      </c>
      <c r="K74" s="35" t="inlineStr">
        <is>
          <t>Different recipe for the later years</t>
        </is>
      </c>
      <c r="L74" s="35" t="inlineStr">
        <is>
          <t>Reproduces from source</t>
        </is>
      </c>
      <c r="M74" s="27" t="inlineStr">
        <is>
          <t>Eurostat (apro_mk_farm)</t>
        </is>
      </c>
    </row>
    <row r="75" ht="15" customHeight="1">
      <c r="A75" s="42" t="inlineStr">
        <is>
          <t>A4 (pig, consumption)</t>
        </is>
      </c>
      <c r="B75" s="15" t="inlineStr">
        <is>
          <t>Pig meat: consumption (EU)</t>
        </is>
      </c>
      <c r="C75" s="15" t="inlineStr">
        <is>
          <t>Agriculture</t>
        </is>
      </c>
      <c r="D75" s="15" t="inlineStr">
        <is>
          <t>Mt</t>
        </is>
      </c>
      <c r="E75" s="16" t="n">
        <v>2020</v>
      </c>
      <c r="F75" s="17" t="n">
        <v>17.46</v>
      </c>
      <c r="G75" s="16" t="n">
        <v>2020</v>
      </c>
      <c r="H75" s="17" t="n">
        <v>17.46</v>
      </c>
      <c r="I75" s="17" t="n"/>
      <c r="J75" s="18" t="n"/>
      <c r="K75" s="34" t="inlineStr">
        <is>
          <t>No later data — report figure stands</t>
        </is>
      </c>
      <c r="L75" s="34" t="inlineStr">
        <is>
          <t>—</t>
        </is>
      </c>
      <c r="M75" s="34" t="inlineStr">
        <is>
          <t>FAOSTAT food balance sheets</t>
        </is>
      </c>
    </row>
    <row r="76" ht="15" customHeight="1">
      <c r="A76" s="43" t="inlineStr">
        <is>
          <t>A4 (pig, herd)</t>
        </is>
      </c>
      <c r="B76" s="22" t="inlineStr">
        <is>
          <t>Pig meat: herd size (EU)</t>
        </is>
      </c>
      <c r="C76" s="22" t="inlineStr">
        <is>
          <t>Agriculture</t>
        </is>
      </c>
      <c r="D76" s="22" t="inlineStr">
        <is>
          <t>million heads</t>
        </is>
      </c>
      <c r="E76" s="23" t="n">
        <v>2020</v>
      </c>
      <c r="F76" s="24" t="n">
        <v>140</v>
      </c>
      <c r="G76" s="23" t="n">
        <v>2025</v>
      </c>
      <c r="H76" s="24" t="n">
        <v>126.1</v>
      </c>
      <c r="I76" s="24" t="n">
        <v>-13.90000000000001</v>
      </c>
      <c r="J76" s="25" t="n">
        <v>-0.09928571428571432</v>
      </c>
      <c r="K76" s="35" t="inlineStr">
        <is>
          <t>Different recipe for the later years</t>
        </is>
      </c>
      <c r="L76" s="35" t="inlineStr">
        <is>
          <t>Reproduces from source</t>
        </is>
      </c>
      <c r="M76" s="27" t="inlineStr">
        <is>
          <t>EU GHG inventory (CRF) livestock populations; 2021+ Eurostat apro_mt_lspig (swine) survey trend</t>
        </is>
      </c>
    </row>
    <row r="77" ht="15" customHeight="1">
      <c r="A77" s="42" t="inlineStr">
        <is>
          <t>A4 (pig, production)</t>
        </is>
      </c>
      <c r="B77" s="15" t="inlineStr">
        <is>
          <t>Pig meat: production (EU)</t>
        </is>
      </c>
      <c r="C77" s="15" t="inlineStr">
        <is>
          <t>Agriculture</t>
        </is>
      </c>
      <c r="D77" s="15" t="inlineStr">
        <is>
          <t>Mt</t>
        </is>
      </c>
      <c r="E77" s="16" t="n">
        <v>2020</v>
      </c>
      <c r="F77" s="17" t="n">
        <v>23.22</v>
      </c>
      <c r="G77" s="16" t="n">
        <v>2025</v>
      </c>
      <c r="H77" s="17" t="n">
        <v>21.84</v>
      </c>
      <c r="I77" s="17" t="n">
        <v>-1.379999999999999</v>
      </c>
      <c r="J77" s="18" t="n">
        <v>-0.05943152454780358</v>
      </c>
      <c r="K77" s="34" t="inlineStr">
        <is>
          <t>Different recipe for the later years</t>
        </is>
      </c>
      <c r="L77" s="34" t="inlineStr">
        <is>
          <t>Reproduces from source</t>
        </is>
      </c>
      <c r="M77" s="20" t="inlineStr">
        <is>
          <t>Eurostat (apro_mt_pann)</t>
        </is>
      </c>
    </row>
    <row r="78" ht="15" customHeight="1">
      <c r="A78" s="43" t="inlineStr">
        <is>
          <t>A5 (bovine)</t>
        </is>
      </c>
      <c r="B78" s="22" t="inlineStr">
        <is>
          <t>Average bovine meat consumption (EU)</t>
        </is>
      </c>
      <c r="C78" s="22" t="inlineStr">
        <is>
          <t>Agriculture</t>
        </is>
      </c>
      <c r="D78" s="22" t="inlineStr">
        <is>
          <t>kcal/cap/day</t>
        </is>
      </c>
      <c r="E78" s="23" t="n">
        <v>2020</v>
      </c>
      <c r="F78" s="24" t="n">
        <v>52.12</v>
      </c>
      <c r="G78" s="23" t="n">
        <v>2020</v>
      </c>
      <c r="H78" s="24" t="n">
        <v>52.12</v>
      </c>
      <c r="I78" s="24" t="n"/>
      <c r="J78" s="25" t="n"/>
      <c r="K78" s="35" t="inlineStr">
        <is>
          <t>No later data — report figure stands</t>
        </is>
      </c>
      <c r="L78" s="35" t="inlineStr">
        <is>
          <t>—</t>
        </is>
      </c>
      <c r="M78" s="35" t="inlineStr">
        <is>
          <t>FAOSTAT food balance sheets</t>
        </is>
      </c>
    </row>
    <row r="79" ht="15" customHeight="1">
      <c r="A79" s="42" t="inlineStr">
        <is>
          <t>A5 (dairy)</t>
        </is>
      </c>
      <c r="B79" s="15" t="inlineStr">
        <is>
          <t>Average dairy products consumption (EU)</t>
        </is>
      </c>
      <c r="C79" s="15" t="inlineStr">
        <is>
          <t>Agriculture</t>
        </is>
      </c>
      <c r="D79" s="15" t="inlineStr">
        <is>
          <t>kcal/cap/day</t>
        </is>
      </c>
      <c r="E79" s="16" t="n">
        <v>2021</v>
      </c>
      <c r="F79" s="17" t="n">
        <v>550.4</v>
      </c>
      <c r="G79" s="16" t="n">
        <v>2021</v>
      </c>
      <c r="H79" s="17" t="n">
        <v>550.4</v>
      </c>
      <c r="I79" s="17" t="n"/>
      <c r="J79" s="18" t="n"/>
      <c r="K79" s="34" t="inlineStr">
        <is>
          <t>No later data — report figure stands</t>
        </is>
      </c>
      <c r="L79" s="34" t="inlineStr">
        <is>
          <t>—</t>
        </is>
      </c>
      <c r="M79" s="34" t="inlineStr">
        <is>
          <t>FAOSTAT food balance sheets</t>
        </is>
      </c>
    </row>
    <row r="80" ht="15" customHeight="1">
      <c r="A80" s="43" t="inlineStr">
        <is>
          <t>A5 (pig)</t>
        </is>
      </c>
      <c r="B80" s="22" t="inlineStr">
        <is>
          <t>Average pig meat consumption (EU)</t>
        </is>
      </c>
      <c r="C80" s="22" t="inlineStr">
        <is>
          <t>Agriculture</t>
        </is>
      </c>
      <c r="D80" s="22" t="inlineStr">
        <is>
          <t>kcal/cap/day</t>
        </is>
      </c>
      <c r="E80" s="23" t="n">
        <v>2020</v>
      </c>
      <c r="F80" s="24" t="n">
        <v>203.8</v>
      </c>
      <c r="G80" s="23" t="n">
        <v>2020</v>
      </c>
      <c r="H80" s="24" t="n">
        <v>203.8</v>
      </c>
      <c r="I80" s="24" t="n"/>
      <c r="J80" s="25" t="n"/>
      <c r="K80" s="35" t="inlineStr">
        <is>
          <t>No later data — report figure stands</t>
        </is>
      </c>
      <c r="L80" s="35" t="inlineStr">
        <is>
          <t>—</t>
        </is>
      </c>
      <c r="M80" s="35" t="inlineStr">
        <is>
          <t>FAOSTAT food balance sheets</t>
        </is>
      </c>
    </row>
    <row r="81" ht="15" customHeight="1">
      <c r="A81" s="42" t="inlineStr">
        <is>
          <t>A6</t>
        </is>
      </c>
      <c r="B81" s="15" t="inlineStr">
        <is>
          <t>Food waste per capita (EU)</t>
        </is>
      </c>
      <c r="C81" s="15" t="inlineStr">
        <is>
          <t>Agriculture</t>
        </is>
      </c>
      <c r="D81" s="15" t="inlineStr">
        <is>
          <t>kg/cap/year</t>
        </is>
      </c>
      <c r="E81" s="16" t="n">
        <v>2020</v>
      </c>
      <c r="F81" s="17" t="n">
        <v>131</v>
      </c>
      <c r="G81" s="16" t="n">
        <v>2023</v>
      </c>
      <c r="H81" s="17" t="n">
        <v>129</v>
      </c>
      <c r="I81" s="17" t="n">
        <v>-2</v>
      </c>
      <c r="J81" s="18" t="n">
        <v>-0.01526717557251908</v>
      </c>
      <c r="K81" s="34" t="inlineStr">
        <is>
          <t>Different recipe for the later years</t>
        </is>
      </c>
      <c r="L81" s="34" t="inlineStr">
        <is>
          <t>Reproduces from source</t>
        </is>
      </c>
      <c r="M81" s="20" t="inlineStr">
        <is>
          <t>Eurostat (env_wasfw)</t>
        </is>
      </c>
    </row>
    <row r="82" ht="15" customHeight="1">
      <c r="A82" s="43" t="inlineStr">
        <is>
          <t>A7</t>
        </is>
      </c>
      <c r="B82" s="22" t="inlineStr">
        <is>
          <t>Agricultural products used as bioenergy feedstock</t>
        </is>
      </c>
      <c r="C82" s="22" t="inlineStr">
        <is>
          <t>Agriculture</t>
        </is>
      </c>
      <c r="D82" s="22" t="inlineStr">
        <is>
          <t>Mt fresh</t>
        </is>
      </c>
      <c r="E82" s="23" t="n">
        <v>2021</v>
      </c>
      <c r="F82" s="24" t="n">
        <v>23.89</v>
      </c>
      <c r="G82" s="23" t="n">
        <v>2021</v>
      </c>
      <c r="H82" s="24" t="n">
        <v>23.89</v>
      </c>
      <c r="I82" s="24" t="n"/>
      <c r="J82" s="25" t="n"/>
      <c r="K82" s="35" t="inlineStr">
        <is>
          <t>No later data — report figure stands</t>
        </is>
      </c>
      <c r="L82" s="35" t="inlineStr">
        <is>
          <t>—</t>
        </is>
      </c>
      <c r="M82" s="35" t="inlineStr">
        <is>
          <t>JRC medium-term outlook</t>
        </is>
      </c>
    </row>
    <row r="83" ht="15" customHeight="1">
      <c r="A83" s="44" t="inlineStr">
        <is>
          <t>L1</t>
        </is>
      </c>
      <c r="B83" s="15" t="inlineStr">
        <is>
          <t>LULUCF net GHG balance</t>
        </is>
      </c>
      <c r="C83" s="15" t="inlineStr">
        <is>
          <t>LULUCF</t>
        </is>
      </c>
      <c r="D83" s="15" t="inlineStr">
        <is>
          <t>Mt CO₂eq</t>
        </is>
      </c>
      <c r="E83" s="16" t="n">
        <v>2022</v>
      </c>
      <c r="F83" s="17" t="n">
        <v>-244</v>
      </c>
      <c r="G83" s="16" t="n">
        <v>2024</v>
      </c>
      <c r="H83" s="17" t="n">
        <v>-231</v>
      </c>
      <c r="I83" s="17" t="n">
        <v>13</v>
      </c>
      <c r="J83" s="18" t="n">
        <v>0.05327868852459016</v>
      </c>
      <c r="K83" s="34" t="inlineStr">
        <is>
          <t>Report's own derivation, continued</t>
        </is>
      </c>
      <c r="L83" s="34" t="inlineStr">
        <is>
          <t>Reproduces from source</t>
        </is>
      </c>
      <c r="M83" s="20" t="inlineStr">
        <is>
          <t>EEA GHG data viewer; 2023+ Eurostat (env_air_gge)</t>
        </is>
      </c>
    </row>
    <row r="84" ht="15" customHeight="1">
      <c r="A84" s="45" t="inlineStr">
        <is>
          <t>L2 (cropland)</t>
        </is>
      </c>
      <c r="B84" s="22" t="inlineStr">
        <is>
          <t>Cropland surface area (EU)</t>
        </is>
      </c>
      <c r="C84" s="22" t="inlineStr">
        <is>
          <t>LULUCF</t>
        </is>
      </c>
      <c r="D84" s="22" t="inlineStr">
        <is>
          <t>million ha</t>
        </is>
      </c>
      <c r="E84" s="23" t="n">
        <v>2021</v>
      </c>
      <c r="F84" s="24" t="n">
        <v>120.9</v>
      </c>
      <c r="G84" s="23" t="n">
        <v>2021</v>
      </c>
      <c r="H84" s="24" t="n">
        <v>120.9</v>
      </c>
      <c r="I84" s="24" t="n"/>
      <c r="J84" s="25" t="n"/>
      <c r="K84" s="35" t="inlineStr">
        <is>
          <t>No later data — report figure stands</t>
        </is>
      </c>
      <c r="L84" s="35" t="inlineStr">
        <is>
          <t>—</t>
        </is>
      </c>
      <c r="M84" s="27" t="inlineStr">
        <is>
          <t>EU GHG inventory (CRF tables)</t>
        </is>
      </c>
    </row>
    <row r="85" ht="15" customHeight="1">
      <c r="A85" s="44" t="inlineStr">
        <is>
          <t>L2 (forest)</t>
        </is>
      </c>
      <c r="B85" s="15" t="inlineStr">
        <is>
          <t>Forest land surface area (EU)</t>
        </is>
      </c>
      <c r="C85" s="15" t="inlineStr">
        <is>
          <t>LULUCF</t>
        </is>
      </c>
      <c r="D85" s="15" t="inlineStr">
        <is>
          <t>million ha</t>
        </is>
      </c>
      <c r="E85" s="16" t="n">
        <v>2021</v>
      </c>
      <c r="F85" s="17" t="n">
        <v>167.7</v>
      </c>
      <c r="G85" s="16" t="n">
        <v>2021</v>
      </c>
      <c r="H85" s="17" t="n">
        <v>167.7</v>
      </c>
      <c r="I85" s="17" t="n"/>
      <c r="J85" s="18" t="n"/>
      <c r="K85" s="34" t="inlineStr">
        <is>
          <t>No later data — report figure stands</t>
        </is>
      </c>
      <c r="L85" s="34" t="inlineStr">
        <is>
          <t>—</t>
        </is>
      </c>
      <c r="M85" s="20" t="inlineStr">
        <is>
          <t>EU GHG inventory (CRF tables)</t>
        </is>
      </c>
    </row>
    <row r="86" ht="15" customHeight="1">
      <c r="A86" s="45" t="inlineStr">
        <is>
          <t>L2 (grassland)</t>
        </is>
      </c>
      <c r="B86" s="22" t="inlineStr">
        <is>
          <t>Grassland surface area (EU)</t>
        </is>
      </c>
      <c r="C86" s="22" t="inlineStr">
        <is>
          <t>LULUCF</t>
        </is>
      </c>
      <c r="D86" s="22" t="inlineStr">
        <is>
          <t>million ha</t>
        </is>
      </c>
      <c r="E86" s="23" t="n">
        <v>2021</v>
      </c>
      <c r="F86" s="24" t="n">
        <v>73.2</v>
      </c>
      <c r="G86" s="23" t="n">
        <v>2021</v>
      </c>
      <c r="H86" s="24" t="n">
        <v>73.2</v>
      </c>
      <c r="I86" s="24" t="n"/>
      <c r="J86" s="25" t="n"/>
      <c r="K86" s="35" t="inlineStr">
        <is>
          <t>No later data — report figure stands</t>
        </is>
      </c>
      <c r="L86" s="35" t="inlineStr">
        <is>
          <t>—</t>
        </is>
      </c>
      <c r="M86" s="27" t="inlineStr">
        <is>
          <t>EU GHG inventory (CRF tables)</t>
        </is>
      </c>
    </row>
    <row r="87" ht="15" customHeight="1">
      <c r="A87" s="44" t="inlineStr">
        <is>
          <t>L2 (other)</t>
        </is>
      </c>
      <c r="B87" s="15" t="inlineStr">
        <is>
          <t>Other surface area (EU)</t>
        </is>
      </c>
      <c r="C87" s="15" t="inlineStr">
        <is>
          <t>LULUCF</t>
        </is>
      </c>
      <c r="D87" s="15" t="inlineStr">
        <is>
          <t>million ha</t>
        </is>
      </c>
      <c r="E87" s="16" t="n">
        <v>2021</v>
      </c>
      <c r="F87" s="17" t="n">
        <v>9.657999999999999</v>
      </c>
      <c r="G87" s="16" t="n">
        <v>2021</v>
      </c>
      <c r="H87" s="17" t="n">
        <v>9.657999999999999</v>
      </c>
      <c r="I87" s="17" t="n"/>
      <c r="J87" s="18" t="n"/>
      <c r="K87" s="34" t="inlineStr">
        <is>
          <t>No later data — report figure stands</t>
        </is>
      </c>
      <c r="L87" s="34" t="inlineStr">
        <is>
          <t>—</t>
        </is>
      </c>
      <c r="M87" s="20" t="inlineStr">
        <is>
          <t>EU GHG inventory (CRF tables)</t>
        </is>
      </c>
    </row>
    <row r="88" ht="15" customHeight="1">
      <c r="A88" s="45" t="inlineStr">
        <is>
          <t>L2 (settlements)</t>
        </is>
      </c>
      <c r="B88" s="22" t="inlineStr">
        <is>
          <t>Settlements surface area (EU)</t>
        </is>
      </c>
      <c r="C88" s="22" t="inlineStr">
        <is>
          <t>LULUCF</t>
        </is>
      </c>
      <c r="D88" s="22" t="inlineStr">
        <is>
          <t>million ha</t>
        </is>
      </c>
      <c r="E88" s="23" t="n">
        <v>2021</v>
      </c>
      <c r="F88" s="24" t="n">
        <v>28.15</v>
      </c>
      <c r="G88" s="23" t="n">
        <v>2021</v>
      </c>
      <c r="H88" s="24" t="n">
        <v>28.15</v>
      </c>
      <c r="I88" s="24" t="n"/>
      <c r="J88" s="25" t="n"/>
      <c r="K88" s="35" t="inlineStr">
        <is>
          <t>No later data — report figure stands</t>
        </is>
      </c>
      <c r="L88" s="35" t="inlineStr">
        <is>
          <t>—</t>
        </is>
      </c>
      <c r="M88" s="27" t="inlineStr">
        <is>
          <t>EU GHG inventory (CRF tables)</t>
        </is>
      </c>
    </row>
    <row r="89" ht="15" customHeight="1">
      <c r="A89" s="44" t="inlineStr">
        <is>
          <t>L2 (wetland)</t>
        </is>
      </c>
      <c r="B89" s="15" t="inlineStr">
        <is>
          <t>Wetland surface area (EU)</t>
        </is>
      </c>
      <c r="C89" s="15" t="inlineStr">
        <is>
          <t>LULUCF</t>
        </is>
      </c>
      <c r="D89" s="15" t="inlineStr">
        <is>
          <t>million ha</t>
        </is>
      </c>
      <c r="E89" s="16" t="n">
        <v>2021</v>
      </c>
      <c r="F89" s="17" t="n">
        <v>23.87</v>
      </c>
      <c r="G89" s="16" t="n">
        <v>2021</v>
      </c>
      <c r="H89" s="17" t="n">
        <v>23.87</v>
      </c>
      <c r="I89" s="17" t="n"/>
      <c r="J89" s="18" t="n"/>
      <c r="K89" s="34" t="inlineStr">
        <is>
          <t>No later data — report figure stands</t>
        </is>
      </c>
      <c r="L89" s="34" t="inlineStr">
        <is>
          <t>—</t>
        </is>
      </c>
      <c r="M89" s="20" t="inlineStr">
        <is>
          <t>EU GHG inventory (CRF tables)</t>
        </is>
      </c>
    </row>
    <row r="90" ht="15" customHeight="1">
      <c r="A90" s="45" t="inlineStr">
        <is>
          <t>L3</t>
        </is>
      </c>
      <c r="B90" s="22" t="inlineStr">
        <is>
          <t>Annual afforested area</t>
        </is>
      </c>
      <c r="C90" s="22" t="inlineStr">
        <is>
          <t>LULUCF</t>
        </is>
      </c>
      <c r="D90" s="22" t="inlineStr">
        <is>
          <t>thousand ha/yr</t>
        </is>
      </c>
      <c r="E90" s="23" t="n">
        <v>2021</v>
      </c>
      <c r="F90" s="24" t="n">
        <v>326.8</v>
      </c>
      <c r="G90" s="23" t="n">
        <v>2021</v>
      </c>
      <c r="H90" s="24" t="n">
        <v>326.8</v>
      </c>
      <c r="I90" s="24" t="n"/>
      <c r="J90" s="25" t="n"/>
      <c r="K90" s="35" t="inlineStr">
        <is>
          <t>No later data — report figure stands</t>
        </is>
      </c>
      <c r="L90" s="35" t="inlineStr">
        <is>
          <t>—</t>
        </is>
      </c>
      <c r="M90" s="27" t="inlineStr">
        <is>
          <t>EU GHG inventory (CRF)</t>
        </is>
      </c>
    </row>
    <row r="91" ht="15" customHeight="1">
      <c r="A91" s="44" t="inlineStr">
        <is>
          <t>L4</t>
        </is>
      </c>
      <c r="B91" s="15" t="inlineStr">
        <is>
          <t>Annual deforested area</t>
        </is>
      </c>
      <c r="C91" s="15" t="inlineStr">
        <is>
          <t>LULUCF</t>
        </is>
      </c>
      <c r="D91" s="15" t="inlineStr">
        <is>
          <t>thousand ha/yr</t>
        </is>
      </c>
      <c r="E91" s="16" t="n">
        <v>2021</v>
      </c>
      <c r="F91" s="17" t="n">
        <v>-114.5</v>
      </c>
      <c r="G91" s="16" t="n">
        <v>2021</v>
      </c>
      <c r="H91" s="17" t="n">
        <v>-114.5</v>
      </c>
      <c r="I91" s="17" t="n"/>
      <c r="J91" s="18" t="n"/>
      <c r="K91" s="34" t="inlineStr">
        <is>
          <t>No later data — report figure stands</t>
        </is>
      </c>
      <c r="L91" s="34" t="inlineStr">
        <is>
          <t>—</t>
        </is>
      </c>
      <c r="M91" s="20" t="inlineStr">
        <is>
          <t>EU GHG inventory (CRF)</t>
        </is>
      </c>
    </row>
    <row r="92" ht="15" customHeight="1">
      <c r="A92" s="45" t="inlineStr">
        <is>
          <t>L5</t>
        </is>
      </c>
      <c r="B92" s="22" t="inlineStr">
        <is>
          <t>Annual settlement area increase (net land take proxy)</t>
        </is>
      </c>
      <c r="C92" s="22" t="inlineStr">
        <is>
          <t>LULUCF</t>
        </is>
      </c>
      <c r="D92" s="22" t="inlineStr">
        <is>
          <t>thousand ha/yr</t>
        </is>
      </c>
      <c r="E92" s="23" t="n">
        <v>2021</v>
      </c>
      <c r="F92" s="24" t="n">
        <v>142.2</v>
      </c>
      <c r="G92" s="23" t="n">
        <v>2021</v>
      </c>
      <c r="H92" s="24" t="n">
        <v>142.2</v>
      </c>
      <c r="I92" s="24" t="n"/>
      <c r="J92" s="25" t="n"/>
      <c r="K92" s="35" t="inlineStr">
        <is>
          <t>No later data — report figure stands</t>
        </is>
      </c>
      <c r="L92" s="35" t="inlineStr">
        <is>
          <t>—</t>
        </is>
      </c>
      <c r="M92" s="27" t="inlineStr">
        <is>
          <t>EU GHG inventory (CRF)</t>
        </is>
      </c>
    </row>
    <row r="93" ht="15" customHeight="1">
      <c r="A93" s="44" t="inlineStr">
        <is>
          <t>L6</t>
        </is>
      </c>
      <c r="B93" s="15" t="inlineStr">
        <is>
          <t>Forest land living-biomass carbon sink</t>
        </is>
      </c>
      <c r="C93" s="15" t="inlineStr">
        <is>
          <t>LULUCF</t>
        </is>
      </c>
      <c r="D93" s="15" t="inlineStr">
        <is>
          <t>Mt CO₂eq</t>
        </is>
      </c>
      <c r="E93" s="16" t="n">
        <v>2021</v>
      </c>
      <c r="F93" s="17" t="n">
        <v>231.8</v>
      </c>
      <c r="G93" s="16" t="n">
        <v>2024</v>
      </c>
      <c r="H93" s="17" t="n">
        <v>258.3</v>
      </c>
      <c r="I93" s="17" t="n">
        <v>26.5</v>
      </c>
      <c r="J93" s="18" t="n">
        <v>0.1143226919758412</v>
      </c>
      <c r="K93" s="34" t="inlineStr">
        <is>
          <t>Different recipe for the later years</t>
        </is>
      </c>
      <c r="L93" s="34" t="inlineStr">
        <is>
          <t>Reproduces from source</t>
        </is>
      </c>
      <c r="M93" s="20" t="inlineStr">
        <is>
          <t>EU GHG inventory (CRF); 2022+ calculated from Eurostat (env_air_gge CRF4.A, splice)</t>
        </is>
      </c>
    </row>
    <row r="94" ht="15" customHeight="1">
      <c r="A94" s="45" t="inlineStr">
        <is>
          <t>L7</t>
        </is>
      </c>
      <c r="B94" s="22" t="inlineStr">
        <is>
          <t>Non-forest LULUCF net GHG emissions</t>
        </is>
      </c>
      <c r="C94" s="22" t="inlineStr">
        <is>
          <t>LULUCF</t>
        </is>
      </c>
      <c r="D94" s="22" t="inlineStr">
        <is>
          <t>Mt CO₂eq</t>
        </is>
      </c>
      <c r="E94" s="23" t="n">
        <v>2021</v>
      </c>
      <c r="F94" s="24" t="n">
        <v>97.44</v>
      </c>
      <c r="G94" s="23" t="n">
        <v>2024</v>
      </c>
      <c r="H94" s="24" t="n">
        <v>123</v>
      </c>
      <c r="I94" s="24" t="n">
        <v>25.56</v>
      </c>
      <c r="J94" s="25" t="n">
        <v>0.2623152709359606</v>
      </c>
      <c r="K94" s="35" t="inlineStr">
        <is>
          <t>Different recipe for the later years</t>
        </is>
      </c>
      <c r="L94" s="35" t="inlineStr">
        <is>
          <t>Reproduces from source</t>
        </is>
      </c>
      <c r="M94" s="27" t="inlineStr">
        <is>
          <t>EU GHG inventory (CRF); 2022+ Eurostat (env_air_gge)</t>
        </is>
      </c>
    </row>
    <row r="95" ht="15" customHeight="1">
      <c r="A95" s="44" t="inlineStr">
        <is>
          <t>L8</t>
        </is>
      </c>
      <c r="B95" s="15" t="inlineStr">
        <is>
          <t>Total bioenergy use (EU-27)</t>
        </is>
      </c>
      <c r="C95" s="15" t="inlineStr">
        <is>
          <t>LULUCF</t>
        </is>
      </c>
      <c r="D95" s="15" t="inlineStr">
        <is>
          <t>TWh</t>
        </is>
      </c>
      <c r="E95" s="16" t="n">
        <v>2021</v>
      </c>
      <c r="F95" s="17" t="n">
        <v>1795.7</v>
      </c>
      <c r="G95" s="16" t="n">
        <v>2024</v>
      </c>
      <c r="H95" s="17" t="n">
        <v>1761.2</v>
      </c>
      <c r="I95" s="17" t="n">
        <v>-34.5</v>
      </c>
      <c r="J95" s="18" t="n">
        <v>-0.01921256334577045</v>
      </c>
      <c r="K95" s="34" t="inlineStr">
        <is>
          <t>Different recipe for the later years</t>
        </is>
      </c>
      <c r="L95" s="34" t="inlineStr">
        <is>
          <t>Reproduces from source</t>
        </is>
      </c>
      <c r="M95" s="20" t="inlineStr">
        <is>
          <t>Eurostat (nrg_bal_s)</t>
        </is>
      </c>
    </row>
    <row r="96" ht="15" customHeight="1">
      <c r="A96" s="46" t="inlineStr">
        <is>
          <t>F1</t>
        </is>
      </c>
      <c r="B96" s="22" t="inlineStr">
        <is>
          <t>EU fossil-fuel subsidies (FFST)</t>
        </is>
      </c>
      <c r="C96" s="22" t="inlineStr">
        <is>
          <t>Finance &amp; innovation</t>
        </is>
      </c>
      <c r="D96" s="22" t="inlineStr">
        <is>
          <t>billion EUR</t>
        </is>
      </c>
      <c r="E96" s="23" t="n">
        <v>2022</v>
      </c>
      <c r="F96" s="24" t="n">
        <v>122</v>
      </c>
      <c r="G96" s="23" t="n">
        <v>2023</v>
      </c>
      <c r="H96" s="24" t="n">
        <v>111</v>
      </c>
      <c r="I96" s="24" t="n">
        <v>-11</v>
      </c>
      <c r="J96" s="25" t="n">
        <v>-0.09016393442622951</v>
      </c>
      <c r="K96" s="35" t="inlineStr">
        <is>
          <t>Report's formula, input back-computed</t>
        </is>
      </c>
      <c r="L96" s="35" t="inlineStr">
        <is>
          <t>Published figure, not re-derived</t>
        </is>
      </c>
      <c r="M96" s="35" t="inlineStr">
        <is>
          <t>Fossil Fuel Subsidy Tracker; 2023: EC Report on Energy Subsidies in the EU (COM(2025)17)</t>
        </is>
      </c>
    </row>
    <row r="97" ht="15" customHeight="1">
      <c r="A97" s="47" t="inlineStr">
        <is>
          <t>F2</t>
        </is>
      </c>
      <c r="B97" s="15" t="inlineStr">
        <is>
          <t>EU green bond issuance</t>
        </is>
      </c>
      <c r="C97" s="15" t="inlineStr">
        <is>
          <t>Finance &amp; innovation</t>
        </is>
      </c>
      <c r="D97" s="15" t="inlineStr">
        <is>
          <t>billion EUR</t>
        </is>
      </c>
      <c r="E97" s="16" t="n">
        <v>2022</v>
      </c>
      <c r="F97" s="17" t="n">
        <v>243</v>
      </c>
      <c r="G97" s="16" t="n">
        <v>2022</v>
      </c>
      <c r="H97" s="17" t="n">
        <v>243</v>
      </c>
      <c r="I97" s="17" t="n"/>
      <c r="J97" s="18" t="n"/>
      <c r="K97" s="34" t="inlineStr">
        <is>
          <t>No later data — report figure stands</t>
        </is>
      </c>
      <c r="L97" s="34" t="inlineStr">
        <is>
          <t>—</t>
        </is>
      </c>
      <c r="M97" s="20" t="inlineStr">
        <is>
          <t>BloombergNEF</t>
        </is>
      </c>
    </row>
    <row r="98" ht="15" customHeight="1">
      <c r="A98" s="46" t="inlineStr">
        <is>
          <t>F2 (share)</t>
        </is>
      </c>
      <c r="B98" s="22" t="inlineStr">
        <is>
          <t>Green share of EU bond issuance</t>
        </is>
      </c>
      <c r="C98" s="22" t="inlineStr">
        <is>
          <t>Finance &amp; innovation</t>
        </is>
      </c>
      <c r="D98" s="22" t="inlineStr">
        <is>
          <t>%</t>
        </is>
      </c>
      <c r="E98" s="23" t="n">
        <v>2022</v>
      </c>
      <c r="F98" s="24" t="n">
        <v>6.74</v>
      </c>
      <c r="G98" s="23" t="n">
        <v>2024</v>
      </c>
      <c r="H98" s="24" t="n">
        <v>6.9</v>
      </c>
      <c r="I98" s="24" t="n">
        <v>0.1600000000000001</v>
      </c>
      <c r="J98" s="25" t="n">
        <v>0.02373887240356085</v>
      </c>
      <c r="K98" s="35" t="inlineStr">
        <is>
          <t>Report's formula, input back-computed</t>
        </is>
      </c>
      <c r="L98" s="35" t="inlineStr">
        <is>
          <t>Published figure, not re-derived</t>
        </is>
      </c>
      <c r="M98" s="27" t="inlineStr">
        <is>
          <t>BloombergNEF (2012-2022); EEA "Green bonds in Europe", LSEG Data &amp; Analytics (2023+)</t>
        </is>
      </c>
    </row>
    <row r="99" ht="15" customHeight="1">
      <c r="A99" s="47" t="inlineStr">
        <is>
          <t>F3</t>
        </is>
      </c>
      <c r="B99" s="15" t="inlineStr">
        <is>
          <t>EU R&amp;D expenditure (GERD)</t>
        </is>
      </c>
      <c r="C99" s="15" t="inlineStr">
        <is>
          <t>Finance &amp; innovation</t>
        </is>
      </c>
      <c r="D99" s="15" t="inlineStr">
        <is>
          <t>% of GDP</t>
        </is>
      </c>
      <c r="E99" s="16" t="n">
        <v>2022</v>
      </c>
      <c r="F99" s="17" t="n">
        <v>2.27</v>
      </c>
      <c r="G99" s="16" t="n">
        <v>2024</v>
      </c>
      <c r="H99" s="17" t="n">
        <v>2.24</v>
      </c>
      <c r="I99" s="17" t="n">
        <v>-0.0299999999999998</v>
      </c>
      <c r="J99" s="18" t="n">
        <v>-0.01321585903083692</v>
      </c>
      <c r="K99" s="34" t="inlineStr">
        <is>
          <t>Different recipe for the later years</t>
        </is>
      </c>
      <c r="L99" s="34" t="inlineStr">
        <is>
          <t>Reproduces from source</t>
        </is>
      </c>
      <c r="M99" s="20" t="inlineStr">
        <is>
          <t>Eurostat (rd_e_gerdtot)</t>
        </is>
      </c>
    </row>
    <row r="100" ht="15" customHeight="1">
      <c r="A100" s="46" t="inlineStr">
        <is>
          <t>F4</t>
        </is>
      </c>
      <c r="B100" s="22" t="inlineStr">
        <is>
          <t>Climate-related share of EU patent filings</t>
        </is>
      </c>
      <c r="C100" s="22" t="inlineStr">
        <is>
          <t>Finance &amp; innovation</t>
        </is>
      </c>
      <c r="D100" s="22" t="inlineStr">
        <is>
          <t>%</t>
        </is>
      </c>
      <c r="E100" s="23" t="n">
        <v>2019</v>
      </c>
      <c r="F100" s="24" t="n">
        <v>11.94</v>
      </c>
      <c r="G100" s="23" t="n">
        <v>2019</v>
      </c>
      <c r="H100" s="24" t="n">
        <v>11.94</v>
      </c>
      <c r="I100" s="24" t="n"/>
      <c r="J100" s="25" t="n"/>
      <c r="K100" s="35" t="inlineStr">
        <is>
          <t>No later data — report figure stands</t>
        </is>
      </c>
      <c r="L100" s="35" t="inlineStr">
        <is>
          <t>—</t>
        </is>
      </c>
      <c r="M100" s="35" t="inlineStr">
        <is>
          <t>OECD Green Growth Indicators</t>
        </is>
      </c>
    </row>
    <row r="101" ht="15" customHeight="1">
      <c r="A101" s="47" t="inlineStr">
        <is>
          <t>F5</t>
        </is>
      </c>
      <c r="B101" s="15" t="inlineStr">
        <is>
          <t>Cleantech venture &amp; growth investment in the EU</t>
        </is>
      </c>
      <c r="C101" s="15" t="inlineStr">
        <is>
          <t>Finance &amp; innovation</t>
        </is>
      </c>
      <c r="D101" s="15" t="inlineStr">
        <is>
          <t>% of GDP</t>
        </is>
      </c>
      <c r="E101" s="16" t="n">
        <v>2022</v>
      </c>
      <c r="F101" s="17" t="n">
        <v>0.06</v>
      </c>
      <c r="G101" s="16" t="n">
        <v>2025</v>
      </c>
      <c r="H101" s="17" t="n">
        <v>0.04</v>
      </c>
      <c r="I101" s="17" t="n">
        <v>-0.02</v>
      </c>
      <c r="J101" s="18" t="n">
        <v>-0.3333333333333333</v>
      </c>
      <c r="K101" s="34" t="inlineStr">
        <is>
          <t>Report's formula, input back-computed</t>
        </is>
      </c>
      <c r="L101" s="34" t="inlineStr">
        <is>
          <t>Published figure, not re-derived</t>
        </is>
      </c>
      <c r="M101" s="34" t="inlineStr">
        <is>
          <t>Cleantech for Europe</t>
        </is>
      </c>
    </row>
  </sheetData>
  <autoFilter ref="A4:M101"/>
  <mergeCells count="2">
    <mergeCell ref="A2:L2"/>
    <mergeCell ref="A1:L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40" r:id="rId26"/>
    <hyperlink xmlns:r="http://schemas.openxmlformats.org/officeDocument/2006/relationships" ref="M41" r:id="rId27"/>
    <hyperlink xmlns:r="http://schemas.openxmlformats.org/officeDocument/2006/relationships" ref="M42" r:id="rId28"/>
    <hyperlink xmlns:r="http://schemas.openxmlformats.org/officeDocument/2006/relationships" ref="M43" r:id="rId29"/>
    <hyperlink xmlns:r="http://schemas.openxmlformats.org/officeDocument/2006/relationships" ref="M45" r:id="rId30"/>
    <hyperlink xmlns:r="http://schemas.openxmlformats.org/officeDocument/2006/relationships" ref="M46" r:id="rId31"/>
    <hyperlink xmlns:r="http://schemas.openxmlformats.org/officeDocument/2006/relationships" ref="M49" r:id="rId32"/>
    <hyperlink xmlns:r="http://schemas.openxmlformats.org/officeDocument/2006/relationships" ref="M50" r:id="rId33"/>
    <hyperlink xmlns:r="http://schemas.openxmlformats.org/officeDocument/2006/relationships" ref="M51" r:id="rId34"/>
    <hyperlink xmlns:r="http://schemas.openxmlformats.org/officeDocument/2006/relationships" ref="M52" r:id="rId35"/>
    <hyperlink xmlns:r="http://schemas.openxmlformats.org/officeDocument/2006/relationships" ref="M53" r:id="rId36"/>
    <hyperlink xmlns:r="http://schemas.openxmlformats.org/officeDocument/2006/relationships" ref="M54" r:id="rId37"/>
    <hyperlink xmlns:r="http://schemas.openxmlformats.org/officeDocument/2006/relationships" ref="M55" r:id="rId38"/>
    <hyperlink xmlns:r="http://schemas.openxmlformats.org/officeDocument/2006/relationships" ref="M56" r:id="rId39"/>
    <hyperlink xmlns:r="http://schemas.openxmlformats.org/officeDocument/2006/relationships" ref="M57" r:id="rId40"/>
    <hyperlink xmlns:r="http://schemas.openxmlformats.org/officeDocument/2006/relationships" ref="M58" r:id="rId41"/>
    <hyperlink xmlns:r="http://schemas.openxmlformats.org/officeDocument/2006/relationships" ref="M59" r:id="rId42"/>
    <hyperlink xmlns:r="http://schemas.openxmlformats.org/officeDocument/2006/relationships" ref="M60" r:id="rId43"/>
    <hyperlink xmlns:r="http://schemas.openxmlformats.org/officeDocument/2006/relationships" ref="M61" r:id="rId44"/>
    <hyperlink xmlns:r="http://schemas.openxmlformats.org/officeDocument/2006/relationships" ref="M62" r:id="rId45"/>
    <hyperlink xmlns:r="http://schemas.openxmlformats.org/officeDocument/2006/relationships" ref="M63" r:id="rId46"/>
    <hyperlink xmlns:r="http://schemas.openxmlformats.org/officeDocument/2006/relationships" ref="M64" r:id="rId47"/>
    <hyperlink xmlns:r="http://schemas.openxmlformats.org/officeDocument/2006/relationships" ref="M65" r:id="rId48"/>
    <hyperlink xmlns:r="http://schemas.openxmlformats.org/officeDocument/2006/relationships" ref="M66" r:id="rId49"/>
    <hyperlink xmlns:r="http://schemas.openxmlformats.org/officeDocument/2006/relationships" ref="M68" r:id="rId50"/>
    <hyperlink xmlns:r="http://schemas.openxmlformats.org/officeDocument/2006/relationships" ref="M70" r:id="rId51"/>
    <hyperlink xmlns:r="http://schemas.openxmlformats.org/officeDocument/2006/relationships" ref="M71" r:id="rId52"/>
    <hyperlink xmlns:r="http://schemas.openxmlformats.org/officeDocument/2006/relationships" ref="M73" r:id="rId53"/>
    <hyperlink xmlns:r="http://schemas.openxmlformats.org/officeDocument/2006/relationships" ref="M74" r:id="rId54"/>
    <hyperlink xmlns:r="http://schemas.openxmlformats.org/officeDocument/2006/relationships" ref="M76" r:id="rId55"/>
    <hyperlink xmlns:r="http://schemas.openxmlformats.org/officeDocument/2006/relationships" ref="M77" r:id="rId56"/>
    <hyperlink xmlns:r="http://schemas.openxmlformats.org/officeDocument/2006/relationships" ref="M81" r:id="rId57"/>
    <hyperlink xmlns:r="http://schemas.openxmlformats.org/officeDocument/2006/relationships" ref="M83" r:id="rId58"/>
    <hyperlink xmlns:r="http://schemas.openxmlformats.org/officeDocument/2006/relationships" ref="M84" r:id="rId59"/>
    <hyperlink xmlns:r="http://schemas.openxmlformats.org/officeDocument/2006/relationships" ref="M85" r:id="rId60"/>
    <hyperlink xmlns:r="http://schemas.openxmlformats.org/officeDocument/2006/relationships" ref="M86" r:id="rId61"/>
    <hyperlink xmlns:r="http://schemas.openxmlformats.org/officeDocument/2006/relationships" ref="M87" r:id="rId62"/>
    <hyperlink xmlns:r="http://schemas.openxmlformats.org/officeDocument/2006/relationships" ref="M88" r:id="rId63"/>
    <hyperlink xmlns:r="http://schemas.openxmlformats.org/officeDocument/2006/relationships" ref="M89" r:id="rId64"/>
    <hyperlink xmlns:r="http://schemas.openxmlformats.org/officeDocument/2006/relationships" ref="M90" r:id="rId65"/>
    <hyperlink xmlns:r="http://schemas.openxmlformats.org/officeDocument/2006/relationships" ref="M91" r:id="rId66"/>
    <hyperlink xmlns:r="http://schemas.openxmlformats.org/officeDocument/2006/relationships" ref="M92" r:id="rId67"/>
    <hyperlink xmlns:r="http://schemas.openxmlformats.org/officeDocument/2006/relationships" ref="M93" r:id="rId68"/>
    <hyperlink xmlns:r="http://schemas.openxmlformats.org/officeDocument/2006/relationships" ref="M94" r:id="rId69"/>
    <hyperlink xmlns:r="http://schemas.openxmlformats.org/officeDocument/2006/relationships" ref="M95" r:id="rId70"/>
    <hyperlink xmlns:r="http://schemas.openxmlformats.org/officeDocument/2006/relationships" ref="M97" r:id="rId71"/>
    <hyperlink xmlns:r="http://schemas.openxmlformats.org/officeDocument/2006/relationships" ref="M98" r:id="rId72"/>
    <hyperlink xmlns:r="http://schemas.openxmlformats.org/officeDocument/2006/relationships" ref="M99" r:id="rId73"/>
  </hyperlinks>
  <pageMargins left="0.75" right="0.75" top="1" bottom="1" header="0.5" footer="0.5"/>
</worksheet>
</file>

<file path=xl/worksheets/sheet16.xml><?xml version="1.0" encoding="utf-8"?>
<worksheet xmlns="http://schemas.openxmlformats.org/spreadsheetml/2006/main">
  <sheetPr>
    <tabColor rgb="004D7E83"/>
    <outlinePr summaryBelow="1" summaryRight="1"/>
    <pageSetUpPr/>
  </sheetPr>
  <dimension ref="A1:AR1249"/>
  <sheetViews>
    <sheetView showGridLines="0" zoomScale="100" workbookViewId="0">
      <selection activeCell="A1" sqref="A1"/>
    </sheetView>
  </sheetViews>
  <sheetFormatPr baseColWidth="8" defaultRowHeight="15"/>
  <cols>
    <col width="10" customWidth="1" min="1" max="1"/>
    <col width="16"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s>
  <sheetData>
    <row r="1" ht="26" customHeight="1">
      <c r="A1" s="1" t="inlineStr">
        <is>
          <t>The arithmetic behind every figure</t>
        </is>
      </c>
    </row>
    <row r="2" ht="30" customHeight="1">
      <c r="A2" s="2" t="inlineStr">
        <is>
          <t>One block per indicator: Year, Value, then the inputs the value is built from. The Value cells are live Excel formulas over the cells to their right — click one to see it, edit an input and it recomputes. These are the Method Hub's own formulas, produced by the same translator the Hub uses to export a calc grid, so the sheet and the Hub agree by construction.</t>
        </is>
      </c>
    </row>
    <row r="4">
      <c r="A4" s="75" t="inlineStr">
        <is>
          <t>O1 · Total EU GHG emissions (European Climate Law scope)  (Mt CO₂eq)</t>
        </is>
      </c>
    </row>
    <row r="5" ht="26" customHeight="1">
      <c r="A5" s="76" t="inlineStr">
        <is>
          <t>SAME DERIVATION AS THE REPORT — the report's own formula, with its own input columns refreshed from the same publisher for the later years. Nothing about the calculation changes across the join.</t>
        </is>
      </c>
    </row>
    <row r="6" ht="22" customHeight="1">
      <c r="A6" s="3" t="inlineStr">
        <is>
          <t>Refreshed for 2023, 2024: 1.D.1.a - International Aviation, 1.A.1 - Energy Industries, 1.B - Fugitive Emissions from Fuels, 1.A.2 - Manufacturing Industries and Construction, 2 - Industrial Processes and Product Use, 1.A.3 - Transport, 1.A.4 - Other Sectors, 3 - Agriculture, 4 - Land Use, Land-Use Change and Forestry, Total net emissions (UNFCCC), 1.D.1.b - International Navigation</t>
        </is>
      </c>
    </row>
    <row r="7" ht="24" customHeight="1">
      <c r="A7" s="3" t="inlineStr">
        <is>
          <t>Derivation:  Value = ([International aviation]+[Energy supply]+[Industry]+[Transport]+[Buildings and agriculture energy]+[Agriculture (non-energy)]+[LULUCF]+[Waste and other sectors])+[International maritime]*(0.6374552000704592)</t>
        </is>
      </c>
    </row>
    <row r="8" ht="42" customHeight="1">
      <c r="A8" s="77" t="inlineStr">
        <is>
          <t>Year</t>
        </is>
      </c>
      <c r="B8" s="77" t="inlineStr">
        <is>
          <t>Value</t>
        </is>
      </c>
      <c r="C8" s="77" t="inlineStr">
        <is>
          <t>International aviation</t>
        </is>
      </c>
      <c r="D8" s="77" t="inlineStr">
        <is>
          <t>Energy supply</t>
        </is>
      </c>
      <c r="E8" s="77" t="inlineStr">
        <is>
          <t>Industry</t>
        </is>
      </c>
      <c r="F8" s="77" t="inlineStr">
        <is>
          <t>Transport</t>
        </is>
      </c>
      <c r="G8" s="77" t="inlineStr">
        <is>
          <t>Buildings and agriculture energy</t>
        </is>
      </c>
      <c r="H8" s="77" t="inlineStr">
        <is>
          <t>Agriculture (non-energy)</t>
        </is>
      </c>
      <c r="I8" s="77" t="inlineStr">
        <is>
          <t>LULUCF</t>
        </is>
      </c>
      <c r="J8" s="77" t="inlineStr">
        <is>
          <t>Waste and other sectors</t>
        </is>
      </c>
      <c r="K8" s="77" t="inlineStr">
        <is>
          <t>International maritime</t>
        </is>
      </c>
      <c r="L8" s="77" t="inlineStr">
        <is>
          <t>1.D.1.a - International Aviation</t>
        </is>
      </c>
      <c r="M8" s="77" t="inlineStr">
        <is>
          <t>1.A.1 - Energy Industries</t>
        </is>
      </c>
      <c r="N8" s="77" t="inlineStr">
        <is>
          <t>1.B - Fugitive Emissions from Fuels</t>
        </is>
      </c>
      <c r="O8" s="77" t="inlineStr">
        <is>
          <t>1.A.2 - Manufacturing Industries and Construction</t>
        </is>
      </c>
      <c r="P8" s="77" t="inlineStr">
        <is>
          <t>2 - Industrial Processes and Product Use</t>
        </is>
      </c>
      <c r="Q8" s="77" t="inlineStr">
        <is>
          <t>1.A.3 - Transport</t>
        </is>
      </c>
      <c r="R8" s="77" t="inlineStr">
        <is>
          <t>1.A.4 - Other Sectors</t>
        </is>
      </c>
      <c r="S8" s="77" t="inlineStr">
        <is>
          <t>3 - Agriculture</t>
        </is>
      </c>
      <c r="T8" s="77" t="inlineStr">
        <is>
          <t>4 - Land Use, Land-Use Change and Forestry</t>
        </is>
      </c>
      <c r="U8" s="77" t="inlineStr">
        <is>
          <t>Total net emissions (UNFCCC)</t>
        </is>
      </c>
      <c r="V8" s="77" t="inlineStr">
        <is>
          <t>1.D.1.b - International Navigation</t>
        </is>
      </c>
    </row>
    <row r="9" ht="14" customHeight="1">
      <c r="A9" s="16" t="n">
        <v>2005</v>
      </c>
      <c r="B9" s="78">
        <f>((((((((C9+D9)+E9)+F9)+G9)+H9)+I9)+J9)+(K9*0.6374552000704592))</f>
        <v/>
      </c>
      <c r="C9" s="79">
        <f>(L9/1000)</f>
        <v/>
      </c>
      <c r="D9" s="79">
        <f>((M9+N9)/1000)</f>
        <v/>
      </c>
      <c r="E9" s="79">
        <f>((O9+P9)/1000)</f>
        <v/>
      </c>
      <c r="F9" s="79">
        <f>(Q9/1000)</f>
        <v/>
      </c>
      <c r="G9" s="79">
        <f>(R9/1000)</f>
        <v/>
      </c>
      <c r="H9" s="79">
        <f>(S9/1000)</f>
        <v/>
      </c>
      <c r="I9" s="79">
        <f>(T9/1000)</f>
        <v/>
      </c>
      <c r="J9" s="79">
        <f>(((((((U9/1000)-I9)-H9)-G9)-F9)-E9)-D9)</f>
        <v/>
      </c>
      <c r="K9" s="79">
        <f>(V9/1000)</f>
        <v/>
      </c>
      <c r="L9" s="79" t="n">
        <v>96093.5467867558</v>
      </c>
      <c r="M9" s="79" t="n">
        <v>1383791.909747243</v>
      </c>
      <c r="N9" s="79" t="n">
        <v>105438.9538356649</v>
      </c>
      <c r="O9" s="79" t="n">
        <v>556523.7994334318</v>
      </c>
      <c r="P9" s="79" t="n">
        <v>424749.957324306</v>
      </c>
      <c r="Q9" s="79" t="n">
        <v>847385.8950621939</v>
      </c>
      <c r="R9" s="79" t="n">
        <v>665039.2409976354</v>
      </c>
      <c r="S9" s="79" t="n">
        <v>389223.9381124297</v>
      </c>
      <c r="T9" s="79" t="n">
        <v>-342109.4761312911</v>
      </c>
      <c r="U9" s="79" t="n">
        <v>4199772.422216571</v>
      </c>
      <c r="V9" s="79" t="n">
        <v>153718.2167242595</v>
      </c>
    </row>
    <row r="10" ht="14" customHeight="1">
      <c r="A10" s="23" t="n">
        <v>2006</v>
      </c>
      <c r="B10" s="80">
        <f>((((((((C10+D10)+E10)+F10)+G10)+H10)+I10)+J10)+(K10*0.6374552000704592))</f>
        <v/>
      </c>
      <c r="C10" s="81">
        <f>(L10/1000)</f>
        <v/>
      </c>
      <c r="D10" s="81">
        <f>((M10+N10)/1000)</f>
        <v/>
      </c>
      <c r="E10" s="81">
        <f>((O10+P10)/1000)</f>
        <v/>
      </c>
      <c r="F10" s="81">
        <f>(Q10/1000)</f>
        <v/>
      </c>
      <c r="G10" s="81">
        <f>(R10/1000)</f>
        <v/>
      </c>
      <c r="H10" s="81">
        <f>(S10/1000)</f>
        <v/>
      </c>
      <c r="I10" s="81">
        <f>(T10/1000)</f>
        <v/>
      </c>
      <c r="J10" s="81">
        <f>(((((((U10/1000)-I10)-H10)-G10)-F10)-E10)-D10)</f>
        <v/>
      </c>
      <c r="K10" s="81">
        <f>(V10/1000)</f>
        <v/>
      </c>
      <c r="L10" s="81" t="n">
        <v>101161.5316416803</v>
      </c>
      <c r="M10" s="81" t="n">
        <v>1391298.067482591</v>
      </c>
      <c r="N10" s="81" t="n">
        <v>102854.448388843</v>
      </c>
      <c r="O10" s="81" t="n">
        <v>546025.3443937633</v>
      </c>
      <c r="P10" s="81" t="n">
        <v>427761.119956169</v>
      </c>
      <c r="Q10" s="81" t="n">
        <v>855493.5985864113</v>
      </c>
      <c r="R10" s="81" t="n">
        <v>663447.8326795688</v>
      </c>
      <c r="S10" s="81" t="n">
        <v>386079.7416515591</v>
      </c>
      <c r="T10" s="81" t="n">
        <v>-351296.38360007</v>
      </c>
      <c r="U10" s="81" t="n">
        <v>4186742.650344439</v>
      </c>
      <c r="V10" s="81" t="n">
        <v>164515.5386288674</v>
      </c>
    </row>
    <row r="11" ht="14" customHeight="1">
      <c r="A11" s="16" t="n">
        <v>2007</v>
      </c>
      <c r="B11" s="78">
        <f>((((((((C11+D11)+E11)+F11)+G11)+H11)+I11)+J11)+(K11*0.6374552000704592))</f>
        <v/>
      </c>
      <c r="C11" s="79">
        <f>(L11/1000)</f>
        <v/>
      </c>
      <c r="D11" s="79">
        <f>((M11+N11)/1000)</f>
        <v/>
      </c>
      <c r="E11" s="79">
        <f>((O11+P11)/1000)</f>
        <v/>
      </c>
      <c r="F11" s="79">
        <f>(Q11/1000)</f>
        <v/>
      </c>
      <c r="G11" s="79">
        <f>(R11/1000)</f>
        <v/>
      </c>
      <c r="H11" s="79">
        <f>(S11/1000)</f>
        <v/>
      </c>
      <c r="I11" s="79">
        <f>(T11/1000)</f>
        <v/>
      </c>
      <c r="J11" s="79">
        <f>(((((((U11/1000)-I11)-H11)-G11)-F11)-E11)-D11)</f>
        <v/>
      </c>
      <c r="K11" s="79">
        <f>(V11/1000)</f>
        <v/>
      </c>
      <c r="L11" s="79" t="n">
        <v>105830.0665252898</v>
      </c>
      <c r="M11" s="79" t="n">
        <v>1405513.649998837</v>
      </c>
      <c r="N11" s="79" t="n">
        <v>98154.80970217913</v>
      </c>
      <c r="O11" s="79" t="n">
        <v>558821.7373136887</v>
      </c>
      <c r="P11" s="79" t="n">
        <v>436796.397234523</v>
      </c>
      <c r="Q11" s="79" t="n">
        <v>863987.3624702656</v>
      </c>
      <c r="R11" s="79" t="n">
        <v>589494.6612543917</v>
      </c>
      <c r="S11" s="79" t="n">
        <v>389077.2087221159</v>
      </c>
      <c r="T11" s="79" t="n">
        <v>-300617.2864973615</v>
      </c>
      <c r="U11" s="79" t="n">
        <v>4202150.3650721</v>
      </c>
      <c r="V11" s="79" t="n">
        <v>171662.0376391525</v>
      </c>
    </row>
    <row r="12" ht="14" customHeight="1">
      <c r="A12" s="23" t="n">
        <v>2008</v>
      </c>
      <c r="B12" s="80">
        <f>((((((((C12+D12)+E12)+F12)+G12)+H12)+I12)+J12)+(K12*0.6374552000704592))</f>
        <v/>
      </c>
      <c r="C12" s="81">
        <f>(L12/1000)</f>
        <v/>
      </c>
      <c r="D12" s="81">
        <f>((M12+N12)/1000)</f>
        <v/>
      </c>
      <c r="E12" s="81">
        <f>((O12+P12)/1000)</f>
        <v/>
      </c>
      <c r="F12" s="81">
        <f>(Q12/1000)</f>
        <v/>
      </c>
      <c r="G12" s="81">
        <f>(R12/1000)</f>
        <v/>
      </c>
      <c r="H12" s="81">
        <f>(S12/1000)</f>
        <v/>
      </c>
      <c r="I12" s="81">
        <f>(T12/1000)</f>
        <v/>
      </c>
      <c r="J12" s="81">
        <f>(((((((U12/1000)-I12)-H12)-G12)-F12)-E12)-D12)</f>
        <v/>
      </c>
      <c r="K12" s="81">
        <f>(V12/1000)</f>
        <v/>
      </c>
      <c r="L12" s="81" t="n">
        <v>107394.2293441508</v>
      </c>
      <c r="M12" s="81" t="n">
        <v>1336603.937452088</v>
      </c>
      <c r="N12" s="81" t="n">
        <v>96639.65675954637</v>
      </c>
      <c r="O12" s="81" t="n">
        <v>539298.5581894323</v>
      </c>
      <c r="P12" s="81" t="n">
        <v>413039.8886742173</v>
      </c>
      <c r="Q12" s="81" t="n">
        <v>844924.2604683492</v>
      </c>
      <c r="R12" s="81" t="n">
        <v>635070.0212689056</v>
      </c>
      <c r="S12" s="81" t="n">
        <v>386575.0098164768</v>
      </c>
      <c r="T12" s="81" t="n">
        <v>-344262.7716834369</v>
      </c>
      <c r="U12" s="81" t="n">
        <v>4064149.484070258</v>
      </c>
      <c r="V12" s="81" t="n">
        <v>169489.7568514196</v>
      </c>
    </row>
    <row r="13" ht="14" customHeight="1">
      <c r="A13" s="16" t="n">
        <v>2009</v>
      </c>
      <c r="B13" s="78">
        <f>((((((((C13+D13)+E13)+F13)+G13)+H13)+I13)+J13)+(K13*0.6374552000704592))</f>
        <v/>
      </c>
      <c r="C13" s="79">
        <f>(L13/1000)</f>
        <v/>
      </c>
      <c r="D13" s="79">
        <f>((M13+N13)/1000)</f>
        <v/>
      </c>
      <c r="E13" s="79">
        <f>((O13+P13)/1000)</f>
        <v/>
      </c>
      <c r="F13" s="79">
        <f>(Q13/1000)</f>
        <v/>
      </c>
      <c r="G13" s="79">
        <f>(R13/1000)</f>
        <v/>
      </c>
      <c r="H13" s="79">
        <f>(S13/1000)</f>
        <v/>
      </c>
      <c r="I13" s="79">
        <f>(T13/1000)</f>
        <v/>
      </c>
      <c r="J13" s="79">
        <f>(((((((U13/1000)-I13)-H13)-G13)-F13)-E13)-D13)</f>
        <v/>
      </c>
      <c r="K13" s="79">
        <f>(V13/1000)</f>
        <v/>
      </c>
      <c r="L13" s="79" t="n">
        <v>98727.74136248264</v>
      </c>
      <c r="M13" s="79" t="n">
        <v>1235822.217675003</v>
      </c>
      <c r="N13" s="79" t="n">
        <v>89395.84095457353</v>
      </c>
      <c r="O13" s="79" t="n">
        <v>447681.1654271635</v>
      </c>
      <c r="P13" s="79" t="n">
        <v>341747.1408288951</v>
      </c>
      <c r="Q13" s="79" t="n">
        <v>823123.0306433681</v>
      </c>
      <c r="R13" s="79" t="n">
        <v>621387.0525601142</v>
      </c>
      <c r="S13" s="79" t="n">
        <v>381540.6542629341</v>
      </c>
      <c r="T13" s="79" t="n">
        <v>-347022.328623644</v>
      </c>
      <c r="U13" s="79" t="n">
        <v>3745936.961124457</v>
      </c>
      <c r="V13" s="79" t="n">
        <v>150692.1471136669</v>
      </c>
    </row>
    <row r="14" ht="14" customHeight="1">
      <c r="A14" s="23" t="n">
        <v>2010</v>
      </c>
      <c r="B14" s="80">
        <f>((((((((C14+D14)+E14)+F14)+G14)+H14)+I14)+J14)+(K14*0.6374552000704592))</f>
        <v/>
      </c>
      <c r="C14" s="81">
        <f>(L14/1000)</f>
        <v/>
      </c>
      <c r="D14" s="81">
        <f>((M14+N14)/1000)</f>
        <v/>
      </c>
      <c r="E14" s="81">
        <f>((O14+P14)/1000)</f>
        <v/>
      </c>
      <c r="F14" s="81">
        <f>(Q14/1000)</f>
        <v/>
      </c>
      <c r="G14" s="81">
        <f>(R14/1000)</f>
        <v/>
      </c>
      <c r="H14" s="81">
        <f>(S14/1000)</f>
        <v/>
      </c>
      <c r="I14" s="81">
        <f>(T14/1000)</f>
        <v/>
      </c>
      <c r="J14" s="81">
        <f>(((((((U14/1000)-I14)-H14)-G14)-F14)-E14)-D14)</f>
        <v/>
      </c>
      <c r="K14" s="81">
        <f>(V14/1000)</f>
        <v/>
      </c>
      <c r="L14" s="81" t="n">
        <v>100367.703168101</v>
      </c>
      <c r="M14" s="81" t="n">
        <v>1254197.964069834</v>
      </c>
      <c r="N14" s="81" t="n">
        <v>88942.11788421345</v>
      </c>
      <c r="O14" s="81" t="n">
        <v>480724.9666168753</v>
      </c>
      <c r="P14" s="81" t="n">
        <v>358089.4760762021</v>
      </c>
      <c r="Q14" s="81" t="n">
        <v>817639.3284119875</v>
      </c>
      <c r="R14" s="81" t="n">
        <v>656091.4267227739</v>
      </c>
      <c r="S14" s="81" t="n">
        <v>376261.832016038</v>
      </c>
      <c r="T14" s="81" t="n">
        <v>-352590.1909498173</v>
      </c>
      <c r="U14" s="81" t="n">
        <v>3828151.481732043</v>
      </c>
      <c r="V14" s="81" t="n">
        <v>151616.5388100612</v>
      </c>
    </row>
    <row r="15" ht="14" customHeight="1">
      <c r="A15" s="16" t="n">
        <v>2011</v>
      </c>
      <c r="B15" s="78">
        <f>((((((((C15+D15)+E15)+F15)+G15)+H15)+I15)+J15)+(K15*0.6374552000704592))</f>
        <v/>
      </c>
      <c r="C15" s="79">
        <f>(L15/1000)</f>
        <v/>
      </c>
      <c r="D15" s="79">
        <f>((M15+N15)/1000)</f>
        <v/>
      </c>
      <c r="E15" s="79">
        <f>((O15+P15)/1000)</f>
        <v/>
      </c>
      <c r="F15" s="79">
        <f>(Q15/1000)</f>
        <v/>
      </c>
      <c r="G15" s="79">
        <f>(R15/1000)</f>
        <v/>
      </c>
      <c r="H15" s="79">
        <f>(S15/1000)</f>
        <v/>
      </c>
      <c r="I15" s="79">
        <f>(T15/1000)</f>
        <v/>
      </c>
      <c r="J15" s="79">
        <f>(((((((U15/1000)-I15)-H15)-G15)-F15)-E15)-D15)</f>
        <v/>
      </c>
      <c r="K15" s="79">
        <f>(V15/1000)</f>
        <v/>
      </c>
      <c r="L15" s="79" t="n">
        <v>102837.0641991336</v>
      </c>
      <c r="M15" s="79" t="n">
        <v>1245598.75636121</v>
      </c>
      <c r="N15" s="79" t="n">
        <v>88256.71798617767</v>
      </c>
      <c r="O15" s="79" t="n">
        <v>468688.8421073754</v>
      </c>
      <c r="P15" s="79" t="n">
        <v>357464.6123107264</v>
      </c>
      <c r="Q15" s="79" t="n">
        <v>808240.4255515237</v>
      </c>
      <c r="R15" s="79" t="n">
        <v>581491.159158799</v>
      </c>
      <c r="S15" s="79" t="n">
        <v>375710.6857101015</v>
      </c>
      <c r="T15" s="79" t="n">
        <v>-347273.8004383777</v>
      </c>
      <c r="U15" s="79" t="n">
        <v>3722592.33532732</v>
      </c>
      <c r="V15" s="79" t="n">
        <v>150438.6922295953</v>
      </c>
    </row>
    <row r="16" ht="14" customHeight="1">
      <c r="A16" s="23" t="n">
        <v>2012</v>
      </c>
      <c r="B16" s="80">
        <f>((((((((C16+D16)+E16)+F16)+G16)+H16)+I16)+J16)+(K16*0.6374552000704592))</f>
        <v/>
      </c>
      <c r="C16" s="81">
        <f>(L16/1000)</f>
        <v/>
      </c>
      <c r="D16" s="81">
        <f>((M16+N16)/1000)</f>
        <v/>
      </c>
      <c r="E16" s="81">
        <f>((O16+P16)/1000)</f>
        <v/>
      </c>
      <c r="F16" s="81">
        <f>(Q16/1000)</f>
        <v/>
      </c>
      <c r="G16" s="81">
        <f>(R16/1000)</f>
        <v/>
      </c>
      <c r="H16" s="81">
        <f>(S16/1000)</f>
        <v/>
      </c>
      <c r="I16" s="81">
        <f>(T16/1000)</f>
        <v/>
      </c>
      <c r="J16" s="81">
        <f>(((((((U16/1000)-I16)-H16)-G16)-F16)-E16)-D16)</f>
        <v/>
      </c>
      <c r="K16" s="81">
        <f>(V16/1000)</f>
        <v/>
      </c>
      <c r="L16" s="81" t="n">
        <v>101711.2712350216</v>
      </c>
      <c r="M16" s="81" t="n">
        <v>1228497.283589192</v>
      </c>
      <c r="N16" s="81" t="n">
        <v>87382.27090351634</v>
      </c>
      <c r="O16" s="81" t="n">
        <v>450892.5625642318</v>
      </c>
      <c r="P16" s="81" t="n">
        <v>344777.8719775737</v>
      </c>
      <c r="Q16" s="81" t="n">
        <v>778706.749671909</v>
      </c>
      <c r="R16" s="81" t="n">
        <v>589570.9624305605</v>
      </c>
      <c r="S16" s="81" t="n">
        <v>375535.1288160273</v>
      </c>
      <c r="T16" s="81" t="n">
        <v>-342633.5989882683</v>
      </c>
      <c r="U16" s="81" t="n">
        <v>3652676.458347446</v>
      </c>
      <c r="V16" s="81" t="n">
        <v>140076.7945914176</v>
      </c>
    </row>
    <row r="17" ht="14" customHeight="1">
      <c r="A17" s="16" t="n">
        <v>2013</v>
      </c>
      <c r="B17" s="78">
        <f>((((((((C17+D17)+E17)+F17)+G17)+H17)+I17)+J17)+(K17*0.6374552000704592))</f>
        <v/>
      </c>
      <c r="C17" s="79">
        <f>(L17/1000)</f>
        <v/>
      </c>
      <c r="D17" s="79">
        <f>((M17+N17)/1000)</f>
        <v/>
      </c>
      <c r="E17" s="79">
        <f>((O17+P17)/1000)</f>
        <v/>
      </c>
      <c r="F17" s="79">
        <f>(Q17/1000)</f>
        <v/>
      </c>
      <c r="G17" s="79">
        <f>(R17/1000)</f>
        <v/>
      </c>
      <c r="H17" s="79">
        <f>(S17/1000)</f>
        <v/>
      </c>
      <c r="I17" s="79">
        <f>(T17/1000)</f>
        <v/>
      </c>
      <c r="J17" s="79">
        <f>(((((((U17/1000)-I17)-H17)-G17)-F17)-E17)-D17)</f>
        <v/>
      </c>
      <c r="K17" s="79">
        <f>(V17/1000)</f>
        <v/>
      </c>
      <c r="L17" s="79" t="n">
        <v>102661.527717858</v>
      </c>
      <c r="M17" s="79" t="n">
        <v>1167766.627856105</v>
      </c>
      <c r="N17" s="79" t="n">
        <v>86244.80117624416</v>
      </c>
      <c r="O17" s="79" t="n">
        <v>432830.4669897874</v>
      </c>
      <c r="P17" s="79" t="n">
        <v>342701.8740429208</v>
      </c>
      <c r="Q17" s="79" t="n">
        <v>772714.0098053934</v>
      </c>
      <c r="R17" s="79" t="n">
        <v>593898.5478671879</v>
      </c>
      <c r="S17" s="79" t="n">
        <v>377711.0600038942</v>
      </c>
      <c r="T17" s="79" t="n">
        <v>-342604.9051712324</v>
      </c>
      <c r="U17" s="79" t="n">
        <v>3565971.851813179</v>
      </c>
      <c r="V17" s="79" t="n">
        <v>132216.8364301119</v>
      </c>
    </row>
    <row r="18" ht="14" customHeight="1">
      <c r="A18" s="23" t="n">
        <v>2014</v>
      </c>
      <c r="B18" s="80">
        <f>((((((((C18+D18)+E18)+F18)+G18)+H18)+I18)+J18)+(K18*0.6374552000704592))</f>
        <v/>
      </c>
      <c r="C18" s="81">
        <f>(L18/1000)</f>
        <v/>
      </c>
      <c r="D18" s="81">
        <f>((M18+N18)/1000)</f>
        <v/>
      </c>
      <c r="E18" s="81">
        <f>((O18+P18)/1000)</f>
        <v/>
      </c>
      <c r="F18" s="81">
        <f>(Q18/1000)</f>
        <v/>
      </c>
      <c r="G18" s="81">
        <f>(R18/1000)</f>
        <v/>
      </c>
      <c r="H18" s="81">
        <f>(S18/1000)</f>
        <v/>
      </c>
      <c r="I18" s="81">
        <f>(T18/1000)</f>
        <v/>
      </c>
      <c r="J18" s="81">
        <f>(((((((U18/1000)-I18)-H18)-G18)-F18)-E18)-D18)</f>
        <v/>
      </c>
      <c r="K18" s="81">
        <f>(V18/1000)</f>
        <v/>
      </c>
      <c r="L18" s="81" t="n">
        <v>104670.2515866599</v>
      </c>
      <c r="M18" s="81" t="n">
        <v>1106411.952567341</v>
      </c>
      <c r="N18" s="81" t="n">
        <v>83315.75412458043</v>
      </c>
      <c r="O18" s="81" t="n">
        <v>419987.1953761611</v>
      </c>
      <c r="P18" s="81" t="n">
        <v>349178.2009048872</v>
      </c>
      <c r="Q18" s="81" t="n">
        <v>778078.2800394794</v>
      </c>
      <c r="R18" s="81" t="n">
        <v>517774.6481601744</v>
      </c>
      <c r="S18" s="81" t="n">
        <v>382763.2323365848</v>
      </c>
      <c r="T18" s="81" t="n">
        <v>-327802.7208805995</v>
      </c>
      <c r="U18" s="81" t="n">
        <v>3439936.605301883</v>
      </c>
      <c r="V18" s="81" t="n">
        <v>128504.2723115443</v>
      </c>
    </row>
    <row r="19" ht="14" customHeight="1">
      <c r="A19" s="16" t="n">
        <v>2015</v>
      </c>
      <c r="B19" s="78">
        <f>((((((((C19+D19)+E19)+F19)+G19)+H19)+I19)+J19)+(K19*0.6374552000704592))</f>
        <v/>
      </c>
      <c r="C19" s="79">
        <f>(L19/1000)</f>
        <v/>
      </c>
      <c r="D19" s="79">
        <f>((M19+N19)/1000)</f>
        <v/>
      </c>
      <c r="E19" s="79">
        <f>((O19+P19)/1000)</f>
        <v/>
      </c>
      <c r="F19" s="79">
        <f>(Q19/1000)</f>
        <v/>
      </c>
      <c r="G19" s="79">
        <f>(R19/1000)</f>
        <v/>
      </c>
      <c r="H19" s="79">
        <f>(S19/1000)</f>
        <v/>
      </c>
      <c r="I19" s="79">
        <f>(T19/1000)</f>
        <v/>
      </c>
      <c r="J19" s="79">
        <f>(((((((U19/1000)-I19)-H19)-G19)-F19)-E19)-D19)</f>
        <v/>
      </c>
      <c r="K19" s="79">
        <f>(V19/1000)</f>
        <v/>
      </c>
      <c r="L19" s="79" t="n">
        <v>108530.225575632</v>
      </c>
      <c r="M19" s="79" t="n">
        <v>1113952.039429784</v>
      </c>
      <c r="N19" s="79" t="n">
        <v>82722.17581126672</v>
      </c>
      <c r="O19" s="79" t="n">
        <v>428994.7046756293</v>
      </c>
      <c r="P19" s="79" t="n">
        <v>339854.3406348636</v>
      </c>
      <c r="Q19" s="79" t="n">
        <v>793239.5374683889</v>
      </c>
      <c r="R19" s="79" t="n">
        <v>541000.8190923381</v>
      </c>
      <c r="S19" s="79" t="n">
        <v>384280.2404336713</v>
      </c>
      <c r="T19" s="79" t="n">
        <v>-322423.8390120481</v>
      </c>
      <c r="U19" s="79" t="n">
        <v>3489991.78684447</v>
      </c>
      <c r="V19" s="79" t="n">
        <v>129161.6247826884</v>
      </c>
    </row>
    <row r="20" ht="14" customHeight="1">
      <c r="A20" s="23" t="n">
        <v>2016</v>
      </c>
      <c r="B20" s="80">
        <f>((((((((C20+D20)+E20)+F20)+G20)+H20)+I20)+J20)+(K20*0.6374552000704592))</f>
        <v/>
      </c>
      <c r="C20" s="81">
        <f>(L20/1000)</f>
        <v/>
      </c>
      <c r="D20" s="81">
        <f>((M20+N20)/1000)</f>
        <v/>
      </c>
      <c r="E20" s="81">
        <f>((O20+P20)/1000)</f>
        <v/>
      </c>
      <c r="F20" s="81">
        <f>(Q20/1000)</f>
        <v/>
      </c>
      <c r="G20" s="81">
        <f>(R20/1000)</f>
        <v/>
      </c>
      <c r="H20" s="81">
        <f>(S20/1000)</f>
        <v/>
      </c>
      <c r="I20" s="81">
        <f>(T20/1000)</f>
        <v/>
      </c>
      <c r="J20" s="81">
        <f>(((((((U20/1000)-I20)-H20)-G20)-F20)-E20)-D20)</f>
        <v/>
      </c>
      <c r="K20" s="81">
        <f>(V20/1000)</f>
        <v/>
      </c>
      <c r="L20" s="81" t="n">
        <v>115073.9625731744</v>
      </c>
      <c r="M20" s="81" t="n">
        <v>1089116.588723411</v>
      </c>
      <c r="N20" s="81" t="n">
        <v>79398.29508330715</v>
      </c>
      <c r="O20" s="81" t="n">
        <v>434138.4673306638</v>
      </c>
      <c r="P20" s="81" t="n">
        <v>342081.2033069766</v>
      </c>
      <c r="Q20" s="81" t="n">
        <v>810749.1666258904</v>
      </c>
      <c r="R20" s="81" t="n">
        <v>547734.6214553677</v>
      </c>
      <c r="S20" s="81" t="n">
        <v>386350.863086234</v>
      </c>
      <c r="T20" s="81" t="n">
        <v>-318486.5248315362</v>
      </c>
      <c r="U20" s="81" t="n">
        <v>3496207.047471587</v>
      </c>
      <c r="V20" s="81" t="n">
        <v>132878.7115343804</v>
      </c>
    </row>
    <row r="21" ht="14" customHeight="1">
      <c r="A21" s="16" t="n">
        <v>2017</v>
      </c>
      <c r="B21" s="78">
        <f>((((((((C21+D21)+E21)+F21)+G21)+H21)+I21)+J21)+(K21*0.6374552000704592))</f>
        <v/>
      </c>
      <c r="C21" s="79">
        <f>(L21/1000)</f>
        <v/>
      </c>
      <c r="D21" s="79">
        <f>((M21+N21)/1000)</f>
        <v/>
      </c>
      <c r="E21" s="79">
        <f>((O21+P21)/1000)</f>
        <v/>
      </c>
      <c r="F21" s="79">
        <f>(Q21/1000)</f>
        <v/>
      </c>
      <c r="G21" s="79">
        <f>(R21/1000)</f>
        <v/>
      </c>
      <c r="H21" s="79">
        <f>(S21/1000)</f>
        <v/>
      </c>
      <c r="I21" s="79">
        <f>(T21/1000)</f>
        <v/>
      </c>
      <c r="J21" s="79">
        <f>(((((((U21/1000)-I21)-H21)-G21)-F21)-E21)-D21)</f>
        <v/>
      </c>
      <c r="K21" s="79">
        <f>(V21/1000)</f>
        <v/>
      </c>
      <c r="L21" s="79" t="n">
        <v>124162.2531613785</v>
      </c>
      <c r="M21" s="79" t="n">
        <v>1083340.062104683</v>
      </c>
      <c r="N21" s="79" t="n">
        <v>78797.86218157514</v>
      </c>
      <c r="O21" s="79" t="n">
        <v>441345.5467568766</v>
      </c>
      <c r="P21" s="79" t="n">
        <v>349690.552885406</v>
      </c>
      <c r="Q21" s="79" t="n">
        <v>824980.6709826406</v>
      </c>
      <c r="R21" s="79" t="n">
        <v>545728.3094760611</v>
      </c>
      <c r="S21" s="79" t="n">
        <v>388162.7465621477</v>
      </c>
      <c r="T21" s="79" t="n">
        <v>-249795.8911803428</v>
      </c>
      <c r="U21" s="79" t="n">
        <v>3586270.555416179</v>
      </c>
      <c r="V21" s="79" t="n">
        <v>134673.0537708645</v>
      </c>
    </row>
    <row r="22" ht="14" customHeight="1">
      <c r="A22" s="23" t="n">
        <v>2018</v>
      </c>
      <c r="B22" s="80">
        <f>((((((((C22+D22)+E22)+F22)+G22)+H22)+I22)+J22)+(K22*0.6374552000704592))</f>
        <v/>
      </c>
      <c r="C22" s="81">
        <f>(L22/1000)</f>
        <v/>
      </c>
      <c r="D22" s="81">
        <f>((M22+N22)/1000)</f>
        <v/>
      </c>
      <c r="E22" s="81">
        <f>((O22+P22)/1000)</f>
        <v/>
      </c>
      <c r="F22" s="81">
        <f>(Q22/1000)</f>
        <v/>
      </c>
      <c r="G22" s="81">
        <f>(R22/1000)</f>
        <v/>
      </c>
      <c r="H22" s="81">
        <f>(S22/1000)</f>
        <v/>
      </c>
      <c r="I22" s="81">
        <f>(T22/1000)</f>
        <v/>
      </c>
      <c r="J22" s="81">
        <f>(((((((U22/1000)-I22)-H22)-G22)-F22)-E22)-D22)</f>
        <v/>
      </c>
      <c r="K22" s="81">
        <f>(V22/1000)</f>
        <v/>
      </c>
      <c r="L22" s="81" t="n">
        <v>130358.3122343503</v>
      </c>
      <c r="M22" s="81" t="n">
        <v>1023654.369042464</v>
      </c>
      <c r="N22" s="81" t="n">
        <v>75127.80479899461</v>
      </c>
      <c r="O22" s="81" t="n">
        <v>442369.9182363944</v>
      </c>
      <c r="P22" s="81" t="n">
        <v>342906.689601974</v>
      </c>
      <c r="Q22" s="81" t="n">
        <v>826483.0160983559</v>
      </c>
      <c r="R22" s="81" t="n">
        <v>532932.2957141745</v>
      </c>
      <c r="S22" s="81" t="n">
        <v>385144.0777511664</v>
      </c>
      <c r="T22" s="81" t="n">
        <v>-257789.0407210758</v>
      </c>
      <c r="U22" s="81" t="n">
        <v>3492981.769437353</v>
      </c>
      <c r="V22" s="81" t="n">
        <v>137835.7627343526</v>
      </c>
    </row>
    <row r="23" ht="14" customHeight="1">
      <c r="A23" s="16" t="n">
        <v>2019</v>
      </c>
      <c r="B23" s="78">
        <f>((((((((C23+D23)+E23)+F23)+G23)+H23)+I23)+J23)+(K23*0.6374552000704592))</f>
        <v/>
      </c>
      <c r="C23" s="79">
        <f>(L23/1000)</f>
        <v/>
      </c>
      <c r="D23" s="79">
        <f>((M23+N23)/1000)</f>
        <v/>
      </c>
      <c r="E23" s="79">
        <f>((O23+P23)/1000)</f>
        <v/>
      </c>
      <c r="F23" s="79">
        <f>(Q23/1000)</f>
        <v/>
      </c>
      <c r="G23" s="79">
        <f>(R23/1000)</f>
        <v/>
      </c>
      <c r="H23" s="79">
        <f>(S23/1000)</f>
        <v/>
      </c>
      <c r="I23" s="79">
        <f>(T23/1000)</f>
        <v/>
      </c>
      <c r="J23" s="79">
        <f>(((((((U23/1000)-I23)-H23)-G23)-F23)-E23)-D23)</f>
        <v/>
      </c>
      <c r="K23" s="79">
        <f>(V23/1000)</f>
        <v/>
      </c>
      <c r="L23" s="79" t="n">
        <v>132976.6899599499</v>
      </c>
      <c r="M23" s="79" t="n">
        <v>905334.0532878421</v>
      </c>
      <c r="N23" s="79" t="n">
        <v>68470.86858615991</v>
      </c>
      <c r="O23" s="79" t="n">
        <v>428579.8953015269</v>
      </c>
      <c r="P23" s="79" t="n">
        <v>331548.2341144778</v>
      </c>
      <c r="Q23" s="79" t="n">
        <v>832732.9627801805</v>
      </c>
      <c r="R23" s="79" t="n">
        <v>522823.0782422734</v>
      </c>
      <c r="S23" s="79" t="n">
        <v>380247.9630183178</v>
      </c>
      <c r="T23" s="79" t="n">
        <v>-247317.6236412184</v>
      </c>
      <c r="U23" s="79" t="n">
        <v>3343976.001711879</v>
      </c>
      <c r="V23" s="79" t="n">
        <v>136597.1927971829</v>
      </c>
    </row>
    <row r="24" ht="14" customHeight="1">
      <c r="A24" s="23" t="n">
        <v>2020</v>
      </c>
      <c r="B24" s="80">
        <f>((((((((C24+D24)+E24)+F24)+G24)+H24)+I24)+J24)+(K24*0.6374552000704592))</f>
        <v/>
      </c>
      <c r="C24" s="81">
        <f>(L24/1000)</f>
        <v/>
      </c>
      <c r="D24" s="81">
        <f>((M24+N24)/1000)</f>
        <v/>
      </c>
      <c r="E24" s="81">
        <f>((O24+P24)/1000)</f>
        <v/>
      </c>
      <c r="F24" s="81">
        <f>(Q24/1000)</f>
        <v/>
      </c>
      <c r="G24" s="81">
        <f>(R24/1000)</f>
        <v/>
      </c>
      <c r="H24" s="81">
        <f>(S24/1000)</f>
        <v/>
      </c>
      <c r="I24" s="81">
        <f>(T24/1000)</f>
        <v/>
      </c>
      <c r="J24" s="81">
        <f>(((((((U24/1000)-I24)-H24)-G24)-F24)-E24)-D24)</f>
        <v/>
      </c>
      <c r="K24" s="81">
        <f>(V24/1000)</f>
        <v/>
      </c>
      <c r="L24" s="81" t="n">
        <v>56110.15386994078</v>
      </c>
      <c r="M24" s="81" t="n">
        <v>778122.0885059792</v>
      </c>
      <c r="N24" s="81" t="n">
        <v>63396.09017103456</v>
      </c>
      <c r="O24" s="81" t="n">
        <v>412771.8756989454</v>
      </c>
      <c r="P24" s="81" t="n">
        <v>306828.453320871</v>
      </c>
      <c r="Q24" s="81" t="n">
        <v>720181.5179737462</v>
      </c>
      <c r="R24" s="81" t="n">
        <v>519713.6736162479</v>
      </c>
      <c r="S24" s="81" t="n">
        <v>381956.8334369566</v>
      </c>
      <c r="T24" s="81" t="n">
        <v>-241038.0579270464</v>
      </c>
      <c r="U24" s="81" t="n">
        <v>3062562.485365232</v>
      </c>
      <c r="V24" s="81" t="n">
        <v>121030.6700531797</v>
      </c>
    </row>
    <row r="25" ht="14" customHeight="1">
      <c r="A25" s="16" t="n">
        <v>2021</v>
      </c>
      <c r="B25" s="78">
        <f>((((((((C25+D25)+E25)+F25)+G25)+H25)+I25)+J25)+(K25*0.6374552000704592))</f>
        <v/>
      </c>
      <c r="C25" s="79">
        <f>(L25/1000)</f>
        <v/>
      </c>
      <c r="D25" s="79">
        <f>((M25+N25)/1000)</f>
        <v/>
      </c>
      <c r="E25" s="79">
        <f>((O25+P25)/1000)</f>
        <v/>
      </c>
      <c r="F25" s="79">
        <f>(Q25/1000)</f>
        <v/>
      </c>
      <c r="G25" s="79">
        <f>(R25/1000)</f>
        <v/>
      </c>
      <c r="H25" s="79">
        <f>(S25/1000)</f>
        <v/>
      </c>
      <c r="I25" s="79">
        <f>(T25/1000)</f>
        <v/>
      </c>
      <c r="J25" s="79">
        <f>(((((((U25/1000)-I25)-H25)-G25)-F25)-E25)-D25)</f>
        <v/>
      </c>
      <c r="K25" s="79">
        <f>(V25/1000)</f>
        <v/>
      </c>
      <c r="L25" s="79" t="n">
        <v>69754.33288629929</v>
      </c>
      <c r="M25" s="79" t="n">
        <v>840446.6098716129</v>
      </c>
      <c r="N25" s="79" t="n">
        <v>61178.10452410704</v>
      </c>
      <c r="O25" s="79" t="n">
        <v>439540.132456479</v>
      </c>
      <c r="P25" s="79" t="n">
        <v>317933.961339561</v>
      </c>
      <c r="Q25" s="79" t="n">
        <v>782100.6927128381</v>
      </c>
      <c r="R25" s="79" t="n">
        <v>532533.8870926787</v>
      </c>
      <c r="S25" s="79" t="n">
        <v>378430.4732188581</v>
      </c>
      <c r="T25" s="79" t="n">
        <v>-229984.6664172722</v>
      </c>
      <c r="U25" s="79" t="n">
        <v>3241715.645399727</v>
      </c>
      <c r="V25" s="79" t="n">
        <v>129086.0910553474</v>
      </c>
    </row>
    <row r="26" ht="14" customHeight="1">
      <c r="A26" s="23" t="n">
        <v>2022</v>
      </c>
      <c r="B26" s="80">
        <f>((((((((C26+D26)+E26)+F26)+G26)+H26)+I26)+J26)+(K26*0.6374552000704592))</f>
        <v/>
      </c>
      <c r="C26" s="81">
        <f>(L26/1000)</f>
        <v/>
      </c>
      <c r="D26" s="81">
        <f>((M26+N26)/1000)</f>
        <v/>
      </c>
      <c r="E26" s="81">
        <f>((O26+P26)/1000)</f>
        <v/>
      </c>
      <c r="F26" s="81">
        <f>(Q26/1000)</f>
        <v/>
      </c>
      <c r="G26" s="81">
        <f>(R26/1000)</f>
        <v/>
      </c>
      <c r="H26" s="81">
        <f>(S26/1000)</f>
        <v/>
      </c>
      <c r="I26" s="81">
        <f>(T26/1000)</f>
        <v/>
      </c>
      <c r="J26" s="81">
        <f>(((((((U26/1000)-I26)-H26)-G26)-F26)-E26)-D26)</f>
        <v/>
      </c>
      <c r="K26" s="81">
        <f>(V26/1000)</f>
        <v/>
      </c>
      <c r="L26" s="81" t="n">
        <v>103282.33849</v>
      </c>
      <c r="M26" s="81" t="n">
        <v>863591.50089</v>
      </c>
      <c r="N26" s="81" t="n">
        <v>60742.65651</v>
      </c>
      <c r="O26" s="81" t="n">
        <v>398202.32207</v>
      </c>
      <c r="P26" s="81" t="n">
        <v>293126.49118</v>
      </c>
      <c r="Q26" s="81" t="n">
        <v>803300.64018</v>
      </c>
      <c r="R26" s="81" t="n">
        <v>481832.07029</v>
      </c>
      <c r="S26" s="81" t="n">
        <v>370649.49145</v>
      </c>
      <c r="T26" s="81" t="n">
        <v>-243767.28937</v>
      </c>
      <c r="U26" s="81" t="n">
        <v>3142824.65786</v>
      </c>
      <c r="V26" s="81" t="n">
        <v>137742.68167</v>
      </c>
    </row>
    <row r="27" ht="14" customHeight="1">
      <c r="A27" s="16" t="n">
        <v>2023</v>
      </c>
      <c r="B27" s="78">
        <f>((((((((C27+D27)+E27)+F27)+G27)+H27)+I27)+J27)+(K27*0.6374552000704592))</f>
        <v/>
      </c>
      <c r="C27" s="79">
        <f>(L27/1000)</f>
        <v/>
      </c>
      <c r="D27" s="79">
        <f>((M27+N27)/1000)</f>
        <v/>
      </c>
      <c r="E27" s="79">
        <f>((O27+P27)/1000)</f>
        <v/>
      </c>
      <c r="F27" s="79">
        <f>(Q27/1000)</f>
        <v/>
      </c>
      <c r="G27" s="79">
        <f>(R27/1000)</f>
        <v/>
      </c>
      <c r="H27" s="79">
        <f>(S27/1000)</f>
        <v/>
      </c>
      <c r="I27" s="79">
        <f>(T27/1000)</f>
        <v/>
      </c>
      <c r="J27" s="79">
        <f>(((((((U27/1000)-I27)-H27)-G27)-F27)-E27)-D27)</f>
        <v/>
      </c>
      <c r="K27" s="79">
        <f>(V27/1000)</f>
        <v/>
      </c>
      <c r="L27" s="79" t="n">
        <v>122755.95</v>
      </c>
      <c r="M27" s="79" t="n">
        <v>698415.59</v>
      </c>
      <c r="N27" s="79" t="n">
        <v>47890.66</v>
      </c>
      <c r="O27" s="79" t="n">
        <v>358770.37</v>
      </c>
      <c r="P27" s="79" t="n">
        <v>263328.47</v>
      </c>
      <c r="Q27" s="79" t="n">
        <v>795640.38</v>
      </c>
      <c r="R27" s="79" t="n">
        <v>437337.17</v>
      </c>
      <c r="S27" s="79" t="n">
        <v>363238.13</v>
      </c>
      <c r="T27" s="79" t="n">
        <v>-215514.95</v>
      </c>
      <c r="U27" s="79" t="n">
        <v>2872831.69</v>
      </c>
      <c r="V27" s="79" t="n">
        <v>122385.65</v>
      </c>
    </row>
    <row r="28" ht="14" customHeight="1">
      <c r="A28" s="23" t="n">
        <v>2024</v>
      </c>
      <c r="B28" s="80">
        <f>((((((((C28+D28)+E28)+F28)+G28)+H28)+I28)+J28)+(K28*0.6374552000704592))</f>
        <v/>
      </c>
      <c r="C28" s="81">
        <f>(L28/1000)</f>
        <v/>
      </c>
      <c r="D28" s="81">
        <f>((M28+N28)/1000)</f>
        <v/>
      </c>
      <c r="E28" s="81">
        <f>((O28+P28)/1000)</f>
        <v/>
      </c>
      <c r="F28" s="81">
        <f>(Q28/1000)</f>
        <v/>
      </c>
      <c r="G28" s="81">
        <f>(R28/1000)</f>
        <v/>
      </c>
      <c r="H28" s="81">
        <f>(S28/1000)</f>
        <v/>
      </c>
      <c r="I28" s="81">
        <f>(T28/1000)</f>
        <v/>
      </c>
      <c r="J28" s="81">
        <f>(((((((U28/1000)-I28)-H28)-G28)-F28)-E28)-D28)</f>
        <v/>
      </c>
      <c r="K28" s="81">
        <f>(V28/1000)</f>
        <v/>
      </c>
      <c r="L28" s="81" t="n">
        <v>129981.66</v>
      </c>
      <c r="M28" s="81" t="n">
        <v>642414.8100000001</v>
      </c>
      <c r="N28" s="81" t="n">
        <v>46712.11</v>
      </c>
      <c r="O28" s="81" t="n">
        <v>351562.16</v>
      </c>
      <c r="P28" s="81" t="n">
        <v>259866.27</v>
      </c>
      <c r="Q28" s="81" t="n">
        <v>804764.05</v>
      </c>
      <c r="R28" s="81" t="n">
        <v>430706</v>
      </c>
      <c r="S28" s="81" t="n">
        <v>359085.59</v>
      </c>
      <c r="T28" s="81" t="n">
        <v>-230985.16</v>
      </c>
      <c r="U28" s="81" t="n">
        <v>2786202.81</v>
      </c>
      <c r="V28" s="81" t="n">
        <v>127020.67</v>
      </c>
    </row>
    <row r="31">
      <c r="A31" s="82" t="inlineStr">
        <is>
          <t>E1 · Energy supply GHG emissions  (Mt CO₂eq)</t>
        </is>
      </c>
    </row>
    <row r="32" ht="26" customHeight="1">
      <c r="A32" s="76" t="inlineStr">
        <is>
          <t>SAME DERIVATION AS THE REPORT — the report's own formula, with its own input columns refreshed from the same publisher for the later years. Nothing about the calculation changes across the join.</t>
        </is>
      </c>
    </row>
    <row r="33" ht="22" customHeight="1">
      <c r="A33" s="3" t="inlineStr">
        <is>
          <t>Refreshed for 2023, 2024: Total (reported, no breakdown)</t>
        </is>
      </c>
    </row>
    <row r="34" ht="24" customHeight="1">
      <c r="A34" s="3" t="inlineStr">
        <is>
          <t>Derivation:  Value = ([Power and heat]+[Petroleum refineries]+[Other (mining, gas transport, …)]+[Fugitive emissions]+[Total (reported, no breakdown)])</t>
        </is>
      </c>
    </row>
    <row r="35" ht="42" customHeight="1">
      <c r="A35" s="77" t="inlineStr">
        <is>
          <t>Year</t>
        </is>
      </c>
      <c r="B35" s="77" t="inlineStr">
        <is>
          <t>Value</t>
        </is>
      </c>
      <c r="C35" s="77" t="inlineStr">
        <is>
          <t>Power and heat</t>
        </is>
      </c>
      <c r="D35" s="77" t="inlineStr">
        <is>
          <t>Petroleum refineries</t>
        </is>
      </c>
      <c r="E35" s="77" t="inlineStr">
        <is>
          <t>Other (mining, gas transport, …)</t>
        </is>
      </c>
      <c r="F35" s="77" t="inlineStr">
        <is>
          <t>Fugitive emissions</t>
        </is>
      </c>
      <c r="G35" s="77" t="inlineStr">
        <is>
          <t>Total (reported, no breakdown)</t>
        </is>
      </c>
    </row>
    <row r="36" ht="14" customHeight="1">
      <c r="A36" s="16" t="n">
        <v>2005</v>
      </c>
      <c r="B36" s="78">
        <f>((((C36+D36)+E36)+F36)+G36)</f>
        <v/>
      </c>
      <c r="C36" s="79" t="n">
        <v>1196.758245846026</v>
      </c>
      <c r="D36" s="79" t="n">
        <v>123.9870596101241</v>
      </c>
      <c r="E36" s="79" t="n">
        <v>63.04660429109262</v>
      </c>
      <c r="F36" s="79" t="n">
        <v>105.4389538</v>
      </c>
      <c r="G36" s="79" t="n">
        <v>0</v>
      </c>
    </row>
    <row r="37" ht="14" customHeight="1">
      <c r="A37" s="23" t="n">
        <v>2006</v>
      </c>
      <c r="B37" s="80">
        <f>((((C37+D37)+E37)+F37)+G37)</f>
        <v/>
      </c>
      <c r="C37" s="81" t="n">
        <v>1202.287158688667</v>
      </c>
      <c r="D37" s="81" t="n">
        <v>124.1365710393262</v>
      </c>
      <c r="E37" s="81" t="n">
        <v>64.87433775459844</v>
      </c>
      <c r="F37" s="81" t="n">
        <v>102.8544484</v>
      </c>
      <c r="G37" s="81" t="n">
        <v>0</v>
      </c>
    </row>
    <row r="38" ht="14" customHeight="1">
      <c r="A38" s="16" t="n">
        <v>2007</v>
      </c>
      <c r="B38" s="78">
        <f>((((C38+D38)+E38)+F38)+G38)</f>
        <v/>
      </c>
      <c r="C38" s="79" t="n">
        <v>1217.033778045102</v>
      </c>
      <c r="D38" s="79" t="n">
        <v>126.0325001798641</v>
      </c>
      <c r="E38" s="79" t="n">
        <v>62.44737177387138</v>
      </c>
      <c r="F38" s="79" t="n">
        <v>98.1548097</v>
      </c>
      <c r="G38" s="79" t="n">
        <v>0</v>
      </c>
    </row>
    <row r="39" ht="14" customHeight="1">
      <c r="A39" s="23" t="n">
        <v>2008</v>
      </c>
      <c r="B39" s="80">
        <f>((((C39+D39)+E39)+F39)+G39)</f>
        <v/>
      </c>
      <c r="C39" s="81" t="n">
        <v>1154.090287704243</v>
      </c>
      <c r="D39" s="81" t="n">
        <v>123.850140695121</v>
      </c>
      <c r="E39" s="81" t="n">
        <v>58.66350905272446</v>
      </c>
      <c r="F39" s="81" t="n">
        <v>96.63965675999999</v>
      </c>
      <c r="G39" s="81" t="n">
        <v>0</v>
      </c>
    </row>
    <row r="40" ht="14" customHeight="1">
      <c r="A40" s="16" t="n">
        <v>2009</v>
      </c>
      <c r="B40" s="78">
        <f>((((C40+D40)+E40)+F40)+G40)</f>
        <v/>
      </c>
      <c r="C40" s="79" t="n">
        <v>1071.723628773908</v>
      </c>
      <c r="D40" s="79" t="n">
        <v>116.4991543655994</v>
      </c>
      <c r="E40" s="79" t="n">
        <v>47.5994345354952</v>
      </c>
      <c r="F40" s="79" t="n">
        <v>89.39584094999999</v>
      </c>
      <c r="G40" s="79" t="n">
        <v>0</v>
      </c>
    </row>
    <row r="41" ht="14" customHeight="1">
      <c r="A41" s="23" t="n">
        <v>2010</v>
      </c>
      <c r="B41" s="80">
        <f>((((C41+D41)+E41)+F41)+G41)</f>
        <v/>
      </c>
      <c r="C41" s="81" t="n">
        <v>1083.159785618806</v>
      </c>
      <c r="D41" s="81" t="n">
        <v>115.7643596914695</v>
      </c>
      <c r="E41" s="81" t="n">
        <v>55.27381875955815</v>
      </c>
      <c r="F41" s="81" t="n">
        <v>88.94211788000001</v>
      </c>
      <c r="G41" s="81" t="n">
        <v>0</v>
      </c>
    </row>
    <row r="42" ht="14" customHeight="1">
      <c r="A42" s="16" t="n">
        <v>2011</v>
      </c>
      <c r="B42" s="78">
        <f>((((C42+D42)+E42)+F42)+G42)</f>
        <v/>
      </c>
      <c r="C42" s="79" t="n">
        <v>1078.116924470295</v>
      </c>
      <c r="D42" s="79" t="n">
        <v>113.0561118340927</v>
      </c>
      <c r="E42" s="79" t="n">
        <v>54.42572005682139</v>
      </c>
      <c r="F42" s="79" t="n">
        <v>88.25671799</v>
      </c>
      <c r="G42" s="79" t="n">
        <v>0</v>
      </c>
    </row>
    <row r="43" ht="14" customHeight="1">
      <c r="A43" s="23" t="n">
        <v>2012</v>
      </c>
      <c r="B43" s="80">
        <f>((((C43+D43)+E43)+F43)+G43)</f>
        <v/>
      </c>
      <c r="C43" s="81" t="n">
        <v>1073.885467423855</v>
      </c>
      <c r="D43" s="81" t="n">
        <v>109.9061579609855</v>
      </c>
      <c r="E43" s="81" t="n">
        <v>44.70565820435123</v>
      </c>
      <c r="F43" s="81" t="n">
        <v>87.38227090000001</v>
      </c>
      <c r="G43" s="81" t="n">
        <v>0</v>
      </c>
    </row>
    <row r="44" ht="14" customHeight="1">
      <c r="A44" s="16" t="n">
        <v>2013</v>
      </c>
      <c r="B44" s="78">
        <f>((((C44+D44)+E44)+F44)+G44)</f>
        <v/>
      </c>
      <c r="C44" s="79" t="n">
        <v>1017.828197834809</v>
      </c>
      <c r="D44" s="79" t="n">
        <v>107.8915398301622</v>
      </c>
      <c r="E44" s="79" t="n">
        <v>42.0468901911337</v>
      </c>
      <c r="F44" s="79" t="n">
        <v>86.24480118</v>
      </c>
      <c r="G44" s="79" t="n">
        <v>0</v>
      </c>
    </row>
    <row r="45" ht="14" customHeight="1">
      <c r="A45" s="23" t="n">
        <v>2014</v>
      </c>
      <c r="B45" s="80">
        <f>((((C45+D45)+E45)+F45)+G45)</f>
        <v/>
      </c>
      <c r="C45" s="81" t="n">
        <v>959.9153430101976</v>
      </c>
      <c r="D45" s="81" t="n">
        <v>104.8373214979622</v>
      </c>
      <c r="E45" s="81" t="n">
        <v>41.65928805918095</v>
      </c>
      <c r="F45" s="81" t="n">
        <v>83.31575411999999</v>
      </c>
      <c r="G45" s="81" t="n">
        <v>0</v>
      </c>
    </row>
    <row r="46" ht="14" customHeight="1">
      <c r="A46" s="16" t="n">
        <v>2015</v>
      </c>
      <c r="B46" s="78">
        <f>((((C46+D46)+E46)+F46)+G46)</f>
        <v/>
      </c>
      <c r="C46" s="79" t="n">
        <v>968.478226654539</v>
      </c>
      <c r="D46" s="79" t="n">
        <v>105.9232176692684</v>
      </c>
      <c r="E46" s="79" t="n">
        <v>39.55059510597678</v>
      </c>
      <c r="F46" s="79" t="n">
        <v>82.72217581</v>
      </c>
      <c r="G46" s="79" t="n">
        <v>0</v>
      </c>
    </row>
    <row r="47" ht="14" customHeight="1">
      <c r="A47" s="23" t="n">
        <v>2016</v>
      </c>
      <c r="B47" s="80">
        <f>((((C47+D47)+E47)+F47)+G47)</f>
        <v/>
      </c>
      <c r="C47" s="81" t="n">
        <v>943.7780432166106</v>
      </c>
      <c r="D47" s="81" t="n">
        <v>105.3676318303479</v>
      </c>
      <c r="E47" s="81" t="n">
        <v>39.97091367645223</v>
      </c>
      <c r="F47" s="81" t="n">
        <v>79.39829508</v>
      </c>
      <c r="G47" s="81" t="n">
        <v>0</v>
      </c>
    </row>
    <row r="48" ht="14" customHeight="1">
      <c r="A48" s="16" t="n">
        <v>2017</v>
      </c>
      <c r="B48" s="78">
        <f>((((C48+D48)+E48)+F48)+G48)</f>
        <v/>
      </c>
      <c r="C48" s="79" t="n">
        <v>941.4613738822286</v>
      </c>
      <c r="D48" s="79" t="n">
        <v>103.0793338102074</v>
      </c>
      <c r="E48" s="79" t="n">
        <v>38.79935441224699</v>
      </c>
      <c r="F48" s="79" t="n">
        <v>78.79786218</v>
      </c>
      <c r="G48" s="79" t="n">
        <v>0</v>
      </c>
    </row>
    <row r="49" ht="14" customHeight="1">
      <c r="A49" s="23" t="n">
        <v>2018</v>
      </c>
      <c r="B49" s="80">
        <f>((((C49+D49)+E49)+F49)+G49)</f>
        <v/>
      </c>
      <c r="C49" s="81" t="n">
        <v>882.6337398417216</v>
      </c>
      <c r="D49" s="81" t="n">
        <v>99.76282735267915</v>
      </c>
      <c r="E49" s="81" t="n">
        <v>41.25780184806324</v>
      </c>
      <c r="F49" s="81" t="n">
        <v>75.12780479999999</v>
      </c>
      <c r="G49" s="81" t="n">
        <v>0</v>
      </c>
    </row>
    <row r="50" ht="14" customHeight="1">
      <c r="A50" s="16" t="n">
        <v>2019</v>
      </c>
      <c r="B50" s="78">
        <f>((((C50+D50)+E50)+F50)+G50)</f>
        <v/>
      </c>
      <c r="C50" s="79" t="n">
        <v>765.3394265641642</v>
      </c>
      <c r="D50" s="79" t="n">
        <v>100.0629083064018</v>
      </c>
      <c r="E50" s="79" t="n">
        <v>39.93171841727609</v>
      </c>
      <c r="F50" s="79" t="n">
        <v>68.47086858999999</v>
      </c>
      <c r="G50" s="79" t="n">
        <v>0</v>
      </c>
    </row>
    <row r="51" ht="14" customHeight="1">
      <c r="A51" s="23" t="n">
        <v>2020</v>
      </c>
      <c r="B51" s="80">
        <f>((((C51+D51)+E51)+F51)+G51)</f>
        <v/>
      </c>
      <c r="C51" s="81" t="n">
        <v>652.2738549169003</v>
      </c>
      <c r="D51" s="81" t="n">
        <v>93.1745498914046</v>
      </c>
      <c r="E51" s="81" t="n">
        <v>32.67368369767437</v>
      </c>
      <c r="F51" s="81" t="n">
        <v>63.39609017</v>
      </c>
      <c r="G51" s="81" t="n">
        <v>0</v>
      </c>
    </row>
    <row r="52" ht="14" customHeight="1">
      <c r="A52" s="16" t="n">
        <v>2021</v>
      </c>
      <c r="B52" s="78">
        <f>((((C52+D52)+E52)+F52)+G52)</f>
        <v/>
      </c>
      <c r="C52" s="79" t="n">
        <v>716.9830013629618</v>
      </c>
      <c r="D52" s="79" t="n">
        <v>92.82853754286684</v>
      </c>
      <c r="E52" s="79" t="n">
        <v>30.63507096578415</v>
      </c>
      <c r="F52" s="79" t="n">
        <v>61.17810452</v>
      </c>
      <c r="G52" s="79" t="n">
        <v>0</v>
      </c>
    </row>
    <row r="53" ht="14" customHeight="1">
      <c r="A53" s="23" t="n">
        <v>2022</v>
      </c>
      <c r="B53" s="80">
        <f>((((C53+D53)+E53)+F53)+G53)</f>
        <v/>
      </c>
      <c r="C53" s="81" t="n">
        <v>0</v>
      </c>
      <c r="D53" s="81" t="n">
        <v>0</v>
      </c>
      <c r="E53" s="81" t="n">
        <v>0</v>
      </c>
      <c r="F53" s="81" t="n">
        <v>0</v>
      </c>
      <c r="G53" s="81" t="n">
        <v>924.3341574</v>
      </c>
    </row>
    <row r="54" ht="14" customHeight="1">
      <c r="A54" s="16" t="n">
        <v>2023</v>
      </c>
      <c r="B54" s="78">
        <f>((((C54+D54)+E54)+F54)+G54)</f>
        <v/>
      </c>
      <c r="C54" s="79" t="n">
        <v>0</v>
      </c>
      <c r="D54" s="79" t="n">
        <v>0</v>
      </c>
      <c r="E54" s="79" t="n">
        <v>0</v>
      </c>
      <c r="F54" s="79" t="n">
        <v>0</v>
      </c>
      <c r="G54" s="79" t="n">
        <v>746.30625</v>
      </c>
    </row>
    <row r="55" ht="14" customHeight="1">
      <c r="A55" s="23" t="n">
        <v>2024</v>
      </c>
      <c r="B55" s="80">
        <f>((((C55+D55)+E55)+F55)+G55)</f>
        <v/>
      </c>
      <c r="C55" s="81" t="n">
        <v>0</v>
      </c>
      <c r="D55" s="81" t="n">
        <v>0</v>
      </c>
      <c r="E55" s="81" t="n">
        <v>0</v>
      </c>
      <c r="F55" s="81" t="n">
        <v>0</v>
      </c>
      <c r="G55" s="81" t="n">
        <v>689.12692</v>
      </c>
    </row>
    <row r="58">
      <c r="A58" s="82" t="inlineStr">
        <is>
          <t>E2 (RES) · Non-biomass renewable share of EU electricity mix  (%)</t>
        </is>
      </c>
    </row>
    <row r="59" ht="26" customHeight="1">
      <c r="A59" s="76" t="inlineStr">
        <is>
          <t>SAME DERIVATION AS THE REPORT — the report's own formula, with its own input columns refreshed from the same publisher for the later years. Nothing about the calculation changes across the join.</t>
        </is>
      </c>
    </row>
    <row r="60" ht="22" customHeight="1">
      <c r="A60" s="3" t="inlineStr">
        <is>
          <t>Refreshed for 2023, 2024: Renewable - hydro, Renewable - solar, Renewable - wind, Renewable - other non-bio, Total</t>
        </is>
      </c>
    </row>
    <row r="61" ht="24" customHeight="1">
      <c r="A61" s="3" t="inlineStr">
        <is>
          <t>Derivation:  Value = ([Renewable - hydro]+[Renewable - solar]+[Renewable - wind]+[Renewable - other non-bio]) / [Total]</t>
        </is>
      </c>
    </row>
    <row r="62" ht="42" customHeight="1">
      <c r="A62" s="77" t="inlineStr">
        <is>
          <t>Year</t>
        </is>
      </c>
      <c r="B62" s="77" t="inlineStr">
        <is>
          <t>Value</t>
        </is>
      </c>
      <c r="C62" s="77" t="inlineStr">
        <is>
          <t>Renewable - hydro</t>
        </is>
      </c>
      <c r="D62" s="77" t="inlineStr">
        <is>
          <t>Renewable - solar</t>
        </is>
      </c>
      <c r="E62" s="77" t="inlineStr">
        <is>
          <t>Renewable - wind</t>
        </is>
      </c>
      <c r="F62" s="77" t="inlineStr">
        <is>
          <t>Renewable - other non-bio</t>
        </is>
      </c>
      <c r="G62" s="77" t="inlineStr">
        <is>
          <t>Total</t>
        </is>
      </c>
    </row>
    <row r="63" ht="14" customHeight="1">
      <c r="A63" s="16" t="n">
        <v>2005</v>
      </c>
      <c r="B63" s="78">
        <f>((((C63+D63)+E63)+F63)/G63)</f>
        <v/>
      </c>
      <c r="C63" s="79" t="n">
        <v>340.546184</v>
      </c>
      <c r="D63" s="79" t="n">
        <v>1.458688</v>
      </c>
      <c r="E63" s="79" t="n">
        <v>68.094587</v>
      </c>
      <c r="F63" s="79" t="n">
        <v>5.878568</v>
      </c>
      <c r="G63" s="79" t="n">
        <v>2916.31008</v>
      </c>
    </row>
    <row r="64" ht="14" customHeight="1">
      <c r="A64" s="23" t="n">
        <v>2006</v>
      </c>
      <c r="B64" s="80">
        <f>((((C64+D64)+E64)+F64)/G64)</f>
        <v/>
      </c>
      <c r="C64" s="81" t="n">
        <v>342.707881</v>
      </c>
      <c r="D64" s="81" t="n">
        <v>2.48947</v>
      </c>
      <c r="E64" s="81" t="n">
        <v>78.711461</v>
      </c>
      <c r="F64" s="81" t="n">
        <v>6.079915</v>
      </c>
      <c r="G64" s="81" t="n">
        <v>2967.633772</v>
      </c>
    </row>
    <row r="65" ht="14" customHeight="1">
      <c r="A65" s="16" t="n">
        <v>2007</v>
      </c>
      <c r="B65" s="78">
        <f>((((C65+D65)+E65)+F65)/G65)</f>
        <v/>
      </c>
      <c r="C65" s="79" t="n">
        <v>338.893876</v>
      </c>
      <c r="D65" s="79" t="n">
        <v>3.774527</v>
      </c>
      <c r="E65" s="79" t="n">
        <v>99.907526</v>
      </c>
      <c r="F65" s="79" t="n">
        <v>6.237820000000001</v>
      </c>
      <c r="G65" s="79" t="n">
        <v>2982.779542999999</v>
      </c>
    </row>
    <row r="66" ht="14" customHeight="1">
      <c r="A66" s="23" t="n">
        <v>2008</v>
      </c>
      <c r="B66" s="80">
        <f>((((C66+D66)+E66)+F66)/G66)</f>
        <v/>
      </c>
      <c r="C66" s="81" t="n">
        <v>354.877833</v>
      </c>
      <c r="D66" s="81" t="n">
        <v>7.437621</v>
      </c>
      <c r="E66" s="81" t="n">
        <v>113.234843</v>
      </c>
      <c r="F66" s="81" t="n">
        <v>6.196697</v>
      </c>
      <c r="G66" s="81" t="n">
        <v>2994.069288</v>
      </c>
    </row>
    <row r="67" ht="14" customHeight="1">
      <c r="A67" s="16" t="n">
        <v>2009</v>
      </c>
      <c r="B67" s="78">
        <f>((((C67+D67)+E67)+F67)/G67)</f>
        <v/>
      </c>
      <c r="C67" s="79" t="n">
        <v>357.662569</v>
      </c>
      <c r="D67" s="79" t="n">
        <v>14.103981</v>
      </c>
      <c r="E67" s="79" t="n">
        <v>124.555918</v>
      </c>
      <c r="F67" s="79" t="n">
        <v>5.994467</v>
      </c>
      <c r="G67" s="79" t="n">
        <v>2842.476761000001</v>
      </c>
    </row>
    <row r="68" ht="14" customHeight="1">
      <c r="A68" s="23" t="n">
        <v>2010</v>
      </c>
      <c r="B68" s="80">
        <f>((((C68+D68)+E68)+F68)/G68)</f>
        <v/>
      </c>
      <c r="C68" s="81" t="n">
        <v>401.279583</v>
      </c>
      <c r="D68" s="81" t="n">
        <v>23.224063</v>
      </c>
      <c r="E68" s="81" t="n">
        <v>139.842164</v>
      </c>
      <c r="F68" s="81" t="n">
        <v>6.078805999999999</v>
      </c>
      <c r="G68" s="81" t="n">
        <v>2979.660478</v>
      </c>
    </row>
    <row r="69" ht="14" customHeight="1">
      <c r="A69" s="16" t="n">
        <v>2011</v>
      </c>
      <c r="B69" s="78">
        <f>((((C69+D69)+E69)+F69)/G69)</f>
        <v/>
      </c>
      <c r="C69" s="79" t="n">
        <v>332.848797</v>
      </c>
      <c r="D69" s="79" t="n">
        <v>47.288533</v>
      </c>
      <c r="E69" s="79" t="n">
        <v>165.346899</v>
      </c>
      <c r="F69" s="79" t="n">
        <v>6.424249</v>
      </c>
      <c r="G69" s="79" t="n">
        <v>2937.062106</v>
      </c>
    </row>
    <row r="70" ht="14" customHeight="1">
      <c r="A70" s="23" t="n">
        <v>2012</v>
      </c>
      <c r="B70" s="80">
        <f>((((C70+D70)+E70)+F70)/G70)</f>
        <v/>
      </c>
      <c r="C70" s="81" t="n">
        <v>359.551397</v>
      </c>
      <c r="D70" s="81" t="n">
        <v>70.14140800000001</v>
      </c>
      <c r="E70" s="81" t="n">
        <v>187.468916</v>
      </c>
      <c r="F70" s="81" t="n">
        <v>6.278327999999999</v>
      </c>
      <c r="G70" s="81" t="n">
        <v>2934.338138</v>
      </c>
    </row>
    <row r="71" ht="14" customHeight="1">
      <c r="A71" s="16" t="n">
        <v>2013</v>
      </c>
      <c r="B71" s="78">
        <f>((((C71+D71)+E71)+F71)/G71)</f>
        <v/>
      </c>
      <c r="C71" s="79" t="n">
        <v>396.650775</v>
      </c>
      <c r="D71" s="79" t="n">
        <v>84.13560100000001</v>
      </c>
      <c r="E71" s="79" t="n">
        <v>209.474806</v>
      </c>
      <c r="F71" s="79" t="n">
        <v>6.439842</v>
      </c>
      <c r="G71" s="79" t="n">
        <v>2916.392271000001</v>
      </c>
    </row>
    <row r="72" ht="14" customHeight="1">
      <c r="A72" s="23" t="n">
        <v>2014</v>
      </c>
      <c r="B72" s="80">
        <f>((((C72+D72)+E72)+F72)/G72)</f>
        <v/>
      </c>
      <c r="C72" s="81" t="n">
        <v>398.608494</v>
      </c>
      <c r="D72" s="81" t="n">
        <v>94.172878</v>
      </c>
      <c r="E72" s="81" t="n">
        <v>222.356661</v>
      </c>
      <c r="F72" s="81" t="n">
        <v>6.783885000000001</v>
      </c>
      <c r="G72" s="81" t="n">
        <v>2856.506539</v>
      </c>
    </row>
    <row r="73" ht="14" customHeight="1">
      <c r="A73" s="16" t="n">
        <v>2015</v>
      </c>
      <c r="B73" s="78">
        <f>((((C73+D73)+E73)+F73)/G73)</f>
        <v/>
      </c>
      <c r="C73" s="79" t="n">
        <v>363.237628</v>
      </c>
      <c r="D73" s="79" t="n">
        <v>100.856862</v>
      </c>
      <c r="E73" s="79" t="n">
        <v>263.204743</v>
      </c>
      <c r="F73" s="79" t="n">
        <v>7.101067</v>
      </c>
      <c r="G73" s="79" t="n">
        <v>2900.551886000001</v>
      </c>
    </row>
    <row r="74" ht="14" customHeight="1">
      <c r="A74" s="23" t="n">
        <v>2016</v>
      </c>
      <c r="B74" s="80">
        <f>((((C74+D74)+E74)+F74)/G74)</f>
        <v/>
      </c>
      <c r="C74" s="81" t="n">
        <v>372.711195</v>
      </c>
      <c r="D74" s="81" t="n">
        <v>101.036686</v>
      </c>
      <c r="E74" s="81" t="n">
        <v>266.814627</v>
      </c>
      <c r="F74" s="81" t="n">
        <v>7.23339</v>
      </c>
      <c r="G74" s="81" t="n">
        <v>2922.01605</v>
      </c>
    </row>
    <row r="75" ht="14" customHeight="1">
      <c r="A75" s="16" t="n">
        <v>2017</v>
      </c>
      <c r="B75" s="78">
        <f>((((C75+D75)+E75)+F75)/G75)</f>
        <v/>
      </c>
      <c r="C75" s="79" t="n">
        <v>322.463411</v>
      </c>
      <c r="D75" s="79" t="n">
        <v>107.934943</v>
      </c>
      <c r="E75" s="79" t="n">
        <v>312.313129</v>
      </c>
      <c r="F75" s="79" t="n">
        <v>7.236751</v>
      </c>
      <c r="G75" s="79" t="n">
        <v>2954.523595000001</v>
      </c>
    </row>
    <row r="76" ht="14" customHeight="1">
      <c r="A76" s="23" t="n">
        <v>2018</v>
      </c>
      <c r="B76" s="80">
        <f>((((C76+D76)+E76)+F76)/G76)</f>
        <v/>
      </c>
      <c r="C76" s="81" t="n">
        <v>370.234436</v>
      </c>
      <c r="D76" s="81" t="n">
        <v>113.066624</v>
      </c>
      <c r="E76" s="81" t="n">
        <v>320.615898</v>
      </c>
      <c r="F76" s="81" t="n">
        <v>7.134921</v>
      </c>
      <c r="G76" s="81" t="n">
        <v>2938.030121</v>
      </c>
    </row>
    <row r="77" ht="14" customHeight="1">
      <c r="A77" s="16" t="n">
        <v>2019</v>
      </c>
      <c r="B77" s="78">
        <f>((((C77+D77)+E77)+F77)/G77)</f>
        <v/>
      </c>
      <c r="C77" s="79" t="n">
        <v>345.642675</v>
      </c>
      <c r="D77" s="79" t="n">
        <v>123.884579</v>
      </c>
      <c r="E77" s="79" t="n">
        <v>367.117813</v>
      </c>
      <c r="F77" s="79" t="n">
        <v>7.224769999999999</v>
      </c>
      <c r="G77" s="79" t="n">
        <v>2902.370047</v>
      </c>
    </row>
    <row r="78" ht="14" customHeight="1">
      <c r="A78" s="23" t="n">
        <v>2020</v>
      </c>
      <c r="B78" s="80">
        <f>((((C78+D78)+E78)+F78)/G78)</f>
        <v/>
      </c>
      <c r="C78" s="81" t="n">
        <v>375.486539</v>
      </c>
      <c r="D78" s="81" t="n">
        <v>145.116756</v>
      </c>
      <c r="E78" s="81" t="n">
        <v>397.481079</v>
      </c>
      <c r="F78" s="81" t="n">
        <v>7.22602</v>
      </c>
      <c r="G78" s="81" t="n">
        <v>2784.553903</v>
      </c>
    </row>
    <row r="79" ht="14" customHeight="1">
      <c r="A79" s="16" t="n">
        <v>2021</v>
      </c>
      <c r="B79" s="78">
        <f>((((C79+D79)+E79)+F79)/G79)</f>
        <v/>
      </c>
      <c r="C79" s="79" t="n">
        <v>374.849021</v>
      </c>
      <c r="D79" s="79" t="n">
        <v>163.764273</v>
      </c>
      <c r="E79" s="79" t="n">
        <v>386.539564</v>
      </c>
      <c r="F79" s="79" t="n">
        <v>7.041166</v>
      </c>
      <c r="G79" s="79" t="n">
        <v>2906.186482</v>
      </c>
    </row>
    <row r="80" ht="14" customHeight="1">
      <c r="A80" s="23" t="n">
        <v>2022</v>
      </c>
      <c r="B80" s="80">
        <f>((((C80+D80)+E80)+F80)/G80)</f>
        <v/>
      </c>
      <c r="C80" s="81" t="n">
        <v>308.581133</v>
      </c>
      <c r="D80" s="81" t="n">
        <v>209.644287</v>
      </c>
      <c r="E80" s="81" t="n">
        <v>421.26459</v>
      </c>
      <c r="F80" s="81" t="n">
        <v>6.946363</v>
      </c>
      <c r="G80" s="81" t="n">
        <v>2803.796039</v>
      </c>
    </row>
    <row r="81" ht="14" customHeight="1">
      <c r="A81" s="16" t="n">
        <v>2023</v>
      </c>
      <c r="B81" s="78">
        <f>((((C81+D81)+E81)+F81)/G81)</f>
        <v/>
      </c>
      <c r="C81" s="79" t="n">
        <v>330.438319</v>
      </c>
      <c r="D81" s="79" t="n">
        <v>254.459334</v>
      </c>
      <c r="E81" s="79" t="n">
        <v>480.450777</v>
      </c>
      <c r="F81" s="79" t="n">
        <v>6.721399</v>
      </c>
      <c r="G81" s="79" t="n">
        <v>2760.944843</v>
      </c>
    </row>
    <row r="82" ht="14" customHeight="1">
      <c r="A82" s="23" t="n">
        <v>2024</v>
      </c>
      <c r="B82" s="80">
        <f>((((C82+D82)+E82)+F82)/G82)</f>
        <v/>
      </c>
      <c r="C82" s="81" t="n">
        <v>369.659291</v>
      </c>
      <c r="D82" s="81" t="n">
        <v>308.516899</v>
      </c>
      <c r="E82" s="81" t="n">
        <v>490.037497</v>
      </c>
      <c r="F82" s="81" t="n">
        <v>6.681308</v>
      </c>
      <c r="G82" s="81" t="n">
        <v>2828.734401</v>
      </c>
    </row>
    <row r="85">
      <c r="A85" s="82" t="inlineStr">
        <is>
          <t>E2 (fossil) · Fossil share of EU electricity mix  (%)</t>
        </is>
      </c>
    </row>
    <row r="86" ht="26" customHeight="1">
      <c r="A86" s="76" t="inlineStr">
        <is>
          <t>SAME DERIVATION AS THE REPORT — the report's own formula, with its own input columns refreshed from the same publisher for the later years. Nothing about the calculation changes across the join.</t>
        </is>
      </c>
    </row>
    <row r="87" ht="22" customHeight="1">
      <c r="A87" s="3" t="inlineStr">
        <is>
          <t>Refreshed for 2023, 2024: Solid fossil fuels, Natural &amp; manufactured gases, Oil products &amp; other fossils, Total</t>
        </is>
      </c>
    </row>
    <row r="88" ht="24" customHeight="1">
      <c r="A88" s="3" t="inlineStr">
        <is>
          <t>Derivation:  Value = ([Solid fossil fuels]+[Natural &amp; manufactured gases]+[Oil products &amp; other fossils]) / [Total]</t>
        </is>
      </c>
    </row>
    <row r="89" ht="42" customHeight="1">
      <c r="A89" s="77" t="inlineStr">
        <is>
          <t>Year</t>
        </is>
      </c>
      <c r="B89" s="77" t="inlineStr">
        <is>
          <t>Value</t>
        </is>
      </c>
      <c r="C89" s="77" t="inlineStr">
        <is>
          <t>Solid fossil fuels</t>
        </is>
      </c>
      <c r="D89" s="77" t="inlineStr">
        <is>
          <t>Natural &amp; manufactured gases</t>
        </is>
      </c>
      <c r="E89" s="77" t="inlineStr">
        <is>
          <t>Oil products &amp; other fossils</t>
        </is>
      </c>
      <c r="F89" s="77" t="inlineStr">
        <is>
          <t>Total</t>
        </is>
      </c>
    </row>
    <row r="90" ht="14" customHeight="1">
      <c r="A90" s="16" t="n">
        <v>2005</v>
      </c>
      <c r="B90" s="78">
        <f>(((C90+D90)+E90)/F90)</f>
        <v/>
      </c>
      <c r="C90" s="79" t="n">
        <v>808.8822210000001</v>
      </c>
      <c r="D90" s="79" t="n">
        <v>548.315303</v>
      </c>
      <c r="E90" s="79" t="n">
        <v>154.208875</v>
      </c>
      <c r="F90" s="79" t="n">
        <v>2916.31008</v>
      </c>
    </row>
    <row r="91" ht="14" customHeight="1">
      <c r="A91" s="23" t="n">
        <v>2006</v>
      </c>
      <c r="B91" s="80">
        <f>(((C91+D91)+E91)/F91)</f>
        <v/>
      </c>
      <c r="C91" s="81" t="n">
        <v>816.4990429999999</v>
      </c>
      <c r="D91" s="81" t="n">
        <v>575.616132</v>
      </c>
      <c r="E91" s="81" t="n">
        <v>148.089791</v>
      </c>
      <c r="F91" s="81" t="n">
        <v>2967.633772</v>
      </c>
    </row>
    <row r="92" ht="14" customHeight="1">
      <c r="A92" s="16" t="n">
        <v>2007</v>
      </c>
      <c r="B92" s="78">
        <f>(((C92+D92)+E92)/F92)</f>
        <v/>
      </c>
      <c r="C92" s="79" t="n">
        <v>828.805419</v>
      </c>
      <c r="D92" s="79" t="n">
        <v>609.4216759999999</v>
      </c>
      <c r="E92" s="79" t="n">
        <v>130.798327</v>
      </c>
      <c r="F92" s="79" t="n">
        <v>2982.779542999999</v>
      </c>
    </row>
    <row r="93" ht="14" customHeight="1">
      <c r="A93" s="23" t="n">
        <v>2008</v>
      </c>
      <c r="B93" s="80">
        <f>(((C93+D93)+E93)/F93)</f>
        <v/>
      </c>
      <c r="C93" s="81" t="n">
        <v>757.053054</v>
      </c>
      <c r="D93" s="81" t="n">
        <v>647.726098</v>
      </c>
      <c r="E93" s="81" t="n">
        <v>119.772171</v>
      </c>
      <c r="F93" s="81" t="n">
        <v>2994.069288</v>
      </c>
    </row>
    <row r="94" ht="14" customHeight="1">
      <c r="A94" s="16" t="n">
        <v>2009</v>
      </c>
      <c r="B94" s="78">
        <f>(((C94+D94)+E94)/F94)</f>
        <v/>
      </c>
      <c r="C94" s="79" t="n">
        <v>703.574826</v>
      </c>
      <c r="D94" s="79" t="n">
        <v>590.1233000000001</v>
      </c>
      <c r="E94" s="79" t="n">
        <v>108.367097</v>
      </c>
      <c r="F94" s="79" t="n">
        <v>2842.476761000001</v>
      </c>
    </row>
    <row r="95" ht="14" customHeight="1">
      <c r="A95" s="23" t="n">
        <v>2010</v>
      </c>
      <c r="B95" s="80">
        <f>(((C95+D95)+E95)/F95)</f>
        <v/>
      </c>
      <c r="C95" s="81" t="n">
        <v>701.230144</v>
      </c>
      <c r="D95" s="81" t="n">
        <v>622.051201</v>
      </c>
      <c r="E95" s="81" t="n">
        <v>102.466548</v>
      </c>
      <c r="F95" s="81" t="n">
        <v>2979.660478</v>
      </c>
    </row>
    <row r="96" ht="14" customHeight="1">
      <c r="A96" s="16" t="n">
        <v>2011</v>
      </c>
      <c r="B96" s="78">
        <f>(((C96+D96)+E96)/F96)</f>
        <v/>
      </c>
      <c r="C96" s="79" t="n">
        <v>724.8267979999999</v>
      </c>
      <c r="D96" s="79" t="n">
        <v>591.3915999999999</v>
      </c>
      <c r="E96" s="79" t="n">
        <v>93.754159</v>
      </c>
      <c r="F96" s="79" t="n">
        <v>2937.062106</v>
      </c>
    </row>
    <row r="97" ht="14" customHeight="1">
      <c r="A97" s="23" t="n">
        <v>2012</v>
      </c>
      <c r="B97" s="80">
        <f>(((C97+D97)+E97)/F97)</f>
        <v/>
      </c>
      <c r="C97" s="81" t="n">
        <v>742.7146720000001</v>
      </c>
      <c r="D97" s="81" t="n">
        <v>516.165104</v>
      </c>
      <c r="E97" s="81" t="n">
        <v>88.87544200000001</v>
      </c>
      <c r="F97" s="81" t="n">
        <v>2934.338138</v>
      </c>
    </row>
    <row r="98" ht="14" customHeight="1">
      <c r="A98" s="16" t="n">
        <v>2013</v>
      </c>
      <c r="B98" s="78">
        <f>(((C98+D98)+E98)/F98)</f>
        <v/>
      </c>
      <c r="C98" s="79" t="n">
        <v>728.930201</v>
      </c>
      <c r="D98" s="79" t="n">
        <v>446.6026879999999</v>
      </c>
      <c r="E98" s="79" t="n">
        <v>80.468727</v>
      </c>
      <c r="F98" s="79" t="n">
        <v>2916.392271000001</v>
      </c>
    </row>
    <row r="99" ht="14" customHeight="1">
      <c r="A99" s="23" t="n">
        <v>2014</v>
      </c>
      <c r="B99" s="80">
        <f>(((C99+D99)+E99)/F99)</f>
        <v/>
      </c>
      <c r="C99" s="81" t="n">
        <v>692.768867</v>
      </c>
      <c r="D99" s="81" t="n">
        <v>388.686239</v>
      </c>
      <c r="E99" s="81" t="n">
        <v>76.98636399999999</v>
      </c>
      <c r="F99" s="81" t="n">
        <v>2856.506539</v>
      </c>
    </row>
    <row r="100" ht="14" customHeight="1">
      <c r="A100" s="16" t="n">
        <v>2015</v>
      </c>
      <c r="B100" s="78">
        <f>(((C100+D100)+E100)/F100)</f>
        <v/>
      </c>
      <c r="C100" s="79" t="n">
        <v>705.028993</v>
      </c>
      <c r="D100" s="79" t="n">
        <v>428.5298340000001</v>
      </c>
      <c r="E100" s="79" t="n">
        <v>77.023162</v>
      </c>
      <c r="F100" s="79" t="n">
        <v>2900.551886000001</v>
      </c>
    </row>
    <row r="101" ht="14" customHeight="1">
      <c r="A101" s="23" t="n">
        <v>2016</v>
      </c>
      <c r="B101" s="80">
        <f>(((C101+D101)+E101)/F101)</f>
        <v/>
      </c>
      <c r="C101" s="81" t="n">
        <v>659.0611759999999</v>
      </c>
      <c r="D101" s="81" t="n">
        <v>498.1137</v>
      </c>
      <c r="E101" s="81" t="n">
        <v>77.09005499999999</v>
      </c>
      <c r="F101" s="81" t="n">
        <v>2922.01605</v>
      </c>
    </row>
    <row r="102" ht="14" customHeight="1">
      <c r="A102" s="16" t="n">
        <v>2017</v>
      </c>
      <c r="B102" s="78">
        <f>(((C102+D102)+E102)/F102)</f>
        <v/>
      </c>
      <c r="C102" s="79" t="n">
        <v>638.838938</v>
      </c>
      <c r="D102" s="79" t="n">
        <v>557.9138810000001</v>
      </c>
      <c r="E102" s="79" t="n">
        <v>73.831413</v>
      </c>
      <c r="F102" s="79" t="n">
        <v>2954.523595000001</v>
      </c>
    </row>
    <row r="103" ht="14" customHeight="1">
      <c r="A103" s="23" t="n">
        <v>2018</v>
      </c>
      <c r="B103" s="80">
        <f>(((C103+D103)+E103)/F103)</f>
        <v/>
      </c>
      <c r="C103" s="81" t="n">
        <v>595.5069999999999</v>
      </c>
      <c r="D103" s="81" t="n">
        <v>522.4296000000001</v>
      </c>
      <c r="E103" s="81" t="n">
        <v>69.824422</v>
      </c>
      <c r="F103" s="81" t="n">
        <v>2938.030121</v>
      </c>
    </row>
    <row r="104" ht="14" customHeight="1">
      <c r="A104" s="16" t="n">
        <v>2019</v>
      </c>
      <c r="B104" s="78">
        <f>(((C104+D104)+E104)/F104)</f>
        <v/>
      </c>
      <c r="C104" s="79" t="n">
        <v>450.933123</v>
      </c>
      <c r="D104" s="79" t="n">
        <v>599.577544</v>
      </c>
      <c r="E104" s="79" t="n">
        <v>61.430867</v>
      </c>
      <c r="F104" s="79" t="n">
        <v>2902.370047</v>
      </c>
    </row>
    <row r="105" ht="14" customHeight="1">
      <c r="A105" s="23" t="n">
        <v>2020</v>
      </c>
      <c r="B105" s="80">
        <f>(((C105+D105)+E105)/F105)</f>
        <v/>
      </c>
      <c r="C105" s="81" t="n">
        <v>352.405128</v>
      </c>
      <c r="D105" s="81" t="n">
        <v>586.4874719999999</v>
      </c>
      <c r="E105" s="81" t="n">
        <v>53.223137</v>
      </c>
      <c r="F105" s="81" t="n">
        <v>2784.553903</v>
      </c>
    </row>
    <row r="106" ht="14" customHeight="1">
      <c r="A106" s="16" t="n">
        <v>2021</v>
      </c>
      <c r="B106" s="78">
        <f>(((C106+D106)+E106)/F106)</f>
        <v/>
      </c>
      <c r="C106" s="79" t="n">
        <v>419.003888</v>
      </c>
      <c r="D106" s="79" t="n">
        <v>579.8584930000001</v>
      </c>
      <c r="E106" s="79" t="n">
        <v>52.69121</v>
      </c>
      <c r="F106" s="79" t="n">
        <v>2906.186482</v>
      </c>
    </row>
    <row r="107" ht="14" customHeight="1">
      <c r="A107" s="23" t="n">
        <v>2022</v>
      </c>
      <c r="B107" s="80">
        <f>(((C107+D107)+E107)/F107)</f>
        <v/>
      </c>
      <c r="C107" s="81" t="n">
        <v>453.1799990000001</v>
      </c>
      <c r="D107" s="81" t="n">
        <v>571.6867760000001</v>
      </c>
      <c r="E107" s="81" t="n">
        <v>61.78648</v>
      </c>
      <c r="F107" s="81" t="n">
        <v>2803.796039</v>
      </c>
    </row>
    <row r="108" ht="14" customHeight="1">
      <c r="A108" s="16" t="n">
        <v>2023</v>
      </c>
      <c r="B108" s="78">
        <f>(((C108+D108)+E108)/F108)</f>
        <v/>
      </c>
      <c r="C108" s="79" t="n">
        <v>322.019936</v>
      </c>
      <c r="D108" s="79" t="n">
        <v>462.535657</v>
      </c>
      <c r="E108" s="79" t="n">
        <v>47.866955</v>
      </c>
      <c r="F108" s="79" t="n">
        <v>2760.944843</v>
      </c>
    </row>
    <row r="109" ht="14" customHeight="1">
      <c r="A109" s="23" t="n">
        <v>2024</v>
      </c>
      <c r="B109" s="80">
        <f>(((C109+D109)+E109)/F109)</f>
        <v/>
      </c>
      <c r="C109" s="81" t="n">
        <v>274.190922</v>
      </c>
      <c r="D109" s="81" t="n">
        <v>443.188995</v>
      </c>
      <c r="E109" s="81" t="n">
        <v>45.73424</v>
      </c>
      <c r="F109" s="81" t="n">
        <v>2828.734401</v>
      </c>
    </row>
    <row r="112">
      <c r="A112" s="82" t="inlineStr">
        <is>
          <t>E3 · Average GHG intensity of EU electricity  (g CO₂eq/kWh)</t>
        </is>
      </c>
    </row>
    <row r="113" ht="26" customHeight="1">
      <c r="A113" s="83" t="inlineStr">
        <is>
          <t>NOT the report's derivation for the later years — the formula switches by year to a different recipe, because the report's own inputs have no feed. The two halves of this series are not computed the same way.</t>
        </is>
      </c>
    </row>
    <row r="114" ht="24" customHeight="1">
      <c r="A114" s="3" t="inlineStr">
        <is>
          <t>Derivation:  Value = IF(A &gt;= 2023, ROUND([Report baseline 2022 (g CO₂eq/kWh)] * ([Numerator · env_air_gge CRF1A1]) / ([Denominator · nrg_bal_peh TOTAL]) / [Live source at 2022 (same basis as the columns left)], 1), [Historical])</t>
        </is>
      </c>
    </row>
    <row r="115" ht="42" customHeight="1">
      <c r="A115" s="77" t="inlineStr">
        <is>
          <t>Year</t>
        </is>
      </c>
      <c r="B115" s="77" t="inlineStr">
        <is>
          <t>Value</t>
        </is>
      </c>
      <c r="C115" s="77" t="inlineStr">
        <is>
          <t>Historical</t>
        </is>
      </c>
      <c r="D115" s="77" t="inlineStr">
        <is>
          <t>Numerator · env_air_gge CRF1A1</t>
        </is>
      </c>
      <c r="E115" s="77" t="inlineStr">
        <is>
          <t>Denominator · nrg_bal_peh TOTAL</t>
        </is>
      </c>
      <c r="F115" s="77" t="inlineStr">
        <is>
          <t>Report baseline 2022 (g CO₂eq/kWh)</t>
        </is>
      </c>
      <c r="G115" s="77" t="inlineStr">
        <is>
          <t>Live source at 2022 (same basis as the columns left)</t>
        </is>
      </c>
    </row>
    <row r="116" ht="14" customHeight="1">
      <c r="A116" s="16" t="n">
        <v>2005</v>
      </c>
      <c r="B116" s="78">
        <f>IF((A116&gt;=2023),ROUND((((F116*D116)/E116)/G116),1),C116)</f>
        <v/>
      </c>
      <c r="C116" s="79" t="n">
        <v>379</v>
      </c>
      <c r="D116" s="79" t="n"/>
      <c r="E116" s="79" t="n"/>
      <c r="F116" s="79" t="n"/>
      <c r="G116" s="79" t="n"/>
    </row>
    <row r="117" ht="14" customHeight="1">
      <c r="A117" s="23" t="n">
        <v>2006</v>
      </c>
      <c r="B117" s="80">
        <f>IF((A117&gt;=2023),ROUND((((F117*D117)/E117)/G117),1),C117)</f>
        <v/>
      </c>
      <c r="C117" s="81" t="n">
        <v>377</v>
      </c>
      <c r="D117" s="81" t="n"/>
      <c r="E117" s="81" t="n"/>
      <c r="F117" s="81" t="n"/>
      <c r="G117" s="81" t="n"/>
    </row>
    <row r="118" ht="14" customHeight="1">
      <c r="A118" s="16" t="n">
        <v>2007</v>
      </c>
      <c r="B118" s="78">
        <f>IF((A118&gt;=2023),ROUND((((F118*D118)/E118)/G118),1),C118)</f>
        <v/>
      </c>
      <c r="C118" s="79" t="n">
        <v>386</v>
      </c>
      <c r="D118" s="79" t="n"/>
      <c r="E118" s="79" t="n"/>
      <c r="F118" s="79" t="n"/>
      <c r="G118" s="79" t="n"/>
    </row>
    <row r="119" ht="14" customHeight="1">
      <c r="A119" s="23" t="n">
        <v>2008</v>
      </c>
      <c r="B119" s="80">
        <f>IF((A119&gt;=2023),ROUND((((F119*D119)/E119)/G119),1),C119)</f>
        <v/>
      </c>
      <c r="C119" s="81" t="n">
        <v>363</v>
      </c>
      <c r="D119" s="81" t="n"/>
      <c r="E119" s="81" t="n"/>
      <c r="F119" s="81" t="n"/>
      <c r="G119" s="81" t="n"/>
    </row>
    <row r="120" ht="14" customHeight="1">
      <c r="A120" s="16" t="n">
        <v>2009</v>
      </c>
      <c r="B120" s="78">
        <f>IF((A120&gt;=2023),ROUND((((F120*D120)/E120)/G120),1),C120)</f>
        <v/>
      </c>
      <c r="C120" s="79" t="n">
        <v>350</v>
      </c>
      <c r="D120" s="79" t="n"/>
      <c r="E120" s="79" t="n"/>
      <c r="F120" s="79" t="n"/>
      <c r="G120" s="79" t="n"/>
    </row>
    <row r="121" ht="14" customHeight="1">
      <c r="A121" s="23" t="n">
        <v>2010</v>
      </c>
      <c r="B121" s="80">
        <f>IF((A121&gt;=2023),ROUND((((F121*D121)/E121)/G121),1),C121)</f>
        <v/>
      </c>
      <c r="C121" s="81" t="n">
        <v>335</v>
      </c>
      <c r="D121" s="81" t="n"/>
      <c r="E121" s="81" t="n"/>
      <c r="F121" s="81" t="n"/>
      <c r="G121" s="81" t="n"/>
    </row>
    <row r="122" ht="14" customHeight="1">
      <c r="A122" s="16" t="n">
        <v>2011</v>
      </c>
      <c r="B122" s="78">
        <f>IF((A122&gt;=2023),ROUND((((F122*D122)/E122)/G122),1),C122)</f>
        <v/>
      </c>
      <c r="C122" s="79" t="n">
        <v>342</v>
      </c>
      <c r="D122" s="79" t="n"/>
      <c r="E122" s="79" t="n"/>
      <c r="F122" s="79" t="n"/>
      <c r="G122" s="79" t="n"/>
    </row>
    <row r="123" ht="14" customHeight="1">
      <c r="A123" s="23" t="n">
        <v>2012</v>
      </c>
      <c r="B123" s="80">
        <f>IF((A123&gt;=2023),ROUND((((F123*D123)/E123)/G123),1),C123)</f>
        <v/>
      </c>
      <c r="C123" s="81" t="n">
        <v>339</v>
      </c>
      <c r="D123" s="81" t="n"/>
      <c r="E123" s="81" t="n"/>
      <c r="F123" s="81" t="n"/>
      <c r="G123" s="81" t="n"/>
    </row>
    <row r="124" ht="14" customHeight="1">
      <c r="A124" s="16" t="n">
        <v>2013</v>
      </c>
      <c r="B124" s="78">
        <f>IF((A124&gt;=2023),ROUND((((F124*D124)/E124)/G124),1),C124)</f>
        <v/>
      </c>
      <c r="C124" s="79" t="n">
        <v>322</v>
      </c>
      <c r="D124" s="79" t="n"/>
      <c r="E124" s="79" t="n"/>
      <c r="F124" s="79" t="n"/>
      <c r="G124" s="79" t="n"/>
    </row>
    <row r="125" ht="14" customHeight="1">
      <c r="A125" s="23" t="n">
        <v>2014</v>
      </c>
      <c r="B125" s="80">
        <f>IF((A125&gt;=2023),ROUND((((F125*D125)/E125)/G125),1),C125)</f>
        <v/>
      </c>
      <c r="C125" s="81" t="n">
        <v>313</v>
      </c>
      <c r="D125" s="81" t="n"/>
      <c r="E125" s="81" t="n"/>
      <c r="F125" s="81" t="n"/>
      <c r="G125" s="81" t="n"/>
    </row>
    <row r="126" ht="14" customHeight="1">
      <c r="A126" s="16" t="n">
        <v>2015</v>
      </c>
      <c r="B126" s="78">
        <f>IF((A126&gt;=2023),ROUND((((F126*D126)/E126)/G126),1),C126)</f>
        <v/>
      </c>
      <c r="C126" s="79" t="n">
        <v>313</v>
      </c>
      <c r="D126" s="79" t="n"/>
      <c r="E126" s="79" t="n"/>
      <c r="F126" s="79" t="n"/>
      <c r="G126" s="79" t="n"/>
    </row>
    <row r="127" ht="14" customHeight="1">
      <c r="A127" s="23" t="n">
        <v>2016</v>
      </c>
      <c r="B127" s="80">
        <f>IF((A127&gt;=2023),ROUND((((F127*D127)/E127)/G127),1),C127)</f>
        <v/>
      </c>
      <c r="C127" s="81" t="n">
        <v>303</v>
      </c>
      <c r="D127" s="81" t="n"/>
      <c r="E127" s="81" t="n"/>
      <c r="F127" s="81" t="n"/>
      <c r="G127" s="81" t="n"/>
    </row>
    <row r="128" ht="14" customHeight="1">
      <c r="A128" s="16" t="n">
        <v>2017</v>
      </c>
      <c r="B128" s="78">
        <f>IF((A128&gt;=2023),ROUND((((F128*D128)/E128)/G128),1),C128)</f>
        <v/>
      </c>
      <c r="C128" s="79" t="n">
        <v>302</v>
      </c>
      <c r="D128" s="79" t="n"/>
      <c r="E128" s="79" t="n"/>
      <c r="F128" s="79" t="n"/>
      <c r="G128" s="79" t="n"/>
    </row>
    <row r="129" ht="14" customHeight="1">
      <c r="A129" s="23" t="n">
        <v>2018</v>
      </c>
      <c r="B129" s="80">
        <f>IF((A129&gt;=2023),ROUND((((F129*D129)/E129)/G129),1),C129)</f>
        <v/>
      </c>
      <c r="C129" s="81" t="n">
        <v>289</v>
      </c>
      <c r="D129" s="81" t="n"/>
      <c r="E129" s="81" t="n"/>
      <c r="F129" s="81" t="n"/>
      <c r="G129" s="81" t="n"/>
    </row>
    <row r="130" ht="14" customHeight="1">
      <c r="A130" s="16" t="n">
        <v>2019</v>
      </c>
      <c r="B130" s="78">
        <f>IF((A130&gt;=2023),ROUND((((F130*D130)/E130)/G130),1),C130)</f>
        <v/>
      </c>
      <c r="C130" s="79" t="n">
        <v>255</v>
      </c>
      <c r="D130" s="79" t="n"/>
      <c r="E130" s="79" t="n"/>
      <c r="F130" s="79" t="n"/>
      <c r="G130" s="79" t="n"/>
    </row>
    <row r="131" ht="14" customHeight="1">
      <c r="A131" s="23" t="n">
        <v>2020</v>
      </c>
      <c r="B131" s="80">
        <f>IF((A131&gt;=2023),ROUND((((F131*D131)/E131)/G131),1),C131)</f>
        <v/>
      </c>
      <c r="C131" s="81" t="n">
        <v>228</v>
      </c>
      <c r="D131" s="81" t="n"/>
      <c r="E131" s="81" t="n"/>
      <c r="F131" s="81" t="n"/>
      <c r="G131" s="81" t="n"/>
    </row>
    <row r="132" ht="14" customHeight="1">
      <c r="A132" s="16" t="n">
        <v>2021</v>
      </c>
      <c r="B132" s="78">
        <f>IF((A132&gt;=2023),ROUND((((F132*D132)/E132)/G132),1),C132)</f>
        <v/>
      </c>
      <c r="C132" s="79" t="n">
        <v>238</v>
      </c>
      <c r="D132" s="79" t="n"/>
      <c r="E132" s="79" t="n"/>
      <c r="F132" s="79" t="n"/>
      <c r="G132" s="79" t="n"/>
    </row>
    <row r="133" ht="14" customHeight="1">
      <c r="A133" s="23" t="n">
        <v>2022</v>
      </c>
      <c r="B133" s="80">
        <f>IF((A133&gt;=2023),ROUND((((F133*D133)/E133)/G133),1),C133)</f>
        <v/>
      </c>
      <c r="C133" s="81" t="n">
        <v>251</v>
      </c>
      <c r="D133" s="81" t="n"/>
      <c r="E133" s="81" t="n"/>
      <c r="F133" s="81" t="n"/>
      <c r="G133" s="81" t="n"/>
    </row>
    <row r="134" ht="14" customHeight="1">
      <c r="A134" s="16" t="n">
        <v>2023</v>
      </c>
      <c r="B134" s="78">
        <f>IF((A134&gt;=2023),ROUND((((F134*D134)/E134)/G134),1),C134)</f>
        <v/>
      </c>
      <c r="C134" s="79" t="n"/>
      <c r="D134" s="79" t="n">
        <v>698.41559</v>
      </c>
      <c r="E134" s="79" t="n">
        <v>2760944.843</v>
      </c>
      <c r="F134" s="79" t="n">
        <v>251</v>
      </c>
      <c r="G134" s="79" t="n">
        <v>0.000304</v>
      </c>
    </row>
    <row r="135" ht="14" customHeight="1">
      <c r="A135" s="23" t="n">
        <v>2024</v>
      </c>
      <c r="B135" s="80">
        <f>IF((A135&gt;=2023),ROUND((((F135*D135)/E135)/G135),1),C135)</f>
        <v/>
      </c>
      <c r="C135" s="81" t="n"/>
      <c r="D135" s="81" t="n">
        <v>642.41481</v>
      </c>
      <c r="E135" s="81" t="n">
        <v>2828734.401</v>
      </c>
      <c r="F135" s="81" t="n">
        <v>251</v>
      </c>
      <c r="G135" s="81" t="n">
        <v>0.000304</v>
      </c>
    </row>
    <row r="138">
      <c r="A138" s="82" t="inlineStr">
        <is>
          <t>E4a · Annual solar PV capacity additions (EU)  (GW/yr)</t>
        </is>
      </c>
    </row>
    <row r="139" ht="26" customHeight="1">
      <c r="A139" s="83" t="inlineStr">
        <is>
          <t>No derivation for the later years — the figure is the publication's own.</t>
        </is>
      </c>
    </row>
    <row r="140" ht="24" customHeight="1">
      <c r="A140" s="3" t="inlineStr">
        <is>
          <t>Derivation:  Value = IF(A &gt;= 2023, [Post-report figure as published], ([Solar PV cumulative capacity (MW)] - [Solar PV cumulative capacity (MW) (previous year)]) / 1000.0)</t>
        </is>
      </c>
    </row>
    <row r="141" ht="42" customHeight="1">
      <c r="A141" s="77" t="inlineStr">
        <is>
          <t>Year</t>
        </is>
      </c>
      <c r="B141" s="77" t="inlineStr">
        <is>
          <t>Value</t>
        </is>
      </c>
      <c r="C141" s="77" t="inlineStr">
        <is>
          <t>Solar PV cumulative capacity (MW)</t>
        </is>
      </c>
      <c r="D141" s="77" t="inlineStr">
        <is>
          <t>Solar PV cumulative capacity (MW) (previous year)</t>
        </is>
      </c>
      <c r="E141" s="77" t="inlineStr">
        <is>
          <t>Post-report figure as published</t>
        </is>
      </c>
    </row>
    <row r="142" ht="14" customHeight="1">
      <c r="A142" s="16" t="n">
        <v>2006</v>
      </c>
      <c r="B142" s="78">
        <f>IF((A142&gt;=2023),E142,((C142-D142)/1000))</f>
        <v/>
      </c>
      <c r="C142" s="79" t="n">
        <v>3213.924</v>
      </c>
      <c r="D142" s="79" t="n">
        <v>2269.187</v>
      </c>
      <c r="E142" s="79" t="n"/>
    </row>
    <row r="143" ht="14" customHeight="1">
      <c r="A143" s="23" t="n">
        <v>2007</v>
      </c>
      <c r="B143" s="80">
        <f>IF((A143&gt;=2023),E143,((C143-D143)/1000))</f>
        <v/>
      </c>
      <c r="C143" s="81" t="n">
        <v>4975.133</v>
      </c>
      <c r="D143" s="81" t="n">
        <v>3213.924</v>
      </c>
      <c r="E143" s="81" t="n"/>
    </row>
    <row r="144" ht="14" customHeight="1">
      <c r="A144" s="16" t="n">
        <v>2008</v>
      </c>
      <c r="B144" s="78">
        <f>IF((A144&gt;=2023),E144,((C144-D144)/1000))</f>
        <v/>
      </c>
      <c r="C144" s="79" t="n">
        <v>10374.182</v>
      </c>
      <c r="D144" s="79" t="n">
        <v>4975.133</v>
      </c>
      <c r="E144" s="79" t="n"/>
    </row>
    <row r="145" ht="14" customHeight="1">
      <c r="A145" s="23" t="n">
        <v>2009</v>
      </c>
      <c r="B145" s="80">
        <f>IF((A145&gt;=2023),E145,((C145-D145)/1000))</f>
        <v/>
      </c>
      <c r="C145" s="81" t="n">
        <v>16715.489</v>
      </c>
      <c r="D145" s="81" t="n">
        <v>10374.182</v>
      </c>
      <c r="E145" s="81" t="n"/>
    </row>
    <row r="146" ht="14" customHeight="1">
      <c r="A146" s="16" t="n">
        <v>2010</v>
      </c>
      <c r="B146" s="78">
        <f>IF((A146&gt;=2023),E146,((C146-D146)/1000))</f>
        <v/>
      </c>
      <c r="C146" s="79" t="n">
        <v>29882.357</v>
      </c>
      <c r="D146" s="79" t="n">
        <v>16715.489</v>
      </c>
      <c r="E146" s="79" t="n"/>
    </row>
    <row r="147" ht="14" customHeight="1">
      <c r="A147" s="23" t="n">
        <v>2011</v>
      </c>
      <c r="B147" s="80">
        <f>IF((A147&gt;=2023),E147,((C147-D147)/1000))</f>
        <v/>
      </c>
      <c r="C147" s="81" t="n">
        <v>52136.109</v>
      </c>
      <c r="D147" s="81" t="n">
        <v>29882.357</v>
      </c>
      <c r="E147" s="81" t="n"/>
    </row>
    <row r="148" ht="14" customHeight="1">
      <c r="A148" s="16" t="n">
        <v>2012</v>
      </c>
      <c r="B148" s="78">
        <f>IF((A148&gt;=2023),E148,((C148-D148)/1000))</f>
        <v/>
      </c>
      <c r="C148" s="79" t="n">
        <v>69039.41800000001</v>
      </c>
      <c r="D148" s="79" t="n">
        <v>52136.109</v>
      </c>
      <c r="E148" s="79" t="n"/>
    </row>
    <row r="149" ht="14" customHeight="1">
      <c r="A149" s="23" t="n">
        <v>2013</v>
      </c>
      <c r="B149" s="80">
        <f>IF((A149&gt;=2023),E149,((C149-D149)/1000))</f>
        <v/>
      </c>
      <c r="C149" s="81" t="n">
        <v>77402.829</v>
      </c>
      <c r="D149" s="81" t="n">
        <v>69039.41800000001</v>
      </c>
      <c r="E149" s="81" t="n"/>
    </row>
    <row r="150" ht="14" customHeight="1">
      <c r="A150" s="16" t="n">
        <v>2014</v>
      </c>
      <c r="B150" s="78">
        <f>IF((A150&gt;=2023),E150,((C150-D150)/1000))</f>
        <v/>
      </c>
      <c r="C150" s="79" t="n">
        <v>81313.29300000001</v>
      </c>
      <c r="D150" s="79" t="n">
        <v>77402.829</v>
      </c>
      <c r="E150" s="79" t="n"/>
    </row>
    <row r="151" ht="14" customHeight="1">
      <c r="A151" s="23" t="n">
        <v>2015</v>
      </c>
      <c r="B151" s="80">
        <f>IF((A151&gt;=2023),E151,((C151-D151)/1000))</f>
        <v/>
      </c>
      <c r="C151" s="81" t="n">
        <v>85379.371</v>
      </c>
      <c r="D151" s="81" t="n">
        <v>81313.29300000001</v>
      </c>
      <c r="E151" s="81" t="n"/>
    </row>
    <row r="152" ht="14" customHeight="1">
      <c r="A152" s="16" t="n">
        <v>2016</v>
      </c>
      <c r="B152" s="78">
        <f>IF((A152&gt;=2023),E152,((C152-D152)/1000))</f>
        <v/>
      </c>
      <c r="C152" s="79" t="n">
        <v>89194.64</v>
      </c>
      <c r="D152" s="79" t="n">
        <v>85379.371</v>
      </c>
      <c r="E152" s="79" t="n"/>
    </row>
    <row r="153" ht="14" customHeight="1">
      <c r="A153" s="23" t="n">
        <v>2017</v>
      </c>
      <c r="B153" s="80">
        <f>IF((A153&gt;=2023),E153,((C153-D153)/1000))</f>
        <v/>
      </c>
      <c r="C153" s="81" t="n">
        <v>93926.95600000001</v>
      </c>
      <c r="D153" s="81" t="n">
        <v>89194.64</v>
      </c>
      <c r="E153" s="81" t="n"/>
    </row>
    <row r="154" ht="14" customHeight="1">
      <c r="A154" s="16" t="n">
        <v>2018</v>
      </c>
      <c r="B154" s="78">
        <f>IF((A154&gt;=2023),E154,((C154-D154)/1000))</f>
        <v/>
      </c>
      <c r="C154" s="79" t="n">
        <v>101752.858</v>
      </c>
      <c r="D154" s="79" t="n">
        <v>93926.95600000001</v>
      </c>
      <c r="E154" s="79" t="n"/>
    </row>
    <row r="155" ht="14" customHeight="1">
      <c r="A155" s="23" t="n">
        <v>2019</v>
      </c>
      <c r="B155" s="80">
        <f>IF((A155&gt;=2023),E155,((C155-D155)/1000))</f>
        <v/>
      </c>
      <c r="C155" s="81" t="n">
        <v>117903.535</v>
      </c>
      <c r="D155" s="81" t="n">
        <v>101752.858</v>
      </c>
      <c r="E155" s="81" t="n"/>
    </row>
    <row r="156" ht="14" customHeight="1">
      <c r="A156" s="16" t="n">
        <v>2020</v>
      </c>
      <c r="B156" s="78">
        <f>IF((A156&gt;=2023),E156,((C156-D156)/1000))</f>
        <v/>
      </c>
      <c r="C156" s="79" t="n">
        <v>136176.363</v>
      </c>
      <c r="D156" s="79" t="n">
        <v>117903.535</v>
      </c>
      <c r="E156" s="79" t="n"/>
    </row>
    <row r="157" ht="14" customHeight="1">
      <c r="A157" s="23" t="n">
        <v>2021</v>
      </c>
      <c r="B157" s="80">
        <f>IF((A157&gt;=2023),E157,((C157-D157)/1000))</f>
        <v/>
      </c>
      <c r="C157" s="81" t="n">
        <v>161879.223</v>
      </c>
      <c r="D157" s="81" t="n">
        <v>136176.363</v>
      </c>
      <c r="E157" s="81" t="n"/>
    </row>
    <row r="158" ht="14" customHeight="1">
      <c r="A158" s="16" t="n">
        <v>2023</v>
      </c>
      <c r="B158" s="78">
        <f>IF((A158&gt;=2023),E158,((C158-D158)/1000))</f>
        <v/>
      </c>
      <c r="C158" s="79" t="n"/>
      <c r="D158" s="79" t="n"/>
      <c r="E158" s="79" t="n">
        <v>56</v>
      </c>
    </row>
    <row r="159" ht="14" customHeight="1">
      <c r="A159" s="23" t="n">
        <v>2024</v>
      </c>
      <c r="B159" s="80">
        <f>IF((A159&gt;=2023),E159,((C159-D159)/1000))</f>
        <v/>
      </c>
      <c r="C159" s="81" t="n"/>
      <c r="D159" s="81" t="n"/>
      <c r="E159" s="81" t="n">
        <v>65.5</v>
      </c>
    </row>
    <row r="160" ht="14" customHeight="1">
      <c r="A160" s="16" t="n">
        <v>2025</v>
      </c>
      <c r="B160" s="78">
        <f>IF((A160&gt;=2023),E160,((C160-D160)/1000))</f>
        <v/>
      </c>
      <c r="C160" s="79" t="n"/>
      <c r="D160" s="79" t="n"/>
      <c r="E160" s="79" t="n">
        <v>65.09999999999999</v>
      </c>
    </row>
    <row r="163">
      <c r="A163" s="82" t="inlineStr">
        <is>
          <t>E4b/c · Annual wind capacity additions (EU)  (GW/yr)</t>
        </is>
      </c>
    </row>
    <row r="164" ht="26" customHeight="1">
      <c r="A164" s="83" t="inlineStr">
        <is>
          <t>No derivation for the later years — the figure is the publication's own.</t>
        </is>
      </c>
    </row>
    <row r="165" ht="24" customHeight="1">
      <c r="A165" s="3" t="inlineStr">
        <is>
          <t>Derivation:  Value = IF(A &gt;= 2023, [Post-report figure as published], ([Onshore wind cumulative capacity (MW)] - [Onshore wind cumulative capacity (MW) (previous year)]) / 1000.0)</t>
        </is>
      </c>
    </row>
    <row r="166" ht="42" customHeight="1">
      <c r="A166" s="77" t="inlineStr">
        <is>
          <t>Year</t>
        </is>
      </c>
      <c r="B166" s="77" t="inlineStr">
        <is>
          <t>Value</t>
        </is>
      </c>
      <c r="C166" s="77" t="inlineStr">
        <is>
          <t>Onshore wind cumulative capacity (MW)</t>
        </is>
      </c>
      <c r="D166" s="77" t="inlineStr">
        <is>
          <t>Onshore wind cumulative capacity (MW) (previous year)</t>
        </is>
      </c>
      <c r="E166" s="77" t="inlineStr">
        <is>
          <t>Post-report figure as published</t>
        </is>
      </c>
    </row>
    <row r="167" ht="14" customHeight="1">
      <c r="A167" s="16" t="n">
        <v>2006</v>
      </c>
      <c r="B167" s="78">
        <f>IF((A167&gt;=2023),E167,((C167-D167)/1000))</f>
        <v/>
      </c>
      <c r="C167" s="79" t="n">
        <v>43350.74</v>
      </c>
      <c r="D167" s="79" t="n">
        <v>37419.13</v>
      </c>
      <c r="E167" s="79" t="n"/>
    </row>
    <row r="168" ht="14" customHeight="1">
      <c r="A168" s="23" t="n">
        <v>2007</v>
      </c>
      <c r="B168" s="80">
        <f>IF((A168&gt;=2023),E168,((C168-D168)/1000))</f>
        <v/>
      </c>
      <c r="C168" s="81" t="n">
        <v>50171.448</v>
      </c>
      <c r="D168" s="81" t="n">
        <v>43350.74</v>
      </c>
      <c r="E168" s="81" t="n"/>
    </row>
    <row r="169" ht="14" customHeight="1">
      <c r="A169" s="16" t="n">
        <v>2008</v>
      </c>
      <c r="B169" s="78">
        <f>IF((A169&gt;=2023),E169,((C169-D169)/1000))</f>
        <v/>
      </c>
      <c r="C169" s="79" t="n">
        <v>55480.934</v>
      </c>
      <c r="D169" s="79" t="n">
        <v>50171.448</v>
      </c>
      <c r="E169" s="79" t="n"/>
    </row>
    <row r="170" ht="14" customHeight="1">
      <c r="A170" s="23" t="n">
        <v>2009</v>
      </c>
      <c r="B170" s="80">
        <f>IF((A170&gt;=2023),E170,((C170-D170)/1000))</f>
        <v/>
      </c>
      <c r="C170" s="81" t="n">
        <v>64803.677</v>
      </c>
      <c r="D170" s="81" t="n">
        <v>55480.934</v>
      </c>
      <c r="E170" s="81" t="n"/>
    </row>
    <row r="171" ht="14" customHeight="1">
      <c r="A171" s="16" t="n">
        <v>2010</v>
      </c>
      <c r="B171" s="78">
        <f>IF((A171&gt;=2023),E171,((C171-D171)/1000))</f>
        <v/>
      </c>
      <c r="C171" s="79" t="n">
        <v>70610.359</v>
      </c>
      <c r="D171" s="79" t="n">
        <v>64803.677</v>
      </c>
      <c r="E171" s="79" t="n"/>
    </row>
    <row r="172" ht="14" customHeight="1">
      <c r="A172" s="23" t="n">
        <v>2011</v>
      </c>
      <c r="B172" s="80">
        <f>IF((A172&gt;=2023),E172,((C172-D172)/1000))</f>
        <v/>
      </c>
      <c r="C172" s="81" t="n">
        <v>84226.42</v>
      </c>
      <c r="D172" s="81" t="n">
        <v>70610.359</v>
      </c>
      <c r="E172" s="81" t="n"/>
    </row>
    <row r="173" ht="14" customHeight="1">
      <c r="A173" s="16" t="n">
        <v>2012</v>
      </c>
      <c r="B173" s="78">
        <f>IF((A173&gt;=2023),E173,((C173-D173)/1000))</f>
        <v/>
      </c>
      <c r="C173" s="79" t="n">
        <v>92679.891</v>
      </c>
      <c r="D173" s="79" t="n">
        <v>84226.42</v>
      </c>
      <c r="E173" s="79" t="n"/>
    </row>
    <row r="174" ht="14" customHeight="1">
      <c r="A174" s="23" t="n">
        <v>2013</v>
      </c>
      <c r="B174" s="80">
        <f>IF((A174&gt;=2023),E174,((C174-D174)/1000))</f>
        <v/>
      </c>
      <c r="C174" s="81" t="n">
        <v>99239.16499999999</v>
      </c>
      <c r="D174" s="81" t="n">
        <v>92679.891</v>
      </c>
      <c r="E174" s="81" t="n"/>
    </row>
    <row r="175" ht="14" customHeight="1">
      <c r="A175" s="16" t="n">
        <v>2014</v>
      </c>
      <c r="B175" s="78">
        <f>IF((A175&gt;=2023),E175,((C175-D175)/1000))</f>
        <v/>
      </c>
      <c r="C175" s="79" t="n">
        <v>108256.141</v>
      </c>
      <c r="D175" s="79" t="n">
        <v>99239.16499999999</v>
      </c>
      <c r="E175" s="79" t="n"/>
    </row>
    <row r="176" ht="14" customHeight="1">
      <c r="A176" s="23" t="n">
        <v>2015</v>
      </c>
      <c r="B176" s="80">
        <f>IF((A176&gt;=2023),E176,((C176-D176)/1000))</f>
        <v/>
      </c>
      <c r="C176" s="81" t="n">
        <v>117502.431</v>
      </c>
      <c r="D176" s="81" t="n">
        <v>108256.141</v>
      </c>
      <c r="E176" s="81" t="n"/>
    </row>
    <row r="177" ht="14" customHeight="1">
      <c r="A177" s="16" t="n">
        <v>2016</v>
      </c>
      <c r="B177" s="78">
        <f>IF((A177&gt;=2023),E177,((C177-D177)/1000))</f>
        <v/>
      </c>
      <c r="C177" s="79" t="n">
        <v>126951.247</v>
      </c>
      <c r="D177" s="79" t="n">
        <v>117502.431</v>
      </c>
      <c r="E177" s="79" t="n"/>
    </row>
    <row r="178" ht="14" customHeight="1">
      <c r="A178" s="23" t="n">
        <v>2017</v>
      </c>
      <c r="B178" s="80">
        <f>IF((A178&gt;=2023),E178,((C178-D178)/1000))</f>
        <v/>
      </c>
      <c r="C178" s="81" t="n">
        <v>140132.585</v>
      </c>
      <c r="D178" s="81" t="n">
        <v>126951.247</v>
      </c>
      <c r="E178" s="81" t="n"/>
    </row>
    <row r="179" ht="14" customHeight="1">
      <c r="A179" s="16" t="n">
        <v>2018</v>
      </c>
      <c r="B179" s="78">
        <f>IF((A179&gt;=2023),E179,((C179-D179)/1000))</f>
        <v/>
      </c>
      <c r="C179" s="79" t="n">
        <v>146699.078</v>
      </c>
      <c r="D179" s="79" t="n">
        <v>140132.585</v>
      </c>
      <c r="E179" s="79" t="n"/>
    </row>
    <row r="180" ht="14" customHeight="1">
      <c r="A180" s="23" t="n">
        <v>2019</v>
      </c>
      <c r="B180" s="80">
        <f>IF((A180&gt;=2023),E180,((C180-D180)/1000))</f>
        <v/>
      </c>
      <c r="C180" s="81" t="n">
        <v>155094.764</v>
      </c>
      <c r="D180" s="81" t="n">
        <v>146699.078</v>
      </c>
      <c r="E180" s="81" t="n"/>
    </row>
    <row r="181" ht="14" customHeight="1">
      <c r="A181" s="16" t="n">
        <v>2020</v>
      </c>
      <c r="B181" s="78">
        <f>IF((A181&gt;=2023),E181,((C181-D181)/1000))</f>
        <v/>
      </c>
      <c r="C181" s="79" t="n">
        <v>162548.749</v>
      </c>
      <c r="D181" s="79" t="n">
        <v>155094.764</v>
      </c>
      <c r="E181" s="79" t="n"/>
    </row>
    <row r="182" ht="14" customHeight="1">
      <c r="A182" s="23" t="n">
        <v>2021</v>
      </c>
      <c r="B182" s="80">
        <f>IF((A182&gt;=2023),E182,((C182-D182)/1000))</f>
        <v/>
      </c>
      <c r="C182" s="81" t="n">
        <v>173265.863</v>
      </c>
      <c r="D182" s="81" t="n">
        <v>162548.749</v>
      </c>
      <c r="E182" s="81" t="n"/>
    </row>
    <row r="183" ht="14" customHeight="1">
      <c r="A183" s="16" t="n">
        <v>2023</v>
      </c>
      <c r="B183" s="78">
        <f>IF((A183&gt;=2023),E183,((C183-D183)/1000))</f>
        <v/>
      </c>
      <c r="C183" s="79" t="n"/>
      <c r="D183" s="79" t="n"/>
      <c r="E183" s="79" t="n">
        <v>16.2</v>
      </c>
    </row>
    <row r="184" ht="14" customHeight="1">
      <c r="A184" s="23" t="n">
        <v>2024</v>
      </c>
      <c r="B184" s="80">
        <f>IF((A184&gt;=2023),E184,((C184-D184)/1000))</f>
        <v/>
      </c>
      <c r="C184" s="81" t="n"/>
      <c r="D184" s="81" t="n"/>
      <c r="E184" s="81" t="n">
        <v>12.9</v>
      </c>
    </row>
    <row r="185" ht="14" customHeight="1">
      <c r="A185" s="16" t="n">
        <v>2025</v>
      </c>
      <c r="B185" s="78">
        <f>IF((A185&gt;=2023),E185,((C185-D185)/1000))</f>
        <v/>
      </c>
      <c r="C185" s="79" t="n"/>
      <c r="D185" s="79" t="n"/>
      <c r="E185" s="79" t="n">
        <v>15.1</v>
      </c>
    </row>
    <row r="188">
      <c r="A188" s="82" t="inlineStr">
        <is>
          <t>E6 · Energy-related methane emissions (EU-27)  (Mt CO₂eq)</t>
        </is>
      </c>
    </row>
    <row r="189" ht="26" customHeight="1">
      <c r="A189" s="83" t="inlineStr">
        <is>
          <t>NOT the report's derivation for the later years — the formula switches by year to a different recipe, because the report's own inputs have no feed. The two halves of this series are not computed the same way.</t>
        </is>
      </c>
    </row>
    <row r="190" ht="24" customHeight="1">
      <c r="A190" s="3" t="inlineStr">
        <is>
          <t>Derivation:  Value = IF(A &gt;= 2022, ROUND([Report baseline 2021 (Mt CO₂eq)] * [env_air_gge CRF1 CH4] / [Live source at 2021 (same basis as the columns left)], 2), ([Fuel combustion]+[Fugitive - solid fuels]+[Fugitive - other]))</t>
        </is>
      </c>
    </row>
    <row r="191" ht="42" customHeight="1">
      <c r="A191" s="77" t="inlineStr">
        <is>
          <t>Year</t>
        </is>
      </c>
      <c r="B191" s="77" t="inlineStr">
        <is>
          <t>Value</t>
        </is>
      </c>
      <c r="C191" s="77" t="inlineStr">
        <is>
          <t>Fuel combustion</t>
        </is>
      </c>
      <c r="D191" s="77" t="inlineStr">
        <is>
          <t>Fugitive - solid fuels</t>
        </is>
      </c>
      <c r="E191" s="77" t="inlineStr">
        <is>
          <t>Fugitive - other</t>
        </is>
      </c>
      <c r="F191" s="77" t="inlineStr">
        <is>
          <t>env_air_gge CRF1 CH4</t>
        </is>
      </c>
      <c r="G191" s="77" t="inlineStr">
        <is>
          <t>Report baseline 2021 (Mt CO₂eq)</t>
        </is>
      </c>
      <c r="H191" s="77" t="inlineStr">
        <is>
          <t>Live source at 2021 (same basis as the columns left)</t>
        </is>
      </c>
    </row>
    <row r="192" ht="14" customHeight="1">
      <c r="A192" s="16" t="n">
        <v>2005</v>
      </c>
      <c r="B192" s="78">
        <f>IF((A192&gt;=2022),ROUND(((G192*F192)/H192),2),((C192+D192)+E192))</f>
        <v/>
      </c>
      <c r="C192" s="79" t="n">
        <v>25.69913121828941</v>
      </c>
      <c r="D192" s="79" t="n">
        <v>52.8315854181241</v>
      </c>
      <c r="E192" s="79" t="n">
        <v>31.6165845699223</v>
      </c>
      <c r="F192" s="79" t="n"/>
      <c r="G192" s="79" t="n"/>
      <c r="H192" s="79" t="n"/>
    </row>
    <row r="193" ht="14" customHeight="1">
      <c r="A193" s="23" t="n">
        <v>2006</v>
      </c>
      <c r="B193" s="80">
        <f>IF((A193&gt;=2022),ROUND(((G193*F193)/H193),2),((C193+D193)+E193))</f>
        <v/>
      </c>
      <c r="C193" s="81" t="n">
        <v>25.88645840097239</v>
      </c>
      <c r="D193" s="81" t="n">
        <v>49.49190640968661</v>
      </c>
      <c r="E193" s="81" t="n">
        <v>30.42661730524428</v>
      </c>
      <c r="F193" s="81" t="n"/>
      <c r="G193" s="81" t="n"/>
      <c r="H193" s="81" t="n"/>
    </row>
    <row r="194" ht="14" customHeight="1">
      <c r="A194" s="16" t="n">
        <v>2007</v>
      </c>
      <c r="B194" s="78">
        <f>IF((A194&gt;=2022),ROUND(((G194*F194)/H194),2),((C194+D194)+E194))</f>
        <v/>
      </c>
      <c r="C194" s="79" t="n">
        <v>26.44340852708844</v>
      </c>
      <c r="D194" s="79" t="n">
        <v>46.35706082534897</v>
      </c>
      <c r="E194" s="79" t="n">
        <v>29.05688421787791</v>
      </c>
      <c r="F194" s="79" t="n"/>
      <c r="G194" s="79" t="n"/>
      <c r="H194" s="79" t="n"/>
    </row>
    <row r="195" ht="14" customHeight="1">
      <c r="A195" s="23" t="n">
        <v>2008</v>
      </c>
      <c r="B195" s="80">
        <f>IF((A195&gt;=2022),ROUND(((G195*F195)/H195),2),((C195+D195)+E195))</f>
        <v/>
      </c>
      <c r="C195" s="81" t="n">
        <v>27.93711041395692</v>
      </c>
      <c r="D195" s="81" t="n">
        <v>45.6097659020955</v>
      </c>
      <c r="E195" s="81" t="n">
        <v>28.52187349951384</v>
      </c>
      <c r="F195" s="81" t="n"/>
      <c r="G195" s="81" t="n"/>
      <c r="H195" s="81" t="n"/>
    </row>
    <row r="196" ht="14" customHeight="1">
      <c r="A196" s="16" t="n">
        <v>2009</v>
      </c>
      <c r="B196" s="78">
        <f>IF((A196&gt;=2022),ROUND(((G196*F196)/H196),2),((C196+D196)+E196))</f>
        <v/>
      </c>
      <c r="C196" s="79" t="n">
        <v>27.64360515860903</v>
      </c>
      <c r="D196" s="79" t="n">
        <v>41.59625229511023</v>
      </c>
      <c r="E196" s="79" t="n">
        <v>27.20921554389038</v>
      </c>
      <c r="F196" s="79" t="n"/>
      <c r="G196" s="79" t="n"/>
      <c r="H196" s="79" t="n"/>
    </row>
    <row r="197" ht="14" customHeight="1">
      <c r="A197" s="23" t="n">
        <v>2010</v>
      </c>
      <c r="B197" s="80">
        <f>IF((A197&gt;=2022),ROUND(((G197*F197)/H197),2),((C197+D197)+E197))</f>
        <v/>
      </c>
      <c r="C197" s="81" t="n">
        <v>29.33178661169264</v>
      </c>
      <c r="D197" s="81" t="n">
        <v>40.16641671519278</v>
      </c>
      <c r="E197" s="81" t="n">
        <v>27.51972070102189</v>
      </c>
      <c r="F197" s="81" t="n"/>
      <c r="G197" s="81" t="n"/>
      <c r="H197" s="81" t="n"/>
    </row>
    <row r="198" ht="14" customHeight="1">
      <c r="A198" s="16" t="n">
        <v>2011</v>
      </c>
      <c r="B198" s="78">
        <f>IF((A198&gt;=2022),ROUND(((G198*F198)/H198),2),((C198+D198)+E198))</f>
        <v/>
      </c>
      <c r="C198" s="79" t="n">
        <v>26.57230662709831</v>
      </c>
      <c r="D198" s="79" t="n">
        <v>39.84312604488972</v>
      </c>
      <c r="E198" s="79" t="n">
        <v>26.65063962254466</v>
      </c>
      <c r="F198" s="79" t="n"/>
      <c r="G198" s="79" t="n"/>
      <c r="H198" s="79" t="n"/>
    </row>
    <row r="199" ht="14" customHeight="1">
      <c r="A199" s="23" t="n">
        <v>2012</v>
      </c>
      <c r="B199" s="80">
        <f>IF((A199&gt;=2022),ROUND(((G199*F199)/H199),2),((C199+D199)+E199))</f>
        <v/>
      </c>
      <c r="C199" s="81" t="n">
        <v>28.15329352862047</v>
      </c>
      <c r="D199" s="81" t="n">
        <v>40.07079647107277</v>
      </c>
      <c r="E199" s="81" t="n">
        <v>25.6343658127353</v>
      </c>
      <c r="F199" s="81" t="n"/>
      <c r="G199" s="81" t="n"/>
      <c r="H199" s="81" t="n"/>
    </row>
    <row r="200" ht="14" customHeight="1">
      <c r="A200" s="16" t="n">
        <v>2013</v>
      </c>
      <c r="B200" s="78">
        <f>IF((A200&gt;=2022),ROUND(((G200*F200)/H200),2),((C200+D200)+E200))</f>
        <v/>
      </c>
      <c r="C200" s="79" t="n">
        <v>28.02216466422844</v>
      </c>
      <c r="D200" s="79" t="n">
        <v>37.68075968792657</v>
      </c>
      <c r="E200" s="79" t="n">
        <v>25.23866328163211</v>
      </c>
      <c r="F200" s="79" t="n"/>
      <c r="G200" s="79" t="n"/>
      <c r="H200" s="79" t="n"/>
    </row>
    <row r="201" ht="14" customHeight="1">
      <c r="A201" s="23" t="n">
        <v>2014</v>
      </c>
      <c r="B201" s="80">
        <f>IF((A201&gt;=2022),ROUND(((G201*F201)/H201),2),((C201+D201)+E201))</f>
        <v/>
      </c>
      <c r="C201" s="81" t="n">
        <v>25.17152560061331</v>
      </c>
      <c r="D201" s="81" t="n">
        <v>36.39667748713047</v>
      </c>
      <c r="E201" s="81" t="n">
        <v>24.25620946708074</v>
      </c>
      <c r="F201" s="81" t="n"/>
      <c r="G201" s="81" t="n"/>
      <c r="H201" s="81" t="n"/>
    </row>
    <row r="202" ht="14" customHeight="1">
      <c r="A202" s="16" t="n">
        <v>2015</v>
      </c>
      <c r="B202" s="78">
        <f>IF((A202&gt;=2022),ROUND(((G202*F202)/H202),2),((C202+D202)+E202))</f>
        <v/>
      </c>
      <c r="C202" s="79" t="n">
        <v>25.86973603354605</v>
      </c>
      <c r="D202" s="79" t="n">
        <v>37.40270435291585</v>
      </c>
      <c r="E202" s="79" t="n">
        <v>23.0256932298698</v>
      </c>
      <c r="F202" s="79" t="n"/>
      <c r="G202" s="79" t="n"/>
      <c r="H202" s="79" t="n"/>
    </row>
    <row r="203" ht="14" customHeight="1">
      <c r="A203" s="23" t="n">
        <v>2016</v>
      </c>
      <c r="B203" s="80">
        <f>IF((A203&gt;=2022),ROUND(((G203*F203)/H203),2),((C203+D203)+E203))</f>
        <v/>
      </c>
      <c r="C203" s="81" t="n">
        <v>25.95711318460804</v>
      </c>
      <c r="D203" s="81" t="n">
        <v>35.33477220579638</v>
      </c>
      <c r="E203" s="81" t="n">
        <v>22.23766194622106</v>
      </c>
      <c r="F203" s="81" t="n"/>
      <c r="G203" s="81" t="n"/>
      <c r="H203" s="81" t="n"/>
    </row>
    <row r="204" ht="14" customHeight="1">
      <c r="A204" s="16" t="n">
        <v>2017</v>
      </c>
      <c r="B204" s="78">
        <f>IF((A204&gt;=2022),ROUND(((G204*F204)/H204),2),((C204+D204)+E204))</f>
        <v/>
      </c>
      <c r="C204" s="79" t="n">
        <v>26.25607488050714</v>
      </c>
      <c r="D204" s="79" t="n">
        <v>34.71967149637995</v>
      </c>
      <c r="E204" s="79" t="n">
        <v>21.72320950375489</v>
      </c>
      <c r="F204" s="79" t="n"/>
      <c r="G204" s="79" t="n"/>
      <c r="H204" s="79" t="n"/>
    </row>
    <row r="205" ht="14" customHeight="1">
      <c r="A205" s="23" t="n">
        <v>2018</v>
      </c>
      <c r="B205" s="80">
        <f>IF((A205&gt;=2022),ROUND(((G205*F205)/H205),2),((C205+D205)+E205))</f>
        <v/>
      </c>
      <c r="C205" s="81" t="n">
        <v>26.58688958737584</v>
      </c>
      <c r="D205" s="81" t="n">
        <v>32.41012205897192</v>
      </c>
      <c r="E205" s="81" t="n">
        <v>20.69434369051864</v>
      </c>
      <c r="F205" s="81" t="n"/>
      <c r="G205" s="81" t="n"/>
      <c r="H205" s="81" t="n"/>
    </row>
    <row r="206" ht="14" customHeight="1">
      <c r="A206" s="16" t="n">
        <v>2019</v>
      </c>
      <c r="B206" s="78">
        <f>IF((A206&gt;=2022),ROUND(((G206*F206)/H206),2),((C206+D206)+E206))</f>
        <v/>
      </c>
      <c r="C206" s="79" t="n">
        <v>25.94378265274558</v>
      </c>
      <c r="D206" s="79" t="n">
        <v>28.01834710880188</v>
      </c>
      <c r="E206" s="79" t="n">
        <v>19.2516119641467</v>
      </c>
      <c r="F206" s="79" t="n"/>
      <c r="G206" s="79" t="n"/>
      <c r="H206" s="79" t="n"/>
    </row>
    <row r="207" ht="14" customHeight="1">
      <c r="A207" s="23" t="n">
        <v>2020</v>
      </c>
      <c r="B207" s="80">
        <f>IF((A207&gt;=2022),ROUND(((G207*F207)/H207),2),((C207+D207)+E207))</f>
        <v/>
      </c>
      <c r="C207" s="81" t="n">
        <v>25.26746562288206</v>
      </c>
      <c r="D207" s="81" t="n">
        <v>26.12143927772557</v>
      </c>
      <c r="E207" s="81" t="n">
        <v>18.23598185588754</v>
      </c>
      <c r="F207" s="81" t="n"/>
      <c r="G207" s="81" t="n"/>
      <c r="H207" s="81" t="n"/>
    </row>
    <row r="208" ht="14" customHeight="1">
      <c r="A208" s="16" t="n">
        <v>2021</v>
      </c>
      <c r="B208" s="78">
        <f>IF((A208&gt;=2022),ROUND(((G208*F208)/H208),2),((C208+D208)+E208))</f>
        <v/>
      </c>
      <c r="C208" s="79" t="n">
        <v>26.52328217715002</v>
      </c>
      <c r="D208" s="79" t="n">
        <v>25.62160457337648</v>
      </c>
      <c r="E208" s="79" t="n">
        <v>17.76021328091393</v>
      </c>
      <c r="F208" s="79" t="n"/>
      <c r="G208" s="79" t="n"/>
      <c r="H208" s="79" t="n"/>
    </row>
    <row r="209" ht="14" customHeight="1">
      <c r="A209" s="23" t="n">
        <v>2022</v>
      </c>
      <c r="B209" s="80">
        <f>IF((A209&gt;=2022),ROUND(((G209*F209)/H209),2),((C209+D209)+E209))</f>
        <v/>
      </c>
      <c r="C209" s="81" t="n"/>
      <c r="D209" s="81" t="n"/>
      <c r="E209" s="81" t="n"/>
      <c r="F209" s="81" t="n">
        <v>2.07953</v>
      </c>
      <c r="G209" s="81" t="n">
        <v>69.91</v>
      </c>
      <c r="H209" s="81" t="n">
        <v>2.2554</v>
      </c>
    </row>
    <row r="210" ht="14" customHeight="1">
      <c r="A210" s="16" t="n">
        <v>2023</v>
      </c>
      <c r="B210" s="78">
        <f>IF((A210&gt;=2022),ROUND(((G210*F210)/H210),2),((C210+D210)+E210))</f>
        <v/>
      </c>
      <c r="C210" s="79" t="n"/>
      <c r="D210" s="79" t="n"/>
      <c r="E210" s="79" t="n"/>
      <c r="F210" s="79" t="n">
        <v>1.93717</v>
      </c>
      <c r="G210" s="79" t="n">
        <v>69.91</v>
      </c>
      <c r="H210" s="79" t="n">
        <v>2.2554</v>
      </c>
    </row>
    <row r="211" ht="14" customHeight="1">
      <c r="A211" s="23" t="n">
        <v>2024</v>
      </c>
      <c r="B211" s="80">
        <f>IF((A211&gt;=2022),ROUND(((G211*F211)/H211),2),((C211+D211)+E211))</f>
        <v/>
      </c>
      <c r="C211" s="81" t="n"/>
      <c r="D211" s="81" t="n"/>
      <c r="E211" s="81" t="n"/>
      <c r="F211" s="81" t="n">
        <v>1.8637</v>
      </c>
      <c r="G211" s="81" t="n">
        <v>69.91</v>
      </c>
      <c r="H211" s="81" t="n">
        <v>2.2554</v>
      </c>
    </row>
    <row r="214">
      <c r="A214" s="84" t="inlineStr">
        <is>
          <t>E5 · Electrification rate of final energy use  (%)</t>
        </is>
      </c>
    </row>
    <row r="215" ht="26" customHeight="1">
      <c r="A215" s="76" t="inlineStr">
        <is>
          <t>The report's formula throughout; for the later years its single input is back-computed from the published figure through the sheet's own constants, so the arithmetic is unchanged.</t>
        </is>
      </c>
    </row>
    <row r="216" ht="24" customHeight="1">
      <c r="A216" s="3" t="inlineStr">
        <is>
          <t>Derivation:  Value = ([FEC - electricity]/[FEC - total]) * [fraction → % (× 100)]</t>
        </is>
      </c>
    </row>
    <row r="217" ht="42" customHeight="1">
      <c r="A217" s="77" t="inlineStr">
        <is>
          <t>Year</t>
        </is>
      </c>
      <c r="B217" s="77" t="inlineStr">
        <is>
          <t>Value</t>
        </is>
      </c>
      <c r="C217" s="77" t="inlineStr">
        <is>
          <t>FEC - electricity</t>
        </is>
      </c>
      <c r="D217" s="77" t="inlineStr">
        <is>
          <t>FEC - total</t>
        </is>
      </c>
      <c r="E217" s="77" t="inlineStr">
        <is>
          <t>fraction → % (× 100)</t>
        </is>
      </c>
    </row>
    <row r="218" ht="14" customHeight="1">
      <c r="A218" s="16" t="n">
        <v>2005</v>
      </c>
      <c r="B218" s="78">
        <f>((C218/D218)*E218)</f>
        <v/>
      </c>
      <c r="C218" s="79" t="n">
        <v>2435673.703</v>
      </c>
      <c r="D218" s="79" t="n">
        <v>11474916.915</v>
      </c>
      <c r="E218" s="79" t="n">
        <v>100</v>
      </c>
    </row>
    <row r="219" ht="14" customHeight="1">
      <c r="A219" s="23" t="n">
        <v>2006</v>
      </c>
      <c r="B219" s="80">
        <f>((C219/D219)*E219)</f>
        <v/>
      </c>
      <c r="C219" s="81" t="n">
        <v>2487965.274</v>
      </c>
      <c r="D219" s="81" t="n">
        <v>11513134.525</v>
      </c>
      <c r="E219" s="81" t="n">
        <v>100</v>
      </c>
    </row>
    <row r="220" ht="14" customHeight="1">
      <c r="A220" s="16" t="n">
        <v>2007</v>
      </c>
      <c r="B220" s="78">
        <f>((C220/D220)*E220)</f>
        <v/>
      </c>
      <c r="C220" s="79" t="n">
        <v>2507601.539</v>
      </c>
      <c r="D220" s="79" t="n">
        <v>11296437.815</v>
      </c>
      <c r="E220" s="79" t="n">
        <v>100</v>
      </c>
    </row>
    <row r="221" ht="14" customHeight="1">
      <c r="A221" s="23" t="n">
        <v>2008</v>
      </c>
      <c r="B221" s="80">
        <f>((C221/D221)*E221)</f>
        <v/>
      </c>
      <c r="C221" s="81" t="n">
        <v>2521047.666</v>
      </c>
      <c r="D221" s="81" t="n">
        <v>11405137.115</v>
      </c>
      <c r="E221" s="81" t="n">
        <v>100</v>
      </c>
    </row>
    <row r="222" ht="14" customHeight="1">
      <c r="A222" s="16" t="n">
        <v>2009</v>
      </c>
      <c r="B222" s="78">
        <f>((C222/D222)*E222)</f>
        <v/>
      </c>
      <c r="C222" s="79" t="n">
        <v>2392832.602</v>
      </c>
      <c r="D222" s="79" t="n">
        <v>10876339.92</v>
      </c>
      <c r="E222" s="79" t="n">
        <v>100</v>
      </c>
    </row>
    <row r="223" ht="14" customHeight="1">
      <c r="A223" s="23" t="n">
        <v>2010</v>
      </c>
      <c r="B223" s="80">
        <f>((C223/D223)*E223)</f>
        <v/>
      </c>
      <c r="C223" s="81" t="n">
        <v>2510655.33</v>
      </c>
      <c r="D223" s="81" t="n">
        <v>11318762.988</v>
      </c>
      <c r="E223" s="81" t="n">
        <v>100</v>
      </c>
    </row>
    <row r="224" ht="14" customHeight="1">
      <c r="A224" s="16" t="n">
        <v>2011</v>
      </c>
      <c r="B224" s="78">
        <f>((C224/D224)*E224)</f>
        <v/>
      </c>
      <c r="C224" s="79" t="n">
        <v>2475454.023</v>
      </c>
      <c r="D224" s="79" t="n">
        <v>10860092.741</v>
      </c>
      <c r="E224" s="79" t="n">
        <v>100</v>
      </c>
    </row>
    <row r="225" ht="14" customHeight="1">
      <c r="A225" s="23" t="n">
        <v>2012</v>
      </c>
      <c r="B225" s="80">
        <f>((C225/D225)*E225)</f>
        <v/>
      </c>
      <c r="C225" s="81" t="n">
        <v>2484050.673</v>
      </c>
      <c r="D225" s="81" t="n">
        <v>10852755.326</v>
      </c>
      <c r="E225" s="81" t="n">
        <v>100</v>
      </c>
    </row>
    <row r="226" ht="14" customHeight="1">
      <c r="A226" s="16" t="n">
        <v>2013</v>
      </c>
      <c r="B226" s="78">
        <f>((C226/D226)*E226)</f>
        <v/>
      </c>
      <c r="C226" s="79" t="n">
        <v>2461276.146</v>
      </c>
      <c r="D226" s="79" t="n">
        <v>10832088.71</v>
      </c>
      <c r="E226" s="79" t="n">
        <v>100</v>
      </c>
    </row>
    <row r="227" ht="14" customHeight="1">
      <c r="A227" s="23" t="n">
        <v>2014</v>
      </c>
      <c r="B227" s="80">
        <f>((C227/D227)*E227)</f>
        <v/>
      </c>
      <c r="C227" s="81" t="n">
        <v>2409216.082</v>
      </c>
      <c r="D227" s="81" t="n">
        <v>10350977.682</v>
      </c>
      <c r="E227" s="81" t="n">
        <v>100</v>
      </c>
    </row>
    <row r="228" ht="14" customHeight="1">
      <c r="A228" s="16" t="n">
        <v>2015</v>
      </c>
      <c r="B228" s="78">
        <f>((C228/D228)*E228)</f>
        <v/>
      </c>
      <c r="C228" s="79" t="n">
        <v>2449964.432</v>
      </c>
      <c r="D228" s="79" t="n">
        <v>10571485.683</v>
      </c>
      <c r="E228" s="79" t="n">
        <v>100</v>
      </c>
    </row>
    <row r="229" ht="14" customHeight="1">
      <c r="A229" s="23" t="n">
        <v>2016</v>
      </c>
      <c r="B229" s="80">
        <f>((C229/D229)*E229)</f>
        <v/>
      </c>
      <c r="C229" s="81" t="n">
        <v>2481183.966</v>
      </c>
      <c r="D229" s="81" t="n">
        <v>10784102.813</v>
      </c>
      <c r="E229" s="81" t="n">
        <v>100</v>
      </c>
    </row>
    <row r="230" ht="14" customHeight="1">
      <c r="A230" s="16" t="n">
        <v>2017</v>
      </c>
      <c r="B230" s="78">
        <f>((C230/D230)*E230)</f>
        <v/>
      </c>
      <c r="C230" s="79" t="n">
        <v>2505582.737</v>
      </c>
      <c r="D230" s="79" t="n">
        <v>10934153.267</v>
      </c>
      <c r="E230" s="79" t="n">
        <v>100</v>
      </c>
    </row>
    <row r="231" ht="14" customHeight="1">
      <c r="A231" s="23" t="n">
        <v>2018</v>
      </c>
      <c r="B231" s="80">
        <f>((C231/D231)*E231)</f>
        <v/>
      </c>
      <c r="C231" s="81" t="n">
        <v>2505721.003</v>
      </c>
      <c r="D231" s="81" t="n">
        <v>10957545.699</v>
      </c>
      <c r="E231" s="81" t="n">
        <v>100</v>
      </c>
    </row>
    <row r="232" ht="14" customHeight="1">
      <c r="A232" s="16" t="n">
        <v>2019</v>
      </c>
      <c r="B232" s="78">
        <f>((C232/D232)*E232)</f>
        <v/>
      </c>
      <c r="C232" s="79" t="n">
        <v>2478845.571</v>
      </c>
      <c r="D232" s="79" t="n">
        <v>10903199.973</v>
      </c>
      <c r="E232" s="79" t="n">
        <v>100</v>
      </c>
    </row>
    <row r="233" ht="14" customHeight="1">
      <c r="A233" s="23" t="n">
        <v>2020</v>
      </c>
      <c r="B233" s="80">
        <f>((C233/D233)*E233)</f>
        <v/>
      </c>
      <c r="C233" s="81" t="n">
        <v>2384326.183</v>
      </c>
      <c r="D233" s="81" t="n">
        <v>10293548.316</v>
      </c>
      <c r="E233" s="81" t="n">
        <v>100</v>
      </c>
    </row>
    <row r="234" ht="14" customHeight="1">
      <c r="A234" s="16" t="n">
        <v>2021</v>
      </c>
      <c r="B234" s="78">
        <f>((C234/D234)*E234)</f>
        <v/>
      </c>
      <c r="C234" s="79" t="n">
        <v>2487203.789</v>
      </c>
      <c r="D234" s="79" t="n">
        <v>10930884.652</v>
      </c>
      <c r="E234" s="79" t="n">
        <v>100</v>
      </c>
    </row>
    <row r="237">
      <c r="A237" s="84" t="inlineStr">
        <is>
          <t>O2 (FEC) · Final energy consumption (EU-27)  (TWh)</t>
        </is>
      </c>
    </row>
    <row r="238" ht="26" customHeight="1">
      <c r="A238" s="76" t="inlineStr">
        <is>
          <t>SAME DERIVATION AS THE REPORT — the report's own formula, with its own input columns refreshed from the same publisher for the later years. Nothing about the calculation changes across the join.</t>
        </is>
      </c>
    </row>
    <row r="239" ht="22" customHeight="1">
      <c r="A239" s="3" t="inlineStr">
        <is>
          <t>Refreshed for 2022, 2023, 2024: FEC (Mtoe)</t>
        </is>
      </c>
    </row>
    <row r="240" ht="24" customHeight="1">
      <c r="A240" s="3" t="inlineStr">
        <is>
          <t>Derivation:  Value = [FEC (Mtoe)] * [Mtoe → TWh]</t>
        </is>
      </c>
    </row>
    <row r="241" ht="42" customHeight="1">
      <c r="A241" s="77" t="inlineStr">
        <is>
          <t>Year</t>
        </is>
      </c>
      <c r="B241" s="77" t="inlineStr">
        <is>
          <t>Value</t>
        </is>
      </c>
      <c r="C241" s="77" t="inlineStr">
        <is>
          <t>FEC (Mtoe)</t>
        </is>
      </c>
      <c r="D241" s="77" t="inlineStr">
        <is>
          <t>Mtoe → TWh</t>
        </is>
      </c>
    </row>
    <row r="242" ht="14" customHeight="1">
      <c r="A242" s="16" t="n">
        <v>2005</v>
      </c>
      <c r="B242" s="78">
        <f>(C242*D242)</f>
        <v/>
      </c>
      <c r="C242" s="79" t="n">
        <v>1041.257368</v>
      </c>
      <c r="D242" s="79" t="n">
        <v>11.63</v>
      </c>
    </row>
    <row r="243" ht="14" customHeight="1">
      <c r="A243" s="23" t="n">
        <v>2006</v>
      </c>
      <c r="B243" s="80">
        <f>(C243*D243)</f>
        <v/>
      </c>
      <c r="C243" s="81" t="n">
        <v>1045.846092</v>
      </c>
      <c r="D243" s="81" t="n">
        <v>11.63</v>
      </c>
    </row>
    <row r="244" ht="14" customHeight="1">
      <c r="A244" s="16" t="n">
        <v>2007</v>
      </c>
      <c r="B244" s="78">
        <f>(C244*D244)</f>
        <v/>
      </c>
      <c r="C244" s="79" t="n">
        <v>1028.516726</v>
      </c>
      <c r="D244" s="79" t="n">
        <v>11.63</v>
      </c>
    </row>
    <row r="245" ht="14" customHeight="1">
      <c r="A245" s="23" t="n">
        <v>2008</v>
      </c>
      <c r="B245" s="80">
        <f>(C245*D245)</f>
        <v/>
      </c>
      <c r="C245" s="81" t="n">
        <v>1036.712465</v>
      </c>
      <c r="D245" s="81" t="n">
        <v>11.63</v>
      </c>
    </row>
    <row r="246" ht="14" customHeight="1">
      <c r="A246" s="16" t="n">
        <v>2009</v>
      </c>
      <c r="B246" s="78">
        <f>(C246*D246)</f>
        <v/>
      </c>
      <c r="C246" s="79" t="n">
        <v>980.8299129999999</v>
      </c>
      <c r="D246" s="79" t="n">
        <v>11.63</v>
      </c>
    </row>
    <row r="247" ht="14" customHeight="1">
      <c r="A247" s="23" t="n">
        <v>2010</v>
      </c>
      <c r="B247" s="80">
        <f>(C247*D247)</f>
        <v/>
      </c>
      <c r="C247" s="81" t="n">
        <v>1024.503136</v>
      </c>
      <c r="D247" s="81" t="n">
        <v>11.63</v>
      </c>
    </row>
    <row r="248" ht="14" customHeight="1">
      <c r="A248" s="16" t="n">
        <v>2011</v>
      </c>
      <c r="B248" s="78">
        <f>(C248*D248)</f>
        <v/>
      </c>
      <c r="C248" s="79" t="n">
        <v>984.6013909999999</v>
      </c>
      <c r="D248" s="79" t="n">
        <v>11.63</v>
      </c>
    </row>
    <row r="249" ht="14" customHeight="1">
      <c r="A249" s="23" t="n">
        <v>2012</v>
      </c>
      <c r="B249" s="80">
        <f>(C249*D249)</f>
        <v/>
      </c>
      <c r="C249" s="81" t="n">
        <v>982.5625729999999</v>
      </c>
      <c r="D249" s="81" t="n">
        <v>11.63</v>
      </c>
    </row>
    <row r="250" ht="14" customHeight="1">
      <c r="A250" s="16" t="n">
        <v>2013</v>
      </c>
      <c r="B250" s="78">
        <f>(C250*D250)</f>
        <v/>
      </c>
      <c r="C250" s="79" t="n">
        <v>980.3490159999999</v>
      </c>
      <c r="D250" s="79" t="n">
        <v>11.63</v>
      </c>
    </row>
    <row r="251" ht="14" customHeight="1">
      <c r="A251" s="23" t="n">
        <v>2014</v>
      </c>
      <c r="B251" s="80">
        <f>(C251*D251)</f>
        <v/>
      </c>
      <c r="C251" s="81" t="n">
        <v>938.785753</v>
      </c>
      <c r="D251" s="81" t="n">
        <v>11.63</v>
      </c>
    </row>
    <row r="252" ht="14" customHeight="1">
      <c r="A252" s="16" t="n">
        <v>2015</v>
      </c>
      <c r="B252" s="78">
        <f>(C252*D252)</f>
        <v/>
      </c>
      <c r="C252" s="79" t="n">
        <v>957.870041</v>
      </c>
      <c r="D252" s="79" t="n">
        <v>11.63</v>
      </c>
    </row>
    <row r="253" ht="14" customHeight="1">
      <c r="A253" s="23" t="n">
        <v>2016</v>
      </c>
      <c r="B253" s="80">
        <f>(C253*D253)</f>
        <v/>
      </c>
      <c r="C253" s="81" t="n">
        <v>976.8839250000001</v>
      </c>
      <c r="D253" s="81" t="n">
        <v>11.63</v>
      </c>
    </row>
    <row r="254" ht="14" customHeight="1">
      <c r="A254" s="16" t="n">
        <v>2017</v>
      </c>
      <c r="B254" s="78">
        <f>(C254*D254)</f>
        <v/>
      </c>
      <c r="C254" s="79" t="n">
        <v>989.0002589999999</v>
      </c>
      <c r="D254" s="79" t="n">
        <v>11.63</v>
      </c>
    </row>
    <row r="255" ht="14" customHeight="1">
      <c r="A255" s="23" t="n">
        <v>2018</v>
      </c>
      <c r="B255" s="80">
        <f>(C255*D255)</f>
        <v/>
      </c>
      <c r="C255" s="81" t="n">
        <v>991.5633220000001</v>
      </c>
      <c r="D255" s="81" t="n">
        <v>11.63</v>
      </c>
    </row>
    <row r="256" ht="14" customHeight="1">
      <c r="A256" s="16" t="n">
        <v>2019</v>
      </c>
      <c r="B256" s="78">
        <f>(C256*D256)</f>
        <v/>
      </c>
      <c r="C256" s="79" t="n">
        <v>985.968015</v>
      </c>
      <c r="D256" s="79" t="n">
        <v>11.63</v>
      </c>
    </row>
    <row r="257" ht="14" customHeight="1">
      <c r="A257" s="23" t="n">
        <v>2020</v>
      </c>
      <c r="B257" s="80">
        <f>(C257*D257)</f>
        <v/>
      </c>
      <c r="C257" s="81" t="n">
        <v>906.253179</v>
      </c>
      <c r="D257" s="81" t="n">
        <v>11.63</v>
      </c>
    </row>
    <row r="258" ht="14" customHeight="1">
      <c r="A258" s="16" t="n">
        <v>2021</v>
      </c>
      <c r="B258" s="78">
        <f>(C258*D258)</f>
        <v/>
      </c>
      <c r="C258" s="79" t="n">
        <v>968.426336</v>
      </c>
      <c r="D258" s="79" t="n">
        <v>11.63</v>
      </c>
    </row>
    <row r="259" ht="14" customHeight="1">
      <c r="A259" s="23" t="n">
        <v>2022</v>
      </c>
      <c r="B259" s="80">
        <f>(C259*D259)</f>
        <v/>
      </c>
      <c r="C259" s="81" t="n">
        <v>920.4400000000001</v>
      </c>
      <c r="D259" s="81" t="n">
        <v>11.63</v>
      </c>
    </row>
    <row r="260" ht="14" customHeight="1">
      <c r="A260" s="16" t="n">
        <v>2023</v>
      </c>
      <c r="B260" s="78">
        <f>(C260*D260)</f>
        <v/>
      </c>
      <c r="C260" s="79" t="n">
        <v>893.27</v>
      </c>
      <c r="D260" s="79" t="n">
        <v>11.63</v>
      </c>
    </row>
    <row r="261" ht="14" customHeight="1">
      <c r="A261" s="23" t="n">
        <v>2024</v>
      </c>
      <c r="B261" s="80">
        <f>(C261*D261)</f>
        <v/>
      </c>
      <c r="C261" s="81" t="n">
        <v>900.41</v>
      </c>
      <c r="D261" s="81" t="n">
        <v>11.63</v>
      </c>
    </row>
    <row r="264">
      <c r="A264" s="84" t="inlineStr">
        <is>
          <t>O2 (PEC) · Primary energy consumption (EU-27)  (TWh)</t>
        </is>
      </c>
    </row>
    <row r="265" ht="26" customHeight="1">
      <c r="A265" s="76" t="inlineStr">
        <is>
          <t>SAME DERIVATION AS THE REPORT — the report's own formula, with its own input columns refreshed from the same publisher for the later years. Nothing about the calculation changes across the join.</t>
        </is>
      </c>
    </row>
    <row r="266" ht="22" customHeight="1">
      <c r="A266" s="3" t="inlineStr">
        <is>
          <t>Refreshed for 2022, 2023, 2024: PEC (Mtoe)</t>
        </is>
      </c>
    </row>
    <row r="267" ht="24" customHeight="1">
      <c r="A267" s="3" t="inlineStr">
        <is>
          <t>Derivation:  Value = [PEC (Mtoe)] * [Mtoe → TWh]</t>
        </is>
      </c>
    </row>
    <row r="268" ht="42" customHeight="1">
      <c r="A268" s="77" t="inlineStr">
        <is>
          <t>Year</t>
        </is>
      </c>
      <c r="B268" s="77" t="inlineStr">
        <is>
          <t>Value</t>
        </is>
      </c>
      <c r="C268" s="77" t="inlineStr">
        <is>
          <t>PEC (Mtoe)</t>
        </is>
      </c>
      <c r="D268" s="77" t="inlineStr">
        <is>
          <t>Mtoe → TWh</t>
        </is>
      </c>
    </row>
    <row r="269" ht="14" customHeight="1">
      <c r="A269" s="16" t="n">
        <v>2005</v>
      </c>
      <c r="B269" s="78">
        <f>(C269*D269)</f>
        <v/>
      </c>
      <c r="C269" s="79" t="n">
        <v>1497.759101</v>
      </c>
      <c r="D269" s="79" t="n">
        <v>11.63</v>
      </c>
    </row>
    <row r="270" ht="14" customHeight="1">
      <c r="A270" s="23" t="n">
        <v>2006</v>
      </c>
      <c r="B270" s="80">
        <f>(C270*D270)</f>
        <v/>
      </c>
      <c r="C270" s="81" t="n">
        <v>1511.018519</v>
      </c>
      <c r="D270" s="81" t="n">
        <v>11.63</v>
      </c>
    </row>
    <row r="271" ht="14" customHeight="1">
      <c r="A271" s="16" t="n">
        <v>2007</v>
      </c>
      <c r="B271" s="78">
        <f>(C271*D271)</f>
        <v/>
      </c>
      <c r="C271" s="79" t="n">
        <v>1490.164968</v>
      </c>
      <c r="D271" s="79" t="n">
        <v>11.63</v>
      </c>
    </row>
    <row r="272" ht="14" customHeight="1">
      <c r="A272" s="23" t="n">
        <v>2008</v>
      </c>
      <c r="B272" s="80">
        <f>(C272*D272)</f>
        <v/>
      </c>
      <c r="C272" s="81" t="n">
        <v>1488.763745</v>
      </c>
      <c r="D272" s="81" t="n">
        <v>11.63</v>
      </c>
    </row>
    <row r="273" ht="14" customHeight="1">
      <c r="A273" s="16" t="n">
        <v>2009</v>
      </c>
      <c r="B273" s="78">
        <f>(C273*D273)</f>
        <v/>
      </c>
      <c r="C273" s="79" t="n">
        <v>1403.207705</v>
      </c>
      <c r="D273" s="79" t="n">
        <v>11.63</v>
      </c>
    </row>
    <row r="274" ht="14" customHeight="1">
      <c r="A274" s="23" t="n">
        <v>2010</v>
      </c>
      <c r="B274" s="80">
        <f>(C274*D274)</f>
        <v/>
      </c>
      <c r="C274" s="81" t="n">
        <v>1457.55401</v>
      </c>
      <c r="D274" s="81" t="n">
        <v>11.63</v>
      </c>
    </row>
    <row r="275" ht="14" customHeight="1">
      <c r="A275" s="16" t="n">
        <v>2011</v>
      </c>
      <c r="B275" s="78">
        <f>(C275*D275)</f>
        <v/>
      </c>
      <c r="C275" s="79" t="n">
        <v>1412.129338</v>
      </c>
      <c r="D275" s="79" t="n">
        <v>11.63</v>
      </c>
    </row>
    <row r="276" ht="14" customHeight="1">
      <c r="A276" s="23" t="n">
        <v>2012</v>
      </c>
      <c r="B276" s="80">
        <f>(C276*D276)</f>
        <v/>
      </c>
      <c r="C276" s="81" t="n">
        <v>1396.182626</v>
      </c>
      <c r="D276" s="81" t="n">
        <v>11.63</v>
      </c>
    </row>
    <row r="277" ht="14" customHeight="1">
      <c r="A277" s="16" t="n">
        <v>2013</v>
      </c>
      <c r="B277" s="78">
        <f>(C277*D277)</f>
        <v/>
      </c>
      <c r="C277" s="79" t="n">
        <v>1384.150057</v>
      </c>
      <c r="D277" s="79" t="n">
        <v>11.63</v>
      </c>
    </row>
    <row r="278" ht="14" customHeight="1">
      <c r="A278" s="23" t="n">
        <v>2014</v>
      </c>
      <c r="B278" s="80">
        <f>(C278*D278)</f>
        <v/>
      </c>
      <c r="C278" s="81" t="n">
        <v>1330.45645</v>
      </c>
      <c r="D278" s="81" t="n">
        <v>11.63</v>
      </c>
    </row>
    <row r="279" ht="14" customHeight="1">
      <c r="A279" s="16" t="n">
        <v>2015</v>
      </c>
      <c r="B279" s="78">
        <f>(C279*D279)</f>
        <v/>
      </c>
      <c r="C279" s="79" t="n">
        <v>1352.70504</v>
      </c>
      <c r="D279" s="79" t="n">
        <v>11.63</v>
      </c>
    </row>
    <row r="280" ht="14" customHeight="1">
      <c r="A280" s="23" t="n">
        <v>2016</v>
      </c>
      <c r="B280" s="80">
        <f>(C280*D280)</f>
        <v/>
      </c>
      <c r="C280" s="81" t="n">
        <v>1364.069118</v>
      </c>
      <c r="D280" s="81" t="n">
        <v>11.63</v>
      </c>
    </row>
    <row r="281" ht="14" customHeight="1">
      <c r="A281" s="16" t="n">
        <v>2017</v>
      </c>
      <c r="B281" s="78">
        <f>(C281*D281)</f>
        <v/>
      </c>
      <c r="C281" s="79" t="n">
        <v>1383.798104</v>
      </c>
      <c r="D281" s="79" t="n">
        <v>11.63</v>
      </c>
    </row>
    <row r="282" ht="14" customHeight="1">
      <c r="A282" s="23" t="n">
        <v>2018</v>
      </c>
      <c r="B282" s="80">
        <f>(C282*D282)</f>
        <v/>
      </c>
      <c r="C282" s="81" t="n">
        <v>1377.339165</v>
      </c>
      <c r="D282" s="81" t="n">
        <v>11.63</v>
      </c>
    </row>
    <row r="283" ht="14" customHeight="1">
      <c r="A283" s="16" t="n">
        <v>2019</v>
      </c>
      <c r="B283" s="78">
        <f>(C283*D283)</f>
        <v/>
      </c>
      <c r="C283" s="79" t="n">
        <v>1354.076044</v>
      </c>
      <c r="D283" s="79" t="n">
        <v>11.63</v>
      </c>
    </row>
    <row r="284" ht="14" customHeight="1">
      <c r="A284" s="23" t="n">
        <v>2020</v>
      </c>
      <c r="B284" s="80">
        <f>(C284*D284)</f>
        <v/>
      </c>
      <c r="C284" s="81" t="n">
        <v>1235.780674</v>
      </c>
      <c r="D284" s="81" t="n">
        <v>11.63</v>
      </c>
    </row>
    <row r="285" ht="14" customHeight="1">
      <c r="A285" s="16" t="n">
        <v>2021</v>
      </c>
      <c r="B285" s="78">
        <f>(C285*D285)</f>
        <v/>
      </c>
      <c r="C285" s="79" t="n">
        <v>1311.113312</v>
      </c>
      <c r="D285" s="79" t="n">
        <v>11.63</v>
      </c>
    </row>
    <row r="286" ht="14" customHeight="1">
      <c r="A286" s="23" t="n">
        <v>2022</v>
      </c>
      <c r="B286" s="80">
        <f>(C286*D286)</f>
        <v/>
      </c>
      <c r="C286" s="81" t="n">
        <v>1259.22</v>
      </c>
      <c r="D286" s="81" t="n">
        <v>11.63</v>
      </c>
    </row>
    <row r="287" ht="14" customHeight="1">
      <c r="A287" s="16" t="n">
        <v>2023</v>
      </c>
      <c r="B287" s="78">
        <f>(C287*D287)</f>
        <v/>
      </c>
      <c r="C287" s="79" t="n">
        <v>1207.67</v>
      </c>
      <c r="D287" s="79" t="n">
        <v>11.63</v>
      </c>
    </row>
    <row r="288" ht="14" customHeight="1">
      <c r="A288" s="23" t="n">
        <v>2024</v>
      </c>
      <c r="B288" s="80">
        <f>(C288*D288)</f>
        <v/>
      </c>
      <c r="C288" s="81" t="n">
        <v>1193.72</v>
      </c>
      <c r="D288" s="81" t="n">
        <v>11.63</v>
      </c>
    </row>
    <row r="291">
      <c r="A291" s="84" t="inlineStr">
        <is>
          <t>O3 · Gross inland energy consumption (EU-27)  (TWh)</t>
        </is>
      </c>
    </row>
    <row r="292" ht="26" customHeight="1">
      <c r="A292" s="76" t="inlineStr">
        <is>
          <t>SAME DERIVATION AS THE REPORT — the report's own formula, with its own input columns refreshed from the same publisher for the later years. Nothing about the calculation changes across the join.</t>
        </is>
      </c>
    </row>
    <row r="293" ht="22" customHeight="1">
      <c r="A293" s="3" t="inlineStr">
        <is>
          <t>Refreshed for 2022, 2023: Gross inland (ktoe)</t>
        </is>
      </c>
    </row>
    <row r="294" ht="24" customHeight="1">
      <c r="A294" s="3" t="inlineStr">
        <is>
          <t>Derivation:  Value = [Gross inland (ktoe)] * [ktoe → TWh]</t>
        </is>
      </c>
    </row>
    <row r="295" ht="42" customHeight="1">
      <c r="A295" s="77" t="inlineStr">
        <is>
          <t>Year</t>
        </is>
      </c>
      <c r="B295" s="77" t="inlineStr">
        <is>
          <t>Value</t>
        </is>
      </c>
      <c r="C295" s="77" t="inlineStr">
        <is>
          <t>Gross inland (ktoe)</t>
        </is>
      </c>
      <c r="D295" s="77" t="inlineStr">
        <is>
          <t>ktoe → TWh</t>
        </is>
      </c>
    </row>
    <row r="296" ht="14" customHeight="1">
      <c r="A296" s="16" t="n">
        <v>2005</v>
      </c>
      <c r="B296" s="78">
        <f>(C296*D296)</f>
        <v/>
      </c>
      <c r="C296" s="79" t="n">
        <v>1603791.592</v>
      </c>
      <c r="D296" s="79" t="n">
        <v>0.01163</v>
      </c>
    </row>
    <row r="297" ht="14" customHeight="1">
      <c r="A297" s="23" t="n">
        <v>2006</v>
      </c>
      <c r="B297" s="80">
        <f>(C297*D297)</f>
        <v/>
      </c>
      <c r="C297" s="81" t="n">
        <v>1617264.749</v>
      </c>
      <c r="D297" s="81" t="n">
        <v>0.01163</v>
      </c>
    </row>
    <row r="298" ht="14" customHeight="1">
      <c r="A298" s="16" t="n">
        <v>2007</v>
      </c>
      <c r="B298" s="78">
        <f>(C298*D298)</f>
        <v/>
      </c>
      <c r="C298" s="79" t="n">
        <v>1596724.141</v>
      </c>
      <c r="D298" s="79" t="n">
        <v>0.01163</v>
      </c>
    </row>
    <row r="299" ht="14" customHeight="1">
      <c r="A299" s="23" t="n">
        <v>2008</v>
      </c>
      <c r="B299" s="80">
        <f>(C299*D299)</f>
        <v/>
      </c>
      <c r="C299" s="81" t="n">
        <v>1592798.076</v>
      </c>
      <c r="D299" s="81" t="n">
        <v>0.01163</v>
      </c>
    </row>
    <row r="300" ht="14" customHeight="1">
      <c r="A300" s="16" t="n">
        <v>2009</v>
      </c>
      <c r="B300" s="78">
        <f>(C300*D300)</f>
        <v/>
      </c>
      <c r="C300" s="79" t="n">
        <v>1498735.408</v>
      </c>
      <c r="D300" s="79" t="n">
        <v>0.01163</v>
      </c>
    </row>
    <row r="301" ht="14" customHeight="1">
      <c r="A301" s="23" t="n">
        <v>2010</v>
      </c>
      <c r="B301" s="80">
        <f>(C301*D301)</f>
        <v/>
      </c>
      <c r="C301" s="81" t="n">
        <v>1558965.547</v>
      </c>
      <c r="D301" s="81" t="n">
        <v>0.01163</v>
      </c>
    </row>
    <row r="302" ht="14" customHeight="1">
      <c r="A302" s="16" t="n">
        <v>2011</v>
      </c>
      <c r="B302" s="78">
        <f>(C302*D302)</f>
        <v/>
      </c>
      <c r="C302" s="79" t="n">
        <v>1513097.724</v>
      </c>
      <c r="D302" s="79" t="n">
        <v>0.01163</v>
      </c>
    </row>
    <row r="303" ht="14" customHeight="1">
      <c r="A303" s="23" t="n">
        <v>2012</v>
      </c>
      <c r="B303" s="80">
        <f>(C303*D303)</f>
        <v/>
      </c>
      <c r="C303" s="81" t="n">
        <v>1493743.176</v>
      </c>
      <c r="D303" s="81" t="n">
        <v>0.01163</v>
      </c>
    </row>
    <row r="304" ht="14" customHeight="1">
      <c r="A304" s="16" t="n">
        <v>2013</v>
      </c>
      <c r="B304" s="78">
        <f>(C304*D304)</f>
        <v/>
      </c>
      <c r="C304" s="79" t="n">
        <v>1478955.067</v>
      </c>
      <c r="D304" s="79" t="n">
        <v>0.01163</v>
      </c>
    </row>
    <row r="305" ht="14" customHeight="1">
      <c r="A305" s="23" t="n">
        <v>2014</v>
      </c>
      <c r="B305" s="80">
        <f>(C305*D305)</f>
        <v/>
      </c>
      <c r="C305" s="81" t="n">
        <v>1428215.209</v>
      </c>
      <c r="D305" s="81" t="n">
        <v>0.01163</v>
      </c>
    </row>
    <row r="306" ht="14" customHeight="1">
      <c r="A306" s="16" t="n">
        <v>2015</v>
      </c>
      <c r="B306" s="78">
        <f>(C306*D306)</f>
        <v/>
      </c>
      <c r="C306" s="79" t="n">
        <v>1448169.923</v>
      </c>
      <c r="D306" s="79" t="n">
        <v>0.01163</v>
      </c>
    </row>
    <row r="307" ht="14" customHeight="1">
      <c r="A307" s="23" t="n">
        <v>2016</v>
      </c>
      <c r="B307" s="80">
        <f>(C307*D307)</f>
        <v/>
      </c>
      <c r="C307" s="81" t="n">
        <v>1460169.976</v>
      </c>
      <c r="D307" s="81" t="n">
        <v>0.01163</v>
      </c>
    </row>
    <row r="308" ht="14" customHeight="1">
      <c r="A308" s="16" t="n">
        <v>2017</v>
      </c>
      <c r="B308" s="78">
        <f>(C308*D308)</f>
        <v/>
      </c>
      <c r="C308" s="79" t="n">
        <v>1490808.62</v>
      </c>
      <c r="D308" s="79" t="n">
        <v>0.01163</v>
      </c>
    </row>
    <row r="309" ht="14" customHeight="1">
      <c r="A309" s="23" t="n">
        <v>2018</v>
      </c>
      <c r="B309" s="80">
        <f>(C309*D309)</f>
        <v/>
      </c>
      <c r="C309" s="81" t="n">
        <v>1481330.978</v>
      </c>
      <c r="D309" s="81" t="n">
        <v>0.01163</v>
      </c>
    </row>
    <row r="310" ht="14" customHeight="1">
      <c r="A310" s="16" t="n">
        <v>2019</v>
      </c>
      <c r="B310" s="78">
        <f>(C310*D310)</f>
        <v/>
      </c>
      <c r="C310" s="79" t="n">
        <v>1458297.436</v>
      </c>
      <c r="D310" s="79" t="n">
        <v>0.01163</v>
      </c>
    </row>
    <row r="311" ht="14" customHeight="1">
      <c r="A311" s="23" t="n">
        <v>2020</v>
      </c>
      <c r="B311" s="80">
        <f>(C311*D311)</f>
        <v/>
      </c>
      <c r="C311" s="81" t="n">
        <v>1340095.609</v>
      </c>
      <c r="D311" s="81" t="n">
        <v>0.01163</v>
      </c>
    </row>
    <row r="312" ht="14" customHeight="1">
      <c r="A312" s="16" t="n">
        <v>2021</v>
      </c>
      <c r="B312" s="78">
        <f>(C312*D312)</f>
        <v/>
      </c>
      <c r="C312" s="79" t="n">
        <v>1421666.07</v>
      </c>
      <c r="D312" s="79" t="n">
        <v>0.01163</v>
      </c>
    </row>
    <row r="313" ht="14" customHeight="1">
      <c r="A313" s="23" t="n">
        <v>2022</v>
      </c>
      <c r="B313" s="80">
        <f>(C313*D313)</f>
        <v/>
      </c>
      <c r="C313" s="81" t="n">
        <v>1354389.897</v>
      </c>
      <c r="D313" s="81" t="n">
        <v>0.01163</v>
      </c>
    </row>
    <row r="314" ht="14" customHeight="1">
      <c r="A314" s="16" t="n">
        <v>2023</v>
      </c>
      <c r="B314" s="78">
        <f>(C314*D314)</f>
        <v/>
      </c>
      <c r="C314" s="79" t="n">
        <v>1299325.698</v>
      </c>
      <c r="D314" s="79" t="n">
        <v>0.01163</v>
      </c>
    </row>
    <row r="317">
      <c r="A317" s="85" t="inlineStr">
        <is>
          <t>I1 · Industrial GHG emissions  (Mt CO₂eq)</t>
        </is>
      </c>
    </row>
    <row r="318" ht="26" customHeight="1">
      <c r="A318" s="76" t="inlineStr">
        <is>
          <t>SAME DERIVATION AS THE REPORT — the report's own formula, with its own input columns refreshed from the same publisher for the later years. Nothing about the calculation changes across the join.</t>
        </is>
      </c>
    </row>
    <row r="319" ht="22" customHeight="1">
      <c r="A319" s="3" t="inlineStr">
        <is>
          <t>Refreshed for 2023, 2024: 1.A.2 - Manufacturing Industries and Construction, 2 - Industrial Processes and Product Use</t>
        </is>
      </c>
    </row>
    <row r="320" ht="24" customHeight="1">
      <c r="A320" s="3" t="inlineStr">
        <is>
          <t>Derivation:  Value = ([1.A.2 - Manufacturing Industries and Construction]+[2 - Industrial Processes and Product Use])/1000</t>
        </is>
      </c>
    </row>
    <row r="321" ht="42" customHeight="1">
      <c r="A321" s="77" t="inlineStr">
        <is>
          <t>Year</t>
        </is>
      </c>
      <c r="B321" s="77" t="inlineStr">
        <is>
          <t>Value</t>
        </is>
      </c>
      <c r="C321" s="77" t="inlineStr">
        <is>
          <t>1.A.2 - Manufacturing Industries and Construction</t>
        </is>
      </c>
      <c r="D321" s="77" t="inlineStr">
        <is>
          <t>2 - Industrial Processes and Product Use</t>
        </is>
      </c>
    </row>
    <row r="322" ht="14" customHeight="1">
      <c r="A322" s="16" t="n">
        <v>2005</v>
      </c>
      <c r="B322" s="78">
        <f>((C322+D322)/1000)</f>
        <v/>
      </c>
      <c r="C322" s="79" t="n">
        <v>556523.7994334318</v>
      </c>
      <c r="D322" s="79" t="n">
        <v>424749.9573243055</v>
      </c>
    </row>
    <row r="323" ht="14" customHeight="1">
      <c r="A323" s="23" t="n">
        <v>2006</v>
      </c>
      <c r="B323" s="80">
        <f>((C323+D323)/1000)</f>
        <v/>
      </c>
      <c r="C323" s="81" t="n">
        <v>546025.3443937633</v>
      </c>
      <c r="D323" s="81" t="n">
        <v>427761.119956169</v>
      </c>
    </row>
    <row r="324" ht="14" customHeight="1">
      <c r="A324" s="16" t="n">
        <v>2007</v>
      </c>
      <c r="B324" s="78">
        <f>((C324+D324)/1000)</f>
        <v/>
      </c>
      <c r="C324" s="79" t="n">
        <v>558821.7373136887</v>
      </c>
      <c r="D324" s="79" t="n">
        <v>436796.397234523</v>
      </c>
    </row>
    <row r="325" ht="14" customHeight="1">
      <c r="A325" s="23" t="n">
        <v>2008</v>
      </c>
      <c r="B325" s="80">
        <f>((C325+D325)/1000)</f>
        <v/>
      </c>
      <c r="C325" s="81" t="n">
        <v>539298.5581894323</v>
      </c>
      <c r="D325" s="81" t="n">
        <v>413039.8886742173</v>
      </c>
    </row>
    <row r="326" ht="14" customHeight="1">
      <c r="A326" s="16" t="n">
        <v>2009</v>
      </c>
      <c r="B326" s="78">
        <f>((C326+D326)/1000)</f>
        <v/>
      </c>
      <c r="C326" s="79" t="n">
        <v>447681.1654271635</v>
      </c>
      <c r="D326" s="79" t="n">
        <v>341747.1408288951</v>
      </c>
    </row>
    <row r="327" ht="14" customHeight="1">
      <c r="A327" s="23" t="n">
        <v>2010</v>
      </c>
      <c r="B327" s="80">
        <f>((C327+D327)/1000)</f>
        <v/>
      </c>
      <c r="C327" s="81" t="n">
        <v>480724.9666168753</v>
      </c>
      <c r="D327" s="81" t="n">
        <v>358089.4760762021</v>
      </c>
    </row>
    <row r="328" ht="14" customHeight="1">
      <c r="A328" s="16" t="n">
        <v>2011</v>
      </c>
      <c r="B328" s="78">
        <f>((C328+D328)/1000)</f>
        <v/>
      </c>
      <c r="C328" s="79" t="n">
        <v>468688.8421073754</v>
      </c>
      <c r="D328" s="79" t="n">
        <v>357464.6123107264</v>
      </c>
    </row>
    <row r="329" ht="14" customHeight="1">
      <c r="A329" s="23" t="n">
        <v>2012</v>
      </c>
      <c r="B329" s="80">
        <f>((C329+D329)/1000)</f>
        <v/>
      </c>
      <c r="C329" s="81" t="n">
        <v>450892.5625642318</v>
      </c>
      <c r="D329" s="81" t="n">
        <v>344777.8719775737</v>
      </c>
    </row>
    <row r="330" ht="14" customHeight="1">
      <c r="A330" s="16" t="n">
        <v>2013</v>
      </c>
      <c r="B330" s="78">
        <f>((C330+D330)/1000)</f>
        <v/>
      </c>
      <c r="C330" s="79" t="n">
        <v>432830.4669897874</v>
      </c>
      <c r="D330" s="79" t="n">
        <v>342701.8740429208</v>
      </c>
    </row>
    <row r="331" ht="14" customHeight="1">
      <c r="A331" s="23" t="n">
        <v>2014</v>
      </c>
      <c r="B331" s="80">
        <f>((C331+D331)/1000)</f>
        <v/>
      </c>
      <c r="C331" s="81" t="n">
        <v>419987.1953761611</v>
      </c>
      <c r="D331" s="81" t="n">
        <v>349178.2009048872</v>
      </c>
    </row>
    <row r="332" ht="14" customHeight="1">
      <c r="A332" s="16" t="n">
        <v>2015</v>
      </c>
      <c r="B332" s="78">
        <f>((C332+D332)/1000)</f>
        <v/>
      </c>
      <c r="C332" s="79" t="n">
        <v>428994.7046756293</v>
      </c>
      <c r="D332" s="79" t="n">
        <v>339854.3406348636</v>
      </c>
    </row>
    <row r="333" ht="14" customHeight="1">
      <c r="A333" s="23" t="n">
        <v>2016</v>
      </c>
      <c r="B333" s="80">
        <f>((C333+D333)/1000)</f>
        <v/>
      </c>
      <c r="C333" s="81" t="n">
        <v>434138.4673306638</v>
      </c>
      <c r="D333" s="81" t="n">
        <v>342081.2033069766</v>
      </c>
    </row>
    <row r="334" ht="14" customHeight="1">
      <c r="A334" s="16" t="n">
        <v>2017</v>
      </c>
      <c r="B334" s="78">
        <f>((C334+D334)/1000)</f>
        <v/>
      </c>
      <c r="C334" s="79" t="n">
        <v>441345.5467568766</v>
      </c>
      <c r="D334" s="79" t="n">
        <v>349690.552885406</v>
      </c>
    </row>
    <row r="335" ht="14" customHeight="1">
      <c r="A335" s="23" t="n">
        <v>2018</v>
      </c>
      <c r="B335" s="80">
        <f>((C335+D335)/1000)</f>
        <v/>
      </c>
      <c r="C335" s="81" t="n">
        <v>442369.9182363944</v>
      </c>
      <c r="D335" s="81" t="n">
        <v>342906.689601974</v>
      </c>
    </row>
    <row r="336" ht="14" customHeight="1">
      <c r="A336" s="16" t="n">
        <v>2019</v>
      </c>
      <c r="B336" s="78">
        <f>((C336+D336)/1000)</f>
        <v/>
      </c>
      <c r="C336" s="79" t="n">
        <v>428579.8953015269</v>
      </c>
      <c r="D336" s="79" t="n">
        <v>331548.2341144778</v>
      </c>
    </row>
    <row r="337" ht="14" customHeight="1">
      <c r="A337" s="23" t="n">
        <v>2020</v>
      </c>
      <c r="B337" s="80">
        <f>((C337+D337)/1000)</f>
        <v/>
      </c>
      <c r="C337" s="81" t="n">
        <v>412771.8756989454</v>
      </c>
      <c r="D337" s="81" t="n">
        <v>306828.453320871</v>
      </c>
    </row>
    <row r="338" ht="14" customHeight="1">
      <c r="A338" s="16" t="n">
        <v>2021</v>
      </c>
      <c r="B338" s="78">
        <f>((C338+D338)/1000)</f>
        <v/>
      </c>
      <c r="C338" s="79" t="n">
        <v>439540.132456479</v>
      </c>
      <c r="D338" s="79" t="n">
        <v>317933.961339561</v>
      </c>
    </row>
    <row r="339" ht="14" customHeight="1">
      <c r="A339" s="23" t="n">
        <v>2022</v>
      </c>
      <c r="B339" s="80">
        <f>((C339+D339)/1000)</f>
        <v/>
      </c>
      <c r="C339" s="81" t="n">
        <v>398202.32207</v>
      </c>
      <c r="D339" s="81" t="n">
        <v>293126.49118</v>
      </c>
    </row>
    <row r="340" ht="14" customHeight="1">
      <c r="A340" s="16" t="n">
        <v>2023</v>
      </c>
      <c r="B340" s="78">
        <f>((C340+D340)/1000)</f>
        <v/>
      </c>
      <c r="C340" s="79" t="n">
        <v>358770.37</v>
      </c>
      <c r="D340" s="79" t="n">
        <v>263328.47</v>
      </c>
    </row>
    <row r="341" ht="14" customHeight="1">
      <c r="A341" s="23" t="n">
        <v>2024</v>
      </c>
      <c r="B341" s="80">
        <f>((C341+D341)/1000)</f>
        <v/>
      </c>
      <c r="C341" s="81" t="n">
        <v>351562.16</v>
      </c>
      <c r="D341" s="81" t="n">
        <v>259866.27</v>
      </c>
    </row>
    <row r="344">
      <c r="A344" s="85" t="inlineStr">
        <is>
          <t>I2 (cement, production) · Cement production (EU)  (Mt)</t>
        </is>
      </c>
    </row>
    <row r="345" ht="26" customHeight="1">
      <c r="A345" s="83" t="inlineStr">
        <is>
          <t>NOT the report's derivation for the later years — the formula switches by year to a different recipe, because the report's own inputs have no feed. The two halves of this series are not computed the same way.</t>
        </is>
      </c>
    </row>
    <row r="346" ht="24" customHeight="1">
      <c r="A346" s="3" t="inlineStr">
        <is>
          <t>Derivation:  Value = IF(A &gt;= 2022, ROUND([Report baseline 2021 (Mt)] * [sts_inpr_a C235] / [Live source at 2021 (same basis as the columns left)], 1), [Report figure (2024 report underlying data)])</t>
        </is>
      </c>
    </row>
    <row r="347" ht="42" customHeight="1">
      <c r="A347" s="77" t="inlineStr">
        <is>
          <t>Year</t>
        </is>
      </c>
      <c r="B347" s="77" t="inlineStr">
        <is>
          <t>Value</t>
        </is>
      </c>
      <c r="C347" s="77" t="inlineStr">
        <is>
          <t>Report figure (2024 report underlying data)</t>
        </is>
      </c>
      <c r="D347" s="77" t="inlineStr">
        <is>
          <t>sts_inpr_a C235</t>
        </is>
      </c>
      <c r="E347" s="77" t="inlineStr">
        <is>
          <t>Report baseline 2021 (Mt)</t>
        </is>
      </c>
      <c r="F347" s="77" t="inlineStr">
        <is>
          <t>Live source at 2021 (same basis as the columns left)</t>
        </is>
      </c>
    </row>
    <row r="348" ht="14" customHeight="1">
      <c r="A348" s="16" t="n">
        <v>2005</v>
      </c>
      <c r="B348" s="78">
        <f>IF((A348&gt;=2022),ROUND(((E348*D348)/F348),1),C348)</f>
        <v/>
      </c>
      <c r="C348" s="79" t="n">
        <v>239.5</v>
      </c>
      <c r="D348" s="79" t="n"/>
      <c r="E348" s="79" t="n"/>
      <c r="F348" s="79" t="n"/>
    </row>
    <row r="349" ht="14" customHeight="1">
      <c r="A349" s="23" t="n">
        <v>2006</v>
      </c>
      <c r="B349" s="80">
        <f>IF((A349&gt;=2022),ROUND(((E349*D349)/F349),1),C349)</f>
        <v/>
      </c>
      <c r="C349" s="81" t="n">
        <v>256.2</v>
      </c>
      <c r="D349" s="81" t="n"/>
      <c r="E349" s="81" t="n"/>
      <c r="F349" s="81" t="n"/>
    </row>
    <row r="350" ht="14" customHeight="1">
      <c r="A350" s="16" t="n">
        <v>2007</v>
      </c>
      <c r="B350" s="78">
        <f>IF((A350&gt;=2022),ROUND(((E350*D350)/F350),1),C350)</f>
        <v/>
      </c>
      <c r="C350" s="79" t="n">
        <v>261.8</v>
      </c>
      <c r="D350" s="79" t="n"/>
      <c r="E350" s="79" t="n"/>
      <c r="F350" s="79" t="n"/>
    </row>
    <row r="351" ht="14" customHeight="1">
      <c r="A351" s="23" t="n">
        <v>2008</v>
      </c>
      <c r="B351" s="80">
        <f>IF((A351&gt;=2022),ROUND(((E351*D351)/F351),1),C351)</f>
        <v/>
      </c>
      <c r="C351" s="81" t="n">
        <v>244.4</v>
      </c>
      <c r="D351" s="81" t="n"/>
      <c r="E351" s="81" t="n"/>
      <c r="F351" s="81" t="n"/>
    </row>
    <row r="352" ht="14" customHeight="1">
      <c r="A352" s="16" t="n">
        <v>2009</v>
      </c>
      <c r="B352" s="78">
        <f>IF((A352&gt;=2022),ROUND(((E352*D352)/F352),1),C352)</f>
        <v/>
      </c>
      <c r="C352" s="79" t="n">
        <v>197.9</v>
      </c>
      <c r="D352" s="79" t="n"/>
      <c r="E352" s="79" t="n"/>
      <c r="F352" s="79" t="n"/>
    </row>
    <row r="353" ht="14" customHeight="1">
      <c r="A353" s="23" t="n">
        <v>2010</v>
      </c>
      <c r="B353" s="80">
        <f>IF((A353&gt;=2022),ROUND(((E353*D353)/F353),1),C353)</f>
        <v/>
      </c>
      <c r="C353" s="81" t="n">
        <v>185.6</v>
      </c>
      <c r="D353" s="81" t="n"/>
      <c r="E353" s="81" t="n"/>
      <c r="F353" s="81" t="n"/>
    </row>
    <row r="354" ht="14" customHeight="1">
      <c r="A354" s="16" t="n">
        <v>2011</v>
      </c>
      <c r="B354" s="78">
        <f>IF((A354&gt;=2022),ROUND(((E354*D354)/F354),1),C354)</f>
        <v/>
      </c>
      <c r="C354" s="79" t="n">
        <v>187.2</v>
      </c>
      <c r="D354" s="79" t="n"/>
      <c r="E354" s="79" t="n"/>
      <c r="F354" s="79" t="n"/>
    </row>
    <row r="355" ht="14" customHeight="1">
      <c r="A355" s="23" t="n">
        <v>2012</v>
      </c>
      <c r="B355" s="80">
        <f>IF((A355&gt;=2022),ROUND(((E355*D355)/F355),1),C355)</f>
        <v/>
      </c>
      <c r="C355" s="81" t="n">
        <v>164.7</v>
      </c>
      <c r="D355" s="81" t="n"/>
      <c r="E355" s="81" t="n"/>
      <c r="F355" s="81" t="n"/>
    </row>
    <row r="356" ht="14" customHeight="1">
      <c r="A356" s="16" t="n">
        <v>2013</v>
      </c>
      <c r="B356" s="78">
        <f>IF((A356&gt;=2022),ROUND(((E356*D356)/F356),1),C356)</f>
        <v/>
      </c>
      <c r="C356" s="79" t="n">
        <v>157</v>
      </c>
      <c r="D356" s="79" t="n"/>
      <c r="E356" s="79" t="n"/>
      <c r="F356" s="79" t="n"/>
    </row>
    <row r="357" ht="14" customHeight="1">
      <c r="A357" s="23" t="n">
        <v>2014</v>
      </c>
      <c r="B357" s="80">
        <f>IF((A357&gt;=2022),ROUND(((E357*D357)/F357),1),C357)</f>
        <v/>
      </c>
      <c r="C357" s="81" t="n">
        <v>157.5</v>
      </c>
      <c r="D357" s="81" t="n"/>
      <c r="E357" s="81" t="n"/>
      <c r="F357" s="81" t="n"/>
    </row>
    <row r="358" ht="14" customHeight="1">
      <c r="A358" s="16" t="n">
        <v>2015</v>
      </c>
      <c r="B358" s="78">
        <f>IF((A358&gt;=2022),ROUND(((E358*D358)/F358),1),C358)</f>
        <v/>
      </c>
      <c r="C358" s="79" t="n">
        <v>158.1</v>
      </c>
      <c r="D358" s="79" t="n"/>
      <c r="E358" s="79" t="n"/>
      <c r="F358" s="79" t="n"/>
    </row>
    <row r="359" ht="14" customHeight="1">
      <c r="A359" s="23" t="n">
        <v>2016</v>
      </c>
      <c r="B359" s="80">
        <f>IF((A359&gt;=2022),ROUND(((E359*D359)/F359),1),C359)</f>
        <v/>
      </c>
      <c r="C359" s="81" t="n">
        <v>159.9</v>
      </c>
      <c r="D359" s="81" t="n"/>
      <c r="E359" s="81" t="n"/>
      <c r="F359" s="81" t="n"/>
    </row>
    <row r="360" ht="14" customHeight="1">
      <c r="A360" s="16" t="n">
        <v>2017</v>
      </c>
      <c r="B360" s="78">
        <f>IF((A360&gt;=2022),ROUND(((E360*D360)/F360),1),C360)</f>
        <v/>
      </c>
      <c r="C360" s="79" t="n">
        <v>165.7</v>
      </c>
      <c r="D360" s="79" t="n"/>
      <c r="E360" s="79" t="n"/>
      <c r="F360" s="79" t="n"/>
    </row>
    <row r="361" ht="14" customHeight="1">
      <c r="A361" s="23" t="n">
        <v>2018</v>
      </c>
      <c r="B361" s="80">
        <f>IF((A361&gt;=2022),ROUND(((E361*D361)/F361),1),C361)</f>
        <v/>
      </c>
      <c r="C361" s="81" t="n">
        <v>179.8</v>
      </c>
      <c r="D361" s="81" t="n"/>
      <c r="E361" s="81" t="n"/>
      <c r="F361" s="81" t="n"/>
    </row>
    <row r="362" ht="14" customHeight="1">
      <c r="A362" s="16" t="n">
        <v>2019</v>
      </c>
      <c r="B362" s="78">
        <f>IF((A362&gt;=2022),ROUND(((E362*D362)/F362),1),C362)</f>
        <v/>
      </c>
      <c r="C362" s="79" t="n">
        <v>173.1</v>
      </c>
      <c r="D362" s="79" t="n"/>
      <c r="E362" s="79" t="n"/>
      <c r="F362" s="79" t="n"/>
    </row>
    <row r="363" ht="14" customHeight="1">
      <c r="A363" s="23" t="n">
        <v>2020</v>
      </c>
      <c r="B363" s="80">
        <f>IF((A363&gt;=2022),ROUND(((E363*D363)/F363),1),C363)</f>
        <v/>
      </c>
      <c r="C363" s="81" t="n">
        <v>172.2</v>
      </c>
      <c r="D363" s="81" t="n"/>
      <c r="E363" s="81" t="n"/>
      <c r="F363" s="81" t="n"/>
    </row>
    <row r="364" ht="14" customHeight="1">
      <c r="A364" s="16" t="n">
        <v>2021</v>
      </c>
      <c r="B364" s="78">
        <f>IF((A364&gt;=2022),ROUND(((E364*D364)/F364),1),C364)</f>
        <v/>
      </c>
      <c r="C364" s="79" t="n">
        <v>182.5</v>
      </c>
      <c r="D364" s="79" t="n"/>
      <c r="E364" s="79" t="n"/>
      <c r="F364" s="79" t="n"/>
    </row>
    <row r="365" ht="14" customHeight="1">
      <c r="A365" s="23" t="n">
        <v>2022</v>
      </c>
      <c r="B365" s="80">
        <f>IF((A365&gt;=2022),ROUND(((E365*D365)/F365),1),C365)</f>
        <v/>
      </c>
      <c r="C365" s="81" t="n"/>
      <c r="D365" s="81" t="n">
        <v>95.7</v>
      </c>
      <c r="E365" s="81" t="n">
        <v>182.5</v>
      </c>
      <c r="F365" s="81" t="n">
        <v>100</v>
      </c>
    </row>
    <row r="366" ht="14" customHeight="1">
      <c r="A366" s="16" t="n">
        <v>2023</v>
      </c>
      <c r="B366" s="78">
        <f>IF((A366&gt;=2022),ROUND(((E366*D366)/F366),1),C366)</f>
        <v/>
      </c>
      <c r="C366" s="79" t="n"/>
      <c r="D366" s="79" t="n">
        <v>88.09999999999999</v>
      </c>
      <c r="E366" s="79" t="n">
        <v>182.5</v>
      </c>
      <c r="F366" s="79" t="n">
        <v>100</v>
      </c>
    </row>
    <row r="367" ht="14" customHeight="1">
      <c r="A367" s="23" t="n">
        <v>2024</v>
      </c>
      <c r="B367" s="80">
        <f>IF((A367&gt;=2022),ROUND(((E367*D367)/F367),1),C367)</f>
        <v/>
      </c>
      <c r="C367" s="81" t="n"/>
      <c r="D367" s="81" t="n">
        <v>87.2</v>
      </c>
      <c r="E367" s="81" t="n">
        <v>182.5</v>
      </c>
      <c r="F367" s="81" t="n">
        <v>100</v>
      </c>
    </row>
    <row r="370">
      <c r="A370" s="85" t="inlineStr">
        <is>
          <t>I2 (chemicals, production) · Chemicals production (EU)  (Mt)</t>
        </is>
      </c>
    </row>
    <row r="371" ht="26" customHeight="1">
      <c r="A371" s="83" t="inlineStr">
        <is>
          <t>NOT the report's derivation for the later years — the formula switches by year to a different recipe, because the report's own inputs have no feed. The two halves of this series are not computed the same way.</t>
        </is>
      </c>
    </row>
    <row r="372" ht="24" customHeight="1">
      <c r="A372" s="3" t="inlineStr">
        <is>
          <t>Derivation:  Value = IF(A &gt;= 2022, ROUND([Report baseline 2021 (Mt)] * [sts_inpr_a C201] / [Live source at 2021 (same basis as the columns left)], 2), [Report figure (2024 report underlying data)])</t>
        </is>
      </c>
    </row>
    <row r="373" ht="42" customHeight="1">
      <c r="A373" s="77" t="inlineStr">
        <is>
          <t>Year</t>
        </is>
      </c>
      <c r="B373" s="77" t="inlineStr">
        <is>
          <t>Value</t>
        </is>
      </c>
      <c r="C373" s="77" t="inlineStr">
        <is>
          <t>Report figure (2024 report underlying data)</t>
        </is>
      </c>
      <c r="D373" s="77" t="inlineStr">
        <is>
          <t>sts_inpr_a C201</t>
        </is>
      </c>
      <c r="E373" s="77" t="inlineStr">
        <is>
          <t>Report baseline 2021 (Mt)</t>
        </is>
      </c>
      <c r="F373" s="77" t="inlineStr">
        <is>
          <t>Live source at 2021 (same basis as the columns left)</t>
        </is>
      </c>
    </row>
    <row r="374" ht="14" customHeight="1">
      <c r="A374" s="16" t="n">
        <v>2005</v>
      </c>
      <c r="B374" s="78">
        <f>IF((A374&gt;=2022),ROUND(((E374*D374)/F374),2),C374)</f>
        <v/>
      </c>
      <c r="C374" s="79" t="n">
        <v>33.52</v>
      </c>
      <c r="D374" s="79" t="n"/>
      <c r="E374" s="79" t="n"/>
      <c r="F374" s="79" t="n"/>
    </row>
    <row r="375" ht="14" customHeight="1">
      <c r="A375" s="23" t="n">
        <v>2006</v>
      </c>
      <c r="B375" s="80">
        <f>IF((A375&gt;=2022),ROUND(((E375*D375)/F375),2),C375)</f>
        <v/>
      </c>
      <c r="C375" s="81" t="n">
        <v>36.25</v>
      </c>
      <c r="D375" s="81" t="n"/>
      <c r="E375" s="81" t="n"/>
      <c r="F375" s="81" t="n"/>
    </row>
    <row r="376" ht="14" customHeight="1">
      <c r="A376" s="16" t="n">
        <v>2007</v>
      </c>
      <c r="B376" s="78">
        <f>IF((A376&gt;=2022),ROUND(((E376*D376)/F376),2),C376)</f>
        <v/>
      </c>
      <c r="C376" s="79" t="n">
        <v>31.12</v>
      </c>
      <c r="D376" s="79" t="n"/>
      <c r="E376" s="79" t="n"/>
      <c r="F376" s="79" t="n"/>
    </row>
    <row r="377" ht="14" customHeight="1">
      <c r="A377" s="23" t="n">
        <v>2008</v>
      </c>
      <c r="B377" s="80">
        <f>IF((A377&gt;=2022),ROUND(((E377*D377)/F377),2),C377)</f>
        <v/>
      </c>
      <c r="C377" s="81" t="n">
        <v>28.08</v>
      </c>
      <c r="D377" s="81" t="n"/>
      <c r="E377" s="81" t="n"/>
      <c r="F377" s="81" t="n"/>
    </row>
    <row r="378" ht="14" customHeight="1">
      <c r="A378" s="16" t="n">
        <v>2009</v>
      </c>
      <c r="B378" s="78">
        <f>IF((A378&gt;=2022),ROUND(((E378*D378)/F378),2),C378)</f>
        <v/>
      </c>
      <c r="C378" s="79" t="n">
        <v>30.66</v>
      </c>
      <c r="D378" s="79" t="n"/>
      <c r="E378" s="79" t="n"/>
      <c r="F378" s="79" t="n"/>
    </row>
    <row r="379" ht="14" customHeight="1">
      <c r="A379" s="23" t="n">
        <v>2010</v>
      </c>
      <c r="B379" s="80">
        <f>IF((A379&gt;=2022),ROUND(((E379*D379)/F379),2),C379)</f>
        <v/>
      </c>
      <c r="C379" s="81" t="n">
        <v>32.08</v>
      </c>
      <c r="D379" s="81" t="n"/>
      <c r="E379" s="81" t="n"/>
      <c r="F379" s="81" t="n"/>
    </row>
    <row r="380" ht="14" customHeight="1">
      <c r="A380" s="16" t="n">
        <v>2011</v>
      </c>
      <c r="B380" s="78">
        <f>IF((A380&gt;=2022),ROUND(((E380*D380)/F380),2),C380)</f>
        <v/>
      </c>
      <c r="C380" s="79" t="n">
        <v>31.2</v>
      </c>
      <c r="D380" s="79" t="n"/>
      <c r="E380" s="79" t="n"/>
      <c r="F380" s="79" t="n"/>
    </row>
    <row r="381" ht="14" customHeight="1">
      <c r="A381" s="23" t="n">
        <v>2012</v>
      </c>
      <c r="B381" s="80">
        <f>IF((A381&gt;=2022),ROUND(((E381*D381)/F381),2),C381)</f>
        <v/>
      </c>
      <c r="C381" s="81" t="n">
        <v>29.59</v>
      </c>
      <c r="D381" s="81" t="n"/>
      <c r="E381" s="81" t="n"/>
      <c r="F381" s="81" t="n"/>
    </row>
    <row r="382" ht="14" customHeight="1">
      <c r="A382" s="16" t="n">
        <v>2013</v>
      </c>
      <c r="B382" s="78">
        <f>IF((A382&gt;=2022),ROUND(((E382*D382)/F382),2),C382)</f>
        <v/>
      </c>
      <c r="C382" s="79" t="n">
        <v>30.58</v>
      </c>
      <c r="D382" s="79" t="n"/>
      <c r="E382" s="79" t="n"/>
      <c r="F382" s="79" t="n"/>
    </row>
    <row r="383" ht="14" customHeight="1">
      <c r="A383" s="23" t="n">
        <v>2014</v>
      </c>
      <c r="B383" s="80">
        <f>IF((A383&gt;=2022),ROUND(((E383*D383)/F383),2),C383)</f>
        <v/>
      </c>
      <c r="C383" s="81" t="n">
        <v>30.13</v>
      </c>
      <c r="D383" s="81" t="n"/>
      <c r="E383" s="81" t="n"/>
      <c r="F383" s="81" t="n"/>
    </row>
    <row r="384" ht="14" customHeight="1">
      <c r="A384" s="16" t="n">
        <v>2015</v>
      </c>
      <c r="B384" s="78">
        <f>IF((A384&gt;=2022),ROUND(((E384*D384)/F384),2),C384)</f>
        <v/>
      </c>
      <c r="C384" s="79" t="n">
        <v>30.14</v>
      </c>
      <c r="D384" s="79" t="n"/>
      <c r="E384" s="79" t="n"/>
      <c r="F384" s="79" t="n"/>
    </row>
    <row r="385" ht="14" customHeight="1">
      <c r="A385" s="23" t="n">
        <v>2016</v>
      </c>
      <c r="B385" s="80">
        <f>IF((A385&gt;=2022),ROUND(((E385*D385)/F385),2),C385)</f>
        <v/>
      </c>
      <c r="C385" s="81" t="n">
        <v>31.96</v>
      </c>
      <c r="D385" s="81" t="n"/>
      <c r="E385" s="81" t="n"/>
      <c r="F385" s="81" t="n"/>
    </row>
    <row r="386" ht="14" customHeight="1">
      <c r="A386" s="16" t="n">
        <v>2017</v>
      </c>
      <c r="B386" s="78">
        <f>IF((A386&gt;=2022),ROUND(((E386*D386)/F386),2),C386)</f>
        <v/>
      </c>
      <c r="C386" s="79" t="n">
        <v>29.64</v>
      </c>
      <c r="D386" s="79" t="n"/>
      <c r="E386" s="79" t="n"/>
      <c r="F386" s="79" t="n"/>
    </row>
    <row r="387" ht="14" customHeight="1">
      <c r="A387" s="23" t="n">
        <v>2018</v>
      </c>
      <c r="B387" s="80">
        <f>IF((A387&gt;=2022),ROUND(((E387*D387)/F387),2),C387)</f>
        <v/>
      </c>
      <c r="C387" s="81" t="n">
        <v>28.35</v>
      </c>
      <c r="D387" s="81" t="n"/>
      <c r="E387" s="81" t="n"/>
      <c r="F387" s="81" t="n"/>
    </row>
    <row r="388" ht="14" customHeight="1">
      <c r="A388" s="16" t="n">
        <v>2019</v>
      </c>
      <c r="B388" s="78">
        <f>IF((A388&gt;=2022),ROUND(((E388*D388)/F388),2),C388)</f>
        <v/>
      </c>
      <c r="C388" s="79" t="n">
        <v>28.01</v>
      </c>
      <c r="D388" s="79" t="n"/>
      <c r="E388" s="79" t="n"/>
      <c r="F388" s="79" t="n"/>
    </row>
    <row r="389" ht="14" customHeight="1">
      <c r="A389" s="23" t="n">
        <v>2020</v>
      </c>
      <c r="B389" s="80">
        <f>IF((A389&gt;=2022),ROUND(((E389*D389)/F389),2),C389)</f>
        <v/>
      </c>
      <c r="C389" s="81" t="n">
        <v>28.72</v>
      </c>
      <c r="D389" s="81" t="n"/>
      <c r="E389" s="81" t="n"/>
      <c r="F389" s="81" t="n"/>
    </row>
    <row r="390" ht="14" customHeight="1">
      <c r="A390" s="16" t="n">
        <v>2021</v>
      </c>
      <c r="B390" s="78">
        <f>IF((A390&gt;=2022),ROUND(((E390*D390)/F390),2),C390)</f>
        <v/>
      </c>
      <c r="C390" s="79" t="n">
        <v>26.84</v>
      </c>
      <c r="D390" s="79" t="n"/>
      <c r="E390" s="79" t="n"/>
      <c r="F390" s="79" t="n"/>
    </row>
    <row r="391" ht="14" customHeight="1">
      <c r="A391" s="23" t="n">
        <v>2022</v>
      </c>
      <c r="B391" s="80">
        <f>IF((A391&gt;=2022),ROUND(((E391*D391)/F391),2),C391)</f>
        <v/>
      </c>
      <c r="C391" s="81" t="n"/>
      <c r="D391" s="81" t="n">
        <v>94.5</v>
      </c>
      <c r="E391" s="81" t="n">
        <v>26.84</v>
      </c>
      <c r="F391" s="81" t="n">
        <v>100</v>
      </c>
    </row>
    <row r="392" ht="14" customHeight="1">
      <c r="A392" s="16" t="n">
        <v>2023</v>
      </c>
      <c r="B392" s="78">
        <f>IF((A392&gt;=2022),ROUND(((E392*D392)/F392),2),C392)</f>
        <v/>
      </c>
      <c r="C392" s="79" t="n"/>
      <c r="D392" s="79" t="n">
        <v>79.90000000000001</v>
      </c>
      <c r="E392" s="79" t="n">
        <v>26.84</v>
      </c>
      <c r="F392" s="79" t="n">
        <v>100</v>
      </c>
    </row>
    <row r="393" ht="14" customHeight="1">
      <c r="A393" s="23" t="n">
        <v>2024</v>
      </c>
      <c r="B393" s="80">
        <f>IF((A393&gt;=2022),ROUND(((E393*D393)/F393),2),C393)</f>
        <v/>
      </c>
      <c r="C393" s="81" t="n"/>
      <c r="D393" s="81" t="n">
        <v>74.09999999999999</v>
      </c>
      <c r="E393" s="81" t="n">
        <v>26.84</v>
      </c>
      <c r="F393" s="81" t="n">
        <v>100</v>
      </c>
    </row>
    <row r="394" ht="14" customHeight="1">
      <c r="A394" s="16" t="n">
        <v>2025</v>
      </c>
      <c r="B394" s="78">
        <f>IF((A394&gt;=2022),ROUND(((E394*D394)/F394),2),C394)</f>
        <v/>
      </c>
      <c r="C394" s="79" t="n"/>
      <c r="D394" s="79" t="n">
        <v>69.09999999999999</v>
      </c>
      <c r="E394" s="79" t="n">
        <v>26.84</v>
      </c>
      <c r="F394" s="79" t="n">
        <v>100</v>
      </c>
    </row>
    <row r="397">
      <c r="A397" s="85" t="inlineStr">
        <is>
          <t>I2 (steel, production) · Steel production (EU)  (Mt)</t>
        </is>
      </c>
    </row>
    <row r="398" ht="26" customHeight="1">
      <c r="A398" s="76" t="inlineStr">
        <is>
          <t>The report's formula throughout; for the later years its single input is back-computed from the published figure through the sheet's own constants, so the arithmetic is unchanged.</t>
        </is>
      </c>
    </row>
    <row r="399" ht="24" customHeight="1">
      <c r="A399" s="3" t="inlineStr">
        <is>
          <t>Derivation:  Value = [Report figure (2024 report underlying data)]</t>
        </is>
      </c>
    </row>
    <row r="400" ht="42" customHeight="1">
      <c r="A400" s="77" t="inlineStr">
        <is>
          <t>Year</t>
        </is>
      </c>
      <c r="B400" s="77" t="inlineStr">
        <is>
          <t>Value</t>
        </is>
      </c>
      <c r="C400" s="77" t="inlineStr">
        <is>
          <t>Report figure (2024 report underlying data)</t>
        </is>
      </c>
    </row>
    <row r="401" ht="14" customHeight="1">
      <c r="A401" s="16" t="n">
        <v>2008</v>
      </c>
      <c r="B401" s="78">
        <f>C401</f>
        <v/>
      </c>
      <c r="C401" s="79" t="n">
        <v>185</v>
      </c>
    </row>
    <row r="402" ht="14" customHeight="1">
      <c r="A402" s="23" t="n">
        <v>2009</v>
      </c>
      <c r="B402" s="80">
        <f>C402</f>
        <v/>
      </c>
      <c r="C402" s="81" t="n">
        <v>129.3</v>
      </c>
    </row>
    <row r="403" ht="14" customHeight="1">
      <c r="A403" s="16" t="n">
        <v>2010</v>
      </c>
      <c r="B403" s="78">
        <f>C403</f>
        <v/>
      </c>
      <c r="C403" s="79" t="n">
        <v>163.1</v>
      </c>
    </row>
    <row r="404" ht="14" customHeight="1">
      <c r="A404" s="23" t="n">
        <v>2011</v>
      </c>
      <c r="B404" s="80">
        <f>C404</f>
        <v/>
      </c>
      <c r="C404" s="81" t="n">
        <v>168.1</v>
      </c>
    </row>
    <row r="405" ht="14" customHeight="1">
      <c r="A405" s="16" t="n">
        <v>2012</v>
      </c>
      <c r="B405" s="78">
        <f>C405</f>
        <v/>
      </c>
      <c r="C405" s="79" t="n">
        <v>159</v>
      </c>
    </row>
    <row r="406" ht="14" customHeight="1">
      <c r="A406" s="23" t="n">
        <v>2013</v>
      </c>
      <c r="B406" s="80">
        <f>C406</f>
        <v/>
      </c>
      <c r="C406" s="81" t="n">
        <v>154.3</v>
      </c>
    </row>
    <row r="407" ht="14" customHeight="1">
      <c r="A407" s="16" t="n">
        <v>2014</v>
      </c>
      <c r="B407" s="78">
        <f>C407</f>
        <v/>
      </c>
      <c r="C407" s="79" t="n">
        <v>157.1</v>
      </c>
    </row>
    <row r="408" ht="14" customHeight="1">
      <c r="A408" s="23" t="n">
        <v>2015</v>
      </c>
      <c r="B408" s="80">
        <f>C408</f>
        <v/>
      </c>
      <c r="C408" s="81" t="n">
        <v>155.1</v>
      </c>
    </row>
    <row r="409" ht="14" customHeight="1">
      <c r="A409" s="16" t="n">
        <v>2016</v>
      </c>
      <c r="B409" s="78">
        <f>C409</f>
        <v/>
      </c>
      <c r="C409" s="79" t="n">
        <v>154.3</v>
      </c>
    </row>
    <row r="410" ht="14" customHeight="1">
      <c r="A410" s="23" t="n">
        <v>2017</v>
      </c>
      <c r="B410" s="80">
        <f>C410</f>
        <v/>
      </c>
      <c r="C410" s="81" t="n">
        <v>160.9</v>
      </c>
    </row>
    <row r="411" ht="14" customHeight="1">
      <c r="A411" s="16" t="n">
        <v>2018</v>
      </c>
      <c r="B411" s="78">
        <f>C411</f>
        <v/>
      </c>
      <c r="C411" s="79" t="n">
        <v>160.1</v>
      </c>
    </row>
    <row r="412" ht="14" customHeight="1">
      <c r="A412" s="23" t="n">
        <v>2019</v>
      </c>
      <c r="B412" s="80">
        <f>C412</f>
        <v/>
      </c>
      <c r="C412" s="81" t="n">
        <v>150.2</v>
      </c>
    </row>
    <row r="413" ht="14" customHeight="1">
      <c r="A413" s="16" t="n">
        <v>2020</v>
      </c>
      <c r="B413" s="78">
        <f>C413</f>
        <v/>
      </c>
      <c r="C413" s="79" t="n">
        <v>132.2</v>
      </c>
    </row>
    <row r="414" ht="14" customHeight="1">
      <c r="A414" s="23" t="n">
        <v>2021</v>
      </c>
      <c r="B414" s="80">
        <f>C414</f>
        <v/>
      </c>
      <c r="C414" s="81" t="n">
        <v>152.8</v>
      </c>
    </row>
    <row r="415" ht="14" customHeight="1">
      <c r="A415" s="16" t="n">
        <v>2022</v>
      </c>
      <c r="B415" s="78">
        <f>C415</f>
        <v/>
      </c>
      <c r="C415" s="79" t="n">
        <v>136.3</v>
      </c>
    </row>
    <row r="416" ht="14" customHeight="1">
      <c r="A416" s="23" t="n">
        <v>2023</v>
      </c>
      <c r="B416" s="80">
        <f>C416</f>
        <v/>
      </c>
      <c r="C416" s="81" t="n">
        <v>125.9</v>
      </c>
    </row>
    <row r="417" ht="14" customHeight="1">
      <c r="A417" s="16" t="n">
        <v>2024</v>
      </c>
      <c r="B417" s="78">
        <f>C417</f>
        <v/>
      </c>
      <c r="C417" s="79" t="n">
        <v>128.8</v>
      </c>
    </row>
    <row r="418" ht="14" customHeight="1">
      <c r="A418" s="23" t="n">
        <v>2025</v>
      </c>
      <c r="B418" s="80">
        <f>C418</f>
        <v/>
      </c>
      <c r="C418" s="81" t="n">
        <v>126.2</v>
      </c>
    </row>
    <row r="421">
      <c r="A421" s="85" t="inlineStr">
        <is>
          <t>I3 · Circular material use rate (EU)  (%)</t>
        </is>
      </c>
    </row>
    <row r="422" ht="26" customHeight="1">
      <c r="A422" s="83" t="inlineStr">
        <is>
          <t>NOT the report's derivation for the later years — the formula switches by year to a different recipe, because the report's own inputs have no feed. The two halves of this series are not computed the same way.</t>
        </is>
      </c>
    </row>
    <row r="423" ht="24" customHeight="1">
      <c r="A423" s="3" t="inlineStr">
        <is>
          <t>Derivation:  Value = IF(A &gt;= 2022, ROUND([cei_srm030 PC], 1), ([Report figure (2024 report underlying data)]) * [fraction → % (× 100)])</t>
        </is>
      </c>
    </row>
    <row r="424" ht="42" customHeight="1">
      <c r="A424" s="77" t="inlineStr">
        <is>
          <t>Year</t>
        </is>
      </c>
      <c r="B424" s="77" t="inlineStr">
        <is>
          <t>Value</t>
        </is>
      </c>
      <c r="C424" s="77" t="inlineStr">
        <is>
          <t>Report figure (2024 report underlying data)</t>
        </is>
      </c>
      <c r="D424" s="77" t="inlineStr">
        <is>
          <t>cei_srm030 PC</t>
        </is>
      </c>
      <c r="E424" s="77" t="inlineStr">
        <is>
          <t>fraction → % (× 100)</t>
        </is>
      </c>
    </row>
    <row r="425" ht="14" customHeight="1">
      <c r="A425" s="16" t="n">
        <v>2010</v>
      </c>
      <c r="B425" s="78">
        <f>IF((A425&gt;=2022),ROUND(D425,1),(C425*E425))</f>
        <v/>
      </c>
      <c r="C425" s="79" t="n">
        <v>0.108</v>
      </c>
      <c r="D425" s="79" t="n"/>
      <c r="E425" s="79" t="n">
        <v>100</v>
      </c>
    </row>
    <row r="426" ht="14" customHeight="1">
      <c r="A426" s="23" t="n">
        <v>2011</v>
      </c>
      <c r="B426" s="80">
        <f>IF((A426&gt;=2022),ROUND(D426,1),(C426*E426))</f>
        <v/>
      </c>
      <c r="C426" s="81" t="n">
        <v>0.103</v>
      </c>
      <c r="D426" s="81" t="n"/>
      <c r="E426" s="81" t="n">
        <v>100</v>
      </c>
    </row>
    <row r="427" ht="14" customHeight="1">
      <c r="A427" s="16" t="n">
        <v>2012</v>
      </c>
      <c r="B427" s="78">
        <f>IF((A427&gt;=2022),ROUND(D427,1),(C427*E427))</f>
        <v/>
      </c>
      <c r="C427" s="79" t="n">
        <v>0.111</v>
      </c>
      <c r="D427" s="79" t="n"/>
      <c r="E427" s="79" t="n">
        <v>100</v>
      </c>
    </row>
    <row r="428" ht="14" customHeight="1">
      <c r="A428" s="23" t="n">
        <v>2013</v>
      </c>
      <c r="B428" s="80">
        <f>IF((A428&gt;=2022),ROUND(D428,1),(C428*E428))</f>
        <v/>
      </c>
      <c r="C428" s="81" t="n">
        <v>0.113</v>
      </c>
      <c r="D428" s="81" t="n"/>
      <c r="E428" s="81" t="n">
        <v>100</v>
      </c>
    </row>
    <row r="429" ht="14" customHeight="1">
      <c r="A429" s="16" t="n">
        <v>2014</v>
      </c>
      <c r="B429" s="78">
        <f>IF((A429&gt;=2022),ROUND(D429,1),(C429*E429))</f>
        <v/>
      </c>
      <c r="C429" s="79" t="n">
        <v>0.112</v>
      </c>
      <c r="D429" s="79" t="n"/>
      <c r="E429" s="79" t="n">
        <v>100</v>
      </c>
    </row>
    <row r="430" ht="14" customHeight="1">
      <c r="A430" s="23" t="n">
        <v>2015</v>
      </c>
      <c r="B430" s="80">
        <f>IF((A430&gt;=2022),ROUND(D430,1),(C430*E430))</f>
        <v/>
      </c>
      <c r="C430" s="81" t="n">
        <v>0.113</v>
      </c>
      <c r="D430" s="81" t="n"/>
      <c r="E430" s="81" t="n">
        <v>100</v>
      </c>
    </row>
    <row r="431" ht="14" customHeight="1">
      <c r="A431" s="16" t="n">
        <v>2016</v>
      </c>
      <c r="B431" s="78">
        <f>IF((A431&gt;=2022),ROUND(D431,1),(C431*E431))</f>
        <v/>
      </c>
      <c r="C431" s="79" t="n">
        <v>0.115</v>
      </c>
      <c r="D431" s="79" t="n"/>
      <c r="E431" s="79" t="n">
        <v>100</v>
      </c>
    </row>
    <row r="432" ht="14" customHeight="1">
      <c r="A432" s="23" t="n">
        <v>2017</v>
      </c>
      <c r="B432" s="80">
        <f>IF((A432&gt;=2022),ROUND(D432,1),(C432*E432))</f>
        <v/>
      </c>
      <c r="C432" s="81" t="n">
        <v>0.115</v>
      </c>
      <c r="D432" s="81" t="n"/>
      <c r="E432" s="81" t="n">
        <v>100</v>
      </c>
    </row>
    <row r="433" ht="14" customHeight="1">
      <c r="A433" s="16" t="n">
        <v>2018</v>
      </c>
      <c r="B433" s="78">
        <f>IF((A433&gt;=2022),ROUND(D433,1),(C433*E433))</f>
        <v/>
      </c>
      <c r="C433" s="79" t="n">
        <v>0.117</v>
      </c>
      <c r="D433" s="79" t="n"/>
      <c r="E433" s="79" t="n">
        <v>100</v>
      </c>
    </row>
    <row r="434" ht="14" customHeight="1">
      <c r="A434" s="23" t="n">
        <v>2019</v>
      </c>
      <c r="B434" s="80">
        <f>IF((A434&gt;=2022),ROUND(D434,1),(C434*E434))</f>
        <v/>
      </c>
      <c r="C434" s="81" t="n">
        <v>0.12</v>
      </c>
      <c r="D434" s="81" t="n"/>
      <c r="E434" s="81" t="n">
        <v>100</v>
      </c>
    </row>
    <row r="435" ht="14" customHeight="1">
      <c r="A435" s="16" t="n">
        <v>2020</v>
      </c>
      <c r="B435" s="78">
        <f>IF((A435&gt;=2022),ROUND(D435,1),(C435*E435))</f>
        <v/>
      </c>
      <c r="C435" s="79" t="n">
        <v>0.117</v>
      </c>
      <c r="D435" s="79" t="n"/>
      <c r="E435" s="79" t="n">
        <v>100</v>
      </c>
    </row>
    <row r="436" ht="14" customHeight="1">
      <c r="A436" s="23" t="n">
        <v>2021</v>
      </c>
      <c r="B436" s="80">
        <f>IF((A436&gt;=2022),ROUND(D436,1),(C436*E436))</f>
        <v/>
      </c>
      <c r="C436" s="81" t="n">
        <v>0.117</v>
      </c>
      <c r="D436" s="81" t="n"/>
      <c r="E436" s="81" t="n">
        <v>100</v>
      </c>
    </row>
    <row r="437" ht="14" customHeight="1">
      <c r="A437" s="16" t="n">
        <v>2022</v>
      </c>
      <c r="B437" s="78">
        <f>IF((A437&gt;=2022),ROUND(D437,1),(C437*E437))</f>
        <v/>
      </c>
      <c r="C437" s="79" t="n"/>
      <c r="D437" s="79" t="n">
        <v>11.4</v>
      </c>
      <c r="E437" s="79" t="n">
        <v>100</v>
      </c>
    </row>
    <row r="438" ht="14" customHeight="1">
      <c r="A438" s="23" t="n">
        <v>2023</v>
      </c>
      <c r="B438" s="80">
        <f>IF((A438&gt;=2022),ROUND(D438,1),(C438*E438))</f>
        <v/>
      </c>
      <c r="C438" s="81" t="n"/>
      <c r="D438" s="81" t="n">
        <v>12.1</v>
      </c>
      <c r="E438" s="81" t="n">
        <v>100</v>
      </c>
    </row>
    <row r="439" ht="14" customHeight="1">
      <c r="A439" s="16" t="n">
        <v>2024</v>
      </c>
      <c r="B439" s="78">
        <f>IF((A439&gt;=2022),ROUND(D439,1),(C439*E439))</f>
        <v/>
      </c>
      <c r="C439" s="79" t="n"/>
      <c r="D439" s="79" t="n">
        <v>12.2</v>
      </c>
      <c r="E439" s="79" t="n">
        <v>100</v>
      </c>
    </row>
    <row r="442">
      <c r="A442" s="85" t="inlineStr">
        <is>
          <t>I5 · Industrial final energy consumption (EU)  (TWh)</t>
        </is>
      </c>
    </row>
    <row r="443" ht="26" customHeight="1">
      <c r="A443" s="76" t="inlineStr">
        <is>
          <t>The report's formula throughout; for the later years its single input is back-computed from the published figure through the sheet's own constants, so the arithmetic is unchanged.</t>
        </is>
      </c>
    </row>
    <row r="444" ht="24" customHeight="1">
      <c r="A444" s="3" t="inlineStr">
        <is>
          <t>Derivation:  Value = [Total]*(11.630000000000003)</t>
        </is>
      </c>
    </row>
    <row r="445" ht="42" customHeight="1">
      <c r="A445" s="77" t="inlineStr">
        <is>
          <t>Year</t>
        </is>
      </c>
      <c r="B445" s="77" t="inlineStr">
        <is>
          <t>Value</t>
        </is>
      </c>
      <c r="C445" s="77" t="inlineStr">
        <is>
          <t>Total</t>
        </is>
      </c>
    </row>
    <row r="446" ht="14" customHeight="1">
      <c r="A446" s="16" t="n">
        <v>2005</v>
      </c>
      <c r="B446" s="78">
        <f>(C446*11.630000000000003)</f>
        <v/>
      </c>
      <c r="C446" s="79" t="n">
        <v>275.125254</v>
      </c>
    </row>
    <row r="447" ht="14" customHeight="1">
      <c r="A447" s="23" t="n">
        <v>2006</v>
      </c>
      <c r="B447" s="80">
        <f>(C447*11.630000000000003)</f>
        <v/>
      </c>
      <c r="C447" s="81" t="n">
        <v>269.576383</v>
      </c>
    </row>
    <row r="448" ht="14" customHeight="1">
      <c r="A448" s="16" t="n">
        <v>2007</v>
      </c>
      <c r="B448" s="78">
        <f>(C448*11.630000000000003)</f>
        <v/>
      </c>
      <c r="C448" s="79" t="n">
        <v>274.275846</v>
      </c>
    </row>
    <row r="449" ht="14" customHeight="1">
      <c r="A449" s="23" t="n">
        <v>2008</v>
      </c>
      <c r="B449" s="80">
        <f>(C449*11.630000000000003)</f>
        <v/>
      </c>
      <c r="C449" s="81" t="n">
        <v>265.108074</v>
      </c>
    </row>
    <row r="450" ht="14" customHeight="1">
      <c r="A450" s="16" t="n">
        <v>2009</v>
      </c>
      <c r="B450" s="78">
        <f>(C450*11.630000000000003)</f>
        <v/>
      </c>
      <c r="C450" s="79" t="n">
        <v>229.18046</v>
      </c>
    </row>
    <row r="451" ht="14" customHeight="1">
      <c r="A451" s="23" t="n">
        <v>2010</v>
      </c>
      <c r="B451" s="80">
        <f>(C451*11.630000000000003)</f>
        <v/>
      </c>
      <c r="C451" s="81" t="n">
        <v>243.873111</v>
      </c>
    </row>
    <row r="452" ht="14" customHeight="1">
      <c r="A452" s="16" t="n">
        <v>2011</v>
      </c>
      <c r="B452" s="78">
        <f>(C452*11.630000000000003)</f>
        <v/>
      </c>
      <c r="C452" s="79" t="n">
        <v>244.295556</v>
      </c>
    </row>
    <row r="453" ht="14" customHeight="1">
      <c r="A453" s="23" t="n">
        <v>2012</v>
      </c>
      <c r="B453" s="80">
        <f>(C453*11.630000000000003)</f>
        <v/>
      </c>
      <c r="C453" s="81" t="n">
        <v>239.702695</v>
      </c>
    </row>
    <row r="454" ht="14" customHeight="1">
      <c r="A454" s="16" t="n">
        <v>2013</v>
      </c>
      <c r="B454" s="78">
        <f>(C454*11.630000000000003)</f>
        <v/>
      </c>
      <c r="C454" s="79" t="n">
        <v>236.748516</v>
      </c>
    </row>
    <row r="455" ht="14" customHeight="1">
      <c r="A455" s="23" t="n">
        <v>2014</v>
      </c>
      <c r="B455" s="80">
        <f>(C455*11.630000000000003)</f>
        <v/>
      </c>
      <c r="C455" s="81" t="n">
        <v>233.297767</v>
      </c>
    </row>
    <row r="456" ht="14" customHeight="1">
      <c r="A456" s="16" t="n">
        <v>2015</v>
      </c>
      <c r="B456" s="78">
        <f>(C456*11.630000000000003)</f>
        <v/>
      </c>
      <c r="C456" s="79" t="n">
        <v>233.507663</v>
      </c>
    </row>
    <row r="457" ht="14" customHeight="1">
      <c r="A457" s="23" t="n">
        <v>2016</v>
      </c>
      <c r="B457" s="80">
        <f>(C457*11.630000000000003)</f>
        <v/>
      </c>
      <c r="C457" s="81" t="n">
        <v>237.799203</v>
      </c>
    </row>
    <row r="458" ht="14" customHeight="1">
      <c r="A458" s="16" t="n">
        <v>2017</v>
      </c>
      <c r="B458" s="78">
        <f>(C458*11.630000000000003)</f>
        <v/>
      </c>
      <c r="C458" s="79" t="n">
        <v>240.063508</v>
      </c>
    </row>
    <row r="459" ht="14" customHeight="1">
      <c r="A459" s="23" t="n">
        <v>2018</v>
      </c>
      <c r="B459" s="80">
        <f>(C459*11.630000000000003)</f>
        <v/>
      </c>
      <c r="C459" s="81" t="n">
        <v>242.46632</v>
      </c>
    </row>
    <row r="460" ht="14" customHeight="1">
      <c r="A460" s="16" t="n">
        <v>2019</v>
      </c>
      <c r="B460" s="78">
        <f>(C460*11.630000000000003)</f>
        <v/>
      </c>
      <c r="C460" s="79" t="n">
        <v>239.239595</v>
      </c>
    </row>
    <row r="461" ht="14" customHeight="1">
      <c r="A461" s="23" t="n">
        <v>2020</v>
      </c>
      <c r="B461" s="80">
        <f>(C461*11.630000000000003)</f>
        <v/>
      </c>
      <c r="C461" s="81" t="n">
        <v>230.923308</v>
      </c>
    </row>
    <row r="462" ht="14" customHeight="1">
      <c r="A462" s="16" t="n">
        <v>2021</v>
      </c>
      <c r="B462" s="78">
        <f>(C462*11.630000000000003)</f>
        <v/>
      </c>
      <c r="C462" s="79" t="n">
        <v>240.343849</v>
      </c>
    </row>
    <row r="463" ht="14" customHeight="1">
      <c r="A463" s="23" t="n">
        <v>2022</v>
      </c>
      <c r="B463" s="80">
        <f>(C463*11.630000000000003)</f>
        <v/>
      </c>
      <c r="C463" s="81" t="n">
        <v>225.9501289767842</v>
      </c>
    </row>
    <row r="464" ht="14" customHeight="1">
      <c r="A464" s="16" t="n">
        <v>2023</v>
      </c>
      <c r="B464" s="78">
        <f>(C464*11.630000000000003)</f>
        <v/>
      </c>
      <c r="C464" s="79" t="n">
        <v>214.7205503009458</v>
      </c>
    </row>
    <row r="467">
      <c r="A467" s="85" t="inlineStr">
        <is>
          <t>I6 · Electricity share of industrial final energy use  (%)</t>
        </is>
      </c>
    </row>
    <row r="468" ht="26" customHeight="1">
      <c r="A468" s="76" t="inlineStr">
        <is>
          <t>SAME DERIVATION AS THE REPORT — the report's own formula, with its own input columns refreshed from the same publisher for the later years. Nothing about the calculation changes across the join.</t>
        </is>
      </c>
    </row>
    <row r="469" ht="22" customHeight="1">
      <c r="A469" s="3" t="inlineStr">
        <is>
          <t>Refreshed for 2022, 2023: Electricity (raw input), Total</t>
        </is>
      </c>
    </row>
    <row r="470" ht="24" customHeight="1">
      <c r="A470" s="3" t="inlineStr">
        <is>
          <t>Derivation:  Value = [electricity]/[Total energy use]</t>
        </is>
      </c>
    </row>
    <row r="471" ht="42" customHeight="1">
      <c r="A471" s="77" t="inlineStr">
        <is>
          <t>Year</t>
        </is>
      </c>
      <c r="B471" s="77" t="inlineStr">
        <is>
          <t>Value</t>
        </is>
      </c>
      <c r="C471" s="77" t="inlineStr">
        <is>
          <t>electricity</t>
        </is>
      </c>
      <c r="D471" s="77" t="inlineStr">
        <is>
          <t>Total energy use</t>
        </is>
      </c>
      <c r="E471" s="77" t="inlineStr">
        <is>
          <t>Electricity (raw input)</t>
        </is>
      </c>
      <c r="F471" s="77" t="inlineStr">
        <is>
          <t>Total</t>
        </is>
      </c>
    </row>
    <row r="472" ht="14" customHeight="1">
      <c r="A472" s="16" t="n">
        <v>2005</v>
      </c>
      <c r="B472" s="78">
        <f>(C472/D472)</f>
        <v/>
      </c>
      <c r="C472" s="79">
        <f>E472</f>
        <v/>
      </c>
      <c r="D472" s="79">
        <f>F472</f>
        <v/>
      </c>
      <c r="E472" s="79" t="n">
        <v>87.25259</v>
      </c>
      <c r="F472" s="79" t="n">
        <v>275.125254</v>
      </c>
    </row>
    <row r="473" ht="14" customHeight="1">
      <c r="A473" s="23" t="n">
        <v>2006</v>
      </c>
      <c r="B473" s="80">
        <f>(C473/D473)</f>
        <v/>
      </c>
      <c r="C473" s="81">
        <f>E473</f>
        <v/>
      </c>
      <c r="D473" s="81">
        <f>F473</f>
        <v/>
      </c>
      <c r="E473" s="81" t="n">
        <v>87.20215300000001</v>
      </c>
      <c r="F473" s="81" t="n">
        <v>269.576383</v>
      </c>
    </row>
    <row r="474" ht="14" customHeight="1">
      <c r="A474" s="16" t="n">
        <v>2007</v>
      </c>
      <c r="B474" s="78">
        <f>(C474/D474)</f>
        <v/>
      </c>
      <c r="C474" s="79">
        <f>E474</f>
        <v/>
      </c>
      <c r="D474" s="79">
        <f>F474</f>
        <v/>
      </c>
      <c r="E474" s="79" t="n">
        <v>88.35837600000001</v>
      </c>
      <c r="F474" s="79" t="n">
        <v>274.275846</v>
      </c>
    </row>
    <row r="475" ht="14" customHeight="1">
      <c r="A475" s="23" t="n">
        <v>2008</v>
      </c>
      <c r="B475" s="80">
        <f>(C475/D475)</f>
        <v/>
      </c>
      <c r="C475" s="81">
        <f>E475</f>
        <v/>
      </c>
      <c r="D475" s="81">
        <f>F475</f>
        <v/>
      </c>
      <c r="E475" s="81" t="n">
        <v>86.265145</v>
      </c>
      <c r="F475" s="81" t="n">
        <v>265.108074</v>
      </c>
    </row>
    <row r="476" ht="14" customHeight="1">
      <c r="A476" s="16" t="n">
        <v>2009</v>
      </c>
      <c r="B476" s="78">
        <f>(C476/D476)</f>
        <v/>
      </c>
      <c r="C476" s="79">
        <f>E476</f>
        <v/>
      </c>
      <c r="D476" s="79">
        <f>F476</f>
        <v/>
      </c>
      <c r="E476" s="79" t="n">
        <v>74.30082399999999</v>
      </c>
      <c r="F476" s="79" t="n">
        <v>229.18046</v>
      </c>
    </row>
    <row r="477" ht="14" customHeight="1">
      <c r="A477" s="23" t="n">
        <v>2010</v>
      </c>
      <c r="B477" s="80">
        <f>(C477/D477)</f>
        <v/>
      </c>
      <c r="C477" s="81">
        <f>E477</f>
        <v/>
      </c>
      <c r="D477" s="81">
        <f>F477</f>
        <v/>
      </c>
      <c r="E477" s="81" t="n">
        <v>79.58803</v>
      </c>
      <c r="F477" s="81" t="n">
        <v>243.873111</v>
      </c>
    </row>
    <row r="478" ht="14" customHeight="1">
      <c r="A478" s="16" t="n">
        <v>2011</v>
      </c>
      <c r="B478" s="78">
        <f>(C478/D478)</f>
        <v/>
      </c>
      <c r="C478" s="79">
        <f>E478</f>
        <v/>
      </c>
      <c r="D478" s="79">
        <f>F478</f>
        <v/>
      </c>
      <c r="E478" s="79" t="n">
        <v>80.52822</v>
      </c>
      <c r="F478" s="79" t="n">
        <v>244.295556</v>
      </c>
    </row>
    <row r="479" ht="14" customHeight="1">
      <c r="A479" s="23" t="n">
        <v>2012</v>
      </c>
      <c r="B479" s="80">
        <f>(C479/D479)</f>
        <v/>
      </c>
      <c r="C479" s="81">
        <f>E479</f>
        <v/>
      </c>
      <c r="D479" s="81">
        <f>F479</f>
        <v/>
      </c>
      <c r="E479" s="81" t="n">
        <v>79.12993700000001</v>
      </c>
      <c r="F479" s="81" t="n">
        <v>239.702695</v>
      </c>
    </row>
    <row r="480" ht="14" customHeight="1">
      <c r="A480" s="16" t="n">
        <v>2013</v>
      </c>
      <c r="B480" s="78">
        <f>(C480/D480)</f>
        <v/>
      </c>
      <c r="C480" s="79">
        <f>E480</f>
        <v/>
      </c>
      <c r="D480" s="79">
        <f>F480</f>
        <v/>
      </c>
      <c r="E480" s="79" t="n">
        <v>77.933983</v>
      </c>
      <c r="F480" s="79" t="n">
        <v>236.748516</v>
      </c>
    </row>
    <row r="481" ht="14" customHeight="1">
      <c r="A481" s="23" t="n">
        <v>2014</v>
      </c>
      <c r="B481" s="80">
        <f>(C481/D481)</f>
        <v/>
      </c>
      <c r="C481" s="81">
        <f>E481</f>
        <v/>
      </c>
      <c r="D481" s="81">
        <f>F481</f>
        <v/>
      </c>
      <c r="E481" s="81" t="n">
        <v>78.25137699999999</v>
      </c>
      <c r="F481" s="81" t="n">
        <v>233.297767</v>
      </c>
    </row>
    <row r="482" ht="14" customHeight="1">
      <c r="A482" s="16" t="n">
        <v>2015</v>
      </c>
      <c r="B482" s="78">
        <f>(C482/D482)</f>
        <v/>
      </c>
      <c r="C482" s="79">
        <f>E482</f>
        <v/>
      </c>
      <c r="D482" s="79">
        <f>F482</f>
        <v/>
      </c>
      <c r="E482" s="79" t="n">
        <v>78.580682</v>
      </c>
      <c r="F482" s="79" t="n">
        <v>233.507663</v>
      </c>
    </row>
    <row r="483" ht="14" customHeight="1">
      <c r="A483" s="23" t="n">
        <v>2016</v>
      </c>
      <c r="B483" s="80">
        <f>(C483/D483)</f>
        <v/>
      </c>
      <c r="C483" s="81">
        <f>E483</f>
        <v/>
      </c>
      <c r="D483" s="81">
        <f>F483</f>
        <v/>
      </c>
      <c r="E483" s="81" t="n">
        <v>79.61735499999999</v>
      </c>
      <c r="F483" s="81" t="n">
        <v>237.799203</v>
      </c>
    </row>
    <row r="484" ht="14" customHeight="1">
      <c r="A484" s="16" t="n">
        <v>2017</v>
      </c>
      <c r="B484" s="78">
        <f>(C484/D484)</f>
        <v/>
      </c>
      <c r="C484" s="79">
        <f>E484</f>
        <v/>
      </c>
      <c r="D484" s="79">
        <f>F484</f>
        <v/>
      </c>
      <c r="E484" s="79" t="n">
        <v>81.03699499999999</v>
      </c>
      <c r="F484" s="79" t="n">
        <v>240.063508</v>
      </c>
    </row>
    <row r="485" ht="14" customHeight="1">
      <c r="A485" s="23" t="n">
        <v>2018</v>
      </c>
      <c r="B485" s="80">
        <f>(C485/D485)</f>
        <v/>
      </c>
      <c r="C485" s="81">
        <f>E485</f>
        <v/>
      </c>
      <c r="D485" s="81">
        <f>F485</f>
        <v/>
      </c>
      <c r="E485" s="81" t="n">
        <v>81.292179</v>
      </c>
      <c r="F485" s="81" t="n">
        <v>242.46632</v>
      </c>
    </row>
    <row r="486" ht="14" customHeight="1">
      <c r="A486" s="16" t="n">
        <v>2019</v>
      </c>
      <c r="B486" s="78">
        <f>(C486/D486)</f>
        <v/>
      </c>
      <c r="C486" s="79">
        <f>E486</f>
        <v/>
      </c>
      <c r="D486" s="79">
        <f>F486</f>
        <v/>
      </c>
      <c r="E486" s="79" t="n">
        <v>80.233557</v>
      </c>
      <c r="F486" s="79" t="n">
        <v>239.239595</v>
      </c>
    </row>
    <row r="487" ht="14" customHeight="1">
      <c r="A487" s="23" t="n">
        <v>2020</v>
      </c>
      <c r="B487" s="80">
        <f>(C487/D487)</f>
        <v/>
      </c>
      <c r="C487" s="81">
        <f>E487</f>
        <v/>
      </c>
      <c r="D487" s="81">
        <f>F487</f>
        <v/>
      </c>
      <c r="E487" s="81" t="n">
        <v>76.03787699999999</v>
      </c>
      <c r="F487" s="81" t="n">
        <v>230.923308</v>
      </c>
    </row>
    <row r="488" ht="14" customHeight="1">
      <c r="A488" s="16" t="n">
        <v>2021</v>
      </c>
      <c r="B488" s="78">
        <f>(C488/D488)</f>
        <v/>
      </c>
      <c r="C488" s="79">
        <f>E488</f>
        <v/>
      </c>
      <c r="D488" s="79">
        <f>F488</f>
        <v/>
      </c>
      <c r="E488" s="79" t="n">
        <v>79.831363</v>
      </c>
      <c r="F488" s="79" t="n">
        <v>240.343849</v>
      </c>
    </row>
    <row r="489" ht="14" customHeight="1">
      <c r="A489" s="23" t="n">
        <v>2022</v>
      </c>
      <c r="B489" s="80">
        <f>(C489/D489)</f>
        <v/>
      </c>
      <c r="C489" s="81">
        <f>E489</f>
        <v/>
      </c>
      <c r="D489" s="81">
        <f>F489</f>
        <v/>
      </c>
      <c r="E489" s="81" t="n">
        <v>74.70652699999999</v>
      </c>
      <c r="F489" s="81" t="n">
        <v>226.90747</v>
      </c>
    </row>
    <row r="490" ht="14" customHeight="1">
      <c r="A490" s="16" t="n">
        <v>2023</v>
      </c>
      <c r="B490" s="78">
        <f>(C490/D490)</f>
        <v/>
      </c>
      <c r="C490" s="79">
        <f>E490</f>
        <v/>
      </c>
      <c r="D490" s="79">
        <f>F490</f>
        <v/>
      </c>
      <c r="E490" s="79" t="n">
        <v>70.75010899999999</v>
      </c>
      <c r="F490" s="79" t="n">
        <v>215.070029</v>
      </c>
    </row>
    <row r="493">
      <c r="A493" s="86" t="inlineStr">
        <is>
          <t>T1 · Transport GHG emissions (EU)  (Mt CO₂eq)</t>
        </is>
      </c>
    </row>
    <row r="494" ht="26" customHeight="1">
      <c r="A494" s="83" t="inlineStr">
        <is>
          <t>NOT the report's derivation for the later years — the formula switches by year to a different recipe, because the report's own inputs have no feed. The two halves of this series are not computed the same way.</t>
        </is>
      </c>
    </row>
    <row r="495" ht="24" customHeight="1">
      <c r="A495" s="3" t="inlineStr">
        <is>
          <t>Derivation:  Value = IF(A &gt;= 2022, IF(A &gt;= 2023, ROUND(([env_air_gge CRF1A3] + [env_air_gge CRF1D1A]), 1), [Report figure — row missing from the seeded grid]), [Road - cars and motorcycles]+[Road - HDV and buses]+[Road - Light Duty Trucks]+[- of which Railways, IWW]+[Aviation]+[- of which Other])</t>
        </is>
      </c>
    </row>
    <row r="496" ht="42" customHeight="1">
      <c r="A496" s="77" t="inlineStr">
        <is>
          <t>Year</t>
        </is>
      </c>
      <c r="B496" s="77" t="inlineStr">
        <is>
          <t>Value</t>
        </is>
      </c>
      <c r="C496" s="77" t="inlineStr">
        <is>
          <t>Road - cars and motorcycles</t>
        </is>
      </c>
      <c r="D496" s="77" t="inlineStr">
        <is>
          <t>Road - HDV and buses</t>
        </is>
      </c>
      <c r="E496" s="77" t="inlineStr">
        <is>
          <t>Road - Light Duty Trucks</t>
        </is>
      </c>
      <c r="F496" s="77" t="inlineStr">
        <is>
          <t>- of which Railways, IWW</t>
        </is>
      </c>
      <c r="G496" s="77" t="inlineStr">
        <is>
          <t>Aviation</t>
        </is>
      </c>
      <c r="H496" s="77" t="inlineStr">
        <is>
          <t>- of which Other</t>
        </is>
      </c>
      <c r="I496" s="77" t="inlineStr">
        <is>
          <t>1.A.3.b.i - Cars</t>
        </is>
      </c>
      <c r="J496" s="77" t="inlineStr">
        <is>
          <t>1.A.3.b.iv - Motorcycles</t>
        </is>
      </c>
      <c r="K496" s="77" t="inlineStr">
        <is>
          <t>1.A.3.b.iii - Heavy duty trucks and buses</t>
        </is>
      </c>
      <c r="L496" s="77" t="inlineStr">
        <is>
          <t>1.A.3.b.ii - Light duty trucks</t>
        </is>
      </c>
      <c r="M496" s="77" t="inlineStr">
        <is>
          <t>1.A.3.c - Railways</t>
        </is>
      </c>
      <c r="N496" s="77" t="inlineStr">
        <is>
          <t>1.A.3.d - Domestic Navigation</t>
        </is>
      </c>
      <c r="O496" s="77" t="inlineStr">
        <is>
          <t>- of which domestic</t>
        </is>
      </c>
      <c r="P496" s="77" t="inlineStr">
        <is>
          <t>- of which international</t>
        </is>
      </c>
      <c r="Q496" s="77" t="inlineStr">
        <is>
          <t>1.A.3.b.v - Other Road Transportation</t>
        </is>
      </c>
      <c r="R496" s="77" t="inlineStr">
        <is>
          <t>1.A.3.e - Other Transportation</t>
        </is>
      </c>
      <c r="S496" s="77" t="inlineStr">
        <is>
          <t>1.A.3.a - Domestic Aviation</t>
        </is>
      </c>
      <c r="T496" s="77" t="inlineStr">
        <is>
          <t>1.D.1.a - International Aviation</t>
        </is>
      </c>
      <c r="U496" s="77" t="inlineStr">
        <is>
          <t>Report figure — row missing from the seeded grid</t>
        </is>
      </c>
      <c r="V496" s="77" t="inlineStr">
        <is>
          <t>env_air_gge CRF1A3</t>
        </is>
      </c>
      <c r="W496" s="77" t="inlineStr">
        <is>
          <t>env_air_gge CRF1D1A</t>
        </is>
      </c>
    </row>
    <row r="497" ht="14" customHeight="1">
      <c r="A497" s="16" t="n">
        <v>2005</v>
      </c>
      <c r="B497" s="78">
        <f>IF((A497&gt;=2022),IF((A497&gt;=2023),ROUND((V497+W497),1),U497),(((((C497+D497)+E497)+F497)+G497)+H497))</f>
        <v/>
      </c>
      <c r="C497" s="79">
        <f>((I497+J497)/1000)</f>
        <v/>
      </c>
      <c r="D497" s="79">
        <f>(K497/1000)</f>
        <v/>
      </c>
      <c r="E497" s="79">
        <f>(L497/1000)</f>
        <v/>
      </c>
      <c r="F497" s="79">
        <f>((M497+N497)/1000)</f>
        <v/>
      </c>
      <c r="G497" s="79">
        <f>(O497+P497)</f>
        <v/>
      </c>
      <c r="H497" s="79">
        <f>((Q497+R497)/1000)</f>
        <v/>
      </c>
      <c r="I497" s="79" t="n">
        <v>480541.4195306973</v>
      </c>
      <c r="J497" s="79" t="n">
        <v>11046.9162294182</v>
      </c>
      <c r="K497" s="79" t="n">
        <v>212730.2574256924</v>
      </c>
      <c r="L497" s="79" t="n">
        <v>92042.30337506154</v>
      </c>
      <c r="M497" s="79" t="n">
        <v>6282.695167411506</v>
      </c>
      <c r="N497" s="79" t="n">
        <v>19667.63120979702</v>
      </c>
      <c r="O497" s="79">
        <f>(S497/1000)</f>
        <v/>
      </c>
      <c r="P497" s="79">
        <f>(T497/1000)</f>
        <v/>
      </c>
      <c r="Q497" s="79" t="n">
        <v>180.6838115240363</v>
      </c>
      <c r="R497" s="79" t="n">
        <v>8159.599929271587</v>
      </c>
      <c r="S497" s="79" t="n">
        <v>16734.38838332025</v>
      </c>
      <c r="T497" s="79" t="n">
        <v>96093.5467867558</v>
      </c>
      <c r="U497" s="79" t="n"/>
      <c r="V497" s="79" t="n"/>
      <c r="W497" s="79" t="n"/>
    </row>
    <row r="498" ht="14" customHeight="1">
      <c r="A498" s="23" t="n">
        <v>2006</v>
      </c>
      <c r="B498" s="80">
        <f>IF((A498&gt;=2022),IF((A498&gt;=2023),ROUND((V498+W498),1),U498),(((((C498+D498)+E498)+F498)+G498)+H498))</f>
        <v/>
      </c>
      <c r="C498" s="81">
        <f>((I498+J498)/1000)</f>
        <v/>
      </c>
      <c r="D498" s="81">
        <f>(K498/1000)</f>
        <v/>
      </c>
      <c r="E498" s="81">
        <f>(L498/1000)</f>
        <v/>
      </c>
      <c r="F498" s="81">
        <f>((M498+N498)/1000)</f>
        <v/>
      </c>
      <c r="G498" s="81">
        <f>(O498+P498)</f>
        <v/>
      </c>
      <c r="H498" s="81">
        <f>((Q498+R498)/1000)</f>
        <v/>
      </c>
      <c r="I498" s="81" t="n">
        <v>482224.7537565306</v>
      </c>
      <c r="J498" s="81" t="n">
        <v>10949.38312180254</v>
      </c>
      <c r="K498" s="81" t="n">
        <v>217249.4479288239</v>
      </c>
      <c r="L498" s="81" t="n">
        <v>93929.94691200832</v>
      </c>
      <c r="M498" s="81" t="n">
        <v>6156.417396309589</v>
      </c>
      <c r="N498" s="81" t="n">
        <v>20000.15057251003</v>
      </c>
      <c r="O498" s="81">
        <f>(S498/1000)</f>
        <v/>
      </c>
      <c r="P498" s="81">
        <f>(T498/1000)</f>
        <v/>
      </c>
      <c r="Q498" s="81" t="n">
        <v>157.3326033718289</v>
      </c>
      <c r="R498" s="81" t="n">
        <v>8134.056410529875</v>
      </c>
      <c r="S498" s="81" t="n">
        <v>16692.10988452465</v>
      </c>
      <c r="T498" s="81" t="n">
        <v>101161.5316416803</v>
      </c>
      <c r="U498" s="81" t="n"/>
      <c r="V498" s="81" t="n"/>
      <c r="W498" s="81" t="n"/>
    </row>
    <row r="499" ht="14" customHeight="1">
      <c r="A499" s="16" t="n">
        <v>2007</v>
      </c>
      <c r="B499" s="78">
        <f>IF((A499&gt;=2022),IF((A499&gt;=2023),ROUND((V499+W499),1),U499),(((((C499+D499)+E499)+F499)+G499)+H499))</f>
        <v/>
      </c>
      <c r="C499" s="79">
        <f>((I499+J499)/1000)</f>
        <v/>
      </c>
      <c r="D499" s="79">
        <f>(K499/1000)</f>
        <v/>
      </c>
      <c r="E499" s="79">
        <f>(L499/1000)</f>
        <v/>
      </c>
      <c r="F499" s="79">
        <f>((M499+N499)/1000)</f>
        <v/>
      </c>
      <c r="G499" s="79">
        <f>(O499+P499)</f>
        <v/>
      </c>
      <c r="H499" s="79">
        <f>((Q499+R499)/1000)</f>
        <v/>
      </c>
      <c r="I499" s="79" t="n">
        <v>488774.5431278974</v>
      </c>
      <c r="J499" s="79" t="n">
        <v>10898.22662126159</v>
      </c>
      <c r="K499" s="79" t="n">
        <v>217801.829453462</v>
      </c>
      <c r="L499" s="79" t="n">
        <v>96305.67083674808</v>
      </c>
      <c r="M499" s="79" t="n">
        <v>6401.818138696881</v>
      </c>
      <c r="N499" s="79" t="n">
        <v>19039.84950103229</v>
      </c>
      <c r="O499" s="79">
        <f>(S499/1000)</f>
        <v/>
      </c>
      <c r="P499" s="79">
        <f>(T499/1000)</f>
        <v/>
      </c>
      <c r="Q499" s="79" t="n">
        <v>163.8315653621737</v>
      </c>
      <c r="R499" s="79" t="n">
        <v>7497.60617722514</v>
      </c>
      <c r="S499" s="79" t="n">
        <v>17103.98704857998</v>
      </c>
      <c r="T499" s="79" t="n">
        <v>105830.0665252898</v>
      </c>
      <c r="U499" s="79" t="n"/>
      <c r="V499" s="79" t="n"/>
      <c r="W499" s="79" t="n"/>
    </row>
    <row r="500" ht="14" customHeight="1">
      <c r="A500" s="23" t="n">
        <v>2008</v>
      </c>
      <c r="B500" s="80">
        <f>IF((A500&gt;=2022),IF((A500&gt;=2023),ROUND((V500+W500),1),U500),(((((C500+D500)+E500)+F500)+G500)+H500))</f>
        <v/>
      </c>
      <c r="C500" s="81">
        <f>((I500+J500)/1000)</f>
        <v/>
      </c>
      <c r="D500" s="81">
        <f>(K500/1000)</f>
        <v/>
      </c>
      <c r="E500" s="81">
        <f>(L500/1000)</f>
        <v/>
      </c>
      <c r="F500" s="81">
        <f>((M500+N500)/1000)</f>
        <v/>
      </c>
      <c r="G500" s="81">
        <f>(O500+P500)</f>
        <v/>
      </c>
      <c r="H500" s="81">
        <f>((Q500+R500)/1000)</f>
        <v/>
      </c>
      <c r="I500" s="81" t="n">
        <v>480951.2322424596</v>
      </c>
      <c r="J500" s="81" t="n">
        <v>11369.17784186646</v>
      </c>
      <c r="K500" s="81" t="n">
        <v>211140.0423809844</v>
      </c>
      <c r="L500" s="81" t="n">
        <v>91879.21238634594</v>
      </c>
      <c r="M500" s="81" t="n">
        <v>6161.826653202413</v>
      </c>
      <c r="N500" s="81" t="n">
        <v>18461.00120047764</v>
      </c>
      <c r="O500" s="81">
        <f>(S500/1000)</f>
        <v/>
      </c>
      <c r="P500" s="81">
        <f>(T500/1000)</f>
        <v/>
      </c>
      <c r="Q500" s="81" t="n">
        <v>186.5147739878819</v>
      </c>
      <c r="R500" s="81" t="n">
        <v>8046.77357797751</v>
      </c>
      <c r="S500" s="81" t="n">
        <v>16728.47941104744</v>
      </c>
      <c r="T500" s="81" t="n">
        <v>107394.2293441508</v>
      </c>
      <c r="U500" s="81" t="n"/>
      <c r="V500" s="81" t="n"/>
      <c r="W500" s="81" t="n"/>
    </row>
    <row r="501" ht="14" customHeight="1">
      <c r="A501" s="16" t="n">
        <v>2009</v>
      </c>
      <c r="B501" s="78">
        <f>IF((A501&gt;=2022),IF((A501&gt;=2023),ROUND((V501+W501),1),U501),(((((C501+D501)+E501)+F501)+G501)+H501))</f>
        <v/>
      </c>
      <c r="C501" s="79">
        <f>((I501+J501)/1000)</f>
        <v/>
      </c>
      <c r="D501" s="79">
        <f>(K501/1000)</f>
        <v/>
      </c>
      <c r="E501" s="79">
        <f>(L501/1000)</f>
        <v/>
      </c>
      <c r="F501" s="79">
        <f>((M501+N501)/1000)</f>
        <v/>
      </c>
      <c r="G501" s="79">
        <f>(O501+P501)</f>
        <v/>
      </c>
      <c r="H501" s="79">
        <f>((Q501+R501)/1000)</f>
        <v/>
      </c>
      <c r="I501" s="79" t="n">
        <v>476868.1113292528</v>
      </c>
      <c r="J501" s="79" t="n">
        <v>11052.93697323029</v>
      </c>
      <c r="K501" s="79" t="n">
        <v>199942.5153686436</v>
      </c>
      <c r="L501" s="79" t="n">
        <v>88318.86645627057</v>
      </c>
      <c r="M501" s="79" t="n">
        <v>5442.484407282776</v>
      </c>
      <c r="N501" s="79" t="n">
        <v>18499.95835661965</v>
      </c>
      <c r="O501" s="79">
        <f>(S501/1000)</f>
        <v/>
      </c>
      <c r="P501" s="79">
        <f>(T501/1000)</f>
        <v/>
      </c>
      <c r="Q501" s="79" t="n">
        <v>198.4096436006812</v>
      </c>
      <c r="R501" s="79" t="n">
        <v>6958.351885305405</v>
      </c>
      <c r="S501" s="79" t="n">
        <v>15841.39622316232</v>
      </c>
      <c r="T501" s="79" t="n">
        <v>98727.74136248264</v>
      </c>
      <c r="U501" s="79" t="n"/>
      <c r="V501" s="79" t="n"/>
      <c r="W501" s="79" t="n"/>
    </row>
    <row r="502" ht="14" customHeight="1">
      <c r="A502" s="23" t="n">
        <v>2010</v>
      </c>
      <c r="B502" s="80">
        <f>IF((A502&gt;=2022),IF((A502&gt;=2023),ROUND((V502+W502),1),U502),(((((C502+D502)+E502)+F502)+G502)+H502))</f>
        <v/>
      </c>
      <c r="C502" s="81">
        <f>((I502+J502)/1000)</f>
        <v/>
      </c>
      <c r="D502" s="81">
        <f>(K502/1000)</f>
        <v/>
      </c>
      <c r="E502" s="81">
        <f>(L502/1000)</f>
        <v/>
      </c>
      <c r="F502" s="81">
        <f>((M502+N502)/1000)</f>
        <v/>
      </c>
      <c r="G502" s="81">
        <f>(O502+P502)</f>
        <v/>
      </c>
      <c r="H502" s="81">
        <f>((Q502+R502)/1000)</f>
        <v/>
      </c>
      <c r="I502" s="81" t="n">
        <v>470814.6376809535</v>
      </c>
      <c r="J502" s="81" t="n">
        <v>10876.1538939472</v>
      </c>
      <c r="K502" s="81" t="n">
        <v>201980.2144096809</v>
      </c>
      <c r="L502" s="81" t="n">
        <v>87236.19763399899</v>
      </c>
      <c r="M502" s="81" t="n">
        <v>5426.968491217282</v>
      </c>
      <c r="N502" s="81" t="n">
        <v>18613.81651013615</v>
      </c>
      <c r="O502" s="81">
        <f>(S502/1000)</f>
        <v/>
      </c>
      <c r="P502" s="81">
        <f>(T502/1000)</f>
        <v/>
      </c>
      <c r="Q502" s="81" t="n">
        <v>136.7485342182449</v>
      </c>
      <c r="R502" s="81" t="n">
        <v>6746.827739532908</v>
      </c>
      <c r="S502" s="81" t="n">
        <v>15807.76351830229</v>
      </c>
      <c r="T502" s="81" t="n">
        <v>100367.703168101</v>
      </c>
      <c r="U502" s="81" t="n"/>
      <c r="V502" s="81" t="n"/>
      <c r="W502" s="81" t="n"/>
    </row>
    <row r="503" ht="14" customHeight="1">
      <c r="A503" s="16" t="n">
        <v>2011</v>
      </c>
      <c r="B503" s="78">
        <f>IF((A503&gt;=2022),IF((A503&gt;=2023),ROUND((V503+W503),1),U503),(((((C503+D503)+E503)+F503)+G503)+H503))</f>
        <v/>
      </c>
      <c r="C503" s="79">
        <f>((I503+J503)/1000)</f>
        <v/>
      </c>
      <c r="D503" s="79">
        <f>(K503/1000)</f>
        <v/>
      </c>
      <c r="E503" s="79">
        <f>(L503/1000)</f>
        <v/>
      </c>
      <c r="F503" s="79">
        <f>((M503+N503)/1000)</f>
        <v/>
      </c>
      <c r="G503" s="79">
        <f>(O503+P503)</f>
        <v/>
      </c>
      <c r="H503" s="79">
        <f>((Q503+R503)/1000)</f>
        <v/>
      </c>
      <c r="I503" s="79" t="n">
        <v>464550.594446394</v>
      </c>
      <c r="J503" s="79" t="n">
        <v>10663.06526666333</v>
      </c>
      <c r="K503" s="79" t="n">
        <v>201561.4929994726</v>
      </c>
      <c r="L503" s="79" t="n">
        <v>86850.32675061244</v>
      </c>
      <c r="M503" s="79" t="n">
        <v>5457.213375383851</v>
      </c>
      <c r="N503" s="79" t="n">
        <v>16854.76284116273</v>
      </c>
      <c r="O503" s="79">
        <f>(S503/1000)</f>
        <v/>
      </c>
      <c r="P503" s="79">
        <f>(T503/1000)</f>
        <v/>
      </c>
      <c r="Q503" s="79" t="n">
        <v>136.6343876429492</v>
      </c>
      <c r="R503" s="79" t="n">
        <v>6542.327235843891</v>
      </c>
      <c r="S503" s="79" t="n">
        <v>15624.00824834788</v>
      </c>
      <c r="T503" s="79" t="n">
        <v>102837.0641991336</v>
      </c>
      <c r="U503" s="79" t="n"/>
      <c r="V503" s="79" t="n"/>
      <c r="W503" s="79" t="n"/>
    </row>
    <row r="504" ht="14" customHeight="1">
      <c r="A504" s="23" t="n">
        <v>2012</v>
      </c>
      <c r="B504" s="80">
        <f>IF((A504&gt;=2022),IF((A504&gt;=2023),ROUND((V504+W504),1),U504),(((((C504+D504)+E504)+F504)+G504)+H504))</f>
        <v/>
      </c>
      <c r="C504" s="81">
        <f>((I504+J504)/1000)</f>
        <v/>
      </c>
      <c r="D504" s="81">
        <f>(K504/1000)</f>
        <v/>
      </c>
      <c r="E504" s="81">
        <f>(L504/1000)</f>
        <v/>
      </c>
      <c r="F504" s="81">
        <f>((M504+N504)/1000)</f>
        <v/>
      </c>
      <c r="G504" s="81">
        <f>(O504+P504)</f>
        <v/>
      </c>
      <c r="H504" s="81">
        <f>((Q504+R504)/1000)</f>
        <v/>
      </c>
      <c r="I504" s="81" t="n">
        <v>446069.6603040501</v>
      </c>
      <c r="J504" s="81" t="n">
        <v>10434.27695043798</v>
      </c>
      <c r="K504" s="81" t="n">
        <v>196460.0254851693</v>
      </c>
      <c r="L504" s="81" t="n">
        <v>83852.26061375874</v>
      </c>
      <c r="M504" s="81" t="n">
        <v>5276.009745269003</v>
      </c>
      <c r="N504" s="81" t="n">
        <v>16063.16671642914</v>
      </c>
      <c r="O504" s="81">
        <f>(S504/1000)</f>
        <v/>
      </c>
      <c r="P504" s="81">
        <f>(T504/1000)</f>
        <v/>
      </c>
      <c r="Q504" s="81" t="n">
        <v>127.1093837856459</v>
      </c>
      <c r="R504" s="81" t="n">
        <v>5944.59443163521</v>
      </c>
      <c r="S504" s="81" t="n">
        <v>14479.64604137401</v>
      </c>
      <c r="T504" s="81" t="n">
        <v>101711.2712350216</v>
      </c>
      <c r="U504" s="81" t="n"/>
      <c r="V504" s="81" t="n"/>
      <c r="W504" s="81" t="n"/>
    </row>
    <row r="505" ht="14" customHeight="1">
      <c r="A505" s="16" t="n">
        <v>2013</v>
      </c>
      <c r="B505" s="78">
        <f>IF((A505&gt;=2022),IF((A505&gt;=2023),ROUND((V505+W505),1),U505),(((((C505+D505)+E505)+F505)+G505)+H505))</f>
        <v/>
      </c>
      <c r="C505" s="79">
        <f>((I505+J505)/1000)</f>
        <v/>
      </c>
      <c r="D505" s="79">
        <f>(K505/1000)</f>
        <v/>
      </c>
      <c r="E505" s="79">
        <f>(L505/1000)</f>
        <v/>
      </c>
      <c r="F505" s="79">
        <f>((M505+N505)/1000)</f>
        <v/>
      </c>
      <c r="G505" s="79">
        <f>(O505+P505)</f>
        <v/>
      </c>
      <c r="H505" s="79">
        <f>((Q505+R505)/1000)</f>
        <v/>
      </c>
      <c r="I505" s="79" t="n">
        <v>448657.4457588319</v>
      </c>
      <c r="J505" s="79" t="n">
        <v>10133.1246484716</v>
      </c>
      <c r="K505" s="79" t="n">
        <v>194031.3210427841</v>
      </c>
      <c r="L505" s="79" t="n">
        <v>80353.77327952888</v>
      </c>
      <c r="M505" s="79" t="n">
        <v>4953.910265344102</v>
      </c>
      <c r="N505" s="79" t="n">
        <v>14694.89008832424</v>
      </c>
      <c r="O505" s="79">
        <f>(S505/1000)</f>
        <v/>
      </c>
      <c r="P505" s="79">
        <f>(T505/1000)</f>
        <v/>
      </c>
      <c r="Q505" s="79" t="n">
        <v>114.2692752323638</v>
      </c>
      <c r="R505" s="79" t="n">
        <v>6495.348440844533</v>
      </c>
      <c r="S505" s="79" t="n">
        <v>13279.9270060317</v>
      </c>
      <c r="T505" s="79" t="n">
        <v>102661.527717858</v>
      </c>
      <c r="U505" s="79" t="n"/>
      <c r="V505" s="79" t="n"/>
      <c r="W505" s="79" t="n"/>
    </row>
    <row r="506" ht="14" customHeight="1">
      <c r="A506" s="23" t="n">
        <v>2014</v>
      </c>
      <c r="B506" s="80">
        <f>IF((A506&gt;=2022),IF((A506&gt;=2023),ROUND((V506+W506),1),U506),(((((C506+D506)+E506)+F506)+G506)+H506))</f>
        <v/>
      </c>
      <c r="C506" s="81">
        <f>((I506+J506)/1000)</f>
        <v/>
      </c>
      <c r="D506" s="81">
        <f>(K506/1000)</f>
        <v/>
      </c>
      <c r="E506" s="81">
        <f>(L506/1000)</f>
        <v/>
      </c>
      <c r="F506" s="81">
        <f>((M506+N506)/1000)</f>
        <v/>
      </c>
      <c r="G506" s="81">
        <f>(O506+P506)</f>
        <v/>
      </c>
      <c r="H506" s="81">
        <f>((Q506+R506)/1000)</f>
        <v/>
      </c>
      <c r="I506" s="81" t="n">
        <v>458349.5111173873</v>
      </c>
      <c r="J506" s="81" t="n">
        <v>10417.87077557057</v>
      </c>
      <c r="K506" s="81" t="n">
        <v>191775.9318901639</v>
      </c>
      <c r="L506" s="81" t="n">
        <v>80458.77839013461</v>
      </c>
      <c r="M506" s="81" t="n">
        <v>4537.944268875722</v>
      </c>
      <c r="N506" s="81" t="n">
        <v>13946.77236602893</v>
      </c>
      <c r="O506" s="81">
        <f>(S506/1000)</f>
        <v/>
      </c>
      <c r="P506" s="81">
        <f>(T506/1000)</f>
        <v/>
      </c>
      <c r="Q506" s="81" t="n">
        <v>92.23786169576029</v>
      </c>
      <c r="R506" s="81" t="n">
        <v>5426.008108538639</v>
      </c>
      <c r="S506" s="81" t="n">
        <v>13073.22526108408</v>
      </c>
      <c r="T506" s="81" t="n">
        <v>104670.2515866599</v>
      </c>
      <c r="U506" s="81" t="n"/>
      <c r="V506" s="81" t="n"/>
      <c r="W506" s="81" t="n"/>
    </row>
    <row r="507" ht="14" customHeight="1">
      <c r="A507" s="16" t="n">
        <v>2015</v>
      </c>
      <c r="B507" s="78">
        <f>IF((A507&gt;=2022),IF((A507&gt;=2023),ROUND((V507+W507),1),U507),(((((C507+D507)+E507)+F507)+G507)+H507))</f>
        <v/>
      </c>
      <c r="C507" s="79">
        <f>((I507+J507)/1000)</f>
        <v/>
      </c>
      <c r="D507" s="79">
        <f>(K507/1000)</f>
        <v/>
      </c>
      <c r="E507" s="79">
        <f>(L507/1000)</f>
        <v/>
      </c>
      <c r="F507" s="79">
        <f>((M507+N507)/1000)</f>
        <v/>
      </c>
      <c r="G507" s="79">
        <f>(O507+P507)</f>
        <v/>
      </c>
      <c r="H507" s="79">
        <f>((Q507+R507)/1000)</f>
        <v/>
      </c>
      <c r="I507" s="79" t="n">
        <v>466627.8646851056</v>
      </c>
      <c r="J507" s="79" t="n">
        <v>10389.46464269595</v>
      </c>
      <c r="K507" s="79" t="n">
        <v>196116.1691848404</v>
      </c>
      <c r="L507" s="79" t="n">
        <v>82200.36075816839</v>
      </c>
      <c r="M507" s="79" t="n">
        <v>4540.918845670133</v>
      </c>
      <c r="N507" s="79" t="n">
        <v>14695.95268452451</v>
      </c>
      <c r="O507" s="79">
        <f>(S507/1000)</f>
        <v/>
      </c>
      <c r="P507" s="79">
        <f>(T507/1000)</f>
        <v/>
      </c>
      <c r="Q507" s="79" t="n">
        <v>92.8007694897789</v>
      </c>
      <c r="R507" s="79" t="n">
        <v>5424.7605925366</v>
      </c>
      <c r="S507" s="79" t="n">
        <v>13151.24530535753</v>
      </c>
      <c r="T507" s="79" t="n">
        <v>108530.225575632</v>
      </c>
      <c r="U507" s="79" t="n"/>
      <c r="V507" s="79" t="n"/>
      <c r="W507" s="79" t="n"/>
    </row>
    <row r="508" ht="14" customHeight="1">
      <c r="A508" s="23" t="n">
        <v>2016</v>
      </c>
      <c r="B508" s="80">
        <f>IF((A508&gt;=2022),IF((A508&gt;=2023),ROUND((V508+W508),1),U508),(((((C508+D508)+E508)+F508)+G508)+H508))</f>
        <v/>
      </c>
      <c r="C508" s="81">
        <f>((I508+J508)/1000)</f>
        <v/>
      </c>
      <c r="D508" s="81">
        <f>(K508/1000)</f>
        <v/>
      </c>
      <c r="E508" s="81">
        <f>(L508/1000)</f>
        <v/>
      </c>
      <c r="F508" s="81">
        <f>((M508+N508)/1000)</f>
        <v/>
      </c>
      <c r="G508" s="81">
        <f>(O508+P508)</f>
        <v/>
      </c>
      <c r="H508" s="81">
        <f>((Q508+R508)/1000)</f>
        <v/>
      </c>
      <c r="I508" s="81" t="n">
        <v>477579.9281676082</v>
      </c>
      <c r="J508" s="81" t="n">
        <v>10156.17112805583</v>
      </c>
      <c r="K508" s="81" t="n">
        <v>200624.424101592</v>
      </c>
      <c r="L508" s="81" t="n">
        <v>83344.27680641123</v>
      </c>
      <c r="M508" s="81" t="n">
        <v>4409.64316114178</v>
      </c>
      <c r="N508" s="81" t="n">
        <v>15513.01820303854</v>
      </c>
      <c r="O508" s="81">
        <f>(S508/1000)</f>
        <v/>
      </c>
      <c r="P508" s="81">
        <f>(T508/1000)</f>
        <v/>
      </c>
      <c r="Q508" s="81" t="n">
        <v>103.7253198588534</v>
      </c>
      <c r="R508" s="81" t="n">
        <v>5394.812618473869</v>
      </c>
      <c r="S508" s="81" t="n">
        <v>13623.16711971013</v>
      </c>
      <c r="T508" s="81" t="n">
        <v>115073.9625731744</v>
      </c>
      <c r="U508" s="81" t="n"/>
      <c r="V508" s="81" t="n"/>
      <c r="W508" s="81" t="n"/>
    </row>
    <row r="509" ht="14" customHeight="1">
      <c r="A509" s="16" t="n">
        <v>2017</v>
      </c>
      <c r="B509" s="78">
        <f>IF((A509&gt;=2022),IF((A509&gt;=2023),ROUND((V509+W509),1),U509),(((((C509+D509)+E509)+F509)+G509)+H509))</f>
        <v/>
      </c>
      <c r="C509" s="79">
        <f>((I509+J509)/1000)</f>
        <v/>
      </c>
      <c r="D509" s="79">
        <f>(K509/1000)</f>
        <v/>
      </c>
      <c r="E509" s="79">
        <f>(L509/1000)</f>
        <v/>
      </c>
      <c r="F509" s="79">
        <f>((M509+N509)/1000)</f>
        <v/>
      </c>
      <c r="G509" s="79">
        <f>(O509+P509)</f>
        <v/>
      </c>
      <c r="H509" s="79">
        <f>((Q509+R509)/1000)</f>
        <v/>
      </c>
      <c r="I509" s="79" t="n">
        <v>483452.2724814751</v>
      </c>
      <c r="J509" s="79" t="n">
        <v>10030.51849872875</v>
      </c>
      <c r="K509" s="79" t="n">
        <v>206072.8606619386</v>
      </c>
      <c r="L509" s="79" t="n">
        <v>84587.23581226081</v>
      </c>
      <c r="M509" s="79" t="n">
        <v>4337.338002892178</v>
      </c>
      <c r="N509" s="79" t="n">
        <v>16469.91469824284</v>
      </c>
      <c r="O509" s="79">
        <f>(S509/1000)</f>
        <v/>
      </c>
      <c r="P509" s="79">
        <f>(T509/1000)</f>
        <v/>
      </c>
      <c r="Q509" s="79" t="n">
        <v>110.3166881292349</v>
      </c>
      <c r="R509" s="79" t="n">
        <v>5917.340847083199</v>
      </c>
      <c r="S509" s="79" t="n">
        <v>14002.87329188981</v>
      </c>
      <c r="T509" s="79" t="n">
        <v>124162.2531613785</v>
      </c>
      <c r="U509" s="79" t="n"/>
      <c r="V509" s="79" t="n"/>
      <c r="W509" s="79" t="n"/>
    </row>
    <row r="510" ht="14" customHeight="1">
      <c r="A510" s="23" t="n">
        <v>2018</v>
      </c>
      <c r="B510" s="80">
        <f>IF((A510&gt;=2022),IF((A510&gt;=2023),ROUND((V510+W510),1),U510),(((((C510+D510)+E510)+F510)+G510)+H510))</f>
        <v/>
      </c>
      <c r="C510" s="81">
        <f>((I510+J510)/1000)</f>
        <v/>
      </c>
      <c r="D510" s="81">
        <f>(K510/1000)</f>
        <v/>
      </c>
      <c r="E510" s="81">
        <f>(L510/1000)</f>
        <v/>
      </c>
      <c r="F510" s="81">
        <f>((M510+N510)/1000)</f>
        <v/>
      </c>
      <c r="G510" s="81">
        <f>(O510+P510)</f>
        <v/>
      </c>
      <c r="H510" s="81">
        <f>((Q510+R510)/1000)</f>
        <v/>
      </c>
      <c r="I510" s="81" t="n">
        <v>480336.4333123153</v>
      </c>
      <c r="J510" s="81" t="n">
        <v>9818.065177598211</v>
      </c>
      <c r="K510" s="81" t="n">
        <v>208220.8162255524</v>
      </c>
      <c r="L510" s="81" t="n">
        <v>85923.18140081303</v>
      </c>
      <c r="M510" s="81" t="n">
        <v>4142.605103300223</v>
      </c>
      <c r="N510" s="81" t="n">
        <v>17265.78740677839</v>
      </c>
      <c r="O510" s="81">
        <f>(S510/1000)</f>
        <v/>
      </c>
      <c r="P510" s="81">
        <f>(T510/1000)</f>
        <v/>
      </c>
      <c r="Q510" s="81" t="n">
        <v>108.9928640036318</v>
      </c>
      <c r="R510" s="81" t="n">
        <v>6045.428949767484</v>
      </c>
      <c r="S510" s="81" t="n">
        <v>14621.70565822709</v>
      </c>
      <c r="T510" s="81" t="n">
        <v>130358.3122343503</v>
      </c>
      <c r="U510" s="81" t="n"/>
      <c r="V510" s="81" t="n"/>
      <c r="W510" s="81" t="n"/>
    </row>
    <row r="511" ht="14" customHeight="1">
      <c r="A511" s="16" t="n">
        <v>2019</v>
      </c>
      <c r="B511" s="78">
        <f>IF((A511&gt;=2022),IF((A511&gt;=2023),ROUND((V511+W511),1),U511),(((((C511+D511)+E511)+F511)+G511)+H511))</f>
        <v/>
      </c>
      <c r="C511" s="79">
        <f>((I511+J511)/1000)</f>
        <v/>
      </c>
      <c r="D511" s="79">
        <f>(K511/1000)</f>
        <v/>
      </c>
      <c r="E511" s="79">
        <f>(L511/1000)</f>
        <v/>
      </c>
      <c r="F511" s="79">
        <f>((M511+N511)/1000)</f>
        <v/>
      </c>
      <c r="G511" s="79">
        <f>(O511+P511)</f>
        <v/>
      </c>
      <c r="H511" s="79">
        <f>((Q511+R511)/1000)</f>
        <v/>
      </c>
      <c r="I511" s="79" t="n">
        <v>483220.2505014302</v>
      </c>
      <c r="J511" s="79" t="n">
        <v>10171.73690057964</v>
      </c>
      <c r="K511" s="79" t="n">
        <v>210357.032593334</v>
      </c>
      <c r="L511" s="79" t="n">
        <v>86143.86612410132</v>
      </c>
      <c r="M511" s="79" t="n">
        <v>4107.969264214858</v>
      </c>
      <c r="N511" s="79" t="n">
        <v>17941.24912100423</v>
      </c>
      <c r="O511" s="79">
        <f>(S511/1000)</f>
        <v/>
      </c>
      <c r="P511" s="79">
        <f>(T511/1000)</f>
        <v/>
      </c>
      <c r="Q511" s="79" t="n">
        <v>102.5636790047715</v>
      </c>
      <c r="R511" s="79" t="n">
        <v>5761.91235357339</v>
      </c>
      <c r="S511" s="79" t="n">
        <v>14926.38224293806</v>
      </c>
      <c r="T511" s="79" t="n">
        <v>132976.6899599499</v>
      </c>
      <c r="U511" s="79" t="n"/>
      <c r="V511" s="79" t="n"/>
      <c r="W511" s="79" t="n"/>
    </row>
    <row r="512" ht="14" customHeight="1">
      <c r="A512" s="23" t="n">
        <v>2020</v>
      </c>
      <c r="B512" s="80">
        <f>IF((A512&gt;=2022),IF((A512&gt;=2023),ROUND((V512+W512),1),U512),(((((C512+D512)+E512)+F512)+G512)+H512))</f>
        <v/>
      </c>
      <c r="C512" s="81">
        <f>((I512+J512)/1000)</f>
        <v/>
      </c>
      <c r="D512" s="81">
        <f>(K512/1000)</f>
        <v/>
      </c>
      <c r="E512" s="81">
        <f>(L512/1000)</f>
        <v/>
      </c>
      <c r="F512" s="81">
        <f>((M512+N512)/1000)</f>
        <v/>
      </c>
      <c r="G512" s="81">
        <f>(O512+P512)</f>
        <v/>
      </c>
      <c r="H512" s="81">
        <f>((Q512+R512)/1000)</f>
        <v/>
      </c>
      <c r="I512" s="81" t="n">
        <v>406560.9239682709</v>
      </c>
      <c r="J512" s="81" t="n">
        <v>8991.798144639868</v>
      </c>
      <c r="K512" s="81" t="n">
        <v>194382.6212657854</v>
      </c>
      <c r="L512" s="81" t="n">
        <v>77538.64236736868</v>
      </c>
      <c r="M512" s="81" t="n">
        <v>3660.556040153515</v>
      </c>
      <c r="N512" s="81" t="n">
        <v>16386.00470699061</v>
      </c>
      <c r="O512" s="81">
        <f>(S512/1000)</f>
        <v/>
      </c>
      <c r="P512" s="81">
        <f>(T512/1000)</f>
        <v/>
      </c>
      <c r="Q512" s="81" t="n">
        <v>103.4819511785051</v>
      </c>
      <c r="R512" s="81" t="n">
        <v>4635.344689535795</v>
      </c>
      <c r="S512" s="81" t="n">
        <v>7922.144839822689</v>
      </c>
      <c r="T512" s="81" t="n">
        <v>56110.15386994078</v>
      </c>
      <c r="U512" s="81" t="n"/>
      <c r="V512" s="81" t="n"/>
      <c r="W512" s="81" t="n"/>
    </row>
    <row r="513" ht="14" customHeight="1">
      <c r="A513" s="16" t="n">
        <v>2021</v>
      </c>
      <c r="B513" s="78">
        <f>IF((A513&gt;=2022),IF((A513&gt;=2023),ROUND((V513+W513),1),U513),(((((C513+D513)+E513)+F513)+G513)+H513))</f>
        <v/>
      </c>
      <c r="C513" s="79">
        <f>((I513+J513)/1000)</f>
        <v/>
      </c>
      <c r="D513" s="79">
        <f>(K513/1000)</f>
        <v/>
      </c>
      <c r="E513" s="79">
        <f>(L513/1000)</f>
        <v/>
      </c>
      <c r="F513" s="79">
        <f>((M513+N513)/1000)</f>
        <v/>
      </c>
      <c r="G513" s="79">
        <f>(O513+P513)</f>
        <v/>
      </c>
      <c r="H513" s="79">
        <f>((Q513+R513)/1000)</f>
        <v/>
      </c>
      <c r="I513" s="79" t="n">
        <v>440486.9945554133</v>
      </c>
      <c r="J513" s="79" t="n">
        <v>9766.083034944579</v>
      </c>
      <c r="K513" s="79" t="n">
        <v>209370.6145083884</v>
      </c>
      <c r="L513" s="79" t="n">
        <v>88121.01624361766</v>
      </c>
      <c r="M513" s="79" t="n">
        <v>3751.154061693234</v>
      </c>
      <c r="N513" s="79" t="n">
        <v>15975.46154971628</v>
      </c>
      <c r="O513" s="79">
        <f>(S513/1000)</f>
        <v/>
      </c>
      <c r="P513" s="79">
        <f>(T513/1000)</f>
        <v/>
      </c>
      <c r="Q513" s="79" t="n">
        <v>121.3041059004118</v>
      </c>
      <c r="R513" s="79" t="n">
        <v>4691.600607100246</v>
      </c>
      <c r="S513" s="79" t="n">
        <v>9816.464046063951</v>
      </c>
      <c r="T513" s="79" t="n">
        <v>69754.33288629929</v>
      </c>
      <c r="U513" s="79" t="n"/>
      <c r="V513" s="79" t="n"/>
      <c r="W513" s="79" t="n"/>
    </row>
    <row r="514" ht="14" customHeight="1">
      <c r="A514" s="23" t="n">
        <v>2022</v>
      </c>
      <c r="B514" s="80">
        <f>IF((A514&gt;=2022),IF((A514&gt;=2023),ROUND((V514+W514),1),U514),(((((C514+D514)+E514)+F514)+G514)+H514))</f>
        <v/>
      </c>
      <c r="C514" s="81">
        <f>((I514+J514)/1000)</f>
        <v/>
      </c>
      <c r="D514" s="81">
        <f>(K514/1000)</f>
        <v/>
      </c>
      <c r="E514" s="81">
        <f>(L514/1000)</f>
        <v/>
      </c>
      <c r="F514" s="81">
        <f>((M514+N514)/1000)</f>
        <v/>
      </c>
      <c r="G514" s="81">
        <f>(O514+P514)</f>
        <v/>
      </c>
      <c r="H514" s="81">
        <f>((Q514+R514)/1000)</f>
        <v/>
      </c>
      <c r="I514" s="81" t="n"/>
      <c r="J514" s="81" t="n"/>
      <c r="K514" s="81" t="n"/>
      <c r="L514" s="81" t="n"/>
      <c r="M514" s="81" t="n"/>
      <c r="N514" s="81" t="n"/>
      <c r="O514" s="81">
        <f>(S514/1000)</f>
        <v/>
      </c>
      <c r="P514" s="81">
        <f>(T514/1000)</f>
        <v/>
      </c>
      <c r="Q514" s="81" t="n"/>
      <c r="R514" s="81" t="n"/>
      <c r="S514" s="81" t="n"/>
      <c r="T514" s="81" t="n"/>
      <c r="U514" s="81" t="n">
        <v>906.6</v>
      </c>
      <c r="V514" s="81" t="n"/>
      <c r="W514" s="81" t="n"/>
    </row>
    <row r="515" ht="14" customHeight="1">
      <c r="A515" s="16" t="n">
        <v>2023</v>
      </c>
      <c r="B515" s="78">
        <f>IF((A515&gt;=2022),IF((A515&gt;=2023),ROUND((V515+W515),1),U515),(((((C515+D515)+E515)+F515)+G515)+H515))</f>
        <v/>
      </c>
      <c r="C515" s="79">
        <f>((I515+J515)/1000)</f>
        <v/>
      </c>
      <c r="D515" s="79">
        <f>(K515/1000)</f>
        <v/>
      </c>
      <c r="E515" s="79">
        <f>(L515/1000)</f>
        <v/>
      </c>
      <c r="F515" s="79">
        <f>((M515+N515)/1000)</f>
        <v/>
      </c>
      <c r="G515" s="79">
        <f>(O515+P515)</f>
        <v/>
      </c>
      <c r="H515" s="79">
        <f>((Q515+R515)/1000)</f>
        <v/>
      </c>
      <c r="I515" s="79" t="n"/>
      <c r="J515" s="79" t="n"/>
      <c r="K515" s="79" t="n"/>
      <c r="L515" s="79" t="n"/>
      <c r="M515" s="79" t="n"/>
      <c r="N515" s="79" t="n"/>
      <c r="O515" s="79">
        <f>(S515/1000)</f>
        <v/>
      </c>
      <c r="P515" s="79">
        <f>(T515/1000)</f>
        <v/>
      </c>
      <c r="Q515" s="79" t="n"/>
      <c r="R515" s="79" t="n"/>
      <c r="S515" s="79" t="n"/>
      <c r="T515" s="79" t="n"/>
      <c r="U515" s="79" t="n"/>
      <c r="V515" s="79" t="n">
        <v>795.6403800000001</v>
      </c>
      <c r="W515" s="79" t="n">
        <v>122.75595</v>
      </c>
    </row>
    <row r="516" ht="14" customHeight="1">
      <c r="A516" s="23" t="n">
        <v>2024</v>
      </c>
      <c r="B516" s="80">
        <f>IF((A516&gt;=2022),IF((A516&gt;=2023),ROUND((V516+W516),1),U516),(((((C516+D516)+E516)+F516)+G516)+H516))</f>
        <v/>
      </c>
      <c r="C516" s="81">
        <f>((I516+J516)/1000)</f>
        <v/>
      </c>
      <c r="D516" s="81">
        <f>(K516/1000)</f>
        <v/>
      </c>
      <c r="E516" s="81">
        <f>(L516/1000)</f>
        <v/>
      </c>
      <c r="F516" s="81">
        <f>((M516+N516)/1000)</f>
        <v/>
      </c>
      <c r="G516" s="81">
        <f>(O516+P516)</f>
        <v/>
      </c>
      <c r="H516" s="81">
        <f>((Q516+R516)/1000)</f>
        <v/>
      </c>
      <c r="I516" s="81" t="n"/>
      <c r="J516" s="81" t="n"/>
      <c r="K516" s="81" t="n"/>
      <c r="L516" s="81" t="n"/>
      <c r="M516" s="81" t="n"/>
      <c r="N516" s="81" t="n"/>
      <c r="O516" s="81">
        <f>(S516/1000)</f>
        <v/>
      </c>
      <c r="P516" s="81">
        <f>(T516/1000)</f>
        <v/>
      </c>
      <c r="Q516" s="81" t="n"/>
      <c r="R516" s="81" t="n"/>
      <c r="S516" s="81" t="n"/>
      <c r="T516" s="81" t="n"/>
      <c r="U516" s="81" t="n"/>
      <c r="V516" s="81" t="n">
        <v>804.76405</v>
      </c>
      <c r="W516" s="81" t="n">
        <v>129.98166</v>
      </c>
    </row>
    <row r="519">
      <c r="A519" s="86" t="inlineStr">
        <is>
          <t>T2a · Total passenger transport demand  (Gpkm)</t>
        </is>
      </c>
    </row>
    <row r="520" ht="26" customHeight="1">
      <c r="A520" s="83" t="inlineStr">
        <is>
          <t>No derivation for the later years — the figure is the publication's own.</t>
        </is>
      </c>
    </row>
    <row r="521" ht="24" customHeight="1">
      <c r="A521" s="3" t="inlineStr">
        <is>
          <t>Derivation:  Value = IF(A &gt;= 2022, [Post-report figure as published], [cars and 2-wheels]+[buses and coaches]+[rail]+[aviation])</t>
        </is>
      </c>
    </row>
    <row r="522" ht="42" customHeight="1">
      <c r="A522" s="77" t="inlineStr">
        <is>
          <t>Year</t>
        </is>
      </c>
      <c r="B522" s="77" t="inlineStr">
        <is>
          <t>Value</t>
        </is>
      </c>
      <c r="C522" s="77" t="inlineStr">
        <is>
          <t>cars and 2-wheels</t>
        </is>
      </c>
      <c r="D522" s="77" t="inlineStr">
        <is>
          <t>buses and coaches</t>
        </is>
      </c>
      <c r="E522" s="77" t="inlineStr">
        <is>
          <t>rail</t>
        </is>
      </c>
      <c r="F522" s="77" t="inlineStr">
        <is>
          <t>aviation</t>
        </is>
      </c>
      <c r="G522" s="77" t="inlineStr">
        <is>
          <t>Passenger Cars</t>
        </is>
      </c>
      <c r="H522" s="77" t="inlineStr">
        <is>
          <t>Powered 2-wheelers</t>
        </is>
      </c>
      <c r="I522" s="77" t="inlineStr">
        <is>
          <t>Buses &amp; Coaches</t>
        </is>
      </c>
      <c r="J522" s="77" t="inlineStr">
        <is>
          <t>Railways</t>
        </is>
      </c>
      <c r="K522" s="77" t="inlineStr">
        <is>
          <t>Tram &amp; Metro</t>
        </is>
      </c>
      <c r="L522" s="77" t="inlineStr">
        <is>
          <t>Air</t>
        </is>
      </c>
      <c r="M522" s="77" t="inlineStr">
        <is>
          <t>Post-report figure as published</t>
        </is>
      </c>
    </row>
    <row r="523" ht="14" customHeight="1">
      <c r="A523" s="16" t="n">
        <v>2005</v>
      </c>
      <c r="B523" s="78">
        <f>IF((A523&gt;=2022),M523,(((C523+D523)+E523)+F523))</f>
        <v/>
      </c>
      <c r="C523" s="79">
        <f>(G523+H523)</f>
        <v/>
      </c>
      <c r="D523" s="79">
        <f>I523</f>
        <v/>
      </c>
      <c r="E523" s="79">
        <f>(J523+K523)</f>
        <v/>
      </c>
      <c r="F523" s="79">
        <f>L523</f>
        <v/>
      </c>
      <c r="G523" s="79" t="n">
        <v>3839.2</v>
      </c>
      <c r="H523" s="79" t="n">
        <v>114.6</v>
      </c>
      <c r="I523" s="79" t="n">
        <v>497.8</v>
      </c>
      <c r="J523" s="79" t="n">
        <v>339.8</v>
      </c>
      <c r="K523" s="79" t="n">
        <v>73.2</v>
      </c>
      <c r="L523" s="79" t="n">
        <v>361.3</v>
      </c>
      <c r="M523" s="79" t="n"/>
    </row>
    <row r="524" ht="14" customHeight="1">
      <c r="A524" s="23" t="n">
        <v>2006</v>
      </c>
      <c r="B524" s="80">
        <f>IF((A524&gt;=2022),M524,(((C524+D524)+E524)+F524))</f>
        <v/>
      </c>
      <c r="C524" s="81">
        <f>(G524+H524)</f>
        <v/>
      </c>
      <c r="D524" s="81">
        <f>I524</f>
        <v/>
      </c>
      <c r="E524" s="81">
        <f>(J524+K524)</f>
        <v/>
      </c>
      <c r="F524" s="81">
        <f>L524</f>
        <v/>
      </c>
      <c r="G524" s="81" t="n">
        <v>3875.3</v>
      </c>
      <c r="H524" s="81" t="n">
        <v>113.6</v>
      </c>
      <c r="I524" s="81" t="n">
        <v>497.8</v>
      </c>
      <c r="J524" s="81" t="n">
        <v>349.4</v>
      </c>
      <c r="K524" s="81" t="n">
        <v>74.59999999999999</v>
      </c>
      <c r="L524" s="81" t="n">
        <v>376.4</v>
      </c>
      <c r="M524" s="81" t="n"/>
    </row>
    <row r="525" ht="14" customHeight="1">
      <c r="A525" s="16" t="n">
        <v>2007</v>
      </c>
      <c r="B525" s="78">
        <f>IF((A525&gt;=2022),M525,(((C525+D525)+E525)+F525))</f>
        <v/>
      </c>
      <c r="C525" s="79">
        <f>(G525+H525)</f>
        <v/>
      </c>
      <c r="D525" s="79">
        <f>I525</f>
        <v/>
      </c>
      <c r="E525" s="79">
        <f>(J525+K525)</f>
        <v/>
      </c>
      <c r="F525" s="79">
        <f>L525</f>
        <v/>
      </c>
      <c r="G525" s="79" t="n">
        <v>3921.3</v>
      </c>
      <c r="H525" s="79" t="n">
        <v>109.6</v>
      </c>
      <c r="I525" s="79" t="n">
        <v>507.9</v>
      </c>
      <c r="J525" s="79" t="n">
        <v>353.4</v>
      </c>
      <c r="K525" s="79" t="n">
        <v>76.40000000000001</v>
      </c>
      <c r="L525" s="79" t="n">
        <v>392.2</v>
      </c>
      <c r="M525" s="79" t="n"/>
    </row>
    <row r="526" ht="14" customHeight="1">
      <c r="A526" s="23" t="n">
        <v>2008</v>
      </c>
      <c r="B526" s="80">
        <f>IF((A526&gt;=2022),M526,(((C526+D526)+E526)+F526))</f>
        <v/>
      </c>
      <c r="C526" s="81">
        <f>(G526+H526)</f>
        <v/>
      </c>
      <c r="D526" s="81">
        <f>I526</f>
        <v/>
      </c>
      <c r="E526" s="81">
        <f>(J526+K526)</f>
        <v/>
      </c>
      <c r="F526" s="81">
        <f>L526</f>
        <v/>
      </c>
      <c r="G526" s="81" t="n">
        <v>3931.6</v>
      </c>
      <c r="H526" s="81" t="n">
        <v>114.5</v>
      </c>
      <c r="I526" s="81" t="n">
        <v>514.1</v>
      </c>
      <c r="J526" s="81" t="n">
        <v>366.6</v>
      </c>
      <c r="K526" s="81" t="n">
        <v>79.3</v>
      </c>
      <c r="L526" s="81" t="n">
        <v>383.8</v>
      </c>
      <c r="M526" s="81" t="n"/>
    </row>
    <row r="527" ht="14" customHeight="1">
      <c r="A527" s="16" t="n">
        <v>2009</v>
      </c>
      <c r="B527" s="78">
        <f>IF((A527&gt;=2022),M527,(((C527+D527)+E527)+F527))</f>
        <v/>
      </c>
      <c r="C527" s="79">
        <f>(G527+H527)</f>
        <v/>
      </c>
      <c r="D527" s="79">
        <f>I527</f>
        <v/>
      </c>
      <c r="E527" s="79">
        <f>(J527+K527)</f>
        <v/>
      </c>
      <c r="F527" s="79">
        <f>L527</f>
        <v/>
      </c>
      <c r="G527" s="79" t="n">
        <v>4009.2</v>
      </c>
      <c r="H527" s="79" t="n">
        <v>112</v>
      </c>
      <c r="I527" s="79" t="n">
        <v>489.7</v>
      </c>
      <c r="J527" s="79" t="n">
        <v>359.3</v>
      </c>
      <c r="K527" s="79" t="n">
        <v>78.59999999999999</v>
      </c>
      <c r="L527" s="79" t="n">
        <v>361.8</v>
      </c>
      <c r="M527" s="79" t="n"/>
    </row>
    <row r="528" ht="14" customHeight="1">
      <c r="A528" s="23" t="n">
        <v>2010</v>
      </c>
      <c r="B528" s="80">
        <f>IF((A528&gt;=2022),M528,(((C528+D528)+E528)+F528))</f>
        <v/>
      </c>
      <c r="C528" s="81">
        <f>(G528+H528)</f>
        <v/>
      </c>
      <c r="D528" s="81">
        <f>I528</f>
        <v/>
      </c>
      <c r="E528" s="81">
        <f>(J528+K528)</f>
        <v/>
      </c>
      <c r="F528" s="81">
        <f>L528</f>
        <v/>
      </c>
      <c r="G528" s="81" t="n">
        <v>3975.9</v>
      </c>
      <c r="H528" s="81" t="n">
        <v>113.8</v>
      </c>
      <c r="I528" s="81" t="n">
        <v>482.2</v>
      </c>
      <c r="J528" s="81" t="n">
        <v>358.3</v>
      </c>
      <c r="K528" s="81" t="n">
        <v>80.7</v>
      </c>
      <c r="L528" s="81" t="n">
        <v>377.3</v>
      </c>
      <c r="M528" s="81" t="n"/>
    </row>
    <row r="529" ht="14" customHeight="1">
      <c r="A529" s="16" t="n">
        <v>2011</v>
      </c>
      <c r="B529" s="78">
        <f>IF((A529&gt;=2022),M529,(((C529+D529)+E529)+F529))</f>
        <v/>
      </c>
      <c r="C529" s="79">
        <f>(G529+H529)</f>
        <v/>
      </c>
      <c r="D529" s="79">
        <f>I529</f>
        <v/>
      </c>
      <c r="E529" s="79">
        <f>(J529+K529)</f>
        <v/>
      </c>
      <c r="F529" s="79">
        <f>L529</f>
        <v/>
      </c>
      <c r="G529" s="79" t="n">
        <v>3943.6</v>
      </c>
      <c r="H529" s="79" t="n">
        <v>117.7</v>
      </c>
      <c r="I529" s="79" t="n">
        <v>485.6</v>
      </c>
      <c r="J529" s="79" t="n">
        <v>364.1</v>
      </c>
      <c r="K529" s="79" t="n">
        <v>81.09999999999999</v>
      </c>
      <c r="L529" s="79" t="n">
        <v>408.5</v>
      </c>
      <c r="M529" s="79" t="n"/>
    </row>
    <row r="530" ht="14" customHeight="1">
      <c r="A530" s="23" t="n">
        <v>2012</v>
      </c>
      <c r="B530" s="80">
        <f>IF((A530&gt;=2022),M530,(((C530+D530)+E530)+F530))</f>
        <v/>
      </c>
      <c r="C530" s="81">
        <f>(G530+H530)</f>
        <v/>
      </c>
      <c r="D530" s="81">
        <f>I530</f>
        <v/>
      </c>
      <c r="E530" s="81">
        <f>(J530+K530)</f>
        <v/>
      </c>
      <c r="F530" s="81">
        <f>L530</f>
        <v/>
      </c>
      <c r="G530" s="81" t="n">
        <v>3898.5</v>
      </c>
      <c r="H530" s="81" t="n">
        <v>115.1</v>
      </c>
      <c r="I530" s="81" t="n">
        <v>481.6</v>
      </c>
      <c r="J530" s="81" t="n">
        <v>367.3</v>
      </c>
      <c r="K530" s="81" t="n">
        <v>82.2</v>
      </c>
      <c r="L530" s="81" t="n">
        <v>402.1</v>
      </c>
      <c r="M530" s="81" t="n"/>
    </row>
    <row r="531" ht="14" customHeight="1">
      <c r="A531" s="16" t="n">
        <v>2013</v>
      </c>
      <c r="B531" s="78">
        <f>IF((A531&gt;=2022),M531,(((C531+D531)+E531)+F531))</f>
        <v/>
      </c>
      <c r="C531" s="79">
        <f>(G531+H531)</f>
        <v/>
      </c>
      <c r="D531" s="79">
        <f>I531</f>
        <v/>
      </c>
      <c r="E531" s="79">
        <f>(J531+K531)</f>
        <v/>
      </c>
      <c r="F531" s="79">
        <f>L531</f>
        <v/>
      </c>
      <c r="G531" s="79" t="n">
        <v>3957.2</v>
      </c>
      <c r="H531" s="79" t="n">
        <v>114.7</v>
      </c>
      <c r="I531" s="79" t="n">
        <v>480.5</v>
      </c>
      <c r="J531" s="79" t="n">
        <v>371.8</v>
      </c>
      <c r="K531" s="79" t="n">
        <v>82</v>
      </c>
      <c r="L531" s="79" t="n">
        <v>406</v>
      </c>
      <c r="M531" s="79" t="n"/>
    </row>
    <row r="532" ht="14" customHeight="1">
      <c r="A532" s="23" t="n">
        <v>2014</v>
      </c>
      <c r="B532" s="80">
        <f>IF((A532&gt;=2022),M532,(((C532+D532)+E532)+F532))</f>
        <v/>
      </c>
      <c r="C532" s="81">
        <f>(G532+H532)</f>
        <v/>
      </c>
      <c r="D532" s="81">
        <f>I532</f>
        <v/>
      </c>
      <c r="E532" s="81">
        <f>(J532+K532)</f>
        <v/>
      </c>
      <c r="F532" s="81">
        <f>L532</f>
        <v/>
      </c>
      <c r="G532" s="81" t="n">
        <v>4012.5</v>
      </c>
      <c r="H532" s="81" t="n">
        <v>117.4</v>
      </c>
      <c r="I532" s="81" t="n">
        <v>476.2</v>
      </c>
      <c r="J532" s="81" t="n">
        <v>376.3</v>
      </c>
      <c r="K532" s="81" t="n">
        <v>82.2</v>
      </c>
      <c r="L532" s="81" t="n">
        <v>425.6</v>
      </c>
      <c r="M532" s="81" t="n"/>
    </row>
    <row r="533" ht="14" customHeight="1">
      <c r="A533" s="16" t="n">
        <v>2015</v>
      </c>
      <c r="B533" s="78">
        <f>IF((A533&gt;=2022),M533,(((C533+D533)+E533)+F533))</f>
        <v/>
      </c>
      <c r="C533" s="79">
        <f>(G533+H533)</f>
        <v/>
      </c>
      <c r="D533" s="79">
        <f>I533</f>
        <v/>
      </c>
      <c r="E533" s="79">
        <f>(J533+K533)</f>
        <v/>
      </c>
      <c r="F533" s="79">
        <f>L533</f>
        <v/>
      </c>
      <c r="G533" s="79" t="n">
        <v>4101</v>
      </c>
      <c r="H533" s="79" t="n">
        <v>117.4</v>
      </c>
      <c r="I533" s="79" t="n">
        <v>493.4</v>
      </c>
      <c r="J533" s="79" t="n">
        <v>381.6</v>
      </c>
      <c r="K533" s="79" t="n">
        <v>80.2</v>
      </c>
      <c r="L533" s="79" t="n">
        <v>451.8</v>
      </c>
      <c r="M533" s="79" t="n"/>
    </row>
    <row r="534" ht="14" customHeight="1">
      <c r="A534" s="23" t="n">
        <v>2016</v>
      </c>
      <c r="B534" s="80">
        <f>IF((A534&gt;=2022),M534,(((C534+D534)+E534)+F534))</f>
        <v/>
      </c>
      <c r="C534" s="81">
        <f>(G534+H534)</f>
        <v/>
      </c>
      <c r="D534" s="81">
        <f>I534</f>
        <v/>
      </c>
      <c r="E534" s="81">
        <f>(J534+K534)</f>
        <v/>
      </c>
      <c r="F534" s="81">
        <f>L534</f>
        <v/>
      </c>
      <c r="G534" s="81" t="n">
        <v>4185</v>
      </c>
      <c r="H534" s="81" t="n">
        <v>118.7</v>
      </c>
      <c r="I534" s="81" t="n">
        <v>498.3</v>
      </c>
      <c r="J534" s="81" t="n">
        <v>386.5</v>
      </c>
      <c r="K534" s="81" t="n">
        <v>82.59999999999999</v>
      </c>
      <c r="L534" s="81" t="n">
        <v>492.6</v>
      </c>
      <c r="M534" s="81" t="n"/>
    </row>
    <row r="535" ht="14" customHeight="1">
      <c r="A535" s="16" t="n">
        <v>2017</v>
      </c>
      <c r="B535" s="78">
        <f>IF((A535&gt;=2022),M535,(((C535+D535)+E535)+F535))</f>
        <v/>
      </c>
      <c r="C535" s="79">
        <f>(G535+H535)</f>
        <v/>
      </c>
      <c r="D535" s="79">
        <f>I535</f>
        <v/>
      </c>
      <c r="E535" s="79">
        <f>(J535+K535)</f>
        <v/>
      </c>
      <c r="F535" s="79">
        <f>L535</f>
        <v/>
      </c>
      <c r="G535" s="79" t="n">
        <v>4228.5</v>
      </c>
      <c r="H535" s="79" t="n">
        <v>112.2</v>
      </c>
      <c r="I535" s="79" t="n">
        <v>479</v>
      </c>
      <c r="J535" s="79" t="n">
        <v>400.8</v>
      </c>
      <c r="K535" s="79" t="n">
        <v>84.3</v>
      </c>
      <c r="L535" s="79" t="n">
        <v>538.4</v>
      </c>
      <c r="M535" s="79" t="n"/>
    </row>
    <row r="536" ht="14" customHeight="1">
      <c r="A536" s="23" t="n">
        <v>2018</v>
      </c>
      <c r="B536" s="80">
        <f>IF((A536&gt;=2022),M536,(((C536+D536)+E536)+F536))</f>
        <v/>
      </c>
      <c r="C536" s="81">
        <f>(G536+H536)</f>
        <v/>
      </c>
      <c r="D536" s="81">
        <f>I536</f>
        <v/>
      </c>
      <c r="E536" s="81">
        <f>(J536+K536)</f>
        <v/>
      </c>
      <c r="F536" s="81">
        <f>L536</f>
        <v/>
      </c>
      <c r="G536" s="81" t="n">
        <v>4257</v>
      </c>
      <c r="H536" s="81" t="n">
        <v>106.8</v>
      </c>
      <c r="I536" s="81" t="n">
        <v>484.1</v>
      </c>
      <c r="J536" s="81" t="n">
        <v>407.3</v>
      </c>
      <c r="K536" s="81" t="n">
        <v>86.90000000000001</v>
      </c>
      <c r="L536" s="81" t="n">
        <v>571.8</v>
      </c>
      <c r="M536" s="81" t="n"/>
    </row>
    <row r="537" ht="14" customHeight="1">
      <c r="A537" s="16" t="n">
        <v>2019</v>
      </c>
      <c r="B537" s="78">
        <f>IF((A537&gt;=2022),M537,(((C537+D537)+E537)+F537))</f>
        <v/>
      </c>
      <c r="C537" s="79">
        <f>(G537+H537)</f>
        <v/>
      </c>
      <c r="D537" s="79">
        <f>I537</f>
        <v/>
      </c>
      <c r="E537" s="79">
        <f>(J537+K537)</f>
        <v/>
      </c>
      <c r="F537" s="79">
        <f>L537</f>
        <v/>
      </c>
      <c r="G537" s="79" t="n">
        <v>4299.9</v>
      </c>
      <c r="H537" s="79" t="n">
        <v>111.3</v>
      </c>
      <c r="I537" s="79" t="n">
        <v>487.5</v>
      </c>
      <c r="J537" s="79" t="n">
        <v>420.9</v>
      </c>
      <c r="K537" s="79" t="n">
        <v>87.09999999999999</v>
      </c>
      <c r="L537" s="79" t="n">
        <v>585.5</v>
      </c>
      <c r="M537" s="79" t="n"/>
    </row>
    <row r="538" ht="14" customHeight="1">
      <c r="A538" s="23" t="n">
        <v>2020</v>
      </c>
      <c r="B538" s="80">
        <f>IF((A538&gt;=2022),M538,(((C538+D538)+E538)+F538))</f>
        <v/>
      </c>
      <c r="C538" s="81">
        <f>(G538+H538)</f>
        <v/>
      </c>
      <c r="D538" s="81">
        <f>I538</f>
        <v/>
      </c>
      <c r="E538" s="81">
        <f>(J538+K538)</f>
        <v/>
      </c>
      <c r="F538" s="81">
        <f>L538</f>
        <v/>
      </c>
      <c r="G538" s="81" t="n">
        <v>3583</v>
      </c>
      <c r="H538" s="81" t="n">
        <v>100.1</v>
      </c>
      <c r="I538" s="81" t="n">
        <v>293.6</v>
      </c>
      <c r="J538" s="81" t="n">
        <v>227.3</v>
      </c>
      <c r="K538" s="81" t="n">
        <v>53.9</v>
      </c>
      <c r="L538" s="81" t="n">
        <v>177.9</v>
      </c>
      <c r="M538" s="81" t="n"/>
    </row>
    <row r="539" ht="14" customHeight="1">
      <c r="A539" s="16" t="n">
        <v>2022</v>
      </c>
      <c r="B539" s="78">
        <f>IF((A539&gt;=2022),M539,(((C539+D539)+E539)+F539))</f>
        <v/>
      </c>
      <c r="C539" s="79">
        <f>(G539+H539)</f>
        <v/>
      </c>
      <c r="D539" s="79">
        <f>I539</f>
        <v/>
      </c>
      <c r="E539" s="79">
        <f>(J539+K539)</f>
        <v/>
      </c>
      <c r="F539" s="79">
        <f>L539</f>
        <v/>
      </c>
      <c r="G539" s="79" t="n"/>
      <c r="H539" s="79" t="n"/>
      <c r="I539" s="79" t="n"/>
      <c r="J539" s="79" t="n"/>
      <c r="K539" s="79" t="n"/>
      <c r="L539" s="79" t="n"/>
      <c r="M539" s="79" t="n">
        <v>5617</v>
      </c>
    </row>
    <row r="540" ht="14" customHeight="1">
      <c r="A540" s="23" t="n">
        <v>2023</v>
      </c>
      <c r="B540" s="80">
        <f>IF((A540&gt;=2022),M540,(((C540+D540)+E540)+F540))</f>
        <v/>
      </c>
      <c r="C540" s="81">
        <f>(G540+H540)</f>
        <v/>
      </c>
      <c r="D540" s="81">
        <f>I540</f>
        <v/>
      </c>
      <c r="E540" s="81">
        <f>(J540+K540)</f>
        <v/>
      </c>
      <c r="F540" s="81">
        <f>L540</f>
        <v/>
      </c>
      <c r="G540" s="81" t="n"/>
      <c r="H540" s="81" t="n"/>
      <c r="I540" s="81" t="n"/>
      <c r="J540" s="81" t="n"/>
      <c r="K540" s="81" t="n"/>
      <c r="L540" s="81" t="n"/>
      <c r="M540" s="81" t="n">
        <v>5932</v>
      </c>
    </row>
    <row r="543">
      <c r="A543" s="86" t="inlineStr">
        <is>
          <t>T2b · Total freight transport demand  (Gtkm)</t>
        </is>
      </c>
    </row>
    <row r="544" ht="26" customHeight="1">
      <c r="A544" s="83" t="inlineStr">
        <is>
          <t>No derivation for the later years — the figure is the publication's own.</t>
        </is>
      </c>
    </row>
    <row r="545" ht="24" customHeight="1">
      <c r="A545" s="3" t="inlineStr">
        <is>
          <t>Derivation:  Value = IF(A &gt;= 2023, [Post-report figure as published], [Road]+[Rail]+[IWW])</t>
        </is>
      </c>
    </row>
    <row r="546" ht="42" customHeight="1">
      <c r="A546" s="77" t="inlineStr">
        <is>
          <t>Year</t>
        </is>
      </c>
      <c r="B546" s="77" t="inlineStr">
        <is>
          <t>Value</t>
        </is>
      </c>
      <c r="C546" s="77" t="inlineStr">
        <is>
          <t>Road</t>
        </is>
      </c>
      <c r="D546" s="77" t="inlineStr">
        <is>
          <t>Rail</t>
        </is>
      </c>
      <c r="E546" s="77" t="inlineStr">
        <is>
          <t>IWW</t>
        </is>
      </c>
      <c r="F546" s="77" t="inlineStr">
        <is>
          <t>Road (2)</t>
        </is>
      </c>
      <c r="G546" s="77" t="inlineStr">
        <is>
          <t>Rail (2)</t>
        </is>
      </c>
      <c r="H546" s="77" t="inlineStr">
        <is>
          <t>Inland Waterway</t>
        </is>
      </c>
      <c r="I546" s="77" t="inlineStr">
        <is>
          <t>Post-report figure as published</t>
        </is>
      </c>
    </row>
    <row r="547" ht="14" customHeight="1">
      <c r="A547" s="16" t="n">
        <v>2005</v>
      </c>
      <c r="B547" s="78">
        <f>IF((A547&gt;=2023),I547,((C547+D547)+E547))</f>
        <v/>
      </c>
      <c r="C547" s="79">
        <f>F547</f>
        <v/>
      </c>
      <c r="D547" s="79">
        <f>G547</f>
        <v/>
      </c>
      <c r="E547" s="79">
        <f>H547</f>
        <v/>
      </c>
      <c r="F547" s="79" t="n">
        <v>1588.154065574329</v>
      </c>
      <c r="G547" s="79" t="n">
        <v>394.597</v>
      </c>
      <c r="H547" s="79" t="n">
        <v>138.6109744</v>
      </c>
      <c r="I547" s="79" t="n"/>
    </row>
    <row r="548" ht="14" customHeight="1">
      <c r="A548" s="23" t="n">
        <v>2006</v>
      </c>
      <c r="B548" s="80">
        <f>IF((A548&gt;=2023),I548,((C548+D548)+E548))</f>
        <v/>
      </c>
      <c r="C548" s="81">
        <f>F548</f>
        <v/>
      </c>
      <c r="D548" s="81">
        <f>G548</f>
        <v/>
      </c>
      <c r="E548" s="81">
        <f>H548</f>
        <v/>
      </c>
      <c r="F548" s="81" t="n">
        <v>1638.794582238671</v>
      </c>
      <c r="G548" s="81" t="n">
        <v>416.246</v>
      </c>
      <c r="H548" s="81" t="n">
        <v>138.4169691</v>
      </c>
      <c r="I548" s="81" t="n"/>
    </row>
    <row r="549" ht="14" customHeight="1">
      <c r="A549" s="16" t="n">
        <v>2007</v>
      </c>
      <c r="B549" s="78">
        <f>IF((A549&gt;=2023),I549,((C549+D549)+E549))</f>
        <v/>
      </c>
      <c r="C549" s="79">
        <f>F549</f>
        <v/>
      </c>
      <c r="D549" s="79">
        <f>G549</f>
        <v/>
      </c>
      <c r="E549" s="79">
        <f>H549</f>
        <v/>
      </c>
      <c r="F549" s="79" t="n">
        <v>1697.644038975535</v>
      </c>
      <c r="G549" s="79" t="n">
        <v>430.724</v>
      </c>
      <c r="H549" s="79" t="n">
        <v>145.402</v>
      </c>
      <c r="I549" s="79" t="n"/>
    </row>
    <row r="550" ht="14" customHeight="1">
      <c r="A550" s="23" t="n">
        <v>2008</v>
      </c>
      <c r="B550" s="80">
        <f>IF((A550&gt;=2023),I550,((C550+D550)+E550))</f>
        <v/>
      </c>
      <c r="C550" s="81">
        <f>F550</f>
        <v/>
      </c>
      <c r="D550" s="81">
        <f>G550</f>
        <v/>
      </c>
      <c r="E550" s="81">
        <f>H550</f>
        <v/>
      </c>
      <c r="F550" s="81" t="n">
        <v>1676.461640882639</v>
      </c>
      <c r="G550" s="81" t="n">
        <v>421.6859999999999</v>
      </c>
      <c r="H550" s="81" t="n">
        <v>146.903</v>
      </c>
      <c r="I550" s="81" t="n"/>
    </row>
    <row r="551" ht="14" customHeight="1">
      <c r="A551" s="16" t="n">
        <v>2009</v>
      </c>
      <c r="B551" s="78">
        <f>IF((A551&gt;=2023),I551,((C551+D551)+E551))</f>
        <v/>
      </c>
      <c r="C551" s="79">
        <f>F551</f>
        <v/>
      </c>
      <c r="D551" s="79">
        <f>G551</f>
        <v/>
      </c>
      <c r="E551" s="79">
        <f>H551</f>
        <v/>
      </c>
      <c r="F551" s="79" t="n">
        <v>1515.316586063559</v>
      </c>
      <c r="G551" s="79" t="n">
        <v>344.369</v>
      </c>
      <c r="H551" s="79" t="n">
        <v>132.606</v>
      </c>
      <c r="I551" s="79" t="n"/>
    </row>
    <row r="552" ht="14" customHeight="1">
      <c r="A552" s="23" t="n">
        <v>2010</v>
      </c>
      <c r="B552" s="80">
        <f>IF((A552&gt;=2023),I552,((C552+D552)+E552))</f>
        <v/>
      </c>
      <c r="C552" s="81">
        <f>F552</f>
        <v/>
      </c>
      <c r="D552" s="81">
        <f>G552</f>
        <v/>
      </c>
      <c r="E552" s="81">
        <f>H552</f>
        <v/>
      </c>
      <c r="F552" s="81" t="n">
        <v>1558.292534426257</v>
      </c>
      <c r="G552" s="81" t="n">
        <v>374.955</v>
      </c>
      <c r="H552" s="81" t="n">
        <v>155.365</v>
      </c>
      <c r="I552" s="81" t="n"/>
    </row>
    <row r="553" ht="14" customHeight="1">
      <c r="A553" s="16" t="n">
        <v>2011</v>
      </c>
      <c r="B553" s="78">
        <f>IF((A553&gt;=2023),I553,((C553+D553)+E553))</f>
        <v/>
      </c>
      <c r="C553" s="79">
        <f>F553</f>
        <v/>
      </c>
      <c r="D553" s="79">
        <f>G553</f>
        <v/>
      </c>
      <c r="E553" s="79">
        <f>H553</f>
        <v/>
      </c>
      <c r="F553" s="79" t="n">
        <v>1541.631199373764</v>
      </c>
      <c r="G553" s="79" t="n">
        <v>401.1219999999998</v>
      </c>
      <c r="H553" s="79" t="n">
        <v>141.825</v>
      </c>
      <c r="I553" s="79" t="n"/>
    </row>
    <row r="554" ht="14" customHeight="1">
      <c r="A554" s="23" t="n">
        <v>2012</v>
      </c>
      <c r="B554" s="80">
        <f>IF((A554&gt;=2023),I554,((C554+D554)+E554))</f>
        <v/>
      </c>
      <c r="C554" s="81">
        <f>F554</f>
        <v/>
      </c>
      <c r="D554" s="81">
        <f>G554</f>
        <v/>
      </c>
      <c r="E554" s="81">
        <f>H554</f>
        <v/>
      </c>
      <c r="F554" s="81" t="n">
        <v>1481.690412046742</v>
      </c>
      <c r="G554" s="81" t="n">
        <v>385.189</v>
      </c>
      <c r="H554" s="81" t="n">
        <v>149.822</v>
      </c>
      <c r="I554" s="81" t="n"/>
    </row>
    <row r="555" ht="14" customHeight="1">
      <c r="A555" s="16" t="n">
        <v>2013</v>
      </c>
      <c r="B555" s="78">
        <f>IF((A555&gt;=2023),I555,((C555+D555)+E555))</f>
        <v/>
      </c>
      <c r="C555" s="79">
        <f>F555</f>
        <v/>
      </c>
      <c r="D555" s="79">
        <f>G555</f>
        <v/>
      </c>
      <c r="E555" s="79">
        <f>H555</f>
        <v/>
      </c>
      <c r="F555" s="79" t="n">
        <v>1516.36403982845</v>
      </c>
      <c r="G555" s="79" t="n">
        <v>384.3190000000001</v>
      </c>
      <c r="H555" s="79" t="n">
        <v>152.584</v>
      </c>
      <c r="I555" s="79" t="n"/>
    </row>
    <row r="556" ht="14" customHeight="1">
      <c r="A556" s="23" t="n">
        <v>2014</v>
      </c>
      <c r="B556" s="80">
        <f>IF((A556&gt;=2023),I556,((C556+D556)+E556))</f>
        <v/>
      </c>
      <c r="C556" s="81">
        <f>F556</f>
        <v/>
      </c>
      <c r="D556" s="81">
        <f>G556</f>
        <v/>
      </c>
      <c r="E556" s="81">
        <f>H556</f>
        <v/>
      </c>
      <c r="F556" s="81" t="n">
        <v>1527.434623579993</v>
      </c>
      <c r="G556" s="81" t="n">
        <v>388.932</v>
      </c>
      <c r="H556" s="81" t="n">
        <v>150.707</v>
      </c>
      <c r="I556" s="81" t="n"/>
    </row>
    <row r="557" ht="14" customHeight="1">
      <c r="A557" s="16" t="n">
        <v>2015</v>
      </c>
      <c r="B557" s="78">
        <f>IF((A557&gt;=2023),I557,((C557+D557)+E557))</f>
        <v/>
      </c>
      <c r="C557" s="79">
        <f>F557</f>
        <v/>
      </c>
      <c r="D557" s="79">
        <f>G557</f>
        <v/>
      </c>
      <c r="E557" s="79">
        <f>H557</f>
        <v/>
      </c>
      <c r="F557" s="79" t="n">
        <v>1561.987682770911</v>
      </c>
      <c r="G557" s="79" t="n">
        <v>398.5170000000001</v>
      </c>
      <c r="H557" s="79" t="n">
        <v>147.351</v>
      </c>
      <c r="I557" s="79" t="n"/>
    </row>
    <row r="558" ht="14" customHeight="1">
      <c r="A558" s="23" t="n">
        <v>2016</v>
      </c>
      <c r="B558" s="80">
        <f>IF((A558&gt;=2023),I558,((C558+D558)+E558))</f>
        <v/>
      </c>
      <c r="C558" s="81">
        <f>F558</f>
        <v/>
      </c>
      <c r="D558" s="81">
        <f>G558</f>
        <v/>
      </c>
      <c r="E558" s="81">
        <f>H558</f>
        <v/>
      </c>
      <c r="F558" s="81" t="n">
        <v>1619.747730095177</v>
      </c>
      <c r="G558" s="81" t="n">
        <v>407.4580000000001</v>
      </c>
      <c r="H558" s="81" t="n">
        <v>146.609</v>
      </c>
      <c r="I558" s="81" t="n"/>
    </row>
    <row r="559" ht="14" customHeight="1">
      <c r="A559" s="16" t="n">
        <v>2017</v>
      </c>
      <c r="B559" s="78">
        <f>IF((A559&gt;=2023),I559,((C559+D559)+E559))</f>
        <v/>
      </c>
      <c r="C559" s="79">
        <f>F559</f>
        <v/>
      </c>
      <c r="D559" s="79">
        <f>G559</f>
        <v/>
      </c>
      <c r="E559" s="79">
        <f>H559</f>
        <v/>
      </c>
      <c r="F559" s="79" t="n">
        <v>1707.313863416839</v>
      </c>
      <c r="G559" s="79" t="n">
        <v>411.278</v>
      </c>
      <c r="H559" s="79" t="n">
        <v>147.2233333333333</v>
      </c>
      <c r="I559" s="79" t="n"/>
    </row>
    <row r="560" ht="14" customHeight="1">
      <c r="A560" s="23" t="n">
        <v>2018</v>
      </c>
      <c r="B560" s="80">
        <f>IF((A560&gt;=2023),I560,((C560+D560)+E560))</f>
        <v/>
      </c>
      <c r="C560" s="81">
        <f>F560</f>
        <v/>
      </c>
      <c r="D560" s="81">
        <f>G560</f>
        <v/>
      </c>
      <c r="E560" s="81">
        <f>H560</f>
        <v/>
      </c>
      <c r="F560" s="81" t="n">
        <v>1707.496</v>
      </c>
      <c r="G560" s="81" t="n">
        <v>418.314</v>
      </c>
      <c r="H560" s="81" t="n">
        <v>131.3027777777778</v>
      </c>
      <c r="I560" s="81" t="n"/>
    </row>
    <row r="561" ht="14" customHeight="1">
      <c r="A561" s="16" t="n">
        <v>2019</v>
      </c>
      <c r="B561" s="78">
        <f>IF((A561&gt;=2023),I561,((C561+D561)+E561))</f>
        <v/>
      </c>
      <c r="C561" s="79">
        <f>F561</f>
        <v/>
      </c>
      <c r="D561" s="79">
        <f>G561</f>
        <v/>
      </c>
      <c r="E561" s="79">
        <f>H561</f>
        <v/>
      </c>
      <c r="F561" s="79" t="n">
        <v>1764.787</v>
      </c>
      <c r="G561" s="79" t="n">
        <v>407.921</v>
      </c>
      <c r="H561" s="79" t="n">
        <v>139.697</v>
      </c>
      <c r="I561" s="79" t="n"/>
    </row>
    <row r="562" ht="14" customHeight="1">
      <c r="A562" s="23" t="n">
        <v>2020</v>
      </c>
      <c r="B562" s="80">
        <f>IF((A562&gt;=2023),I562,((C562+D562)+E562))</f>
        <v/>
      </c>
      <c r="C562" s="81">
        <f>F562</f>
        <v/>
      </c>
      <c r="D562" s="81">
        <f>G562</f>
        <v/>
      </c>
      <c r="E562" s="81">
        <f>H562</f>
        <v/>
      </c>
      <c r="F562" s="81" t="n">
        <v>1744.986</v>
      </c>
      <c r="G562" s="81" t="n">
        <v>377.3070000000001</v>
      </c>
      <c r="H562" s="81" t="n">
        <v>131.741</v>
      </c>
      <c r="I562" s="81" t="n"/>
    </row>
    <row r="563" ht="14" customHeight="1">
      <c r="A563" s="16" t="n">
        <v>2023</v>
      </c>
      <c r="B563" s="78">
        <f>IF((A563&gt;=2023),I563,((C563+D563)+E563))</f>
        <v/>
      </c>
      <c r="C563" s="79">
        <f>F563</f>
        <v/>
      </c>
      <c r="D563" s="79">
        <f>G563</f>
        <v/>
      </c>
      <c r="E563" s="79">
        <f>H563</f>
        <v/>
      </c>
      <c r="F563" s="79" t="n"/>
      <c r="G563" s="79" t="n"/>
      <c r="H563" s="79" t="n"/>
      <c r="I563" s="79" t="n">
        <v>2319</v>
      </c>
    </row>
    <row r="566">
      <c r="A566" s="86" t="inlineStr">
        <is>
          <t>T3a · Road share of motorised inland passenger transport  (%)</t>
        </is>
      </c>
    </row>
    <row r="567" ht="26" customHeight="1">
      <c r="A567" s="76" t="inlineStr">
        <is>
          <t>The report's formula throughout; for the later years its single input is back-computed from the published figure through the sheet's own constants, so the arithmetic is unchanged.</t>
        </is>
      </c>
    </row>
    <row r="568" ht="24" customHeight="1">
      <c r="A568" s="3" t="inlineStr">
        <is>
          <t>Derivation:  Value = (([Passenger Cars]+[Powered 2-wheelers])/([Passenger Cars]+[Powered 2-wheelers]+[Buses &amp; Coaches]+[Railways]+[Tram &amp; Metro])) * [fraction → % (× 100)]</t>
        </is>
      </c>
    </row>
    <row r="569" ht="42" customHeight="1">
      <c r="A569" s="77" t="inlineStr">
        <is>
          <t>Year</t>
        </is>
      </c>
      <c r="B569" s="77" t="inlineStr">
        <is>
          <t>Value</t>
        </is>
      </c>
      <c r="C569" s="77" t="inlineStr">
        <is>
          <t>Passenger Cars</t>
        </is>
      </c>
      <c r="D569" s="77" t="inlineStr">
        <is>
          <t>Powered 2-wheelers</t>
        </is>
      </c>
      <c r="E569" s="77" t="inlineStr">
        <is>
          <t>Buses &amp; Coaches</t>
        </is>
      </c>
      <c r="F569" s="77" t="inlineStr">
        <is>
          <t>Railways</t>
        </is>
      </c>
      <c r="G569" s="77" t="inlineStr">
        <is>
          <t>Tram &amp; Metro</t>
        </is>
      </c>
      <c r="H569" s="77" t="inlineStr">
        <is>
          <t>fraction → % (× 100)</t>
        </is>
      </c>
    </row>
    <row r="570" ht="14" customHeight="1">
      <c r="A570" s="16" t="n">
        <v>2005</v>
      </c>
      <c r="B570" s="78">
        <f>(((C570+D570)/((((C570+D570)+E570)+F570)+G570))*H570)</f>
        <v/>
      </c>
      <c r="C570" s="79" t="n">
        <v>3839.2</v>
      </c>
      <c r="D570" s="79" t="n">
        <v>114.6</v>
      </c>
      <c r="E570" s="79" t="n">
        <v>497.8</v>
      </c>
      <c r="F570" s="79" t="n">
        <v>339.8</v>
      </c>
      <c r="G570" s="79" t="n">
        <v>73.2</v>
      </c>
      <c r="H570" s="79" t="n">
        <v>100</v>
      </c>
    </row>
    <row r="571" ht="14" customHeight="1">
      <c r="A571" s="23" t="n">
        <v>2006</v>
      </c>
      <c r="B571" s="80">
        <f>(((C571+D571)/((((C571+D571)+E571)+F571)+G571))*H571)</f>
        <v/>
      </c>
      <c r="C571" s="81" t="n">
        <v>3875.3</v>
      </c>
      <c r="D571" s="81" t="n">
        <v>113.6</v>
      </c>
      <c r="E571" s="81" t="n">
        <v>497.8</v>
      </c>
      <c r="F571" s="81" t="n">
        <v>349.4</v>
      </c>
      <c r="G571" s="81" t="n">
        <v>74.59999999999999</v>
      </c>
      <c r="H571" s="81" t="n">
        <v>100</v>
      </c>
    </row>
    <row r="572" ht="14" customHeight="1">
      <c r="A572" s="16" t="n">
        <v>2007</v>
      </c>
      <c r="B572" s="78">
        <f>(((C572+D572)/((((C572+D572)+E572)+F572)+G572))*H572)</f>
        <v/>
      </c>
      <c r="C572" s="79" t="n">
        <v>3921.3</v>
      </c>
      <c r="D572" s="79" t="n">
        <v>109.6</v>
      </c>
      <c r="E572" s="79" t="n">
        <v>507.9</v>
      </c>
      <c r="F572" s="79" t="n">
        <v>353.4</v>
      </c>
      <c r="G572" s="79" t="n">
        <v>76.40000000000001</v>
      </c>
      <c r="H572" s="79" t="n">
        <v>100</v>
      </c>
    </row>
    <row r="573" ht="14" customHeight="1">
      <c r="A573" s="23" t="n">
        <v>2008</v>
      </c>
      <c r="B573" s="80">
        <f>(((C573+D573)/((((C573+D573)+E573)+F573)+G573))*H573)</f>
        <v/>
      </c>
      <c r="C573" s="81" t="n">
        <v>3931.6</v>
      </c>
      <c r="D573" s="81" t="n">
        <v>114.5</v>
      </c>
      <c r="E573" s="81" t="n">
        <v>514.1</v>
      </c>
      <c r="F573" s="81" t="n">
        <v>366.6</v>
      </c>
      <c r="G573" s="81" t="n">
        <v>79.3</v>
      </c>
      <c r="H573" s="81" t="n">
        <v>100</v>
      </c>
    </row>
    <row r="574" ht="14" customHeight="1">
      <c r="A574" s="16" t="n">
        <v>2009</v>
      </c>
      <c r="B574" s="78">
        <f>(((C574+D574)/((((C574+D574)+E574)+F574)+G574))*H574)</f>
        <v/>
      </c>
      <c r="C574" s="79" t="n">
        <v>4009.2</v>
      </c>
      <c r="D574" s="79" t="n">
        <v>112</v>
      </c>
      <c r="E574" s="79" t="n">
        <v>489.7</v>
      </c>
      <c r="F574" s="79" t="n">
        <v>359.3</v>
      </c>
      <c r="G574" s="79" t="n">
        <v>78.59999999999999</v>
      </c>
      <c r="H574" s="79" t="n">
        <v>100</v>
      </c>
    </row>
    <row r="575" ht="14" customHeight="1">
      <c r="A575" s="23" t="n">
        <v>2010</v>
      </c>
      <c r="B575" s="80">
        <f>(((C575+D575)/((((C575+D575)+E575)+F575)+G575))*H575)</f>
        <v/>
      </c>
      <c r="C575" s="81" t="n">
        <v>3975.9</v>
      </c>
      <c r="D575" s="81" t="n">
        <v>113.8</v>
      </c>
      <c r="E575" s="81" t="n">
        <v>482.2</v>
      </c>
      <c r="F575" s="81" t="n">
        <v>358.3</v>
      </c>
      <c r="G575" s="81" t="n">
        <v>80.7</v>
      </c>
      <c r="H575" s="81" t="n">
        <v>100</v>
      </c>
    </row>
    <row r="576" ht="14" customHeight="1">
      <c r="A576" s="16" t="n">
        <v>2011</v>
      </c>
      <c r="B576" s="78">
        <f>(((C576+D576)/((((C576+D576)+E576)+F576)+G576))*H576)</f>
        <v/>
      </c>
      <c r="C576" s="79" t="n">
        <v>3943.6</v>
      </c>
      <c r="D576" s="79" t="n">
        <v>117.7</v>
      </c>
      <c r="E576" s="79" t="n">
        <v>485.6</v>
      </c>
      <c r="F576" s="79" t="n">
        <v>364.1</v>
      </c>
      <c r="G576" s="79" t="n">
        <v>81.09999999999999</v>
      </c>
      <c r="H576" s="79" t="n">
        <v>100</v>
      </c>
    </row>
    <row r="577" ht="14" customHeight="1">
      <c r="A577" s="23" t="n">
        <v>2012</v>
      </c>
      <c r="B577" s="80">
        <f>(((C577+D577)/((((C577+D577)+E577)+F577)+G577))*H577)</f>
        <v/>
      </c>
      <c r="C577" s="81" t="n">
        <v>3898.5</v>
      </c>
      <c r="D577" s="81" t="n">
        <v>115.1</v>
      </c>
      <c r="E577" s="81" t="n">
        <v>481.6</v>
      </c>
      <c r="F577" s="81" t="n">
        <v>367.3</v>
      </c>
      <c r="G577" s="81" t="n">
        <v>82.2</v>
      </c>
      <c r="H577" s="81" t="n">
        <v>100</v>
      </c>
    </row>
    <row r="578" ht="14" customHeight="1">
      <c r="A578" s="16" t="n">
        <v>2013</v>
      </c>
      <c r="B578" s="78">
        <f>(((C578+D578)/((((C578+D578)+E578)+F578)+G578))*H578)</f>
        <v/>
      </c>
      <c r="C578" s="79" t="n">
        <v>3957.2</v>
      </c>
      <c r="D578" s="79" t="n">
        <v>114.7</v>
      </c>
      <c r="E578" s="79" t="n">
        <v>480.5</v>
      </c>
      <c r="F578" s="79" t="n">
        <v>371.8</v>
      </c>
      <c r="G578" s="79" t="n">
        <v>82</v>
      </c>
      <c r="H578" s="79" t="n">
        <v>100</v>
      </c>
    </row>
    <row r="579" ht="14" customHeight="1">
      <c r="A579" s="23" t="n">
        <v>2014</v>
      </c>
      <c r="B579" s="80">
        <f>(((C579+D579)/((((C579+D579)+E579)+F579)+G579))*H579)</f>
        <v/>
      </c>
      <c r="C579" s="81" t="n">
        <v>4012.5</v>
      </c>
      <c r="D579" s="81" t="n">
        <v>117.4</v>
      </c>
      <c r="E579" s="81" t="n">
        <v>476.2</v>
      </c>
      <c r="F579" s="81" t="n">
        <v>376.3</v>
      </c>
      <c r="G579" s="81" t="n">
        <v>82.2</v>
      </c>
      <c r="H579" s="81" t="n">
        <v>100</v>
      </c>
    </row>
    <row r="580" ht="14" customHeight="1">
      <c r="A580" s="16" t="n">
        <v>2015</v>
      </c>
      <c r="B580" s="78">
        <f>(((C580+D580)/((((C580+D580)+E580)+F580)+G580))*H580)</f>
        <v/>
      </c>
      <c r="C580" s="79" t="n">
        <v>4101</v>
      </c>
      <c r="D580" s="79" t="n">
        <v>117.4</v>
      </c>
      <c r="E580" s="79" t="n">
        <v>493.4</v>
      </c>
      <c r="F580" s="79" t="n">
        <v>381.6</v>
      </c>
      <c r="G580" s="79" t="n">
        <v>80.2</v>
      </c>
      <c r="H580" s="79" t="n">
        <v>100</v>
      </c>
    </row>
    <row r="581" ht="14" customHeight="1">
      <c r="A581" s="23" t="n">
        <v>2016</v>
      </c>
      <c r="B581" s="80">
        <f>(((C581+D581)/((((C581+D581)+E581)+F581)+G581))*H581)</f>
        <v/>
      </c>
      <c r="C581" s="81" t="n">
        <v>4185</v>
      </c>
      <c r="D581" s="81" t="n">
        <v>118.7</v>
      </c>
      <c r="E581" s="81" t="n">
        <v>498.3</v>
      </c>
      <c r="F581" s="81" t="n">
        <v>386.5</v>
      </c>
      <c r="G581" s="81" t="n">
        <v>82.59999999999999</v>
      </c>
      <c r="H581" s="81" t="n">
        <v>100</v>
      </c>
    </row>
    <row r="582" ht="14" customHeight="1">
      <c r="A582" s="16" t="n">
        <v>2017</v>
      </c>
      <c r="B582" s="78">
        <f>(((C582+D582)/((((C582+D582)+E582)+F582)+G582))*H582)</f>
        <v/>
      </c>
      <c r="C582" s="79" t="n">
        <v>4228.5</v>
      </c>
      <c r="D582" s="79" t="n">
        <v>112.2</v>
      </c>
      <c r="E582" s="79" t="n">
        <v>479</v>
      </c>
      <c r="F582" s="79" t="n">
        <v>400.8</v>
      </c>
      <c r="G582" s="79" t="n">
        <v>84.3</v>
      </c>
      <c r="H582" s="79" t="n">
        <v>100</v>
      </c>
    </row>
    <row r="583" ht="14" customHeight="1">
      <c r="A583" s="23" t="n">
        <v>2018</v>
      </c>
      <c r="B583" s="80">
        <f>(((C583+D583)/((((C583+D583)+E583)+F583)+G583))*H583)</f>
        <v/>
      </c>
      <c r="C583" s="81" t="n">
        <v>4257</v>
      </c>
      <c r="D583" s="81" t="n">
        <v>106.8</v>
      </c>
      <c r="E583" s="81" t="n">
        <v>484.1</v>
      </c>
      <c r="F583" s="81" t="n">
        <v>407.3</v>
      </c>
      <c r="G583" s="81" t="n">
        <v>86.90000000000001</v>
      </c>
      <c r="H583" s="81" t="n">
        <v>100</v>
      </c>
    </row>
    <row r="584" ht="14" customHeight="1">
      <c r="A584" s="16" t="n">
        <v>2019</v>
      </c>
      <c r="B584" s="78">
        <f>(((C584+D584)/((((C584+D584)+E584)+F584)+G584))*H584)</f>
        <v/>
      </c>
      <c r="C584" s="79" t="n">
        <v>4299.9</v>
      </c>
      <c r="D584" s="79" t="n">
        <v>111.3</v>
      </c>
      <c r="E584" s="79" t="n">
        <v>487.5</v>
      </c>
      <c r="F584" s="79" t="n">
        <v>420.9</v>
      </c>
      <c r="G584" s="79" t="n">
        <v>87.09999999999999</v>
      </c>
      <c r="H584" s="79" t="n">
        <v>100</v>
      </c>
    </row>
    <row r="585" ht="14" customHeight="1">
      <c r="A585" s="23" t="n">
        <v>2020</v>
      </c>
      <c r="B585" s="80">
        <f>(((C585+D585)/((((C585+D585)+E585)+F585)+G585))*H585)</f>
        <v/>
      </c>
      <c r="C585" s="81" t="n">
        <v>3583</v>
      </c>
      <c r="D585" s="81" t="n">
        <v>100.1</v>
      </c>
      <c r="E585" s="81" t="n">
        <v>293.6</v>
      </c>
      <c r="F585" s="81" t="n">
        <v>227.3</v>
      </c>
      <c r="G585" s="81" t="n">
        <v>53.9</v>
      </c>
      <c r="H585" s="81" t="n">
        <v>100</v>
      </c>
    </row>
    <row r="588">
      <c r="A588" s="86" t="inlineStr">
        <is>
          <t>T3b · Intra-EU air passenger transport  (Gpkm)</t>
        </is>
      </c>
    </row>
    <row r="589" ht="26" customHeight="1">
      <c r="A589" s="76" t="inlineStr">
        <is>
          <t>The report's formula throughout; for the later years its single input is back-computed from the published figure through the sheet's own constants, so the arithmetic is unchanged.</t>
        </is>
      </c>
    </row>
    <row r="590" ht="24" customHeight="1">
      <c r="A590" s="3" t="inlineStr">
        <is>
          <t>Derivation:  Value = [Air passenger demand (Gpkm)]</t>
        </is>
      </c>
    </row>
    <row r="591" ht="42" customHeight="1">
      <c r="A591" s="77" t="inlineStr">
        <is>
          <t>Year</t>
        </is>
      </c>
      <c r="B591" s="77" t="inlineStr">
        <is>
          <t>Value</t>
        </is>
      </c>
      <c r="C591" s="77" t="inlineStr">
        <is>
          <t>Air passenger demand (Gpkm)</t>
        </is>
      </c>
    </row>
    <row r="592" ht="14" customHeight="1">
      <c r="A592" s="16" t="n">
        <v>2005</v>
      </c>
      <c r="B592" s="78">
        <f>C592</f>
        <v/>
      </c>
      <c r="C592" s="79" t="n">
        <v>361.3</v>
      </c>
    </row>
    <row r="593" ht="14" customHeight="1">
      <c r="A593" s="23" t="n">
        <v>2006</v>
      </c>
      <c r="B593" s="80">
        <f>C593</f>
        <v/>
      </c>
      <c r="C593" s="81" t="n">
        <v>376.4</v>
      </c>
    </row>
    <row r="594" ht="14" customHeight="1">
      <c r="A594" s="16" t="n">
        <v>2007</v>
      </c>
      <c r="B594" s="78">
        <f>C594</f>
        <v/>
      </c>
      <c r="C594" s="79" t="n">
        <v>392.2</v>
      </c>
    </row>
    <row r="595" ht="14" customHeight="1">
      <c r="A595" s="23" t="n">
        <v>2008</v>
      </c>
      <c r="B595" s="80">
        <f>C595</f>
        <v/>
      </c>
      <c r="C595" s="81" t="n">
        <v>383.8</v>
      </c>
    </row>
    <row r="596" ht="14" customHeight="1">
      <c r="A596" s="16" t="n">
        <v>2009</v>
      </c>
      <c r="B596" s="78">
        <f>C596</f>
        <v/>
      </c>
      <c r="C596" s="79" t="n">
        <v>361.8</v>
      </c>
    </row>
    <row r="597" ht="14" customHeight="1">
      <c r="A597" s="23" t="n">
        <v>2010</v>
      </c>
      <c r="B597" s="80">
        <f>C597</f>
        <v/>
      </c>
      <c r="C597" s="81" t="n">
        <v>377.3</v>
      </c>
    </row>
    <row r="598" ht="14" customHeight="1">
      <c r="A598" s="16" t="n">
        <v>2011</v>
      </c>
      <c r="B598" s="78">
        <f>C598</f>
        <v/>
      </c>
      <c r="C598" s="79" t="n">
        <v>408.5</v>
      </c>
    </row>
    <row r="599" ht="14" customHeight="1">
      <c r="A599" s="23" t="n">
        <v>2012</v>
      </c>
      <c r="B599" s="80">
        <f>C599</f>
        <v/>
      </c>
      <c r="C599" s="81" t="n">
        <v>402.1</v>
      </c>
    </row>
    <row r="600" ht="14" customHeight="1">
      <c r="A600" s="16" t="n">
        <v>2013</v>
      </c>
      <c r="B600" s="78">
        <f>C600</f>
        <v/>
      </c>
      <c r="C600" s="79" t="n">
        <v>406</v>
      </c>
    </row>
    <row r="601" ht="14" customHeight="1">
      <c r="A601" s="23" t="n">
        <v>2014</v>
      </c>
      <c r="B601" s="80">
        <f>C601</f>
        <v/>
      </c>
      <c r="C601" s="81" t="n">
        <v>425.6</v>
      </c>
    </row>
    <row r="602" ht="14" customHeight="1">
      <c r="A602" s="16" t="n">
        <v>2015</v>
      </c>
      <c r="B602" s="78">
        <f>C602</f>
        <v/>
      </c>
      <c r="C602" s="79" t="n">
        <v>451.8</v>
      </c>
    </row>
    <row r="603" ht="14" customHeight="1">
      <c r="A603" s="23" t="n">
        <v>2016</v>
      </c>
      <c r="B603" s="80">
        <f>C603</f>
        <v/>
      </c>
      <c r="C603" s="81" t="n">
        <v>492.6</v>
      </c>
    </row>
    <row r="604" ht="14" customHeight="1">
      <c r="A604" s="16" t="n">
        <v>2017</v>
      </c>
      <c r="B604" s="78">
        <f>C604</f>
        <v/>
      </c>
      <c r="C604" s="79" t="n">
        <v>538.4</v>
      </c>
    </row>
    <row r="605" ht="14" customHeight="1">
      <c r="A605" s="23" t="n">
        <v>2018</v>
      </c>
      <c r="B605" s="80">
        <f>C605</f>
        <v/>
      </c>
      <c r="C605" s="81" t="n">
        <v>571.8</v>
      </c>
    </row>
    <row r="606" ht="14" customHeight="1">
      <c r="A606" s="16" t="n">
        <v>2019</v>
      </c>
      <c r="B606" s="78">
        <f>C606</f>
        <v/>
      </c>
      <c r="C606" s="79" t="n">
        <v>585.5</v>
      </c>
    </row>
    <row r="607" ht="14" customHeight="1">
      <c r="A607" s="23" t="n">
        <v>2020</v>
      </c>
      <c r="B607" s="80">
        <f>C607</f>
        <v/>
      </c>
      <c r="C607" s="81" t="n">
        <v>177.9</v>
      </c>
    </row>
    <row r="608" ht="14" customHeight="1">
      <c r="A608" s="16" t="n">
        <v>2022</v>
      </c>
      <c r="B608" s="78">
        <f>C608</f>
        <v/>
      </c>
      <c r="C608" s="79" t="n">
        <v>512</v>
      </c>
    </row>
    <row r="609" ht="14" customHeight="1">
      <c r="A609" s="23" t="n">
        <v>2023</v>
      </c>
      <c r="B609" s="80">
        <f>C609</f>
        <v/>
      </c>
      <c r="C609" s="81" t="n">
        <v>582</v>
      </c>
    </row>
    <row r="612">
      <c r="A612" s="86" t="inlineStr">
        <is>
          <t>T4 · Average CO₂ intensity of new passenger cars (WLTP)  (g CO₂/km)</t>
        </is>
      </c>
    </row>
    <row r="613" ht="26" customHeight="1">
      <c r="A613" s="76" t="inlineStr">
        <is>
          <t>The report's formula throughout; for the later years its single input is back-computed from the published figure through the sheet's own constants, so the arithmetic is unchanged.</t>
        </is>
      </c>
    </row>
    <row r="614" ht="24" customHeight="1">
      <c r="A614" s="3" t="inlineStr">
        <is>
          <t>Derivation:  Value = [New-car CO2 intensity WLTP (gCO2/km)]</t>
        </is>
      </c>
    </row>
    <row r="615" ht="42" customHeight="1">
      <c r="A615" s="77" t="inlineStr">
        <is>
          <t>Year</t>
        </is>
      </c>
      <c r="B615" s="77" t="inlineStr">
        <is>
          <t>Value</t>
        </is>
      </c>
      <c r="C615" s="77" t="inlineStr">
        <is>
          <t>New-car CO2 intensity WLTP (gCO2/km)</t>
        </is>
      </c>
    </row>
    <row r="616" ht="14" customHeight="1">
      <c r="A616" s="16" t="n">
        <v>2020</v>
      </c>
      <c r="B616" s="78">
        <f>C616</f>
        <v/>
      </c>
      <c r="C616" s="79" t="n">
        <v>130.3</v>
      </c>
    </row>
    <row r="617" ht="14" customHeight="1">
      <c r="A617" s="23" t="n">
        <v>2021</v>
      </c>
      <c r="B617" s="80">
        <f>C617</f>
        <v/>
      </c>
      <c r="C617" s="81" t="n">
        <v>114.1</v>
      </c>
    </row>
    <row r="618" ht="14" customHeight="1">
      <c r="A618" s="16" t="n">
        <v>2022</v>
      </c>
      <c r="B618" s="78">
        <f>C618</f>
        <v/>
      </c>
      <c r="C618" s="79" t="n">
        <v>108.2</v>
      </c>
    </row>
    <row r="619" ht="14" customHeight="1">
      <c r="A619" s="23" t="n">
        <v>2023</v>
      </c>
      <c r="B619" s="80">
        <f>C619</f>
        <v/>
      </c>
      <c r="C619" s="81" t="n">
        <v>106.4</v>
      </c>
    </row>
    <row r="620" ht="14" customHeight="1">
      <c r="A620" s="16" t="n">
        <v>2024</v>
      </c>
      <c r="B620" s="78">
        <f>C620</f>
        <v/>
      </c>
      <c r="C620" s="79" t="n">
        <v>106.8</v>
      </c>
    </row>
    <row r="621" ht="14" customHeight="1">
      <c r="A621" s="23" t="n">
        <v>2025</v>
      </c>
      <c r="B621" s="80">
        <f>C621</f>
        <v/>
      </c>
      <c r="C621" s="81" t="n">
        <v>96.7</v>
      </c>
    </row>
    <row r="624">
      <c r="A624" s="86" t="inlineStr">
        <is>
          <t>T5a · ZEV share of new passenger car registrations  (%)</t>
        </is>
      </c>
    </row>
    <row r="625" ht="26" customHeight="1">
      <c r="A625" s="83" t="inlineStr">
        <is>
          <t>No derivation for the later years — the figure is the publication's own.</t>
        </is>
      </c>
    </row>
    <row r="626" ht="24" customHeight="1">
      <c r="A626" s="3" t="inlineStr">
        <is>
          <t>Derivation:  Value = IF(A &gt;= 2023, [Post-report figure as published], ([ZEV]) * [fraction → % (× 100)])</t>
        </is>
      </c>
    </row>
    <row r="627" ht="42" customHeight="1">
      <c r="A627" s="77" t="inlineStr">
        <is>
          <t>Year</t>
        </is>
      </c>
      <c r="B627" s="77" t="inlineStr">
        <is>
          <t>Value</t>
        </is>
      </c>
      <c r="C627" s="77" t="inlineStr">
        <is>
          <t>ZEV</t>
        </is>
      </c>
      <c r="D627" s="77" t="inlineStr">
        <is>
          <t>BEV</t>
        </is>
      </c>
      <c r="E627" s="77" t="inlineStr">
        <is>
          <t>H2</t>
        </is>
      </c>
      <c r="F627" s="77" t="inlineStr">
        <is>
          <t>Post-report figure as published</t>
        </is>
      </c>
      <c r="G627" s="77" t="inlineStr">
        <is>
          <t>fraction → % (× 100)</t>
        </is>
      </c>
    </row>
    <row r="628" ht="14" customHeight="1">
      <c r="A628" s="16" t="n">
        <v>2010</v>
      </c>
      <c r="B628" s="78">
        <f>IF((A628&gt;=2023),F628,(C628*G628))</f>
        <v/>
      </c>
      <c r="C628" s="79">
        <f>(D628+E628)</f>
        <v/>
      </c>
      <c r="D628" s="79" t="n">
        <v>0.0001</v>
      </c>
      <c r="E628" s="79" t="n">
        <v>0</v>
      </c>
      <c r="F628" s="79" t="n"/>
      <c r="G628" s="79" t="n">
        <v>100</v>
      </c>
    </row>
    <row r="629" ht="14" customHeight="1">
      <c r="A629" s="23" t="n">
        <v>2011</v>
      </c>
      <c r="B629" s="80">
        <f>IF((A629&gt;=2023),F629,(C629*G629))</f>
        <v/>
      </c>
      <c r="C629" s="81">
        <f>(D629+E629)</f>
        <v/>
      </c>
      <c r="D629" s="81" t="n">
        <v>0.0007000000000000001</v>
      </c>
      <c r="E629" s="81" t="n">
        <v>0</v>
      </c>
      <c r="F629" s="81" t="n"/>
      <c r="G629" s="81" t="n">
        <v>100</v>
      </c>
    </row>
    <row r="630" ht="14" customHeight="1">
      <c r="A630" s="16" t="n">
        <v>2012</v>
      </c>
      <c r="B630" s="78">
        <f>IF((A630&gt;=2023),F630,(C630*G630))</f>
        <v/>
      </c>
      <c r="C630" s="79">
        <f>(D630+E630)</f>
        <v/>
      </c>
      <c r="D630" s="79" t="n">
        <v>0.0013</v>
      </c>
      <c r="E630" s="79" t="n">
        <v>0</v>
      </c>
      <c r="F630" s="79" t="n"/>
      <c r="G630" s="79" t="n">
        <v>100</v>
      </c>
    </row>
    <row r="631" ht="14" customHeight="1">
      <c r="A631" s="23" t="n">
        <v>2013</v>
      </c>
      <c r="B631" s="80">
        <f>IF((A631&gt;=2023),F631,(C631*G631))</f>
        <v/>
      </c>
      <c r="C631" s="81">
        <f>(D631+E631)</f>
        <v/>
      </c>
      <c r="D631" s="81" t="n">
        <v>0.0022</v>
      </c>
      <c r="E631" s="81" t="n">
        <v>0</v>
      </c>
      <c r="F631" s="81" t="n"/>
      <c r="G631" s="81" t="n">
        <v>100</v>
      </c>
    </row>
    <row r="632" ht="14" customHeight="1">
      <c r="A632" s="16" t="n">
        <v>2014</v>
      </c>
      <c r="B632" s="78">
        <f>IF((A632&gt;=2023),F632,(C632*G632))</f>
        <v/>
      </c>
      <c r="C632" s="79">
        <f>(D632+E632)</f>
        <v/>
      </c>
      <c r="D632" s="79" t="n">
        <v>0.0033</v>
      </c>
      <c r="E632" s="79" t="n">
        <v>0</v>
      </c>
      <c r="F632" s="79" t="n"/>
      <c r="G632" s="79" t="n">
        <v>100</v>
      </c>
    </row>
    <row r="633" ht="14" customHeight="1">
      <c r="A633" s="23" t="n">
        <v>2015</v>
      </c>
      <c r="B633" s="80">
        <f>IF((A633&gt;=2023),F633,(C633*G633))</f>
        <v/>
      </c>
      <c r="C633" s="81">
        <f>(D633+E633)</f>
        <v/>
      </c>
      <c r="D633" s="81" t="n">
        <v>0.0046</v>
      </c>
      <c r="E633" s="81" t="n">
        <v>0</v>
      </c>
      <c r="F633" s="81" t="n"/>
      <c r="G633" s="81" t="n">
        <v>100</v>
      </c>
    </row>
    <row r="634" ht="14" customHeight="1">
      <c r="A634" s="16" t="n">
        <v>2016</v>
      </c>
      <c r="B634" s="78">
        <f>IF((A634&gt;=2023),F634,(C634*G634))</f>
        <v/>
      </c>
      <c r="C634" s="79">
        <f>(D634+E634)</f>
        <v/>
      </c>
      <c r="D634" s="79" t="n">
        <v>0.004699999999999999</v>
      </c>
      <c r="E634" s="79" t="n">
        <v>0</v>
      </c>
      <c r="F634" s="79" t="n"/>
      <c r="G634" s="79" t="n">
        <v>100</v>
      </c>
    </row>
    <row r="635" ht="14" customHeight="1">
      <c r="A635" s="23" t="n">
        <v>2017</v>
      </c>
      <c r="B635" s="80">
        <f>IF((A635&gt;=2023),F635,(C635*G635))</f>
        <v/>
      </c>
      <c r="C635" s="81">
        <f>(D635+E635)</f>
        <v/>
      </c>
      <c r="D635" s="81" t="n">
        <v>0.0068</v>
      </c>
      <c r="E635" s="81" t="n">
        <v>0</v>
      </c>
      <c r="F635" s="81" t="n"/>
      <c r="G635" s="81" t="n">
        <v>100</v>
      </c>
    </row>
    <row r="636" ht="14" customHeight="1">
      <c r="A636" s="16" t="n">
        <v>2018</v>
      </c>
      <c r="B636" s="78">
        <f>IF((A636&gt;=2023),F636,(C636*G636))</f>
        <v/>
      </c>
      <c r="C636" s="79">
        <f>(D636+E636)</f>
        <v/>
      </c>
      <c r="D636" s="79" t="n">
        <v>0.0106</v>
      </c>
      <c r="E636" s="79" t="n">
        <v>0</v>
      </c>
      <c r="F636" s="79" t="n"/>
      <c r="G636" s="79" t="n">
        <v>100</v>
      </c>
    </row>
    <row r="637" ht="14" customHeight="1">
      <c r="A637" s="23" t="n">
        <v>2019</v>
      </c>
      <c r="B637" s="80">
        <f>IF((A637&gt;=2023),F637,(C637*G637))</f>
        <v/>
      </c>
      <c r="C637" s="81">
        <f>(D637+E637)</f>
        <v/>
      </c>
      <c r="D637" s="81" t="n">
        <v>0.019</v>
      </c>
      <c r="E637" s="81" t="n">
        <v>0</v>
      </c>
      <c r="F637" s="81" t="n"/>
      <c r="G637" s="81" t="n">
        <v>100</v>
      </c>
    </row>
    <row r="638" ht="14" customHeight="1">
      <c r="A638" s="16" t="n">
        <v>2020</v>
      </c>
      <c r="B638" s="78">
        <f>IF((A638&gt;=2023),F638,(C638*G638))</f>
        <v/>
      </c>
      <c r="C638" s="79">
        <f>(D638+E638)</f>
        <v/>
      </c>
      <c r="D638" s="79" t="n">
        <v>0.0538</v>
      </c>
      <c r="E638" s="79" t="n">
        <v>0.0001</v>
      </c>
      <c r="F638" s="79" t="n"/>
      <c r="G638" s="79" t="n">
        <v>100</v>
      </c>
    </row>
    <row r="639" ht="14" customHeight="1">
      <c r="A639" s="23" t="n">
        <v>2021</v>
      </c>
      <c r="B639" s="80">
        <f>IF((A639&gt;=2023),F639,(C639*G639))</f>
        <v/>
      </c>
      <c r="C639" s="81">
        <f>(D639+E639)</f>
        <v/>
      </c>
      <c r="D639" s="81" t="n">
        <v>0.0886</v>
      </c>
      <c r="E639" s="81" t="n">
        <v>0.0001</v>
      </c>
      <c r="F639" s="81" t="n"/>
      <c r="G639" s="81" t="n">
        <v>100</v>
      </c>
    </row>
    <row r="640" ht="14" customHeight="1">
      <c r="A640" s="16" t="n">
        <v>2022</v>
      </c>
      <c r="B640" s="78">
        <f>IF((A640&gt;=2023),F640,(C640*G640))</f>
        <v/>
      </c>
      <c r="C640" s="79">
        <f>(D640+E640)</f>
        <v/>
      </c>
      <c r="D640" s="79" t="n">
        <v>0.134</v>
      </c>
      <c r="E640" s="79" t="n">
        <v>0.0001</v>
      </c>
      <c r="F640" s="79" t="n"/>
      <c r="G640" s="79" t="n">
        <v>100</v>
      </c>
    </row>
    <row r="641" ht="14" customHeight="1">
      <c r="A641" s="23" t="n">
        <v>2023</v>
      </c>
      <c r="B641" s="80">
        <f>IF((A641&gt;=2023),F641,(C641*G641))</f>
        <v/>
      </c>
      <c r="C641" s="81">
        <f>(D641+E641)</f>
        <v/>
      </c>
      <c r="D641" s="81" t="n"/>
      <c r="E641" s="81" t="n"/>
      <c r="F641" s="81" t="n">
        <v>14.6</v>
      </c>
      <c r="G641" s="81" t="n">
        <v>100</v>
      </c>
    </row>
    <row r="642" ht="14" customHeight="1">
      <c r="A642" s="16" t="n">
        <v>2024</v>
      </c>
      <c r="B642" s="78">
        <f>IF((A642&gt;=2023),F642,(C642*G642))</f>
        <v/>
      </c>
      <c r="C642" s="79">
        <f>(D642+E642)</f>
        <v/>
      </c>
      <c r="D642" s="79" t="n"/>
      <c r="E642" s="79" t="n"/>
      <c r="F642" s="79" t="n">
        <v>13.6</v>
      </c>
      <c r="G642" s="79" t="n">
        <v>100</v>
      </c>
    </row>
    <row r="643" ht="14" customHeight="1">
      <c r="A643" s="23" t="n">
        <v>2025</v>
      </c>
      <c r="B643" s="80">
        <f>IF((A643&gt;=2023),F643,(C643*G643))</f>
        <v/>
      </c>
      <c r="C643" s="81">
        <f>(D643+E643)</f>
        <v/>
      </c>
      <c r="D643" s="81" t="n"/>
      <c r="E643" s="81" t="n"/>
      <c r="F643" s="81" t="n">
        <v>17.4</v>
      </c>
      <c r="G643" s="81" t="n">
        <v>100</v>
      </c>
    </row>
    <row r="646">
      <c r="A646" s="86" t="inlineStr">
        <is>
          <t>T6a · Fossil share of transport energy use  (%)</t>
        </is>
      </c>
    </row>
    <row r="647" ht="26" customHeight="1">
      <c r="A647" s="83" t="inlineStr">
        <is>
          <t>NOT the report's derivation for the later years — the formula switches by year to a different recipe, because the report's own inputs have no feed. The two halves of this series are not computed the same way.</t>
        </is>
      </c>
    </row>
    <row r="648" ht="24" customHeight="1">
      <c r="A648" s="3" t="inlineStr">
        <is>
          <t>Derivation:  Value = IF(A &gt;= 2022, ROUND([Report baseline 2021 (%)] * ([Numerator · nrg_bal_s O4000XBIO] + [Numerator · nrg_bal_s G3000] + [Numerator · nrg_bal_s C0000X0350-0370]) / ([Denominator · nrg_bal_s TOTAL]) / [Live source at 2021 (same basis as the columns left)], 2), ([% fossil]) * [fraction → % (× 100)])</t>
        </is>
      </c>
    </row>
    <row r="649" ht="42" customHeight="1">
      <c r="A649" s="77" t="inlineStr">
        <is>
          <t>Year</t>
        </is>
      </c>
      <c r="B649" s="77" t="inlineStr">
        <is>
          <t>Value</t>
        </is>
      </c>
      <c r="C649" s="77" t="inlineStr">
        <is>
          <t>% fossil</t>
        </is>
      </c>
      <c r="D649" s="77" t="inlineStr">
        <is>
          <t>Solid fossil fuels</t>
        </is>
      </c>
      <c r="E649" s="77" t="inlineStr">
        <is>
          <t>Manufactured gases</t>
        </is>
      </c>
      <c r="F649" s="77" t="inlineStr">
        <is>
          <t>Peat and peat products</t>
        </is>
      </c>
      <c r="G649" s="77" t="inlineStr">
        <is>
          <t>Natural gas</t>
        </is>
      </c>
      <c r="H649" s="77" t="inlineStr">
        <is>
          <t>Oil and petroleum products (excluding biofuel portion)</t>
        </is>
      </c>
      <c r="I649" s="77" t="inlineStr">
        <is>
          <t>Solid fossil fuels (2)</t>
        </is>
      </c>
      <c r="J649" s="77" t="inlineStr">
        <is>
          <t>Manufactured gases (2)</t>
        </is>
      </c>
      <c r="K649" s="77" t="inlineStr">
        <is>
          <t>Peat and peat products (2)</t>
        </is>
      </c>
      <c r="L649" s="77" t="inlineStr">
        <is>
          <t>Natural gas (2)</t>
        </is>
      </c>
      <c r="M649" s="77" t="inlineStr">
        <is>
          <t>Oil and petroleum products (excluding biofuel portion) (2)</t>
        </is>
      </c>
      <c r="N649" s="77" t="inlineStr">
        <is>
          <t>Solid fossil fuels (3)</t>
        </is>
      </c>
      <c r="O649" s="77" t="inlineStr">
        <is>
          <t>Manufactured gases (3)</t>
        </is>
      </c>
      <c r="P649" s="77" t="inlineStr">
        <is>
          <t>Peat and peat products (3)</t>
        </is>
      </c>
      <c r="Q649" s="77" t="inlineStr">
        <is>
          <t>Natural gas (3)</t>
        </is>
      </c>
      <c r="R649" s="77" t="inlineStr">
        <is>
          <t>Oil and petroleum products (excluding biofuel portion) (3)</t>
        </is>
      </c>
      <c r="S649" s="77" t="inlineStr">
        <is>
          <t>Total</t>
        </is>
      </c>
      <c r="T649" s="77" t="inlineStr">
        <is>
          <t>Total (2)</t>
        </is>
      </c>
      <c r="U649" s="77" t="inlineStr">
        <is>
          <t>Total (3)</t>
        </is>
      </c>
      <c r="V649" s="77" t="inlineStr">
        <is>
          <t>Numerator · nrg_bal_s O4000XBIO</t>
        </is>
      </c>
      <c r="W649" s="77" t="inlineStr">
        <is>
          <t>Numerator · nrg_bal_s G3000</t>
        </is>
      </c>
      <c r="X649" s="77" t="inlineStr">
        <is>
          <t>Numerator · nrg_bal_s C0000X0350-0370</t>
        </is>
      </c>
      <c r="Y649" s="77" t="inlineStr">
        <is>
          <t>Denominator · nrg_bal_s TOTAL</t>
        </is>
      </c>
      <c r="Z649" s="77" t="inlineStr">
        <is>
          <t>Report baseline 2021 (%)</t>
        </is>
      </c>
      <c r="AA649" s="77" t="inlineStr">
        <is>
          <t>Live source at 2021 (same basis as the columns left)</t>
        </is>
      </c>
      <c r="AB649" s="77" t="inlineStr">
        <is>
          <t>fraction → % (× 100)</t>
        </is>
      </c>
    </row>
    <row r="650" ht="14" customHeight="1">
      <c r="A650" s="16" t="n">
        <v>2005</v>
      </c>
      <c r="B650" s="78">
        <f>IF((A650&gt;=2022),ROUND((((Z650*((V650+W650)+X650))/Y650)/AA650),2),(C650*AB650))</f>
        <v/>
      </c>
      <c r="C650" s="79">
        <f>(((((((((((((((D650+E650)+F650)+G650)+H650)+I650)+J650)+K650)+L650)+M650)+N650)+O650)+P650)+Q650)+R650)/((S650+T650)+U650))</f>
        <v/>
      </c>
      <c r="D650" s="79" t="n">
        <v>5.489</v>
      </c>
      <c r="E650" s="79" t="n">
        <v>0</v>
      </c>
      <c r="F650" s="79" t="n">
        <v>0</v>
      </c>
      <c r="G650" s="79" t="n">
        <v>2787.873</v>
      </c>
      <c r="H650" s="79" t="n">
        <v>270483.07</v>
      </c>
      <c r="I650" s="79" t="n">
        <v>0</v>
      </c>
      <c r="J650" s="79" t="n">
        <v>0</v>
      </c>
      <c r="K650" s="79" t="n">
        <v>0</v>
      </c>
      <c r="L650" s="79" t="n">
        <v>0</v>
      </c>
      <c r="M650" s="79" t="n">
        <v>47197.778</v>
      </c>
      <c r="N650" s="79" t="n">
        <v>0</v>
      </c>
      <c r="O650" s="79" t="n">
        <v>0</v>
      </c>
      <c r="P650" s="79" t="n">
        <v>0</v>
      </c>
      <c r="Q650" s="79" t="n">
        <v>0</v>
      </c>
      <c r="R650" s="79" t="n">
        <v>31148.203</v>
      </c>
      <c r="S650" s="79" t="n">
        <v>281578.768</v>
      </c>
      <c r="T650" s="79" t="n">
        <v>47197.778</v>
      </c>
      <c r="U650" s="79" t="n">
        <v>31148.203</v>
      </c>
      <c r="V650" s="79" t="n"/>
      <c r="W650" s="79" t="n"/>
      <c r="X650" s="79" t="n"/>
      <c r="Y650" s="79" t="n"/>
      <c r="Z650" s="79" t="n"/>
      <c r="AA650" s="79" t="n"/>
      <c r="AB650" s="79" t="n">
        <v>100</v>
      </c>
    </row>
    <row r="651" ht="14" customHeight="1">
      <c r="A651" s="23" t="n">
        <v>2006</v>
      </c>
      <c r="B651" s="80">
        <f>IF((A651&gt;=2022),ROUND((((Z651*((V651+W651)+X651))/Y651)/AA651),2),(C651*AB651))</f>
        <v/>
      </c>
      <c r="C651" s="81">
        <f>(((((((((((((((D651+E651)+F651)+G651)+H651)+I651)+J651)+K651)+L651)+M651)+N651)+O651)+P651)+Q651)+R651)/((S651+T651)+U651))</f>
        <v/>
      </c>
      <c r="D651" s="81" t="n">
        <v>1.116</v>
      </c>
      <c r="E651" s="81" t="n">
        <v>0</v>
      </c>
      <c r="F651" s="81" t="n">
        <v>0</v>
      </c>
      <c r="G651" s="81" t="n">
        <v>2679.47</v>
      </c>
      <c r="H651" s="81" t="n">
        <v>274348.895</v>
      </c>
      <c r="I651" s="81" t="n">
        <v>0</v>
      </c>
      <c r="J651" s="81" t="n">
        <v>0</v>
      </c>
      <c r="K651" s="81" t="n">
        <v>0</v>
      </c>
      <c r="L651" s="81" t="n">
        <v>0</v>
      </c>
      <c r="M651" s="81" t="n">
        <v>50311.868</v>
      </c>
      <c r="N651" s="81" t="n">
        <v>0</v>
      </c>
      <c r="O651" s="81" t="n">
        <v>0</v>
      </c>
      <c r="P651" s="81" t="n">
        <v>0</v>
      </c>
      <c r="Q651" s="81" t="n">
        <v>0</v>
      </c>
      <c r="R651" s="81" t="n">
        <v>32737.146</v>
      </c>
      <c r="S651" s="81" t="n">
        <v>287221.113</v>
      </c>
      <c r="T651" s="81" t="n">
        <v>50311.868</v>
      </c>
      <c r="U651" s="81" t="n">
        <v>32737.146</v>
      </c>
      <c r="V651" s="81" t="n"/>
      <c r="W651" s="81" t="n"/>
      <c r="X651" s="81" t="n"/>
      <c r="Y651" s="81" t="n"/>
      <c r="Z651" s="81" t="n"/>
      <c r="AA651" s="81" t="n"/>
      <c r="AB651" s="81" t="n">
        <v>100</v>
      </c>
    </row>
    <row r="652" ht="14" customHeight="1">
      <c r="A652" s="16" t="n">
        <v>2007</v>
      </c>
      <c r="B652" s="78">
        <f>IF((A652&gt;=2022),ROUND((((Z652*((V652+W652)+X652))/Y652)/AA652),2),(C652*AB652))</f>
        <v/>
      </c>
      <c r="C652" s="79">
        <f>(((((((((((((((D652+E652)+F652)+G652)+H652)+I652)+J652)+K652)+L652)+M652)+N652)+O652)+P652)+Q652)+R652)/((S652+T652)+U652))</f>
        <v/>
      </c>
      <c r="D652" s="79" t="n">
        <v>0.993</v>
      </c>
      <c r="E652" s="79" t="n">
        <v>0</v>
      </c>
      <c r="F652" s="79" t="n">
        <v>0</v>
      </c>
      <c r="G652" s="79" t="n">
        <v>2770.754</v>
      </c>
      <c r="H652" s="79" t="n">
        <v>276889.839</v>
      </c>
      <c r="I652" s="79" t="n">
        <v>0</v>
      </c>
      <c r="J652" s="79" t="n">
        <v>0</v>
      </c>
      <c r="K652" s="79" t="n">
        <v>0</v>
      </c>
      <c r="L652" s="79" t="n">
        <v>0</v>
      </c>
      <c r="M652" s="79" t="n">
        <v>52464.315</v>
      </c>
      <c r="N652" s="79" t="n">
        <v>0</v>
      </c>
      <c r="O652" s="79" t="n">
        <v>0</v>
      </c>
      <c r="P652" s="79" t="n">
        <v>0</v>
      </c>
      <c r="Q652" s="79" t="n">
        <v>0</v>
      </c>
      <c r="R652" s="79" t="n">
        <v>34156.138</v>
      </c>
      <c r="S652" s="79" t="n">
        <v>291835.11</v>
      </c>
      <c r="T652" s="79" t="n">
        <v>52464.315</v>
      </c>
      <c r="U652" s="79" t="n">
        <v>34156.138</v>
      </c>
      <c r="V652" s="79" t="n"/>
      <c r="W652" s="79" t="n"/>
      <c r="X652" s="79" t="n"/>
      <c r="Y652" s="79" t="n"/>
      <c r="Z652" s="79" t="n"/>
      <c r="AA652" s="79" t="n"/>
      <c r="AB652" s="79" t="n">
        <v>100</v>
      </c>
    </row>
    <row r="653" ht="14" customHeight="1">
      <c r="A653" s="23" t="n">
        <v>2008</v>
      </c>
      <c r="B653" s="80">
        <f>IF((A653&gt;=2022),ROUND((((Z653*((V653+W653)+X653))/Y653)/AA653),2),(C653*AB653))</f>
        <v/>
      </c>
      <c r="C653" s="81">
        <f>(((((((((((((((D653+E653)+F653)+G653)+H653)+I653)+J653)+K653)+L653)+M653)+N653)+O653)+P653)+Q653)+R653)/((S653+T653)+U653))</f>
        <v/>
      </c>
      <c r="D653" s="81" t="n">
        <v>1.021</v>
      </c>
      <c r="E653" s="81" t="n">
        <v>0</v>
      </c>
      <c r="F653" s="81" t="n">
        <v>0</v>
      </c>
      <c r="G653" s="81" t="n">
        <v>2895.259</v>
      </c>
      <c r="H653" s="81" t="n">
        <v>271182.008</v>
      </c>
      <c r="I653" s="81" t="n">
        <v>0</v>
      </c>
      <c r="J653" s="81" t="n">
        <v>0</v>
      </c>
      <c r="K653" s="81" t="n">
        <v>0</v>
      </c>
      <c r="L653" s="81" t="n">
        <v>0</v>
      </c>
      <c r="M653" s="81" t="n">
        <v>51884.183</v>
      </c>
      <c r="N653" s="81" t="n">
        <v>0</v>
      </c>
      <c r="O653" s="81" t="n">
        <v>0</v>
      </c>
      <c r="P653" s="81" t="n">
        <v>0</v>
      </c>
      <c r="Q653" s="81" t="n">
        <v>0</v>
      </c>
      <c r="R653" s="81" t="n">
        <v>34790.878</v>
      </c>
      <c r="S653" s="81" t="n">
        <v>287886.204</v>
      </c>
      <c r="T653" s="81" t="n">
        <v>51884.183</v>
      </c>
      <c r="U653" s="81" t="n">
        <v>34790.878</v>
      </c>
      <c r="V653" s="81" t="n"/>
      <c r="W653" s="81" t="n"/>
      <c r="X653" s="81" t="n"/>
      <c r="Y653" s="81" t="n"/>
      <c r="Z653" s="81" t="n"/>
      <c r="AA653" s="81" t="n"/>
      <c r="AB653" s="81" t="n">
        <v>100</v>
      </c>
    </row>
    <row r="654" ht="14" customHeight="1">
      <c r="A654" s="16" t="n">
        <v>2009</v>
      </c>
      <c r="B654" s="78">
        <f>IF((A654&gt;=2022),ROUND((((Z654*((V654+W654)+X654))/Y654)/AA654),2),(C654*AB654))</f>
        <v/>
      </c>
      <c r="C654" s="79">
        <f>(((((((((((((((D654+E654)+F654)+G654)+H654)+I654)+J654)+K654)+L654)+M654)+N654)+O654)+P654)+Q654)+R654)/((S654+T654)+U654))</f>
        <v/>
      </c>
      <c r="D654" s="79" t="n">
        <v>0.483</v>
      </c>
      <c r="E654" s="79" t="n">
        <v>0</v>
      </c>
      <c r="F654" s="79" t="n">
        <v>0</v>
      </c>
      <c r="G654" s="79" t="n">
        <v>2537.443</v>
      </c>
      <c r="H654" s="79" t="n">
        <v>262752.135</v>
      </c>
      <c r="I654" s="79" t="n">
        <v>0</v>
      </c>
      <c r="J654" s="79" t="n">
        <v>0</v>
      </c>
      <c r="K654" s="79" t="n">
        <v>0</v>
      </c>
      <c r="L654" s="79" t="n">
        <v>0</v>
      </c>
      <c r="M654" s="79" t="n">
        <v>46334.866</v>
      </c>
      <c r="N654" s="79" t="n">
        <v>0</v>
      </c>
      <c r="O654" s="79" t="n">
        <v>0</v>
      </c>
      <c r="P654" s="79" t="n">
        <v>0</v>
      </c>
      <c r="Q654" s="79" t="n">
        <v>0</v>
      </c>
      <c r="R654" s="79" t="n">
        <v>31853.638</v>
      </c>
      <c r="S654" s="79" t="n">
        <v>280641.743</v>
      </c>
      <c r="T654" s="79" t="n">
        <v>46334.866</v>
      </c>
      <c r="U654" s="79" t="n">
        <v>31853.638</v>
      </c>
      <c r="V654" s="79" t="n"/>
      <c r="W654" s="79" t="n"/>
      <c r="X654" s="79" t="n"/>
      <c r="Y654" s="79" t="n"/>
      <c r="Z654" s="79" t="n"/>
      <c r="AA654" s="79" t="n"/>
      <c r="AB654" s="79" t="n">
        <v>100</v>
      </c>
    </row>
    <row r="655" ht="14" customHeight="1">
      <c r="A655" s="23" t="n">
        <v>2010</v>
      </c>
      <c r="B655" s="80">
        <f>IF((A655&gt;=2022),ROUND((((Z655*((V655+W655)+X655))/Y655)/AA655),2),(C655*AB655))</f>
        <v/>
      </c>
      <c r="C655" s="81">
        <f>(((((((((((((((D655+E655)+F655)+G655)+H655)+I655)+J655)+K655)+L655)+M655)+N655)+O655)+P655)+Q655)+R655)/((S655+T655)+U655))</f>
        <v/>
      </c>
      <c r="D655" s="81" t="n">
        <v>0.476</v>
      </c>
      <c r="E655" s="81" t="n">
        <v>0</v>
      </c>
      <c r="F655" s="81" t="n">
        <v>0</v>
      </c>
      <c r="G655" s="81" t="n">
        <v>2660.352</v>
      </c>
      <c r="H655" s="81" t="n">
        <v>260489.882</v>
      </c>
      <c r="I655" s="81" t="n">
        <v>0</v>
      </c>
      <c r="J655" s="81" t="n">
        <v>0</v>
      </c>
      <c r="K655" s="81" t="n">
        <v>0</v>
      </c>
      <c r="L655" s="81" t="n">
        <v>0</v>
      </c>
      <c r="M655" s="81" t="n">
        <v>46700.957</v>
      </c>
      <c r="N655" s="81" t="n">
        <v>0</v>
      </c>
      <c r="O655" s="81" t="n">
        <v>0</v>
      </c>
      <c r="P655" s="81" t="n">
        <v>0</v>
      </c>
      <c r="Q655" s="81" t="n">
        <v>0</v>
      </c>
      <c r="R655" s="81" t="n">
        <v>32120.035</v>
      </c>
      <c r="S655" s="81" t="n">
        <v>279992.442</v>
      </c>
      <c r="T655" s="81" t="n">
        <v>46700.957</v>
      </c>
      <c r="U655" s="81" t="n">
        <v>32120.035</v>
      </c>
      <c r="V655" s="81" t="n"/>
      <c r="W655" s="81" t="n"/>
      <c r="X655" s="81" t="n"/>
      <c r="Y655" s="81" t="n"/>
      <c r="Z655" s="81" t="n"/>
      <c r="AA655" s="81" t="n"/>
      <c r="AB655" s="81" t="n">
        <v>100</v>
      </c>
    </row>
    <row r="656" ht="14" customHeight="1">
      <c r="A656" s="16" t="n">
        <v>2011</v>
      </c>
      <c r="B656" s="78">
        <f>IF((A656&gt;=2022),ROUND((((Z656*((V656+W656)+X656))/Y656)/AA656),2),(C656*AB656))</f>
        <v/>
      </c>
      <c r="C656" s="79">
        <f>(((((((((((((((D656+E656)+F656)+G656)+H656)+I656)+J656)+K656)+L656)+M656)+N656)+O656)+P656)+Q656)+R656)/((S656+T656)+U656))</f>
        <v/>
      </c>
      <c r="D656" s="79" t="n">
        <v>0.469</v>
      </c>
      <c r="E656" s="79" t="n">
        <v>0</v>
      </c>
      <c r="F656" s="79" t="n">
        <v>0</v>
      </c>
      <c r="G656" s="79" t="n">
        <v>3032.095</v>
      </c>
      <c r="H656" s="79" t="n">
        <v>258278.301</v>
      </c>
      <c r="I656" s="79" t="n">
        <v>0</v>
      </c>
      <c r="J656" s="79" t="n">
        <v>0</v>
      </c>
      <c r="K656" s="79" t="n">
        <v>0</v>
      </c>
      <c r="L656" s="79" t="n">
        <v>0</v>
      </c>
      <c r="M656" s="79" t="n">
        <v>46535.697</v>
      </c>
      <c r="N656" s="79" t="n">
        <v>0</v>
      </c>
      <c r="O656" s="79" t="n">
        <v>0</v>
      </c>
      <c r="P656" s="79" t="n">
        <v>0</v>
      </c>
      <c r="Q656" s="79" t="n">
        <v>0</v>
      </c>
      <c r="R656" s="79" t="n">
        <v>33070.273</v>
      </c>
      <c r="S656" s="79" t="n">
        <v>278951.01</v>
      </c>
      <c r="T656" s="79" t="n">
        <v>46535.697</v>
      </c>
      <c r="U656" s="79" t="n">
        <v>33070.273</v>
      </c>
      <c r="V656" s="79" t="n"/>
      <c r="W656" s="79" t="n"/>
      <c r="X656" s="79" t="n"/>
      <c r="Y656" s="79" t="n"/>
      <c r="Z656" s="79" t="n"/>
      <c r="AA656" s="79" t="n"/>
      <c r="AB656" s="79" t="n">
        <v>100</v>
      </c>
    </row>
    <row r="657" ht="14" customHeight="1">
      <c r="A657" s="23" t="n">
        <v>2012</v>
      </c>
      <c r="B657" s="80">
        <f>IF((A657&gt;=2022),ROUND((((Z657*((V657+W657)+X657))/Y657)/AA657),2),(C657*AB657))</f>
        <v/>
      </c>
      <c r="C657" s="81">
        <f>(((((((((((((((D657+E657)+F657)+G657)+H657)+I657)+J657)+K657)+L657)+M657)+N657)+O657)+P657)+Q657)+R657)/((S657+T657)+U657))</f>
        <v/>
      </c>
      <c r="D657" s="81" t="n">
        <v>0.477</v>
      </c>
      <c r="E657" s="81" t="n">
        <v>0</v>
      </c>
      <c r="F657" s="81" t="n">
        <v>0</v>
      </c>
      <c r="G657" s="81" t="n">
        <v>2833.788</v>
      </c>
      <c r="H657" s="81" t="n">
        <v>247925.899</v>
      </c>
      <c r="I657" s="81" t="n">
        <v>0</v>
      </c>
      <c r="J657" s="81" t="n">
        <v>0</v>
      </c>
      <c r="K657" s="81" t="n">
        <v>0</v>
      </c>
      <c r="L657" s="81" t="n">
        <v>0</v>
      </c>
      <c r="M657" s="81" t="n">
        <v>43487.329</v>
      </c>
      <c r="N657" s="81" t="n">
        <v>0</v>
      </c>
      <c r="O657" s="81" t="n">
        <v>0</v>
      </c>
      <c r="P657" s="81" t="n">
        <v>0</v>
      </c>
      <c r="Q657" s="81" t="n">
        <v>0</v>
      </c>
      <c r="R657" s="81" t="n">
        <v>32613.426</v>
      </c>
      <c r="S657" s="81" t="n">
        <v>269187.624</v>
      </c>
      <c r="T657" s="81" t="n">
        <v>43487.329</v>
      </c>
      <c r="U657" s="81" t="n">
        <v>32613.426</v>
      </c>
      <c r="V657" s="81" t="n"/>
      <c r="W657" s="81" t="n"/>
      <c r="X657" s="81" t="n"/>
      <c r="Y657" s="81" t="n"/>
      <c r="Z657" s="81" t="n"/>
      <c r="AA657" s="81" t="n"/>
      <c r="AB657" s="81" t="n">
        <v>100</v>
      </c>
    </row>
    <row r="658" ht="14" customHeight="1">
      <c r="A658" s="16" t="n">
        <v>2013</v>
      </c>
      <c r="B658" s="78">
        <f>IF((A658&gt;=2022),ROUND((((Z658*((V658+W658)+X658))/Y658)/AA658),2),(C658*AB658))</f>
        <v/>
      </c>
      <c r="C658" s="79">
        <f>(((((((((((((((D658+E658)+F658)+G658)+H658)+I658)+J658)+K658)+L658)+M658)+N658)+O658)+P658)+Q658)+R658)/((S658+T658)+U658))</f>
        <v/>
      </c>
      <c r="D658" s="79" t="n">
        <v>0.488</v>
      </c>
      <c r="E658" s="79" t="n">
        <v>0</v>
      </c>
      <c r="F658" s="79" t="n">
        <v>0</v>
      </c>
      <c r="G658" s="79" t="n">
        <v>3119.998</v>
      </c>
      <c r="H658" s="79" t="n">
        <v>245368.584</v>
      </c>
      <c r="I658" s="79" t="n">
        <v>0</v>
      </c>
      <c r="J658" s="79" t="n">
        <v>0</v>
      </c>
      <c r="K658" s="79" t="n">
        <v>0</v>
      </c>
      <c r="L658" s="79" t="n">
        <v>0.315</v>
      </c>
      <c r="M658" s="79" t="n">
        <v>41030.449</v>
      </c>
      <c r="N658" s="79" t="n">
        <v>0</v>
      </c>
      <c r="O658" s="79" t="n">
        <v>0</v>
      </c>
      <c r="P658" s="79" t="n">
        <v>0</v>
      </c>
      <c r="Q658" s="79" t="n">
        <v>0</v>
      </c>
      <c r="R658" s="79" t="n">
        <v>32756.397</v>
      </c>
      <c r="S658" s="79" t="n">
        <v>265449.955</v>
      </c>
      <c r="T658" s="79" t="n">
        <v>41030.763</v>
      </c>
      <c r="U658" s="79" t="n">
        <v>32756.397</v>
      </c>
      <c r="V658" s="79" t="n"/>
      <c r="W658" s="79" t="n"/>
      <c r="X658" s="79" t="n"/>
      <c r="Y658" s="79" t="n"/>
      <c r="Z658" s="79" t="n"/>
      <c r="AA658" s="79" t="n"/>
      <c r="AB658" s="79" t="n">
        <v>100</v>
      </c>
    </row>
    <row r="659" ht="14" customHeight="1">
      <c r="A659" s="23" t="n">
        <v>2014</v>
      </c>
      <c r="B659" s="80">
        <f>IF((A659&gt;=2022),ROUND((((Z659*((V659+W659)+X659))/Y659)/AA659),2),(C659*AB659))</f>
        <v/>
      </c>
      <c r="C659" s="81">
        <f>(((((((((((((((D659+E659)+F659)+G659)+H659)+I659)+J659)+K659)+L659)+M659)+N659)+O659)+P659)+Q659)+R659)/((S659+T659)+U659))</f>
        <v/>
      </c>
      <c r="D659" s="81" t="n">
        <v>1.154</v>
      </c>
      <c r="E659" s="81" t="n">
        <v>0</v>
      </c>
      <c r="F659" s="81" t="n">
        <v>0</v>
      </c>
      <c r="G659" s="81" t="n">
        <v>2993.783</v>
      </c>
      <c r="H659" s="81" t="n">
        <v>248039.318</v>
      </c>
      <c r="I659" s="81" t="n">
        <v>0</v>
      </c>
      <c r="J659" s="81" t="n">
        <v>0</v>
      </c>
      <c r="K659" s="81" t="n">
        <v>0</v>
      </c>
      <c r="L659" s="81" t="n">
        <v>0.523</v>
      </c>
      <c r="M659" s="81" t="n">
        <v>39835.806</v>
      </c>
      <c r="N659" s="81" t="n">
        <v>0</v>
      </c>
      <c r="O659" s="81" t="n">
        <v>0</v>
      </c>
      <c r="P659" s="81" t="n">
        <v>0</v>
      </c>
      <c r="Q659" s="81" t="n">
        <v>0</v>
      </c>
      <c r="R659" s="81" t="n">
        <v>33171.779</v>
      </c>
      <c r="S659" s="81" t="n">
        <v>268808.993</v>
      </c>
      <c r="T659" s="81" t="n">
        <v>39836.329</v>
      </c>
      <c r="U659" s="81" t="n">
        <v>33171.779</v>
      </c>
      <c r="V659" s="81" t="n"/>
      <c r="W659" s="81" t="n"/>
      <c r="X659" s="81" t="n"/>
      <c r="Y659" s="81" t="n"/>
      <c r="Z659" s="81" t="n"/>
      <c r="AA659" s="81" t="n"/>
      <c r="AB659" s="81" t="n">
        <v>100</v>
      </c>
    </row>
    <row r="660" ht="14" customHeight="1">
      <c r="A660" s="16" t="n">
        <v>2015</v>
      </c>
      <c r="B660" s="78">
        <f>IF((A660&gt;=2022),ROUND((((Z660*((V660+W660)+X660))/Y660)/AA660),2),(C660*AB660))</f>
        <v/>
      </c>
      <c r="C660" s="79">
        <f>(((((((((((((((D660+E660)+F660)+G660)+H660)+I660)+J660)+K660)+L660)+M660)+N660)+O660)+P660)+Q660)+R660)/((S660+T660)+U660))</f>
        <v/>
      </c>
      <c r="D660" s="79" t="n">
        <v>1.192</v>
      </c>
      <c r="E660" s="79" t="n">
        <v>0</v>
      </c>
      <c r="F660" s="79" t="n">
        <v>0</v>
      </c>
      <c r="G660" s="79" t="n">
        <v>3031.348</v>
      </c>
      <c r="H660" s="79" t="n">
        <v>251580.015</v>
      </c>
      <c r="I660" s="79" t="n">
        <v>0</v>
      </c>
      <c r="J660" s="79" t="n">
        <v>0</v>
      </c>
      <c r="K660" s="79" t="n">
        <v>0</v>
      </c>
      <c r="L660" s="79" t="n">
        <v>5.384</v>
      </c>
      <c r="M660" s="79" t="n">
        <v>40306.194</v>
      </c>
      <c r="N660" s="79" t="n">
        <v>0</v>
      </c>
      <c r="O660" s="79" t="n">
        <v>0</v>
      </c>
      <c r="P660" s="79" t="n">
        <v>0</v>
      </c>
      <c r="Q660" s="79" t="n">
        <v>0</v>
      </c>
      <c r="R660" s="79" t="n">
        <v>34568.166</v>
      </c>
      <c r="S660" s="79" t="n">
        <v>272463.417</v>
      </c>
      <c r="T660" s="79" t="n">
        <v>40311.578</v>
      </c>
      <c r="U660" s="79" t="n">
        <v>34568.166</v>
      </c>
      <c r="V660" s="79" t="n"/>
      <c r="W660" s="79" t="n"/>
      <c r="X660" s="79" t="n"/>
      <c r="Y660" s="79" t="n"/>
      <c r="Z660" s="79" t="n"/>
      <c r="AA660" s="79" t="n"/>
      <c r="AB660" s="79" t="n">
        <v>100</v>
      </c>
    </row>
    <row r="661" ht="14" customHeight="1">
      <c r="A661" s="23" t="n">
        <v>2016</v>
      </c>
      <c r="B661" s="80">
        <f>IF((A661&gt;=2022),ROUND((((Z661*((V661+W661)+X661))/Y661)/AA661),2),(C661*AB661))</f>
        <v/>
      </c>
      <c r="C661" s="81">
        <f>(((((((((((((((D661+E661)+F661)+G661)+H661)+I661)+J661)+K661)+L661)+M661)+N661)+O661)+P661)+Q661)+R661)/((S661+T661)+U661))</f>
        <v/>
      </c>
      <c r="D661" s="81" t="n">
        <v>1.159</v>
      </c>
      <c r="E661" s="81" t="n">
        <v>0</v>
      </c>
      <c r="F661" s="81" t="n">
        <v>0</v>
      </c>
      <c r="G661" s="81" t="n">
        <v>3198.345</v>
      </c>
      <c r="H661" s="81" t="n">
        <v>257911.861</v>
      </c>
      <c r="I661" s="81" t="n">
        <v>0</v>
      </c>
      <c r="J661" s="81" t="n">
        <v>0</v>
      </c>
      <c r="K661" s="81" t="n">
        <v>0</v>
      </c>
      <c r="L661" s="81" t="n">
        <v>1.771</v>
      </c>
      <c r="M661" s="81" t="n">
        <v>41538.432</v>
      </c>
      <c r="N661" s="81" t="n">
        <v>0</v>
      </c>
      <c r="O661" s="81" t="n">
        <v>0</v>
      </c>
      <c r="P661" s="81" t="n">
        <v>0</v>
      </c>
      <c r="Q661" s="81" t="n">
        <v>0</v>
      </c>
      <c r="R661" s="81" t="n">
        <v>36227.853</v>
      </c>
      <c r="S661" s="81" t="n">
        <v>278736.337</v>
      </c>
      <c r="T661" s="81" t="n">
        <v>41540.203</v>
      </c>
      <c r="U661" s="81" t="n">
        <v>36227.853</v>
      </c>
      <c r="V661" s="81" t="n"/>
      <c r="W661" s="81" t="n"/>
      <c r="X661" s="81" t="n"/>
      <c r="Y661" s="81" t="n"/>
      <c r="Z661" s="81" t="n"/>
      <c r="AA661" s="81" t="n"/>
      <c r="AB661" s="81" t="n">
        <v>100</v>
      </c>
    </row>
    <row r="662" ht="14" customHeight="1">
      <c r="A662" s="16" t="n">
        <v>2017</v>
      </c>
      <c r="B662" s="78">
        <f>IF((A662&gt;=2022),ROUND((((Z662*((V662+W662)+X662))/Y662)/AA662),2),(C662*AB662))</f>
        <v/>
      </c>
      <c r="C662" s="79">
        <f>(((((((((((((((D662+E662)+F662)+G662)+H662)+I662)+J662)+K662)+L662)+M662)+N662)+O662)+P662)+Q662)+R662)/((S662+T662)+U662))</f>
        <v/>
      </c>
      <c r="D662" s="79" t="n">
        <v>1.357</v>
      </c>
      <c r="E662" s="79" t="n">
        <v>0</v>
      </c>
      <c r="F662" s="79" t="n">
        <v>0</v>
      </c>
      <c r="G662" s="79" t="n">
        <v>3304.196</v>
      </c>
      <c r="H662" s="79" t="n">
        <v>262345.946</v>
      </c>
      <c r="I662" s="79" t="n">
        <v>0</v>
      </c>
      <c r="J662" s="79" t="n">
        <v>0</v>
      </c>
      <c r="K662" s="79" t="n">
        <v>0</v>
      </c>
      <c r="L662" s="79" t="n">
        <v>49.946</v>
      </c>
      <c r="M662" s="79" t="n">
        <v>42128.09</v>
      </c>
      <c r="N662" s="79" t="n">
        <v>0</v>
      </c>
      <c r="O662" s="79" t="n">
        <v>0</v>
      </c>
      <c r="P662" s="79" t="n">
        <v>0</v>
      </c>
      <c r="Q662" s="79" t="n">
        <v>0</v>
      </c>
      <c r="R662" s="79" t="n">
        <v>38957.262</v>
      </c>
      <c r="S662" s="79" t="n">
        <v>284509.207</v>
      </c>
      <c r="T662" s="79" t="n">
        <v>42178.037</v>
      </c>
      <c r="U662" s="79" t="n">
        <v>38957.262</v>
      </c>
      <c r="V662" s="79" t="n"/>
      <c r="W662" s="79" t="n"/>
      <c r="X662" s="79" t="n"/>
      <c r="Y662" s="79" t="n"/>
      <c r="Z662" s="79" t="n"/>
      <c r="AA662" s="79" t="n"/>
      <c r="AB662" s="79" t="n">
        <v>100</v>
      </c>
    </row>
    <row r="663" ht="14" customHeight="1">
      <c r="A663" s="23" t="n">
        <v>2018</v>
      </c>
      <c r="B663" s="80">
        <f>IF((A663&gt;=2022),ROUND((((Z663*((V663+W663)+X663))/Y663)/AA663),2),(C663*AB663))</f>
        <v/>
      </c>
      <c r="C663" s="81">
        <f>(((((((((((((((D663+E663)+F663)+G663)+H663)+I663)+J663)+K663)+L663)+M663)+N663)+O663)+P663)+Q663)+R663)/((S663+T663)+U663))</f>
        <v/>
      </c>
      <c r="D663" s="81" t="n">
        <v>1</v>
      </c>
      <c r="E663" s="81" t="n">
        <v>0</v>
      </c>
      <c r="F663" s="81" t="n">
        <v>0</v>
      </c>
      <c r="G663" s="81" t="n">
        <v>3488.227</v>
      </c>
      <c r="H663" s="81" t="n">
        <v>262127.378</v>
      </c>
      <c r="I663" s="81" t="n">
        <v>0</v>
      </c>
      <c r="J663" s="81" t="n">
        <v>0</v>
      </c>
      <c r="K663" s="81" t="n">
        <v>0</v>
      </c>
      <c r="L663" s="81" t="n">
        <v>62.757</v>
      </c>
      <c r="M663" s="81" t="n">
        <v>43336.539</v>
      </c>
      <c r="N663" s="81" t="n">
        <v>0</v>
      </c>
      <c r="O663" s="81" t="n">
        <v>0</v>
      </c>
      <c r="P663" s="81" t="n">
        <v>0</v>
      </c>
      <c r="Q663" s="81" t="n">
        <v>0</v>
      </c>
      <c r="R663" s="81" t="n">
        <v>41014.912</v>
      </c>
      <c r="S663" s="81" t="n">
        <v>285944.665</v>
      </c>
      <c r="T663" s="81" t="n">
        <v>43415.986</v>
      </c>
      <c r="U663" s="81" t="n">
        <v>41014.917</v>
      </c>
      <c r="V663" s="81" t="n"/>
      <c r="W663" s="81" t="n"/>
      <c r="X663" s="81" t="n"/>
      <c r="Y663" s="81" t="n"/>
      <c r="Z663" s="81" t="n"/>
      <c r="AA663" s="81" t="n"/>
      <c r="AB663" s="81" t="n">
        <v>100</v>
      </c>
    </row>
    <row r="664" ht="14" customHeight="1">
      <c r="A664" s="16" t="n">
        <v>2019</v>
      </c>
      <c r="B664" s="78">
        <f>IF((A664&gt;=2022),ROUND((((Z664*((V664+W664)+X664))/Y664)/AA664),2),(C664*AB664))</f>
        <v/>
      </c>
      <c r="C664" s="79">
        <f>(((((((((((((((D664+E664)+F664)+G664)+H664)+I664)+J664)+K664)+L664)+M664)+N664)+O664)+P664)+Q664)+R664)/((S664+T664)+U664))</f>
        <v/>
      </c>
      <c r="D664" s="79" t="n">
        <v>0.581</v>
      </c>
      <c r="E664" s="79" t="n">
        <v>0</v>
      </c>
      <c r="F664" s="79" t="n">
        <v>0</v>
      </c>
      <c r="G664" s="79" t="n">
        <v>3705.199</v>
      </c>
      <c r="H664" s="79" t="n">
        <v>264124.082</v>
      </c>
      <c r="I664" s="79" t="n">
        <v>0</v>
      </c>
      <c r="J664" s="79" t="n">
        <v>0</v>
      </c>
      <c r="K664" s="79" t="n">
        <v>0</v>
      </c>
      <c r="L664" s="79" t="n">
        <v>142.47</v>
      </c>
      <c r="M664" s="79" t="n">
        <v>42915.162</v>
      </c>
      <c r="N664" s="79" t="n">
        <v>0</v>
      </c>
      <c r="O664" s="79" t="n">
        <v>0</v>
      </c>
      <c r="P664" s="79" t="n">
        <v>0</v>
      </c>
      <c r="Q664" s="79" t="n">
        <v>0</v>
      </c>
      <c r="R664" s="79" t="n">
        <v>41791.909</v>
      </c>
      <c r="S664" s="79" t="n">
        <v>288722.807</v>
      </c>
      <c r="T664" s="79" t="n">
        <v>43105.004</v>
      </c>
      <c r="U664" s="79" t="n">
        <v>41791.909</v>
      </c>
      <c r="V664" s="79" t="n"/>
      <c r="W664" s="79" t="n"/>
      <c r="X664" s="79" t="n"/>
      <c r="Y664" s="79" t="n"/>
      <c r="Z664" s="79" t="n"/>
      <c r="AA664" s="79" t="n"/>
      <c r="AB664" s="79" t="n">
        <v>100</v>
      </c>
    </row>
    <row r="665" ht="14" customHeight="1">
      <c r="A665" s="23" t="n">
        <v>2020</v>
      </c>
      <c r="B665" s="80">
        <f>IF((A665&gt;=2022),ROUND((((Z665*((V665+W665)+X665))/Y665)/AA665),2),(C665*AB665))</f>
        <v/>
      </c>
      <c r="C665" s="81">
        <f>(((((((((((((((D665+E665)+F665)+G665)+H665)+I665)+J665)+K665)+L665)+M665)+N665)+O665)+P665)+Q665)+R665)/((S665+T665)+U665))</f>
        <v/>
      </c>
      <c r="D665" s="81" t="n">
        <v>0.351</v>
      </c>
      <c r="E665" s="81" t="n">
        <v>0</v>
      </c>
      <c r="F665" s="81" t="n">
        <v>0</v>
      </c>
      <c r="G665" s="81" t="n">
        <v>3066.1</v>
      </c>
      <c r="H665" s="81" t="n">
        <v>227702.745</v>
      </c>
      <c r="I665" s="81" t="n">
        <v>0</v>
      </c>
      <c r="J665" s="81" t="n">
        <v>0</v>
      </c>
      <c r="K665" s="81" t="n">
        <v>0</v>
      </c>
      <c r="L665" s="81" t="n">
        <v>180.764</v>
      </c>
      <c r="M665" s="81" t="n">
        <v>38583.15</v>
      </c>
      <c r="N665" s="81" t="n">
        <v>0</v>
      </c>
      <c r="O665" s="81" t="n">
        <v>0</v>
      </c>
      <c r="P665" s="81" t="n">
        <v>0</v>
      </c>
      <c r="Q665" s="81" t="n">
        <v>0</v>
      </c>
      <c r="R665" s="81" t="n">
        <v>18041.534</v>
      </c>
      <c r="S665" s="81" t="n">
        <v>251439.587</v>
      </c>
      <c r="T665" s="81" t="n">
        <v>39000.265</v>
      </c>
      <c r="U665" s="81" t="n">
        <v>18041.534</v>
      </c>
      <c r="V665" s="81" t="n"/>
      <c r="W665" s="81" t="n"/>
      <c r="X665" s="81" t="n"/>
      <c r="Y665" s="81" t="n"/>
      <c r="Z665" s="81" t="n"/>
      <c r="AA665" s="81" t="n"/>
      <c r="AB665" s="81" t="n">
        <v>100</v>
      </c>
    </row>
    <row r="666" ht="14" customHeight="1">
      <c r="A666" s="16" t="n">
        <v>2021</v>
      </c>
      <c r="B666" s="78">
        <f>IF((A666&gt;=2022),ROUND((((Z666*((V666+W666)+X666))/Y666)/AA666),2),(C666*AB666))</f>
        <v/>
      </c>
      <c r="C666" s="79">
        <f>(((((((((((((((D666+E666)+F666)+G666)+H666)+I666)+J666)+K666)+L666)+M666)+N666)+O666)+P666)+Q666)+R666)/((S666+T666)+U666))</f>
        <v/>
      </c>
      <c r="D666" s="79" t="n">
        <v>0.412</v>
      </c>
      <c r="E666" s="79" t="n">
        <v>0</v>
      </c>
      <c r="F666" s="79" t="n">
        <v>0</v>
      </c>
      <c r="G666" s="79" t="n">
        <v>3718.087</v>
      </c>
      <c r="H666" s="79" t="n">
        <v>249154.434</v>
      </c>
      <c r="I666" s="79" t="n">
        <v>0</v>
      </c>
      <c r="J666" s="79" t="n">
        <v>0</v>
      </c>
      <c r="K666" s="79" t="n">
        <v>0</v>
      </c>
      <c r="L666" s="79" t="n">
        <v>264.047</v>
      </c>
      <c r="M666" s="79" t="n">
        <v>40330.599</v>
      </c>
      <c r="N666" s="79" t="n">
        <v>0</v>
      </c>
      <c r="O666" s="79" t="n">
        <v>0</v>
      </c>
      <c r="P666" s="79" t="n">
        <v>0</v>
      </c>
      <c r="Q666" s="79" t="n">
        <v>0</v>
      </c>
      <c r="R666" s="79" t="n">
        <v>21496.071</v>
      </c>
      <c r="S666" s="79" t="n">
        <v>274834.948</v>
      </c>
      <c r="T666" s="79" t="n">
        <v>40760.758</v>
      </c>
      <c r="U666" s="79" t="n">
        <v>21496.071</v>
      </c>
      <c r="V666" s="79" t="n"/>
      <c r="W666" s="79" t="n"/>
      <c r="X666" s="79" t="n"/>
      <c r="Y666" s="79" t="n"/>
      <c r="Z666" s="79" t="n"/>
      <c r="AA666" s="79" t="n"/>
      <c r="AB666" s="79" t="n">
        <v>100</v>
      </c>
    </row>
    <row r="667" ht="14" customHeight="1">
      <c r="A667" s="23" t="n">
        <v>2022</v>
      </c>
      <c r="B667" s="80">
        <f>IF((A667&gt;=2022),ROUND((((Z667*((V667+W667)+X667))/Y667)/AA667),2),(C667*AB667))</f>
        <v/>
      </c>
      <c r="C667" s="81">
        <f>(((((((((((((((D667+E667)+F667)+G667)+H667)+I667)+J667)+K667)+L667)+M667)+N667)+O667)+P667)+Q667)+R667)/((S667+T667)+U667))</f>
        <v/>
      </c>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v>2963833.369</v>
      </c>
      <c r="W667" s="81" t="n">
        <v>38675.108</v>
      </c>
      <c r="X667" s="81" t="n">
        <v>5.322</v>
      </c>
      <c r="Y667" s="81" t="n">
        <v>3262504.29</v>
      </c>
      <c r="Z667" s="81" t="n">
        <v>93.44</v>
      </c>
      <c r="AA667" s="81" t="n">
        <v>0.920608</v>
      </c>
      <c r="AB667" s="81" t="n">
        <v>100</v>
      </c>
    </row>
    <row r="668" ht="14" customHeight="1">
      <c r="A668" s="16" t="n">
        <v>2023</v>
      </c>
      <c r="B668" s="78">
        <f>IF((A668&gt;=2022),ROUND((((Z668*((V668+W668)+X668))/Y668)/AA668),2),(C668*AB668))</f>
        <v/>
      </c>
      <c r="C668" s="79">
        <f>(((((((((((((((D668+E668)+F668)+G668)+H668)+I668)+J668)+K668)+L668)+M668)+N668)+O668)+P668)+Q668)+R668)/((S668+T668)+U668))</f>
        <v/>
      </c>
      <c r="D668" s="79" t="n"/>
      <c r="E668" s="79" t="n"/>
      <c r="F668" s="79" t="n"/>
      <c r="G668" s="79" t="n"/>
      <c r="H668" s="79" t="n"/>
      <c r="I668" s="79" t="n"/>
      <c r="J668" s="79" t="n"/>
      <c r="K668" s="79" t="n"/>
      <c r="L668" s="79" t="n"/>
      <c r="M668" s="79" t="n"/>
      <c r="N668" s="79" t="n"/>
      <c r="O668" s="79" t="n"/>
      <c r="P668" s="79" t="n"/>
      <c r="Q668" s="79" t="n"/>
      <c r="R668" s="79" t="n"/>
      <c r="S668" s="79" t="n"/>
      <c r="T668" s="79" t="n"/>
      <c r="U668" s="79" t="n"/>
      <c r="V668" s="79" t="n">
        <v>2942574.626</v>
      </c>
      <c r="W668" s="79" t="n">
        <v>37106.605</v>
      </c>
      <c r="X668" s="79" t="n">
        <v>4.452</v>
      </c>
      <c r="Y668" s="79" t="n">
        <v>3254970.995</v>
      </c>
      <c r="Z668" s="79" t="n">
        <v>93.44</v>
      </c>
      <c r="AA668" s="79" t="n">
        <v>0.920608</v>
      </c>
      <c r="AB668" s="79" t="n">
        <v>100</v>
      </c>
    </row>
    <row r="669" ht="14" customHeight="1">
      <c r="A669" s="23" t="n">
        <v>2024</v>
      </c>
      <c r="B669" s="80">
        <f>IF((A669&gt;=2022),ROUND((((Z669*((V669+W669)+X669))/Y669)/AA669),2),(C669*AB669))</f>
        <v/>
      </c>
      <c r="C669" s="81">
        <f>(((((((((((((((D669+E669)+F669)+G669)+H669)+I669)+J669)+K669)+L669)+M669)+N669)+O669)+P669)+Q669)+R669)/((S669+T669)+U669))</f>
        <v/>
      </c>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v>2991857.74</v>
      </c>
      <c r="W669" s="81" t="n">
        <v>37201.655</v>
      </c>
      <c r="X669" s="81" t="n">
        <v>5.083</v>
      </c>
      <c r="Y669" s="81" t="n">
        <v>3299731.965</v>
      </c>
      <c r="Z669" s="81" t="n">
        <v>93.44</v>
      </c>
      <c r="AA669" s="81" t="n">
        <v>0.920608</v>
      </c>
      <c r="AB669" s="81" t="n">
        <v>100</v>
      </c>
    </row>
    <row r="672">
      <c r="A672" s="87" t="inlineStr">
        <is>
          <t>B1 · Residential + tertiary building GHG emissions  (Mt CO₂eq)</t>
        </is>
      </c>
    </row>
    <row r="673" ht="26" customHeight="1">
      <c r="A673" s="76" t="inlineStr">
        <is>
          <t>SAME DERIVATION AS THE REPORT — the report's own formula, with its own input columns refreshed from the same publisher for the later years. Nothing about the calculation changes across the join.</t>
        </is>
      </c>
    </row>
    <row r="674" ht="22" customHeight="1">
      <c r="A674" s="3" t="inlineStr">
        <is>
          <t>Refreshed for 2022, 2023, 2024: Residential (CRF 1.A.4.b), Tertiary (CRF 1.A.4.a), Agriculture &amp; fisheries energy (CRF 1.A.4.c)</t>
        </is>
      </c>
    </row>
    <row r="675" ht="24" customHeight="1">
      <c r="A675" s="3" t="inlineStr">
        <is>
          <t>Derivation:  Value = [Residential (CRF 1.A.4.b)]+[Tertiary (CRF 1.A.4.a)]+[Agriculture &amp; fisheries energy (CRF 1.A.4.c)]</t>
        </is>
      </c>
    </row>
    <row r="676" ht="42" customHeight="1">
      <c r="A676" s="77" t="inlineStr">
        <is>
          <t>Year</t>
        </is>
      </c>
      <c r="B676" s="77" t="inlineStr">
        <is>
          <t>Value</t>
        </is>
      </c>
      <c r="C676" s="77" t="inlineStr">
        <is>
          <t>Residential (CRF 1.A.4.b)</t>
        </is>
      </c>
      <c r="D676" s="77" t="inlineStr">
        <is>
          <t>Tertiary (CRF 1.A.4.a)</t>
        </is>
      </c>
      <c r="E676" s="77" t="inlineStr">
        <is>
          <t>Agriculture &amp; fisheries energy (CRF 1.A.4.c)</t>
        </is>
      </c>
    </row>
    <row r="677" ht="14" customHeight="1">
      <c r="A677" s="16" t="n">
        <v>2005</v>
      </c>
      <c r="B677" s="78">
        <f>((C677+D677)+E677)</f>
        <v/>
      </c>
      <c r="C677" s="79" t="n">
        <v>426.8048486219644</v>
      </c>
      <c r="D677" s="79" t="n">
        <v>154.3626039143487</v>
      </c>
      <c r="E677" s="79" t="n">
        <v>83.87178846132228</v>
      </c>
    </row>
    <row r="678" ht="14" customHeight="1">
      <c r="A678" s="23" t="n">
        <v>2006</v>
      </c>
      <c r="B678" s="80">
        <f>((C678+D678)+E678)</f>
        <v/>
      </c>
      <c r="C678" s="81" t="n">
        <v>420.478847350464</v>
      </c>
      <c r="D678" s="81" t="n">
        <v>162.0164488697727</v>
      </c>
      <c r="E678" s="81" t="n">
        <v>80.95253645933205</v>
      </c>
    </row>
    <row r="679" ht="14" customHeight="1">
      <c r="A679" s="16" t="n">
        <v>2007</v>
      </c>
      <c r="B679" s="78">
        <f>((C679+D679)+E679)</f>
        <v/>
      </c>
      <c r="C679" s="79" t="n">
        <v>368.5614683549124</v>
      </c>
      <c r="D679" s="79" t="n">
        <v>142.7845651177743</v>
      </c>
      <c r="E679" s="79" t="n">
        <v>78.14862778170493</v>
      </c>
    </row>
    <row r="680" ht="14" customHeight="1">
      <c r="A680" s="23" t="n">
        <v>2008</v>
      </c>
      <c r="B680" s="80">
        <f>((C680+D680)+E680)</f>
        <v/>
      </c>
      <c r="C680" s="81" t="n">
        <v>399.005212707691</v>
      </c>
      <c r="D680" s="81" t="n">
        <v>157.0020964387047</v>
      </c>
      <c r="E680" s="81" t="n">
        <v>79.06271212250992</v>
      </c>
    </row>
    <row r="681" ht="14" customHeight="1">
      <c r="A681" s="16" t="n">
        <v>2009</v>
      </c>
      <c r="B681" s="78">
        <f>((C681+D681)+E681)</f>
        <v/>
      </c>
      <c r="C681" s="79" t="n">
        <v>389.5100356724113</v>
      </c>
      <c r="D681" s="79" t="n">
        <v>154.306085680938</v>
      </c>
      <c r="E681" s="79" t="n">
        <v>77.57093120676474</v>
      </c>
    </row>
    <row r="682" ht="14" customHeight="1">
      <c r="A682" s="23" t="n">
        <v>2010</v>
      </c>
      <c r="B682" s="80">
        <f>((C682+D682)+E682)</f>
        <v/>
      </c>
      <c r="C682" s="81" t="n">
        <v>412.9524927561005</v>
      </c>
      <c r="D682" s="81" t="n">
        <v>163.297379133882</v>
      </c>
      <c r="E682" s="81" t="n">
        <v>79.84155483279135</v>
      </c>
    </row>
    <row r="683" ht="14" customHeight="1">
      <c r="A683" s="16" t="n">
        <v>2011</v>
      </c>
      <c r="B683" s="78">
        <f>((C683+D683)+E683)</f>
        <v/>
      </c>
      <c r="C683" s="79" t="n">
        <v>362.0069820055989</v>
      </c>
      <c r="D683" s="79" t="n">
        <v>140.5700923362301</v>
      </c>
      <c r="E683" s="79" t="n">
        <v>78.9140848169699</v>
      </c>
    </row>
    <row r="684" ht="14" customHeight="1">
      <c r="A684" s="23" t="n">
        <v>2012</v>
      </c>
      <c r="B684" s="80">
        <f>((C684+D684)+E684)</f>
        <v/>
      </c>
      <c r="C684" s="81" t="n">
        <v>372.5484894975496</v>
      </c>
      <c r="D684" s="81" t="n">
        <v>140.7154890030444</v>
      </c>
      <c r="E684" s="81" t="n">
        <v>76.30698392996658</v>
      </c>
    </row>
    <row r="685" ht="14" customHeight="1">
      <c r="A685" s="16" t="n">
        <v>2013</v>
      </c>
      <c r="B685" s="78">
        <f>((C685+D685)+E685)</f>
        <v/>
      </c>
      <c r="C685" s="79" t="n">
        <v>375.1238761026113</v>
      </c>
      <c r="D685" s="79" t="n">
        <v>142.4791693585502</v>
      </c>
      <c r="E685" s="79" t="n">
        <v>76.29550240602613</v>
      </c>
    </row>
    <row r="686" ht="14" customHeight="1">
      <c r="A686" s="23" t="n">
        <v>2014</v>
      </c>
      <c r="B686" s="80">
        <f>((C686+D686)+E686)</f>
        <v/>
      </c>
      <c r="C686" s="81" t="n">
        <v>316.9145959151957</v>
      </c>
      <c r="D686" s="81" t="n">
        <v>124.8706464175849</v>
      </c>
      <c r="E686" s="81" t="n">
        <v>75.98940582739368</v>
      </c>
    </row>
    <row r="687" ht="14" customHeight="1">
      <c r="A687" s="16" t="n">
        <v>2015</v>
      </c>
      <c r="B687" s="78">
        <f>((C687+D687)+E687)</f>
        <v/>
      </c>
      <c r="C687" s="79" t="n">
        <v>335.1602553423199</v>
      </c>
      <c r="D687" s="79" t="n">
        <v>130.4853067684094</v>
      </c>
      <c r="E687" s="79" t="n">
        <v>75.35525698160882</v>
      </c>
    </row>
    <row r="688" ht="14" customHeight="1">
      <c r="A688" s="23" t="n">
        <v>2016</v>
      </c>
      <c r="B688" s="80">
        <f>((C688+D688)+E688)</f>
        <v/>
      </c>
      <c r="C688" s="81" t="n">
        <v>341.3184800347113</v>
      </c>
      <c r="D688" s="81" t="n">
        <v>130.8935711253598</v>
      </c>
      <c r="E688" s="81" t="n">
        <v>75.52257029529639</v>
      </c>
    </row>
    <row r="689" ht="14" customHeight="1">
      <c r="A689" s="16" t="n">
        <v>2017</v>
      </c>
      <c r="B689" s="78">
        <f>((C689+D689)+E689)</f>
        <v/>
      </c>
      <c r="C689" s="79" t="n">
        <v>338.5408877789356</v>
      </c>
      <c r="D689" s="79" t="n">
        <v>131.2843559092179</v>
      </c>
      <c r="E689" s="79" t="n">
        <v>75.90306578790768</v>
      </c>
    </row>
    <row r="690" ht="14" customHeight="1">
      <c r="A690" s="23" t="n">
        <v>2018</v>
      </c>
      <c r="B690" s="80">
        <f>((C690+D690)+E690)</f>
        <v/>
      </c>
      <c r="C690" s="81" t="n">
        <v>328.3919622628258</v>
      </c>
      <c r="D690" s="81" t="n">
        <v>127.5894355856332</v>
      </c>
      <c r="E690" s="81" t="n">
        <v>76.95089786571549</v>
      </c>
    </row>
    <row r="691" ht="14" customHeight="1">
      <c r="A691" s="16" t="n">
        <v>2019</v>
      </c>
      <c r="B691" s="78">
        <f>((C691+D691)+E691)</f>
        <v/>
      </c>
      <c r="C691" s="79" t="n">
        <v>321.1751820670957</v>
      </c>
      <c r="D691" s="79" t="n">
        <v>125.150353485651</v>
      </c>
      <c r="E691" s="79" t="n">
        <v>76.49754268952675</v>
      </c>
    </row>
    <row r="692" ht="14" customHeight="1">
      <c r="A692" s="23" t="n">
        <v>2020</v>
      </c>
      <c r="B692" s="80">
        <f>((C692+D692)+E692)</f>
        <v/>
      </c>
      <c r="C692" s="81" t="n">
        <v>319.384213034966</v>
      </c>
      <c r="D692" s="81" t="n">
        <v>122.105883957125</v>
      </c>
      <c r="E692" s="81" t="n">
        <v>78.223576624157</v>
      </c>
    </row>
    <row r="693" ht="14" customHeight="1">
      <c r="A693" s="16" t="n">
        <v>2021</v>
      </c>
      <c r="B693" s="78">
        <f>((C693+D693)+E693)</f>
        <v/>
      </c>
      <c r="C693" s="79" t="n">
        <v>324.7367614058028</v>
      </c>
      <c r="D693" s="79" t="n">
        <v>129.9027976967366</v>
      </c>
      <c r="E693" s="79" t="n">
        <v>77.89432799013916</v>
      </c>
    </row>
    <row r="694" ht="14" customHeight="1">
      <c r="A694" s="23" t="n">
        <v>2022</v>
      </c>
      <c r="B694" s="80">
        <f>((C694+D694)+E694)</f>
        <v/>
      </c>
      <c r="C694" s="81" t="n">
        <v>294.29886</v>
      </c>
      <c r="D694" s="81" t="n">
        <v>101.83575</v>
      </c>
      <c r="E694" s="81" t="n">
        <v>72.38525</v>
      </c>
    </row>
    <row r="695" ht="14" customHeight="1">
      <c r="A695" s="16" t="n">
        <v>2023</v>
      </c>
      <c r="B695" s="78">
        <f>((C695+D695)+E695)</f>
        <v/>
      </c>
      <c r="C695" s="79" t="n">
        <v>268.82398</v>
      </c>
      <c r="D695" s="79" t="n">
        <v>96.49506</v>
      </c>
      <c r="E695" s="79" t="n">
        <v>72.01813</v>
      </c>
    </row>
    <row r="696" ht="14" customHeight="1">
      <c r="A696" s="23" t="n">
        <v>2024</v>
      </c>
      <c r="B696" s="80">
        <f>((C696+D696)+E696)</f>
        <v/>
      </c>
      <c r="C696" s="81" t="n">
        <v>263.39558</v>
      </c>
      <c r="D696" s="81" t="n">
        <v>96.43300000000001</v>
      </c>
      <c r="E696" s="81" t="n">
        <v>70.87742</v>
      </c>
    </row>
    <row r="699">
      <c r="A699" s="87" t="inlineStr">
        <is>
          <t>B2 · Final energy consumption in buildings  (TWh)</t>
        </is>
      </c>
    </row>
    <row r="700" ht="26" customHeight="1">
      <c r="A700" s="83" t="inlineStr">
        <is>
          <t>No derivation for the later years — the figure is the publication's own.</t>
        </is>
      </c>
    </row>
    <row r="701" ht="24" customHeight="1">
      <c r="A701" s="3" t="inlineStr">
        <is>
          <t>Derivation:  Value = IF(A &gt;= 2022, [Post-report figure as published], ([Residential households (TJ)]+[Tertiary commercial &amp; public services (TJ)]+[Agriculture &amp; forestry (TJ)]) * [TJ → TWh (EJ2TWh/1e6)])</t>
        </is>
      </c>
    </row>
    <row r="702" ht="42" customHeight="1">
      <c r="A702" s="77" t="inlineStr">
        <is>
          <t>Year</t>
        </is>
      </c>
      <c r="B702" s="77" t="inlineStr">
        <is>
          <t>Value</t>
        </is>
      </c>
      <c r="C702" s="77" t="inlineStr">
        <is>
          <t>Tertiary commercial &amp; public services (TJ)</t>
        </is>
      </c>
      <c r="D702" s="77" t="inlineStr">
        <is>
          <t>Residential households (TJ)</t>
        </is>
      </c>
      <c r="E702" s="77" t="inlineStr">
        <is>
          <t>Agriculture &amp; forestry (TJ)</t>
        </is>
      </c>
      <c r="F702" s="77" t="inlineStr">
        <is>
          <t>TJ → TWh (EJ2TWh/1e6)</t>
        </is>
      </c>
      <c r="G702" s="77" t="inlineStr">
        <is>
          <t>Post-report figure as published</t>
        </is>
      </c>
    </row>
    <row r="703" ht="14" customHeight="1">
      <c r="A703" s="16" t="n">
        <v>2005</v>
      </c>
      <c r="B703" s="78">
        <f>IF((A703&gt;=2022),G703,(((D703+C703)+E703)*F703))</f>
        <v/>
      </c>
      <c r="C703" s="79" t="n">
        <v>5358277.234</v>
      </c>
      <c r="D703" s="79" t="n">
        <v>11150492.886</v>
      </c>
      <c r="E703" s="79" t="n">
        <v>1129993.538</v>
      </c>
      <c r="F703" s="79" t="n">
        <v>0.00027778</v>
      </c>
      <c r="G703" s="79" t="n"/>
    </row>
    <row r="704" ht="14" customHeight="1">
      <c r="A704" s="23" t="n">
        <v>2006</v>
      </c>
      <c r="B704" s="80">
        <f>IF((A704&gt;=2022),G704,(((D704+C704)+E704)*F704))</f>
        <v/>
      </c>
      <c r="C704" s="81" t="n">
        <v>5568843.689</v>
      </c>
      <c r="D704" s="81" t="n">
        <v>11111542.839</v>
      </c>
      <c r="E704" s="81" t="n">
        <v>1061267.68</v>
      </c>
      <c r="F704" s="81" t="n">
        <v>0.00027778</v>
      </c>
      <c r="G704" s="81" t="n"/>
    </row>
    <row r="705" ht="14" customHeight="1">
      <c r="A705" s="16" t="n">
        <v>2007</v>
      </c>
      <c r="B705" s="78">
        <f>IF((A705&gt;=2022),G705,(((D705+C705)+E705)*F705))</f>
        <v/>
      </c>
      <c r="C705" s="79" t="n">
        <v>5287873.17</v>
      </c>
      <c r="D705" s="79" t="n">
        <v>10435067.658</v>
      </c>
      <c r="E705" s="79" t="n">
        <v>1040200.112</v>
      </c>
      <c r="F705" s="79" t="n">
        <v>0.00027778</v>
      </c>
      <c r="G705" s="79" t="n"/>
    </row>
    <row r="706" ht="14" customHeight="1">
      <c r="A706" s="23" t="n">
        <v>2008</v>
      </c>
      <c r="B706" s="80">
        <f>IF((A706&gt;=2022),G706,(((D706+C706)+E706)*F706))</f>
        <v/>
      </c>
      <c r="C706" s="81" t="n">
        <v>5617879.957</v>
      </c>
      <c r="D706" s="81" t="n">
        <v>11064263.457</v>
      </c>
      <c r="E706" s="81" t="n">
        <v>1034996.489</v>
      </c>
      <c r="F706" s="81" t="n">
        <v>0.00027778</v>
      </c>
      <c r="G706" s="81" t="n"/>
    </row>
    <row r="707" ht="14" customHeight="1">
      <c r="A707" s="16" t="n">
        <v>2009</v>
      </c>
      <c r="B707" s="78">
        <f>IF((A707&gt;=2022),G707,(((D707+C707)+E707)*F707))</f>
        <v/>
      </c>
      <c r="C707" s="79" t="n">
        <v>5624745.467</v>
      </c>
      <c r="D707" s="79" t="n">
        <v>10985678.508</v>
      </c>
      <c r="E707" s="79" t="n">
        <v>1009232.24</v>
      </c>
      <c r="F707" s="79" t="n">
        <v>0.00027778</v>
      </c>
      <c r="G707" s="79" t="n"/>
    </row>
    <row r="708" ht="14" customHeight="1">
      <c r="A708" s="23" t="n">
        <v>2010</v>
      </c>
      <c r="B708" s="80">
        <f>IF((A708&gt;=2022),G708,(((D708+C708)+E708)*F708))</f>
        <v/>
      </c>
      <c r="C708" s="81" t="n">
        <v>5860782.63</v>
      </c>
      <c r="D708" s="81" t="n">
        <v>11678549.973</v>
      </c>
      <c r="E708" s="81" t="n">
        <v>1067822.521</v>
      </c>
      <c r="F708" s="81" t="n">
        <v>0.00027778</v>
      </c>
      <c r="G708" s="81" t="n"/>
    </row>
    <row r="709" ht="14" customHeight="1">
      <c r="A709" s="16" t="n">
        <v>2011</v>
      </c>
      <c r="B709" s="78">
        <f>IF((A709&gt;=2022),G709,(((D709+C709)+E709)*F709))</f>
        <v/>
      </c>
      <c r="C709" s="79" t="n">
        <v>5371888.051</v>
      </c>
      <c r="D709" s="79" t="n">
        <v>10546610.545</v>
      </c>
      <c r="E709" s="79" t="n">
        <v>1044721.374</v>
      </c>
      <c r="F709" s="79" t="n">
        <v>0.00027778</v>
      </c>
      <c r="G709" s="79" t="n"/>
    </row>
    <row r="710" ht="14" customHeight="1">
      <c r="A710" s="23" t="n">
        <v>2012</v>
      </c>
      <c r="B710" s="80">
        <f>IF((A710&gt;=2022),G710,(((D710+C710)+E710)*F710))</f>
        <v/>
      </c>
      <c r="C710" s="81" t="n">
        <v>5490871.928</v>
      </c>
      <c r="D710" s="81" t="n">
        <v>11012084.043</v>
      </c>
      <c r="E710" s="81" t="n">
        <v>1033812.946</v>
      </c>
      <c r="F710" s="81" t="n">
        <v>0.00027778</v>
      </c>
      <c r="G710" s="81" t="n"/>
    </row>
    <row r="711" ht="14" customHeight="1">
      <c r="A711" s="16" t="n">
        <v>2013</v>
      </c>
      <c r="B711" s="78">
        <f>IF((A711&gt;=2022),G711,(((D711+C711)+E711)*F711))</f>
        <v/>
      </c>
      <c r="C711" s="79" t="n">
        <v>5556912.212</v>
      </c>
      <c r="D711" s="79" t="n">
        <v>11141041.576</v>
      </c>
      <c r="E711" s="79" t="n">
        <v>1049292.596</v>
      </c>
      <c r="F711" s="79" t="n">
        <v>0.00027778</v>
      </c>
      <c r="G711" s="79" t="n"/>
    </row>
    <row r="712" ht="14" customHeight="1">
      <c r="A712" s="23" t="n">
        <v>2014</v>
      </c>
      <c r="B712" s="80">
        <f>IF((A712&gt;=2022),G712,(((D712+C712)+E712)*F712))</f>
        <v/>
      </c>
      <c r="C712" s="81" t="n">
        <v>5167985.017</v>
      </c>
      <c r="D712" s="81" t="n">
        <v>9824051.512</v>
      </c>
      <c r="E712" s="81" t="n">
        <v>1026576.209</v>
      </c>
      <c r="F712" s="81" t="n">
        <v>0.00027778</v>
      </c>
      <c r="G712" s="81" t="n"/>
    </row>
    <row r="713" ht="14" customHeight="1">
      <c r="A713" s="16" t="n">
        <v>2015</v>
      </c>
      <c r="B713" s="78">
        <f>IF((A713&gt;=2022),G713,(((D713+C713)+E713)*F713))</f>
        <v/>
      </c>
      <c r="C713" s="79" t="n">
        <v>5380841.638</v>
      </c>
      <c r="D713" s="79" t="n">
        <v>10259138.645</v>
      </c>
      <c r="E713" s="79" t="n">
        <v>1027088.119</v>
      </c>
      <c r="F713" s="79" t="n">
        <v>0.00027778</v>
      </c>
      <c r="G713" s="79" t="n"/>
    </row>
    <row r="714" ht="14" customHeight="1">
      <c r="A714" s="23" t="n">
        <v>2016</v>
      </c>
      <c r="B714" s="80">
        <f>IF((A714&gt;=2022),G714,(((D714+C714)+E714)*F714))</f>
        <v/>
      </c>
      <c r="C714" s="81" t="n">
        <v>5450012.051</v>
      </c>
      <c r="D714" s="81" t="n">
        <v>10503570.81</v>
      </c>
      <c r="E714" s="81" t="n">
        <v>1045031.442</v>
      </c>
      <c r="F714" s="81" t="n">
        <v>0.00027778</v>
      </c>
      <c r="G714" s="81" t="n"/>
    </row>
    <row r="715" ht="14" customHeight="1">
      <c r="A715" s="16" t="n">
        <v>2017</v>
      </c>
      <c r="B715" s="78">
        <f>IF((A715&gt;=2022),G715,(((D715+C715)+E715)*F715))</f>
        <v/>
      </c>
      <c r="C715" s="79" t="n">
        <v>5605356.875</v>
      </c>
      <c r="D715" s="79" t="n">
        <v>10538533.582</v>
      </c>
      <c r="E715" s="79" t="n">
        <v>1057853.894</v>
      </c>
      <c r="F715" s="79" t="n">
        <v>0.00027778</v>
      </c>
      <c r="G715" s="79" t="n"/>
    </row>
    <row r="716" ht="14" customHeight="1">
      <c r="A716" s="23" t="n">
        <v>2018</v>
      </c>
      <c r="B716" s="80">
        <f>IF((A716&gt;=2022),G716,(((D716+C716)+E716)*F716))</f>
        <v/>
      </c>
      <c r="C716" s="81" t="n">
        <v>5512433.223</v>
      </c>
      <c r="D716" s="81" t="n">
        <v>10456263.458</v>
      </c>
      <c r="E716" s="81" t="n">
        <v>1156192.751</v>
      </c>
      <c r="F716" s="81" t="n">
        <v>0.00027778</v>
      </c>
      <c r="G716" s="81" t="n"/>
    </row>
    <row r="717" ht="14" customHeight="1">
      <c r="A717" s="16" t="n">
        <v>2019</v>
      </c>
      <c r="B717" s="78">
        <f>IF((A717&gt;=2022),G717,(((D717+C717)+E717)*F717))</f>
        <v/>
      </c>
      <c r="C717" s="79" t="n">
        <v>5382855.9</v>
      </c>
      <c r="D717" s="79" t="n">
        <v>10390886.484</v>
      </c>
      <c r="E717" s="79" t="n">
        <v>1173620.877</v>
      </c>
      <c r="F717" s="79" t="n">
        <v>0.00027778</v>
      </c>
      <c r="G717" s="79" t="n"/>
    </row>
    <row r="718" ht="14" customHeight="1">
      <c r="A718" s="23" t="n">
        <v>2020</v>
      </c>
      <c r="B718" s="80">
        <f>IF((A718&gt;=2022),G718,(((D718+C718)+E718)*F718))</f>
        <v/>
      </c>
      <c r="C718" s="81" t="n">
        <v>5074802.382</v>
      </c>
      <c r="D718" s="81" t="n">
        <v>10388387.813</v>
      </c>
      <c r="E718" s="81" t="n">
        <v>1189811.129</v>
      </c>
      <c r="F718" s="81" t="n">
        <v>0.00027778</v>
      </c>
      <c r="G718" s="81" t="n"/>
    </row>
    <row r="719" ht="14" customHeight="1">
      <c r="A719" s="16" t="n">
        <v>2021</v>
      </c>
      <c r="B719" s="78">
        <f>IF((A719&gt;=2022),G719,(((D719+C719)+E719)*F719))</f>
        <v/>
      </c>
      <c r="C719" s="79" t="n">
        <v>5416746.214</v>
      </c>
      <c r="D719" s="79" t="n">
        <v>10959828.581</v>
      </c>
      <c r="E719" s="79" t="n">
        <v>1186691.457</v>
      </c>
      <c r="F719" s="79" t="n">
        <v>0.00027778</v>
      </c>
      <c r="G719" s="79" t="n"/>
    </row>
    <row r="720" ht="14" customHeight="1">
      <c r="A720" s="23" t="n">
        <v>2022</v>
      </c>
      <c r="B720" s="80">
        <f>IF((A720&gt;=2022),G720,(((D720+C720)+E720)*F720))</f>
        <v/>
      </c>
      <c r="C720" s="81" t="n"/>
      <c r="D720" s="81" t="n"/>
      <c r="E720" s="81" t="n"/>
      <c r="F720" s="81" t="n"/>
      <c r="G720" s="81" t="n">
        <v>4213.6</v>
      </c>
    </row>
    <row r="721" ht="14" customHeight="1">
      <c r="A721" s="16" t="n">
        <v>2023</v>
      </c>
      <c r="B721" s="78">
        <f>IF((A721&gt;=2022),G721,(((D721+C721)+E721)*F721))</f>
        <v/>
      </c>
      <c r="C721" s="79" t="n"/>
      <c r="D721" s="79" t="n"/>
      <c r="E721" s="79" t="n"/>
      <c r="F721" s="79" t="n"/>
      <c r="G721" s="79" t="n">
        <v>4037.9</v>
      </c>
    </row>
    <row r="724">
      <c r="A724" s="87" t="inlineStr">
        <is>
          <t>B5a · Fossil share of residential energy mix  (%)</t>
        </is>
      </c>
    </row>
    <row r="725" ht="26" customHeight="1">
      <c r="A725" s="83" t="inlineStr">
        <is>
          <t>No derivation for the later years — the figure is the publication's own.</t>
        </is>
      </c>
    </row>
    <row r="726" ht="24" customHeight="1">
      <c r="A726" s="3" t="inlineStr">
        <is>
          <t>Derivation:  Value = IF(A &gt;= 2023, [Post-report figure as published], (([Other fossils (solids, …)]+[Liquid fossils]+[Natural gas])/[Total]) * [fraction → % (× 100)])</t>
        </is>
      </c>
    </row>
    <row r="727" ht="42" customHeight="1">
      <c r="A727" s="77" t="inlineStr">
        <is>
          <t>Year</t>
        </is>
      </c>
      <c r="B727" s="77" t="inlineStr">
        <is>
          <t>Value</t>
        </is>
      </c>
      <c r="C727" s="77" t="inlineStr">
        <is>
          <t>Other fossils (solids, …)</t>
        </is>
      </c>
      <c r="D727" s="77" t="inlineStr">
        <is>
          <t>Liquid fossils</t>
        </is>
      </c>
      <c r="E727" s="77" t="inlineStr">
        <is>
          <t>Natural gas</t>
        </is>
      </c>
      <c r="F727" s="77" t="inlineStr">
        <is>
          <t>Total</t>
        </is>
      </c>
      <c r="G727" s="77" t="inlineStr">
        <is>
          <t>Electricity</t>
        </is>
      </c>
      <c r="H727" s="77" t="inlineStr">
        <is>
          <t>District heating</t>
        </is>
      </c>
      <c r="I727" s="77" t="inlineStr">
        <is>
          <t>Renewables - bio</t>
        </is>
      </c>
      <c r="J727" s="77" t="inlineStr">
        <is>
          <t>Renewables - other</t>
        </is>
      </c>
      <c r="K727" s="77" t="inlineStr">
        <is>
          <t>Post-report figure as published</t>
        </is>
      </c>
      <c r="L727" s="77" t="inlineStr">
        <is>
          <t>fraction → % (× 100)</t>
        </is>
      </c>
    </row>
    <row r="728" ht="14" customHeight="1">
      <c r="A728" s="16" t="n">
        <v>2005</v>
      </c>
      <c r="B728" s="78">
        <f>IF((A728&gt;=2023),K728,((((C728+D728)+E728)/F728)*L728))</f>
        <v/>
      </c>
      <c r="C728" s="79" t="n">
        <v>9237.906000000001</v>
      </c>
      <c r="D728" s="79" t="n">
        <v>52606.552</v>
      </c>
      <c r="E728" s="79" t="n">
        <v>88923.519</v>
      </c>
      <c r="F728" s="79">
        <f>((((((C728+D728)+E728)+G728)+H728)+I728)+J728)</f>
        <v/>
      </c>
      <c r="G728" s="79" t="n">
        <v>57535.929</v>
      </c>
      <c r="H728" s="79" t="n">
        <v>22254.138</v>
      </c>
      <c r="I728" s="79" t="n">
        <v>34654.51499999999</v>
      </c>
      <c r="J728" s="79" t="n">
        <v>1103.851</v>
      </c>
      <c r="K728" s="79" t="n"/>
      <c r="L728" s="79" t="n">
        <v>100</v>
      </c>
    </row>
    <row r="729" ht="14" customHeight="1">
      <c r="A729" s="23" t="n">
        <v>2006</v>
      </c>
      <c r="B729" s="80">
        <f>IF((A729&gt;=2023),K729,((((C729+D729)+E729)/F729)*L729))</f>
        <v/>
      </c>
      <c r="C729" s="81" t="n">
        <v>10214.345</v>
      </c>
      <c r="D729" s="81" t="n">
        <v>50544.129</v>
      </c>
      <c r="E729" s="81" t="n">
        <v>87134.815</v>
      </c>
      <c r="F729" s="81">
        <f>((((((C729+D729)+E729)+G729)+H729)+I729)+J729)</f>
        <v/>
      </c>
      <c r="G729" s="81" t="n">
        <v>58934.424</v>
      </c>
      <c r="H729" s="81" t="n">
        <v>21313.442</v>
      </c>
      <c r="I729" s="81" t="n">
        <v>35862.283</v>
      </c>
      <c r="J729" s="81" t="n">
        <v>1388.608</v>
      </c>
      <c r="K729" s="81" t="n"/>
      <c r="L729" s="81" t="n">
        <v>100</v>
      </c>
    </row>
    <row r="730" ht="14" customHeight="1">
      <c r="A730" s="16" t="n">
        <v>2007</v>
      </c>
      <c r="B730" s="78">
        <f>IF((A730&gt;=2023),K730,((((C730+D730)+E730)/F730)*L730))</f>
        <v/>
      </c>
      <c r="C730" s="79" t="n">
        <v>9163.504999999999</v>
      </c>
      <c r="D730" s="79" t="n">
        <v>39674.239</v>
      </c>
      <c r="E730" s="79" t="n">
        <v>80121.40700000001</v>
      </c>
      <c r="F730" s="79">
        <f>((((((C730+D730)+E730)+G730)+H730)+I730)+J730)</f>
        <v/>
      </c>
      <c r="G730" s="79" t="n">
        <v>58535.992</v>
      </c>
      <c r="H730" s="79" t="n">
        <v>21659.582</v>
      </c>
      <c r="I730" s="79" t="n">
        <v>38347.466</v>
      </c>
      <c r="J730" s="79" t="n">
        <v>1730.66</v>
      </c>
      <c r="K730" s="79" t="n"/>
      <c r="L730" s="79" t="n">
        <v>100</v>
      </c>
    </row>
    <row r="731" ht="14" customHeight="1">
      <c r="A731" s="23" t="n">
        <v>2008</v>
      </c>
      <c r="B731" s="80">
        <f>IF((A731&gt;=2023),K731,((((C731+D731)+E731)/F731)*L731))</f>
        <v/>
      </c>
      <c r="C731" s="81" t="n">
        <v>9724.203</v>
      </c>
      <c r="D731" s="81" t="n">
        <v>45449.054</v>
      </c>
      <c r="E731" s="81" t="n">
        <v>83938.626</v>
      </c>
      <c r="F731" s="81">
        <f>((((((C731+D731)+E731)+G731)+H731)+I731)+J731)</f>
        <v/>
      </c>
      <c r="G731" s="81" t="n">
        <v>59852.566</v>
      </c>
      <c r="H731" s="81" t="n">
        <v>21413.184</v>
      </c>
      <c r="I731" s="81" t="n">
        <v>41687.748</v>
      </c>
      <c r="J731" s="81" t="n">
        <v>2195.509</v>
      </c>
      <c r="K731" s="81" t="n"/>
      <c r="L731" s="81" t="n">
        <v>100</v>
      </c>
    </row>
    <row r="732" ht="14" customHeight="1">
      <c r="A732" s="16" t="n">
        <v>2009</v>
      </c>
      <c r="B732" s="78">
        <f>IF((A732&gt;=2023),K732,((((C732+D732)+E732)/F732)*L732))</f>
        <v/>
      </c>
      <c r="C732" s="79" t="n">
        <v>9878.538999999999</v>
      </c>
      <c r="D732" s="79" t="n">
        <v>41516.874</v>
      </c>
      <c r="E732" s="79" t="n">
        <v>84730.833</v>
      </c>
      <c r="F732" s="79">
        <f>((((((C732+D732)+E732)+G732)+H732)+I732)+J732)</f>
        <v/>
      </c>
      <c r="G732" s="79" t="n">
        <v>60152.637</v>
      </c>
      <c r="H732" s="79" t="n">
        <v>21360.257</v>
      </c>
      <c r="I732" s="79" t="n">
        <v>42011.50599999999</v>
      </c>
      <c r="J732" s="79" t="n">
        <v>2730.558</v>
      </c>
      <c r="K732" s="79" t="n"/>
      <c r="L732" s="79" t="n">
        <v>100</v>
      </c>
    </row>
    <row r="733" ht="14" customHeight="1">
      <c r="A733" s="23" t="n">
        <v>2010</v>
      </c>
      <c r="B733" s="80">
        <f>IF((A733&gt;=2023),K733,((((C733+D733)+E733)/F733)*L733))</f>
        <v/>
      </c>
      <c r="C733" s="81" t="n">
        <v>11416.98</v>
      </c>
      <c r="D733" s="81" t="n">
        <v>41083.057</v>
      </c>
      <c r="E733" s="81" t="n">
        <v>92180.353</v>
      </c>
      <c r="F733" s="81">
        <f>((((((C733+D733)+E733)+G733)+H733)+I733)+J733)</f>
        <v/>
      </c>
      <c r="G733" s="81" t="n">
        <v>62776.295</v>
      </c>
      <c r="H733" s="81" t="n">
        <v>23677.195</v>
      </c>
      <c r="I733" s="81" t="n">
        <v>44508.72300000001</v>
      </c>
      <c r="J733" s="81" t="n">
        <v>3286.879</v>
      </c>
      <c r="K733" s="81" t="n"/>
      <c r="L733" s="81" t="n">
        <v>100</v>
      </c>
    </row>
    <row r="734" ht="14" customHeight="1">
      <c r="A734" s="16" t="n">
        <v>2011</v>
      </c>
      <c r="B734" s="78">
        <f>IF((A734&gt;=2023),K734,((((C734+D734)+E734)/F734)*L734))</f>
        <v/>
      </c>
      <c r="C734" s="79" t="n">
        <v>9900.838000000002</v>
      </c>
      <c r="D734" s="79" t="n">
        <v>36193.663</v>
      </c>
      <c r="E734" s="79" t="n">
        <v>80771.228</v>
      </c>
      <c r="F734" s="79">
        <f>((((((C734+D734)+E734)+G734)+H734)+I734)+J734)</f>
        <v/>
      </c>
      <c r="G734" s="79" t="n">
        <v>60526.228</v>
      </c>
      <c r="H734" s="79" t="n">
        <v>21267.579</v>
      </c>
      <c r="I734" s="79" t="n">
        <v>39968.785</v>
      </c>
      <c r="J734" s="79" t="n">
        <v>3266.111</v>
      </c>
      <c r="K734" s="79" t="n"/>
      <c r="L734" s="79" t="n">
        <v>100</v>
      </c>
    </row>
    <row r="735" ht="14" customHeight="1">
      <c r="A735" s="23" t="n">
        <v>2012</v>
      </c>
      <c r="B735" s="80">
        <f>IF((A735&gt;=2023),K735,((((C735+D735)+E735)/F735)*L735))</f>
        <v/>
      </c>
      <c r="C735" s="81" t="n">
        <v>10161.539</v>
      </c>
      <c r="D735" s="81" t="n">
        <v>35601.929</v>
      </c>
      <c r="E735" s="81" t="n">
        <v>85062.74000000001</v>
      </c>
      <c r="F735" s="81">
        <f>((((((C735+D735)+E735)+G735)+H735)+I735)+J735)</f>
        <v/>
      </c>
      <c r="G735" s="81" t="n">
        <v>61813.091</v>
      </c>
      <c r="H735" s="81" t="n">
        <v>21519.539</v>
      </c>
      <c r="I735" s="81" t="n">
        <v>45132.963</v>
      </c>
      <c r="J735" s="81" t="n">
        <v>3720.348</v>
      </c>
      <c r="K735" s="81" t="n"/>
      <c r="L735" s="81" t="n">
        <v>100</v>
      </c>
    </row>
    <row r="736" ht="14" customHeight="1">
      <c r="A736" s="16" t="n">
        <v>2013</v>
      </c>
      <c r="B736" s="78">
        <f>IF((A736&gt;=2023),K736,((((C736+D736)+E736)/F736)*L736))</f>
        <v/>
      </c>
      <c r="C736" s="79" t="n">
        <v>9821.436</v>
      </c>
      <c r="D736" s="79" t="n">
        <v>35792.314</v>
      </c>
      <c r="E736" s="79" t="n">
        <v>86508.378</v>
      </c>
      <c r="F736" s="79">
        <f>((((((C736+D736)+E736)+G736)+H736)+I736)+J736)</f>
        <v/>
      </c>
      <c r="G736" s="79" t="n">
        <v>61544.727</v>
      </c>
      <c r="H736" s="79" t="n">
        <v>22623.038</v>
      </c>
      <c r="I736" s="79" t="n">
        <v>45665.02499999999</v>
      </c>
      <c r="J736" s="79" t="n">
        <v>4136.387</v>
      </c>
      <c r="K736" s="79" t="n"/>
      <c r="L736" s="79" t="n">
        <v>100</v>
      </c>
    </row>
    <row r="737" ht="14" customHeight="1">
      <c r="A737" s="23" t="n">
        <v>2014</v>
      </c>
      <c r="B737" s="80">
        <f>IF((A737&gt;=2023),K737,((((C737+D737)+E737)/F737)*L737))</f>
        <v/>
      </c>
      <c r="C737" s="81" t="n">
        <v>8804.607</v>
      </c>
      <c r="D737" s="81" t="n">
        <v>31221.26</v>
      </c>
      <c r="E737" s="81" t="n">
        <v>70920.886</v>
      </c>
      <c r="F737" s="81">
        <f>((((((C737+D737)+E737)+G737)+H737)+I737)+J737)</f>
        <v/>
      </c>
      <c r="G737" s="81" t="n">
        <v>58618.234</v>
      </c>
      <c r="H737" s="81" t="n">
        <v>20186.481</v>
      </c>
      <c r="I737" s="81" t="n">
        <v>40391.96399999999</v>
      </c>
      <c r="J737" s="81" t="n">
        <v>4493.715</v>
      </c>
      <c r="K737" s="81" t="n"/>
      <c r="L737" s="81" t="n">
        <v>100</v>
      </c>
    </row>
    <row r="738" ht="14" customHeight="1">
      <c r="A738" s="16" t="n">
        <v>2015</v>
      </c>
      <c r="B738" s="78">
        <f>IF((A738&gt;=2023),K738,((((C738+D738)+E738)/F738)*L738))</f>
        <v/>
      </c>
      <c r="C738" s="79" t="n">
        <v>8701.244999999999</v>
      </c>
      <c r="D738" s="79" t="n">
        <v>32054.46</v>
      </c>
      <c r="E738" s="79" t="n">
        <v>76833.89599999999</v>
      </c>
      <c r="F738" s="79">
        <f>((((((C738+D738)+E738)+G738)+H738)+I738)+J738)</f>
        <v/>
      </c>
      <c r="G738" s="79" t="n">
        <v>59488.019</v>
      </c>
      <c r="H738" s="79" t="n">
        <v>21084.388</v>
      </c>
      <c r="I738" s="79" t="n">
        <v>41850.10600000001</v>
      </c>
      <c r="J738" s="79" t="n">
        <v>5015.878000000001</v>
      </c>
      <c r="K738" s="79" t="n"/>
      <c r="L738" s="79" t="n">
        <v>100</v>
      </c>
    </row>
    <row r="739" ht="14" customHeight="1">
      <c r="A739" s="23" t="n">
        <v>2016</v>
      </c>
      <c r="B739" s="80">
        <f>IF((A739&gt;=2023),K739,((((C739+D739)+E739)/F739)*L739))</f>
        <v/>
      </c>
      <c r="C739" s="81" t="n">
        <v>9006.828</v>
      </c>
      <c r="D739" s="81" t="n">
        <v>30787.212</v>
      </c>
      <c r="E739" s="81" t="n">
        <v>81737.671</v>
      </c>
      <c r="F739" s="81">
        <f>((((((C739+D739)+E739)+G739)+H739)+I739)+J739)</f>
        <v/>
      </c>
      <c r="G739" s="81" t="n">
        <v>60514.434</v>
      </c>
      <c r="H739" s="81" t="n">
        <v>22096.583</v>
      </c>
      <c r="I739" s="81" t="n">
        <v>41199.444</v>
      </c>
      <c r="J739" s="81" t="n">
        <v>5534.556</v>
      </c>
      <c r="K739" s="81" t="n"/>
      <c r="L739" s="81" t="n">
        <v>100</v>
      </c>
    </row>
    <row r="740" ht="14" customHeight="1">
      <c r="A740" s="16" t="n">
        <v>2017</v>
      </c>
      <c r="B740" s="78">
        <f>IF((A740&gt;=2023),K740,((((C740+D740)+E740)/F740)*L740))</f>
        <v/>
      </c>
      <c r="C740" s="79" t="n">
        <v>8917.467000000001</v>
      </c>
      <c r="D740" s="79" t="n">
        <v>30221.252</v>
      </c>
      <c r="E740" s="79" t="n">
        <v>81410.204</v>
      </c>
      <c r="F740" s="79">
        <f>((((((C740+D740)+E740)+G740)+H740)+I740)+J740)</f>
        <v/>
      </c>
      <c r="G740" s="79" t="n">
        <v>60921.992</v>
      </c>
      <c r="H740" s="79" t="n">
        <v>22151.031</v>
      </c>
      <c r="I740" s="79" t="n">
        <v>41537.78</v>
      </c>
      <c r="J740" s="79" t="n">
        <v>6553.349</v>
      </c>
      <c r="K740" s="79" t="n"/>
      <c r="L740" s="79" t="n">
        <v>100</v>
      </c>
    </row>
    <row r="741" ht="14" customHeight="1">
      <c r="A741" s="23" t="n">
        <v>2018</v>
      </c>
      <c r="B741" s="80">
        <f>IF((A741&gt;=2023),K741,((((C741+D741)+E741)/F741)*L741))</f>
        <v/>
      </c>
      <c r="C741" s="81" t="n">
        <v>8344.016</v>
      </c>
      <c r="D741" s="81" t="n">
        <v>28508.875</v>
      </c>
      <c r="E741" s="81" t="n">
        <v>80473.87300000001</v>
      </c>
      <c r="F741" s="81">
        <f>((((((C741+D741)+E741)+G741)+H741)+I741)+J741)</f>
        <v/>
      </c>
      <c r="G741" s="81" t="n">
        <v>60699.591</v>
      </c>
      <c r="H741" s="81" t="n">
        <v>21103.143</v>
      </c>
      <c r="I741" s="81" t="n">
        <v>43508.32</v>
      </c>
      <c r="J741" s="81" t="n">
        <v>7109.3</v>
      </c>
      <c r="K741" s="81" t="n"/>
      <c r="L741" s="81" t="n">
        <v>100</v>
      </c>
    </row>
    <row r="742" ht="14" customHeight="1">
      <c r="A742" s="16" t="n">
        <v>2019</v>
      </c>
      <c r="B742" s="78">
        <f>IF((A742&gt;=2023),K742,((((C742+D742)+E742)/F742)*L742))</f>
        <v/>
      </c>
      <c r="C742" s="79" t="n">
        <v>6776.026</v>
      </c>
      <c r="D742" s="79" t="n">
        <v>29071.42</v>
      </c>
      <c r="E742" s="79" t="n">
        <v>79623.462</v>
      </c>
      <c r="F742" s="79">
        <f>((((((C742+D742)+E742)+G742)+H742)+I742)+J742)</f>
        <v/>
      </c>
      <c r="G742" s="79" t="n">
        <v>60522.618</v>
      </c>
      <c r="H742" s="79" t="n">
        <v>20857.857</v>
      </c>
      <c r="I742" s="79" t="n">
        <v>43573.318</v>
      </c>
      <c r="J742" s="79" t="n">
        <v>7764.447</v>
      </c>
      <c r="K742" s="79" t="n"/>
      <c r="L742" s="79" t="n">
        <v>100</v>
      </c>
    </row>
    <row r="743" ht="14" customHeight="1">
      <c r="A743" s="23" t="n">
        <v>2020</v>
      </c>
      <c r="B743" s="80">
        <f>IF((A743&gt;=2023),K743,((((C743+D743)+E743)/F743)*L743))</f>
        <v/>
      </c>
      <c r="C743" s="81" t="n">
        <v>6925.547</v>
      </c>
      <c r="D743" s="81" t="n">
        <v>30460.023</v>
      </c>
      <c r="E743" s="81" t="n">
        <v>78599.93399999999</v>
      </c>
      <c r="F743" s="81">
        <f>((((((C743+D743)+E743)+G743)+H743)+I743)+J743)</f>
        <v/>
      </c>
      <c r="G743" s="81" t="n">
        <v>61271.582</v>
      </c>
      <c r="H743" s="81" t="n">
        <v>20414.4</v>
      </c>
      <c r="I743" s="81" t="n">
        <v>42105.459</v>
      </c>
      <c r="J743" s="81" t="n">
        <v>8350.866</v>
      </c>
      <c r="K743" s="81" t="n"/>
      <c r="L743" s="81" t="n">
        <v>100</v>
      </c>
    </row>
    <row r="744" ht="14" customHeight="1">
      <c r="A744" s="16" t="n">
        <v>2021</v>
      </c>
      <c r="B744" s="78">
        <f>IF((A744&gt;=2023),K744,((((C744+D744)+E744)/F744)*L744))</f>
        <v/>
      </c>
      <c r="C744" s="79" t="n">
        <v>6630.588</v>
      </c>
      <c r="D744" s="79" t="n">
        <v>24998.342</v>
      </c>
      <c r="E744" s="79" t="n">
        <v>87709.745</v>
      </c>
      <c r="F744" s="79">
        <f>((((((C744+D744)+E744)+G744)+H744)+I744)+J744)</f>
        <v/>
      </c>
      <c r="G744" s="79" t="n">
        <v>64265.362</v>
      </c>
      <c r="H744" s="79" t="n">
        <v>22600.253</v>
      </c>
      <c r="I744" s="79" t="n">
        <v>45777.601</v>
      </c>
      <c r="J744" s="79" t="n">
        <v>9830.799999999999</v>
      </c>
      <c r="K744" s="79" t="n"/>
      <c r="L744" s="79" t="n">
        <v>100</v>
      </c>
    </row>
    <row r="745" ht="14" customHeight="1">
      <c r="A745" s="23" t="n">
        <v>2023</v>
      </c>
      <c r="B745" s="80">
        <f>IF((A745&gt;=2023),K745,((((C745+D745)+E745)/F745)*L745))</f>
        <v/>
      </c>
      <c r="C745" s="81" t="n"/>
      <c r="D745" s="81" t="n"/>
      <c r="E745" s="81" t="n"/>
      <c r="F745" s="81">
        <f>((((((C745+D745)+E745)+G745)+H745)+I745)+J745)</f>
        <v/>
      </c>
      <c r="G745" s="81" t="n"/>
      <c r="H745" s="81" t="n"/>
      <c r="I745" s="81" t="n"/>
      <c r="J745" s="81" t="n"/>
      <c r="K745" s="81" t="n">
        <v>42</v>
      </c>
      <c r="L745" s="81" t="n">
        <v>100</v>
      </c>
    </row>
    <row r="748">
      <c r="A748" s="87" t="inlineStr">
        <is>
          <t>B5b · Fossil share of tertiary energy mix  (%)</t>
        </is>
      </c>
    </row>
    <row r="749" ht="26" customHeight="1">
      <c r="A749" s="83" t="inlineStr">
        <is>
          <t>No derivation for the later years — the figure is the publication's own.</t>
        </is>
      </c>
    </row>
    <row r="750" ht="24" customHeight="1">
      <c r="A750" s="3" t="inlineStr">
        <is>
          <t>Derivation:  Value = IF(A &gt;= 2023, [Post-report figure as published], (([Other fossils (solids/liquid) (tertiary, ktoe)]+[Liquid fossils (tertiary, ktoe)]+[Natural gas (tertiary, ktoe)]) / ([Other fossils (solids/liquid) (tertiary, ktoe)]+[Liquid fossils (tertiary, ktoe)]+[Natural gas (tertiary, ktoe)]+[Electricity (tertiary, ktoe)]+[District heating (tertiary, ktoe)]+[Renewables - bio (tertiary, ktoe)]+[Renewables - other (tertiary, ktoe)])) * [fraction → % (× 100)])</t>
        </is>
      </c>
    </row>
    <row r="751" ht="42" customHeight="1">
      <c r="A751" s="77" t="inlineStr">
        <is>
          <t>Year</t>
        </is>
      </c>
      <c r="B751" s="77" t="inlineStr">
        <is>
          <t>Value</t>
        </is>
      </c>
      <c r="C751" s="77" t="inlineStr">
        <is>
          <t>Other fossils (solids/liquid) (tertiary, ktoe)</t>
        </is>
      </c>
      <c r="D751" s="77" t="inlineStr">
        <is>
          <t>Liquid fossils (tertiary, ktoe)</t>
        </is>
      </c>
      <c r="E751" s="77" t="inlineStr">
        <is>
          <t>Natural gas (tertiary, ktoe)</t>
        </is>
      </c>
      <c r="F751" s="77" t="inlineStr">
        <is>
          <t>Electricity (tertiary, ktoe)</t>
        </is>
      </c>
      <c r="G751" s="77" t="inlineStr">
        <is>
          <t>District heating (tertiary, ktoe)</t>
        </is>
      </c>
      <c r="H751" s="77" t="inlineStr">
        <is>
          <t>Renewables - bio (tertiary, ktoe)</t>
        </is>
      </c>
      <c r="I751" s="77" t="inlineStr">
        <is>
          <t>Renewables - other (tertiary, ktoe)</t>
        </is>
      </c>
      <c r="J751" s="77" t="inlineStr">
        <is>
          <t>Post-report figure as published</t>
        </is>
      </c>
      <c r="K751" s="77" t="inlineStr">
        <is>
          <t>fraction → % (× 100)</t>
        </is>
      </c>
    </row>
    <row r="752" ht="14" customHeight="1">
      <c r="A752" s="16" t="n">
        <v>2005</v>
      </c>
      <c r="B752" s="78">
        <f>IF((A752&gt;=2023),J752,((((C752+D752)+E752)/((((((C752+D752)+E752)+F752)+G752)+H752)+I752))*K752))</f>
        <v/>
      </c>
      <c r="C752" s="79" t="n">
        <v>1365.466</v>
      </c>
      <c r="D752" s="79" t="n">
        <v>22059.443</v>
      </c>
      <c r="E752" s="79" t="n">
        <v>36697.19</v>
      </c>
      <c r="F752" s="79" t="n">
        <v>55783.099</v>
      </c>
      <c r="G752" s="79" t="n">
        <v>9443.121999999999</v>
      </c>
      <c r="H752" s="79" t="n">
        <v>2077.313</v>
      </c>
      <c r="I752" s="79" t="n">
        <v>554.9050000000002</v>
      </c>
      <c r="J752" s="79" t="n"/>
      <c r="K752" s="79" t="n">
        <v>100</v>
      </c>
    </row>
    <row r="753" ht="14" customHeight="1">
      <c r="A753" s="23" t="n">
        <v>2006</v>
      </c>
      <c r="B753" s="80">
        <f>IF((A753&gt;=2023),J753,((((C753+D753)+E753)/((((((C753+D753)+E753)+F753)+G753)+H753)+I753))*K753))</f>
        <v/>
      </c>
      <c r="C753" s="81" t="n">
        <v>1615.042</v>
      </c>
      <c r="D753" s="81" t="n">
        <v>21220.915</v>
      </c>
      <c r="E753" s="81" t="n">
        <v>39219.694</v>
      </c>
      <c r="F753" s="81" t="n">
        <v>58875.454</v>
      </c>
      <c r="G753" s="81" t="n">
        <v>9269.039000000001</v>
      </c>
      <c r="H753" s="81" t="n">
        <v>2218.231</v>
      </c>
      <c r="I753" s="81" t="n">
        <v>591.556</v>
      </c>
      <c r="J753" s="81" t="n"/>
      <c r="K753" s="81" t="n">
        <v>100</v>
      </c>
    </row>
    <row r="754" ht="14" customHeight="1">
      <c r="A754" s="16" t="n">
        <v>2007</v>
      </c>
      <c r="B754" s="78">
        <f>IF((A754&gt;=2023),J754,((((C754+D754)+E754)/((((((C754+D754)+E754)+F754)+G754)+H754)+I754))*K754))</f>
        <v/>
      </c>
      <c r="C754" s="79" t="n">
        <v>1588.832</v>
      </c>
      <c r="D754" s="79" t="n">
        <v>17277.784</v>
      </c>
      <c r="E754" s="79" t="n">
        <v>35257.868</v>
      </c>
      <c r="F754" s="79" t="n">
        <v>59786.689</v>
      </c>
      <c r="G754" s="79" t="n">
        <v>9313.546</v>
      </c>
      <c r="H754" s="79" t="n">
        <v>2435.158</v>
      </c>
      <c r="I754" s="79" t="n">
        <v>639.1439999999998</v>
      </c>
      <c r="J754" s="79" t="n"/>
      <c r="K754" s="79" t="n">
        <v>100</v>
      </c>
    </row>
    <row r="755" ht="14" customHeight="1">
      <c r="A755" s="23" t="n">
        <v>2008</v>
      </c>
      <c r="B755" s="80">
        <f>IF((A755&gt;=2023),J755,((((C755+D755)+E755)/((((((C755+D755)+E755)+F755)+G755)+H755)+I755))*K755))</f>
        <v/>
      </c>
      <c r="C755" s="81" t="n">
        <v>1689.481</v>
      </c>
      <c r="D755" s="81" t="n">
        <v>19699.341</v>
      </c>
      <c r="E755" s="81" t="n">
        <v>37508.152</v>
      </c>
      <c r="F755" s="81" t="n">
        <v>61733.909</v>
      </c>
      <c r="G755" s="81" t="n">
        <v>10028.203</v>
      </c>
      <c r="H755" s="81" t="n">
        <v>2786.481</v>
      </c>
      <c r="I755" s="81" t="n">
        <v>734.8850000000002</v>
      </c>
      <c r="J755" s="81" t="n"/>
      <c r="K755" s="81" t="n">
        <v>100</v>
      </c>
    </row>
    <row r="756" ht="14" customHeight="1">
      <c r="A756" s="16" t="n">
        <v>2009</v>
      </c>
      <c r="B756" s="78">
        <f>IF((A756&gt;=2023),J756,((((C756+D756)+E756)/((((((C756+D756)+E756)+F756)+G756)+H756)+I756))*K756))</f>
        <v/>
      </c>
      <c r="C756" s="79" t="n">
        <v>1920.997</v>
      </c>
      <c r="D756" s="79" t="n">
        <v>18082.639</v>
      </c>
      <c r="E756" s="79" t="n">
        <v>38108.172</v>
      </c>
      <c r="F756" s="79" t="n">
        <v>62379.792</v>
      </c>
      <c r="G756" s="79" t="n">
        <v>10075.193</v>
      </c>
      <c r="H756" s="79" t="n">
        <v>2999.496000000001</v>
      </c>
      <c r="I756" s="79" t="n">
        <v>777.2789999999995</v>
      </c>
      <c r="J756" s="79" t="n"/>
      <c r="K756" s="79" t="n">
        <v>100</v>
      </c>
    </row>
    <row r="757" ht="14" customHeight="1">
      <c r="A757" s="23" t="n">
        <v>2010</v>
      </c>
      <c r="B757" s="80">
        <f>IF((A757&gt;=2023),J757,((((C757+D757)+E757)/((((((C757+D757)+E757)+F757)+G757)+H757)+I757))*K757))</f>
        <v/>
      </c>
      <c r="C757" s="81" t="n">
        <v>1842.405</v>
      </c>
      <c r="D757" s="81" t="n">
        <v>17761.063</v>
      </c>
      <c r="E757" s="81" t="n">
        <v>40361.891</v>
      </c>
      <c r="F757" s="81" t="n">
        <v>63959.279</v>
      </c>
      <c r="G757" s="81" t="n">
        <v>11765.404</v>
      </c>
      <c r="H757" s="81" t="n">
        <v>3452.172</v>
      </c>
      <c r="I757" s="81" t="n">
        <v>840.8110000000006</v>
      </c>
      <c r="J757" s="81" t="n"/>
      <c r="K757" s="81" t="n">
        <v>100</v>
      </c>
    </row>
    <row r="758" ht="14" customHeight="1">
      <c r="A758" s="16" t="n">
        <v>2011</v>
      </c>
      <c r="B758" s="78">
        <f>IF((A758&gt;=2023),J758,((((C758+D758)+E758)/((((((C758+D758)+E758)+F758)+G758)+H758)+I758))*K758))</f>
        <v/>
      </c>
      <c r="C758" s="79" t="n">
        <v>1564.914</v>
      </c>
      <c r="D758" s="79" t="n">
        <v>15799.021</v>
      </c>
      <c r="E758" s="79" t="n">
        <v>34980.884</v>
      </c>
      <c r="F758" s="79" t="n">
        <v>62312.395</v>
      </c>
      <c r="G758" s="79" t="n">
        <v>9739.004000000001</v>
      </c>
      <c r="H758" s="79" t="n">
        <v>2889.965</v>
      </c>
      <c r="I758" s="79" t="n">
        <v>1020.196</v>
      </c>
      <c r="J758" s="79" t="n"/>
      <c r="K758" s="79" t="n">
        <v>100</v>
      </c>
    </row>
    <row r="759" ht="14" customHeight="1">
      <c r="A759" s="23" t="n">
        <v>2012</v>
      </c>
      <c r="B759" s="80">
        <f>IF((A759&gt;=2023),J759,((((C759+D759)+E759)/((((((C759+D759)+E759)+F759)+G759)+H759)+I759))*K759))</f>
        <v/>
      </c>
      <c r="C759" s="81" t="n">
        <v>1322.272</v>
      </c>
      <c r="D759" s="81" t="n">
        <v>15811.523</v>
      </c>
      <c r="E759" s="81" t="n">
        <v>36505.94</v>
      </c>
      <c r="F759" s="81" t="n">
        <v>63101.616</v>
      </c>
      <c r="G759" s="81" t="n">
        <v>10016.038</v>
      </c>
      <c r="H759" s="81" t="n">
        <v>3259.626000000001</v>
      </c>
      <c r="I759" s="81" t="n">
        <v>1131.107999999999</v>
      </c>
      <c r="J759" s="81" t="n"/>
      <c r="K759" s="81" t="n">
        <v>100</v>
      </c>
    </row>
    <row r="760" ht="14" customHeight="1">
      <c r="A760" s="16" t="n">
        <v>2013</v>
      </c>
      <c r="B760" s="78">
        <f>IF((A760&gt;=2023),J760,((((C760+D760)+E760)/((((((C760+D760)+E760)+F760)+G760)+H760)+I760))*K760))</f>
        <v/>
      </c>
      <c r="C760" s="79" t="n">
        <v>1342.061</v>
      </c>
      <c r="D760" s="79" t="n">
        <v>16352.81</v>
      </c>
      <c r="E760" s="79" t="n">
        <v>38608.582</v>
      </c>
      <c r="F760" s="79" t="n">
        <v>62667.405</v>
      </c>
      <c r="G760" s="79" t="n">
        <v>9072.083000000001</v>
      </c>
      <c r="H760" s="79" t="n">
        <v>3441.186999999999</v>
      </c>
      <c r="I760" s="79" t="n">
        <v>1241.308</v>
      </c>
      <c r="J760" s="79" t="n"/>
      <c r="K760" s="79" t="n">
        <v>100</v>
      </c>
    </row>
    <row r="761" ht="14" customHeight="1">
      <c r="A761" s="23" t="n">
        <v>2014</v>
      </c>
      <c r="B761" s="80">
        <f>IF((A761&gt;=2023),J761,((((C761+D761)+E761)/((((((C761+D761)+E761)+F761)+G761)+H761)+I761))*K761))</f>
        <v/>
      </c>
      <c r="C761" s="81" t="n">
        <v>1176.151</v>
      </c>
      <c r="D761" s="81" t="n">
        <v>14633.463</v>
      </c>
      <c r="E761" s="81" t="n">
        <v>33536.068</v>
      </c>
      <c r="F761" s="81" t="n">
        <v>60735.267</v>
      </c>
      <c r="G761" s="81" t="n">
        <v>8517.166999999999</v>
      </c>
      <c r="H761" s="81" t="n">
        <v>3135.737</v>
      </c>
      <c r="I761" s="81" t="n">
        <v>1702.07</v>
      </c>
      <c r="J761" s="81" t="n"/>
      <c r="K761" s="81" t="n">
        <v>100</v>
      </c>
    </row>
    <row r="762" ht="14" customHeight="1">
      <c r="A762" s="16" t="n">
        <v>2015</v>
      </c>
      <c r="B762" s="78">
        <f>IF((A762&gt;=2023),J762,((((C762+D762)+E762)/((((((C762+D762)+E762)+F762)+G762)+H762)+I762))*K762))</f>
        <v/>
      </c>
      <c r="C762" s="79" t="n">
        <v>1213.214</v>
      </c>
      <c r="D762" s="79" t="n">
        <v>14666.912</v>
      </c>
      <c r="E762" s="79" t="n">
        <v>35996.272</v>
      </c>
      <c r="F762" s="79" t="n">
        <v>63039.824</v>
      </c>
      <c r="G762" s="79" t="n">
        <v>8460.624</v>
      </c>
      <c r="H762" s="79" t="n">
        <v>3336.378</v>
      </c>
      <c r="I762" s="79" t="n">
        <v>1806.172</v>
      </c>
      <c r="J762" s="79" t="n"/>
      <c r="K762" s="79" t="n">
        <v>100</v>
      </c>
    </row>
    <row r="763" ht="14" customHeight="1">
      <c r="A763" s="23" t="n">
        <v>2016</v>
      </c>
      <c r="B763" s="80">
        <f>IF((A763&gt;=2023),J763,((((C763+D763)+E763)/((((((C763+D763)+E763)+F763)+G763)+H763)+I763))*K763))</f>
        <v/>
      </c>
      <c r="C763" s="81" t="n">
        <v>1079.346</v>
      </c>
      <c r="D763" s="81" t="n">
        <v>14633.104</v>
      </c>
      <c r="E763" s="81" t="n">
        <v>36530.9</v>
      </c>
      <c r="F763" s="81" t="n">
        <v>63580.814</v>
      </c>
      <c r="G763" s="81" t="n">
        <v>8854.486999999999</v>
      </c>
      <c r="H763" s="81" t="n">
        <v>3525.547</v>
      </c>
      <c r="I763" s="81" t="n">
        <v>1967.197</v>
      </c>
      <c r="J763" s="81" t="n"/>
      <c r="K763" s="81" t="n">
        <v>100</v>
      </c>
    </row>
    <row r="764" ht="14" customHeight="1">
      <c r="A764" s="16" t="n">
        <v>2017</v>
      </c>
      <c r="B764" s="78">
        <f>IF((A764&gt;=2023),J764,((((C764+D764)+E764)/((((((C764+D764)+E764)+F764)+G764)+H764)+I764))*K764))</f>
        <v/>
      </c>
      <c r="C764" s="79" t="n">
        <v>1093.064</v>
      </c>
      <c r="D764" s="79" t="n">
        <v>14667.041</v>
      </c>
      <c r="E764" s="79" t="n">
        <v>36409.67</v>
      </c>
      <c r="F764" s="79" t="n">
        <v>63711.05</v>
      </c>
      <c r="G764" s="79" t="n">
        <v>9236.059999999999</v>
      </c>
      <c r="H764" s="79" t="n">
        <v>3795.445</v>
      </c>
      <c r="I764" s="79" t="n">
        <v>4969.719000000001</v>
      </c>
      <c r="J764" s="79" t="n"/>
      <c r="K764" s="79" t="n">
        <v>100</v>
      </c>
    </row>
    <row r="765" ht="14" customHeight="1">
      <c r="A765" s="23" t="n">
        <v>2018</v>
      </c>
      <c r="B765" s="80">
        <f>IF((A765&gt;=2023),J765,((((C765+D765)+E765)/((((((C765+D765)+E765)+F765)+G765)+H765)+I765))*K765))</f>
        <v/>
      </c>
      <c r="C765" s="81" t="n">
        <v>1016.742</v>
      </c>
      <c r="D765" s="81" t="n">
        <v>10804.322</v>
      </c>
      <c r="E765" s="81" t="n">
        <v>37823.474</v>
      </c>
      <c r="F765" s="81" t="n">
        <v>63646.466</v>
      </c>
      <c r="G765" s="81" t="n">
        <v>9247.382</v>
      </c>
      <c r="H765" s="81" t="n">
        <v>3986.427</v>
      </c>
      <c r="I765" s="81" t="n">
        <v>5137.679</v>
      </c>
      <c r="J765" s="81" t="n"/>
      <c r="K765" s="81" t="n">
        <v>100</v>
      </c>
    </row>
    <row r="766" ht="14" customHeight="1">
      <c r="A766" s="16" t="n">
        <v>2019</v>
      </c>
      <c r="B766" s="78">
        <f>IF((A766&gt;=2023),J766,((((C766+D766)+E766)/((((((C766+D766)+E766)+F766)+G766)+H766)+I766))*K766))</f>
        <v/>
      </c>
      <c r="C766" s="79" t="n">
        <v>927.1109999999999</v>
      </c>
      <c r="D766" s="79" t="n">
        <v>10633.18</v>
      </c>
      <c r="E766" s="79" t="n">
        <v>36170.811</v>
      </c>
      <c r="F766" s="79" t="n">
        <v>62403.236</v>
      </c>
      <c r="G766" s="79" t="n">
        <v>9116.665999999999</v>
      </c>
      <c r="H766" s="79" t="n">
        <v>4037.052000000001</v>
      </c>
      <c r="I766" s="79" t="n">
        <v>5279.806</v>
      </c>
      <c r="J766" s="79" t="n"/>
      <c r="K766" s="79" t="n">
        <v>100</v>
      </c>
    </row>
    <row r="767" ht="14" customHeight="1">
      <c r="A767" s="23" t="n">
        <v>2020</v>
      </c>
      <c r="B767" s="80">
        <f>IF((A767&gt;=2023),J767,((((C767+D767)+E767)/((((((C767+D767)+E767)+F767)+G767)+H767)+I767))*K767))</f>
        <v/>
      </c>
      <c r="C767" s="81" t="n">
        <v>897.6719999999999</v>
      </c>
      <c r="D767" s="81" t="n">
        <v>9736.805</v>
      </c>
      <c r="E767" s="81" t="n">
        <v>34561.708</v>
      </c>
      <c r="F767" s="81" t="n">
        <v>58248.449</v>
      </c>
      <c r="G767" s="81" t="n">
        <v>8468.085999999999</v>
      </c>
      <c r="H767" s="81" t="n">
        <v>3966.825</v>
      </c>
      <c r="I767" s="81" t="n">
        <v>5344.861999999999</v>
      </c>
      <c r="J767" s="81" t="n"/>
      <c r="K767" s="81" t="n">
        <v>100</v>
      </c>
    </row>
    <row r="768" ht="14" customHeight="1">
      <c r="A768" s="16" t="n">
        <v>2021</v>
      </c>
      <c r="B768" s="78">
        <f>IF((A768&gt;=2023),J768,((((C768+D768)+E768)/((((((C768+D768)+E768)+F768)+G768)+H768)+I768))*K768))</f>
        <v/>
      </c>
      <c r="C768" s="79" t="n">
        <v>1067.861</v>
      </c>
      <c r="D768" s="79" t="n">
        <v>10844.84</v>
      </c>
      <c r="E768" s="79" t="n">
        <v>38176.16</v>
      </c>
      <c r="F768" s="79" t="n">
        <v>59875.546</v>
      </c>
      <c r="G768" s="79" t="n">
        <v>9396.939</v>
      </c>
      <c r="H768" s="79" t="n">
        <v>4288.104</v>
      </c>
      <c r="I768" s="79" t="n">
        <v>5657.164</v>
      </c>
      <c r="J768" s="79" t="n"/>
      <c r="K768" s="79" t="n">
        <v>100</v>
      </c>
    </row>
    <row r="769" ht="14" customHeight="1">
      <c r="A769" s="23" t="n">
        <v>2023</v>
      </c>
      <c r="B769" s="80">
        <f>IF((A769&gt;=2023),J769,((((C769+D769)+E769)/((((((C769+D769)+E769)+F769)+G769)+H769)+I769))*K769))</f>
        <v/>
      </c>
      <c r="C769" s="81" t="n"/>
      <c r="D769" s="81" t="n"/>
      <c r="E769" s="81" t="n"/>
      <c r="F769" s="81" t="n"/>
      <c r="G769" s="81" t="n"/>
      <c r="H769" s="81" t="n"/>
      <c r="I769" s="81" t="n"/>
      <c r="J769" s="81" t="n">
        <v>32.2</v>
      </c>
      <c r="K769" s="81" t="n">
        <v>100</v>
      </c>
    </row>
    <row r="772">
      <c r="A772" s="87" t="inlineStr">
        <is>
          <t>B6 · EU stock of installed heat pumps  (million units)</t>
        </is>
      </c>
    </row>
    <row r="773" ht="26" customHeight="1">
      <c r="A773" s="76" t="inlineStr">
        <is>
          <t>The report's formula throughout; for the later years its single input is back-computed from the published figure through the sheet's own constants, so the arithmetic is unchanged.</t>
        </is>
      </c>
    </row>
    <row r="774" ht="24" customHeight="1">
      <c r="A774" s="3" t="inlineStr">
        <is>
          <t>Derivation:  Value = [Total heat-pump stock (thousand units)] * [thousand → million (/1000)]</t>
        </is>
      </c>
    </row>
    <row r="775" ht="42" customHeight="1">
      <c r="A775" s="77" t="inlineStr">
        <is>
          <t>Year</t>
        </is>
      </c>
      <c r="B775" s="77" t="inlineStr">
        <is>
          <t>Value</t>
        </is>
      </c>
      <c r="C775" s="77" t="inlineStr">
        <is>
          <t>Total heat-pump stock (thousand units)</t>
        </is>
      </c>
      <c r="D775" s="77" t="inlineStr">
        <is>
          <t>thousand → million (/1000)</t>
        </is>
      </c>
    </row>
    <row r="776" ht="14" customHeight="1">
      <c r="A776" s="16" t="n">
        <v>2005</v>
      </c>
      <c r="B776" s="78">
        <f>(C776*D776)</f>
        <v/>
      </c>
      <c r="C776" s="79" t="n">
        <v>1100</v>
      </c>
      <c r="D776" s="79" t="n">
        <v>0.001</v>
      </c>
    </row>
    <row r="777" ht="14" customHeight="1">
      <c r="A777" s="23" t="n">
        <v>2006</v>
      </c>
      <c r="B777" s="80">
        <f>(C777*D777)</f>
        <v/>
      </c>
      <c r="C777" s="81" t="n">
        <v>1600</v>
      </c>
      <c r="D777" s="81" t="n">
        <v>0.001</v>
      </c>
    </row>
    <row r="778" ht="14" customHeight="1">
      <c r="A778" s="16" t="n">
        <v>2007</v>
      </c>
      <c r="B778" s="78">
        <f>(C778*D778)</f>
        <v/>
      </c>
      <c r="C778" s="79" t="n">
        <v>2170</v>
      </c>
      <c r="D778" s="79" t="n">
        <v>0.001</v>
      </c>
    </row>
    <row r="779" ht="14" customHeight="1">
      <c r="A779" s="23" t="n">
        <v>2008</v>
      </c>
      <c r="B779" s="80">
        <f>(C779*D779)</f>
        <v/>
      </c>
      <c r="C779" s="81" t="n">
        <v>2980</v>
      </c>
      <c r="D779" s="81" t="n">
        <v>0.001</v>
      </c>
    </row>
    <row r="780" ht="14" customHeight="1">
      <c r="A780" s="16" t="n">
        <v>2009</v>
      </c>
      <c r="B780" s="78">
        <f>(C780*D780)</f>
        <v/>
      </c>
      <c r="C780" s="79" t="n">
        <v>3710</v>
      </c>
      <c r="D780" s="79" t="n">
        <v>0.001</v>
      </c>
    </row>
    <row r="781" ht="14" customHeight="1">
      <c r="A781" s="23" t="n">
        <v>2010</v>
      </c>
      <c r="B781" s="80">
        <f>(C781*D781)</f>
        <v/>
      </c>
      <c r="C781" s="81" t="n">
        <v>4500</v>
      </c>
      <c r="D781" s="81" t="n">
        <v>0.001</v>
      </c>
    </row>
    <row r="782" ht="14" customHeight="1">
      <c r="A782" s="16" t="n">
        <v>2011</v>
      </c>
      <c r="B782" s="78">
        <f>(C782*D782)</f>
        <v/>
      </c>
      <c r="C782" s="79" t="n">
        <v>5300</v>
      </c>
      <c r="D782" s="79" t="n">
        <v>0.001</v>
      </c>
    </row>
    <row r="783" ht="14" customHeight="1">
      <c r="A783" s="23" t="n">
        <v>2012</v>
      </c>
      <c r="B783" s="80">
        <f>(C783*D783)</f>
        <v/>
      </c>
      <c r="C783" s="81" t="n">
        <v>6030</v>
      </c>
      <c r="D783" s="81" t="n">
        <v>0.001</v>
      </c>
    </row>
    <row r="784" ht="14" customHeight="1">
      <c r="A784" s="16" t="n">
        <v>2013</v>
      </c>
      <c r="B784" s="78">
        <f>(C784*D784)</f>
        <v/>
      </c>
      <c r="C784" s="79" t="n">
        <v>6780</v>
      </c>
      <c r="D784" s="79" t="n">
        <v>0.001</v>
      </c>
    </row>
    <row r="785" ht="14" customHeight="1">
      <c r="A785" s="23" t="n">
        <v>2014</v>
      </c>
      <c r="B785" s="80">
        <f>(C785*D785)</f>
        <v/>
      </c>
      <c r="C785" s="81" t="n">
        <v>7550</v>
      </c>
      <c r="D785" s="81" t="n">
        <v>0.001</v>
      </c>
    </row>
    <row r="786" ht="14" customHeight="1">
      <c r="A786" s="16" t="n">
        <v>2015</v>
      </c>
      <c r="B786" s="78">
        <f>(C786*D786)</f>
        <v/>
      </c>
      <c r="C786" s="79" t="n">
        <v>8430</v>
      </c>
      <c r="D786" s="79" t="n">
        <v>0.001</v>
      </c>
    </row>
    <row r="787" ht="14" customHeight="1">
      <c r="A787" s="23" t="n">
        <v>2016</v>
      </c>
      <c r="B787" s="80">
        <f>(C787*D787)</f>
        <v/>
      </c>
      <c r="C787" s="81" t="n">
        <v>9410</v>
      </c>
      <c r="D787" s="81" t="n">
        <v>0.001</v>
      </c>
    </row>
    <row r="788" ht="14" customHeight="1">
      <c r="A788" s="16" t="n">
        <v>2017</v>
      </c>
      <c r="B788" s="78">
        <f>(C788*D788)</f>
        <v/>
      </c>
      <c r="C788" s="79" t="n">
        <v>10500</v>
      </c>
      <c r="D788" s="79" t="n">
        <v>0.001</v>
      </c>
    </row>
    <row r="789" ht="14" customHeight="1">
      <c r="A789" s="23" t="n">
        <v>2018</v>
      </c>
      <c r="B789" s="80">
        <f>(C789*D789)</f>
        <v/>
      </c>
      <c r="C789" s="81" t="n">
        <v>11780</v>
      </c>
      <c r="D789" s="81" t="n">
        <v>0.001</v>
      </c>
    </row>
    <row r="790" ht="14" customHeight="1">
      <c r="A790" s="16" t="n">
        <v>2019</v>
      </c>
      <c r="B790" s="78">
        <f>(C790*D790)</f>
        <v/>
      </c>
      <c r="C790" s="79" t="n">
        <v>13210</v>
      </c>
      <c r="D790" s="79" t="n">
        <v>0.001</v>
      </c>
    </row>
    <row r="791" ht="14" customHeight="1">
      <c r="A791" s="23" t="n">
        <v>2020</v>
      </c>
      <c r="B791" s="80">
        <f>(C791*D791)</f>
        <v/>
      </c>
      <c r="C791" s="81" t="n">
        <v>14770</v>
      </c>
      <c r="D791" s="81" t="n">
        <v>0.001</v>
      </c>
    </row>
    <row r="792" ht="14" customHeight="1">
      <c r="A792" s="16" t="n">
        <v>2021</v>
      </c>
      <c r="B792" s="78">
        <f>(C792*D792)</f>
        <v/>
      </c>
      <c r="C792" s="79" t="n">
        <v>16870</v>
      </c>
      <c r="D792" s="79" t="n">
        <v>0.001</v>
      </c>
    </row>
    <row r="793" ht="14" customHeight="1">
      <c r="A793" s="23" t="n">
        <v>2022</v>
      </c>
      <c r="B793" s="80">
        <f>(C793*D793)</f>
        <v/>
      </c>
      <c r="C793" s="81" t="n">
        <v>19790</v>
      </c>
      <c r="D793" s="81" t="n">
        <v>0.001</v>
      </c>
    </row>
    <row r="794" ht="14" customHeight="1">
      <c r="A794" s="16" t="n">
        <v>2023</v>
      </c>
      <c r="B794" s="78">
        <f>(C794*D794)</f>
        <v/>
      </c>
      <c r="C794" s="79" t="n">
        <v>23960</v>
      </c>
      <c r="D794" s="79" t="n">
        <v>0.001</v>
      </c>
    </row>
    <row r="795" ht="14" customHeight="1">
      <c r="A795" s="23" t="n">
        <v>2024</v>
      </c>
      <c r="B795" s="80">
        <f>(C795*D795)</f>
        <v/>
      </c>
      <c r="C795" s="81" t="n">
        <v>25500</v>
      </c>
      <c r="D795" s="81" t="n">
        <v>0.001</v>
      </c>
    </row>
    <row r="798">
      <c r="A798" s="88" t="inlineStr">
        <is>
          <t>A1 · Agricultural non-CO₂ emissions  (Mt CO₂eq)</t>
        </is>
      </c>
    </row>
    <row r="799" ht="26" customHeight="1">
      <c r="A799" s="83" t="inlineStr">
        <is>
          <t>NOT the report's derivation for the later years — the formula switches by year to a different recipe, because the report's own inputs have no feed. The two halves of this series are not computed the same way.</t>
        </is>
      </c>
    </row>
    <row r="800" ht="24" customHeight="1">
      <c r="A800" s="3" t="inlineStr">
        <is>
          <t>Derivation:  Value = IF(A &gt;= 2022, IF(A &gt;= 2023, ROUND([Report baseline 2022 (Mt CO₂eq)] * ([env_air_gge CRF3 CH4] * 28 + [env_air_gge CRF3 N2O] * 265) / [Live source at 2022 (same basis as the columns left)], 1), [Report figure — row missing from the seeded grid]), [Enteric fermentation]+[Manure management]+[Fertilizer use]+[Other])</t>
        </is>
      </c>
    </row>
    <row r="801" ht="42" customHeight="1">
      <c r="A801" s="77" t="inlineStr">
        <is>
          <t>Year</t>
        </is>
      </c>
      <c r="B801" s="77" t="inlineStr">
        <is>
          <t>Value</t>
        </is>
      </c>
      <c r="C801" s="77" t="inlineStr">
        <is>
          <t>Enteric fermentation</t>
        </is>
      </c>
      <c r="D801" s="77" t="inlineStr">
        <is>
          <t>Manure management</t>
        </is>
      </c>
      <c r="E801" s="77" t="inlineStr">
        <is>
          <t>Fertilizer use</t>
        </is>
      </c>
      <c r="F801" s="77" t="inlineStr">
        <is>
          <t>Other</t>
        </is>
      </c>
      <c r="G801" s="77" t="inlineStr">
        <is>
          <t>Report figure — row missing from the seeded grid</t>
        </is>
      </c>
      <c r="H801" s="77" t="inlineStr">
        <is>
          <t>env_air_gge CRF3 CH4</t>
        </is>
      </c>
      <c r="I801" s="77" t="inlineStr">
        <is>
          <t>env_air_gge CRF3 N2O</t>
        </is>
      </c>
      <c r="J801" s="77" t="inlineStr">
        <is>
          <t>Report baseline 2022 (Mt CO₂eq)</t>
        </is>
      </c>
      <c r="K801" s="77" t="inlineStr">
        <is>
          <t>Live source at 2022 (same basis as the columns left)</t>
        </is>
      </c>
    </row>
    <row r="802" ht="14" customHeight="1">
      <c r="A802" s="16" t="n">
        <v>2005</v>
      </c>
      <c r="B802" s="78">
        <f>IF((A802&gt;=2022),IF((A802&gt;=2023),ROUND(((J802*((H802*28)+(I802*265)))/K802),1),G802),(((C802+D802)+E802)+F802))</f>
        <v/>
      </c>
      <c r="C802" s="79" t="n">
        <v>189.0104274914156</v>
      </c>
      <c r="D802" s="79" t="n">
        <v>69.08823467669878</v>
      </c>
      <c r="E802" s="79" t="n">
        <v>117.6797244894114</v>
      </c>
      <c r="F802" s="79" t="n">
        <v>4.277784065454455</v>
      </c>
      <c r="G802" s="79" t="n"/>
      <c r="H802" s="79" t="n"/>
      <c r="I802" s="79" t="n"/>
      <c r="J802" s="79" t="n"/>
      <c r="K802" s="79" t="n"/>
    </row>
    <row r="803" ht="14" customHeight="1">
      <c r="A803" s="23" t="n">
        <v>2006</v>
      </c>
      <c r="B803" s="80">
        <f>IF((A803&gt;=2022),IF((A803&gt;=2023),ROUND(((J803*((H803*28)+(I803*265)))/K803),1),G803),(((C803+D803)+E803)+F803))</f>
        <v/>
      </c>
      <c r="C803" s="81" t="n">
        <v>187.9827115136918</v>
      </c>
      <c r="D803" s="81" t="n">
        <v>68.59881916912724</v>
      </c>
      <c r="E803" s="81" t="n">
        <v>116.3645705357525</v>
      </c>
      <c r="F803" s="81" t="n">
        <v>4.348400847231289</v>
      </c>
      <c r="G803" s="81" t="n"/>
      <c r="H803" s="81" t="n"/>
      <c r="I803" s="81" t="n"/>
      <c r="J803" s="81" t="n"/>
      <c r="K803" s="81" t="n"/>
    </row>
    <row r="804" ht="14" customHeight="1">
      <c r="A804" s="16" t="n">
        <v>2007</v>
      </c>
      <c r="B804" s="78">
        <f>IF((A804&gt;=2022),IF((A804&gt;=2023),ROUND(((J804*((H804*28)+(I804*265)))/K804),1),G804),(((C804+D804)+E804)+F804))</f>
        <v/>
      </c>
      <c r="C804" s="79" t="n">
        <v>188.920788936153</v>
      </c>
      <c r="D804" s="79" t="n">
        <v>68.89885160712971</v>
      </c>
      <c r="E804" s="79" t="n">
        <v>117.1594485150589</v>
      </c>
      <c r="F804" s="79" t="n">
        <v>5.233100482022394</v>
      </c>
      <c r="G804" s="79" t="n"/>
      <c r="H804" s="79" t="n"/>
      <c r="I804" s="79" t="n"/>
      <c r="J804" s="79" t="n"/>
      <c r="K804" s="79" t="n"/>
    </row>
    <row r="805" ht="14" customHeight="1">
      <c r="A805" s="23" t="n">
        <v>2008</v>
      </c>
      <c r="B805" s="80">
        <f>IF((A805&gt;=2022),IF((A805&gt;=2023),ROUND(((J805*((H805*28)+(I805*265)))/K805),1),G805),(((C805+D805)+E805)+F805))</f>
        <v/>
      </c>
      <c r="C805" s="81" t="n">
        <v>188.1232118479337</v>
      </c>
      <c r="D805" s="81" t="n">
        <v>67.31439187545898</v>
      </c>
      <c r="E805" s="81" t="n">
        <v>117.8719523230649</v>
      </c>
      <c r="F805" s="81" t="n">
        <v>4.451932104627133</v>
      </c>
      <c r="G805" s="81" t="n"/>
      <c r="H805" s="81" t="n"/>
      <c r="I805" s="81" t="n"/>
      <c r="J805" s="81" t="n"/>
      <c r="K805" s="81" t="n"/>
    </row>
    <row r="806" ht="14" customHeight="1">
      <c r="A806" s="16" t="n">
        <v>2009</v>
      </c>
      <c r="B806" s="78">
        <f>IF((A806&gt;=2022),IF((A806&gt;=2023),ROUND(((J806*((H806*28)+(I806*265)))/K806),1),G806),(((C806+D806)+E806)+F806))</f>
        <v/>
      </c>
      <c r="C806" s="79" t="n">
        <v>186.4029792560558</v>
      </c>
      <c r="D806" s="79" t="n">
        <v>66.94339492744402</v>
      </c>
      <c r="E806" s="79" t="n">
        <v>114.334742527751</v>
      </c>
      <c r="F806" s="79" t="n">
        <v>5.064266110154932</v>
      </c>
      <c r="G806" s="79" t="n"/>
      <c r="H806" s="79" t="n"/>
      <c r="I806" s="79" t="n"/>
      <c r="J806" s="79" t="n"/>
      <c r="K806" s="79" t="n"/>
    </row>
    <row r="807" ht="14" customHeight="1">
      <c r="A807" s="23" t="n">
        <v>2010</v>
      </c>
      <c r="B807" s="80">
        <f>IF((A807&gt;=2022),IF((A807&gt;=2023),ROUND(((J807*((H807*28)+(I807*265)))/K807),1),G807),(((C807+D807)+E807)+F807))</f>
        <v/>
      </c>
      <c r="C807" s="81" t="n">
        <v>184.3182547366107</v>
      </c>
      <c r="D807" s="81" t="n">
        <v>64.59833355888863</v>
      </c>
      <c r="E807" s="81" t="n">
        <v>113.4443415161126</v>
      </c>
      <c r="F807" s="81" t="n">
        <v>5.122191446205193</v>
      </c>
      <c r="G807" s="81" t="n"/>
      <c r="H807" s="81" t="n"/>
      <c r="I807" s="81" t="n"/>
      <c r="J807" s="81" t="n"/>
      <c r="K807" s="81" t="n"/>
    </row>
    <row r="808" ht="14" customHeight="1">
      <c r="A808" s="16" t="n">
        <v>2011</v>
      </c>
      <c r="B808" s="78">
        <f>IF((A808&gt;=2022),IF((A808&gt;=2023),ROUND(((J808*((H808*28)+(I808*265)))/K808),1),G808),(((C808+D808)+E808)+F808))</f>
        <v/>
      </c>
      <c r="C808" s="79" t="n">
        <v>182.1059946206142</v>
      </c>
      <c r="D808" s="79" t="n">
        <v>64.68538725850802</v>
      </c>
      <c r="E808" s="79" t="n">
        <v>114.5572651084525</v>
      </c>
      <c r="F808" s="79" t="n">
        <v>5.378086020221744</v>
      </c>
      <c r="G808" s="79" t="n"/>
      <c r="H808" s="79" t="n"/>
      <c r="I808" s="79" t="n"/>
      <c r="J808" s="79" t="n"/>
      <c r="K808" s="79" t="n"/>
    </row>
    <row r="809" ht="14" customHeight="1">
      <c r="A809" s="23" t="n">
        <v>2012</v>
      </c>
      <c r="B809" s="80">
        <f>IF((A809&gt;=2022),IF((A809&gt;=2023),ROUND(((J809*((H809*28)+(I809*265)))/K809),1),G809),(((C809+D809)+E809)+F809))</f>
        <v/>
      </c>
      <c r="C809" s="81" t="n">
        <v>182.0959930222771</v>
      </c>
      <c r="D809" s="81" t="n">
        <v>63.78344635322895</v>
      </c>
      <c r="E809" s="81" t="n">
        <v>114.6218369449119</v>
      </c>
      <c r="F809" s="81" t="n">
        <v>5.773434257803146</v>
      </c>
      <c r="G809" s="81" t="n"/>
      <c r="H809" s="81" t="n"/>
      <c r="I809" s="81" t="n"/>
      <c r="J809" s="81" t="n"/>
      <c r="K809" s="81" t="n"/>
    </row>
    <row r="810" ht="14" customHeight="1">
      <c r="A810" s="16" t="n">
        <v>2013</v>
      </c>
      <c r="B810" s="78">
        <f>IF((A810&gt;=2022),IF((A810&gt;=2023),ROUND(((J810*((H810*28)+(I810*265)))/K810),1),G810),(((C810+D810)+E810)+F810))</f>
        <v/>
      </c>
      <c r="C810" s="79" t="n">
        <v>182.8748767022805</v>
      </c>
      <c r="D810" s="79" t="n">
        <v>63.01164458656165</v>
      </c>
      <c r="E810" s="79" t="n">
        <v>116.6233638797818</v>
      </c>
      <c r="F810" s="79" t="n">
        <v>5.393396404100073</v>
      </c>
      <c r="G810" s="79" t="n"/>
      <c r="H810" s="79" t="n"/>
      <c r="I810" s="79" t="n"/>
      <c r="J810" s="79" t="n"/>
      <c r="K810" s="79" t="n"/>
    </row>
    <row r="811" ht="14" customHeight="1">
      <c r="A811" s="23" t="n">
        <v>2014</v>
      </c>
      <c r="B811" s="80">
        <f>IF((A811&gt;=2022),IF((A811&gt;=2023),ROUND(((J811*((H811*28)+(I811*265)))/K811),1),G811),(((C811+D811)+E811)+F811))</f>
        <v/>
      </c>
      <c r="C811" s="81" t="n">
        <v>184.1684888516399</v>
      </c>
      <c r="D811" s="81" t="n">
        <v>63.61213189740968</v>
      </c>
      <c r="E811" s="81" t="n">
        <v>119.7377682240044</v>
      </c>
      <c r="F811" s="81" t="n">
        <v>5.345964152657757</v>
      </c>
      <c r="G811" s="81" t="n"/>
      <c r="H811" s="81" t="n"/>
      <c r="I811" s="81" t="n"/>
      <c r="J811" s="81" t="n"/>
      <c r="K811" s="81" t="n"/>
    </row>
    <row r="812" ht="14" customHeight="1">
      <c r="A812" s="16" t="n">
        <v>2015</v>
      </c>
      <c r="B812" s="78">
        <f>IF((A812&gt;=2022),IF((A812&gt;=2023),ROUND(((J812*((H812*28)+(I812*265)))/K812),1),G812),(((C812+D812)+E812)+F812))</f>
        <v/>
      </c>
      <c r="C812" s="79" t="n">
        <v>185.8812770994882</v>
      </c>
      <c r="D812" s="79" t="n">
        <v>64.25818752651736</v>
      </c>
      <c r="E812" s="79" t="n">
        <v>118.7361371573253</v>
      </c>
      <c r="F812" s="79" t="n">
        <v>5.605471507217175</v>
      </c>
      <c r="G812" s="79" t="n"/>
      <c r="H812" s="79" t="n"/>
      <c r="I812" s="79" t="n"/>
      <c r="J812" s="79" t="n"/>
      <c r="K812" s="79" t="n"/>
    </row>
    <row r="813" ht="14" customHeight="1">
      <c r="A813" s="23" t="n">
        <v>2016</v>
      </c>
      <c r="B813" s="80">
        <f>IF((A813&gt;=2022),IF((A813&gt;=2023),ROUND(((J813*((H813*28)+(I813*265)))/K813),1),G813),(((C813+D813)+E813)+F813))</f>
        <v/>
      </c>
      <c r="C813" s="81" t="n">
        <v>186.477187072414</v>
      </c>
      <c r="D813" s="81" t="n">
        <v>64.24736803751625</v>
      </c>
      <c r="E813" s="81" t="n">
        <v>119.6150193989715</v>
      </c>
      <c r="F813" s="81" t="n">
        <v>5.585625728374154</v>
      </c>
      <c r="G813" s="81" t="n"/>
      <c r="H813" s="81" t="n"/>
      <c r="I813" s="81" t="n"/>
      <c r="J813" s="81" t="n"/>
      <c r="K813" s="81" t="n"/>
    </row>
    <row r="814" ht="14" customHeight="1">
      <c r="A814" s="16" t="n">
        <v>2017</v>
      </c>
      <c r="B814" s="78">
        <f>IF((A814&gt;=2022),IF((A814&gt;=2023),ROUND(((J814*((H814*28)+(I814*265)))/K814),1),G814),(((C814+D814)+E814)+F814))</f>
        <v/>
      </c>
      <c r="C814" s="79" t="n">
        <v>186.645793745861</v>
      </c>
      <c r="D814" s="79" t="n">
        <v>64.51316552423758</v>
      </c>
      <c r="E814" s="79" t="n">
        <v>121.7385748473323</v>
      </c>
      <c r="F814" s="79" t="n">
        <v>5.258822740697056</v>
      </c>
      <c r="G814" s="79" t="n"/>
      <c r="H814" s="79" t="n"/>
      <c r="I814" s="79" t="n"/>
      <c r="J814" s="79" t="n"/>
      <c r="K814" s="79" t="n"/>
    </row>
    <row r="815" ht="14" customHeight="1">
      <c r="A815" s="23" t="n">
        <v>2018</v>
      </c>
      <c r="B815" s="80">
        <f>IF((A815&gt;=2022),IF((A815&gt;=2023),ROUND(((J815*((H815*28)+(I815*265)))/K815),1),G815),(((C815+D815)+E815)+F815))</f>
        <v/>
      </c>
      <c r="C815" s="81" t="n">
        <v>185.6382219273156</v>
      </c>
      <c r="D815" s="81" t="n">
        <v>64.26715709564823</v>
      </c>
      <c r="E815" s="81" t="n">
        <v>119.9945432157956</v>
      </c>
      <c r="F815" s="81" t="n">
        <v>5.089209956103801</v>
      </c>
      <c r="G815" s="81" t="n"/>
      <c r="H815" s="81" t="n"/>
      <c r="I815" s="81" t="n"/>
      <c r="J815" s="81" t="n"/>
      <c r="K815" s="81" t="n"/>
    </row>
    <row r="816" ht="14" customHeight="1">
      <c r="A816" s="16" t="n">
        <v>2019</v>
      </c>
      <c r="B816" s="78">
        <f>IF((A816&gt;=2022),IF((A816&gt;=2023),ROUND(((J816*((H816*28)+(I816*265)))/K816),1),G816),(((C816+D816)+E816)+F816))</f>
        <v/>
      </c>
      <c r="C816" s="79" t="n">
        <v>183.8156398954151</v>
      </c>
      <c r="D816" s="79" t="n">
        <v>63.77767373217581</v>
      </c>
      <c r="E816" s="79" t="n">
        <v>118.1370322990841</v>
      </c>
      <c r="F816" s="79" t="n">
        <v>5.138738660767601</v>
      </c>
      <c r="G816" s="79" t="n"/>
      <c r="H816" s="79" t="n"/>
      <c r="I816" s="79" t="n"/>
      <c r="J816" s="79" t="n"/>
      <c r="K816" s="79" t="n"/>
    </row>
    <row r="817" ht="14" customHeight="1">
      <c r="A817" s="23" t="n">
        <v>2020</v>
      </c>
      <c r="B817" s="80">
        <f>IF((A817&gt;=2022),IF((A817&gt;=2023),ROUND(((J817*((H817*28)+(I817*265)))/K817),1),G817),(((C817+D817)+E817)+F817))</f>
        <v/>
      </c>
      <c r="C817" s="81" t="n">
        <v>183.7484125647313</v>
      </c>
      <c r="D817" s="81" t="n">
        <v>64.09086899450296</v>
      </c>
      <c r="E817" s="81" t="n">
        <v>118.629474528699</v>
      </c>
      <c r="F817" s="81" t="n">
        <v>5.431864621189746</v>
      </c>
      <c r="G817" s="81" t="n"/>
      <c r="H817" s="81" t="n"/>
      <c r="I817" s="81" t="n"/>
      <c r="J817" s="81" t="n"/>
      <c r="K817" s="81" t="n"/>
    </row>
    <row r="818" ht="14" customHeight="1">
      <c r="A818" s="16" t="n">
        <v>2021</v>
      </c>
      <c r="B818" s="78">
        <f>IF((A818&gt;=2022),IF((A818&gt;=2023),ROUND(((J818*((H818*28)+(I818*265)))/K818),1),G818),(((C818+D818)+E818)+F818))</f>
        <v/>
      </c>
      <c r="C818" s="79" t="n">
        <v>182.5454973719479</v>
      </c>
      <c r="D818" s="79" t="n">
        <v>62.90260958350251</v>
      </c>
      <c r="E818" s="79" t="n">
        <v>117.9941278462921</v>
      </c>
      <c r="F818" s="79" t="n">
        <v>5.16966544042242</v>
      </c>
      <c r="G818" s="79" t="n"/>
      <c r="H818" s="79" t="n"/>
      <c r="I818" s="79" t="n"/>
      <c r="J818" s="79" t="n"/>
      <c r="K818" s="79" t="n"/>
    </row>
    <row r="819" ht="14" customHeight="1">
      <c r="A819" s="23" t="n">
        <v>2022</v>
      </c>
      <c r="B819" s="80">
        <f>IF((A819&gt;=2022),IF((A819&gt;=2023),ROUND(((J819*((H819*28)+(I819*265)))/K819),1),G819),(((C819+D819)+E819)+F819))</f>
        <v/>
      </c>
      <c r="C819" s="81" t="n"/>
      <c r="D819" s="81" t="n"/>
      <c r="E819" s="81" t="n"/>
      <c r="F819" s="81" t="n"/>
      <c r="G819" s="81" t="n">
        <v>360.9</v>
      </c>
      <c r="H819" s="81" t="n"/>
      <c r="I819" s="81" t="n"/>
      <c r="J819" s="81" t="n"/>
      <c r="K819" s="81" t="n"/>
    </row>
    <row r="820" ht="14" customHeight="1">
      <c r="A820" s="16" t="n">
        <v>2023</v>
      </c>
      <c r="B820" s="78">
        <f>IF((A820&gt;=2022),IF((A820&gt;=2023),ROUND(((J820*((H820*28)+(I820*265)))/K820),1),G820),(((C820+D820)+E820)+F820))</f>
        <v/>
      </c>
      <c r="C820" s="79" t="n"/>
      <c r="D820" s="79" t="n"/>
      <c r="E820" s="79" t="n"/>
      <c r="F820" s="79" t="n"/>
      <c r="G820" s="79" t="n"/>
      <c r="H820" s="79" t="n">
        <v>8.172219999999999</v>
      </c>
      <c r="I820" s="79" t="n">
        <v>0.47204</v>
      </c>
      <c r="J820" s="79" t="n">
        <v>360.9</v>
      </c>
      <c r="K820" s="79" t="n">
        <v>354.85225</v>
      </c>
    </row>
    <row r="821" ht="14" customHeight="1">
      <c r="A821" s="23" t="n">
        <v>2024</v>
      </c>
      <c r="B821" s="80">
        <f>IF((A821&gt;=2022),IF((A821&gt;=2023),ROUND(((J821*((H821*28)+(I821*265)))/K821),1),G821),(((C821+D821)+E821)+F821))</f>
        <v/>
      </c>
      <c r="C821" s="81" t="n"/>
      <c r="D821" s="81" t="n"/>
      <c r="E821" s="81" t="n"/>
      <c r="F821" s="81" t="n"/>
      <c r="G821" s="81" t="n"/>
      <c r="H821" s="81" t="n">
        <v>8.071619999999999</v>
      </c>
      <c r="I821" s="81" t="n">
        <v>0.46684</v>
      </c>
      <c r="J821" s="81" t="n">
        <v>360.9</v>
      </c>
      <c r="K821" s="81" t="n">
        <v>354.85225</v>
      </c>
    </row>
    <row r="824">
      <c r="A824" s="88" t="inlineStr">
        <is>
          <t>A2 (bovine, production) · Bovine meat: production (EU)  (Mt)</t>
        </is>
      </c>
    </row>
    <row r="825" ht="26" customHeight="1">
      <c r="A825" s="83" t="inlineStr">
        <is>
          <t>NOT the report's derivation for the later years — the formula switches by year to a different recipe, because the report's own inputs have no feed. The two halves of this series are not computed the same way.</t>
        </is>
      </c>
    </row>
    <row r="826" ht="24" customHeight="1">
      <c r="A826" s="3" t="inlineStr">
        <is>
          <t>Derivation:  Value = IF(A &gt;= 2021, ROUND([apro_mt_pann B1000] * [Unit conversion (× 0.001)], 3), [Report figure (2024 report underlying data)])</t>
        </is>
      </c>
    </row>
    <row r="827" ht="42" customHeight="1">
      <c r="A827" s="77" t="inlineStr">
        <is>
          <t>Year</t>
        </is>
      </c>
      <c r="B827" s="77" t="inlineStr">
        <is>
          <t>Value</t>
        </is>
      </c>
      <c r="C827" s="77" t="inlineStr">
        <is>
          <t>Report figure (2024 report underlying data)</t>
        </is>
      </c>
      <c r="D827" s="77" t="inlineStr">
        <is>
          <t>apro_mt_pann B1000</t>
        </is>
      </c>
      <c r="E827" s="77" t="inlineStr">
        <is>
          <t>Unit conversion (× 0.001)</t>
        </is>
      </c>
    </row>
    <row r="828" ht="14" customHeight="1">
      <c r="A828" s="16" t="n">
        <v>2010</v>
      </c>
      <c r="B828" s="78">
        <f>IF((A828&gt;=2021),ROUND((D828*E828),3),C828)</f>
        <v/>
      </c>
      <c r="C828" s="79" t="n">
        <v>7.257</v>
      </c>
      <c r="D828" s="79" t="n"/>
      <c r="E828" s="79" t="n"/>
    </row>
    <row r="829" ht="14" customHeight="1">
      <c r="A829" s="23" t="n">
        <v>2011</v>
      </c>
      <c r="B829" s="80">
        <f>IF((A829&gt;=2021),ROUND((D829*E829),3),C829)</f>
        <v/>
      </c>
      <c r="C829" s="81" t="n">
        <v>7.126</v>
      </c>
      <c r="D829" s="81" t="n"/>
      <c r="E829" s="81" t="n"/>
    </row>
    <row r="830" ht="14" customHeight="1">
      <c r="A830" s="16" t="n">
        <v>2012</v>
      </c>
      <c r="B830" s="78">
        <f>IF((A830&gt;=2021),ROUND((D830*E830),3),C830)</f>
        <v/>
      </c>
      <c r="C830" s="79" t="n">
        <v>6.857</v>
      </c>
      <c r="D830" s="79" t="n"/>
      <c r="E830" s="79" t="n"/>
    </row>
    <row r="831" ht="14" customHeight="1">
      <c r="A831" s="23" t="n">
        <v>2013</v>
      </c>
      <c r="B831" s="80">
        <f>IF((A831&gt;=2021),ROUND((D831*E831),3),C831)</f>
        <v/>
      </c>
      <c r="C831" s="81" t="n">
        <v>6.567</v>
      </c>
      <c r="D831" s="81" t="n"/>
      <c r="E831" s="81" t="n"/>
    </row>
    <row r="832" ht="14" customHeight="1">
      <c r="A832" s="16" t="n">
        <v>2014</v>
      </c>
      <c r="B832" s="78">
        <f>IF((A832&gt;=2021),ROUND((D832*E832),3),C832)</f>
        <v/>
      </c>
      <c r="C832" s="79" t="n">
        <v>6.597</v>
      </c>
      <c r="D832" s="79" t="n"/>
      <c r="E832" s="79" t="n"/>
    </row>
    <row r="833" ht="14" customHeight="1">
      <c r="A833" s="23" t="n">
        <v>2015</v>
      </c>
      <c r="B833" s="80">
        <f>IF((A833&gt;=2021),ROUND((D833*E833),3),C833)</f>
        <v/>
      </c>
      <c r="C833" s="81" t="n">
        <v>6.827</v>
      </c>
      <c r="D833" s="81" t="n"/>
      <c r="E833" s="81" t="n"/>
    </row>
    <row r="834" ht="14" customHeight="1">
      <c r="A834" s="16" t="n">
        <v>2016</v>
      </c>
      <c r="B834" s="78">
        <f>IF((A834&gt;=2021),ROUND((D834*E834),3),C834)</f>
        <v/>
      </c>
      <c r="C834" s="79" t="n">
        <v>6.999</v>
      </c>
      <c r="D834" s="79" t="n"/>
      <c r="E834" s="79" t="n"/>
    </row>
    <row r="835" ht="14" customHeight="1">
      <c r="A835" s="23" t="n">
        <v>2017</v>
      </c>
      <c r="B835" s="80">
        <f>IF((A835&gt;=2021),ROUND((D835*E835),3),C835)</f>
        <v/>
      </c>
      <c r="C835" s="81" t="n">
        <v>6.993</v>
      </c>
      <c r="D835" s="81" t="n"/>
      <c r="E835" s="81" t="n"/>
    </row>
    <row r="836" ht="14" customHeight="1">
      <c r="A836" s="16" t="n">
        <v>2018</v>
      </c>
      <c r="B836" s="78">
        <f>IF((A836&gt;=2021),ROUND((D836*E836),3),C836)</f>
        <v/>
      </c>
      <c r="C836" s="79" t="n">
        <v>7.112</v>
      </c>
      <c r="D836" s="79" t="n"/>
      <c r="E836" s="79" t="n"/>
    </row>
    <row r="837" ht="14" customHeight="1">
      <c r="A837" s="23" t="n">
        <v>2019</v>
      </c>
      <c r="B837" s="80">
        <f>IF((A837&gt;=2021),ROUND((D837*E837),3),C837)</f>
        <v/>
      </c>
      <c r="C837" s="81" t="n">
        <v>6.999</v>
      </c>
      <c r="D837" s="81" t="n"/>
      <c r="E837" s="81" t="n"/>
    </row>
    <row r="838" ht="14" customHeight="1">
      <c r="A838" s="16" t="n">
        <v>2020</v>
      </c>
      <c r="B838" s="78">
        <f>IF((A838&gt;=2021),ROUND((D838*E838),3),C838)</f>
        <v/>
      </c>
      <c r="C838" s="79" t="n">
        <v>6.936</v>
      </c>
      <c r="D838" s="79" t="n"/>
      <c r="E838" s="79" t="n"/>
    </row>
    <row r="839" ht="14" customHeight="1">
      <c r="A839" s="23" t="n">
        <v>2021</v>
      </c>
      <c r="B839" s="80">
        <f>IF((A839&gt;=2021),ROUND((D839*E839),3),C839)</f>
        <v/>
      </c>
      <c r="C839" s="81" t="n"/>
      <c r="D839" s="81" t="n">
        <v>6801.91</v>
      </c>
      <c r="E839" s="81" t="n">
        <v>0.001</v>
      </c>
    </row>
    <row r="840" ht="14" customHeight="1">
      <c r="A840" s="16" t="n">
        <v>2022</v>
      </c>
      <c r="B840" s="78">
        <f>IF((A840&gt;=2021),ROUND((D840*E840),3),C840)</f>
        <v/>
      </c>
      <c r="C840" s="79" t="n"/>
      <c r="D840" s="79" t="n">
        <v>6640.26</v>
      </c>
      <c r="E840" s="79" t="n">
        <v>0.001</v>
      </c>
    </row>
    <row r="841" ht="14" customHeight="1">
      <c r="A841" s="23" t="n">
        <v>2023</v>
      </c>
      <c r="B841" s="80">
        <f>IF((A841&gt;=2021),ROUND((D841*E841),3),C841)</f>
        <v/>
      </c>
      <c r="C841" s="81" t="n"/>
      <c r="D841" s="81" t="n">
        <v>6384.77</v>
      </c>
      <c r="E841" s="81" t="n">
        <v>0.001</v>
      </c>
    </row>
    <row r="842" ht="14" customHeight="1">
      <c r="A842" s="16" t="n">
        <v>2024</v>
      </c>
      <c r="B842" s="78">
        <f>IF((A842&gt;=2021),ROUND((D842*E842),3),C842)</f>
        <v/>
      </c>
      <c r="C842" s="79" t="n"/>
      <c r="D842" s="79" t="n">
        <v>6584.01</v>
      </c>
      <c r="E842" s="79" t="n">
        <v>0.001</v>
      </c>
    </row>
    <row r="843" ht="14" customHeight="1">
      <c r="A843" s="23" t="n">
        <v>2025</v>
      </c>
      <c r="B843" s="80">
        <f>IF((A843&gt;=2021),ROUND((D843*E843),3),C843)</f>
        <v/>
      </c>
      <c r="C843" s="81" t="n"/>
      <c r="D843" s="81" t="n">
        <v>6319.82</v>
      </c>
      <c r="E843" s="81" t="n">
        <v>0.001</v>
      </c>
    </row>
    <row r="846">
      <c r="A846" s="88" t="inlineStr">
        <is>
          <t>A2 (dairy, production) · Dairy products: production (EU)  (Mt)</t>
        </is>
      </c>
    </row>
    <row r="847" ht="26" customHeight="1">
      <c r="A847" s="83" t="inlineStr">
        <is>
          <t>NOT the report's derivation for the later years — the formula switches by year to a different recipe, because the report's own inputs have no feed. The two halves of this series are not computed the same way.</t>
        </is>
      </c>
    </row>
    <row r="848" ht="24" customHeight="1">
      <c r="A848" s="3" t="inlineStr">
        <is>
          <t>Derivation:  Value = IF(A &gt;= 2021, ROUND([Report baseline 2020 (Mt)] * [apro_mk_farm D1100A] / [Live source at 2020 (same basis as the columns left)], 1), [Report figure (2024 report underlying data)])</t>
        </is>
      </c>
    </row>
    <row r="849" ht="42" customHeight="1">
      <c r="A849" s="77" t="inlineStr">
        <is>
          <t>Year</t>
        </is>
      </c>
      <c r="B849" s="77" t="inlineStr">
        <is>
          <t>Value</t>
        </is>
      </c>
      <c r="C849" s="77" t="inlineStr">
        <is>
          <t>Report figure (2024 report underlying data)</t>
        </is>
      </c>
      <c r="D849" s="77" t="inlineStr">
        <is>
          <t>apro_mk_farm D1100A</t>
        </is>
      </c>
      <c r="E849" s="77" t="inlineStr">
        <is>
          <t>Report baseline 2020 (Mt)</t>
        </is>
      </c>
      <c r="F849" s="77" t="inlineStr">
        <is>
          <t>Live source at 2020 (same basis as the columns left)</t>
        </is>
      </c>
    </row>
    <row r="850" ht="14" customHeight="1">
      <c r="A850" s="16" t="n">
        <v>2010</v>
      </c>
      <c r="B850" s="78">
        <f>IF((A850&gt;=2021),ROUND(((E850*D850)/F850),1),C850)</f>
        <v/>
      </c>
      <c r="C850" s="79" t="n">
        <v>141.1</v>
      </c>
      <c r="D850" s="79" t="n"/>
      <c r="E850" s="79" t="n"/>
      <c r="F850" s="79" t="n"/>
    </row>
    <row r="851" ht="14" customHeight="1">
      <c r="A851" s="23" t="n">
        <v>2011</v>
      </c>
      <c r="B851" s="80">
        <f>IF((A851&gt;=2021),ROUND(((E851*D851)/F851),1),C851)</f>
        <v/>
      </c>
      <c r="C851" s="81" t="n">
        <v>143.4</v>
      </c>
      <c r="D851" s="81" t="n"/>
      <c r="E851" s="81" t="n"/>
      <c r="F851" s="81" t="n"/>
    </row>
    <row r="852" ht="14" customHeight="1">
      <c r="A852" s="16" t="n">
        <v>2012</v>
      </c>
      <c r="B852" s="78">
        <f>IF((A852&gt;=2021),ROUND(((E852*D852)/F852),1),C852)</f>
        <v/>
      </c>
      <c r="C852" s="79" t="n">
        <v>143.8</v>
      </c>
      <c r="D852" s="79" t="n"/>
      <c r="E852" s="79" t="n"/>
      <c r="F852" s="79" t="n"/>
    </row>
    <row r="853" ht="14" customHeight="1">
      <c r="A853" s="23" t="n">
        <v>2013</v>
      </c>
      <c r="B853" s="80">
        <f>IF((A853&gt;=2021),ROUND(((E853*D853)/F853),1),C853)</f>
        <v/>
      </c>
      <c r="C853" s="81" t="n">
        <v>145.3</v>
      </c>
      <c r="D853" s="81" t="n"/>
      <c r="E853" s="81" t="n"/>
      <c r="F853" s="81" t="n"/>
    </row>
    <row r="854" ht="14" customHeight="1">
      <c r="A854" s="16" t="n">
        <v>2014</v>
      </c>
      <c r="B854" s="78">
        <f>IF((A854&gt;=2021),ROUND(((E854*D854)/F854),1),C854)</f>
        <v/>
      </c>
      <c r="C854" s="79" t="n">
        <v>150.1</v>
      </c>
      <c r="D854" s="79" t="n"/>
      <c r="E854" s="79" t="n"/>
      <c r="F854" s="79" t="n"/>
    </row>
    <row r="855" ht="14" customHeight="1">
      <c r="A855" s="23" t="n">
        <v>2015</v>
      </c>
      <c r="B855" s="80">
        <f>IF((A855&gt;=2021),ROUND(((E855*D855)/F855),1),C855)</f>
        <v/>
      </c>
      <c r="C855" s="81" t="n">
        <v>153.2</v>
      </c>
      <c r="D855" s="81" t="n"/>
      <c r="E855" s="81" t="n"/>
      <c r="F855" s="81" t="n"/>
    </row>
    <row r="856" ht="14" customHeight="1">
      <c r="A856" s="16" t="n">
        <v>2016</v>
      </c>
      <c r="B856" s="78">
        <f>IF((A856&gt;=2021),ROUND(((E856*D856)/F856),1),C856)</f>
        <v/>
      </c>
      <c r="C856" s="79" t="n">
        <v>154.8</v>
      </c>
      <c r="D856" s="79" t="n"/>
      <c r="E856" s="79" t="n"/>
      <c r="F856" s="79" t="n"/>
    </row>
    <row r="857" ht="14" customHeight="1">
      <c r="A857" s="23" t="n">
        <v>2017</v>
      </c>
      <c r="B857" s="80">
        <f>IF((A857&gt;=2021),ROUND(((E857*D857)/F857),1),C857)</f>
        <v/>
      </c>
      <c r="C857" s="81" t="n">
        <v>156</v>
      </c>
      <c r="D857" s="81" t="n"/>
      <c r="E857" s="81" t="n"/>
      <c r="F857" s="81" t="n"/>
    </row>
    <row r="858" ht="14" customHeight="1">
      <c r="A858" s="16" t="n">
        <v>2018</v>
      </c>
      <c r="B858" s="78">
        <f>IF((A858&gt;=2021),ROUND(((E858*D858)/F858),1),C858)</f>
        <v/>
      </c>
      <c r="C858" s="79" t="n">
        <v>158.3</v>
      </c>
      <c r="D858" s="79" t="n"/>
      <c r="E858" s="79" t="n"/>
      <c r="F858" s="79" t="n"/>
    </row>
    <row r="859" ht="14" customHeight="1">
      <c r="A859" s="23" t="n">
        <v>2019</v>
      </c>
      <c r="B859" s="80">
        <f>IF((A859&gt;=2021),ROUND(((E859*D859)/F859),1),C859)</f>
        <v/>
      </c>
      <c r="C859" s="81" t="n">
        <v>161.2</v>
      </c>
      <c r="D859" s="81" t="n"/>
      <c r="E859" s="81" t="n"/>
      <c r="F859" s="81" t="n"/>
    </row>
    <row r="860" ht="14" customHeight="1">
      <c r="A860" s="16" t="n">
        <v>2020</v>
      </c>
      <c r="B860" s="78">
        <f>IF((A860&gt;=2021),ROUND(((E860*D860)/F860),1),C860)</f>
        <v/>
      </c>
      <c r="C860" s="79" t="n">
        <v>163.1</v>
      </c>
      <c r="D860" s="79" t="n"/>
      <c r="E860" s="79" t="n"/>
      <c r="F860" s="79" t="n"/>
    </row>
    <row r="861" ht="14" customHeight="1">
      <c r="A861" s="23" t="n">
        <v>2021</v>
      </c>
      <c r="B861" s="80">
        <f>IF((A861&gt;=2021),ROUND(((E861*D861)/F861),1),C861)</f>
        <v/>
      </c>
      <c r="C861" s="81" t="n"/>
      <c r="D861" s="81" t="n">
        <v>159772.68</v>
      </c>
      <c r="E861" s="81" t="n">
        <v>163.1</v>
      </c>
      <c r="F861" s="81" t="n">
        <v>160281.96</v>
      </c>
    </row>
    <row r="862" ht="14" customHeight="1">
      <c r="A862" s="16" t="n">
        <v>2022</v>
      </c>
      <c r="B862" s="78">
        <f>IF((A862&gt;=2021),ROUND(((E862*D862)/F862),1),C862)</f>
        <v/>
      </c>
      <c r="C862" s="79" t="n"/>
      <c r="D862" s="79" t="n">
        <v>159996.09</v>
      </c>
      <c r="E862" s="79" t="n">
        <v>163.1</v>
      </c>
      <c r="F862" s="79" t="n">
        <v>160281.96</v>
      </c>
    </row>
    <row r="863" ht="14" customHeight="1">
      <c r="A863" s="23" t="n">
        <v>2023</v>
      </c>
      <c r="B863" s="80">
        <f>IF((A863&gt;=2021),ROUND(((E863*D863)/F863),1),C863)</f>
        <v/>
      </c>
      <c r="C863" s="81" t="n"/>
      <c r="D863" s="81" t="n">
        <v>160887.23</v>
      </c>
      <c r="E863" s="81" t="n">
        <v>163.1</v>
      </c>
      <c r="F863" s="81" t="n">
        <v>160281.96</v>
      </c>
    </row>
    <row r="864" ht="14" customHeight="1">
      <c r="A864" s="16" t="n">
        <v>2024</v>
      </c>
      <c r="B864" s="78">
        <f>IF((A864&gt;=2021),ROUND(((E864*D864)/F864),1),C864)</f>
        <v/>
      </c>
      <c r="C864" s="79" t="n"/>
      <c r="D864" s="79" t="n">
        <v>161798.04</v>
      </c>
      <c r="E864" s="79" t="n">
        <v>163.1</v>
      </c>
      <c r="F864" s="79" t="n">
        <v>160281.96</v>
      </c>
    </row>
    <row r="867">
      <c r="A867" s="88" t="inlineStr">
        <is>
          <t>A2 (pig, GHG) · Pig meat: GHG emissions (EU)  (Mt CO₂eq)</t>
        </is>
      </c>
    </row>
    <row r="868" ht="26" customHeight="1">
      <c r="A868" s="83" t="inlineStr">
        <is>
          <t>NOT the report's derivation for the later years — the formula switches by year to a different recipe, because the report's own inputs have no feed. The two halves of this series are not computed the same way.</t>
        </is>
      </c>
    </row>
    <row r="869" ht="24" customHeight="1">
      <c r="A869" s="3" t="inlineStr">
        <is>
          <t>Derivation:  Value = IF(A &gt;= 2022, ROUND([Report baseline 2021 (Mt CO₂eq)] * ([env_air_gge CRF3A3] + [env_air_gge CRF3B3]) / [Live source at 2021 (same basis as the columns left)], 2), [Report figure (2024 report underlying data)])</t>
        </is>
      </c>
    </row>
    <row r="870" ht="42" customHeight="1">
      <c r="A870" s="77" t="inlineStr">
        <is>
          <t>Year</t>
        </is>
      </c>
      <c r="B870" s="77" t="inlineStr">
        <is>
          <t>Value</t>
        </is>
      </c>
      <c r="C870" s="77" t="inlineStr">
        <is>
          <t>Report figure (2024 report underlying data)</t>
        </is>
      </c>
      <c r="D870" s="77" t="inlineStr">
        <is>
          <t>env_air_gge CRF3A3</t>
        </is>
      </c>
      <c r="E870" s="77" t="inlineStr">
        <is>
          <t>env_air_gge CRF3B3</t>
        </is>
      </c>
      <c r="F870" s="77" t="inlineStr">
        <is>
          <t>Report baseline 2021 (Mt CO₂eq)</t>
        </is>
      </c>
      <c r="G870" s="77" t="inlineStr">
        <is>
          <t>Live source at 2021 (same basis as the columns left)</t>
        </is>
      </c>
    </row>
    <row r="871" ht="14" customHeight="1">
      <c r="A871" s="16" t="n">
        <v>2010</v>
      </c>
      <c r="B871" s="78">
        <f>IF((A871&gt;=2022),ROUND(((F871*(D871+E871))/G871),2),C871)</f>
        <v/>
      </c>
      <c r="C871" s="79" t="n">
        <v>30.02</v>
      </c>
      <c r="D871" s="79" t="n"/>
      <c r="E871" s="79" t="n"/>
      <c r="F871" s="79" t="n"/>
      <c r="G871" s="79" t="n"/>
    </row>
    <row r="872" ht="14" customHeight="1">
      <c r="A872" s="23" t="n">
        <v>2011</v>
      </c>
      <c r="B872" s="80">
        <f>IF((A872&gt;=2022),ROUND(((F872*(D872+E872))/G872),2),C872)</f>
        <v/>
      </c>
      <c r="C872" s="81" t="n">
        <v>30.07</v>
      </c>
      <c r="D872" s="81" t="n"/>
      <c r="E872" s="81" t="n"/>
      <c r="F872" s="81" t="n"/>
      <c r="G872" s="81" t="n"/>
    </row>
    <row r="873" ht="14" customHeight="1">
      <c r="A873" s="16" t="n">
        <v>2012</v>
      </c>
      <c r="B873" s="78">
        <f>IF((A873&gt;=2022),ROUND(((F873*(D873+E873))/G873),2),C873)</f>
        <v/>
      </c>
      <c r="C873" s="79" t="n">
        <v>29.05</v>
      </c>
      <c r="D873" s="79" t="n"/>
      <c r="E873" s="79" t="n"/>
      <c r="F873" s="79" t="n"/>
      <c r="G873" s="79" t="n"/>
    </row>
    <row r="874" ht="14" customHeight="1">
      <c r="A874" s="23" t="n">
        <v>2013</v>
      </c>
      <c r="B874" s="80">
        <f>IF((A874&gt;=2022),ROUND(((F874*(D874+E874))/G874),2),C874)</f>
        <v/>
      </c>
      <c r="C874" s="81" t="n">
        <v>28.24</v>
      </c>
      <c r="D874" s="81" t="n"/>
      <c r="E874" s="81" t="n"/>
      <c r="F874" s="81" t="n"/>
      <c r="G874" s="81" t="n"/>
    </row>
    <row r="875" ht="14" customHeight="1">
      <c r="A875" s="16" t="n">
        <v>2014</v>
      </c>
      <c r="B875" s="78">
        <f>IF((A875&gt;=2022),ROUND(((F875*(D875+E875))/G875),2),C875)</f>
        <v/>
      </c>
      <c r="C875" s="79" t="n">
        <v>28.73</v>
      </c>
      <c r="D875" s="79" t="n"/>
      <c r="E875" s="79" t="n"/>
      <c r="F875" s="79" t="n"/>
      <c r="G875" s="79" t="n"/>
    </row>
    <row r="876" ht="14" customHeight="1">
      <c r="A876" s="23" t="n">
        <v>2015</v>
      </c>
      <c r="B876" s="80">
        <f>IF((A876&gt;=2022),ROUND(((F876*(D876+E876))/G876),2),C876)</f>
        <v/>
      </c>
      <c r="C876" s="81" t="n">
        <v>29</v>
      </c>
      <c r="D876" s="81" t="n"/>
      <c r="E876" s="81" t="n"/>
      <c r="F876" s="81" t="n"/>
      <c r="G876" s="81" t="n"/>
    </row>
    <row r="877" ht="14" customHeight="1">
      <c r="A877" s="16" t="n">
        <v>2016</v>
      </c>
      <c r="B877" s="78">
        <f>IF((A877&gt;=2022),ROUND(((F877*(D877+E877))/G877),2),C877)</f>
        <v/>
      </c>
      <c r="C877" s="79" t="n">
        <v>28.76</v>
      </c>
      <c r="D877" s="79" t="n"/>
      <c r="E877" s="79" t="n"/>
      <c r="F877" s="79" t="n"/>
      <c r="G877" s="79" t="n"/>
    </row>
    <row r="878" ht="14" customHeight="1">
      <c r="A878" s="23" t="n">
        <v>2017</v>
      </c>
      <c r="B878" s="80">
        <f>IF((A878&gt;=2022),ROUND(((F878*(D878+E878))/G878),2),C878)</f>
        <v/>
      </c>
      <c r="C878" s="81" t="n">
        <v>29.03</v>
      </c>
      <c r="D878" s="81" t="n"/>
      <c r="E878" s="81" t="n"/>
      <c r="F878" s="81" t="n"/>
      <c r="G878" s="81" t="n"/>
    </row>
    <row r="879" ht="14" customHeight="1">
      <c r="A879" s="16" t="n">
        <v>2018</v>
      </c>
      <c r="B879" s="78">
        <f>IF((A879&gt;=2022),ROUND(((F879*(D879+E879))/G879),2),C879)</f>
        <v/>
      </c>
      <c r="C879" s="79" t="n">
        <v>28.99</v>
      </c>
      <c r="D879" s="79" t="n"/>
      <c r="E879" s="79" t="n"/>
      <c r="F879" s="79" t="n"/>
      <c r="G879" s="79" t="n"/>
    </row>
    <row r="880" ht="14" customHeight="1">
      <c r="A880" s="23" t="n">
        <v>2019</v>
      </c>
      <c r="B880" s="80">
        <f>IF((A880&gt;=2022),ROUND(((F880*(D880+E880))/G880),2),C880)</f>
        <v/>
      </c>
      <c r="C880" s="81" t="n">
        <v>28.78</v>
      </c>
      <c r="D880" s="81" t="n"/>
      <c r="E880" s="81" t="n"/>
      <c r="F880" s="81" t="n"/>
      <c r="G880" s="81" t="n"/>
    </row>
    <row r="881" ht="14" customHeight="1">
      <c r="A881" s="16" t="n">
        <v>2020</v>
      </c>
      <c r="B881" s="78">
        <f>IF((A881&gt;=2022),ROUND(((F881*(D881+E881))/G881),2),C881)</f>
        <v/>
      </c>
      <c r="C881" s="79" t="n">
        <v>29.34</v>
      </c>
      <c r="D881" s="79" t="n"/>
      <c r="E881" s="79" t="n"/>
      <c r="F881" s="79" t="n"/>
      <c r="G881" s="79" t="n"/>
    </row>
    <row r="882" ht="14" customHeight="1">
      <c r="A882" s="23" t="n">
        <v>2021</v>
      </c>
      <c r="B882" s="80">
        <f>IF((A882&gt;=2022),ROUND(((F882*(D882+E882))/G882),2),C882)</f>
        <v/>
      </c>
      <c r="C882" s="81" t="n">
        <v>28.58</v>
      </c>
      <c r="D882" s="81" t="n"/>
      <c r="E882" s="81" t="n"/>
      <c r="F882" s="81" t="n"/>
      <c r="G882" s="81" t="n"/>
    </row>
    <row r="883" ht="14" customHeight="1">
      <c r="A883" s="16" t="n">
        <v>2022</v>
      </c>
      <c r="B883" s="78">
        <f>IF((A883&gt;=2022),ROUND(((F883*(D883+E883))/G883),2),C883)</f>
        <v/>
      </c>
      <c r="C883" s="79" t="n"/>
      <c r="D883" s="79" t="n">
        <v>4.06167</v>
      </c>
      <c r="E883" s="79" t="n">
        <v>21.96053</v>
      </c>
      <c r="F883" s="79" t="n">
        <v>28.58</v>
      </c>
      <c r="G883" s="79" t="n">
        <v>26.55012</v>
      </c>
    </row>
    <row r="884" ht="14" customHeight="1">
      <c r="A884" s="23" t="n">
        <v>2023</v>
      </c>
      <c r="B884" s="80">
        <f>IF((A884&gt;=2022),ROUND(((F884*(D884+E884))/G884),2),C884)</f>
        <v/>
      </c>
      <c r="C884" s="81" t="n"/>
      <c r="D884" s="81" t="n">
        <v>3.97275</v>
      </c>
      <c r="E884" s="81" t="n">
        <v>20.93875</v>
      </c>
      <c r="F884" s="81" t="n">
        <v>28.58</v>
      </c>
      <c r="G884" s="81" t="n">
        <v>26.55012</v>
      </c>
    </row>
    <row r="885" ht="14" customHeight="1">
      <c r="A885" s="16" t="n">
        <v>2024</v>
      </c>
      <c r="B885" s="78">
        <f>IF((A885&gt;=2022),ROUND(((F885*(D885+E885))/G885),2),C885)</f>
        <v/>
      </c>
      <c r="C885" s="79" t="n"/>
      <c r="D885" s="79" t="n">
        <v>3.90006</v>
      </c>
      <c r="E885" s="79" t="n">
        <v>20.42516</v>
      </c>
      <c r="F885" s="79" t="n">
        <v>28.58</v>
      </c>
      <c r="G885" s="79" t="n">
        <v>26.55012</v>
      </c>
    </row>
    <row r="888">
      <c r="A888" s="88" t="inlineStr">
        <is>
          <t>A2 (pig, intensity) · Pig meat: GHG intensity (EU)  (t CO₂eq/t)</t>
        </is>
      </c>
    </row>
    <row r="889" ht="26" customHeight="1">
      <c r="A889" s="83" t="inlineStr">
        <is>
          <t>NOT the report's derivation for the later years — the formula switches by year to a different recipe, because the report's own inputs have no feed. The two halves of this series are not computed the same way.</t>
        </is>
      </c>
    </row>
    <row r="890" ht="24" customHeight="1">
      <c r="A890" s="3" t="inlineStr">
        <is>
          <t>Derivation:  Value = IF(A &gt;= 2021, ROUND([Report baseline 2020 (t CO₂eq/t)] * ([Numerator · env_air_gge CRF3A3] + [Numerator · env_air_gge CRF3B3]) / ([Denominator · apro_mt_pann B3100]) / [Live source at 2020 (same basis as the columns left)], 3), [Report figure (2024 report underlying data)])</t>
        </is>
      </c>
    </row>
    <row r="891" ht="42" customHeight="1">
      <c r="A891" s="77" t="inlineStr">
        <is>
          <t>Year</t>
        </is>
      </c>
      <c r="B891" s="77" t="inlineStr">
        <is>
          <t>Value</t>
        </is>
      </c>
      <c r="C891" s="77" t="inlineStr">
        <is>
          <t>Report figure (2024 report underlying data)</t>
        </is>
      </c>
      <c r="D891" s="77" t="inlineStr">
        <is>
          <t>Numerator · env_air_gge CRF3A3</t>
        </is>
      </c>
      <c r="E891" s="77" t="inlineStr">
        <is>
          <t>Numerator · env_air_gge CRF3B3</t>
        </is>
      </c>
      <c r="F891" s="77" t="inlineStr">
        <is>
          <t>Denominator · apro_mt_pann B3100</t>
        </is>
      </c>
      <c r="G891" s="77" t="inlineStr">
        <is>
          <t>Report baseline 2020 (t CO₂eq/t)</t>
        </is>
      </c>
      <c r="H891" s="77" t="inlineStr">
        <is>
          <t>Live source at 2020 (same basis as the columns left)</t>
        </is>
      </c>
    </row>
    <row r="892" ht="14" customHeight="1">
      <c r="A892" s="16" t="n">
        <v>2010</v>
      </c>
      <c r="B892" s="78">
        <f>IF((A892&gt;=2021),ROUND((((G892*(D892+E892))/F892)/H892),3),C892)</f>
        <v/>
      </c>
      <c r="C892" s="79" t="n">
        <v>1.351</v>
      </c>
      <c r="D892" s="79" t="n"/>
      <c r="E892" s="79" t="n"/>
      <c r="F892" s="79" t="n"/>
      <c r="G892" s="79" t="n"/>
      <c r="H892" s="79" t="n"/>
    </row>
    <row r="893" ht="14" customHeight="1">
      <c r="A893" s="23" t="n">
        <v>2011</v>
      </c>
      <c r="B893" s="80">
        <f>IF((A893&gt;=2021),ROUND((((G893*(D893+E893))/F893)/H893),3),C893)</f>
        <v/>
      </c>
      <c r="C893" s="81" t="n">
        <v>1.339</v>
      </c>
      <c r="D893" s="81" t="n"/>
      <c r="E893" s="81" t="n"/>
      <c r="F893" s="81" t="n"/>
      <c r="G893" s="81" t="n"/>
      <c r="H893" s="81" t="n"/>
    </row>
    <row r="894" ht="14" customHeight="1">
      <c r="A894" s="16" t="n">
        <v>2012</v>
      </c>
      <c r="B894" s="78">
        <f>IF((A894&gt;=2021),ROUND((((G894*(D894+E894))/F894)/H894),3),C894)</f>
        <v/>
      </c>
      <c r="C894" s="79" t="n">
        <v>1.32</v>
      </c>
      <c r="D894" s="79" t="n"/>
      <c r="E894" s="79" t="n"/>
      <c r="F894" s="79" t="n"/>
      <c r="G894" s="79" t="n"/>
      <c r="H894" s="79" t="n"/>
    </row>
    <row r="895" ht="14" customHeight="1">
      <c r="A895" s="23" t="n">
        <v>2013</v>
      </c>
      <c r="B895" s="80">
        <f>IF((A895&gt;=2021),ROUND((((G895*(D895+E895))/F895)/H895),3),C895)</f>
        <v/>
      </c>
      <c r="C895" s="81" t="n">
        <v>1.302</v>
      </c>
      <c r="D895" s="81" t="n"/>
      <c r="E895" s="81" t="n"/>
      <c r="F895" s="81" t="n"/>
      <c r="G895" s="81" t="n"/>
      <c r="H895" s="81" t="n"/>
    </row>
    <row r="896" ht="14" customHeight="1">
      <c r="A896" s="16" t="n">
        <v>2014</v>
      </c>
      <c r="B896" s="78">
        <f>IF((A896&gt;=2021),ROUND((((G896*(D896+E896))/F896)/H896),3),C896)</f>
        <v/>
      </c>
      <c r="C896" s="79" t="n">
        <v>1.321</v>
      </c>
      <c r="D896" s="79" t="n"/>
      <c r="E896" s="79" t="n"/>
      <c r="F896" s="79" t="n"/>
      <c r="G896" s="79" t="n"/>
      <c r="H896" s="79" t="n"/>
    </row>
    <row r="897" ht="14" customHeight="1">
      <c r="A897" s="23" t="n">
        <v>2015</v>
      </c>
      <c r="B897" s="80">
        <f>IF((A897&gt;=2021),ROUND((((G897*(D897+E897))/F897)/H897),3),C897)</f>
        <v/>
      </c>
      <c r="C897" s="81" t="n">
        <v>1.285</v>
      </c>
      <c r="D897" s="81" t="n"/>
      <c r="E897" s="81" t="n"/>
      <c r="F897" s="81" t="n"/>
      <c r="G897" s="81" t="n"/>
      <c r="H897" s="81" t="n"/>
    </row>
    <row r="898" ht="14" customHeight="1">
      <c r="A898" s="16" t="n">
        <v>2016</v>
      </c>
      <c r="B898" s="78">
        <f>IF((A898&gt;=2021),ROUND((((G898*(D898+E898))/F898)/H898),3),C898)</f>
        <v/>
      </c>
      <c r="C898" s="79" t="n">
        <v>1.253</v>
      </c>
      <c r="D898" s="79" t="n"/>
      <c r="E898" s="79" t="n"/>
      <c r="F898" s="79" t="n"/>
      <c r="G898" s="79" t="n"/>
      <c r="H898" s="79" t="n"/>
    </row>
    <row r="899" ht="14" customHeight="1">
      <c r="A899" s="23" t="n">
        <v>2017</v>
      </c>
      <c r="B899" s="80">
        <f>IF((A899&gt;=2021),ROUND((((G899*(D899+E899))/F899)/H899),3),C899)</f>
        <v/>
      </c>
      <c r="C899" s="81" t="n">
        <v>1.272</v>
      </c>
      <c r="D899" s="81" t="n"/>
      <c r="E899" s="81" t="n"/>
      <c r="F899" s="81" t="n"/>
      <c r="G899" s="81" t="n"/>
      <c r="H899" s="81" t="n"/>
    </row>
    <row r="900" ht="14" customHeight="1">
      <c r="A900" s="16" t="n">
        <v>2018</v>
      </c>
      <c r="B900" s="78">
        <f>IF((A900&gt;=2021),ROUND((((G900*(D900+E900))/F900)/H900),3),C900)</f>
        <v/>
      </c>
      <c r="C900" s="79" t="n">
        <v>1.248</v>
      </c>
      <c r="D900" s="79" t="n"/>
      <c r="E900" s="79" t="n"/>
      <c r="F900" s="79" t="n"/>
      <c r="G900" s="79" t="n"/>
      <c r="H900" s="79" t="n"/>
    </row>
    <row r="901" ht="14" customHeight="1">
      <c r="A901" s="23" t="n">
        <v>2019</v>
      </c>
      <c r="B901" s="80">
        <f>IF((A901&gt;=2021),ROUND((((G901*(D901+E901))/F901)/H901),3),C901)</f>
        <v/>
      </c>
      <c r="C901" s="81" t="n">
        <v>1.251</v>
      </c>
      <c r="D901" s="81" t="n"/>
      <c r="E901" s="81" t="n"/>
      <c r="F901" s="81" t="n"/>
      <c r="G901" s="81" t="n"/>
      <c r="H901" s="81" t="n"/>
    </row>
    <row r="902" ht="14" customHeight="1">
      <c r="A902" s="16" t="n">
        <v>2020</v>
      </c>
      <c r="B902" s="78">
        <f>IF((A902&gt;=2021),ROUND((((G902*(D902+E902))/F902)/H902),3),C902)</f>
        <v/>
      </c>
      <c r="C902" s="79" t="n">
        <v>1.264</v>
      </c>
      <c r="D902" s="79" t="n"/>
      <c r="E902" s="79" t="n"/>
      <c r="F902" s="79" t="n"/>
      <c r="G902" s="79" t="n"/>
      <c r="H902" s="79" t="n"/>
    </row>
    <row r="903" ht="14" customHeight="1">
      <c r="A903" s="23" t="n">
        <v>2021</v>
      </c>
      <c r="B903" s="80">
        <f>IF((A903&gt;=2021),ROUND((((G903*(D903+E903))/F903)/H903),3),C903)</f>
        <v/>
      </c>
      <c r="C903" s="81" t="n"/>
      <c r="D903" s="81" t="n">
        <v>4.28352</v>
      </c>
      <c r="E903" s="81" t="n">
        <v>22.2666</v>
      </c>
      <c r="F903" s="81" t="n">
        <v>23393.67</v>
      </c>
      <c r="G903" s="81" t="n">
        <v>1.264</v>
      </c>
      <c r="H903" s="81" t="n">
        <v>0.001177</v>
      </c>
    </row>
    <row r="904" ht="14" customHeight="1">
      <c r="A904" s="16" t="n">
        <v>2022</v>
      </c>
      <c r="B904" s="78">
        <f>IF((A904&gt;=2021),ROUND((((G904*(D904+E904))/F904)/H904),3),C904)</f>
        <v/>
      </c>
      <c r="C904" s="79" t="n"/>
      <c r="D904" s="79" t="n">
        <v>4.06167</v>
      </c>
      <c r="E904" s="79" t="n">
        <v>21.96053</v>
      </c>
      <c r="F904" s="79" t="n">
        <v>22065.92</v>
      </c>
      <c r="G904" s="79" t="n">
        <v>1.264</v>
      </c>
      <c r="H904" s="79" t="n">
        <v>0.001177</v>
      </c>
    </row>
    <row r="905" ht="14" customHeight="1">
      <c r="A905" s="23" t="n">
        <v>2023</v>
      </c>
      <c r="B905" s="80">
        <f>IF((A905&gt;=2021),ROUND((((G905*(D905+E905))/F905)/H905),3),C905)</f>
        <v/>
      </c>
      <c r="C905" s="81" t="n"/>
      <c r="D905" s="81" t="n">
        <v>3.97275</v>
      </c>
      <c r="E905" s="81" t="n">
        <v>20.93875</v>
      </c>
      <c r="F905" s="81" t="n">
        <v>20641.09</v>
      </c>
      <c r="G905" s="81" t="n">
        <v>1.264</v>
      </c>
      <c r="H905" s="81" t="n">
        <v>0.001177</v>
      </c>
    </row>
    <row r="906" ht="14" customHeight="1">
      <c r="A906" s="16" t="n">
        <v>2024</v>
      </c>
      <c r="B906" s="78">
        <f>IF((A906&gt;=2021),ROUND((((G906*(D906+E906))/F906)/H906),3),C906)</f>
        <v/>
      </c>
      <c r="C906" s="79" t="n"/>
      <c r="D906" s="79" t="n">
        <v>3.90006</v>
      </c>
      <c r="E906" s="79" t="n">
        <v>20.42516</v>
      </c>
      <c r="F906" s="79" t="n">
        <v>21091.62</v>
      </c>
      <c r="G906" s="79" t="n">
        <v>1.264</v>
      </c>
      <c r="H906" s="79" t="n">
        <v>0.001177</v>
      </c>
    </row>
    <row r="909">
      <c r="A909" s="88" t="inlineStr">
        <is>
          <t>A2 (pig, production) · Pig meat: production (EU)  (Mt)</t>
        </is>
      </c>
    </row>
    <row r="910" ht="26" customHeight="1">
      <c r="A910" s="83" t="inlineStr">
        <is>
          <t>NOT the report's derivation for the later years — the formula switches by year to a different recipe, because the report's own inputs have no feed. The two halves of this series are not computed the same way.</t>
        </is>
      </c>
    </row>
    <row r="911" ht="24" customHeight="1">
      <c r="A911" s="3" t="inlineStr">
        <is>
          <t>Derivation:  Value = IF(A &gt;= 2021, ROUND([apro_mt_pann B3100] * [Unit conversion (× 0.001)], 2), [Report figure (2024 report underlying data)])</t>
        </is>
      </c>
    </row>
    <row r="912" ht="42" customHeight="1">
      <c r="A912" s="77" t="inlineStr">
        <is>
          <t>Year</t>
        </is>
      </c>
      <c r="B912" s="77" t="inlineStr">
        <is>
          <t>Value</t>
        </is>
      </c>
      <c r="C912" s="77" t="inlineStr">
        <is>
          <t>Report figure (2024 report underlying data)</t>
        </is>
      </c>
      <c r="D912" s="77" t="inlineStr">
        <is>
          <t>apro_mt_pann B3100</t>
        </is>
      </c>
      <c r="E912" s="77" t="inlineStr">
        <is>
          <t>Unit conversion (× 0.001)</t>
        </is>
      </c>
    </row>
    <row r="913" ht="14" customHeight="1">
      <c r="A913" s="16" t="n">
        <v>2010</v>
      </c>
      <c r="B913" s="78">
        <f>IF((A913&gt;=2021),ROUND((D913*E913),2),C913)</f>
        <v/>
      </c>
      <c r="C913" s="79" t="n">
        <v>22.22</v>
      </c>
      <c r="D913" s="79" t="n"/>
      <c r="E913" s="79" t="n"/>
    </row>
    <row r="914" ht="14" customHeight="1">
      <c r="A914" s="23" t="n">
        <v>2011</v>
      </c>
      <c r="B914" s="80">
        <f>IF((A914&gt;=2021),ROUND((D914*E914),2),C914)</f>
        <v/>
      </c>
      <c r="C914" s="81" t="n">
        <v>22.46</v>
      </c>
      <c r="D914" s="81" t="n"/>
      <c r="E914" s="81" t="n"/>
    </row>
    <row r="915" ht="14" customHeight="1">
      <c r="A915" s="16" t="n">
        <v>2012</v>
      </c>
      <c r="B915" s="78">
        <f>IF((A915&gt;=2021),ROUND((D915*E915),2),C915)</f>
        <v/>
      </c>
      <c r="C915" s="79" t="n">
        <v>22</v>
      </c>
      <c r="D915" s="79" t="n"/>
      <c r="E915" s="79" t="n"/>
    </row>
    <row r="916" ht="14" customHeight="1">
      <c r="A916" s="23" t="n">
        <v>2013</v>
      </c>
      <c r="B916" s="80">
        <f>IF((A916&gt;=2021),ROUND((D916*E916),2),C916)</f>
        <v/>
      </c>
      <c r="C916" s="81" t="n">
        <v>21.69</v>
      </c>
      <c r="D916" s="81" t="n"/>
      <c r="E916" s="81" t="n"/>
    </row>
    <row r="917" ht="14" customHeight="1">
      <c r="A917" s="16" t="n">
        <v>2014</v>
      </c>
      <c r="B917" s="78">
        <f>IF((A917&gt;=2021),ROUND((D917*E917),2),C917)</f>
        <v/>
      </c>
      <c r="C917" s="79" t="n">
        <v>21.75</v>
      </c>
      <c r="D917" s="79" t="n"/>
      <c r="E917" s="79" t="n"/>
    </row>
    <row r="918" ht="14" customHeight="1">
      <c r="A918" s="23" t="n">
        <v>2015</v>
      </c>
      <c r="B918" s="80">
        <f>IF((A918&gt;=2021),ROUND((D918*E918),2),C918)</f>
        <v/>
      </c>
      <c r="C918" s="81" t="n">
        <v>22.57</v>
      </c>
      <c r="D918" s="81" t="n"/>
      <c r="E918" s="81" t="n"/>
    </row>
    <row r="919" ht="14" customHeight="1">
      <c r="A919" s="16" t="n">
        <v>2016</v>
      </c>
      <c r="B919" s="78">
        <f>IF((A919&gt;=2021),ROUND((D919*E919),2),C919)</f>
        <v/>
      </c>
      <c r="C919" s="79" t="n">
        <v>22.95</v>
      </c>
      <c r="D919" s="79" t="n"/>
      <c r="E919" s="79" t="n"/>
    </row>
    <row r="920" ht="14" customHeight="1">
      <c r="A920" s="23" t="n">
        <v>2017</v>
      </c>
      <c r="B920" s="80">
        <f>IF((A920&gt;=2021),ROUND((D920*E920),2),C920)</f>
        <v/>
      </c>
      <c r="C920" s="81" t="n">
        <v>22.82</v>
      </c>
      <c r="D920" s="81" t="n"/>
      <c r="E920" s="81" t="n"/>
    </row>
    <row r="921" ht="14" customHeight="1">
      <c r="A921" s="16" t="n">
        <v>2018</v>
      </c>
      <c r="B921" s="78">
        <f>IF((A921&gt;=2021),ROUND((D921*E921),2),C921)</f>
        <v/>
      </c>
      <c r="C921" s="79" t="n">
        <v>23.22</v>
      </c>
      <c r="D921" s="79" t="n"/>
      <c r="E921" s="79" t="n"/>
    </row>
    <row r="922" ht="14" customHeight="1">
      <c r="A922" s="23" t="n">
        <v>2019</v>
      </c>
      <c r="B922" s="80">
        <f>IF((A922&gt;=2021),ROUND((D922*E922),2),C922)</f>
        <v/>
      </c>
      <c r="C922" s="81" t="n">
        <v>23</v>
      </c>
      <c r="D922" s="81" t="n"/>
      <c r="E922" s="81" t="n"/>
    </row>
    <row r="923" ht="14" customHeight="1">
      <c r="A923" s="16" t="n">
        <v>2020</v>
      </c>
      <c r="B923" s="78">
        <f>IF((A923&gt;=2021),ROUND((D923*E923),2),C923)</f>
        <v/>
      </c>
      <c r="C923" s="79" t="n">
        <v>23.22</v>
      </c>
      <c r="D923" s="79" t="n"/>
      <c r="E923" s="79" t="n"/>
    </row>
    <row r="924" ht="14" customHeight="1">
      <c r="A924" s="23" t="n">
        <v>2021</v>
      </c>
      <c r="B924" s="80">
        <f>IF((A924&gt;=2021),ROUND((D924*E924),2),C924)</f>
        <v/>
      </c>
      <c r="C924" s="81" t="n"/>
      <c r="D924" s="81" t="n">
        <v>23393.67</v>
      </c>
      <c r="E924" s="81" t="n">
        <v>0.001</v>
      </c>
    </row>
    <row r="925" ht="14" customHeight="1">
      <c r="A925" s="16" t="n">
        <v>2022</v>
      </c>
      <c r="B925" s="78">
        <f>IF((A925&gt;=2021),ROUND((D925*E925),2),C925)</f>
        <v/>
      </c>
      <c r="C925" s="79" t="n"/>
      <c r="D925" s="79" t="n">
        <v>22065.92</v>
      </c>
      <c r="E925" s="79" t="n">
        <v>0.001</v>
      </c>
    </row>
    <row r="926" ht="14" customHeight="1">
      <c r="A926" s="23" t="n">
        <v>2023</v>
      </c>
      <c r="B926" s="80">
        <f>IF((A926&gt;=2021),ROUND((D926*E926),2),C926)</f>
        <v/>
      </c>
      <c r="C926" s="81" t="n"/>
      <c r="D926" s="81" t="n">
        <v>20641.09</v>
      </c>
      <c r="E926" s="81" t="n">
        <v>0.001</v>
      </c>
    </row>
    <row r="927" ht="14" customHeight="1">
      <c r="A927" s="16" t="n">
        <v>2024</v>
      </c>
      <c r="B927" s="78">
        <f>IF((A927&gt;=2021),ROUND((D927*E927),2),C927)</f>
        <v/>
      </c>
      <c r="C927" s="79" t="n"/>
      <c r="D927" s="79" t="n">
        <v>21091.62</v>
      </c>
      <c r="E927" s="79" t="n">
        <v>0.001</v>
      </c>
    </row>
    <row r="928" ht="14" customHeight="1">
      <c r="A928" s="23" t="n">
        <v>2025</v>
      </c>
      <c r="B928" s="80">
        <f>IF((A928&gt;=2021),ROUND((D928*E928),2),C928)</f>
        <v/>
      </c>
      <c r="C928" s="81" t="n"/>
      <c r="D928" s="81" t="n">
        <v>21837.73</v>
      </c>
      <c r="E928" s="81" t="n">
        <v>0.001</v>
      </c>
    </row>
    <row r="931">
      <c r="A931" s="88" t="inlineStr">
        <is>
          <t>A4 (bovine, herd) · Bovine meat: herd size (EU)  (million heads)</t>
        </is>
      </c>
    </row>
    <row r="932" ht="26" customHeight="1">
      <c r="A932" s="83" t="inlineStr">
        <is>
          <t>NOT the report's derivation for the later years — the formula switches by year to a different recipe, because the report's own inputs have no feed. The two halves of this series are not computed the same way.</t>
        </is>
      </c>
    </row>
    <row r="933" ht="24" customHeight="1">
      <c r="A933" s="3" t="inlineStr">
        <is>
          <t>Derivation:  Value = IF(A &gt;= 2021, ROUND([Report baseline 2020 (million heads)] * [apro_mt_lscatl A2000] / [Live source at 2020 (same basis as the columns left)], 2), [Report figure (2024 report underlying data)])</t>
        </is>
      </c>
    </row>
    <row r="934" ht="42" customHeight="1">
      <c r="A934" s="77" t="inlineStr">
        <is>
          <t>Year</t>
        </is>
      </c>
      <c r="B934" s="77" t="inlineStr">
        <is>
          <t>Value</t>
        </is>
      </c>
      <c r="C934" s="77" t="inlineStr">
        <is>
          <t>Report figure (2024 report underlying data)</t>
        </is>
      </c>
      <c r="D934" s="77" t="inlineStr">
        <is>
          <t>apro_mt_lscatl A2000</t>
        </is>
      </c>
      <c r="E934" s="77" t="inlineStr">
        <is>
          <t>Report baseline 2020 (million heads)</t>
        </is>
      </c>
      <c r="F934" s="77" t="inlineStr">
        <is>
          <t>Live source at 2020 (same basis as the columns left)</t>
        </is>
      </c>
    </row>
    <row r="935" ht="14" customHeight="1">
      <c r="A935" s="16" t="n">
        <v>2010</v>
      </c>
      <c r="B935" s="78">
        <f>IF((A935&gt;=2021),ROUND(((E935*D935)/F935),2),C935)</f>
        <v/>
      </c>
      <c r="C935" s="79" t="n">
        <v>60.59</v>
      </c>
      <c r="D935" s="79" t="n"/>
      <c r="E935" s="79" t="n"/>
      <c r="F935" s="79" t="n"/>
    </row>
    <row r="936" ht="14" customHeight="1">
      <c r="A936" s="23" t="n">
        <v>2011</v>
      </c>
      <c r="B936" s="80">
        <f>IF((A936&gt;=2021),ROUND(((E936*D936)/F936),2),C936)</f>
        <v/>
      </c>
      <c r="C936" s="81" t="n">
        <v>59.66</v>
      </c>
      <c r="D936" s="81" t="n"/>
      <c r="E936" s="81" t="n"/>
      <c r="F936" s="81" t="n"/>
    </row>
    <row r="937" ht="14" customHeight="1">
      <c r="A937" s="16" t="n">
        <v>2012</v>
      </c>
      <c r="B937" s="78">
        <f>IF((A937&gt;=2021),ROUND(((E937*D937)/F937),2),C937)</f>
        <v/>
      </c>
      <c r="C937" s="79" t="n">
        <v>59.61</v>
      </c>
      <c r="D937" s="79" t="n"/>
      <c r="E937" s="79" t="n"/>
      <c r="F937" s="79" t="n"/>
    </row>
    <row r="938" ht="14" customHeight="1">
      <c r="A938" s="23" t="n">
        <v>2013</v>
      </c>
      <c r="B938" s="80">
        <f>IF((A938&gt;=2021),ROUND(((E938*D938)/F938),2),C938)</f>
        <v/>
      </c>
      <c r="C938" s="81" t="n">
        <v>60.17</v>
      </c>
      <c r="D938" s="81" t="n"/>
      <c r="E938" s="81" t="n"/>
      <c r="F938" s="81" t="n"/>
    </row>
    <row r="939" ht="14" customHeight="1">
      <c r="A939" s="16" t="n">
        <v>2014</v>
      </c>
      <c r="B939" s="78">
        <f>IF((A939&gt;=2021),ROUND(((E939*D939)/F939),2),C939)</f>
        <v/>
      </c>
      <c r="C939" s="79" t="n">
        <v>60.89</v>
      </c>
      <c r="D939" s="79" t="n"/>
      <c r="E939" s="79" t="n"/>
      <c r="F939" s="79" t="n"/>
    </row>
    <row r="940" ht="14" customHeight="1">
      <c r="A940" s="23" t="n">
        <v>2015</v>
      </c>
      <c r="B940" s="80">
        <f>IF((A940&gt;=2021),ROUND(((E940*D940)/F940),2),C940)</f>
        <v/>
      </c>
      <c r="C940" s="81" t="n">
        <v>61.36</v>
      </c>
      <c r="D940" s="81" t="n"/>
      <c r="E940" s="81" t="n"/>
      <c r="F940" s="81" t="n"/>
    </row>
    <row r="941" ht="14" customHeight="1">
      <c r="A941" s="16" t="n">
        <v>2016</v>
      </c>
      <c r="B941" s="78">
        <f>IF((A941&gt;=2021),ROUND(((E941*D941)/F941),2),C941)</f>
        <v/>
      </c>
      <c r="C941" s="79" t="n">
        <v>62.01</v>
      </c>
      <c r="D941" s="79" t="n"/>
      <c r="E941" s="79" t="n"/>
      <c r="F941" s="79" t="n"/>
    </row>
    <row r="942" ht="14" customHeight="1">
      <c r="A942" s="23" t="n">
        <v>2017</v>
      </c>
      <c r="B942" s="80">
        <f>IF((A942&gt;=2021),ROUND(((E942*D942)/F942),2),C942)</f>
        <v/>
      </c>
      <c r="C942" s="81" t="n">
        <v>61.87</v>
      </c>
      <c r="D942" s="81" t="n"/>
      <c r="E942" s="81" t="n"/>
      <c r="F942" s="81" t="n"/>
    </row>
    <row r="943" ht="14" customHeight="1">
      <c r="A943" s="16" t="n">
        <v>2018</v>
      </c>
      <c r="B943" s="78">
        <f>IF((A943&gt;=2021),ROUND(((E943*D943)/F943),2),C943)</f>
        <v/>
      </c>
      <c r="C943" s="79" t="n">
        <v>61.28</v>
      </c>
      <c r="D943" s="79" t="n"/>
      <c r="E943" s="79" t="n"/>
      <c r="F943" s="79" t="n"/>
    </row>
    <row r="944" ht="14" customHeight="1">
      <c r="A944" s="23" t="n">
        <v>2019</v>
      </c>
      <c r="B944" s="80">
        <f>IF((A944&gt;=2021),ROUND(((E944*D944)/F944),2),C944)</f>
        <v/>
      </c>
      <c r="C944" s="81" t="n">
        <v>60.59</v>
      </c>
      <c r="D944" s="81" t="n"/>
      <c r="E944" s="81" t="n"/>
      <c r="F944" s="81" t="n"/>
    </row>
    <row r="945" ht="14" customHeight="1">
      <c r="A945" s="16" t="n">
        <v>2020</v>
      </c>
      <c r="B945" s="78">
        <f>IF((A945&gt;=2021),ROUND(((E945*D945)/F945),2),C945)</f>
        <v/>
      </c>
      <c r="C945" s="79" t="n">
        <v>60.16</v>
      </c>
      <c r="D945" s="79" t="n"/>
      <c r="E945" s="79" t="n"/>
      <c r="F945" s="79" t="n"/>
    </row>
    <row r="946" ht="14" customHeight="1">
      <c r="A946" s="23" t="n">
        <v>2021</v>
      </c>
      <c r="B946" s="80">
        <f>IF((A946&gt;=2021),ROUND(((E946*D946)/F946),2),C946)</f>
        <v/>
      </c>
      <c r="C946" s="81" t="n"/>
      <c r="D946" s="81" t="n">
        <v>75705.3</v>
      </c>
      <c r="E946" s="81" t="n">
        <v>60.16</v>
      </c>
      <c r="F946" s="81" t="n">
        <v>76551.10000000001</v>
      </c>
    </row>
    <row r="947" ht="14" customHeight="1">
      <c r="A947" s="16" t="n">
        <v>2022</v>
      </c>
      <c r="B947" s="78">
        <f>IF((A947&gt;=2021),ROUND(((E947*D947)/F947),2),C947)</f>
        <v/>
      </c>
      <c r="C947" s="79" t="n"/>
      <c r="D947" s="79" t="n">
        <v>74807.63</v>
      </c>
      <c r="E947" s="79" t="n">
        <v>60.16</v>
      </c>
      <c r="F947" s="79" t="n">
        <v>76551.10000000001</v>
      </c>
    </row>
    <row r="948" ht="14" customHeight="1">
      <c r="A948" s="23" t="n">
        <v>2023</v>
      </c>
      <c r="B948" s="80">
        <f>IF((A948&gt;=2021),ROUND(((E948*D948)/F948),2),C948)</f>
        <v/>
      </c>
      <c r="C948" s="81" t="n"/>
      <c r="D948" s="81" t="n">
        <v>73761.42999999999</v>
      </c>
      <c r="E948" s="81" t="n">
        <v>60.16</v>
      </c>
      <c r="F948" s="81" t="n">
        <v>76551.10000000001</v>
      </c>
    </row>
    <row r="949" ht="14" customHeight="1">
      <c r="A949" s="16" t="n">
        <v>2024</v>
      </c>
      <c r="B949" s="78">
        <f>IF((A949&gt;=2021),ROUND(((E949*D949)/F949),2),C949)</f>
        <v/>
      </c>
      <c r="C949" s="79" t="n"/>
      <c r="D949" s="79" t="n">
        <v>71896.32000000001</v>
      </c>
      <c r="E949" s="79" t="n">
        <v>60.16</v>
      </c>
      <c r="F949" s="79" t="n">
        <v>76551.10000000001</v>
      </c>
    </row>
    <row r="950" ht="14" customHeight="1">
      <c r="A950" s="23" t="n">
        <v>2025</v>
      </c>
      <c r="B950" s="80">
        <f>IF((A950&gt;=2021),ROUND(((E950*D950)/F950),2),C950)</f>
        <v/>
      </c>
      <c r="C950" s="81" t="n"/>
      <c r="D950" s="81" t="n">
        <v>71583.23</v>
      </c>
      <c r="E950" s="81" t="n">
        <v>60.16</v>
      </c>
      <c r="F950" s="81" t="n">
        <v>76551.10000000001</v>
      </c>
    </row>
    <row r="953">
      <c r="A953" s="88" t="inlineStr">
        <is>
          <t>A4 (bovine, production) · Bovine meat: production (EU)  (Mt)</t>
        </is>
      </c>
    </row>
    <row r="954" ht="26" customHeight="1">
      <c r="A954" s="83" t="inlineStr">
        <is>
          <t>NOT the report's derivation for the later years — the formula switches by year to a different recipe, because the report's own inputs have no feed. The two halves of this series are not computed the same way.</t>
        </is>
      </c>
    </row>
    <row r="955" ht="24" customHeight="1">
      <c r="A955" s="3" t="inlineStr">
        <is>
          <t>Derivation:  Value = IF(A &gt;= 2021, ROUND([apro_mt_pann B1000] * [Unit conversion (× 0.001)], 3), [Report figure (2024 report underlying data)])</t>
        </is>
      </c>
    </row>
    <row r="956" ht="42" customHeight="1">
      <c r="A956" s="77" t="inlineStr">
        <is>
          <t>Year</t>
        </is>
      </c>
      <c r="B956" s="77" t="inlineStr">
        <is>
          <t>Value</t>
        </is>
      </c>
      <c r="C956" s="77" t="inlineStr">
        <is>
          <t>Report figure (2024 report underlying data)</t>
        </is>
      </c>
      <c r="D956" s="77" t="inlineStr">
        <is>
          <t>apro_mt_pann B1000</t>
        </is>
      </c>
      <c r="E956" s="77" t="inlineStr">
        <is>
          <t>Unit conversion (× 0.001)</t>
        </is>
      </c>
    </row>
    <row r="957" ht="14" customHeight="1">
      <c r="A957" s="16" t="n">
        <v>2010</v>
      </c>
      <c r="B957" s="78">
        <f>IF((A957&gt;=2021),ROUND((D957*E957),3),C957)</f>
        <v/>
      </c>
      <c r="C957" s="79" t="n">
        <v>7.257</v>
      </c>
      <c r="D957" s="79" t="n"/>
      <c r="E957" s="79" t="n"/>
    </row>
    <row r="958" ht="14" customHeight="1">
      <c r="A958" s="23" t="n">
        <v>2011</v>
      </c>
      <c r="B958" s="80">
        <f>IF((A958&gt;=2021),ROUND((D958*E958),3),C958)</f>
        <v/>
      </c>
      <c r="C958" s="81" t="n">
        <v>7.126</v>
      </c>
      <c r="D958" s="81" t="n"/>
      <c r="E958" s="81" t="n"/>
    </row>
    <row r="959" ht="14" customHeight="1">
      <c r="A959" s="16" t="n">
        <v>2012</v>
      </c>
      <c r="B959" s="78">
        <f>IF((A959&gt;=2021),ROUND((D959*E959),3),C959)</f>
        <v/>
      </c>
      <c r="C959" s="79" t="n">
        <v>6.857</v>
      </c>
      <c r="D959" s="79" t="n"/>
      <c r="E959" s="79" t="n"/>
    </row>
    <row r="960" ht="14" customHeight="1">
      <c r="A960" s="23" t="n">
        <v>2013</v>
      </c>
      <c r="B960" s="80">
        <f>IF((A960&gt;=2021),ROUND((D960*E960),3),C960)</f>
        <v/>
      </c>
      <c r="C960" s="81" t="n">
        <v>6.567</v>
      </c>
      <c r="D960" s="81" t="n"/>
      <c r="E960" s="81" t="n"/>
    </row>
    <row r="961" ht="14" customHeight="1">
      <c r="A961" s="16" t="n">
        <v>2014</v>
      </c>
      <c r="B961" s="78">
        <f>IF((A961&gt;=2021),ROUND((D961*E961),3),C961)</f>
        <v/>
      </c>
      <c r="C961" s="79" t="n">
        <v>6.597</v>
      </c>
      <c r="D961" s="79" t="n"/>
      <c r="E961" s="79" t="n"/>
    </row>
    <row r="962" ht="14" customHeight="1">
      <c r="A962" s="23" t="n">
        <v>2015</v>
      </c>
      <c r="B962" s="80">
        <f>IF((A962&gt;=2021),ROUND((D962*E962),3),C962)</f>
        <v/>
      </c>
      <c r="C962" s="81" t="n">
        <v>6.827</v>
      </c>
      <c r="D962" s="81" t="n"/>
      <c r="E962" s="81" t="n"/>
    </row>
    <row r="963" ht="14" customHeight="1">
      <c r="A963" s="16" t="n">
        <v>2016</v>
      </c>
      <c r="B963" s="78">
        <f>IF((A963&gt;=2021),ROUND((D963*E963),3),C963)</f>
        <v/>
      </c>
      <c r="C963" s="79" t="n">
        <v>6.999</v>
      </c>
      <c r="D963" s="79" t="n"/>
      <c r="E963" s="79" t="n"/>
    </row>
    <row r="964" ht="14" customHeight="1">
      <c r="A964" s="23" t="n">
        <v>2017</v>
      </c>
      <c r="B964" s="80">
        <f>IF((A964&gt;=2021),ROUND((D964*E964),3),C964)</f>
        <v/>
      </c>
      <c r="C964" s="81" t="n">
        <v>6.993</v>
      </c>
      <c r="D964" s="81" t="n"/>
      <c r="E964" s="81" t="n"/>
    </row>
    <row r="965" ht="14" customHeight="1">
      <c r="A965" s="16" t="n">
        <v>2018</v>
      </c>
      <c r="B965" s="78">
        <f>IF((A965&gt;=2021),ROUND((D965*E965),3),C965)</f>
        <v/>
      </c>
      <c r="C965" s="79" t="n">
        <v>7.112</v>
      </c>
      <c r="D965" s="79" t="n"/>
      <c r="E965" s="79" t="n"/>
    </row>
    <row r="966" ht="14" customHeight="1">
      <c r="A966" s="23" t="n">
        <v>2019</v>
      </c>
      <c r="B966" s="80">
        <f>IF((A966&gt;=2021),ROUND((D966*E966),3),C966)</f>
        <v/>
      </c>
      <c r="C966" s="81" t="n">
        <v>6.999</v>
      </c>
      <c r="D966" s="81" t="n"/>
      <c r="E966" s="81" t="n"/>
    </row>
    <row r="967" ht="14" customHeight="1">
      <c r="A967" s="16" t="n">
        <v>2020</v>
      </c>
      <c r="B967" s="78">
        <f>IF((A967&gt;=2021),ROUND((D967*E967),3),C967)</f>
        <v/>
      </c>
      <c r="C967" s="79" t="n">
        <v>6.936</v>
      </c>
      <c r="D967" s="79" t="n"/>
      <c r="E967" s="79" t="n"/>
    </row>
    <row r="968" ht="14" customHeight="1">
      <c r="A968" s="23" t="n">
        <v>2021</v>
      </c>
      <c r="B968" s="80">
        <f>IF((A968&gt;=2021),ROUND((D968*E968),3),C968)</f>
        <v/>
      </c>
      <c r="C968" s="81" t="n"/>
      <c r="D968" s="81" t="n">
        <v>6801.91</v>
      </c>
      <c r="E968" s="81" t="n">
        <v>0.001</v>
      </c>
    </row>
    <row r="969" ht="14" customHeight="1">
      <c r="A969" s="16" t="n">
        <v>2022</v>
      </c>
      <c r="B969" s="78">
        <f>IF((A969&gt;=2021),ROUND((D969*E969),3),C969)</f>
        <v/>
      </c>
      <c r="C969" s="79" t="n"/>
      <c r="D969" s="79" t="n">
        <v>6640.26</v>
      </c>
      <c r="E969" s="79" t="n">
        <v>0.001</v>
      </c>
    </row>
    <row r="970" ht="14" customHeight="1">
      <c r="A970" s="23" t="n">
        <v>2023</v>
      </c>
      <c r="B970" s="80">
        <f>IF((A970&gt;=2021),ROUND((D970*E970),3),C970)</f>
        <v/>
      </c>
      <c r="C970" s="81" t="n"/>
      <c r="D970" s="81" t="n">
        <v>6384.77</v>
      </c>
      <c r="E970" s="81" t="n">
        <v>0.001</v>
      </c>
    </row>
    <row r="971" ht="14" customHeight="1">
      <c r="A971" s="16" t="n">
        <v>2024</v>
      </c>
      <c r="B971" s="78">
        <f>IF((A971&gt;=2021),ROUND((D971*E971),3),C971)</f>
        <v/>
      </c>
      <c r="C971" s="79" t="n"/>
      <c r="D971" s="79" t="n">
        <v>6584.01</v>
      </c>
      <c r="E971" s="79" t="n">
        <v>0.001</v>
      </c>
    </row>
    <row r="972" ht="14" customHeight="1">
      <c r="A972" s="23" t="n">
        <v>2025</v>
      </c>
      <c r="B972" s="80">
        <f>IF((A972&gt;=2021),ROUND((D972*E972),3),C972)</f>
        <v/>
      </c>
      <c r="C972" s="81" t="n"/>
      <c r="D972" s="81" t="n">
        <v>6319.82</v>
      </c>
      <c r="E972" s="81" t="n">
        <v>0.001</v>
      </c>
    </row>
    <row r="975">
      <c r="A975" s="88" t="inlineStr">
        <is>
          <t>A4 (dairy, herd) · Dairy products: herd size (EU)  (million heads)</t>
        </is>
      </c>
    </row>
    <row r="976" ht="26" customHeight="1">
      <c r="A976" s="83" t="inlineStr">
        <is>
          <t>NOT the report's derivation for the later years — the formula switches by year to a different recipe, because the report's own inputs have no feed. The two halves of this series are not computed the same way.</t>
        </is>
      </c>
    </row>
    <row r="977" ht="24" customHeight="1">
      <c r="A977" s="3" t="inlineStr">
        <is>
          <t>Derivation:  Value = IF(A &gt;= 2021, ROUND([apro_mt_lscatl A2300F] * [Unit conversion (× 0.001)], 2), [Report figure (2024 report underlying data)])</t>
        </is>
      </c>
    </row>
    <row r="978" ht="42" customHeight="1">
      <c r="A978" s="77" t="inlineStr">
        <is>
          <t>Year</t>
        </is>
      </c>
      <c r="B978" s="77" t="inlineStr">
        <is>
          <t>Value</t>
        </is>
      </c>
      <c r="C978" s="77" t="inlineStr">
        <is>
          <t>Report figure (2024 report underlying data)</t>
        </is>
      </c>
      <c r="D978" s="77" t="inlineStr">
        <is>
          <t>apro_mt_lscatl A2300F</t>
        </is>
      </c>
      <c r="E978" s="77" t="inlineStr">
        <is>
          <t>Unit conversion (× 0.001)</t>
        </is>
      </c>
    </row>
    <row r="979" ht="14" customHeight="1">
      <c r="A979" s="16" t="n">
        <v>2010</v>
      </c>
      <c r="B979" s="78">
        <f>IF((A979&gt;=2021),ROUND((D979*E979),2),C979)</f>
        <v/>
      </c>
      <c r="C979" s="79" t="n">
        <v>21.55</v>
      </c>
      <c r="D979" s="79" t="n"/>
      <c r="E979" s="79" t="n"/>
    </row>
    <row r="980" ht="14" customHeight="1">
      <c r="A980" s="23" t="n">
        <v>2011</v>
      </c>
      <c r="B980" s="80">
        <f>IF((A980&gt;=2021),ROUND((D980*E980),2),C980)</f>
        <v/>
      </c>
      <c r="C980" s="81" t="n">
        <v>21.36</v>
      </c>
      <c r="D980" s="81" t="n"/>
      <c r="E980" s="81" t="n"/>
    </row>
    <row r="981" ht="14" customHeight="1">
      <c r="A981" s="16" t="n">
        <v>2012</v>
      </c>
      <c r="B981" s="78">
        <f>IF((A981&gt;=2021),ROUND((D981*E981),2),C981)</f>
        <v/>
      </c>
      <c r="C981" s="79" t="n">
        <v>21.45</v>
      </c>
      <c r="D981" s="79" t="n"/>
      <c r="E981" s="79" t="n"/>
    </row>
    <row r="982" ht="14" customHeight="1">
      <c r="A982" s="23" t="n">
        <v>2013</v>
      </c>
      <c r="B982" s="80">
        <f>IF((A982&gt;=2021),ROUND((D982*E982),2),C982)</f>
        <v/>
      </c>
      <c r="C982" s="81" t="n">
        <v>21.59</v>
      </c>
      <c r="D982" s="81" t="n"/>
      <c r="E982" s="81" t="n"/>
    </row>
    <row r="983" ht="14" customHeight="1">
      <c r="A983" s="16" t="n">
        <v>2014</v>
      </c>
      <c r="B983" s="78">
        <f>IF((A983&gt;=2021),ROUND((D983*E983),2),C983)</f>
        <v/>
      </c>
      <c r="C983" s="79" t="n">
        <v>21.64</v>
      </c>
      <c r="D983" s="79" t="n"/>
      <c r="E983" s="79" t="n"/>
    </row>
    <row r="984" ht="14" customHeight="1">
      <c r="A984" s="23" t="n">
        <v>2015</v>
      </c>
      <c r="B984" s="80">
        <f>IF((A984&gt;=2021),ROUND((D984*E984),2),C984)</f>
        <v/>
      </c>
      <c r="C984" s="81" t="n">
        <v>21.64</v>
      </c>
      <c r="D984" s="81" t="n"/>
      <c r="E984" s="81" t="n"/>
    </row>
    <row r="985" ht="14" customHeight="1">
      <c r="A985" s="16" t="n">
        <v>2016</v>
      </c>
      <c r="B985" s="78">
        <f>IF((A985&gt;=2021),ROUND((D985*E985),2),C985)</f>
        <v/>
      </c>
      <c r="C985" s="79" t="n">
        <v>21.58</v>
      </c>
      <c r="D985" s="79" t="n"/>
      <c r="E985" s="79" t="n"/>
    </row>
    <row r="986" ht="14" customHeight="1">
      <c r="A986" s="23" t="n">
        <v>2017</v>
      </c>
      <c r="B986" s="80">
        <f>IF((A986&gt;=2021),ROUND((D986*E986),2),C986)</f>
        <v/>
      </c>
      <c r="C986" s="81" t="n">
        <v>21.39</v>
      </c>
      <c r="D986" s="81" t="n"/>
      <c r="E986" s="81" t="n"/>
    </row>
    <row r="987" ht="14" customHeight="1">
      <c r="A987" s="16" t="n">
        <v>2018</v>
      </c>
      <c r="B987" s="78">
        <f>IF((A987&gt;=2021),ROUND((D987*E987),2),C987)</f>
        <v/>
      </c>
      <c r="C987" s="79" t="n">
        <v>21.08</v>
      </c>
      <c r="D987" s="79" t="n"/>
      <c r="E987" s="79" t="n"/>
    </row>
    <row r="988" ht="14" customHeight="1">
      <c r="A988" s="23" t="n">
        <v>2019</v>
      </c>
      <c r="B988" s="80">
        <f>IF((A988&gt;=2021),ROUND((D988*E988),2),C988)</f>
        <v/>
      </c>
      <c r="C988" s="81" t="n">
        <v>20.82</v>
      </c>
      <c r="D988" s="81" t="n"/>
      <c r="E988" s="81" t="n"/>
    </row>
    <row r="989" ht="14" customHeight="1">
      <c r="A989" s="16" t="n">
        <v>2020</v>
      </c>
      <c r="B989" s="78">
        <f>IF((A989&gt;=2021),ROUND((D989*E989),2),C989)</f>
        <v/>
      </c>
      <c r="C989" s="79" t="n">
        <v>20.63</v>
      </c>
      <c r="D989" s="79" t="n"/>
      <c r="E989" s="79" t="n"/>
    </row>
    <row r="990" ht="14" customHeight="1">
      <c r="A990" s="23" t="n">
        <v>2021</v>
      </c>
      <c r="B990" s="80">
        <f>IF((A990&gt;=2021),ROUND((D990*E990),2),C990)</f>
        <v/>
      </c>
      <c r="C990" s="81" t="n"/>
      <c r="D990" s="81" t="n">
        <v>20212.53</v>
      </c>
      <c r="E990" s="81" t="n">
        <v>0.001</v>
      </c>
    </row>
    <row r="991" ht="14" customHeight="1">
      <c r="A991" s="16" t="n">
        <v>2022</v>
      </c>
      <c r="B991" s="78">
        <f>IF((A991&gt;=2021),ROUND((D991*E991),2),C991)</f>
        <v/>
      </c>
      <c r="C991" s="79" t="n"/>
      <c r="D991" s="79" t="n">
        <v>20073.77</v>
      </c>
      <c r="E991" s="79" t="n">
        <v>0.001</v>
      </c>
    </row>
    <row r="992" ht="14" customHeight="1">
      <c r="A992" s="23" t="n">
        <v>2023</v>
      </c>
      <c r="B992" s="80">
        <f>IF((A992&gt;=2021),ROUND((D992*E992),2),C992)</f>
        <v/>
      </c>
      <c r="C992" s="81" t="n"/>
      <c r="D992" s="81" t="n">
        <v>19911.96</v>
      </c>
      <c r="E992" s="81" t="n">
        <v>0.001</v>
      </c>
    </row>
    <row r="993" ht="14" customHeight="1">
      <c r="A993" s="16" t="n">
        <v>2024</v>
      </c>
      <c r="B993" s="78">
        <f>IF((A993&gt;=2021),ROUND((D993*E993),2),C993)</f>
        <v/>
      </c>
      <c r="C993" s="79" t="n"/>
      <c r="D993" s="79" t="n">
        <v>19221.66</v>
      </c>
      <c r="E993" s="79" t="n">
        <v>0.001</v>
      </c>
    </row>
    <row r="994" ht="14" customHeight="1">
      <c r="A994" s="23" t="n">
        <v>2025</v>
      </c>
      <c r="B994" s="80">
        <f>IF((A994&gt;=2021),ROUND((D994*E994),2),C994)</f>
        <v/>
      </c>
      <c r="C994" s="81" t="n"/>
      <c r="D994" s="81" t="n">
        <v>19015.37</v>
      </c>
      <c r="E994" s="81" t="n">
        <v>0.001</v>
      </c>
    </row>
    <row r="997">
      <c r="A997" s="88" t="inlineStr">
        <is>
          <t>A4 (dairy, production) · Dairy products: production (EU)  (Mt)</t>
        </is>
      </c>
    </row>
    <row r="998" ht="26" customHeight="1">
      <c r="A998" s="83" t="inlineStr">
        <is>
          <t>NOT the report's derivation for the later years — the formula switches by year to a different recipe, because the report's own inputs have no feed. The two halves of this series are not computed the same way.</t>
        </is>
      </c>
    </row>
    <row r="999" ht="24" customHeight="1">
      <c r="A999" s="3" t="inlineStr">
        <is>
          <t>Derivation:  Value = IF(A &gt;= 2021, ROUND([Report baseline 2020 (Mt)] * [apro_mk_farm D1100A] / [Live source at 2020 (same basis as the columns left)], 1), [Report figure (2024 report underlying data)])</t>
        </is>
      </c>
    </row>
    <row r="1000" ht="42" customHeight="1">
      <c r="A1000" s="77" t="inlineStr">
        <is>
          <t>Year</t>
        </is>
      </c>
      <c r="B1000" s="77" t="inlineStr">
        <is>
          <t>Value</t>
        </is>
      </c>
      <c r="C1000" s="77" t="inlineStr">
        <is>
          <t>Report figure (2024 report underlying data)</t>
        </is>
      </c>
      <c r="D1000" s="77" t="inlineStr">
        <is>
          <t>apro_mk_farm D1100A</t>
        </is>
      </c>
      <c r="E1000" s="77" t="inlineStr">
        <is>
          <t>Report baseline 2020 (Mt)</t>
        </is>
      </c>
      <c r="F1000" s="77" t="inlineStr">
        <is>
          <t>Live source at 2020 (same basis as the columns left)</t>
        </is>
      </c>
    </row>
    <row r="1001" ht="14" customHeight="1">
      <c r="A1001" s="16" t="n">
        <v>2010</v>
      </c>
      <c r="B1001" s="78">
        <f>IF((A1001&gt;=2021),ROUND(((E1001*D1001)/F1001),1),C1001)</f>
        <v/>
      </c>
      <c r="C1001" s="79" t="n">
        <v>141.1</v>
      </c>
      <c r="D1001" s="79" t="n"/>
      <c r="E1001" s="79" t="n"/>
      <c r="F1001" s="79" t="n"/>
    </row>
    <row r="1002" ht="14" customHeight="1">
      <c r="A1002" s="23" t="n">
        <v>2011</v>
      </c>
      <c r="B1002" s="80">
        <f>IF((A1002&gt;=2021),ROUND(((E1002*D1002)/F1002),1),C1002)</f>
        <v/>
      </c>
      <c r="C1002" s="81" t="n">
        <v>143.4</v>
      </c>
      <c r="D1002" s="81" t="n"/>
      <c r="E1002" s="81" t="n"/>
      <c r="F1002" s="81" t="n"/>
    </row>
    <row r="1003" ht="14" customHeight="1">
      <c r="A1003" s="16" t="n">
        <v>2012</v>
      </c>
      <c r="B1003" s="78">
        <f>IF((A1003&gt;=2021),ROUND(((E1003*D1003)/F1003),1),C1003)</f>
        <v/>
      </c>
      <c r="C1003" s="79" t="n">
        <v>143.8</v>
      </c>
      <c r="D1003" s="79" t="n"/>
      <c r="E1003" s="79" t="n"/>
      <c r="F1003" s="79" t="n"/>
    </row>
    <row r="1004" ht="14" customHeight="1">
      <c r="A1004" s="23" t="n">
        <v>2013</v>
      </c>
      <c r="B1004" s="80">
        <f>IF((A1004&gt;=2021),ROUND(((E1004*D1004)/F1004),1),C1004)</f>
        <v/>
      </c>
      <c r="C1004" s="81" t="n">
        <v>145.3</v>
      </c>
      <c r="D1004" s="81" t="n"/>
      <c r="E1004" s="81" t="n"/>
      <c r="F1004" s="81" t="n"/>
    </row>
    <row r="1005" ht="14" customHeight="1">
      <c r="A1005" s="16" t="n">
        <v>2014</v>
      </c>
      <c r="B1005" s="78">
        <f>IF((A1005&gt;=2021),ROUND(((E1005*D1005)/F1005),1),C1005)</f>
        <v/>
      </c>
      <c r="C1005" s="79" t="n">
        <v>150.1</v>
      </c>
      <c r="D1005" s="79" t="n"/>
      <c r="E1005" s="79" t="n"/>
      <c r="F1005" s="79" t="n"/>
    </row>
    <row r="1006" ht="14" customHeight="1">
      <c r="A1006" s="23" t="n">
        <v>2015</v>
      </c>
      <c r="B1006" s="80">
        <f>IF((A1006&gt;=2021),ROUND(((E1006*D1006)/F1006),1),C1006)</f>
        <v/>
      </c>
      <c r="C1006" s="81" t="n">
        <v>153.2</v>
      </c>
      <c r="D1006" s="81" t="n"/>
      <c r="E1006" s="81" t="n"/>
      <c r="F1006" s="81" t="n"/>
    </row>
    <row r="1007" ht="14" customHeight="1">
      <c r="A1007" s="16" t="n">
        <v>2016</v>
      </c>
      <c r="B1007" s="78">
        <f>IF((A1007&gt;=2021),ROUND(((E1007*D1007)/F1007),1),C1007)</f>
        <v/>
      </c>
      <c r="C1007" s="79" t="n">
        <v>154.8</v>
      </c>
      <c r="D1007" s="79" t="n"/>
      <c r="E1007" s="79" t="n"/>
      <c r="F1007" s="79" t="n"/>
    </row>
    <row r="1008" ht="14" customHeight="1">
      <c r="A1008" s="23" t="n">
        <v>2017</v>
      </c>
      <c r="B1008" s="80">
        <f>IF((A1008&gt;=2021),ROUND(((E1008*D1008)/F1008),1),C1008)</f>
        <v/>
      </c>
      <c r="C1008" s="81" t="n">
        <v>156</v>
      </c>
      <c r="D1008" s="81" t="n"/>
      <c r="E1008" s="81" t="n"/>
      <c r="F1008" s="81" t="n"/>
    </row>
    <row r="1009" ht="14" customHeight="1">
      <c r="A1009" s="16" t="n">
        <v>2018</v>
      </c>
      <c r="B1009" s="78">
        <f>IF((A1009&gt;=2021),ROUND(((E1009*D1009)/F1009),1),C1009)</f>
        <v/>
      </c>
      <c r="C1009" s="79" t="n">
        <v>158.3</v>
      </c>
      <c r="D1009" s="79" t="n"/>
      <c r="E1009" s="79" t="n"/>
      <c r="F1009" s="79" t="n"/>
    </row>
    <row r="1010" ht="14" customHeight="1">
      <c r="A1010" s="23" t="n">
        <v>2019</v>
      </c>
      <c r="B1010" s="80">
        <f>IF((A1010&gt;=2021),ROUND(((E1010*D1010)/F1010),1),C1010)</f>
        <v/>
      </c>
      <c r="C1010" s="81" t="n">
        <v>161.2</v>
      </c>
      <c r="D1010" s="81" t="n"/>
      <c r="E1010" s="81" t="n"/>
      <c r="F1010" s="81" t="n"/>
    </row>
    <row r="1011" ht="14" customHeight="1">
      <c r="A1011" s="16" t="n">
        <v>2020</v>
      </c>
      <c r="B1011" s="78">
        <f>IF((A1011&gt;=2021),ROUND(((E1011*D1011)/F1011),1),C1011)</f>
        <v/>
      </c>
      <c r="C1011" s="79" t="n">
        <v>163.1</v>
      </c>
      <c r="D1011" s="79" t="n"/>
      <c r="E1011" s="79" t="n"/>
      <c r="F1011" s="79" t="n"/>
    </row>
    <row r="1012" ht="14" customHeight="1">
      <c r="A1012" s="23" t="n">
        <v>2021</v>
      </c>
      <c r="B1012" s="80">
        <f>IF((A1012&gt;=2021),ROUND(((E1012*D1012)/F1012),1),C1012)</f>
        <v/>
      </c>
      <c r="C1012" s="81" t="n"/>
      <c r="D1012" s="81" t="n">
        <v>159772.68</v>
      </c>
      <c r="E1012" s="81" t="n">
        <v>163.1</v>
      </c>
      <c r="F1012" s="81" t="n">
        <v>160281.96</v>
      </c>
    </row>
    <row r="1013" ht="14" customHeight="1">
      <c r="A1013" s="16" t="n">
        <v>2022</v>
      </c>
      <c r="B1013" s="78">
        <f>IF((A1013&gt;=2021),ROUND(((E1013*D1013)/F1013),1),C1013)</f>
        <v/>
      </c>
      <c r="C1013" s="79" t="n"/>
      <c r="D1013" s="79" t="n">
        <v>159996.09</v>
      </c>
      <c r="E1013" s="79" t="n">
        <v>163.1</v>
      </c>
      <c r="F1013" s="79" t="n">
        <v>160281.96</v>
      </c>
    </row>
    <row r="1014" ht="14" customHeight="1">
      <c r="A1014" s="23" t="n">
        <v>2023</v>
      </c>
      <c r="B1014" s="80">
        <f>IF((A1014&gt;=2021),ROUND(((E1014*D1014)/F1014),1),C1014)</f>
        <v/>
      </c>
      <c r="C1014" s="81" t="n"/>
      <c r="D1014" s="81" t="n">
        <v>160887.23</v>
      </c>
      <c r="E1014" s="81" t="n">
        <v>163.1</v>
      </c>
      <c r="F1014" s="81" t="n">
        <v>160281.96</v>
      </c>
    </row>
    <row r="1015" ht="14" customHeight="1">
      <c r="A1015" s="16" t="n">
        <v>2024</v>
      </c>
      <c r="B1015" s="78">
        <f>IF((A1015&gt;=2021),ROUND(((E1015*D1015)/F1015),1),C1015)</f>
        <v/>
      </c>
      <c r="C1015" s="79" t="n"/>
      <c r="D1015" s="79" t="n">
        <v>161798.04</v>
      </c>
      <c r="E1015" s="79" t="n">
        <v>163.1</v>
      </c>
      <c r="F1015" s="79" t="n">
        <v>160281.96</v>
      </c>
    </row>
    <row r="1018">
      <c r="A1018" s="88" t="inlineStr">
        <is>
          <t>A4 (pig, herd) · Pig meat: herd size (EU)  (million heads)</t>
        </is>
      </c>
    </row>
    <row r="1019" ht="26" customHeight="1">
      <c r="A1019" s="83" t="inlineStr">
        <is>
          <t>NOT the report's derivation for the later years — the formula switches by year to a different recipe, because the report's own inputs have no feed. The two halves of this series are not computed the same way.</t>
        </is>
      </c>
    </row>
    <row r="1020" ht="24" customHeight="1">
      <c r="A1020" s="3" t="inlineStr">
        <is>
          <t>Derivation:  Value = IF(A &gt;= 2021, ROUND([Report baseline 2020 (million heads)] * [apro_mt_lspig A3100] / [Live source at 2020 (same basis as the columns left)], 1), [Report figure (2024 report underlying data)])</t>
        </is>
      </c>
    </row>
    <row r="1021" ht="42" customHeight="1">
      <c r="A1021" s="77" t="inlineStr">
        <is>
          <t>Year</t>
        </is>
      </c>
      <c r="B1021" s="77" t="inlineStr">
        <is>
          <t>Value</t>
        </is>
      </c>
      <c r="C1021" s="77" t="inlineStr">
        <is>
          <t>Report figure (2024 report underlying data)</t>
        </is>
      </c>
      <c r="D1021" s="77" t="inlineStr">
        <is>
          <t>apro_mt_lspig A3100</t>
        </is>
      </c>
      <c r="E1021" s="77" t="inlineStr">
        <is>
          <t>Report baseline 2020 (million heads)</t>
        </is>
      </c>
      <c r="F1021" s="77" t="inlineStr">
        <is>
          <t>Live source at 2020 (same basis as the columns left)</t>
        </is>
      </c>
    </row>
    <row r="1022" ht="14" customHeight="1">
      <c r="A1022" s="16" t="n">
        <v>2010</v>
      </c>
      <c r="B1022" s="78">
        <f>IF((A1022&gt;=2021),ROUND(((E1022*D1022)/F1022),1),C1022)</f>
        <v/>
      </c>
      <c r="C1022" s="79" t="n">
        <v>144.1</v>
      </c>
      <c r="D1022" s="79" t="n"/>
      <c r="E1022" s="79" t="n"/>
      <c r="F1022" s="79" t="n"/>
    </row>
    <row r="1023" ht="14" customHeight="1">
      <c r="A1023" s="23" t="n">
        <v>2011</v>
      </c>
      <c r="B1023" s="80">
        <f>IF((A1023&gt;=2021),ROUND(((E1023*D1023)/F1023),1),C1023)</f>
        <v/>
      </c>
      <c r="C1023" s="81" t="n">
        <v>142.3</v>
      </c>
      <c r="D1023" s="81" t="n"/>
      <c r="E1023" s="81" t="n"/>
      <c r="F1023" s="81" t="n"/>
    </row>
    <row r="1024" ht="14" customHeight="1">
      <c r="A1024" s="16" t="n">
        <v>2012</v>
      </c>
      <c r="B1024" s="78">
        <f>IF((A1024&gt;=2021),ROUND(((E1024*D1024)/F1024),1),C1024)</f>
        <v/>
      </c>
      <c r="C1024" s="79" t="n">
        <v>138.3</v>
      </c>
      <c r="D1024" s="79" t="n"/>
      <c r="E1024" s="79" t="n"/>
      <c r="F1024" s="79" t="n"/>
    </row>
    <row r="1025" ht="14" customHeight="1">
      <c r="A1025" s="23" t="n">
        <v>2013</v>
      </c>
      <c r="B1025" s="80">
        <f>IF((A1025&gt;=2021),ROUND(((E1025*D1025)/F1025),1),C1025)</f>
        <v/>
      </c>
      <c r="C1025" s="81" t="n">
        <v>136.5</v>
      </c>
      <c r="D1025" s="81" t="n"/>
      <c r="E1025" s="81" t="n"/>
      <c r="F1025" s="81" t="n"/>
    </row>
    <row r="1026" ht="14" customHeight="1">
      <c r="A1026" s="16" t="n">
        <v>2014</v>
      </c>
      <c r="B1026" s="78">
        <f>IF((A1026&gt;=2021),ROUND(((E1026*D1026)/F1026),1),C1026)</f>
        <v/>
      </c>
      <c r="C1026" s="79" t="n">
        <v>138.4</v>
      </c>
      <c r="D1026" s="79" t="n"/>
      <c r="E1026" s="79" t="n"/>
      <c r="F1026" s="79" t="n"/>
    </row>
    <row r="1027" ht="14" customHeight="1">
      <c r="A1027" s="23" t="n">
        <v>2015</v>
      </c>
      <c r="B1027" s="80">
        <f>IF((A1027&gt;=2021),ROUND(((E1027*D1027)/F1027),1),C1027)</f>
        <v/>
      </c>
      <c r="C1027" s="81" t="n">
        <v>139.4</v>
      </c>
      <c r="D1027" s="81" t="n"/>
      <c r="E1027" s="81" t="n"/>
      <c r="F1027" s="81" t="n"/>
    </row>
    <row r="1028" ht="14" customHeight="1">
      <c r="A1028" s="16" t="n">
        <v>2016</v>
      </c>
      <c r="B1028" s="78">
        <f>IF((A1028&gt;=2021),ROUND(((E1028*D1028)/F1028),1),C1028)</f>
        <v/>
      </c>
      <c r="C1028" s="79" t="n">
        <v>137.7</v>
      </c>
      <c r="D1028" s="79" t="n"/>
      <c r="E1028" s="79" t="n"/>
      <c r="F1028" s="79" t="n"/>
    </row>
    <row r="1029" ht="14" customHeight="1">
      <c r="A1029" s="23" t="n">
        <v>2017</v>
      </c>
      <c r="B1029" s="80">
        <f>IF((A1029&gt;=2021),ROUND(((E1029*D1029)/F1029),1),C1029)</f>
        <v/>
      </c>
      <c r="C1029" s="81" t="n">
        <v>138.8</v>
      </c>
      <c r="D1029" s="81" t="n"/>
      <c r="E1029" s="81" t="n"/>
      <c r="F1029" s="81" t="n"/>
    </row>
    <row r="1030" ht="14" customHeight="1">
      <c r="A1030" s="16" t="n">
        <v>2018</v>
      </c>
      <c r="B1030" s="78">
        <f>IF((A1030&gt;=2021),ROUND(((E1030*D1030)/F1030),1),C1030)</f>
        <v/>
      </c>
      <c r="C1030" s="79" t="n">
        <v>139.7</v>
      </c>
      <c r="D1030" s="79" t="n"/>
      <c r="E1030" s="79" t="n"/>
      <c r="F1030" s="79" t="n"/>
    </row>
    <row r="1031" ht="14" customHeight="1">
      <c r="A1031" s="23" t="n">
        <v>2019</v>
      </c>
      <c r="B1031" s="80">
        <f>IF((A1031&gt;=2021),ROUND(((E1031*D1031)/F1031),1),C1031)</f>
        <v/>
      </c>
      <c r="C1031" s="81" t="n">
        <v>137.4</v>
      </c>
      <c r="D1031" s="81" t="n"/>
      <c r="E1031" s="81" t="n"/>
      <c r="F1031" s="81" t="n"/>
    </row>
    <row r="1032" ht="14" customHeight="1">
      <c r="A1032" s="16" t="n">
        <v>2020</v>
      </c>
      <c r="B1032" s="78">
        <f>IF((A1032&gt;=2021),ROUND(((E1032*D1032)/F1032),1),C1032)</f>
        <v/>
      </c>
      <c r="C1032" s="79" t="n">
        <v>140</v>
      </c>
      <c r="D1032" s="79" t="n"/>
      <c r="E1032" s="79" t="n"/>
      <c r="F1032" s="79" t="n"/>
    </row>
    <row r="1033" ht="14" customHeight="1">
      <c r="A1033" s="23" t="n">
        <v>2021</v>
      </c>
      <c r="B1033" s="80">
        <f>IF((A1033&gt;=2021),ROUND(((E1033*D1033)/F1033),1),C1033)</f>
        <v/>
      </c>
      <c r="C1033" s="81" t="n"/>
      <c r="D1033" s="81" t="n">
        <v>141681.38</v>
      </c>
      <c r="E1033" s="81" t="n">
        <v>140</v>
      </c>
      <c r="F1033" s="81" t="n">
        <v>145918.6</v>
      </c>
    </row>
    <row r="1034" ht="14" customHeight="1">
      <c r="A1034" s="16" t="n">
        <v>2022</v>
      </c>
      <c r="B1034" s="78">
        <f>IF((A1034&gt;=2021),ROUND(((E1034*D1034)/F1034),1),C1034)</f>
        <v/>
      </c>
      <c r="C1034" s="79" t="n"/>
      <c r="D1034" s="79" t="n">
        <v>134410.04</v>
      </c>
      <c r="E1034" s="79" t="n">
        <v>140</v>
      </c>
      <c r="F1034" s="79" t="n">
        <v>145918.6</v>
      </c>
    </row>
    <row r="1035" ht="14" customHeight="1">
      <c r="A1035" s="23" t="n">
        <v>2023</v>
      </c>
      <c r="B1035" s="80">
        <f>IF((A1035&gt;=2021),ROUND(((E1035*D1035)/F1035),1),C1035)</f>
        <v/>
      </c>
      <c r="C1035" s="81" t="n"/>
      <c r="D1035" s="81" t="n">
        <v>132845.67</v>
      </c>
      <c r="E1035" s="81" t="n">
        <v>140</v>
      </c>
      <c r="F1035" s="81" t="n">
        <v>145918.6</v>
      </c>
    </row>
    <row r="1036" ht="14" customHeight="1">
      <c r="A1036" s="16" t="n">
        <v>2024</v>
      </c>
      <c r="B1036" s="78">
        <f>IF((A1036&gt;=2021),ROUND(((E1036*D1036)/F1036),1),C1036)</f>
        <v/>
      </c>
      <c r="C1036" s="79" t="n"/>
      <c r="D1036" s="79" t="n">
        <v>132135.52</v>
      </c>
      <c r="E1036" s="79" t="n">
        <v>140</v>
      </c>
      <c r="F1036" s="79" t="n">
        <v>145918.6</v>
      </c>
    </row>
    <row r="1037" ht="14" customHeight="1">
      <c r="A1037" s="23" t="n">
        <v>2025</v>
      </c>
      <c r="B1037" s="80">
        <f>IF((A1037&gt;=2021),ROUND(((E1037*D1037)/F1037),1),C1037)</f>
        <v/>
      </c>
      <c r="C1037" s="81" t="n"/>
      <c r="D1037" s="81" t="n">
        <v>131450.44</v>
      </c>
      <c r="E1037" s="81" t="n">
        <v>140</v>
      </c>
      <c r="F1037" s="81" t="n">
        <v>145918.6</v>
      </c>
    </row>
    <row r="1040">
      <c r="A1040" s="88" t="inlineStr">
        <is>
          <t>A4 (pig, production) · Pig meat: production (EU)  (Mt)</t>
        </is>
      </c>
    </row>
    <row r="1041" ht="26" customHeight="1">
      <c r="A1041" s="83" t="inlineStr">
        <is>
          <t>NOT the report's derivation for the later years — the formula switches by year to a different recipe, because the report's own inputs have no feed. The two halves of this series are not computed the same way.</t>
        </is>
      </c>
    </row>
    <row r="1042" ht="24" customHeight="1">
      <c r="A1042" s="3" t="inlineStr">
        <is>
          <t>Derivation:  Value = IF(A &gt;= 2021, ROUND([apro_mt_pann B3100] * [Unit conversion (× 0.001)], 2), [Report figure (2024 report underlying data)])</t>
        </is>
      </c>
    </row>
    <row r="1043" ht="42" customHeight="1">
      <c r="A1043" s="77" t="inlineStr">
        <is>
          <t>Year</t>
        </is>
      </c>
      <c r="B1043" s="77" t="inlineStr">
        <is>
          <t>Value</t>
        </is>
      </c>
      <c r="C1043" s="77" t="inlineStr">
        <is>
          <t>Report figure (2024 report underlying data)</t>
        </is>
      </c>
      <c r="D1043" s="77" t="inlineStr">
        <is>
          <t>apro_mt_pann B3100</t>
        </is>
      </c>
      <c r="E1043" s="77" t="inlineStr">
        <is>
          <t>Unit conversion (× 0.001)</t>
        </is>
      </c>
    </row>
    <row r="1044" ht="14" customHeight="1">
      <c r="A1044" s="16" t="n">
        <v>2010</v>
      </c>
      <c r="B1044" s="78">
        <f>IF((A1044&gt;=2021),ROUND((D1044*E1044),2),C1044)</f>
        <v/>
      </c>
      <c r="C1044" s="79" t="n">
        <v>22.22</v>
      </c>
      <c r="D1044" s="79" t="n"/>
      <c r="E1044" s="79" t="n"/>
    </row>
    <row r="1045" ht="14" customHeight="1">
      <c r="A1045" s="23" t="n">
        <v>2011</v>
      </c>
      <c r="B1045" s="80">
        <f>IF((A1045&gt;=2021),ROUND((D1045*E1045),2),C1045)</f>
        <v/>
      </c>
      <c r="C1045" s="81" t="n">
        <v>22.46</v>
      </c>
      <c r="D1045" s="81" t="n"/>
      <c r="E1045" s="81" t="n"/>
    </row>
    <row r="1046" ht="14" customHeight="1">
      <c r="A1046" s="16" t="n">
        <v>2012</v>
      </c>
      <c r="B1046" s="78">
        <f>IF((A1046&gt;=2021),ROUND((D1046*E1046),2),C1046)</f>
        <v/>
      </c>
      <c r="C1046" s="79" t="n">
        <v>22</v>
      </c>
      <c r="D1046" s="79" t="n"/>
      <c r="E1046" s="79" t="n"/>
    </row>
    <row r="1047" ht="14" customHeight="1">
      <c r="A1047" s="23" t="n">
        <v>2013</v>
      </c>
      <c r="B1047" s="80">
        <f>IF((A1047&gt;=2021),ROUND((D1047*E1047),2),C1047)</f>
        <v/>
      </c>
      <c r="C1047" s="81" t="n">
        <v>21.69</v>
      </c>
      <c r="D1047" s="81" t="n"/>
      <c r="E1047" s="81" t="n"/>
    </row>
    <row r="1048" ht="14" customHeight="1">
      <c r="A1048" s="16" t="n">
        <v>2014</v>
      </c>
      <c r="B1048" s="78">
        <f>IF((A1048&gt;=2021),ROUND((D1048*E1048),2),C1048)</f>
        <v/>
      </c>
      <c r="C1048" s="79" t="n">
        <v>21.75</v>
      </c>
      <c r="D1048" s="79" t="n"/>
      <c r="E1048" s="79" t="n"/>
    </row>
    <row r="1049" ht="14" customHeight="1">
      <c r="A1049" s="23" t="n">
        <v>2015</v>
      </c>
      <c r="B1049" s="80">
        <f>IF((A1049&gt;=2021),ROUND((D1049*E1049),2),C1049)</f>
        <v/>
      </c>
      <c r="C1049" s="81" t="n">
        <v>22.57</v>
      </c>
      <c r="D1049" s="81" t="n"/>
      <c r="E1049" s="81" t="n"/>
    </row>
    <row r="1050" ht="14" customHeight="1">
      <c r="A1050" s="16" t="n">
        <v>2016</v>
      </c>
      <c r="B1050" s="78">
        <f>IF((A1050&gt;=2021),ROUND((D1050*E1050),2),C1050)</f>
        <v/>
      </c>
      <c r="C1050" s="79" t="n">
        <v>22.95</v>
      </c>
      <c r="D1050" s="79" t="n"/>
      <c r="E1050" s="79" t="n"/>
    </row>
    <row r="1051" ht="14" customHeight="1">
      <c r="A1051" s="23" t="n">
        <v>2017</v>
      </c>
      <c r="B1051" s="80">
        <f>IF((A1051&gt;=2021),ROUND((D1051*E1051),2),C1051)</f>
        <v/>
      </c>
      <c r="C1051" s="81" t="n">
        <v>22.82</v>
      </c>
      <c r="D1051" s="81" t="n"/>
      <c r="E1051" s="81" t="n"/>
    </row>
    <row r="1052" ht="14" customHeight="1">
      <c r="A1052" s="16" t="n">
        <v>2018</v>
      </c>
      <c r="B1052" s="78">
        <f>IF((A1052&gt;=2021),ROUND((D1052*E1052),2),C1052)</f>
        <v/>
      </c>
      <c r="C1052" s="79" t="n">
        <v>23.22</v>
      </c>
      <c r="D1052" s="79" t="n"/>
      <c r="E1052" s="79" t="n"/>
    </row>
    <row r="1053" ht="14" customHeight="1">
      <c r="A1053" s="23" t="n">
        <v>2019</v>
      </c>
      <c r="B1053" s="80">
        <f>IF((A1053&gt;=2021),ROUND((D1053*E1053),2),C1053)</f>
        <v/>
      </c>
      <c r="C1053" s="81" t="n">
        <v>23</v>
      </c>
      <c r="D1053" s="81" t="n"/>
      <c r="E1053" s="81" t="n"/>
    </row>
    <row r="1054" ht="14" customHeight="1">
      <c r="A1054" s="16" t="n">
        <v>2020</v>
      </c>
      <c r="B1054" s="78">
        <f>IF((A1054&gt;=2021),ROUND((D1054*E1054),2),C1054)</f>
        <v/>
      </c>
      <c r="C1054" s="79" t="n">
        <v>23.22</v>
      </c>
      <c r="D1054" s="79" t="n"/>
      <c r="E1054" s="79" t="n"/>
    </row>
    <row r="1055" ht="14" customHeight="1">
      <c r="A1055" s="23" t="n">
        <v>2021</v>
      </c>
      <c r="B1055" s="80">
        <f>IF((A1055&gt;=2021),ROUND((D1055*E1055),2),C1055)</f>
        <v/>
      </c>
      <c r="C1055" s="81" t="n"/>
      <c r="D1055" s="81" t="n">
        <v>23393.67</v>
      </c>
      <c r="E1055" s="81" t="n">
        <v>0.001</v>
      </c>
    </row>
    <row r="1056" ht="14" customHeight="1">
      <c r="A1056" s="16" t="n">
        <v>2022</v>
      </c>
      <c r="B1056" s="78">
        <f>IF((A1056&gt;=2021),ROUND((D1056*E1056),2),C1056)</f>
        <v/>
      </c>
      <c r="C1056" s="79" t="n"/>
      <c r="D1056" s="79" t="n">
        <v>22065.92</v>
      </c>
      <c r="E1056" s="79" t="n">
        <v>0.001</v>
      </c>
    </row>
    <row r="1057" ht="14" customHeight="1">
      <c r="A1057" s="23" t="n">
        <v>2023</v>
      </c>
      <c r="B1057" s="80">
        <f>IF((A1057&gt;=2021),ROUND((D1057*E1057),2),C1057)</f>
        <v/>
      </c>
      <c r="C1057" s="81" t="n"/>
      <c r="D1057" s="81" t="n">
        <v>20641.09</v>
      </c>
      <c r="E1057" s="81" t="n">
        <v>0.001</v>
      </c>
    </row>
    <row r="1058" ht="14" customHeight="1">
      <c r="A1058" s="16" t="n">
        <v>2024</v>
      </c>
      <c r="B1058" s="78">
        <f>IF((A1058&gt;=2021),ROUND((D1058*E1058),2),C1058)</f>
        <v/>
      </c>
      <c r="C1058" s="79" t="n"/>
      <c r="D1058" s="79" t="n">
        <v>21091.62</v>
      </c>
      <c r="E1058" s="79" t="n">
        <v>0.001</v>
      </c>
    </row>
    <row r="1059" ht="14" customHeight="1">
      <c r="A1059" s="23" t="n">
        <v>2025</v>
      </c>
      <c r="B1059" s="80">
        <f>IF((A1059&gt;=2021),ROUND((D1059*E1059),2),C1059)</f>
        <v/>
      </c>
      <c r="C1059" s="81" t="n"/>
      <c r="D1059" s="81" t="n">
        <v>21837.73</v>
      </c>
      <c r="E1059" s="81" t="n">
        <v>0.001</v>
      </c>
    </row>
    <row r="1062">
      <c r="A1062" s="88" t="inlineStr">
        <is>
          <t>A6 · Food waste per capita (EU)  (kg/cap/year)</t>
        </is>
      </c>
    </row>
    <row r="1063" ht="26" customHeight="1">
      <c r="A1063" s="83" t="inlineStr">
        <is>
          <t>NOT the report's derivation for the later years — the formula switches by year to a different recipe, because the report's own inputs have no feed. The two halves of this series are not computed the same way.</t>
        </is>
      </c>
    </row>
    <row r="1064" ht="24" customHeight="1">
      <c r="A1064" s="3" t="inlineStr">
        <is>
          <t>Derivation:  Value = IF(A &gt;= 2021, ROUND([env_wasfw TOT], 0), [Report figure (2024 report underlying data)])</t>
        </is>
      </c>
    </row>
    <row r="1065" ht="42" customHeight="1">
      <c r="A1065" s="77" t="inlineStr">
        <is>
          <t>Year</t>
        </is>
      </c>
      <c r="B1065" s="77" t="inlineStr">
        <is>
          <t>Value</t>
        </is>
      </c>
      <c r="C1065" s="77" t="inlineStr">
        <is>
          <t>Report figure (2024 report underlying data)</t>
        </is>
      </c>
      <c r="D1065" s="77" t="inlineStr">
        <is>
          <t>env_wasfw TOT</t>
        </is>
      </c>
    </row>
    <row r="1066" ht="14" customHeight="1">
      <c r="A1066" s="16" t="n">
        <v>2020</v>
      </c>
      <c r="B1066" s="78">
        <f>IF((A1066&gt;=2021),ROUND(D1066,0),C1066)</f>
        <v/>
      </c>
      <c r="C1066" s="79" t="n">
        <v>131</v>
      </c>
      <c r="D1066" s="79" t="n"/>
    </row>
    <row r="1067" ht="14" customHeight="1">
      <c r="A1067" s="23" t="n">
        <v>2021</v>
      </c>
      <c r="B1067" s="80">
        <f>IF((A1067&gt;=2021),ROUND(D1067,0),C1067)</f>
        <v/>
      </c>
      <c r="C1067" s="81" t="n"/>
      <c r="D1067" s="81" t="n">
        <v>129</v>
      </c>
    </row>
    <row r="1068" ht="14" customHeight="1">
      <c r="A1068" s="16" t="n">
        <v>2022</v>
      </c>
      <c r="B1068" s="78">
        <f>IF((A1068&gt;=2021),ROUND(D1068,0),C1068)</f>
        <v/>
      </c>
      <c r="C1068" s="79" t="n"/>
      <c r="D1068" s="79" t="n">
        <v>129</v>
      </c>
    </row>
    <row r="1069" ht="14" customHeight="1">
      <c r="A1069" s="23" t="n">
        <v>2023</v>
      </c>
      <c r="B1069" s="80">
        <f>IF((A1069&gt;=2021),ROUND(D1069,0),C1069)</f>
        <v/>
      </c>
      <c r="C1069" s="81" t="n"/>
      <c r="D1069" s="81" t="n">
        <v>129</v>
      </c>
    </row>
    <row r="1072">
      <c r="A1072" s="89" t="inlineStr">
        <is>
          <t>L1 · LULUCF net GHG balance  (Mt CO₂eq)</t>
        </is>
      </c>
    </row>
    <row r="1073" ht="26" customHeight="1">
      <c r="A1073" s="76" t="inlineStr">
        <is>
          <t>SAME DERIVATION AS THE REPORT — the report's own formula, with its own input columns refreshed from the same publisher for the later years. Nothing about the calculation changes across the join.</t>
        </is>
      </c>
    </row>
    <row r="1074" ht="22" customHeight="1">
      <c r="A1074" s="3" t="inlineStr">
        <is>
          <t>Refreshed for 2023, 2024: 4 - Land Use, Land-Use Change and Forestry</t>
        </is>
      </c>
    </row>
    <row r="1075" ht="24" customHeight="1">
      <c r="A1075" s="3" t="inlineStr">
        <is>
          <t>Derivation:  Value = [4 - Land Use, Land-Use Change and Forestry] / 1000</t>
        </is>
      </c>
    </row>
    <row r="1076" ht="42" customHeight="1">
      <c r="A1076" s="77" t="inlineStr">
        <is>
          <t>Year</t>
        </is>
      </c>
      <c r="B1076" s="77" t="inlineStr">
        <is>
          <t>Value</t>
        </is>
      </c>
      <c r="C1076" s="77" t="inlineStr">
        <is>
          <t>4 - Land Use, Land-Use Change and Forestry</t>
        </is>
      </c>
    </row>
    <row r="1077" ht="14" customHeight="1">
      <c r="A1077" s="16" t="n">
        <v>2005</v>
      </c>
      <c r="B1077" s="78">
        <f>(C1077/1000)</f>
        <v/>
      </c>
      <c r="C1077" s="79" t="n">
        <v>-342109.4761312911</v>
      </c>
    </row>
    <row r="1078" ht="14" customHeight="1">
      <c r="A1078" s="23" t="n">
        <v>2006</v>
      </c>
      <c r="B1078" s="80">
        <f>(C1078/1000)</f>
        <v/>
      </c>
      <c r="C1078" s="81" t="n">
        <v>-351296.38360007</v>
      </c>
    </row>
    <row r="1079" ht="14" customHeight="1">
      <c r="A1079" s="16" t="n">
        <v>2007</v>
      </c>
      <c r="B1079" s="78">
        <f>(C1079/1000)</f>
        <v/>
      </c>
      <c r="C1079" s="79" t="n">
        <v>-300617.2864973615</v>
      </c>
    </row>
    <row r="1080" ht="14" customHeight="1">
      <c r="A1080" s="23" t="n">
        <v>2008</v>
      </c>
      <c r="B1080" s="80">
        <f>(C1080/1000)</f>
        <v/>
      </c>
      <c r="C1080" s="81" t="n">
        <v>-344262.7716834369</v>
      </c>
    </row>
    <row r="1081" ht="14" customHeight="1">
      <c r="A1081" s="16" t="n">
        <v>2009</v>
      </c>
      <c r="B1081" s="78">
        <f>(C1081/1000)</f>
        <v/>
      </c>
      <c r="C1081" s="79" t="n">
        <v>-347022.328623644</v>
      </c>
    </row>
    <row r="1082" ht="14" customHeight="1">
      <c r="A1082" s="23" t="n">
        <v>2010</v>
      </c>
      <c r="B1082" s="80">
        <f>(C1082/1000)</f>
        <v/>
      </c>
      <c r="C1082" s="81" t="n">
        <v>-352590.1909498173</v>
      </c>
    </row>
    <row r="1083" ht="14" customHeight="1">
      <c r="A1083" s="16" t="n">
        <v>2011</v>
      </c>
      <c r="B1083" s="78">
        <f>(C1083/1000)</f>
        <v/>
      </c>
      <c r="C1083" s="79" t="n">
        <v>-347273.8004383777</v>
      </c>
    </row>
    <row r="1084" ht="14" customHeight="1">
      <c r="A1084" s="23" t="n">
        <v>2012</v>
      </c>
      <c r="B1084" s="80">
        <f>(C1084/1000)</f>
        <v/>
      </c>
      <c r="C1084" s="81" t="n">
        <v>-342633.5989882683</v>
      </c>
    </row>
    <row r="1085" ht="14" customHeight="1">
      <c r="A1085" s="16" t="n">
        <v>2013</v>
      </c>
      <c r="B1085" s="78">
        <f>(C1085/1000)</f>
        <v/>
      </c>
      <c r="C1085" s="79" t="n">
        <v>-342604.9051712324</v>
      </c>
    </row>
    <row r="1086" ht="14" customHeight="1">
      <c r="A1086" s="23" t="n">
        <v>2014</v>
      </c>
      <c r="B1086" s="80">
        <f>(C1086/1000)</f>
        <v/>
      </c>
      <c r="C1086" s="81" t="n">
        <v>-327802.7208805995</v>
      </c>
    </row>
    <row r="1087" ht="14" customHeight="1">
      <c r="A1087" s="16" t="n">
        <v>2015</v>
      </c>
      <c r="B1087" s="78">
        <f>(C1087/1000)</f>
        <v/>
      </c>
      <c r="C1087" s="79" t="n">
        <v>-322423.8390120481</v>
      </c>
    </row>
    <row r="1088" ht="14" customHeight="1">
      <c r="A1088" s="23" t="n">
        <v>2016</v>
      </c>
      <c r="B1088" s="80">
        <f>(C1088/1000)</f>
        <v/>
      </c>
      <c r="C1088" s="81" t="n">
        <v>-318486.5248315362</v>
      </c>
    </row>
    <row r="1089" ht="14" customHeight="1">
      <c r="A1089" s="16" t="n">
        <v>2017</v>
      </c>
      <c r="B1089" s="78">
        <f>(C1089/1000)</f>
        <v/>
      </c>
      <c r="C1089" s="79" t="n">
        <v>-249795.8911803428</v>
      </c>
    </row>
    <row r="1090" ht="14" customHeight="1">
      <c r="A1090" s="23" t="n">
        <v>2018</v>
      </c>
      <c r="B1090" s="80">
        <f>(C1090/1000)</f>
        <v/>
      </c>
      <c r="C1090" s="81" t="n">
        <v>-257789.0407210758</v>
      </c>
    </row>
    <row r="1091" ht="14" customHeight="1">
      <c r="A1091" s="16" t="n">
        <v>2019</v>
      </c>
      <c r="B1091" s="78">
        <f>(C1091/1000)</f>
        <v/>
      </c>
      <c r="C1091" s="79" t="n">
        <v>-247317.6236412184</v>
      </c>
    </row>
    <row r="1092" ht="14" customHeight="1">
      <c r="A1092" s="23" t="n">
        <v>2020</v>
      </c>
      <c r="B1092" s="80">
        <f>(C1092/1000)</f>
        <v/>
      </c>
      <c r="C1092" s="81" t="n">
        <v>-241038.0579270464</v>
      </c>
    </row>
    <row r="1093" ht="14" customHeight="1">
      <c r="A1093" s="16" t="n">
        <v>2021</v>
      </c>
      <c r="B1093" s="78">
        <f>(C1093/1000)</f>
        <v/>
      </c>
      <c r="C1093" s="79" t="n">
        <v>-229984.6664172722</v>
      </c>
    </row>
    <row r="1094" ht="14" customHeight="1">
      <c r="A1094" s="23" t="n">
        <v>2022</v>
      </c>
      <c r="B1094" s="80">
        <f>(C1094/1000)</f>
        <v/>
      </c>
      <c r="C1094" s="81" t="n">
        <v>-243767.28937</v>
      </c>
    </row>
    <row r="1095" ht="14" customHeight="1">
      <c r="A1095" s="16" t="n">
        <v>2023</v>
      </c>
      <c r="B1095" s="78">
        <f>(C1095/1000)</f>
        <v/>
      </c>
      <c r="C1095" s="79" t="n">
        <v>-215514.95</v>
      </c>
    </row>
    <row r="1096" ht="14" customHeight="1">
      <c r="A1096" s="23" t="n">
        <v>2024</v>
      </c>
      <c r="B1096" s="80">
        <f>(C1096/1000)</f>
        <v/>
      </c>
      <c r="C1096" s="81" t="n">
        <v>-230985.16</v>
      </c>
    </row>
    <row r="1099">
      <c r="A1099" s="89" t="inlineStr">
        <is>
          <t>L6 · Forest land living-biomass carbon sink  (Mt CO₂eq)</t>
        </is>
      </c>
    </row>
    <row r="1100" ht="26" customHeight="1">
      <c r="A1100" s="83" t="inlineStr">
        <is>
          <t>NOT the report's derivation for the later years — the formula switches by year to a different recipe, because the report's own inputs have no feed. The two halves of this series are not computed the same way.</t>
        </is>
      </c>
    </row>
    <row r="1101" ht="24" customHeight="1">
      <c r="A1101" s="3" t="inlineStr">
        <is>
          <t>Derivation:  Value = IF(A &gt;= 2022, ROUND([Report baseline 2021 (Mt CO₂eq)] * [env_air_gge CRF4A] / [Live source at 2021 (same basis as the columns left)], 1), ([Carbon stock gain in living biomass]+[Carbon stock loss in living biomass]) * 0.003664)</t>
        </is>
      </c>
    </row>
    <row r="1102" ht="42" customHeight="1">
      <c r="A1102" s="77" t="inlineStr">
        <is>
          <t>Year</t>
        </is>
      </c>
      <c r="B1102" s="77" t="inlineStr">
        <is>
          <t>Value</t>
        </is>
      </c>
      <c r="C1102" s="77" t="inlineStr">
        <is>
          <t>Carbon stock gain in living biomass</t>
        </is>
      </c>
      <c r="D1102" s="77" t="inlineStr">
        <is>
          <t>Carbon stock loss in living biomass</t>
        </is>
      </c>
      <c r="E1102" s="77" t="inlineStr">
        <is>
          <t>env_air_gge CRF4A</t>
        </is>
      </c>
      <c r="F1102" s="77" t="inlineStr">
        <is>
          <t>Report baseline 2021 (Mt CO₂eq)</t>
        </is>
      </c>
      <c r="G1102" s="77" t="inlineStr">
        <is>
          <t>Live source at 2021 (same basis as the columns left)</t>
        </is>
      </c>
    </row>
    <row r="1103" ht="14" customHeight="1">
      <c r="A1103" s="16" t="n">
        <v>2005</v>
      </c>
      <c r="B1103" s="78">
        <f>IF((A1103&gt;=2022),ROUND(((F1103*E1103)/G1103),1),((C1103+D1103)*0.003664))</f>
        <v/>
      </c>
      <c r="C1103" s="79" t="n">
        <v>207379.8132773199</v>
      </c>
      <c r="D1103" s="79" t="n">
        <v>-108647.4672517596</v>
      </c>
      <c r="E1103" s="79" t="n"/>
      <c r="F1103" s="79" t="n"/>
      <c r="G1103" s="79" t="n"/>
    </row>
    <row r="1104" ht="14" customHeight="1">
      <c r="A1104" s="23" t="n">
        <v>2006</v>
      </c>
      <c r="B1104" s="80">
        <f>IF((A1104&gt;=2022),ROUND(((F1104*E1104)/G1104),1),((C1104+D1104)*0.003664))</f>
        <v/>
      </c>
      <c r="C1104" s="81" t="n">
        <v>206916.6342726697</v>
      </c>
      <c r="D1104" s="81" t="n">
        <v>-109615.2832467052</v>
      </c>
      <c r="E1104" s="81" t="n"/>
      <c r="F1104" s="81" t="n"/>
      <c r="G1104" s="81" t="n"/>
    </row>
    <row r="1105" ht="14" customHeight="1">
      <c r="A1105" s="16" t="n">
        <v>2007</v>
      </c>
      <c r="B1105" s="78">
        <f>IF((A1105&gt;=2022),ROUND(((F1105*E1105)/G1105),1),((C1105+D1105)*0.003664))</f>
        <v/>
      </c>
      <c r="C1105" s="79" t="n">
        <v>206146.0255351207</v>
      </c>
      <c r="D1105" s="79" t="n">
        <v>-118877.2328007463</v>
      </c>
      <c r="E1105" s="79" t="n"/>
      <c r="F1105" s="79" t="n"/>
      <c r="G1105" s="79" t="n"/>
    </row>
    <row r="1106" ht="14" customHeight="1">
      <c r="A1106" s="23" t="n">
        <v>2008</v>
      </c>
      <c r="B1106" s="80">
        <f>IF((A1106&gt;=2022),ROUND(((F1106*E1106)/G1106),1),((C1106+D1106)*0.003664))</f>
        <v/>
      </c>
      <c r="C1106" s="81" t="n">
        <v>218343.4324759636</v>
      </c>
      <c r="D1106" s="81" t="n">
        <v>-111331.8908057094</v>
      </c>
      <c r="E1106" s="81" t="n"/>
      <c r="F1106" s="81" t="n"/>
      <c r="G1106" s="81" t="n"/>
    </row>
    <row r="1107" ht="14" customHeight="1">
      <c r="A1107" s="16" t="n">
        <v>2009</v>
      </c>
      <c r="B1107" s="78">
        <f>IF((A1107&gt;=2022),ROUND(((F1107*E1107)/G1107),1),((C1107+D1107)*0.003664))</f>
        <v/>
      </c>
      <c r="C1107" s="79" t="n">
        <v>220287.8026072701</v>
      </c>
      <c r="D1107" s="79" t="n">
        <v>-111815.4305960167</v>
      </c>
      <c r="E1107" s="79" t="n"/>
      <c r="F1107" s="79" t="n"/>
      <c r="G1107" s="79" t="n"/>
    </row>
    <row r="1108" ht="14" customHeight="1">
      <c r="A1108" s="23" t="n">
        <v>2010</v>
      </c>
      <c r="B1108" s="80">
        <f>IF((A1108&gt;=2022),ROUND(((F1108*E1108)/G1108),1),((C1108+D1108)*0.003664))</f>
        <v/>
      </c>
      <c r="C1108" s="81" t="n">
        <v>219703.9830732426</v>
      </c>
      <c r="D1108" s="81" t="n">
        <v>-113516.9416650466</v>
      </c>
      <c r="E1108" s="81" t="n"/>
      <c r="F1108" s="81" t="n"/>
      <c r="G1108" s="81" t="n"/>
    </row>
    <row r="1109" ht="14" customHeight="1">
      <c r="A1109" s="16" t="n">
        <v>2011</v>
      </c>
      <c r="B1109" s="78">
        <f>IF((A1109&gt;=2022),ROUND(((F1109*E1109)/G1109),1),((C1109+D1109)*0.003664))</f>
        <v/>
      </c>
      <c r="C1109" s="79" t="n">
        <v>219467.8846049077</v>
      </c>
      <c r="D1109" s="79" t="n">
        <v>-115631.1785442941</v>
      </c>
      <c r="E1109" s="79" t="n"/>
      <c r="F1109" s="79" t="n"/>
      <c r="G1109" s="79" t="n"/>
    </row>
    <row r="1110" ht="14" customHeight="1">
      <c r="A1110" s="23" t="n">
        <v>2012</v>
      </c>
      <c r="B1110" s="80">
        <f>IF((A1110&gt;=2022),ROUND(((F1110*E1110)/G1110),1),((C1110+D1110)*0.003664))</f>
        <v/>
      </c>
      <c r="C1110" s="81" t="n">
        <v>219573.0602329362</v>
      </c>
      <c r="D1110" s="81" t="n">
        <v>-115119.9142167146</v>
      </c>
      <c r="E1110" s="81" t="n"/>
      <c r="F1110" s="81" t="n"/>
      <c r="G1110" s="81" t="n"/>
    </row>
    <row r="1111" ht="14" customHeight="1">
      <c r="A1111" s="16" t="n">
        <v>2013</v>
      </c>
      <c r="B1111" s="78">
        <f>IF((A1111&gt;=2022),ROUND(((F1111*E1111)/G1111),1),((C1111+D1111)*0.003664))</f>
        <v/>
      </c>
      <c r="C1111" s="79" t="n">
        <v>219562.6129285752</v>
      </c>
      <c r="D1111" s="79" t="n">
        <v>-112829.1262625964</v>
      </c>
      <c r="E1111" s="79" t="n"/>
      <c r="F1111" s="79" t="n"/>
      <c r="G1111" s="79" t="n"/>
    </row>
    <row r="1112" ht="14" customHeight="1">
      <c r="A1112" s="23" t="n">
        <v>2014</v>
      </c>
      <c r="B1112" s="80">
        <f>IF((A1112&gt;=2022),ROUND(((F1112*E1112)/G1112),1),((C1112+D1112)*0.003664))</f>
        <v/>
      </c>
      <c r="C1112" s="81" t="n">
        <v>216997.7891821671</v>
      </c>
      <c r="D1112" s="81" t="n">
        <v>-118203.6520073728</v>
      </c>
      <c r="E1112" s="81" t="n"/>
      <c r="F1112" s="81" t="n"/>
      <c r="G1112" s="81" t="n"/>
    </row>
    <row r="1113" ht="14" customHeight="1">
      <c r="A1113" s="16" t="n">
        <v>2015</v>
      </c>
      <c r="B1113" s="78">
        <f>IF((A1113&gt;=2022),ROUND(((F1113*E1113)/G1113),1),((C1113+D1113)*0.003664))</f>
        <v/>
      </c>
      <c r="C1113" s="79" t="n">
        <v>213886.8459289117</v>
      </c>
      <c r="D1113" s="79" t="n">
        <v>-120294.1172633766</v>
      </c>
      <c r="E1113" s="79" t="n"/>
      <c r="F1113" s="79" t="n"/>
      <c r="G1113" s="79" t="n"/>
    </row>
    <row r="1114" ht="14" customHeight="1">
      <c r="A1114" s="23" t="n">
        <v>2016</v>
      </c>
      <c r="B1114" s="80">
        <f>IF((A1114&gt;=2022),ROUND(((F1114*E1114)/G1114),1),((C1114+D1114)*0.003664))</f>
        <v/>
      </c>
      <c r="C1114" s="81" t="n">
        <v>216230.8909257157</v>
      </c>
      <c r="D1114" s="81" t="n">
        <v>-124158.3386760134</v>
      </c>
      <c r="E1114" s="81" t="n"/>
      <c r="F1114" s="81" t="n"/>
      <c r="G1114" s="81" t="n"/>
    </row>
    <row r="1115" ht="14" customHeight="1">
      <c r="A1115" s="16" t="n">
        <v>2017</v>
      </c>
      <c r="B1115" s="78">
        <f>IF((A1115&gt;=2022),ROUND(((F1115*E1115)/G1115),1),((C1115+D1115)*0.003664))</f>
        <v/>
      </c>
      <c r="C1115" s="79" t="n">
        <v>212622.7923346734</v>
      </c>
      <c r="D1115" s="79" t="n">
        <v>-134132.3124979317</v>
      </c>
      <c r="E1115" s="79" t="n"/>
      <c r="F1115" s="79" t="n"/>
      <c r="G1115" s="79" t="n"/>
    </row>
    <row r="1116" ht="14" customHeight="1">
      <c r="A1116" s="23" t="n">
        <v>2018</v>
      </c>
      <c r="B1116" s="80">
        <f>IF((A1116&gt;=2022),ROUND(((F1116*E1116)/G1116),1),((C1116+D1116)*0.003664))</f>
        <v/>
      </c>
      <c r="C1116" s="81" t="n">
        <v>210749.7858134234</v>
      </c>
      <c r="D1116" s="81" t="n">
        <v>-137835.9901411061</v>
      </c>
      <c r="E1116" s="81" t="n"/>
      <c r="F1116" s="81" t="n"/>
      <c r="G1116" s="81" t="n"/>
    </row>
    <row r="1117" ht="14" customHeight="1">
      <c r="A1117" s="16" t="n">
        <v>2019</v>
      </c>
      <c r="B1117" s="78">
        <f>IF((A1117&gt;=2022),ROUND(((F1117*E1117)/G1117),1),((C1117+D1117)*0.003664))</f>
        <v/>
      </c>
      <c r="C1117" s="79" t="n">
        <v>205781.4262134005</v>
      </c>
      <c r="D1117" s="79" t="n">
        <v>-138888.3265831124</v>
      </c>
      <c r="E1117" s="79" t="n"/>
      <c r="F1117" s="79" t="n"/>
      <c r="G1117" s="79" t="n"/>
    </row>
    <row r="1118" ht="14" customHeight="1">
      <c r="A1118" s="23" t="n">
        <v>2020</v>
      </c>
      <c r="B1118" s="80">
        <f>IF((A1118&gt;=2022),ROUND(((F1118*E1118)/G1118),1),((C1118+D1118)*0.003664))</f>
        <v/>
      </c>
      <c r="C1118" s="81" t="n">
        <v>205587.3657522208</v>
      </c>
      <c r="D1118" s="81" t="n">
        <v>-138253.0479172974</v>
      </c>
      <c r="E1118" s="81" t="n"/>
      <c r="F1118" s="81" t="n"/>
      <c r="G1118" s="81" t="n"/>
    </row>
    <row r="1119" ht="14" customHeight="1">
      <c r="A1119" s="16" t="n">
        <v>2021</v>
      </c>
      <c r="B1119" s="78">
        <f>IF((A1119&gt;=2022),ROUND(((F1119*E1119)/G1119),1),((C1119+D1119)*0.003664))</f>
        <v/>
      </c>
      <c r="C1119" s="79" t="n">
        <v>204988.0727520452</v>
      </c>
      <c r="D1119" s="79" t="n">
        <v>-141734.8538595825</v>
      </c>
      <c r="E1119" s="79" t="n"/>
      <c r="F1119" s="79" t="n"/>
      <c r="G1119" s="79" t="n"/>
    </row>
    <row r="1120" ht="14" customHeight="1">
      <c r="A1120" s="23" t="n">
        <v>2022</v>
      </c>
      <c r="B1120" s="80">
        <f>IF((A1120&gt;=2022),ROUND(((F1120*E1120)/G1120),1),((C1120+D1120)*0.003664))</f>
        <v/>
      </c>
      <c r="C1120" s="81" t="n"/>
      <c r="D1120" s="81" t="n"/>
      <c r="E1120" s="81" t="n">
        <v>-302.45655</v>
      </c>
      <c r="F1120" s="81" t="n">
        <v>231.8</v>
      </c>
      <c r="G1120" s="81" t="n">
        <v>-296.16285</v>
      </c>
    </row>
    <row r="1121" ht="14" customHeight="1">
      <c r="A1121" s="16" t="n">
        <v>2023</v>
      </c>
      <c r="B1121" s="78">
        <f>IF((A1121&gt;=2022),ROUND(((F1121*E1121)/G1121),1),((C1121+D1121)*0.003664))</f>
        <v/>
      </c>
      <c r="C1121" s="79" t="n"/>
      <c r="D1121" s="79" t="n"/>
      <c r="E1121" s="79" t="n">
        <v>-326.66099</v>
      </c>
      <c r="F1121" s="79" t="n">
        <v>231.8</v>
      </c>
      <c r="G1121" s="79" t="n">
        <v>-296.16285</v>
      </c>
    </row>
    <row r="1122" ht="14" customHeight="1">
      <c r="A1122" s="23" t="n">
        <v>2024</v>
      </c>
      <c r="B1122" s="80">
        <f>IF((A1122&gt;=2022),ROUND(((F1122*E1122)/G1122),1),((C1122+D1122)*0.003664))</f>
        <v/>
      </c>
      <c r="C1122" s="81" t="n"/>
      <c r="D1122" s="81" t="n"/>
      <c r="E1122" s="81" t="n">
        <v>-329.98746</v>
      </c>
      <c r="F1122" s="81" t="n">
        <v>231.8</v>
      </c>
      <c r="G1122" s="81" t="n">
        <v>-296.16285</v>
      </c>
    </row>
    <row r="1125">
      <c r="A1125" s="89" t="inlineStr">
        <is>
          <t>L7 · Non-forest LULUCF net GHG emissions  (Mt CO₂eq)</t>
        </is>
      </c>
    </row>
    <row r="1126" ht="26" customHeight="1">
      <c r="A1126" s="83" t="inlineStr">
        <is>
          <t>NOT the report's derivation for the later years — the formula switches by year to a different recipe, because the report's own inputs have no feed. The two halves of this series are not computed the same way.</t>
        </is>
      </c>
    </row>
    <row r="1127" ht="24" customHeight="1">
      <c r="A1127" s="3" t="inlineStr">
        <is>
          <t>Derivation:  Value = IF(A &gt;= 2022, ROUND(([env_air_gge CRF4B] + [env_air_gge CRF4C] + [env_air_gge CRF4D] + [env_air_gge CRF4E] + [env_air_gge CRF4F]), 1), ([4.B - Cropland]+[4.C - Grassland]+[4.D - Wetlands]+[4.E - Settlements]+[4.F - Other Land]+[4.H - Other LULUCF]) * 0.001)</t>
        </is>
      </c>
    </row>
    <row r="1128" ht="42" customHeight="1">
      <c r="A1128" s="77" t="inlineStr">
        <is>
          <t>Year</t>
        </is>
      </c>
      <c r="B1128" s="77" t="inlineStr">
        <is>
          <t>Value</t>
        </is>
      </c>
      <c r="C1128" s="77" t="inlineStr">
        <is>
          <t>4.B - Cropland</t>
        </is>
      </c>
      <c r="D1128" s="77" t="inlineStr">
        <is>
          <t>4.C - Grassland</t>
        </is>
      </c>
      <c r="E1128" s="77" t="inlineStr">
        <is>
          <t>4.D - Wetlands</t>
        </is>
      </c>
      <c r="F1128" s="77" t="inlineStr">
        <is>
          <t>4.E - Settlements</t>
        </is>
      </c>
      <c r="G1128" s="77" t="inlineStr">
        <is>
          <t>4.F - Other Land</t>
        </is>
      </c>
      <c r="H1128" s="77" t="inlineStr">
        <is>
          <t>4.H - Other LULUCF</t>
        </is>
      </c>
      <c r="I1128" s="77" t="inlineStr">
        <is>
          <t>env_air_gge CRF4B</t>
        </is>
      </c>
      <c r="J1128" s="77" t="inlineStr">
        <is>
          <t>env_air_gge CRF4C</t>
        </is>
      </c>
      <c r="K1128" s="77" t="inlineStr">
        <is>
          <t>env_air_gge CRF4D</t>
        </is>
      </c>
      <c r="L1128" s="77" t="inlineStr">
        <is>
          <t>env_air_gge CRF4E</t>
        </is>
      </c>
      <c r="M1128" s="77" t="inlineStr">
        <is>
          <t>env_air_gge CRF4F</t>
        </is>
      </c>
    </row>
    <row r="1129" ht="14" customHeight="1">
      <c r="A1129" s="16" t="n">
        <v>2005</v>
      </c>
      <c r="B1129" s="78">
        <f>IF((A1129&gt;=2022),ROUND(((((I1129+J1129)+K1129)+L1129)+M1129),1),((((((C1129+D1129)+E1129)+F1129)+G1129)+H1129)*0.001))</f>
        <v/>
      </c>
      <c r="C1129" s="79" t="n">
        <v>41885.53425752837</v>
      </c>
      <c r="D1129" s="79" t="n">
        <v>32510.71108131449</v>
      </c>
      <c r="E1129" s="79" t="n">
        <v>20342.63347867101</v>
      </c>
      <c r="F1129" s="79" t="n">
        <v>31372.47531632753</v>
      </c>
      <c r="G1129" s="79" t="n">
        <v>996.0482301247856</v>
      </c>
      <c r="H1129" s="79" t="n">
        <v>741.448671589</v>
      </c>
      <c r="I1129" s="79" t="n"/>
      <c r="J1129" s="79" t="n"/>
      <c r="K1129" s="79" t="n"/>
      <c r="L1129" s="79" t="n"/>
      <c r="M1129" s="79" t="n"/>
    </row>
    <row r="1130" ht="14" customHeight="1">
      <c r="A1130" s="23" t="n">
        <v>2006</v>
      </c>
      <c r="B1130" s="80">
        <f>IF((A1130&gt;=2022),ROUND(((((I1130+J1130)+K1130)+L1130)+M1130),1),((((((C1130+D1130)+E1130)+F1130)+G1130)+H1130)*0.001))</f>
        <v/>
      </c>
      <c r="C1130" s="81" t="n">
        <v>42292.71847651808</v>
      </c>
      <c r="D1130" s="81" t="n">
        <v>27337.3261531531</v>
      </c>
      <c r="E1130" s="81" t="n">
        <v>19996.68425504841</v>
      </c>
      <c r="F1130" s="81" t="n">
        <v>29132.04507132273</v>
      </c>
      <c r="G1130" s="81" t="n">
        <v>2406.758732125177</v>
      </c>
      <c r="H1130" s="81" t="n">
        <v>673.5702670200001</v>
      </c>
      <c r="I1130" s="81" t="n"/>
      <c r="J1130" s="81" t="n"/>
      <c r="K1130" s="81" t="n"/>
      <c r="L1130" s="81" t="n"/>
      <c r="M1130" s="81" t="n"/>
    </row>
    <row r="1131" ht="14" customHeight="1">
      <c r="A1131" s="16" t="n">
        <v>2007</v>
      </c>
      <c r="B1131" s="78">
        <f>IF((A1131&gt;=2022),ROUND(((((I1131+J1131)+K1131)+L1131)+M1131),1),((((((C1131+D1131)+E1131)+F1131)+G1131)+H1131)*0.001))</f>
        <v/>
      </c>
      <c r="C1131" s="79" t="n">
        <v>46325.95223374323</v>
      </c>
      <c r="D1131" s="79" t="n">
        <v>33798.48280035835</v>
      </c>
      <c r="E1131" s="79" t="n">
        <v>18814.03561608521</v>
      </c>
      <c r="F1131" s="79" t="n">
        <v>31382.47763486252</v>
      </c>
      <c r="G1131" s="79" t="n">
        <v>991.204401472444</v>
      </c>
      <c r="H1131" s="79" t="n">
        <v>618.7291145610001</v>
      </c>
      <c r="I1131" s="79" t="n"/>
      <c r="J1131" s="79" t="n"/>
      <c r="K1131" s="79" t="n"/>
      <c r="L1131" s="79" t="n"/>
      <c r="M1131" s="79" t="n"/>
    </row>
    <row r="1132" ht="14" customHeight="1">
      <c r="A1132" s="23" t="n">
        <v>2008</v>
      </c>
      <c r="B1132" s="80">
        <f>IF((A1132&gt;=2022),ROUND(((((I1132+J1132)+K1132)+L1132)+M1132),1),((((((C1132+D1132)+E1132)+F1132)+G1132)+H1132)*0.001))</f>
        <v/>
      </c>
      <c r="C1132" s="81" t="n">
        <v>47762.40103886886</v>
      </c>
      <c r="D1132" s="81" t="n">
        <v>31158.82576921384</v>
      </c>
      <c r="E1132" s="81" t="n">
        <v>19020.27565720151</v>
      </c>
      <c r="F1132" s="81" t="n">
        <v>31168.62671812822</v>
      </c>
      <c r="G1132" s="81" t="n">
        <v>1041.668919946932</v>
      </c>
      <c r="H1132" s="81" t="n">
        <v>574.0462698709999</v>
      </c>
      <c r="I1132" s="81" t="n"/>
      <c r="J1132" s="81" t="n"/>
      <c r="K1132" s="81" t="n"/>
      <c r="L1132" s="81" t="n"/>
      <c r="M1132" s="81" t="n"/>
    </row>
    <row r="1133" ht="14" customHeight="1">
      <c r="A1133" s="16" t="n">
        <v>2009</v>
      </c>
      <c r="B1133" s="78">
        <f>IF((A1133&gt;=2022),ROUND(((((I1133+J1133)+K1133)+L1133)+M1133),1),((((((C1133+D1133)+E1133)+F1133)+G1133)+H1133)*0.001))</f>
        <v/>
      </c>
      <c r="C1133" s="79" t="n">
        <v>46350.09970271496</v>
      </c>
      <c r="D1133" s="79" t="n">
        <v>32804.09480950376</v>
      </c>
      <c r="E1133" s="79" t="n">
        <v>18775.73437068779</v>
      </c>
      <c r="F1133" s="79" t="n">
        <v>31187.65999044619</v>
      </c>
      <c r="G1133" s="79" t="n">
        <v>1282.988906952395</v>
      </c>
      <c r="H1133" s="79" t="n">
        <v>537.2664758450001</v>
      </c>
      <c r="I1133" s="79" t="n"/>
      <c r="J1133" s="79" t="n"/>
      <c r="K1133" s="79" t="n"/>
      <c r="L1133" s="79" t="n"/>
      <c r="M1133" s="79" t="n"/>
    </row>
    <row r="1134" ht="14" customHeight="1">
      <c r="A1134" s="23" t="n">
        <v>2010</v>
      </c>
      <c r="B1134" s="80">
        <f>IF((A1134&gt;=2022),ROUND(((((I1134+J1134)+K1134)+L1134)+M1134),1),((((((C1134+D1134)+E1134)+F1134)+G1134)+H1134)*0.001))</f>
        <v/>
      </c>
      <c r="C1134" s="81" t="n">
        <v>36721.83150255705</v>
      </c>
      <c r="D1134" s="81" t="n">
        <v>31258.86063810398</v>
      </c>
      <c r="E1134" s="81" t="n">
        <v>20203.80607813424</v>
      </c>
      <c r="F1134" s="81" t="n">
        <v>27887.39176383215</v>
      </c>
      <c r="G1134" s="81" t="n">
        <v>1195.450924808085</v>
      </c>
      <c r="H1134" s="81" t="n">
        <v>506.7938481376</v>
      </c>
      <c r="I1134" s="81" t="n"/>
      <c r="J1134" s="81" t="n"/>
      <c r="K1134" s="81" t="n"/>
      <c r="L1134" s="81" t="n"/>
      <c r="M1134" s="81" t="n"/>
    </row>
    <row r="1135" ht="14" customHeight="1">
      <c r="A1135" s="16" t="n">
        <v>2011</v>
      </c>
      <c r="B1135" s="78">
        <f>IF((A1135&gt;=2022),ROUND(((((I1135+J1135)+K1135)+L1135)+M1135),1),((((((C1135+D1135)+E1135)+F1135)+G1135)+H1135)*0.001))</f>
        <v/>
      </c>
      <c r="C1135" s="79" t="n">
        <v>36216.02107721435</v>
      </c>
      <c r="D1135" s="79" t="n">
        <v>32793.28038378709</v>
      </c>
      <c r="E1135" s="79" t="n">
        <v>19884.20119229088</v>
      </c>
      <c r="F1135" s="79" t="n">
        <v>25402.42417670629</v>
      </c>
      <c r="G1135" s="79" t="n">
        <v>1104.582020437688</v>
      </c>
      <c r="H1135" s="79" t="n">
        <v>483.69278719</v>
      </c>
      <c r="I1135" s="79" t="n"/>
      <c r="J1135" s="79" t="n"/>
      <c r="K1135" s="79" t="n"/>
      <c r="L1135" s="79" t="n"/>
      <c r="M1135" s="79" t="n"/>
    </row>
    <row r="1136" ht="14" customHeight="1">
      <c r="A1136" s="23" t="n">
        <v>2012</v>
      </c>
      <c r="B1136" s="80">
        <f>IF((A1136&gt;=2022),ROUND(((((I1136+J1136)+K1136)+L1136)+M1136),1),((((((C1136+D1136)+E1136)+F1136)+G1136)+H1136)*0.001))</f>
        <v/>
      </c>
      <c r="C1136" s="81" t="n">
        <v>36317.39548750013</v>
      </c>
      <c r="D1136" s="81" t="n">
        <v>33714.56839464341</v>
      </c>
      <c r="E1136" s="81" t="n">
        <v>18656.85199674396</v>
      </c>
      <c r="F1136" s="81" t="n">
        <v>24349.69852581686</v>
      </c>
      <c r="G1136" s="81" t="n">
        <v>1129.46977280674</v>
      </c>
      <c r="H1136" s="81" t="n">
        <v>464.686148165</v>
      </c>
      <c r="I1136" s="81" t="n"/>
      <c r="J1136" s="81" t="n"/>
      <c r="K1136" s="81" t="n"/>
      <c r="L1136" s="81" t="n"/>
      <c r="M1136" s="81" t="n"/>
    </row>
    <row r="1137" ht="14" customHeight="1">
      <c r="A1137" s="16" t="n">
        <v>2013</v>
      </c>
      <c r="B1137" s="78">
        <f>IF((A1137&gt;=2022),ROUND(((((I1137+J1137)+K1137)+L1137)+M1137),1),((((((C1137+D1137)+E1137)+F1137)+G1137)+H1137)*0.001))</f>
        <v/>
      </c>
      <c r="C1137" s="79" t="n">
        <v>38971.12944807648</v>
      </c>
      <c r="D1137" s="79" t="n">
        <v>40699.15963587457</v>
      </c>
      <c r="E1137" s="79" t="n">
        <v>21154.75104807447</v>
      </c>
      <c r="F1137" s="79" t="n">
        <v>25666.8183585163</v>
      </c>
      <c r="G1137" s="79" t="n">
        <v>1084.039730474763</v>
      </c>
      <c r="H1137" s="79" t="n">
        <v>448.9723866126</v>
      </c>
      <c r="I1137" s="79" t="n"/>
      <c r="J1137" s="79" t="n"/>
      <c r="K1137" s="79" t="n"/>
      <c r="L1137" s="79" t="n"/>
      <c r="M1137" s="79" t="n"/>
    </row>
    <row r="1138" ht="14" customHeight="1">
      <c r="A1138" s="23" t="n">
        <v>2014</v>
      </c>
      <c r="B1138" s="80">
        <f>IF((A1138&gt;=2022),ROUND(((((I1138+J1138)+K1138)+L1138)+M1138),1),((((((C1138+D1138)+E1138)+F1138)+G1138)+H1138)*0.001))</f>
        <v/>
      </c>
      <c r="C1138" s="81" t="n">
        <v>36049.32332552515</v>
      </c>
      <c r="D1138" s="81" t="n">
        <v>23694.8825455224</v>
      </c>
      <c r="E1138" s="81" t="n">
        <v>20163.3243364918</v>
      </c>
      <c r="F1138" s="81" t="n">
        <v>26768.59169342736</v>
      </c>
      <c r="G1138" s="81" t="n">
        <v>1136.119442811357</v>
      </c>
      <c r="H1138" s="81" t="n">
        <v>435.927059493</v>
      </c>
      <c r="I1138" s="81" t="n"/>
      <c r="J1138" s="81" t="n"/>
      <c r="K1138" s="81" t="n"/>
      <c r="L1138" s="81" t="n"/>
      <c r="M1138" s="81" t="n"/>
    </row>
    <row r="1139" ht="14" customHeight="1">
      <c r="A1139" s="16" t="n">
        <v>2015</v>
      </c>
      <c r="B1139" s="78">
        <f>IF((A1139&gt;=2022),ROUND(((((I1139+J1139)+K1139)+L1139)+M1139),1),((((((C1139+D1139)+E1139)+F1139)+G1139)+H1139)*0.001))</f>
        <v/>
      </c>
      <c r="C1139" s="79" t="n">
        <v>30257.07408019602</v>
      </c>
      <c r="D1139" s="79" t="n">
        <v>21547.00293944589</v>
      </c>
      <c r="E1139" s="79" t="n">
        <v>22092.72679723136</v>
      </c>
      <c r="F1139" s="79" t="n">
        <v>27576.62073681327</v>
      </c>
      <c r="G1139" s="79" t="n">
        <v>1180.763064035405</v>
      </c>
      <c r="H1139" s="79" t="n">
        <v>425.1381658574</v>
      </c>
      <c r="I1139" s="79" t="n"/>
      <c r="J1139" s="79" t="n"/>
      <c r="K1139" s="79" t="n"/>
      <c r="L1139" s="79" t="n"/>
      <c r="M1139" s="79" t="n"/>
    </row>
    <row r="1140" ht="14" customHeight="1">
      <c r="A1140" s="23" t="n">
        <v>2016</v>
      </c>
      <c r="B1140" s="80">
        <f>IF((A1140&gt;=2022),ROUND(((((I1140+J1140)+K1140)+L1140)+M1140),1),((((((C1140+D1140)+E1140)+F1140)+G1140)+H1140)*0.001))</f>
        <v/>
      </c>
      <c r="C1140" s="81" t="n">
        <v>25855.2039899661</v>
      </c>
      <c r="D1140" s="81" t="n">
        <v>21169.80502123257</v>
      </c>
      <c r="E1140" s="81" t="n">
        <v>20224.48018239814</v>
      </c>
      <c r="F1140" s="81" t="n">
        <v>31537.09695079203</v>
      </c>
      <c r="G1140" s="81" t="n">
        <v>1154.72789249218</v>
      </c>
      <c r="H1140" s="81" t="n">
        <v>415.6123884053999</v>
      </c>
      <c r="I1140" s="81" t="n"/>
      <c r="J1140" s="81" t="n"/>
      <c r="K1140" s="81" t="n"/>
      <c r="L1140" s="81" t="n"/>
      <c r="M1140" s="81" t="n"/>
    </row>
    <row r="1141" ht="14" customHeight="1">
      <c r="A1141" s="16" t="n">
        <v>2017</v>
      </c>
      <c r="B1141" s="78">
        <f>IF((A1141&gt;=2022),ROUND(((((I1141+J1141)+K1141)+L1141)+M1141),1),((((((C1141+D1141)+E1141)+F1141)+G1141)+H1141)*0.001))</f>
        <v/>
      </c>
      <c r="C1141" s="79" t="n">
        <v>27354.58630304968</v>
      </c>
      <c r="D1141" s="79" t="n">
        <v>25072.84337739296</v>
      </c>
      <c r="E1141" s="79" t="n">
        <v>21688.3769685278</v>
      </c>
      <c r="F1141" s="79" t="n">
        <v>27604.46441605618</v>
      </c>
      <c r="G1141" s="79" t="n">
        <v>1165.208596127795</v>
      </c>
      <c r="H1141" s="79" t="n">
        <v>407.649855303</v>
      </c>
      <c r="I1141" s="79" t="n"/>
      <c r="J1141" s="79" t="n"/>
      <c r="K1141" s="79" t="n"/>
      <c r="L1141" s="79" t="n"/>
      <c r="M1141" s="79" t="n"/>
    </row>
    <row r="1142" ht="14" customHeight="1">
      <c r="A1142" s="23" t="n">
        <v>2018</v>
      </c>
      <c r="B1142" s="80">
        <f>IF((A1142&gt;=2022),ROUND(((((I1142+J1142)+K1142)+L1142)+M1142),1),((((((C1142+D1142)+E1142)+F1142)+G1142)+H1142)*0.001))</f>
        <v/>
      </c>
      <c r="C1142" s="81" t="n">
        <v>25495.21994768171</v>
      </c>
      <c r="D1142" s="81" t="n">
        <v>16449.56001501077</v>
      </c>
      <c r="E1142" s="81" t="n">
        <v>21436.10278885118</v>
      </c>
      <c r="F1142" s="81" t="n">
        <v>28513.4817810418</v>
      </c>
      <c r="G1142" s="81" t="n">
        <v>1706.347266419505</v>
      </c>
      <c r="H1142" s="81" t="n">
        <v>400.9797448954</v>
      </c>
      <c r="I1142" s="81" t="n"/>
      <c r="J1142" s="81" t="n"/>
      <c r="K1142" s="81" t="n"/>
      <c r="L1142" s="81" t="n"/>
      <c r="M1142" s="81" t="n"/>
    </row>
    <row r="1143" ht="14" customHeight="1">
      <c r="A1143" s="16" t="n">
        <v>2019</v>
      </c>
      <c r="B1143" s="78">
        <f>IF((A1143&gt;=2022),ROUND(((((I1143+J1143)+K1143)+L1143)+M1143),1),((((((C1143+D1143)+E1143)+F1143)+G1143)+H1143)*0.001))</f>
        <v/>
      </c>
      <c r="C1143" s="79" t="n">
        <v>21646.50313641412</v>
      </c>
      <c r="D1143" s="79" t="n">
        <v>18244.11219561336</v>
      </c>
      <c r="E1143" s="79" t="n">
        <v>20796.37730009013</v>
      </c>
      <c r="F1143" s="79" t="n">
        <v>27175.25161722646</v>
      </c>
      <c r="G1143" s="79" t="n">
        <v>1180.914747992109</v>
      </c>
      <c r="H1143" s="79" t="n">
        <v>395.448533892</v>
      </c>
      <c r="I1143" s="79" t="n"/>
      <c r="J1143" s="79" t="n"/>
      <c r="K1143" s="79" t="n"/>
      <c r="L1143" s="79" t="n"/>
      <c r="M1143" s="79" t="n"/>
    </row>
    <row r="1144" ht="14" customHeight="1">
      <c r="A1144" s="23" t="n">
        <v>2020</v>
      </c>
      <c r="B1144" s="80">
        <f>IF((A1144&gt;=2022),ROUND(((((I1144+J1144)+K1144)+L1144)+M1144),1),((((((C1144+D1144)+E1144)+F1144)+G1144)+H1144)*0.001))</f>
        <v/>
      </c>
      <c r="C1144" s="81" t="n">
        <v>22368.51151880113</v>
      </c>
      <c r="D1144" s="81" t="n">
        <v>18543.52960201591</v>
      </c>
      <c r="E1144" s="81" t="n">
        <v>21449.86892665799</v>
      </c>
      <c r="F1144" s="81" t="n">
        <v>27265.66564140092</v>
      </c>
      <c r="G1144" s="81" t="n">
        <v>1196.299958804059</v>
      </c>
      <c r="H1144" s="81" t="n">
        <v>390.8816272546</v>
      </c>
      <c r="I1144" s="81" t="n"/>
      <c r="J1144" s="81" t="n"/>
      <c r="K1144" s="81" t="n"/>
      <c r="L1144" s="81" t="n"/>
      <c r="M1144" s="81" t="n"/>
    </row>
    <row r="1145" ht="14" customHeight="1">
      <c r="A1145" s="16" t="n">
        <v>2021</v>
      </c>
      <c r="B1145" s="78">
        <f>IF((A1145&gt;=2022),ROUND(((((I1145+J1145)+K1145)+L1145)+M1145),1),((((((C1145+D1145)+E1145)+F1145)+G1145)+H1145)*0.001))</f>
        <v/>
      </c>
      <c r="C1145" s="79" t="n">
        <v>22646.39783576392</v>
      </c>
      <c r="D1145" s="79" t="n">
        <v>24955.05350112291</v>
      </c>
      <c r="E1145" s="79" t="n">
        <v>21269.811792639</v>
      </c>
      <c r="F1145" s="79" t="n">
        <v>26988.93925864455</v>
      </c>
      <c r="G1145" s="79" t="n">
        <v>1192.624582561036</v>
      </c>
      <c r="H1145" s="79" t="n">
        <v>387.93264465</v>
      </c>
      <c r="I1145" s="79" t="n"/>
      <c r="J1145" s="79" t="n"/>
      <c r="K1145" s="79" t="n"/>
      <c r="L1145" s="79" t="n"/>
      <c r="M1145" s="79" t="n"/>
    </row>
    <row r="1146" ht="14" customHeight="1">
      <c r="A1146" s="23" t="n">
        <v>2022</v>
      </c>
      <c r="B1146" s="80">
        <f>IF((A1146&gt;=2022),ROUND(((((I1146+J1146)+K1146)+L1146)+M1146),1),((((((C1146+D1146)+E1146)+F1146)+G1146)+H1146)*0.001))</f>
        <v/>
      </c>
      <c r="C1146" s="81" t="n"/>
      <c r="D1146" s="81" t="n"/>
      <c r="E1146" s="81" t="n"/>
      <c r="F1146" s="81" t="n"/>
      <c r="G1146" s="81" t="n"/>
      <c r="H1146" s="81" t="n"/>
      <c r="I1146" s="81" t="n">
        <v>48.81144</v>
      </c>
      <c r="J1146" s="81" t="n">
        <v>13.87313</v>
      </c>
      <c r="K1146" s="81" t="n">
        <v>24.99028</v>
      </c>
      <c r="L1146" s="81" t="n">
        <v>31.19317</v>
      </c>
      <c r="M1146" s="81" t="n">
        <v>2.15242</v>
      </c>
    </row>
    <row r="1147" ht="14" customHeight="1">
      <c r="A1147" s="16" t="n">
        <v>2023</v>
      </c>
      <c r="B1147" s="78">
        <f>IF((A1147&gt;=2022),ROUND(((((I1147+J1147)+K1147)+L1147)+M1147),1),((((((C1147+D1147)+E1147)+F1147)+G1147)+H1147)*0.001))</f>
        <v/>
      </c>
      <c r="C1147" s="79" t="n"/>
      <c r="D1147" s="79" t="n"/>
      <c r="E1147" s="79" t="n"/>
      <c r="F1147" s="79" t="n"/>
      <c r="G1147" s="79" t="n"/>
      <c r="H1147" s="79" t="n"/>
      <c r="I1147" s="79" t="n">
        <v>64.02566</v>
      </c>
      <c r="J1147" s="79" t="n">
        <v>6.01163</v>
      </c>
      <c r="K1147" s="79" t="n">
        <v>23.35143</v>
      </c>
      <c r="L1147" s="79" t="n">
        <v>40.4274</v>
      </c>
      <c r="M1147" s="79" t="n">
        <v>1.83318</v>
      </c>
    </row>
    <row r="1148" ht="14" customHeight="1">
      <c r="A1148" s="23" t="n">
        <v>2024</v>
      </c>
      <c r="B1148" s="80">
        <f>IF((A1148&gt;=2022),ROUND(((((I1148+J1148)+K1148)+L1148)+M1148),1),((((((C1148+D1148)+E1148)+F1148)+G1148)+H1148)*0.001))</f>
        <v/>
      </c>
      <c r="C1148" s="81" t="n"/>
      <c r="D1148" s="81" t="n"/>
      <c r="E1148" s="81" t="n"/>
      <c r="F1148" s="81" t="n"/>
      <c r="G1148" s="81" t="n"/>
      <c r="H1148" s="81" t="n"/>
      <c r="I1148" s="81" t="n">
        <v>48.87363</v>
      </c>
      <c r="J1148" s="81" t="n">
        <v>9.16827</v>
      </c>
      <c r="K1148" s="81" t="n">
        <v>23.08914</v>
      </c>
      <c r="L1148" s="81" t="n">
        <v>39.8874</v>
      </c>
      <c r="M1148" s="81" t="n">
        <v>1.9467</v>
      </c>
    </row>
    <row r="1151">
      <c r="A1151" s="89" t="inlineStr">
        <is>
          <t>L8 · Total bioenergy use (EU-27)  (TWh)</t>
        </is>
      </c>
    </row>
    <row r="1152" ht="26" customHeight="1">
      <c r="A1152" s="83" t="inlineStr">
        <is>
          <t>NOT the report's derivation for the later years — the formula switches by year to a different recipe, because the report's own inputs have no feed. The two halves of this series are not computed the same way.</t>
        </is>
      </c>
    </row>
    <row r="1153" ht="24" customHeight="1">
      <c r="A1153" s="3" t="inlineStr">
        <is>
          <t>Derivation:  Value = IF(A &gt;= 2022, ROUND([nrg_bal_c BIOE] * [Unit conversion (× 0.001)], 1), ([Power and heat: Primary solid biofuels]+[Power and heat: Charcoal]+[Power and heat: Pure biogasoline]+[Power and heat: Blended biogasoline]+[Power and heat: Pure biodiesels]+[Power and heat: Blended biodiesels]+[Power and heat: Pure bio jet kerosene]+[Power and heat: Blended bio jet kerosene]+[Power and heat: Other liquid biofuels]+[Power and heat: Biogases]+[Industry: Primary solid biofuels]+[Industry: Charcoal]+[Industry: Pure biogasoline]+[Industry: Blended biogasoline]+[Industry: Pure biodiesels]+[Industry: Blended biodiesels]+[Industry: Pure bio jet kerosene]+[Industry: Blended bio jet kerosene]+[Industry: Other liquid biofuels]+[Industry: Biogases]+[Transport: Primary solid biofuels]+[Transport: Charcoal]+[Transport: Pure biogasoline]+[Transport: Blended biogasoline]+[Transport: Pure biodiesels]+[Transport: Blended biodiesels]+[Transport: Pure bio jet kerosene]+[Transport: Blended bio jet kerosene]+[Transport: Other liquid biofuels]+[Transport: Biogases]+[Other sectors: Primary solid biofuels]+[Other sectors: Charcoal]+[Other sectors: Pure biogasoline]+[Other sectors: Blended biogasoline]+[Other sectors: Pure biodiesels]+[Other sectors: Blended biodiesels]+[Other sectors: Pure bio jet kerosene]+[Other sectors: Blended bio jet kerosene]+[Other sectors: Other liquid biofuels]+[Other sectors: Biogases]) * 0.001)</t>
        </is>
      </c>
    </row>
    <row r="1154" ht="42" customHeight="1">
      <c r="A1154" s="77" t="inlineStr">
        <is>
          <t>Year</t>
        </is>
      </c>
      <c r="B1154" s="77" t="inlineStr">
        <is>
          <t>Value</t>
        </is>
      </c>
      <c r="C1154" s="77" t="inlineStr">
        <is>
          <t>Power and heat: Primary solid biofuels</t>
        </is>
      </c>
      <c r="D1154" s="77" t="inlineStr">
        <is>
          <t>Power and heat: Charcoal</t>
        </is>
      </c>
      <c r="E1154" s="77" t="inlineStr">
        <is>
          <t>Power and heat: Pure biogasoline</t>
        </is>
      </c>
      <c r="F1154" s="77" t="inlineStr">
        <is>
          <t>Power and heat: Blended biogasoline</t>
        </is>
      </c>
      <c r="G1154" s="77" t="inlineStr">
        <is>
          <t>Power and heat: Pure biodiesels</t>
        </is>
      </c>
      <c r="H1154" s="77" t="inlineStr">
        <is>
          <t>Power and heat: Blended biodiesels</t>
        </is>
      </c>
      <c r="I1154" s="77" t="inlineStr">
        <is>
          <t>Power and heat: Pure bio jet kerosene</t>
        </is>
      </c>
      <c r="J1154" s="77" t="inlineStr">
        <is>
          <t>Power and heat: Blended bio jet kerosene</t>
        </is>
      </c>
      <c r="K1154" s="77" t="inlineStr">
        <is>
          <t>Power and heat: Other liquid biofuels</t>
        </is>
      </c>
      <c r="L1154" s="77" t="inlineStr">
        <is>
          <t>Power and heat: Biogases</t>
        </is>
      </c>
      <c r="M1154" s="77" t="inlineStr">
        <is>
          <t>Industry: Primary solid biofuels</t>
        </is>
      </c>
      <c r="N1154" s="77" t="inlineStr">
        <is>
          <t>Industry: Charcoal</t>
        </is>
      </c>
      <c r="O1154" s="77" t="inlineStr">
        <is>
          <t>Industry: Pure biogasoline</t>
        </is>
      </c>
      <c r="P1154" s="77" t="inlineStr">
        <is>
          <t>Industry: Blended biogasoline</t>
        </is>
      </c>
      <c r="Q1154" s="77" t="inlineStr">
        <is>
          <t>Industry: Pure biodiesels</t>
        </is>
      </c>
      <c r="R1154" s="77" t="inlineStr">
        <is>
          <t>Industry: Blended biodiesels</t>
        </is>
      </c>
      <c r="S1154" s="77" t="inlineStr">
        <is>
          <t>Industry: Pure bio jet kerosene</t>
        </is>
      </c>
      <c r="T1154" s="77" t="inlineStr">
        <is>
          <t>Industry: Blended bio jet kerosene</t>
        </is>
      </c>
      <c r="U1154" s="77" t="inlineStr">
        <is>
          <t>Industry: Other liquid biofuels</t>
        </is>
      </c>
      <c r="V1154" s="77" t="inlineStr">
        <is>
          <t>Industry: Biogases</t>
        </is>
      </c>
      <c r="W1154" s="77" t="inlineStr">
        <is>
          <t>Transport: Primary solid biofuels</t>
        </is>
      </c>
      <c r="X1154" s="77" t="inlineStr">
        <is>
          <t>Transport: Charcoal</t>
        </is>
      </c>
      <c r="Y1154" s="77" t="inlineStr">
        <is>
          <t>Transport: Pure biogasoline</t>
        </is>
      </c>
      <c r="Z1154" s="77" t="inlineStr">
        <is>
          <t>Transport: Blended biogasoline</t>
        </is>
      </c>
      <c r="AA1154" s="77" t="inlineStr">
        <is>
          <t>Transport: Pure biodiesels</t>
        </is>
      </c>
      <c r="AB1154" s="77" t="inlineStr">
        <is>
          <t>Transport: Blended biodiesels</t>
        </is>
      </c>
      <c r="AC1154" s="77" t="inlineStr">
        <is>
          <t>Transport: Pure bio jet kerosene</t>
        </is>
      </c>
      <c r="AD1154" s="77" t="inlineStr">
        <is>
          <t>Transport: Blended bio jet kerosene</t>
        </is>
      </c>
      <c r="AE1154" s="77" t="inlineStr">
        <is>
          <t>Transport: Other liquid biofuels</t>
        </is>
      </c>
      <c r="AF1154" s="77" t="inlineStr">
        <is>
          <t>Transport: Biogases</t>
        </is>
      </c>
      <c r="AG1154" s="77" t="inlineStr">
        <is>
          <t>Other sectors: Primary solid biofuels</t>
        </is>
      </c>
      <c r="AH1154" s="77" t="inlineStr">
        <is>
          <t>Other sectors: Charcoal</t>
        </is>
      </c>
      <c r="AI1154" s="77" t="inlineStr">
        <is>
          <t>Other sectors: Pure biogasoline</t>
        </is>
      </c>
      <c r="AJ1154" s="77" t="inlineStr">
        <is>
          <t>Other sectors: Blended biogasoline</t>
        </is>
      </c>
      <c r="AK1154" s="77" t="inlineStr">
        <is>
          <t>Other sectors: Pure biodiesels</t>
        </is>
      </c>
      <c r="AL1154" s="77" t="inlineStr">
        <is>
          <t>Other sectors: Blended biodiesels</t>
        </is>
      </c>
      <c r="AM1154" s="77" t="inlineStr">
        <is>
          <t>Other sectors: Pure bio jet kerosene</t>
        </is>
      </c>
      <c r="AN1154" s="77" t="inlineStr">
        <is>
          <t>Other sectors: Blended bio jet kerosene</t>
        </is>
      </c>
      <c r="AO1154" s="77" t="inlineStr">
        <is>
          <t>Other sectors: Other liquid biofuels</t>
        </is>
      </c>
      <c r="AP1154" s="77" t="inlineStr">
        <is>
          <t>Other sectors: Biogases</t>
        </is>
      </c>
      <c r="AQ1154" s="77" t="inlineStr">
        <is>
          <t>nrg_bal_c BIOE</t>
        </is>
      </c>
      <c r="AR1154" s="77" t="inlineStr">
        <is>
          <t>Unit conversion (× 0.001)</t>
        </is>
      </c>
    </row>
    <row r="1155" ht="14" customHeight="1">
      <c r="A1155" s="16" t="n">
        <v>2005</v>
      </c>
      <c r="B1155" s="78">
        <f>IF((A1155&gt;=2022),ROUND((AQ1155*AR1155),1),((((((((((((((((((((((((((((((((((((((((C1155+D1155)+E1155)+F1155)+G1155)+H1155)+I1155)+J1155)+K1155)+L1155)+M1155)+N1155)+O1155)+P1155)+Q1155)+R1155)+S1155)+T1155)+U1155)+V1155)+W1155)+X1155)+Y1155)+Z1155)+AA1155)+AB1155)+AC1155)+AD1155)+AE1155)+AF1155)+AG1155)+AH1155)+AI1155)+AJ1155)+AK1155)+AL1155)+AM1155)+AN1155)+AO1155)+AP1155)*0.001))</f>
        <v/>
      </c>
      <c r="C1155" s="79" t="n">
        <v>164104.332</v>
      </c>
      <c r="D1155" s="79" t="n">
        <v>0</v>
      </c>
      <c r="E1155" s="79" t="n">
        <v>6454.615</v>
      </c>
      <c r="F1155" s="79" t="n">
        <v>0</v>
      </c>
      <c r="G1155" s="79" t="n">
        <v>17620.64</v>
      </c>
      <c r="H1155" s="79" t="n">
        <v>0</v>
      </c>
      <c r="I1155" s="79" t="n">
        <v>0</v>
      </c>
      <c r="J1155" s="79" t="n">
        <v>0</v>
      </c>
      <c r="K1155" s="79" t="n">
        <v>5673.882</v>
      </c>
      <c r="L1155" s="79" t="n">
        <v>22981.133</v>
      </c>
      <c r="M1155" s="79" t="n">
        <v>199345.482</v>
      </c>
      <c r="N1155" s="79" t="n">
        <v>171.111</v>
      </c>
      <c r="O1155" s="79" t="n">
        <v>0</v>
      </c>
      <c r="P1155" s="79" t="n">
        <v>1.733</v>
      </c>
      <c r="Q1155" s="79" t="n">
        <v>0.677</v>
      </c>
      <c r="R1155" s="79" t="n">
        <v>42.046</v>
      </c>
      <c r="S1155" s="79" t="n">
        <v>0</v>
      </c>
      <c r="T1155" s="79" t="n">
        <v>0</v>
      </c>
      <c r="U1155" s="79" t="n">
        <v>230.951</v>
      </c>
      <c r="V1155" s="79" t="n">
        <v>1530.049</v>
      </c>
      <c r="W1155" s="79" t="n">
        <v>7.864</v>
      </c>
      <c r="X1155" s="79" t="n">
        <v>0</v>
      </c>
      <c r="Y1155" s="79" t="n">
        <v>92.15900000000001</v>
      </c>
      <c r="Z1155" s="79" t="n">
        <v>6228.402</v>
      </c>
      <c r="AA1155" s="79" t="n">
        <v>11283.492</v>
      </c>
      <c r="AB1155" s="79" t="n">
        <v>17212.74</v>
      </c>
      <c r="AC1155" s="79" t="n">
        <v>0</v>
      </c>
      <c r="AD1155" s="79" t="n">
        <v>0</v>
      </c>
      <c r="AE1155" s="79" t="n">
        <v>1696.31</v>
      </c>
      <c r="AF1155" s="79" t="n">
        <v>0</v>
      </c>
      <c r="AG1155" s="79" t="n">
        <v>433247.502</v>
      </c>
      <c r="AH1155" s="79" t="n">
        <v>2489.039</v>
      </c>
      <c r="AI1155" s="79" t="n">
        <v>0</v>
      </c>
      <c r="AJ1155" s="79" t="n">
        <v>72.533</v>
      </c>
      <c r="AK1155" s="79" t="n">
        <v>339.462</v>
      </c>
      <c r="AL1155" s="79" t="n">
        <v>571.213</v>
      </c>
      <c r="AM1155" s="79" t="n">
        <v>0</v>
      </c>
      <c r="AN1155" s="79" t="n">
        <v>0</v>
      </c>
      <c r="AO1155" s="79" t="n">
        <v>261.3</v>
      </c>
      <c r="AP1155" s="79" t="n">
        <v>4726.776</v>
      </c>
      <c r="AQ1155" s="79" t="n"/>
      <c r="AR1155" s="79" t="n"/>
    </row>
    <row r="1156" ht="14" customHeight="1">
      <c r="A1156" s="23" t="n">
        <v>2006</v>
      </c>
      <c r="B1156" s="80">
        <f>IF((A1156&gt;=2022),ROUND((AQ1156*AR1156),1),((((((((((((((((((((((((((((((((((((((((C1156+D1156)+E1156)+F1156)+G1156)+H1156)+I1156)+J1156)+K1156)+L1156)+M1156)+N1156)+O1156)+P1156)+Q1156)+R1156)+S1156)+T1156)+U1156)+V1156)+W1156)+X1156)+Y1156)+Z1156)+AA1156)+AB1156)+AC1156)+AD1156)+AE1156)+AF1156)+AG1156)+AH1156)+AI1156)+AJ1156)+AK1156)+AL1156)+AM1156)+AN1156)+AO1156)+AP1156)*0.001))</f>
        <v/>
      </c>
      <c r="C1156" s="81" t="n">
        <v>174969.609</v>
      </c>
      <c r="D1156" s="81" t="n">
        <v>0</v>
      </c>
      <c r="E1156" s="81" t="n">
        <v>9707.165000000001</v>
      </c>
      <c r="F1156" s="81" t="n">
        <v>0</v>
      </c>
      <c r="G1156" s="81" t="n">
        <v>24534.078</v>
      </c>
      <c r="H1156" s="81" t="n">
        <v>0</v>
      </c>
      <c r="I1156" s="81" t="n">
        <v>0</v>
      </c>
      <c r="J1156" s="81" t="n">
        <v>0</v>
      </c>
      <c r="K1156" s="81" t="n">
        <v>8271.969999999999</v>
      </c>
      <c r="L1156" s="81" t="n">
        <v>25942.633</v>
      </c>
      <c r="M1156" s="81" t="n">
        <v>207534.157</v>
      </c>
      <c r="N1156" s="81" t="n">
        <v>179.667</v>
      </c>
      <c r="O1156" s="81" t="n">
        <v>0</v>
      </c>
      <c r="P1156" s="81" t="n">
        <v>2.07</v>
      </c>
      <c r="Q1156" s="81" t="n">
        <v>4.504</v>
      </c>
      <c r="R1156" s="81" t="n">
        <v>178.028</v>
      </c>
      <c r="S1156" s="81" t="n">
        <v>0</v>
      </c>
      <c r="T1156" s="81" t="n">
        <v>0</v>
      </c>
      <c r="U1156" s="81" t="n">
        <v>506.874</v>
      </c>
      <c r="V1156" s="81" t="n">
        <v>1351.062</v>
      </c>
      <c r="W1156" s="81" t="n">
        <v>7.03</v>
      </c>
      <c r="X1156" s="81" t="n">
        <v>0</v>
      </c>
      <c r="Y1156" s="81" t="n">
        <v>106.67</v>
      </c>
      <c r="Z1156" s="81" t="n">
        <v>9677.332</v>
      </c>
      <c r="AA1156" s="81" t="n">
        <v>19615.94</v>
      </c>
      <c r="AB1156" s="81" t="n">
        <v>23963.742</v>
      </c>
      <c r="AC1156" s="81" t="n">
        <v>0</v>
      </c>
      <c r="AD1156" s="81" t="n">
        <v>0</v>
      </c>
      <c r="AE1156" s="81" t="n">
        <v>7050.42</v>
      </c>
      <c r="AF1156" s="81" t="n">
        <v>0</v>
      </c>
      <c r="AG1156" s="81" t="n">
        <v>447735.163</v>
      </c>
      <c r="AH1156" s="81" t="n">
        <v>2486.05</v>
      </c>
      <c r="AI1156" s="81" t="n">
        <v>0</v>
      </c>
      <c r="AJ1156" s="81" t="n">
        <v>87.203</v>
      </c>
      <c r="AK1156" s="81" t="n">
        <v>349.498</v>
      </c>
      <c r="AL1156" s="81" t="n">
        <v>1346.269</v>
      </c>
      <c r="AM1156" s="81" t="n">
        <v>0</v>
      </c>
      <c r="AN1156" s="81" t="n">
        <v>0</v>
      </c>
      <c r="AO1156" s="81" t="n">
        <v>675.1849999999999</v>
      </c>
      <c r="AP1156" s="81" t="n">
        <v>5783.141</v>
      </c>
      <c r="AQ1156" s="81" t="n"/>
      <c r="AR1156" s="81" t="n"/>
    </row>
    <row r="1157" ht="14" customHeight="1">
      <c r="A1157" s="16" t="n">
        <v>2007</v>
      </c>
      <c r="B1157" s="78">
        <f>IF((A1157&gt;=2022),ROUND((AQ1157*AR1157),1),((((((((((((((((((((((((((((((((((((((((C1157+D1157)+E1157)+F1157)+G1157)+H1157)+I1157)+J1157)+K1157)+L1157)+M1157)+N1157)+O1157)+P1157)+Q1157)+R1157)+S1157)+T1157)+U1157)+V1157)+W1157)+X1157)+Y1157)+Z1157)+AA1157)+AB1157)+AC1157)+AD1157)+AE1157)+AF1157)+AG1157)+AH1157)+AI1157)+AJ1157)+AK1157)+AL1157)+AM1157)+AN1157)+AO1157)+AP1157)*0.001))</f>
        <v/>
      </c>
      <c r="C1157" s="79" t="n">
        <v>183274.444</v>
      </c>
      <c r="D1157" s="79" t="n">
        <v>0</v>
      </c>
      <c r="E1157" s="79" t="n">
        <v>12366.48</v>
      </c>
      <c r="F1157" s="79" t="n">
        <v>0</v>
      </c>
      <c r="G1157" s="79" t="n">
        <v>43572.87</v>
      </c>
      <c r="H1157" s="79" t="n">
        <v>0</v>
      </c>
      <c r="I1157" s="79" t="n">
        <v>0</v>
      </c>
      <c r="J1157" s="79" t="n">
        <v>0</v>
      </c>
      <c r="K1157" s="79" t="n">
        <v>4926.736</v>
      </c>
      <c r="L1157" s="79" t="n">
        <v>37618.637</v>
      </c>
      <c r="M1157" s="79" t="n">
        <v>215460.945</v>
      </c>
      <c r="N1157" s="79" t="n">
        <v>171.111</v>
      </c>
      <c r="O1157" s="79" t="n">
        <v>0</v>
      </c>
      <c r="P1157" s="79" t="n">
        <v>2.46</v>
      </c>
      <c r="Q1157" s="79" t="n">
        <v>2.404</v>
      </c>
      <c r="R1157" s="79" t="n">
        <v>298.432</v>
      </c>
      <c r="S1157" s="79" t="n">
        <v>0</v>
      </c>
      <c r="T1157" s="79" t="n">
        <v>0</v>
      </c>
      <c r="U1157" s="79" t="n">
        <v>640.785</v>
      </c>
      <c r="V1157" s="79" t="n">
        <v>1790.342</v>
      </c>
      <c r="W1157" s="79" t="n">
        <v>16.197</v>
      </c>
      <c r="X1157" s="79" t="n">
        <v>0</v>
      </c>
      <c r="Y1157" s="79" t="n">
        <v>166.789</v>
      </c>
      <c r="Z1157" s="79" t="n">
        <v>12521.524</v>
      </c>
      <c r="AA1157" s="79" t="n">
        <v>19535.293</v>
      </c>
      <c r="AB1157" s="79" t="n">
        <v>43990.075</v>
      </c>
      <c r="AC1157" s="79" t="n">
        <v>0</v>
      </c>
      <c r="AD1157" s="79" t="n">
        <v>0</v>
      </c>
      <c r="AE1157" s="79" t="n">
        <v>8256.715</v>
      </c>
      <c r="AF1157" s="79" t="n">
        <v>0</v>
      </c>
      <c r="AG1157" s="79" t="n">
        <v>476947.058</v>
      </c>
      <c r="AH1157" s="79" t="n">
        <v>3179.457</v>
      </c>
      <c r="AI1157" s="79" t="n">
        <v>0</v>
      </c>
      <c r="AJ1157" s="79" t="n">
        <v>104.805</v>
      </c>
      <c r="AK1157" s="79" t="n">
        <v>798.319</v>
      </c>
      <c r="AL1157" s="79" t="n">
        <v>1903.77</v>
      </c>
      <c r="AM1157" s="79" t="n">
        <v>0</v>
      </c>
      <c r="AN1157" s="79" t="n">
        <v>0</v>
      </c>
      <c r="AO1157" s="79" t="n">
        <v>824.015</v>
      </c>
      <c r="AP1157" s="79" t="n">
        <v>7578.54</v>
      </c>
      <c r="AQ1157" s="79" t="n"/>
      <c r="AR1157" s="79" t="n"/>
    </row>
    <row r="1158" ht="14" customHeight="1">
      <c r="A1158" s="23" t="n">
        <v>2008</v>
      </c>
      <c r="B1158" s="80">
        <f>IF((A1158&gt;=2022),ROUND((AQ1158*AR1158),1),((((((((((((((((((((((((((((((((((((((((C1158+D1158)+E1158)+F1158)+G1158)+H1158)+I1158)+J1158)+K1158)+L1158)+M1158)+N1158)+O1158)+P1158)+Q1158)+R1158)+S1158)+T1158)+U1158)+V1158)+W1158)+X1158)+Y1158)+Z1158)+AA1158)+AB1158)+AC1158)+AD1158)+AE1158)+AF1158)+AG1158)+AH1158)+AI1158)+AJ1158)+AK1158)+AL1158)+AM1158)+AN1158)+AO1158)+AP1158)*0.001))</f>
        <v/>
      </c>
      <c r="C1158" s="81" t="n">
        <v>202074.777</v>
      </c>
      <c r="D1158" s="81" t="n">
        <v>0</v>
      </c>
      <c r="E1158" s="81" t="n">
        <v>19619.537</v>
      </c>
      <c r="F1158" s="81" t="n">
        <v>0</v>
      </c>
      <c r="G1158" s="81" t="n">
        <v>70563.715</v>
      </c>
      <c r="H1158" s="81" t="n">
        <v>0</v>
      </c>
      <c r="I1158" s="81" t="n">
        <v>0</v>
      </c>
      <c r="J1158" s="81" t="n">
        <v>0</v>
      </c>
      <c r="K1158" s="81" t="n">
        <v>5506.914</v>
      </c>
      <c r="L1158" s="81" t="n">
        <v>45957.729</v>
      </c>
      <c r="M1158" s="81" t="n">
        <v>207137.574</v>
      </c>
      <c r="N1158" s="81" t="n">
        <v>436.333</v>
      </c>
      <c r="O1158" s="81" t="n">
        <v>0</v>
      </c>
      <c r="P1158" s="81" t="n">
        <v>3.203</v>
      </c>
      <c r="Q1158" s="81" t="n">
        <v>2.466</v>
      </c>
      <c r="R1158" s="81" t="n">
        <v>329.435</v>
      </c>
      <c r="S1158" s="81" t="n">
        <v>0</v>
      </c>
      <c r="T1158" s="81" t="n">
        <v>0</v>
      </c>
      <c r="U1158" s="81" t="n">
        <v>1250.876</v>
      </c>
      <c r="V1158" s="81" t="n">
        <v>1552.163</v>
      </c>
      <c r="W1158" s="81" t="n">
        <v>1.753</v>
      </c>
      <c r="X1158" s="81" t="n">
        <v>0</v>
      </c>
      <c r="Y1158" s="81" t="n">
        <v>188.995</v>
      </c>
      <c r="Z1158" s="81" t="n">
        <v>19497.558</v>
      </c>
      <c r="AA1158" s="81" t="n">
        <v>12420.581</v>
      </c>
      <c r="AB1158" s="81" t="n">
        <v>68471.726</v>
      </c>
      <c r="AC1158" s="81" t="n">
        <v>0</v>
      </c>
      <c r="AD1158" s="81" t="n">
        <v>0</v>
      </c>
      <c r="AE1158" s="81" t="n">
        <v>3357.445</v>
      </c>
      <c r="AF1158" s="81" t="n">
        <v>221.67</v>
      </c>
      <c r="AG1158" s="81" t="n">
        <v>519431.005</v>
      </c>
      <c r="AH1158" s="81" t="n">
        <v>3013.484</v>
      </c>
      <c r="AI1158" s="81" t="n">
        <v>0</v>
      </c>
      <c r="AJ1158" s="81" t="n">
        <v>164.078</v>
      </c>
      <c r="AK1158" s="81" t="n">
        <v>692.451</v>
      </c>
      <c r="AL1158" s="81" t="n">
        <v>1616.235</v>
      </c>
      <c r="AM1158" s="81" t="n">
        <v>0</v>
      </c>
      <c r="AN1158" s="81" t="n">
        <v>0</v>
      </c>
      <c r="AO1158" s="81" t="n">
        <v>808.683</v>
      </c>
      <c r="AP1158" s="81" t="n">
        <v>8301.276</v>
      </c>
      <c r="AQ1158" s="81" t="n"/>
      <c r="AR1158" s="81" t="n"/>
    </row>
    <row r="1159" ht="14" customHeight="1">
      <c r="A1159" s="16" t="n">
        <v>2009</v>
      </c>
      <c r="B1159" s="78">
        <f>IF((A1159&gt;=2022),ROUND((AQ1159*AR1159),1),((((((((((((((((((((((((((((((((((((((((C1159+D1159)+E1159)+F1159)+G1159)+H1159)+I1159)+J1159)+K1159)+L1159)+M1159)+N1159)+O1159)+P1159)+Q1159)+R1159)+S1159)+T1159)+U1159)+V1159)+W1159)+X1159)+Y1159)+Z1159)+AA1159)+AB1159)+AC1159)+AD1159)+AE1159)+AF1159)+AG1159)+AH1159)+AI1159)+AJ1159)+AK1159)+AL1159)+AM1159)+AN1159)+AO1159)+AP1159)*0.001))</f>
        <v/>
      </c>
      <c r="C1159" s="79" t="n">
        <v>217786.843</v>
      </c>
      <c r="D1159" s="79" t="n">
        <v>0</v>
      </c>
      <c r="E1159" s="79" t="n">
        <v>24059.307</v>
      </c>
      <c r="F1159" s="79" t="n">
        <v>0</v>
      </c>
      <c r="G1159" s="79" t="n">
        <v>93601.753</v>
      </c>
      <c r="H1159" s="79" t="n">
        <v>0</v>
      </c>
      <c r="I1159" s="79" t="n">
        <v>0</v>
      </c>
      <c r="J1159" s="79" t="n">
        <v>0</v>
      </c>
      <c r="K1159" s="79" t="n">
        <v>10314.912</v>
      </c>
      <c r="L1159" s="79" t="n">
        <v>52179.243</v>
      </c>
      <c r="M1159" s="79" t="n">
        <v>204216.188</v>
      </c>
      <c r="N1159" s="79" t="n">
        <v>222.444</v>
      </c>
      <c r="O1159" s="79" t="n">
        <v>0</v>
      </c>
      <c r="P1159" s="79" t="n">
        <v>2.708</v>
      </c>
      <c r="Q1159" s="79" t="n">
        <v>7.307</v>
      </c>
      <c r="R1159" s="79" t="n">
        <v>428.916</v>
      </c>
      <c r="S1159" s="79" t="n">
        <v>0</v>
      </c>
      <c r="T1159" s="79" t="n">
        <v>0</v>
      </c>
      <c r="U1159" s="79" t="n">
        <v>995.092</v>
      </c>
      <c r="V1159" s="79" t="n">
        <v>1903.97</v>
      </c>
      <c r="W1159" s="79" t="n">
        <v>0.919</v>
      </c>
      <c r="X1159" s="79" t="n">
        <v>0</v>
      </c>
      <c r="Y1159" s="79" t="n">
        <v>188.337</v>
      </c>
      <c r="Z1159" s="79" t="n">
        <v>23885.804</v>
      </c>
      <c r="AA1159" s="79" t="n">
        <v>5941.212</v>
      </c>
      <c r="AB1159" s="79" t="n">
        <v>91954.921</v>
      </c>
      <c r="AC1159" s="79" t="n">
        <v>0</v>
      </c>
      <c r="AD1159" s="79" t="n">
        <v>0</v>
      </c>
      <c r="AE1159" s="79" t="n">
        <v>883.452</v>
      </c>
      <c r="AF1159" s="79" t="n">
        <v>259.183</v>
      </c>
      <c r="AG1159" s="79" t="n">
        <v>522911.208</v>
      </c>
      <c r="AH1159" s="79" t="n">
        <v>4050.954</v>
      </c>
      <c r="AI1159" s="79" t="n">
        <v>0</v>
      </c>
      <c r="AJ1159" s="79" t="n">
        <v>160.98</v>
      </c>
      <c r="AK1159" s="79" t="n">
        <v>396.163</v>
      </c>
      <c r="AL1159" s="79" t="n">
        <v>2236.838</v>
      </c>
      <c r="AM1159" s="79" t="n">
        <v>0</v>
      </c>
      <c r="AN1159" s="79" t="n">
        <v>0</v>
      </c>
      <c r="AO1159" s="79" t="n">
        <v>1414.662</v>
      </c>
      <c r="AP1159" s="79" t="n">
        <v>10252.725</v>
      </c>
      <c r="AQ1159" s="79" t="n"/>
      <c r="AR1159" s="79" t="n"/>
    </row>
    <row r="1160" ht="14" customHeight="1">
      <c r="A1160" s="23" t="n">
        <v>2010</v>
      </c>
      <c r="B1160" s="80">
        <f>IF((A1160&gt;=2022),ROUND((AQ1160*AR1160),1),((((((((((((((((((((((((((((((((((((((((C1160+D1160)+E1160)+F1160)+G1160)+H1160)+I1160)+J1160)+K1160)+L1160)+M1160)+N1160)+O1160)+P1160)+Q1160)+R1160)+S1160)+T1160)+U1160)+V1160)+W1160)+X1160)+Y1160)+Z1160)+AA1160)+AB1160)+AC1160)+AD1160)+AE1160)+AF1160)+AG1160)+AH1160)+AI1160)+AJ1160)+AK1160)+AL1160)+AM1160)+AN1160)+AO1160)+AP1160)*0.001))</f>
        <v/>
      </c>
      <c r="C1160" s="81" t="n">
        <v>257534.265</v>
      </c>
      <c r="D1160" s="81" t="n">
        <v>0</v>
      </c>
      <c r="E1160" s="81" t="n">
        <v>28028.452</v>
      </c>
      <c r="F1160" s="81" t="n">
        <v>0</v>
      </c>
      <c r="G1160" s="81" t="n">
        <v>104794.637</v>
      </c>
      <c r="H1160" s="81" t="n">
        <v>0</v>
      </c>
      <c r="I1160" s="81" t="n">
        <v>0</v>
      </c>
      <c r="J1160" s="81" t="n">
        <v>0</v>
      </c>
      <c r="K1160" s="81" t="n">
        <v>12830.382</v>
      </c>
      <c r="L1160" s="81" t="n">
        <v>60329.74</v>
      </c>
      <c r="M1160" s="81" t="n">
        <v>219870.824</v>
      </c>
      <c r="N1160" s="81" t="n">
        <v>85.556</v>
      </c>
      <c r="O1160" s="81" t="n">
        <v>0.03</v>
      </c>
      <c r="P1160" s="81" t="n">
        <v>2.928</v>
      </c>
      <c r="Q1160" s="81" t="n">
        <v>15.953</v>
      </c>
      <c r="R1160" s="81" t="n">
        <v>449.05</v>
      </c>
      <c r="S1160" s="81" t="n">
        <v>0</v>
      </c>
      <c r="T1160" s="81" t="n">
        <v>0</v>
      </c>
      <c r="U1160" s="81" t="n">
        <v>940.647</v>
      </c>
      <c r="V1160" s="81" t="n">
        <v>3574.416</v>
      </c>
      <c r="W1160" s="81" t="n">
        <v>0.08599999999999999</v>
      </c>
      <c r="X1160" s="81" t="n">
        <v>0</v>
      </c>
      <c r="Y1160" s="81" t="n">
        <v>266.151</v>
      </c>
      <c r="Z1160" s="81" t="n">
        <v>28575.893</v>
      </c>
      <c r="AA1160" s="81" t="n">
        <v>6419.342</v>
      </c>
      <c r="AB1160" s="81" t="n">
        <v>103490.793</v>
      </c>
      <c r="AC1160" s="81" t="n">
        <v>0</v>
      </c>
      <c r="AD1160" s="81" t="n">
        <v>0</v>
      </c>
      <c r="AE1160" s="81" t="n">
        <v>602.652</v>
      </c>
      <c r="AF1160" s="81" t="n">
        <v>321.691</v>
      </c>
      <c r="AG1160" s="81" t="n">
        <v>557961.404</v>
      </c>
      <c r="AH1160" s="81" t="n">
        <v>4017.172</v>
      </c>
      <c r="AI1160" s="81" t="n">
        <v>0</v>
      </c>
      <c r="AJ1160" s="81" t="n">
        <v>177.809</v>
      </c>
      <c r="AK1160" s="81" t="n">
        <v>295.856</v>
      </c>
      <c r="AL1160" s="81" t="n">
        <v>2147.737</v>
      </c>
      <c r="AM1160" s="81" t="n">
        <v>0</v>
      </c>
      <c r="AN1160" s="81" t="n">
        <v>0</v>
      </c>
      <c r="AO1160" s="81" t="n">
        <v>1317.551</v>
      </c>
      <c r="AP1160" s="81" t="n">
        <v>12131.37</v>
      </c>
      <c r="AQ1160" s="81" t="n"/>
      <c r="AR1160" s="81" t="n"/>
    </row>
    <row r="1161" ht="14" customHeight="1">
      <c r="A1161" s="16" t="n">
        <v>2011</v>
      </c>
      <c r="B1161" s="78">
        <f>IF((A1161&gt;=2022),ROUND((AQ1161*AR1161),1),((((((((((((((((((((((((((((((((((((((((C1161+D1161)+E1161)+F1161)+G1161)+H1161)+I1161)+J1161)+K1161)+L1161)+M1161)+N1161)+O1161)+P1161)+Q1161)+R1161)+S1161)+T1161)+U1161)+V1161)+W1161)+X1161)+Y1161)+Z1161)+AA1161)+AB1161)+AC1161)+AD1161)+AE1161)+AF1161)+AG1161)+AH1161)+AI1161)+AJ1161)+AK1161)+AL1161)+AM1161)+AN1161)+AO1161)+AP1161)*0.001))</f>
        <v/>
      </c>
      <c r="C1161" s="79" t="n">
        <v>255453.042</v>
      </c>
      <c r="D1161" s="79" t="n">
        <v>0</v>
      </c>
      <c r="E1161" s="79" t="n">
        <v>28089.302</v>
      </c>
      <c r="F1161" s="79" t="n">
        <v>0</v>
      </c>
      <c r="G1161" s="79" t="n">
        <v>112777.528</v>
      </c>
      <c r="H1161" s="79" t="n">
        <v>0</v>
      </c>
      <c r="I1161" s="79" t="n">
        <v>0</v>
      </c>
      <c r="J1161" s="79" t="n">
        <v>0</v>
      </c>
      <c r="K1161" s="79" t="n">
        <v>8366.450000000001</v>
      </c>
      <c r="L1161" s="79" t="n">
        <v>76821.349</v>
      </c>
      <c r="M1161" s="79" t="n">
        <v>219628.873</v>
      </c>
      <c r="N1161" s="79" t="n">
        <v>85.556</v>
      </c>
      <c r="O1161" s="79" t="n">
        <v>0</v>
      </c>
      <c r="P1161" s="79" t="n">
        <v>3.42</v>
      </c>
      <c r="Q1161" s="79" t="n">
        <v>34.156</v>
      </c>
      <c r="R1161" s="79" t="n">
        <v>465.226</v>
      </c>
      <c r="S1161" s="79" t="n">
        <v>0</v>
      </c>
      <c r="T1161" s="79" t="n">
        <v>0</v>
      </c>
      <c r="U1161" s="79" t="n">
        <v>503.496</v>
      </c>
      <c r="V1161" s="79" t="n">
        <v>3949.935</v>
      </c>
      <c r="W1161" s="79" t="n">
        <v>0.364</v>
      </c>
      <c r="X1161" s="79" t="n">
        <v>0</v>
      </c>
      <c r="Y1161" s="79" t="n">
        <v>323.489</v>
      </c>
      <c r="Z1161" s="79" t="n">
        <v>29158.612</v>
      </c>
      <c r="AA1161" s="79" t="n">
        <v>4834.156</v>
      </c>
      <c r="AB1161" s="79" t="n">
        <v>112229.807</v>
      </c>
      <c r="AC1161" s="79" t="n">
        <v>0</v>
      </c>
      <c r="AD1161" s="79" t="n">
        <v>0</v>
      </c>
      <c r="AE1161" s="79" t="n">
        <v>191.675</v>
      </c>
      <c r="AF1161" s="79" t="n">
        <v>822.308</v>
      </c>
      <c r="AG1161" s="79" t="n">
        <v>499386.409</v>
      </c>
      <c r="AH1161" s="79" t="n">
        <v>4193.423</v>
      </c>
      <c r="AI1161" s="79" t="n">
        <v>0</v>
      </c>
      <c r="AJ1161" s="79" t="n">
        <v>199.525</v>
      </c>
      <c r="AK1161" s="79" t="n">
        <v>139.566</v>
      </c>
      <c r="AL1161" s="79" t="n">
        <v>2218.155</v>
      </c>
      <c r="AM1161" s="79" t="n">
        <v>0</v>
      </c>
      <c r="AN1161" s="79" t="n">
        <v>0</v>
      </c>
      <c r="AO1161" s="79" t="n">
        <v>598.8339999999999</v>
      </c>
      <c r="AP1161" s="79" t="n">
        <v>13487.874</v>
      </c>
      <c r="AQ1161" s="79" t="n"/>
      <c r="AR1161" s="79" t="n"/>
    </row>
    <row r="1162" ht="14" customHeight="1">
      <c r="A1162" s="23" t="n">
        <v>2012</v>
      </c>
      <c r="B1162" s="80">
        <f>IF((A1162&gt;=2022),ROUND((AQ1162*AR1162),1),((((((((((((((((((((((((((((((((((((((((C1162+D1162)+E1162)+F1162)+G1162)+H1162)+I1162)+J1162)+K1162)+L1162)+M1162)+N1162)+O1162)+P1162)+Q1162)+R1162)+S1162)+T1162)+U1162)+V1162)+W1162)+X1162)+Y1162)+Z1162)+AA1162)+AB1162)+AC1162)+AD1162)+AE1162)+AF1162)+AG1162)+AH1162)+AI1162)+AJ1162)+AK1162)+AL1162)+AM1162)+AN1162)+AO1162)+AP1162)*0.001))</f>
        <v/>
      </c>
      <c r="C1162" s="81" t="n">
        <v>287713.128</v>
      </c>
      <c r="D1162" s="81" t="n">
        <v>0</v>
      </c>
      <c r="E1162" s="81" t="n">
        <v>28373.948</v>
      </c>
      <c r="F1162" s="81" t="n">
        <v>0</v>
      </c>
      <c r="G1162" s="81" t="n">
        <v>125982.657</v>
      </c>
      <c r="H1162" s="81" t="n">
        <v>0</v>
      </c>
      <c r="I1162" s="81" t="n">
        <v>0</v>
      </c>
      <c r="J1162" s="81" t="n">
        <v>0</v>
      </c>
      <c r="K1162" s="81" t="n">
        <v>9238.421</v>
      </c>
      <c r="L1162" s="81" t="n">
        <v>92870.045</v>
      </c>
      <c r="M1162" s="81" t="n">
        <v>213283.065</v>
      </c>
      <c r="N1162" s="81" t="n">
        <v>85.556</v>
      </c>
      <c r="O1162" s="81" t="n">
        <v>10.471</v>
      </c>
      <c r="P1162" s="81" t="n">
        <v>3.241</v>
      </c>
      <c r="Q1162" s="81" t="n">
        <v>22.954</v>
      </c>
      <c r="R1162" s="81" t="n">
        <v>756.167</v>
      </c>
      <c r="S1162" s="81" t="n">
        <v>0</v>
      </c>
      <c r="T1162" s="81" t="n">
        <v>0</v>
      </c>
      <c r="U1162" s="81" t="n">
        <v>165.803</v>
      </c>
      <c r="V1162" s="81" t="n">
        <v>2634.923</v>
      </c>
      <c r="W1162" s="81" t="n">
        <v>0.365</v>
      </c>
      <c r="X1162" s="81" t="n">
        <v>0</v>
      </c>
      <c r="Y1162" s="81" t="n">
        <v>338.24</v>
      </c>
      <c r="Z1162" s="81" t="n">
        <v>28391.595</v>
      </c>
      <c r="AA1162" s="81" t="n">
        <v>3500.495</v>
      </c>
      <c r="AB1162" s="81" t="n">
        <v>123723.405</v>
      </c>
      <c r="AC1162" s="81" t="n">
        <v>0</v>
      </c>
      <c r="AD1162" s="81" t="n">
        <v>0</v>
      </c>
      <c r="AE1162" s="81" t="n">
        <v>185.374</v>
      </c>
      <c r="AF1162" s="81" t="n">
        <v>1142.907</v>
      </c>
      <c r="AG1162" s="81" t="n">
        <v>561599.938</v>
      </c>
      <c r="AH1162" s="81" t="n">
        <v>4621.624</v>
      </c>
      <c r="AI1162" s="81" t="n">
        <v>0</v>
      </c>
      <c r="AJ1162" s="81" t="n">
        <v>227.027</v>
      </c>
      <c r="AK1162" s="81" t="n">
        <v>188.285</v>
      </c>
      <c r="AL1162" s="81" t="n">
        <v>2693.427</v>
      </c>
      <c r="AM1162" s="81" t="n">
        <v>0</v>
      </c>
      <c r="AN1162" s="81" t="n">
        <v>0</v>
      </c>
      <c r="AO1162" s="81" t="n">
        <v>229.528</v>
      </c>
      <c r="AP1162" s="81" t="n">
        <v>16246.299</v>
      </c>
      <c r="AQ1162" s="81" t="n"/>
      <c r="AR1162" s="81" t="n"/>
    </row>
    <row r="1163" ht="14" customHeight="1">
      <c r="A1163" s="16" t="n">
        <v>2013</v>
      </c>
      <c r="B1163" s="78">
        <f>IF((A1163&gt;=2022),ROUND((AQ1163*AR1163),1),((((((((((((((((((((((((((((((((((((((((C1163+D1163)+E1163)+F1163)+G1163)+H1163)+I1163)+J1163)+K1163)+L1163)+M1163)+N1163)+O1163)+P1163)+Q1163)+R1163)+S1163)+T1163)+U1163)+V1163)+W1163)+X1163)+Y1163)+Z1163)+AA1163)+AB1163)+AC1163)+AD1163)+AE1163)+AF1163)+AG1163)+AH1163)+AI1163)+AJ1163)+AK1163)+AL1163)+AM1163)+AN1163)+AO1163)+AP1163)*0.001))</f>
        <v/>
      </c>
      <c r="C1163" s="79" t="n">
        <v>291684.305</v>
      </c>
      <c r="D1163" s="79" t="n">
        <v>0</v>
      </c>
      <c r="E1163" s="79" t="n">
        <v>26724.414</v>
      </c>
      <c r="F1163" s="79" t="n">
        <v>0</v>
      </c>
      <c r="G1163" s="79" t="n">
        <v>111173.898</v>
      </c>
      <c r="H1163" s="79" t="n">
        <v>10.278</v>
      </c>
      <c r="I1163" s="79" t="n">
        <v>0</v>
      </c>
      <c r="J1163" s="79" t="n">
        <v>0</v>
      </c>
      <c r="K1163" s="79" t="n">
        <v>10973.93</v>
      </c>
      <c r="L1163" s="79" t="n">
        <v>107159.001</v>
      </c>
      <c r="M1163" s="79" t="n">
        <v>216596.685</v>
      </c>
      <c r="N1163" s="79" t="n">
        <v>96.807</v>
      </c>
      <c r="O1163" s="79" t="n">
        <v>12.838</v>
      </c>
      <c r="P1163" s="79" t="n">
        <v>3.04</v>
      </c>
      <c r="Q1163" s="79" t="n">
        <v>23.711</v>
      </c>
      <c r="R1163" s="79" t="n">
        <v>759.173</v>
      </c>
      <c r="S1163" s="79" t="n">
        <v>0</v>
      </c>
      <c r="T1163" s="79" t="n">
        <v>0</v>
      </c>
      <c r="U1163" s="79" t="n">
        <v>254.388</v>
      </c>
      <c r="V1163" s="79" t="n">
        <v>3358.469</v>
      </c>
      <c r="W1163" s="79" t="n">
        <v>3.692</v>
      </c>
      <c r="X1163" s="79" t="n">
        <v>0</v>
      </c>
      <c r="Y1163" s="79" t="n">
        <v>292.131</v>
      </c>
      <c r="Z1163" s="79" t="n">
        <v>26387.954</v>
      </c>
      <c r="AA1163" s="79" t="n">
        <v>2296.807</v>
      </c>
      <c r="AB1163" s="79" t="n">
        <v>109722.477</v>
      </c>
      <c r="AC1163" s="79" t="n">
        <v>0</v>
      </c>
      <c r="AD1163" s="79" t="n">
        <v>0</v>
      </c>
      <c r="AE1163" s="79" t="n">
        <v>48.134</v>
      </c>
      <c r="AF1163" s="79" t="n">
        <v>1355.767</v>
      </c>
      <c r="AG1163" s="79" t="n">
        <v>570560.179</v>
      </c>
      <c r="AH1163" s="79" t="n">
        <v>4483.024</v>
      </c>
      <c r="AI1163" s="79" t="n">
        <v>0</v>
      </c>
      <c r="AJ1163" s="79" t="n">
        <v>214.227</v>
      </c>
      <c r="AK1163" s="79" t="n">
        <v>173.918</v>
      </c>
      <c r="AL1163" s="79" t="n">
        <v>2729.411</v>
      </c>
      <c r="AM1163" s="79" t="n">
        <v>0</v>
      </c>
      <c r="AN1163" s="79" t="n">
        <v>0</v>
      </c>
      <c r="AO1163" s="79" t="n">
        <v>246.217</v>
      </c>
      <c r="AP1163" s="79" t="n">
        <v>18370.087</v>
      </c>
      <c r="AQ1163" s="79" t="n"/>
      <c r="AR1163" s="79" t="n"/>
    </row>
    <row r="1164" ht="14" customHeight="1">
      <c r="A1164" s="23" t="n">
        <v>2014</v>
      </c>
      <c r="B1164" s="80">
        <f>IF((A1164&gt;=2022),ROUND((AQ1164*AR1164),1),((((((((((((((((((((((((((((((((((((((((C1164+D1164)+E1164)+F1164)+G1164)+H1164)+I1164)+J1164)+K1164)+L1164)+M1164)+N1164)+O1164)+P1164)+Q1164)+R1164)+S1164)+T1164)+U1164)+V1164)+W1164)+X1164)+Y1164)+Z1164)+AA1164)+AB1164)+AC1164)+AD1164)+AE1164)+AF1164)+AG1164)+AH1164)+AI1164)+AJ1164)+AK1164)+AL1164)+AM1164)+AN1164)+AO1164)+AP1164)*0.001))</f>
        <v/>
      </c>
      <c r="C1164" s="81" t="n">
        <v>293392.067</v>
      </c>
      <c r="D1164" s="81" t="n">
        <v>0</v>
      </c>
      <c r="E1164" s="81" t="n">
        <v>26432.067</v>
      </c>
      <c r="F1164" s="81" t="n">
        <v>0</v>
      </c>
      <c r="G1164" s="81" t="n">
        <v>120701.752</v>
      </c>
      <c r="H1164" s="81" t="n">
        <v>10.278</v>
      </c>
      <c r="I1164" s="81" t="n">
        <v>0</v>
      </c>
      <c r="J1164" s="81" t="n">
        <v>0</v>
      </c>
      <c r="K1164" s="81" t="n">
        <v>11663.528</v>
      </c>
      <c r="L1164" s="81" t="n">
        <v>114866.093</v>
      </c>
      <c r="M1164" s="81" t="n">
        <v>219163.446</v>
      </c>
      <c r="N1164" s="81" t="n">
        <v>96.65000000000001</v>
      </c>
      <c r="O1164" s="81" t="n">
        <v>14.496</v>
      </c>
      <c r="P1164" s="81" t="n">
        <v>2.86</v>
      </c>
      <c r="Q1164" s="81" t="n">
        <v>74.31999999999999</v>
      </c>
      <c r="R1164" s="81" t="n">
        <v>877.913</v>
      </c>
      <c r="S1164" s="81" t="n">
        <v>0</v>
      </c>
      <c r="T1164" s="81" t="n">
        <v>0</v>
      </c>
      <c r="U1164" s="81" t="n">
        <v>442.742</v>
      </c>
      <c r="V1164" s="81" t="n">
        <v>3629.316</v>
      </c>
      <c r="W1164" s="81" t="n">
        <v>3.692</v>
      </c>
      <c r="X1164" s="81" t="n">
        <v>0</v>
      </c>
      <c r="Y1164" s="81" t="n">
        <v>252.36</v>
      </c>
      <c r="Z1164" s="81" t="n">
        <v>26312.495</v>
      </c>
      <c r="AA1164" s="81" t="n">
        <v>4171.505</v>
      </c>
      <c r="AB1164" s="81" t="n">
        <v>118883.897</v>
      </c>
      <c r="AC1164" s="81" t="n">
        <v>0</v>
      </c>
      <c r="AD1164" s="81" t="n">
        <v>0</v>
      </c>
      <c r="AE1164" s="81" t="n">
        <v>90.676</v>
      </c>
      <c r="AF1164" s="81" t="n">
        <v>1429.432</v>
      </c>
      <c r="AG1164" s="81" t="n">
        <v>503708.303</v>
      </c>
      <c r="AH1164" s="81" t="n">
        <v>4369.424</v>
      </c>
      <c r="AI1164" s="81" t="n">
        <v>0</v>
      </c>
      <c r="AJ1164" s="81" t="n">
        <v>204.883</v>
      </c>
      <c r="AK1164" s="81" t="n">
        <v>271.854</v>
      </c>
      <c r="AL1164" s="81" t="n">
        <v>2902.607</v>
      </c>
      <c r="AM1164" s="81" t="n">
        <v>0</v>
      </c>
      <c r="AN1164" s="81" t="n">
        <v>0</v>
      </c>
      <c r="AO1164" s="81" t="n">
        <v>260.658</v>
      </c>
      <c r="AP1164" s="81" t="n">
        <v>20097.055</v>
      </c>
      <c r="AQ1164" s="81" t="n"/>
      <c r="AR1164" s="81" t="n"/>
    </row>
    <row r="1165" ht="14" customHeight="1">
      <c r="A1165" s="16" t="n">
        <v>2015</v>
      </c>
      <c r="B1165" s="78">
        <f>IF((A1165&gt;=2022),ROUND((AQ1165*AR1165),1),((((((((((((((((((((((((((((((((((((((((C1165+D1165)+E1165)+F1165)+G1165)+H1165)+I1165)+J1165)+K1165)+L1165)+M1165)+N1165)+O1165)+P1165)+Q1165)+R1165)+S1165)+T1165)+U1165)+V1165)+W1165)+X1165)+Y1165)+Z1165)+AA1165)+AB1165)+AC1165)+AD1165)+AE1165)+AF1165)+AG1165)+AH1165)+AI1165)+AJ1165)+AK1165)+AL1165)+AM1165)+AN1165)+AO1165)+AP1165)*0.001))</f>
        <v/>
      </c>
      <c r="C1165" s="79" t="n">
        <v>298222.057</v>
      </c>
      <c r="D1165" s="79" t="n">
        <v>0</v>
      </c>
      <c r="E1165" s="79" t="n">
        <v>27441.63</v>
      </c>
      <c r="F1165" s="79" t="n">
        <v>0</v>
      </c>
      <c r="G1165" s="79" t="n">
        <v>119256.327</v>
      </c>
      <c r="H1165" s="79" t="n">
        <v>20.556</v>
      </c>
      <c r="I1165" s="79" t="n">
        <v>0</v>
      </c>
      <c r="J1165" s="79" t="n">
        <v>0</v>
      </c>
      <c r="K1165" s="79" t="n">
        <v>12864.803</v>
      </c>
      <c r="L1165" s="79" t="n">
        <v>119559.138</v>
      </c>
      <c r="M1165" s="79" t="n">
        <v>227848.516</v>
      </c>
      <c r="N1165" s="79" t="n">
        <v>96.492</v>
      </c>
      <c r="O1165" s="79" t="n">
        <v>17.566</v>
      </c>
      <c r="P1165" s="79" t="n">
        <v>2.711</v>
      </c>
      <c r="Q1165" s="79" t="n">
        <v>89.054</v>
      </c>
      <c r="R1165" s="79" t="n">
        <v>1058.156</v>
      </c>
      <c r="S1165" s="79" t="n">
        <v>0</v>
      </c>
      <c r="T1165" s="79" t="n">
        <v>0</v>
      </c>
      <c r="U1165" s="79" t="n">
        <v>319.516</v>
      </c>
      <c r="V1165" s="79" t="n">
        <v>3593.657</v>
      </c>
      <c r="W1165" s="79" t="n">
        <v>0.637</v>
      </c>
      <c r="X1165" s="79" t="n">
        <v>0</v>
      </c>
      <c r="Y1165" s="79" t="n">
        <v>243.849</v>
      </c>
      <c r="Z1165" s="79" t="n">
        <v>26819.71</v>
      </c>
      <c r="AA1165" s="79" t="n">
        <v>4843.304</v>
      </c>
      <c r="AB1165" s="79" t="n">
        <v>117829.293</v>
      </c>
      <c r="AC1165" s="79" t="n">
        <v>0</v>
      </c>
      <c r="AD1165" s="79" t="n">
        <v>0</v>
      </c>
      <c r="AE1165" s="79" t="n">
        <v>45.262</v>
      </c>
      <c r="AF1165" s="79" t="n">
        <v>1480.612</v>
      </c>
      <c r="AG1165" s="79" t="n">
        <v>524177.56</v>
      </c>
      <c r="AH1165" s="79" t="n">
        <v>4495.224</v>
      </c>
      <c r="AI1165" s="79" t="n">
        <v>0</v>
      </c>
      <c r="AJ1165" s="79" t="n">
        <v>183.447</v>
      </c>
      <c r="AK1165" s="79" t="n">
        <v>274.194</v>
      </c>
      <c r="AL1165" s="79" t="n">
        <v>2992.058</v>
      </c>
      <c r="AM1165" s="79" t="n">
        <v>0</v>
      </c>
      <c r="AN1165" s="79" t="n">
        <v>0</v>
      </c>
      <c r="AO1165" s="79" t="n">
        <v>304.23</v>
      </c>
      <c r="AP1165" s="79" t="n">
        <v>21356.529</v>
      </c>
      <c r="AQ1165" s="79" t="n"/>
      <c r="AR1165" s="79" t="n"/>
    </row>
    <row r="1166" ht="14" customHeight="1">
      <c r="A1166" s="23" t="n">
        <v>2016</v>
      </c>
      <c r="B1166" s="80">
        <f>IF((A1166&gt;=2022),ROUND((AQ1166*AR1166),1),((((((((((((((((((((((((((((((((((((((((C1166+D1166)+E1166)+F1166)+G1166)+H1166)+I1166)+J1166)+K1166)+L1166)+M1166)+N1166)+O1166)+P1166)+Q1166)+R1166)+S1166)+T1166)+U1166)+V1166)+W1166)+X1166)+Y1166)+Z1166)+AA1166)+AB1166)+AC1166)+AD1166)+AE1166)+AF1166)+AG1166)+AH1166)+AI1166)+AJ1166)+AK1166)+AL1166)+AM1166)+AN1166)+AO1166)+AP1166)*0.001))</f>
        <v/>
      </c>
      <c r="C1166" s="81" t="n">
        <v>304271.558</v>
      </c>
      <c r="D1166" s="81" t="n">
        <v>0</v>
      </c>
      <c r="E1166" s="81" t="n">
        <v>27263.683</v>
      </c>
      <c r="F1166" s="81" t="n">
        <v>0</v>
      </c>
      <c r="G1166" s="81" t="n">
        <v>117261.488</v>
      </c>
      <c r="H1166" s="81" t="n">
        <v>10.278</v>
      </c>
      <c r="I1166" s="81" t="n">
        <v>0</v>
      </c>
      <c r="J1166" s="81" t="n">
        <v>0</v>
      </c>
      <c r="K1166" s="81" t="n">
        <v>12402.728</v>
      </c>
      <c r="L1166" s="81" t="n">
        <v>121834.215</v>
      </c>
      <c r="M1166" s="81" t="n">
        <v>236864.389</v>
      </c>
      <c r="N1166" s="81" t="n">
        <v>96.383</v>
      </c>
      <c r="O1166" s="81" t="n">
        <v>0</v>
      </c>
      <c r="P1166" s="81" t="n">
        <v>2.353</v>
      </c>
      <c r="Q1166" s="81" t="n">
        <v>166.468</v>
      </c>
      <c r="R1166" s="81" t="n">
        <v>1609.307</v>
      </c>
      <c r="S1166" s="81" t="n">
        <v>0</v>
      </c>
      <c r="T1166" s="81" t="n">
        <v>0</v>
      </c>
      <c r="U1166" s="81" t="n">
        <v>439.393</v>
      </c>
      <c r="V1166" s="81" t="n">
        <v>3859.314</v>
      </c>
      <c r="W1166" s="81" t="n">
        <v>1.748</v>
      </c>
      <c r="X1166" s="81" t="n">
        <v>0</v>
      </c>
      <c r="Y1166" s="81" t="n">
        <v>123.653</v>
      </c>
      <c r="Z1166" s="81" t="n">
        <v>26532.308</v>
      </c>
      <c r="AA1166" s="81" t="n">
        <v>3794.673</v>
      </c>
      <c r="AB1166" s="81" t="n">
        <v>115492.313</v>
      </c>
      <c r="AC1166" s="81" t="n">
        <v>0</v>
      </c>
      <c r="AD1166" s="81" t="n">
        <v>0</v>
      </c>
      <c r="AE1166" s="81" t="n">
        <v>45.123</v>
      </c>
      <c r="AF1166" s="81" t="n">
        <v>1537.013</v>
      </c>
      <c r="AG1166" s="81" t="n">
        <v>517953.795</v>
      </c>
      <c r="AH1166" s="81" t="n">
        <v>4137.818</v>
      </c>
      <c r="AI1166" s="81" t="n">
        <v>0</v>
      </c>
      <c r="AJ1166" s="81" t="n">
        <v>162.536</v>
      </c>
      <c r="AK1166" s="81" t="n">
        <v>357.673</v>
      </c>
      <c r="AL1166" s="81" t="n">
        <v>4268.548</v>
      </c>
      <c r="AM1166" s="81" t="n">
        <v>0</v>
      </c>
      <c r="AN1166" s="81" t="n">
        <v>0</v>
      </c>
      <c r="AO1166" s="81" t="n">
        <v>321.032</v>
      </c>
      <c r="AP1166" s="81" t="n">
        <v>23591.913</v>
      </c>
      <c r="AQ1166" s="81" t="n"/>
      <c r="AR1166" s="81" t="n"/>
    </row>
    <row r="1167" ht="14" customHeight="1">
      <c r="A1167" s="16" t="n">
        <v>2017</v>
      </c>
      <c r="B1167" s="78">
        <f>IF((A1167&gt;=2022),ROUND((AQ1167*AR1167),1),((((((((((((((((((((((((((((((((((((((((C1167+D1167)+E1167)+F1167)+G1167)+H1167)+I1167)+J1167)+K1167)+L1167)+M1167)+N1167)+O1167)+P1167)+Q1167)+R1167)+S1167)+T1167)+U1167)+V1167)+W1167)+X1167)+Y1167)+Z1167)+AA1167)+AB1167)+AC1167)+AD1167)+AE1167)+AF1167)+AG1167)+AH1167)+AI1167)+AJ1167)+AK1167)+AL1167)+AM1167)+AN1167)+AO1167)+AP1167)*0.001))</f>
        <v/>
      </c>
      <c r="C1167" s="79" t="n">
        <v>312410.142</v>
      </c>
      <c r="D1167" s="79" t="n">
        <v>0</v>
      </c>
      <c r="E1167" s="79" t="n">
        <v>29042.607</v>
      </c>
      <c r="F1167" s="79" t="n">
        <v>0</v>
      </c>
      <c r="G1167" s="79" t="n">
        <v>128558.103</v>
      </c>
      <c r="H1167" s="79" t="n">
        <v>13.587</v>
      </c>
      <c r="I1167" s="79" t="n">
        <v>0</v>
      </c>
      <c r="J1167" s="79" t="n">
        <v>0</v>
      </c>
      <c r="K1167" s="79" t="n">
        <v>11680.658</v>
      </c>
      <c r="L1167" s="79" t="n">
        <v>124093.253</v>
      </c>
      <c r="M1167" s="79" t="n">
        <v>238161.752</v>
      </c>
      <c r="N1167" s="79" t="n">
        <v>99.202</v>
      </c>
      <c r="O1167" s="79" t="n">
        <v>0</v>
      </c>
      <c r="P1167" s="79" t="n">
        <v>1.756</v>
      </c>
      <c r="Q1167" s="79" t="n">
        <v>390.905</v>
      </c>
      <c r="R1167" s="79" t="n">
        <v>1902.936</v>
      </c>
      <c r="S1167" s="79" t="n">
        <v>0</v>
      </c>
      <c r="T1167" s="79" t="n">
        <v>0</v>
      </c>
      <c r="U1167" s="79" t="n">
        <v>378.78</v>
      </c>
      <c r="V1167" s="79" t="n">
        <v>4485.214</v>
      </c>
      <c r="W1167" s="79" t="n">
        <v>1.489</v>
      </c>
      <c r="X1167" s="79" t="n">
        <v>0</v>
      </c>
      <c r="Y1167" s="79" t="n">
        <v>88.557</v>
      </c>
      <c r="Z1167" s="79" t="n">
        <v>28067.39</v>
      </c>
      <c r="AA1167" s="79" t="n">
        <v>5831.785</v>
      </c>
      <c r="AB1167" s="79" t="n">
        <v>125118.071</v>
      </c>
      <c r="AC1167" s="79" t="n">
        <v>0</v>
      </c>
      <c r="AD1167" s="79" t="n">
        <v>0</v>
      </c>
      <c r="AE1167" s="79" t="n">
        <v>19.648</v>
      </c>
      <c r="AF1167" s="79" t="n">
        <v>1748.556</v>
      </c>
      <c r="AG1167" s="79" t="n">
        <v>524108.114</v>
      </c>
      <c r="AH1167" s="79" t="n">
        <v>4341.313</v>
      </c>
      <c r="AI1167" s="79" t="n">
        <v>0</v>
      </c>
      <c r="AJ1167" s="79" t="n">
        <v>180.578</v>
      </c>
      <c r="AK1167" s="79" t="n">
        <v>640.353</v>
      </c>
      <c r="AL1167" s="79" t="n">
        <v>4983.159</v>
      </c>
      <c r="AM1167" s="79" t="n">
        <v>0</v>
      </c>
      <c r="AN1167" s="79" t="n">
        <v>0</v>
      </c>
      <c r="AO1167" s="79" t="n">
        <v>347.807</v>
      </c>
      <c r="AP1167" s="79" t="n">
        <v>24009.795</v>
      </c>
      <c r="AQ1167" s="79" t="n"/>
      <c r="AR1167" s="79" t="n"/>
    </row>
    <row r="1168" ht="14" customHeight="1">
      <c r="A1168" s="23" t="n">
        <v>2018</v>
      </c>
      <c r="B1168" s="80">
        <f>IF((A1168&gt;=2022),ROUND((AQ1168*AR1168),1),((((((((((((((((((((((((((((((((((((((((C1168+D1168)+E1168)+F1168)+G1168)+H1168)+I1168)+J1168)+K1168)+L1168)+M1168)+N1168)+O1168)+P1168)+Q1168)+R1168)+S1168)+T1168)+U1168)+V1168)+W1168)+X1168)+Y1168)+Z1168)+AA1168)+AB1168)+AC1168)+AD1168)+AE1168)+AF1168)+AG1168)+AH1168)+AI1168)+AJ1168)+AK1168)+AL1168)+AM1168)+AN1168)+AO1168)+AP1168)*0.001))</f>
        <v/>
      </c>
      <c r="C1168" s="81" t="n">
        <v>317735.01</v>
      </c>
      <c r="D1168" s="81" t="n">
        <v>0.167</v>
      </c>
      <c r="E1168" s="81" t="n">
        <v>31362.43</v>
      </c>
      <c r="F1168" s="81" t="n">
        <v>0</v>
      </c>
      <c r="G1168" s="81" t="n">
        <v>145347.2</v>
      </c>
      <c r="H1168" s="81" t="n">
        <v>11.906</v>
      </c>
      <c r="I1168" s="81" t="n">
        <v>0</v>
      </c>
      <c r="J1168" s="81" t="n">
        <v>0</v>
      </c>
      <c r="K1168" s="81" t="n">
        <v>11944.37</v>
      </c>
      <c r="L1168" s="81" t="n">
        <v>124776.732</v>
      </c>
      <c r="M1168" s="81" t="n">
        <v>240546.693</v>
      </c>
      <c r="N1168" s="81" t="n">
        <v>89.541</v>
      </c>
      <c r="O1168" s="81" t="n">
        <v>0</v>
      </c>
      <c r="P1168" s="81" t="n">
        <v>41.276</v>
      </c>
      <c r="Q1168" s="81" t="n">
        <v>435.761</v>
      </c>
      <c r="R1168" s="81" t="n">
        <v>3116.328</v>
      </c>
      <c r="S1168" s="81" t="n">
        <v>0</v>
      </c>
      <c r="T1168" s="81" t="n">
        <v>0</v>
      </c>
      <c r="U1168" s="81" t="n">
        <v>820.627</v>
      </c>
      <c r="V1168" s="81" t="n">
        <v>4737.841</v>
      </c>
      <c r="W1168" s="81" t="n">
        <v>0.488</v>
      </c>
      <c r="X1168" s="81" t="n">
        <v>0</v>
      </c>
      <c r="Y1168" s="81" t="n">
        <v>69.613</v>
      </c>
      <c r="Z1168" s="81" t="n">
        <v>30166.822</v>
      </c>
      <c r="AA1168" s="81" t="n">
        <v>5682.091</v>
      </c>
      <c r="AB1168" s="81" t="n">
        <v>139813.526</v>
      </c>
      <c r="AC1168" s="81" t="n">
        <v>0</v>
      </c>
      <c r="AD1168" s="81" t="n">
        <v>0</v>
      </c>
      <c r="AE1168" s="81" t="n">
        <v>7.974</v>
      </c>
      <c r="AF1168" s="81" t="n">
        <v>1788.903</v>
      </c>
      <c r="AG1168" s="81" t="n">
        <v>549148.716</v>
      </c>
      <c r="AH1168" s="81" t="n">
        <v>4462.967</v>
      </c>
      <c r="AI1168" s="81" t="n">
        <v>0</v>
      </c>
      <c r="AJ1168" s="81" t="n">
        <v>223.752</v>
      </c>
      <c r="AK1168" s="81" t="n">
        <v>591.255</v>
      </c>
      <c r="AL1168" s="81" t="n">
        <v>5413.652</v>
      </c>
      <c r="AM1168" s="81" t="n">
        <v>0</v>
      </c>
      <c r="AN1168" s="81" t="n">
        <v>0</v>
      </c>
      <c r="AO1168" s="81" t="n">
        <v>534.485</v>
      </c>
      <c r="AP1168" s="81" t="n">
        <v>23230.473</v>
      </c>
      <c r="AQ1168" s="81" t="n"/>
      <c r="AR1168" s="81" t="n"/>
    </row>
    <row r="1169" ht="14" customHeight="1">
      <c r="A1169" s="16" t="n">
        <v>2019</v>
      </c>
      <c r="B1169" s="78">
        <f>IF((A1169&gt;=2022),ROUND((AQ1169*AR1169),1),((((((((((((((((((((((((((((((((((((((((C1169+D1169)+E1169)+F1169)+G1169)+H1169)+I1169)+J1169)+K1169)+L1169)+M1169)+N1169)+O1169)+P1169)+Q1169)+R1169)+S1169)+T1169)+U1169)+V1169)+W1169)+X1169)+Y1169)+Z1169)+AA1169)+AB1169)+AC1169)+AD1169)+AE1169)+AF1169)+AG1169)+AH1169)+AI1169)+AJ1169)+AK1169)+AL1169)+AM1169)+AN1169)+AO1169)+AP1169)*0.001))</f>
        <v/>
      </c>
      <c r="C1169" s="79" t="n">
        <v>332665.14</v>
      </c>
      <c r="D1169" s="79" t="n">
        <v>6.833</v>
      </c>
      <c r="E1169" s="79" t="n">
        <v>32815.067</v>
      </c>
      <c r="F1169" s="79" t="n">
        <v>0</v>
      </c>
      <c r="G1169" s="79" t="n">
        <v>149101.339</v>
      </c>
      <c r="H1169" s="79" t="n">
        <v>11.478</v>
      </c>
      <c r="I1169" s="79" t="n">
        <v>0</v>
      </c>
      <c r="J1169" s="79" t="n">
        <v>0</v>
      </c>
      <c r="K1169" s="79" t="n">
        <v>12882.295</v>
      </c>
      <c r="L1169" s="79" t="n">
        <v>127449.813</v>
      </c>
      <c r="M1169" s="79" t="n">
        <v>245080.04</v>
      </c>
      <c r="N1169" s="79" t="n">
        <v>86.26900000000001</v>
      </c>
      <c r="O1169" s="79" t="n">
        <v>0</v>
      </c>
      <c r="P1169" s="79" t="n">
        <v>40.494</v>
      </c>
      <c r="Q1169" s="79" t="n">
        <v>335.273</v>
      </c>
      <c r="R1169" s="79" t="n">
        <v>3237.223</v>
      </c>
      <c r="S1169" s="79" t="n">
        <v>0</v>
      </c>
      <c r="T1169" s="79" t="n">
        <v>0</v>
      </c>
      <c r="U1169" s="79" t="n">
        <v>844.421</v>
      </c>
      <c r="V1169" s="79" t="n">
        <v>5452.62</v>
      </c>
      <c r="W1169" s="79" t="n">
        <v>0.407</v>
      </c>
      <c r="X1169" s="79" t="n">
        <v>0</v>
      </c>
      <c r="Y1169" s="79" t="n">
        <v>43.402</v>
      </c>
      <c r="Z1169" s="79" t="n">
        <v>31413.82</v>
      </c>
      <c r="AA1169" s="79" t="n">
        <v>5383.157</v>
      </c>
      <c r="AB1169" s="79" t="n">
        <v>145302.759</v>
      </c>
      <c r="AC1169" s="79" t="n">
        <v>0</v>
      </c>
      <c r="AD1169" s="79" t="n">
        <v>0</v>
      </c>
      <c r="AE1169" s="79" t="n">
        <v>15.18</v>
      </c>
      <c r="AF1169" s="79" t="n">
        <v>1877.897</v>
      </c>
      <c r="AG1169" s="79" t="n">
        <v>550665.4080000001</v>
      </c>
      <c r="AH1169" s="79" t="n">
        <v>4208.496</v>
      </c>
      <c r="AI1169" s="79" t="n">
        <v>0</v>
      </c>
      <c r="AJ1169" s="79" t="n">
        <v>191.899</v>
      </c>
      <c r="AK1169" s="79" t="n">
        <v>427.068</v>
      </c>
      <c r="AL1169" s="79" t="n">
        <v>5629.701</v>
      </c>
      <c r="AM1169" s="79" t="n">
        <v>0</v>
      </c>
      <c r="AN1169" s="79" t="n">
        <v>0</v>
      </c>
      <c r="AO1169" s="79" t="n">
        <v>612.448</v>
      </c>
      <c r="AP1169" s="79" t="n">
        <v>23194.132</v>
      </c>
      <c r="AQ1169" s="79" t="n"/>
      <c r="AR1169" s="79" t="n"/>
    </row>
    <row r="1170" ht="14" customHeight="1">
      <c r="A1170" s="23" t="n">
        <v>2020</v>
      </c>
      <c r="B1170" s="80">
        <f>IF((A1170&gt;=2022),ROUND((AQ1170*AR1170),1),((((((((((((((((((((((((((((((((((((((((C1170+D1170)+E1170)+F1170)+G1170)+H1170)+I1170)+J1170)+K1170)+L1170)+M1170)+N1170)+O1170)+P1170)+Q1170)+R1170)+S1170)+T1170)+U1170)+V1170)+W1170)+X1170)+Y1170)+Z1170)+AA1170)+AB1170)+AC1170)+AD1170)+AE1170)+AF1170)+AG1170)+AH1170)+AI1170)+AJ1170)+AK1170)+AL1170)+AM1170)+AN1170)+AO1170)+AP1170)*0.001))</f>
        <v/>
      </c>
      <c r="C1170" s="81" t="n">
        <v>341979.283</v>
      </c>
      <c r="D1170" s="81" t="n">
        <v>0</v>
      </c>
      <c r="E1170" s="81" t="n">
        <v>32710.338</v>
      </c>
      <c r="F1170" s="81" t="n">
        <v>0</v>
      </c>
      <c r="G1170" s="81" t="n">
        <v>155275.687</v>
      </c>
      <c r="H1170" s="81" t="n">
        <v>11.929</v>
      </c>
      <c r="I1170" s="81" t="n">
        <v>0</v>
      </c>
      <c r="J1170" s="81" t="n">
        <v>0</v>
      </c>
      <c r="K1170" s="81" t="n">
        <v>12275.861</v>
      </c>
      <c r="L1170" s="81" t="n">
        <v>132721.135</v>
      </c>
      <c r="M1170" s="81" t="n">
        <v>244203.963</v>
      </c>
      <c r="N1170" s="81" t="n">
        <v>86.261</v>
      </c>
      <c r="O1170" s="81" t="n">
        <v>0</v>
      </c>
      <c r="P1170" s="81" t="n">
        <v>39.757</v>
      </c>
      <c r="Q1170" s="81" t="n">
        <v>332.252</v>
      </c>
      <c r="R1170" s="81" t="n">
        <v>3124.552</v>
      </c>
      <c r="S1170" s="81" t="n">
        <v>0</v>
      </c>
      <c r="T1170" s="81" t="n">
        <v>0</v>
      </c>
      <c r="U1170" s="81" t="n">
        <v>1420.072</v>
      </c>
      <c r="V1170" s="81" t="n">
        <v>6069.95</v>
      </c>
      <c r="W1170" s="81" t="n">
        <v>0.423</v>
      </c>
      <c r="X1170" s="81" t="n">
        <v>0</v>
      </c>
      <c r="Y1170" s="81" t="n">
        <v>40.207</v>
      </c>
      <c r="Z1170" s="81" t="n">
        <v>30844.576</v>
      </c>
      <c r="AA1170" s="81" t="n">
        <v>5037.271</v>
      </c>
      <c r="AB1170" s="81" t="n">
        <v>148039.893</v>
      </c>
      <c r="AC1170" s="81" t="n">
        <v>0</v>
      </c>
      <c r="AD1170" s="81" t="n">
        <v>0</v>
      </c>
      <c r="AE1170" s="81" t="n">
        <v>8.574</v>
      </c>
      <c r="AF1170" s="81" t="n">
        <v>2078.783</v>
      </c>
      <c r="AG1170" s="81" t="n">
        <v>533390.709</v>
      </c>
      <c r="AH1170" s="81" t="n">
        <v>3723.283</v>
      </c>
      <c r="AI1170" s="81" t="n">
        <v>0</v>
      </c>
      <c r="AJ1170" s="81" t="n">
        <v>223.696</v>
      </c>
      <c r="AK1170" s="81" t="n">
        <v>464.234</v>
      </c>
      <c r="AL1170" s="81" t="n">
        <v>6169.91</v>
      </c>
      <c r="AM1170" s="81" t="n">
        <v>0</v>
      </c>
      <c r="AN1170" s="81" t="n">
        <v>0</v>
      </c>
      <c r="AO1170" s="81" t="n">
        <v>644.428</v>
      </c>
      <c r="AP1170" s="81" t="n">
        <v>23178.613</v>
      </c>
      <c r="AQ1170" s="81" t="n"/>
      <c r="AR1170" s="81" t="n"/>
    </row>
    <row r="1171" ht="14" customHeight="1">
      <c r="A1171" s="16" t="n">
        <v>2021</v>
      </c>
      <c r="B1171" s="78">
        <f>IF((A1171&gt;=2022),ROUND((AQ1171*AR1171),1),((((((((((((((((((((((((((((((((((((((((C1171+D1171)+E1171)+F1171)+G1171)+H1171)+I1171)+J1171)+K1171)+L1171)+M1171)+N1171)+O1171)+P1171)+Q1171)+R1171)+S1171)+T1171)+U1171)+V1171)+W1171)+X1171)+Y1171)+Z1171)+AA1171)+AB1171)+AC1171)+AD1171)+AE1171)+AF1171)+AG1171)+AH1171)+AI1171)+AJ1171)+AK1171)+AL1171)+AM1171)+AN1171)+AO1171)+AP1171)*0.001))</f>
        <v/>
      </c>
      <c r="C1171" s="79" t="n">
        <v>384161.476</v>
      </c>
      <c r="D1171" s="79" t="n">
        <v>0</v>
      </c>
      <c r="E1171" s="79" t="n">
        <v>36531.809</v>
      </c>
      <c r="F1171" s="79" t="n">
        <v>0</v>
      </c>
      <c r="G1171" s="79" t="n">
        <v>158092.28</v>
      </c>
      <c r="H1171" s="79" t="n">
        <v>54.976</v>
      </c>
      <c r="I1171" s="79" t="n">
        <v>0</v>
      </c>
      <c r="J1171" s="79" t="n">
        <v>0</v>
      </c>
      <c r="K1171" s="79" t="n">
        <v>11634.687</v>
      </c>
      <c r="L1171" s="79" t="n">
        <v>138700.057</v>
      </c>
      <c r="M1171" s="79" t="n">
        <v>245631.234</v>
      </c>
      <c r="N1171" s="79" t="n">
        <v>86.261</v>
      </c>
      <c r="O1171" s="79" t="n">
        <v>0</v>
      </c>
      <c r="P1171" s="79" t="n">
        <v>40.482</v>
      </c>
      <c r="Q1171" s="79" t="n">
        <v>262.269</v>
      </c>
      <c r="R1171" s="79" t="n">
        <v>3560.056</v>
      </c>
      <c r="S1171" s="79" t="n">
        <v>0</v>
      </c>
      <c r="T1171" s="79" t="n">
        <v>0</v>
      </c>
      <c r="U1171" s="79" t="n">
        <v>1304.164</v>
      </c>
      <c r="V1171" s="79" t="n">
        <v>5913.059</v>
      </c>
      <c r="W1171" s="79" t="n">
        <v>0.334</v>
      </c>
      <c r="X1171" s="79" t="n">
        <v>0</v>
      </c>
      <c r="Y1171" s="79" t="n">
        <v>29.639</v>
      </c>
      <c r="Z1171" s="79" t="n">
        <v>35123.005</v>
      </c>
      <c r="AA1171" s="79" t="n">
        <v>5441.528</v>
      </c>
      <c r="AB1171" s="79" t="n">
        <v>152780.422</v>
      </c>
      <c r="AC1171" s="79" t="n">
        <v>0</v>
      </c>
      <c r="AD1171" s="79" t="n">
        <v>0</v>
      </c>
      <c r="AE1171" s="79" t="n">
        <v>18.4</v>
      </c>
      <c r="AF1171" s="79" t="n">
        <v>1366.588</v>
      </c>
      <c r="AG1171" s="79" t="n">
        <v>582656.724</v>
      </c>
      <c r="AH1171" s="79" t="n">
        <v>3648.893</v>
      </c>
      <c r="AI1171" s="79" t="n">
        <v>0</v>
      </c>
      <c r="AJ1171" s="79" t="n">
        <v>244.062</v>
      </c>
      <c r="AK1171" s="79" t="n">
        <v>457.353</v>
      </c>
      <c r="AL1171" s="79" t="n">
        <v>6359.96</v>
      </c>
      <c r="AM1171" s="79" t="n">
        <v>0</v>
      </c>
      <c r="AN1171" s="79" t="n">
        <v>0</v>
      </c>
      <c r="AO1171" s="79" t="n">
        <v>476.599</v>
      </c>
      <c r="AP1171" s="79" t="n">
        <v>21119.913</v>
      </c>
      <c r="AQ1171" s="79" t="n"/>
      <c r="AR1171" s="79" t="n"/>
    </row>
    <row r="1172" ht="14" customHeight="1">
      <c r="A1172" s="23" t="n">
        <v>2022</v>
      </c>
      <c r="B1172" s="80">
        <f>IF((A1172&gt;=2022),ROUND((AQ1172*AR1172),1),((((((((((((((((((((((((((((((((((((((((C1172+D1172)+E1172)+F1172)+G1172)+H1172)+I1172)+J1172)+K1172)+L1172)+M1172)+N1172)+O1172)+P1172)+Q1172)+R1172)+S1172)+T1172)+U1172)+V1172)+W1172)+X1172)+Y1172)+Z1172)+AA1172)+AB1172)+AC1172)+AD1172)+AE1172)+AF1172)+AG1172)+AH1172)+AI1172)+AJ1172)+AK1172)+AL1172)+AM1172)+AN1172)+AO1172)+AP1172)*0.001))</f>
        <v/>
      </c>
      <c r="C1172" s="81"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1" t="n"/>
      <c r="Y1172" s="81" t="n"/>
      <c r="Z1172" s="81" t="n"/>
      <c r="AA1172" s="81" t="n"/>
      <c r="AB1172" s="81" t="n"/>
      <c r="AC1172" s="81" t="n"/>
      <c r="AD1172" s="81" t="n"/>
      <c r="AE1172" s="81" t="n"/>
      <c r="AF1172" s="81" t="n"/>
      <c r="AG1172" s="81" t="n"/>
      <c r="AH1172" s="81" t="n"/>
      <c r="AI1172" s="81" t="n"/>
      <c r="AJ1172" s="81" t="n"/>
      <c r="AK1172" s="81" t="n"/>
      <c r="AL1172" s="81" t="n"/>
      <c r="AM1172" s="81" t="n"/>
      <c r="AN1172" s="81" t="n"/>
      <c r="AO1172" s="81" t="n"/>
      <c r="AP1172" s="81" t="n"/>
      <c r="AQ1172" s="81" t="n">
        <v>1698044.762</v>
      </c>
      <c r="AR1172" s="81" t="n">
        <v>0.001</v>
      </c>
    </row>
    <row r="1173" ht="14" customHeight="1">
      <c r="A1173" s="16" t="n">
        <v>2023</v>
      </c>
      <c r="B1173" s="78">
        <f>IF((A1173&gt;=2022),ROUND((AQ1173*AR1173),1),((((((((((((((((((((((((((((((((((((((((C1173+D1173)+E1173)+F1173)+G1173)+H1173)+I1173)+J1173)+K1173)+L1173)+M1173)+N1173)+O1173)+P1173)+Q1173)+R1173)+S1173)+T1173)+U1173)+V1173)+W1173)+X1173)+Y1173)+Z1173)+AA1173)+AB1173)+AC1173)+AD1173)+AE1173)+AF1173)+AG1173)+AH1173)+AI1173)+AJ1173)+AK1173)+AL1173)+AM1173)+AN1173)+AO1173)+AP1173)*0.001))</f>
        <v/>
      </c>
      <c r="C1173" s="79" t="n"/>
      <c r="D1173" s="79" t="n"/>
      <c r="E1173" s="79" t="n"/>
      <c r="F1173" s="79" t="n"/>
      <c r="G1173" s="79" t="n"/>
      <c r="H1173" s="79" t="n"/>
      <c r="I1173" s="79" t="n"/>
      <c r="J1173" s="79" t="n"/>
      <c r="K1173" s="79" t="n"/>
      <c r="L1173" s="79" t="n"/>
      <c r="M1173" s="79" t="n"/>
      <c r="N1173" s="79" t="n"/>
      <c r="O1173" s="79" t="n"/>
      <c r="P1173" s="79" t="n"/>
      <c r="Q1173" s="79" t="n"/>
      <c r="R1173" s="79" t="n"/>
      <c r="S1173" s="79" t="n"/>
      <c r="T1173" s="79" t="n"/>
      <c r="U1173" s="79" t="n"/>
      <c r="V1173" s="79" t="n"/>
      <c r="W1173" s="79" t="n"/>
      <c r="X1173" s="79" t="n"/>
      <c r="Y1173" s="79" t="n"/>
      <c r="Z1173" s="79" t="n"/>
      <c r="AA1173" s="79" t="n"/>
      <c r="AB1173" s="79" t="n"/>
      <c r="AC1173" s="79" t="n"/>
      <c r="AD1173" s="79" t="n"/>
      <c r="AE1173" s="79" t="n"/>
      <c r="AF1173" s="79" t="n"/>
      <c r="AG1173" s="79" t="n"/>
      <c r="AH1173" s="79" t="n"/>
      <c r="AI1173" s="79" t="n"/>
      <c r="AJ1173" s="79" t="n"/>
      <c r="AK1173" s="79" t="n"/>
      <c r="AL1173" s="79" t="n"/>
      <c r="AM1173" s="79" t="n"/>
      <c r="AN1173" s="79" t="n"/>
      <c r="AO1173" s="79" t="n"/>
      <c r="AP1173" s="79" t="n"/>
      <c r="AQ1173" s="79" t="n">
        <v>1664896.118</v>
      </c>
      <c r="AR1173" s="79" t="n">
        <v>0.001</v>
      </c>
    </row>
    <row r="1174" ht="14" customHeight="1">
      <c r="A1174" s="23" t="n">
        <v>2024</v>
      </c>
      <c r="B1174" s="80">
        <f>IF((A1174&gt;=2022),ROUND((AQ1174*AR1174),1),((((((((((((((((((((((((((((((((((((((((C1174+D1174)+E1174)+F1174)+G1174)+H1174)+I1174)+J1174)+K1174)+L1174)+M1174)+N1174)+O1174)+P1174)+Q1174)+R1174)+S1174)+T1174)+U1174)+V1174)+W1174)+X1174)+Y1174)+Z1174)+AA1174)+AB1174)+AC1174)+AD1174)+AE1174)+AF1174)+AG1174)+AH1174)+AI1174)+AJ1174)+AK1174)+AL1174)+AM1174)+AN1174)+AO1174)+AP1174)*0.001))</f>
        <v/>
      </c>
      <c r="C1174" s="81"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1" t="n"/>
      <c r="Y1174" s="81" t="n"/>
      <c r="Z1174" s="81" t="n"/>
      <c r="AA1174" s="81" t="n"/>
      <c r="AB1174" s="81" t="n"/>
      <c r="AC1174" s="81" t="n"/>
      <c r="AD1174" s="81" t="n"/>
      <c r="AE1174" s="81" t="n"/>
      <c r="AF1174" s="81" t="n"/>
      <c r="AG1174" s="81" t="n"/>
      <c r="AH1174" s="81" t="n"/>
      <c r="AI1174" s="81" t="n"/>
      <c r="AJ1174" s="81" t="n"/>
      <c r="AK1174" s="81" t="n"/>
      <c r="AL1174" s="81" t="n"/>
      <c r="AM1174" s="81" t="n"/>
      <c r="AN1174" s="81" t="n"/>
      <c r="AO1174" s="81" t="n"/>
      <c r="AP1174" s="81" t="n"/>
      <c r="AQ1174" s="81" t="n">
        <v>1663518.857</v>
      </c>
      <c r="AR1174" s="81" t="n">
        <v>0.001</v>
      </c>
    </row>
    <row r="1177">
      <c r="A1177" s="90" t="inlineStr">
        <is>
          <t>F1 · EU fossil-fuel subsidies (FFST)  (billion EUR)</t>
        </is>
      </c>
    </row>
    <row r="1178" ht="26" customHeight="1">
      <c r="A1178" s="76" t="inlineStr">
        <is>
          <t>The report's formula throughout; for the later years its single input is back-computed from the published figure through the sheet's own constants, so the arithmetic is unchanged.</t>
        </is>
      </c>
    </row>
    <row r="1179" ht="24" customHeight="1">
      <c r="A1179" s="3" t="inlineStr">
        <is>
          <t>Derivation:  Value = [Report figure (2024 report underlying data)]</t>
        </is>
      </c>
    </row>
    <row r="1180" ht="42" customHeight="1">
      <c r="A1180" s="77" t="inlineStr">
        <is>
          <t>Year</t>
        </is>
      </c>
      <c r="B1180" s="77" t="inlineStr">
        <is>
          <t>Value</t>
        </is>
      </c>
      <c r="C1180" s="77" t="inlineStr">
        <is>
          <t>Report figure (2024 report underlying data)</t>
        </is>
      </c>
    </row>
    <row r="1181" ht="14" customHeight="1">
      <c r="A1181" s="16" t="n">
        <v>2010</v>
      </c>
      <c r="B1181" s="78">
        <f>C1181</f>
        <v/>
      </c>
      <c r="C1181" s="79" t="n">
        <v>46.1</v>
      </c>
    </row>
    <row r="1182" ht="14" customHeight="1">
      <c r="A1182" s="23" t="n">
        <v>2011</v>
      </c>
      <c r="B1182" s="80">
        <f>C1182</f>
        <v/>
      </c>
      <c r="C1182" s="81" t="n">
        <v>49.08</v>
      </c>
    </row>
    <row r="1183" ht="14" customHeight="1">
      <c r="A1183" s="16" t="n">
        <v>2012</v>
      </c>
      <c r="B1183" s="78">
        <f>C1183</f>
        <v/>
      </c>
      <c r="C1183" s="79" t="n">
        <v>48.05</v>
      </c>
    </row>
    <row r="1184" ht="14" customHeight="1">
      <c r="A1184" s="23" t="n">
        <v>2013</v>
      </c>
      <c r="B1184" s="80">
        <f>C1184</f>
        <v/>
      </c>
      <c r="C1184" s="81" t="n">
        <v>48.38</v>
      </c>
    </row>
    <row r="1185" ht="14" customHeight="1">
      <c r="A1185" s="16" t="n">
        <v>2014</v>
      </c>
      <c r="B1185" s="78">
        <f>C1185</f>
        <v/>
      </c>
      <c r="C1185" s="79" t="n">
        <v>48.25</v>
      </c>
    </row>
    <row r="1186" ht="14" customHeight="1">
      <c r="A1186" s="23" t="n">
        <v>2015</v>
      </c>
      <c r="B1186" s="80">
        <f>C1186</f>
        <v/>
      </c>
      <c r="C1186" s="81" t="n">
        <v>44.22</v>
      </c>
    </row>
    <row r="1187" ht="14" customHeight="1">
      <c r="A1187" s="16" t="n">
        <v>2016</v>
      </c>
      <c r="B1187" s="78">
        <f>C1187</f>
        <v/>
      </c>
      <c r="C1187" s="79" t="n">
        <v>45</v>
      </c>
    </row>
    <row r="1188" ht="14" customHeight="1">
      <c r="A1188" s="23" t="n">
        <v>2017</v>
      </c>
      <c r="B1188" s="80">
        <f>C1188</f>
        <v/>
      </c>
      <c r="C1188" s="81" t="n">
        <v>47.59</v>
      </c>
    </row>
    <row r="1189" ht="14" customHeight="1">
      <c r="A1189" s="16" t="n">
        <v>2018</v>
      </c>
      <c r="B1189" s="78">
        <f>C1189</f>
        <v/>
      </c>
      <c r="C1189" s="79" t="n">
        <v>53.77</v>
      </c>
    </row>
    <row r="1190" ht="14" customHeight="1">
      <c r="A1190" s="23" t="n">
        <v>2019</v>
      </c>
      <c r="B1190" s="80">
        <f>C1190</f>
        <v/>
      </c>
      <c r="C1190" s="81" t="n">
        <v>51.53</v>
      </c>
    </row>
    <row r="1191" ht="14" customHeight="1">
      <c r="A1191" s="16" t="n">
        <v>2020</v>
      </c>
      <c r="B1191" s="78">
        <f>C1191</f>
        <v/>
      </c>
      <c r="C1191" s="79" t="n">
        <v>50.78</v>
      </c>
    </row>
    <row r="1192" ht="14" customHeight="1">
      <c r="A1192" s="23" t="n">
        <v>2021</v>
      </c>
      <c r="B1192" s="80">
        <f>C1192</f>
        <v/>
      </c>
      <c r="C1192" s="81" t="n">
        <v>56</v>
      </c>
    </row>
    <row r="1193" ht="14" customHeight="1">
      <c r="A1193" s="16" t="n">
        <v>2022</v>
      </c>
      <c r="B1193" s="78">
        <f>C1193</f>
        <v/>
      </c>
      <c r="C1193" s="79" t="n">
        <v>122</v>
      </c>
    </row>
    <row r="1194" ht="14" customHeight="1">
      <c r="A1194" s="23" t="n">
        <v>2023</v>
      </c>
      <c r="B1194" s="80">
        <f>C1194</f>
        <v/>
      </c>
      <c r="C1194" s="81" t="n">
        <v>111</v>
      </c>
    </row>
    <row r="1197">
      <c r="A1197" s="90" t="inlineStr">
        <is>
          <t>F2 (share) · Green share of EU bond issuance  (%)</t>
        </is>
      </c>
    </row>
    <row r="1198" ht="26" customHeight="1">
      <c r="A1198" s="76" t="inlineStr">
        <is>
          <t>The report's formula throughout; for the later years its single input is back-computed from the published figure through the sheet's own constants, so the arithmetic is unchanged.</t>
        </is>
      </c>
    </row>
    <row r="1199" ht="24" customHeight="1">
      <c r="A1199" s="3" t="inlineStr">
        <is>
          <t>Derivation:  Value = [Report figure (2024 report underlying data)]</t>
        </is>
      </c>
    </row>
    <row r="1200" ht="42" customHeight="1">
      <c r="A1200" s="77" t="inlineStr">
        <is>
          <t>Year</t>
        </is>
      </c>
      <c r="B1200" s="77" t="inlineStr">
        <is>
          <t>Value</t>
        </is>
      </c>
      <c r="C1200" s="77" t="inlineStr">
        <is>
          <t>Report figure (2024 report underlying data)</t>
        </is>
      </c>
    </row>
    <row r="1201" ht="14" customHeight="1">
      <c r="A1201" s="16" t="n">
        <v>2012</v>
      </c>
      <c r="B1201" s="78">
        <f>C1201</f>
        <v/>
      </c>
      <c r="C1201" s="79" t="n">
        <v>0.08</v>
      </c>
    </row>
    <row r="1202" ht="14" customHeight="1">
      <c r="A1202" s="23" t="n">
        <v>2013</v>
      </c>
      <c r="B1202" s="80">
        <f>C1202</f>
        <v/>
      </c>
      <c r="C1202" s="81" t="n">
        <v>0.1</v>
      </c>
    </row>
    <row r="1203" ht="14" customHeight="1">
      <c r="A1203" s="16" t="n">
        <v>2014</v>
      </c>
      <c r="B1203" s="78">
        <f>C1203</f>
        <v/>
      </c>
      <c r="C1203" s="79" t="n">
        <v>0.83</v>
      </c>
    </row>
    <row r="1204" ht="14" customHeight="1">
      <c r="A1204" s="23" t="n">
        <v>2015</v>
      </c>
      <c r="B1204" s="80">
        <f>C1204</f>
        <v/>
      </c>
      <c r="C1204" s="81" t="n">
        <v>0.85</v>
      </c>
    </row>
    <row r="1205" ht="14" customHeight="1">
      <c r="A1205" s="16" t="n">
        <v>2016</v>
      </c>
      <c r="B1205" s="78">
        <f>C1205</f>
        <v/>
      </c>
      <c r="C1205" s="79" t="n">
        <v>1.69</v>
      </c>
    </row>
    <row r="1206" ht="14" customHeight="1">
      <c r="A1206" s="23" t="n">
        <v>2017</v>
      </c>
      <c r="B1206" s="80">
        <f>C1206</f>
        <v/>
      </c>
      <c r="C1206" s="81" t="n">
        <v>4.18</v>
      </c>
    </row>
    <row r="1207" ht="14" customHeight="1">
      <c r="A1207" s="16" t="n">
        <v>2018</v>
      </c>
      <c r="B1207" s="78">
        <f>C1207</f>
        <v/>
      </c>
      <c r="C1207" s="79" t="n">
        <v>3.19</v>
      </c>
    </row>
    <row r="1208" ht="14" customHeight="1">
      <c r="A1208" s="23" t="n">
        <v>2019</v>
      </c>
      <c r="B1208" s="80">
        <f>C1208</f>
        <v/>
      </c>
      <c r="C1208" s="81" t="n">
        <v>4.82</v>
      </c>
    </row>
    <row r="1209" ht="14" customHeight="1">
      <c r="A1209" s="16" t="n">
        <v>2020</v>
      </c>
      <c r="B1209" s="78">
        <f>C1209</f>
        <v/>
      </c>
      <c r="C1209" s="79" t="n">
        <v>4.57</v>
      </c>
    </row>
    <row r="1210" ht="14" customHeight="1">
      <c r="A1210" s="23" t="n">
        <v>2021</v>
      </c>
      <c r="B1210" s="80">
        <f>C1210</f>
        <v/>
      </c>
      <c r="C1210" s="81" t="n">
        <v>8.08</v>
      </c>
    </row>
    <row r="1211" ht="14" customHeight="1">
      <c r="A1211" s="16" t="n">
        <v>2022</v>
      </c>
      <c r="B1211" s="78">
        <f>C1211</f>
        <v/>
      </c>
      <c r="C1211" s="79" t="n">
        <v>6.74</v>
      </c>
    </row>
    <row r="1212" ht="14" customHeight="1">
      <c r="A1212" s="23" t="n">
        <v>2023</v>
      </c>
      <c r="B1212" s="80">
        <f>C1212</f>
        <v/>
      </c>
      <c r="C1212" s="81" t="n">
        <v>5.3</v>
      </c>
    </row>
    <row r="1213" ht="14" customHeight="1">
      <c r="A1213" s="16" t="n">
        <v>2024</v>
      </c>
      <c r="B1213" s="78">
        <f>C1213</f>
        <v/>
      </c>
      <c r="C1213" s="79" t="n">
        <v>6.9</v>
      </c>
    </row>
    <row r="1216">
      <c r="A1216" s="90" t="inlineStr">
        <is>
          <t>F3 · EU R&amp;D expenditure (GERD)  (% of GDP)</t>
        </is>
      </c>
    </row>
    <row r="1217" ht="26" customHeight="1">
      <c r="A1217" s="83" t="inlineStr">
        <is>
          <t>NOT the report's derivation for the later years — the formula switches by year to a different recipe, because the report's own inputs have no feed. The two halves of this series are not computed the same way.</t>
        </is>
      </c>
    </row>
    <row r="1218" ht="24" customHeight="1">
      <c r="A1218" s="3" t="inlineStr">
        <is>
          <t>Derivation:  Value = IF(A &gt;= 2023, ROUND([rd_e_gerdtot TOTAL], 2), [Report figure (2024 report underlying data)])</t>
        </is>
      </c>
    </row>
    <row r="1219" ht="42" customHeight="1">
      <c r="A1219" s="77" t="inlineStr">
        <is>
          <t>Year</t>
        </is>
      </c>
      <c r="B1219" s="77" t="inlineStr">
        <is>
          <t>Value</t>
        </is>
      </c>
      <c r="C1219" s="77" t="inlineStr">
        <is>
          <t>Report figure (2024 report underlying data)</t>
        </is>
      </c>
      <c r="D1219" s="77" t="inlineStr">
        <is>
          <t>rd_e_gerdtot TOTAL</t>
        </is>
      </c>
    </row>
    <row r="1220" ht="14" customHeight="1">
      <c r="A1220" s="16" t="n">
        <v>2012</v>
      </c>
      <c r="B1220" s="78">
        <f>IF((A1220&gt;=2023),ROUND(D1220,2),C1220)</f>
        <v/>
      </c>
      <c r="C1220" s="79" t="n">
        <v>2.02</v>
      </c>
      <c r="D1220" s="79" t="n"/>
    </row>
    <row r="1221" ht="14" customHeight="1">
      <c r="A1221" s="23" t="n">
        <v>2013</v>
      </c>
      <c r="B1221" s="80">
        <f>IF((A1221&gt;=2023),ROUND(D1221,2),C1221)</f>
        <v/>
      </c>
      <c r="C1221" s="81" t="n">
        <v>2.08</v>
      </c>
      <c r="D1221" s="81" t="n"/>
    </row>
    <row r="1222" ht="14" customHeight="1">
      <c r="A1222" s="16" t="n">
        <v>2014</v>
      </c>
      <c r="B1222" s="78">
        <f>IF((A1222&gt;=2023),ROUND(D1222,2),C1222)</f>
        <v/>
      </c>
      <c r="C1222" s="79" t="n">
        <v>2.1</v>
      </c>
      <c r="D1222" s="79" t="n"/>
    </row>
    <row r="1223" ht="14" customHeight="1">
      <c r="A1223" s="23" t="n">
        <v>2015</v>
      </c>
      <c r="B1223" s="80">
        <f>IF((A1223&gt;=2023),ROUND(D1223,2),C1223)</f>
        <v/>
      </c>
      <c r="C1223" s="81" t="n">
        <v>2.11</v>
      </c>
      <c r="D1223" s="81" t="n"/>
    </row>
    <row r="1224" ht="14" customHeight="1">
      <c r="A1224" s="16" t="n">
        <v>2016</v>
      </c>
      <c r="B1224" s="78">
        <f>IF((A1224&gt;=2023),ROUND(D1224,2),C1224)</f>
        <v/>
      </c>
      <c r="C1224" s="79" t="n">
        <v>2.12</v>
      </c>
      <c r="D1224" s="79" t="n"/>
    </row>
    <row r="1225" ht="14" customHeight="1">
      <c r="A1225" s="23" t="n">
        <v>2017</v>
      </c>
      <c r="B1225" s="80">
        <f>IF((A1225&gt;=2023),ROUND(D1225,2),C1225)</f>
        <v/>
      </c>
      <c r="C1225" s="81" t="n">
        <v>2.12</v>
      </c>
      <c r="D1225" s="81" t="n"/>
    </row>
    <row r="1226" ht="14" customHeight="1">
      <c r="A1226" s="16" t="n">
        <v>2018</v>
      </c>
      <c r="B1226" s="78">
        <f>IF((A1226&gt;=2023),ROUND(D1226,2),C1226)</f>
        <v/>
      </c>
      <c r="C1226" s="79" t="n">
        <v>2.15</v>
      </c>
      <c r="D1226" s="79" t="n"/>
    </row>
    <row r="1227" ht="14" customHeight="1">
      <c r="A1227" s="23" t="n">
        <v>2019</v>
      </c>
      <c r="B1227" s="80">
        <f>IF((A1227&gt;=2023),ROUND(D1227,2),C1227)</f>
        <v/>
      </c>
      <c r="C1227" s="81" t="n">
        <v>2.19</v>
      </c>
      <c r="D1227" s="81" t="n"/>
    </row>
    <row r="1228" ht="14" customHeight="1">
      <c r="A1228" s="16" t="n">
        <v>2020</v>
      </c>
      <c r="B1228" s="78">
        <f>IF((A1228&gt;=2023),ROUND(D1228,2),C1228)</f>
        <v/>
      </c>
      <c r="C1228" s="79" t="n">
        <v>2.23</v>
      </c>
      <c r="D1228" s="79" t="n"/>
    </row>
    <row r="1229" ht="14" customHeight="1">
      <c r="A1229" s="23" t="n">
        <v>2021</v>
      </c>
      <c r="B1229" s="80">
        <f>IF((A1229&gt;=2023),ROUND(D1229,2),C1229)</f>
        <v/>
      </c>
      <c r="C1229" s="81" t="n">
        <v>2.31</v>
      </c>
      <c r="D1229" s="81" t="n"/>
    </row>
    <row r="1230" ht="14" customHeight="1">
      <c r="A1230" s="16" t="n">
        <v>2022</v>
      </c>
      <c r="B1230" s="78">
        <f>IF((A1230&gt;=2023),ROUND(D1230,2),C1230)</f>
        <v/>
      </c>
      <c r="C1230" s="79" t="n">
        <v>2.27</v>
      </c>
      <c r="D1230" s="79" t="n"/>
    </row>
    <row r="1231" ht="14" customHeight="1">
      <c r="A1231" s="23" t="n">
        <v>2023</v>
      </c>
      <c r="B1231" s="80">
        <f>IF((A1231&gt;=2023),ROUND(D1231,2),C1231)</f>
        <v/>
      </c>
      <c r="C1231" s="81" t="n"/>
      <c r="D1231" s="81" t="n">
        <v>2.26</v>
      </c>
    </row>
    <row r="1232" ht="14" customHeight="1">
      <c r="A1232" s="16" t="n">
        <v>2024</v>
      </c>
      <c r="B1232" s="78">
        <f>IF((A1232&gt;=2023),ROUND(D1232,2),C1232)</f>
        <v/>
      </c>
      <c r="C1232" s="79" t="n"/>
      <c r="D1232" s="79" t="n">
        <v>2.24</v>
      </c>
    </row>
    <row r="1235">
      <c r="A1235" s="90" t="inlineStr">
        <is>
          <t>F5 · Cleantech venture &amp; growth investment in the EU  (% of GDP)</t>
        </is>
      </c>
    </row>
    <row r="1236" ht="26" customHeight="1">
      <c r="A1236" s="76" t="inlineStr">
        <is>
          <t>The report's formula throughout; for the later years its single input is back-computed from the published figure through the sheet's own constants, so the arithmetic is unchanged.</t>
        </is>
      </c>
    </row>
    <row r="1237" ht="24" customHeight="1">
      <c r="A1237" s="3" t="inlineStr">
        <is>
          <t>Derivation:  Value = [Report figure (2024 report underlying data)]</t>
        </is>
      </c>
    </row>
    <row r="1238" ht="42" customHeight="1">
      <c r="A1238" s="77" t="inlineStr">
        <is>
          <t>Year</t>
        </is>
      </c>
      <c r="B1238" s="77" t="inlineStr">
        <is>
          <t>Value</t>
        </is>
      </c>
      <c r="C1238" s="77" t="inlineStr">
        <is>
          <t>Report figure (2024 report underlying data)</t>
        </is>
      </c>
    </row>
    <row r="1239" ht="14" customHeight="1">
      <c r="A1239" s="16" t="n">
        <v>2018</v>
      </c>
      <c r="B1239" s="78">
        <f>C1239</f>
        <v/>
      </c>
      <c r="C1239" s="79" t="n">
        <v>0.02</v>
      </c>
    </row>
    <row r="1240" ht="14" customHeight="1">
      <c r="A1240" s="23" t="n">
        <v>2019</v>
      </c>
      <c r="B1240" s="80">
        <f>C1240</f>
        <v/>
      </c>
      <c r="C1240" s="81" t="n">
        <v>0.03</v>
      </c>
    </row>
    <row r="1241" ht="14" customHeight="1">
      <c r="A1241" s="16" t="n">
        <v>2020</v>
      </c>
      <c r="B1241" s="78">
        <f>C1241</f>
        <v/>
      </c>
      <c r="C1241" s="79" t="n">
        <v>0.03</v>
      </c>
    </row>
    <row r="1242" ht="14" customHeight="1">
      <c r="A1242" s="23" t="n">
        <v>2021</v>
      </c>
      <c r="B1242" s="80">
        <f>C1242</f>
        <v/>
      </c>
      <c r="C1242" s="81" t="n">
        <v>0.07000000000000001</v>
      </c>
    </row>
    <row r="1243" ht="14" customHeight="1">
      <c r="A1243" s="16" t="n">
        <v>2022</v>
      </c>
      <c r="B1243" s="78">
        <f>C1243</f>
        <v/>
      </c>
      <c r="C1243" s="79" t="n">
        <v>0.06</v>
      </c>
    </row>
    <row r="1244" ht="14" customHeight="1">
      <c r="A1244" s="23" t="n">
        <v>2023</v>
      </c>
      <c r="B1244" s="80">
        <f>C1244</f>
        <v/>
      </c>
      <c r="C1244" s="81" t="n">
        <v>0.07000000000000001</v>
      </c>
    </row>
    <row r="1245" ht="14" customHeight="1">
      <c r="A1245" s="16" t="n">
        <v>2024</v>
      </c>
      <c r="B1245" s="78">
        <f>C1245</f>
        <v/>
      </c>
      <c r="C1245" s="79" t="n">
        <v>0.05</v>
      </c>
    </row>
    <row r="1246" ht="14" customHeight="1">
      <c r="A1246" s="23" t="n">
        <v>2025</v>
      </c>
      <c r="B1246" s="80">
        <f>C1246</f>
        <v/>
      </c>
      <c r="C1246" s="81" t="n">
        <v>0.04</v>
      </c>
    </row>
    <row r="1249">
      <c r="A1249" s="51" t="inlineStr">
        <is>
          <t>Notes: a formula of the form =IF(A…&gt;=2023, ROUND(&lt;live-source recipe&gt;), &lt;report recipe&gt;) keeps the report years on the 2024 workbook's derivation and computes the later years from the live source. Both derivations are shown because they are genuinely different.</t>
        </is>
      </c>
    </row>
  </sheetData>
  <mergeCells count="173">
    <mergeCell ref="A345:L345"/>
    <mergeCell ref="A954:L954"/>
    <mergeCell ref="A444:L444"/>
    <mergeCell ref="A138:H138"/>
    <mergeCell ref="A909:H909"/>
    <mergeCell ref="A1236:L1236"/>
    <mergeCell ref="A1151:H1151"/>
    <mergeCell ref="A139:L139"/>
    <mergeCell ref="A113:L113"/>
    <mergeCell ref="A443:L443"/>
    <mergeCell ref="A468:L468"/>
    <mergeCell ref="A846:H846"/>
    <mergeCell ref="A955:L955"/>
    <mergeCell ref="A1020:L1020"/>
    <mergeCell ref="A470:L470"/>
    <mergeCell ref="A1072:H1072"/>
    <mergeCell ref="A317:H317"/>
    <mergeCell ref="A1235:H1235"/>
    <mergeCell ref="A371:L371"/>
    <mergeCell ref="A613:L613"/>
    <mergeCell ref="A165:L165"/>
    <mergeCell ref="A494:L494"/>
    <mergeCell ref="A772:H772"/>
    <mergeCell ref="A889:L889"/>
    <mergeCell ref="A911:L911"/>
    <mergeCell ref="A932:L932"/>
    <mergeCell ref="A1178:L1178"/>
    <mergeCell ref="A1099:H1099"/>
    <mergeCell ref="A293:L293"/>
    <mergeCell ref="A748:H748"/>
    <mergeCell ref="A1041:L1041"/>
    <mergeCell ref="A1217:L1217"/>
    <mergeCell ref="A34:L34"/>
    <mergeCell ref="A588:H588"/>
    <mergeCell ref="A568:L568"/>
    <mergeCell ref="A824:H824"/>
    <mergeCell ref="A520:L520"/>
    <mergeCell ref="A6:L6"/>
    <mergeCell ref="A31:H31"/>
    <mergeCell ref="A58:H58"/>
    <mergeCell ref="A798:H798"/>
    <mergeCell ref="A421:H421"/>
    <mergeCell ref="A625:L625"/>
    <mergeCell ref="A672:H672"/>
    <mergeCell ref="A1199:L1199"/>
    <mergeCell ref="A910:L910"/>
    <mergeCell ref="A291:H291"/>
    <mergeCell ref="A931:H931"/>
    <mergeCell ref="A1062:H1062"/>
    <mergeCell ref="A469:L469"/>
    <mergeCell ref="A773:L773"/>
    <mergeCell ref="A1127:L1127"/>
    <mergeCell ref="A239:L239"/>
    <mergeCell ref="A1074:L1074"/>
    <mergeCell ref="A847:L847"/>
    <mergeCell ref="A237:H237"/>
    <mergeCell ref="A5:L5"/>
    <mergeCell ref="A32:L32"/>
    <mergeCell ref="A1073:L1073"/>
    <mergeCell ref="A397:H397"/>
    <mergeCell ref="A699:H699"/>
    <mergeCell ref="A997:H997"/>
    <mergeCell ref="A214:H214"/>
    <mergeCell ref="A163:H163"/>
    <mergeCell ref="A1100:L1100"/>
    <mergeCell ref="A867:H867"/>
    <mergeCell ref="A372:L372"/>
    <mergeCell ref="A848:L848"/>
    <mergeCell ref="A85:H85"/>
    <mergeCell ref="A1019:L1019"/>
    <mergeCell ref="A188:H188"/>
    <mergeCell ref="A266:L266"/>
    <mergeCell ref="A60:L60"/>
    <mergeCell ref="A1101:L1101"/>
    <mergeCell ref="A800:L800"/>
    <mergeCell ref="A112:H112"/>
    <mergeCell ref="A724:H724"/>
    <mergeCell ref="A399:L399"/>
    <mergeCell ref="A614:L614"/>
    <mergeCell ref="A998:L998"/>
    <mergeCell ref="A1198:L1198"/>
    <mergeCell ref="A646:H646"/>
    <mergeCell ref="A422:L422"/>
    <mergeCell ref="A933:L933"/>
    <mergeCell ref="A953:H953"/>
    <mergeCell ref="A1126:L1126"/>
    <mergeCell ref="A567:L567"/>
    <mergeCell ref="A1218:L1218"/>
    <mergeCell ref="A292:L292"/>
    <mergeCell ref="A423:L423"/>
    <mergeCell ref="A1177:H1177"/>
    <mergeCell ref="A888:H888"/>
    <mergeCell ref="A826:L826"/>
    <mergeCell ref="A626:L626"/>
    <mergeCell ref="A189:L189"/>
    <mergeCell ref="A467:H467"/>
    <mergeCell ref="A238:L238"/>
    <mergeCell ref="A294:L294"/>
    <mergeCell ref="A749:L749"/>
    <mergeCell ref="A890:L890"/>
    <mergeCell ref="A2:L2"/>
    <mergeCell ref="A86:L86"/>
    <mergeCell ref="A999:L999"/>
    <mergeCell ref="A1152:L1152"/>
    <mergeCell ref="A725:L725"/>
    <mergeCell ref="A566:H566"/>
    <mergeCell ref="A624:H624"/>
    <mergeCell ref="A976:L976"/>
    <mergeCell ref="A519:H519"/>
    <mergeCell ref="A215:L215"/>
    <mergeCell ref="A493:H493"/>
    <mergeCell ref="A868:L868"/>
    <mergeCell ref="A1064:L1064"/>
    <mergeCell ref="A318:L318"/>
    <mergeCell ref="A1153:L1153"/>
    <mergeCell ref="A265:L265"/>
    <mergeCell ref="A543:H543"/>
    <mergeCell ref="A799:L799"/>
    <mergeCell ref="A726:L726"/>
    <mergeCell ref="A1075:L1075"/>
    <mergeCell ref="A320:L320"/>
    <mergeCell ref="A673:L673"/>
    <mergeCell ref="A114:L114"/>
    <mergeCell ref="A701:L701"/>
    <mergeCell ref="A59:L59"/>
    <mergeCell ref="A590:L590"/>
    <mergeCell ref="A648:L648"/>
    <mergeCell ref="A975:H975"/>
    <mergeCell ref="A589:L589"/>
    <mergeCell ref="A647:L647"/>
    <mergeCell ref="A61:L61"/>
    <mergeCell ref="A825:L825"/>
    <mergeCell ref="A88:L88"/>
    <mergeCell ref="A344:H344"/>
    <mergeCell ref="A346:L346"/>
    <mergeCell ref="A398:L398"/>
    <mergeCell ref="A1040:H1040"/>
    <mergeCell ref="A7:L7"/>
    <mergeCell ref="A674:L674"/>
    <mergeCell ref="A164:L164"/>
    <mergeCell ref="A267:L267"/>
    <mergeCell ref="A370:H370"/>
    <mergeCell ref="A1197:H1197"/>
    <mergeCell ref="A675:L675"/>
    <mergeCell ref="A33:L33"/>
    <mergeCell ref="A442:H442"/>
    <mergeCell ref="A545:L545"/>
    <mergeCell ref="A264:H264"/>
    <mergeCell ref="A140:L140"/>
    <mergeCell ref="A495:L495"/>
    <mergeCell ref="A700:L700"/>
    <mergeCell ref="A240:L240"/>
    <mergeCell ref="A1237:L1237"/>
    <mergeCell ref="A1018:H1018"/>
    <mergeCell ref="A1063:L1063"/>
    <mergeCell ref="A774:L774"/>
    <mergeCell ref="A190:L190"/>
    <mergeCell ref="A1249:L1249"/>
    <mergeCell ref="A544:L544"/>
    <mergeCell ref="A1216:H1216"/>
    <mergeCell ref="A319:L319"/>
    <mergeCell ref="A4:H4"/>
    <mergeCell ref="A521:L521"/>
    <mergeCell ref="A977:L977"/>
    <mergeCell ref="A1:L1"/>
    <mergeCell ref="A216:L216"/>
    <mergeCell ref="A1042:L1042"/>
    <mergeCell ref="A869:L869"/>
    <mergeCell ref="A612:H612"/>
    <mergeCell ref="A750:L750"/>
    <mergeCell ref="A1125:H1125"/>
    <mergeCell ref="A1179:L1179"/>
    <mergeCell ref="A87:L87"/>
  </mergeCells>
  <pageMargins left="0.75" right="0.75" top="1" bottom="1" header="0.5" footer="0.5"/>
</worksheet>
</file>

<file path=xl/worksheets/sheet17.xml><?xml version="1.0" encoding="utf-8"?>
<worksheet xmlns="http://schemas.openxmlformats.org/spreadsheetml/2006/main">
  <sheetPr>
    <tabColor rgb="004D7E83"/>
    <outlinePr summaryBelow="1" summaryRight="1"/>
    <pageSetUpPr/>
  </sheetPr>
  <dimension ref="A1:E294"/>
  <sheetViews>
    <sheetView showGridLines="0" zoomScale="100" workbookViewId="0">
      <pane ySplit="1" topLeftCell="A2" activePane="bottomLeft" state="frozen"/>
      <selection pane="bottomLeft" activeCell="A1" sqref="A1"/>
    </sheetView>
  </sheetViews>
  <sheetFormatPr baseColWidth="8" defaultRowHeight="15"/>
  <cols>
    <col width="11" customWidth="1" min="1" max="1"/>
    <col width="40" customWidth="1" min="2" max="2"/>
    <col width="40" customWidth="1" min="3" max="3"/>
    <col width="100" customWidth="1" min="4" max="4"/>
    <col width="26" customWidth="1" min="5" max="5"/>
  </cols>
  <sheetData>
    <row r="1" ht="22" customHeight="1">
      <c r="A1" s="5" t="inlineStr">
        <is>
          <t>Code</t>
        </is>
      </c>
      <c r="B1" s="5" t="inlineStr">
        <is>
          <t>Indicator</t>
        </is>
      </c>
      <c r="C1" s="5" t="inlineStr">
        <is>
          <t>Input column</t>
        </is>
      </c>
      <c r="D1" s="5" t="inlineStr">
        <is>
          <t>Where that input comes from</t>
        </is>
      </c>
      <c r="E1" s="5" t="inlineStr">
        <is>
          <t>Exact dataset link (DOI where available)</t>
        </is>
      </c>
    </row>
    <row r="2" ht="26" customHeight="1">
      <c r="A2" s="14" t="inlineStr">
        <is>
          <t>E3</t>
        </is>
      </c>
      <c r="B2" s="15" t="inlineStr">
        <is>
          <t>Average GHG intensity of EU electricity</t>
        </is>
      </c>
      <c r="C2" s="15" t="inlineStr">
        <is>
          <t>Value</t>
        </is>
      </c>
      <c r="D2" s="34" t="inlineStr">
        <is>
          <t>EEA: GHG intensity of electricity generation in Europe (EU-27)</t>
        </is>
      </c>
      <c r="E2" s="72" t="inlineStr">
        <is>
          <t>https://www.eea.europa.eu/en/datahub/datahubitem-view/3b7fe76c-524a-439a-bfd2-a6e4046302a2</t>
        </is>
      </c>
    </row>
    <row r="3" ht="26" customHeight="1">
      <c r="A3" s="67" t="inlineStr"/>
      <c r="B3" s="22" t="inlineStr"/>
      <c r="C3" s="22" t="inlineStr">
        <is>
          <t>Historical</t>
        </is>
      </c>
      <c r="D3" s="35" t="inlineStr">
        <is>
          <t>EEA: GHG intensity of electricity generation in Europe</t>
        </is>
      </c>
      <c r="E3" s="72" t="inlineStr">
        <is>
          <t>https://www.eea.europa.eu/en/datahub/datahubitem-view/3b7fe76c-524a-439a-bfd2-a6e4046302a2</t>
        </is>
      </c>
    </row>
    <row r="4" ht="26" customHeight="1">
      <c r="A4" s="14" t="inlineStr"/>
      <c r="B4" s="15" t="inlineStr"/>
      <c r="C4" s="15" t="inlineStr">
        <is>
          <t>Numerator · env_air_gge CRF1A1</t>
        </is>
      </c>
      <c r="D4" s="34" t="inlineStr">
        <is>
          <t>Eurostat env_air_gge · geo=EU27_2020, unit=MIO_T, freq=A, airpol=GHG, src_crf=CRF1A1 · https://ec.europa.eu/eurostat/api/dissemination/statistics/1.0/data/env_air_gge?format=JSON&amp;lang=EN&amp;geo=EU27_2020&amp;unit=MIO_T&amp;freq=A&amp;airpol=GHG&amp;src_crf=CRF1A1</t>
        </is>
      </c>
      <c r="E4" s="72" t="inlineStr">
        <is>
          <t>https://doi.org/10.2908/ENV_AIR_GGE</t>
        </is>
      </c>
    </row>
    <row r="5" ht="26" customHeight="1">
      <c r="A5" s="67" t="inlineStr"/>
      <c r="B5" s="22" t="inlineStr"/>
      <c r="C5" s="22" t="inlineStr">
        <is>
          <t>Denominator · nrg_bal_peh TOTAL</t>
        </is>
      </c>
      <c r="D5" s="35" t="inlineStr">
        <is>
          <t>Eurostat nrg_bal_peh · geo=EU27_2020, unit=GWH, freq=A, nrg_bal=GEP, siec=TOTAL · https://ec.europa.eu/eurostat/api/dissemination/statistics/1.0/data/nrg_bal_peh?format=JSON&amp;lang=EN&amp;geo=EU27_2020&amp;unit=GWH&amp;freq=A&amp;nrg_bal=GEP&amp;siec=TOTAL</t>
        </is>
      </c>
      <c r="E5" s="72" t="inlineStr">
        <is>
          <t>https://doi.org/10.2908/NRG_BAL_PEH</t>
        </is>
      </c>
    </row>
    <row r="6" ht="26" customHeight="1">
      <c r="A6" s="14" t="inlineStr"/>
      <c r="B6" s="15" t="inlineStr"/>
      <c r="C6" s="15" t="inlineStr">
        <is>
          <t>Report baseline 2022 (g CO₂eq/kWh)</t>
        </is>
      </c>
      <c r="D6" s="34" t="inlineStr">
        <is>
          <t>ESABCC (2024) “Towards EU climate neutrality”, underlying-data workbook — the report's own 2022 figure, the anchor the later years are spliced onto.</t>
        </is>
      </c>
    </row>
    <row r="7" ht="26" customHeight="1">
      <c r="A7" s="67" t="inlineStr"/>
      <c r="B7" s="22" t="inlineStr"/>
      <c r="C7" s="22" t="inlineStr">
        <is>
          <t>Live source at 2022 (same basis as the columns left)</t>
        </is>
      </c>
      <c r="D7" s="35" t="inlineStr">
        <is>
          <t>Eurostat env_air_gge CRF 1.A.1 ÷ nrg_bal_peh gross electricity production · EU27_2020 — the same query, read at 2022; dividing by it cancels the level difference between the source's scope and the report's, leaving only the year-on-year change.</t>
        </is>
      </c>
      <c r="E7" s="72" t="inlineStr">
        <is>
          <t>https://doi.org/10.2908/ENV_AIR_GGE</t>
        </is>
      </c>
    </row>
    <row r="8" ht="26" customHeight="1">
      <c r="A8" s="14" t="inlineStr">
        <is>
          <t>E4a</t>
        </is>
      </c>
      <c r="B8" s="15" t="inlineStr">
        <is>
          <t>Annual solar PV capacity additions (EU)</t>
        </is>
      </c>
      <c r="C8" s="15" t="inlineStr">
        <is>
          <t>Value</t>
        </is>
      </c>
      <c r="D8" s="34" t="inlineStr">
        <is>
          <t>Eurostat NRG_INF_EPCRW (annual change in cumulative solar-PV capacity)</t>
        </is>
      </c>
    </row>
    <row r="9" ht="26" customHeight="1">
      <c r="A9" s="67" t="inlineStr"/>
      <c r="B9" s="22" t="inlineStr"/>
      <c r="C9" s="22" t="inlineStr">
        <is>
          <t>Solar PV cumulative capacity (MW)</t>
        </is>
      </c>
      <c r="D9" s="35" t="inlineStr">
        <is>
          <t>Eurostat NRG_INF_EPCRW (cumulative installed capacity, EU-27)</t>
        </is>
      </c>
    </row>
    <row r="10" ht="26" customHeight="1">
      <c r="A10" s="14" t="inlineStr"/>
      <c r="B10" s="15" t="inlineStr"/>
      <c r="C10" s="15" t="inlineStr">
        <is>
          <t>Solar PV cumulative capacity (MW) (previous year)</t>
        </is>
      </c>
      <c r="D10" s="34" t="inlineStr">
        <is>
          <t>Eurostat NRG_INF_EPCRW (cumulative installed capacity, EU-27)</t>
        </is>
      </c>
    </row>
    <row r="11" ht="26" customHeight="1">
      <c r="A11" s="67" t="inlineStr"/>
      <c r="B11" s="22" t="inlineStr"/>
      <c r="C11" s="22" t="inlineStr">
        <is>
          <t>Post-report figure as published</t>
        </is>
      </c>
      <c r="D11" s="35" t="inlineStr">
        <is>
          <t>Eurostat (nrg_inf_epcrw); 2023+ SolarPower Europe, EU Market Outlook — https://ec.europa.eu/eurostat/databrowser/view/nrg_inf_epcrw/default/table</t>
        </is>
      </c>
      <c r="E11" s="72" t="inlineStr">
        <is>
          <t>https://www.solarpowereurope.org/insights/outlooks/eu-market-outlook-for-solar-power-2024-2028</t>
        </is>
      </c>
    </row>
    <row r="12" ht="26" customHeight="1">
      <c r="A12" s="14" t="inlineStr">
        <is>
          <t>E4b/c</t>
        </is>
      </c>
      <c r="B12" s="15" t="inlineStr">
        <is>
          <t>Annual wind capacity additions (EU)</t>
        </is>
      </c>
      <c r="C12" s="15" t="inlineStr">
        <is>
          <t>Value</t>
        </is>
      </c>
      <c r="D12" s="34" t="inlineStr">
        <is>
          <t>Eurostat NRG_INF_EPCRW (annual change in cumulative onshore-wind capacity)</t>
        </is>
      </c>
    </row>
    <row r="13" ht="26" customHeight="1">
      <c r="A13" s="67" t="inlineStr"/>
      <c r="B13" s="22" t="inlineStr"/>
      <c r="C13" s="22" t="inlineStr">
        <is>
          <t>Onshore wind cumulative capacity (MW)</t>
        </is>
      </c>
      <c r="D13" s="35" t="inlineStr">
        <is>
          <t>Eurostat NRG_INF_EPCRW (cumulative installed capacity, EU-27)</t>
        </is>
      </c>
    </row>
    <row r="14" ht="26" customHeight="1">
      <c r="A14" s="14" t="inlineStr"/>
      <c r="B14" s="15" t="inlineStr"/>
      <c r="C14" s="15" t="inlineStr">
        <is>
          <t>Onshore wind cumulative capacity (MW) (previous year)</t>
        </is>
      </c>
      <c r="D14" s="34" t="inlineStr">
        <is>
          <t>Eurostat NRG_INF_EPCRW (cumulative installed capacity, EU-27)</t>
        </is>
      </c>
    </row>
    <row r="15" ht="26" customHeight="1">
      <c r="A15" s="67" t="inlineStr"/>
      <c r="B15" s="22" t="inlineStr"/>
      <c r="C15" s="22" t="inlineStr">
        <is>
          <t>Post-report figure as published</t>
        </is>
      </c>
      <c r="D15" s="35" t="inlineStr">
        <is>
          <t>Eurostat (nrg_inf_epcrw); 2023+ WindEurope annual statistics — https://ec.europa.eu/eurostat/databrowser/view/nrg_inf_epcrw/default/table</t>
        </is>
      </c>
      <c r="E15" s="72" t="inlineStr">
        <is>
          <t>https://windeurope.org/intelligence-platform/product/wind-energy-in-europe-2024-statistics-and-the-outlook-for-2025-2030/</t>
        </is>
      </c>
    </row>
    <row r="16" ht="26" customHeight="1">
      <c r="A16" s="14" t="inlineStr">
        <is>
          <t>E6</t>
        </is>
      </c>
      <c r="B16" s="15" t="inlineStr">
        <is>
          <t>Energy-related methane emissions (EU-27)</t>
        </is>
      </c>
      <c r="C16" s="15" t="inlineStr">
        <is>
          <t>Value</t>
        </is>
      </c>
      <c r="D16" s="34" t="inlineStr">
        <is>
          <t>EEA / EU GHG inventory (UNFCCC CRF Table 1s1 &amp; 1s2, CH4), EU-27</t>
        </is>
      </c>
      <c r="E16" s="72" t="inlineStr">
        <is>
          <t>https://di.unfccc.int/detailed_data_by_party</t>
        </is>
      </c>
    </row>
    <row r="17" ht="26" customHeight="1">
      <c r="A17" s="67" t="inlineStr"/>
      <c r="B17" s="22" t="inlineStr"/>
      <c r="C17" s="22" t="inlineStr">
        <is>
          <t>Fuel combustion</t>
        </is>
      </c>
      <c r="D17" s="35" t="inlineStr">
        <is>
          <t>Sum of below</t>
        </is>
      </c>
    </row>
    <row r="18" ht="26" customHeight="1">
      <c r="A18" s="14" t="inlineStr"/>
      <c r="B18" s="15" t="inlineStr"/>
      <c r="C18" s="15" t="inlineStr">
        <is>
          <t>Fugitive - solid fuels</t>
        </is>
      </c>
      <c r="D18" s="34" t="inlineStr">
        <is>
          <t>CRF Table 1s1 &amp; 1s2</t>
        </is>
      </c>
      <c r="E18" s="72" t="inlineStr">
        <is>
          <t>https://di.unfccc.int/detailed_data_by_party</t>
        </is>
      </c>
    </row>
    <row r="19" ht="26" customHeight="1">
      <c r="A19" s="67" t="inlineStr"/>
      <c r="B19" s="22" t="inlineStr"/>
      <c r="C19" s="22" t="inlineStr">
        <is>
          <t>Fugitive - other</t>
        </is>
      </c>
      <c r="D19" s="35" t="inlineStr">
        <is>
          <t>CRF Table 1s1 &amp; 1s2</t>
        </is>
      </c>
      <c r="E19" s="72" t="inlineStr">
        <is>
          <t>https://di.unfccc.int/detailed_data_by_party</t>
        </is>
      </c>
    </row>
    <row r="20" ht="26" customHeight="1">
      <c r="A20" s="14" t="inlineStr"/>
      <c r="B20" s="15" t="inlineStr"/>
      <c r="C20" s="15" t="inlineStr">
        <is>
          <t>env_air_gge CRF1 CH4</t>
        </is>
      </c>
      <c r="D20" s="34" t="inlineStr">
        <is>
          <t>Eurostat env_air_gge · geo=EU27_2020, unit=MIO_T, freq=A, airpol=CH4, src_crf=CRF1 · https://ec.europa.eu/eurostat/api/dissemination/statistics/1.0/data/env_air_gge?format=JSON&amp;lang=EN&amp;geo=EU27_2020&amp;unit=MIO_T&amp;freq=A&amp;airpol=CH4&amp;src_crf=CRF1</t>
        </is>
      </c>
      <c r="E20" s="72" t="inlineStr">
        <is>
          <t>https://doi.org/10.2908/ENV_AIR_GGE</t>
        </is>
      </c>
    </row>
    <row r="21" ht="26" customHeight="1">
      <c r="A21" s="67" t="inlineStr"/>
      <c r="B21" s="22" t="inlineStr"/>
      <c r="C21" s="22" t="inlineStr">
        <is>
          <t>Report baseline 2021 (Mt CO₂eq)</t>
        </is>
      </c>
      <c r="D21" s="35" t="inlineStr">
        <is>
          <t>ESABCC (2024) “Towards EU climate neutrality”, underlying-data workbook — the report's own 2021 figure, the anchor the later years are spliced onto.</t>
        </is>
      </c>
    </row>
    <row r="22" ht="26" customHeight="1">
      <c r="A22" s="14" t="inlineStr"/>
      <c r="B22" s="15" t="inlineStr"/>
      <c r="C22" s="15" t="inlineStr">
        <is>
          <t>Live source at 2021 (same basis as the columns left)</t>
        </is>
      </c>
      <c r="D22" s="34" t="inlineStr">
        <is>
          <t>Eurostat env_air_gge · CRF 1 energy CH₄ · EU27_2020 — the same query, read at 2021; dividing by it cancels the level difference between the source's scope and the report's, leaving only the year-on-year change.</t>
        </is>
      </c>
      <c r="E22" s="72" t="inlineStr">
        <is>
          <t>https://doi.org/10.2908/ENV_AIR_GGE</t>
        </is>
      </c>
    </row>
    <row r="23" ht="26" customHeight="1">
      <c r="A23" s="67" t="inlineStr">
        <is>
          <t>E5</t>
        </is>
      </c>
      <c r="B23" s="22" t="inlineStr">
        <is>
          <t>Electrification rate of final energy use</t>
        </is>
      </c>
      <c r="C23" s="22" t="inlineStr">
        <is>
          <t>Value</t>
        </is>
      </c>
      <c r="D23" s="35" t="inlineStr">
        <is>
          <t>Eurostat energy balances (EU-27 final energy consumption)</t>
        </is>
      </c>
    </row>
    <row r="24" ht="26" customHeight="1">
      <c r="A24" s="14" t="inlineStr"/>
      <c r="B24" s="15" t="inlineStr"/>
      <c r="C24" s="15" t="inlineStr">
        <is>
          <t>FEC - electricity</t>
        </is>
      </c>
      <c r="D24" s="34" t="inlineStr">
        <is>
          <t>Energy balance</t>
        </is>
      </c>
    </row>
    <row r="25" ht="26" customHeight="1">
      <c r="A25" s="67" t="inlineStr"/>
      <c r="B25" s="22" t="inlineStr"/>
      <c r="C25" s="22" t="inlineStr">
        <is>
          <t>FEC - total</t>
        </is>
      </c>
      <c r="D25" s="35" t="inlineStr">
        <is>
          <t>Energy balance</t>
        </is>
      </c>
    </row>
    <row r="26" ht="26" customHeight="1">
      <c r="A26" s="14" t="inlineStr"/>
      <c r="B26" s="15" t="inlineStr"/>
      <c r="C26" s="15" t="inlineStr">
        <is>
          <t>fraction → % (× 100)</t>
        </is>
      </c>
      <c r="D26" s="34" t="inlineStr">
        <is>
          <t>Unit convention: the report workbook computes this share as a fraction, the indicator database stores it as a percent number (migrations 058 / 075 / 076). The conversion is carried here as its own column so the grid and the plotted series agree.</t>
        </is>
      </c>
    </row>
    <row r="27" ht="26" customHeight="1">
      <c r="A27" s="67" t="inlineStr">
        <is>
          <t>I2 (cement, production)</t>
        </is>
      </c>
      <c r="B27" s="22" t="inlineStr">
        <is>
          <t>Cement production (EU)</t>
        </is>
      </c>
      <c r="C27" s="22" t="inlineStr">
        <is>
          <t>Value</t>
        </is>
      </c>
      <c r="D27" s="35" t="inlineStr">
        <is>
          <t>Cembureau (data provided)</t>
        </is>
      </c>
      <c r="E27" s="72" t="inlineStr">
        <is>
          <t>https://www.cementeurope.eu/about-us/key-facts-figures/</t>
        </is>
      </c>
    </row>
    <row r="28" ht="26" customHeight="1">
      <c r="A28" s="14" t="inlineStr"/>
      <c r="B28" s="15" t="inlineStr"/>
      <c r="C28" s="15" t="inlineStr">
        <is>
          <t>Report figure (2024 report underlying data)</t>
        </is>
      </c>
      <c r="D28" s="34" t="inlineStr">
        <is>
          <t>ESABCC (2024) “Towards EU climate neutrality: Progress, policy gaps and opportunities”, underlying-data workbook — Cembureau (data provided). The report carries this indicator as a published series, with no further breakdown.</t>
        </is>
      </c>
      <c r="E28" s="72" t="inlineStr">
        <is>
          <t>https://www.cementeurope.eu/about-us/key-facts-figures/</t>
        </is>
      </c>
    </row>
    <row r="29" ht="26" customHeight="1">
      <c r="A29" s="67" t="inlineStr"/>
      <c r="B29" s="22" t="inlineStr"/>
      <c r="C29" s="22" t="inlineStr">
        <is>
          <t>sts_inpr_a C235</t>
        </is>
      </c>
      <c r="D29" s="35" t="inlineStr">
        <is>
          <t>Eurostat sts_inpr_a · geo=EU27_2020, indic_bt=PRD, s_adj=CA, unit=I21, nace_r2=C235 · https://ec.europa.eu/eurostat/api/dissemination/statistics/1.0/data/sts_inpr_a?format=JSON&amp;lang=EN&amp;geo=EU27_2020&amp;indic_bt=PRD&amp;s_adj=CA&amp;unit=I21&amp;nace_r2=C235</t>
        </is>
      </c>
      <c r="E29" s="72" t="inlineStr">
        <is>
          <t>https://doi.org/10.2908/STS_INPR_A</t>
        </is>
      </c>
    </row>
    <row r="30" ht="26" customHeight="1">
      <c r="A30" s="14" t="inlineStr"/>
      <c r="B30" s="15" t="inlineStr"/>
      <c r="C30" s="15" t="inlineStr">
        <is>
          <t>Report baseline 2021 (Mt)</t>
        </is>
      </c>
      <c r="D30" s="34" t="inlineStr">
        <is>
          <t>ESABCC (2024) “Towards EU climate neutrality”, underlying-data workbook — the report's own 2021 figure, the anchor the later years are spliced onto.</t>
        </is>
      </c>
    </row>
    <row r="31" ht="26" customHeight="1">
      <c r="A31" s="67" t="inlineStr"/>
      <c r="B31" s="22" t="inlineStr"/>
      <c r="C31" s="22" t="inlineStr">
        <is>
          <t>Live source at 2021 (same basis as the columns left)</t>
        </is>
      </c>
      <c r="D31" s="35" t="inlineStr">
        <is>
          <t>Eurostat sts_inpr_a · production-volume index (2021=100), NACE C235 cement/lime/plaster · EU27_2020 — the same query, read at 2021; dividing by it cancels the level difference between the source's scope and the report's, leaving only the year-on-year change.</t>
        </is>
      </c>
      <c r="E31" s="72" t="inlineStr">
        <is>
          <t>https://doi.org/10.2908/STS_INPR_A</t>
        </is>
      </c>
    </row>
    <row r="32" ht="26" customHeight="1">
      <c r="A32" s="14" t="inlineStr">
        <is>
          <t>I2 (chemicals, production)</t>
        </is>
      </c>
      <c r="B32" s="15" t="inlineStr">
        <is>
          <t>Chemicals production (EU)</t>
        </is>
      </c>
      <c r="C32" s="15" t="inlineStr">
        <is>
          <t>Value</t>
        </is>
      </c>
      <c r="D32" s="34" t="inlineStr">
        <is>
          <t>Eurostat DS-056120 (sold production) and DS-059268 (trade)</t>
        </is>
      </c>
    </row>
    <row r="33" ht="26" customHeight="1">
      <c r="A33" s="67" t="inlineStr"/>
      <c r="B33" s="22" t="inlineStr"/>
      <c r="C33" s="22" t="inlineStr">
        <is>
          <t>Report figure (2024 report underlying data)</t>
        </is>
      </c>
      <c r="D33" s="35" t="inlineStr">
        <is>
          <t>ESABCC (2024) “Towards EU climate neutrality: Progress, policy gaps and opportunities”, underlying-data workbook — Eurostat DS-056120 (sold production) and DS-059268 (trade). The report carries this indicator as a published series, with no further breakdown.</t>
        </is>
      </c>
    </row>
    <row r="34" ht="26" customHeight="1">
      <c r="A34" s="14" t="inlineStr"/>
      <c r="B34" s="15" t="inlineStr"/>
      <c r="C34" s="15" t="inlineStr">
        <is>
          <t>sts_inpr_a C201</t>
        </is>
      </c>
      <c r="D34" s="34" t="inlineStr">
        <is>
          <t>Eurostat sts_inpr_a · geo=EU27_2020, indic_bt=PRD, s_adj=CA, unit=I21, nace_r2=C201 · https://ec.europa.eu/eurostat/api/dissemination/statistics/1.0/data/sts_inpr_a?format=JSON&amp;lang=EN&amp;geo=EU27_2020&amp;indic_bt=PRD&amp;s_adj=CA&amp;unit=I21&amp;nace_r2=C201</t>
        </is>
      </c>
      <c r="E34" s="72" t="inlineStr">
        <is>
          <t>https://doi.org/10.2908/STS_INPR_A</t>
        </is>
      </c>
    </row>
    <row r="35" ht="26" customHeight="1">
      <c r="A35" s="67" t="inlineStr"/>
      <c r="B35" s="22" t="inlineStr"/>
      <c r="C35" s="22" t="inlineStr">
        <is>
          <t>Report baseline 2021 (Mt)</t>
        </is>
      </c>
      <c r="D35" s="35" t="inlineStr">
        <is>
          <t>ESABCC (2024) “Towards EU climate neutrality”, underlying-data workbook — the report's own 2021 figure, the anchor the later years are spliced onto.</t>
        </is>
      </c>
    </row>
    <row r="36" ht="26" customHeight="1">
      <c r="A36" s="14" t="inlineStr"/>
      <c r="B36" s="15" t="inlineStr"/>
      <c r="C36" s="15" t="inlineStr">
        <is>
          <t>Live source at 2021 (same basis as the columns left)</t>
        </is>
      </c>
      <c r="D36" s="34" t="inlineStr">
        <is>
          <t>Eurostat sts_inpr_a · production-volume index (2021=100), NACE C201 basic chemicals · EU27_2020 — the same query, read at 2021; dividing by it cancels the level difference between the source's scope and the report's, leaving only the year-on-year change.</t>
        </is>
      </c>
      <c r="E36" s="72" t="inlineStr">
        <is>
          <t>https://doi.org/10.2908/STS_INPR_A</t>
        </is>
      </c>
    </row>
    <row r="37" ht="26" customHeight="1">
      <c r="A37" s="67" t="inlineStr">
        <is>
          <t>I2 (steel, production)</t>
        </is>
      </c>
      <c r="B37" s="22" t="inlineStr">
        <is>
          <t>Steel production (EU)</t>
        </is>
      </c>
      <c r="C37" s="22" t="inlineStr">
        <is>
          <t>Value</t>
        </is>
      </c>
      <c r="D37" s="35" t="inlineStr">
        <is>
          <t>Eurofer, Steel in figures 2022</t>
        </is>
      </c>
      <c r="E37" s="72" t="inlineStr">
        <is>
          <t>https://www.eurofer.eu/publications/brochures-booklets-and-factsheets/european-steel-in-figures-2024</t>
        </is>
      </c>
    </row>
    <row r="38" ht="26" customHeight="1">
      <c r="A38" s="14" t="inlineStr"/>
      <c r="B38" s="15" t="inlineStr"/>
      <c r="C38" s="15" t="inlineStr">
        <is>
          <t>Report figure (2024 report underlying data)</t>
        </is>
      </c>
      <c r="D38" s="34" t="inlineStr">
        <is>
          <t>ESABCC (2024) “Towards EU climate neutrality: Progress, policy gaps and opportunities”, underlying-data workbook — Eurofer, Steel in figures 2022. The report carries this indicator as a published series, with no further breakdown.</t>
        </is>
      </c>
      <c r="E38" s="72" t="inlineStr">
        <is>
          <t>https://www.eurofer.eu/publications/brochures-booklets-and-factsheets/european-steel-in-figures-2024</t>
        </is>
      </c>
    </row>
    <row r="39" ht="26" customHeight="1">
      <c r="A39" s="67" t="inlineStr">
        <is>
          <t>I3</t>
        </is>
      </c>
      <c r="B39" s="22" t="inlineStr">
        <is>
          <t>Circular material use rate (EU)</t>
        </is>
      </c>
      <c r="C39" s="22" t="inlineStr">
        <is>
          <t>Value</t>
        </is>
      </c>
      <c r="D39" s="35" t="inlineStr">
        <is>
          <t>Eurostat SDG_12_41</t>
        </is>
      </c>
    </row>
    <row r="40" ht="26" customHeight="1">
      <c r="A40" s="14" t="inlineStr"/>
      <c r="B40" s="15" t="inlineStr"/>
      <c r="C40" s="15" t="inlineStr">
        <is>
          <t>Report figure (2024 report underlying data)</t>
        </is>
      </c>
      <c r="D40" s="34" t="inlineStr">
        <is>
          <t>ESABCC (2024) “Towards EU climate neutrality”, underlying-data workbook — Eurostat SDG_12_41. Published as a series, with no further breakdown.</t>
        </is>
      </c>
    </row>
    <row r="41" ht="26" customHeight="1">
      <c r="A41" s="67" t="inlineStr"/>
      <c r="B41" s="22" t="inlineStr"/>
      <c r="C41" s="22" t="inlineStr">
        <is>
          <t>cei_srm030 PC</t>
        </is>
      </c>
      <c r="D41" s="35" t="inlineStr">
        <is>
          <t>Eurostat cei_srm030 · geo=EU27_2020, unit=PC · https://ec.europa.eu/eurostat/api/dissemination/statistics/1.0/data/cei_srm030?format=JSON&amp;lang=EN&amp;geo=EU27_2020&amp;unit=PC</t>
        </is>
      </c>
      <c r="E41" s="72" t="inlineStr">
        <is>
          <t>https://doi.org/10.2908/CEI_SRM030</t>
        </is>
      </c>
    </row>
    <row r="42" ht="26" customHeight="1">
      <c r="A42" s="14" t="inlineStr"/>
      <c r="B42" s="15" t="inlineStr"/>
      <c r="C42" s="15" t="inlineStr">
        <is>
          <t>fraction → % (× 100)</t>
        </is>
      </c>
      <c r="D42" s="34" t="inlineStr">
        <is>
          <t>Unit convention: the report workbook computes this share as a fraction, the indicator database stores it as a percent number (migrations 058 / 075 / 076). The conversion is carried here as its own column so the grid and the plotted series agree.</t>
        </is>
      </c>
    </row>
    <row r="43" ht="26" customHeight="1">
      <c r="A43" s="67" t="inlineStr">
        <is>
          <t>I5</t>
        </is>
      </c>
      <c r="B43" s="22" t="inlineStr">
        <is>
          <t>Industrial final energy consumption (EU)</t>
        </is>
      </c>
      <c r="C43" s="22" t="inlineStr">
        <is>
          <t>Value</t>
        </is>
      </c>
      <c r="D43" s="35" t="inlineStr">
        <is>
          <t>Eurostat energy balances</t>
        </is>
      </c>
    </row>
    <row r="44" ht="26" customHeight="1">
      <c r="A44" s="14" t="inlineStr"/>
      <c r="B44" s="15" t="inlineStr"/>
      <c r="C44" s="15" t="inlineStr">
        <is>
          <t>Total</t>
        </is>
      </c>
      <c r="D44" s="34" t="inlineStr">
        <is>
          <t>Eurostat energy balances</t>
        </is>
      </c>
    </row>
    <row r="45" ht="26" customHeight="1">
      <c r="A45" s="67" t="inlineStr">
        <is>
          <t>T1</t>
        </is>
      </c>
      <c r="B45" s="22" t="inlineStr">
        <is>
          <t>Transport GHG emissions (EU)</t>
        </is>
      </c>
      <c r="C45" s="22" t="inlineStr">
        <is>
          <t>Value</t>
        </is>
      </c>
      <c r="D45" s="35" t="inlineStr">
        <is>
          <t>EEA GHG data viewer</t>
        </is>
      </c>
      <c r="E45" s="72" t="inlineStr">
        <is>
          <t>https://www.eea.europa.eu/en/datahub/datahubitem-view/3b7fe76c-524a-439a-bfd2-a6e4046302a2</t>
        </is>
      </c>
    </row>
    <row r="46" ht="26" customHeight="1">
      <c r="A46" s="14" t="inlineStr"/>
      <c r="B46" s="15" t="inlineStr"/>
      <c r="C46" s="15" t="inlineStr">
        <is>
          <t>Road - cars and motorcycles</t>
        </is>
      </c>
      <c r="D46" s="34" t="inlineStr">
        <is>
          <t>EEA GHG data viewer</t>
        </is>
      </c>
      <c r="E46" s="72" t="inlineStr">
        <is>
          <t>https://www.eea.europa.eu/en/datahub/datahubitem-view/3b7fe76c-524a-439a-bfd2-a6e4046302a2</t>
        </is>
      </c>
    </row>
    <row r="47" ht="26" customHeight="1">
      <c r="A47" s="67" t="inlineStr"/>
      <c r="B47" s="22" t="inlineStr"/>
      <c r="C47" s="22" t="inlineStr">
        <is>
          <t>Road - HDV and buses</t>
        </is>
      </c>
      <c r="D47" s="35" t="inlineStr">
        <is>
          <t>EEA GHG data viewer</t>
        </is>
      </c>
      <c r="E47" s="72" t="inlineStr">
        <is>
          <t>https://www.eea.europa.eu/en/datahub/datahubitem-view/3b7fe76c-524a-439a-bfd2-a6e4046302a2</t>
        </is>
      </c>
    </row>
    <row r="48" ht="26" customHeight="1">
      <c r="A48" s="14" t="inlineStr"/>
      <c r="B48" s="15" t="inlineStr"/>
      <c r="C48" s="15" t="inlineStr">
        <is>
          <t>Road - Light Duty Trucks</t>
        </is>
      </c>
      <c r="D48" s="34" t="inlineStr">
        <is>
          <t>EEA GHG data viewer</t>
        </is>
      </c>
      <c r="E48" s="72" t="inlineStr">
        <is>
          <t>https://www.eea.europa.eu/en/datahub/datahubitem-view/3b7fe76c-524a-439a-bfd2-a6e4046302a2</t>
        </is>
      </c>
    </row>
    <row r="49" ht="26" customHeight="1">
      <c r="A49" s="67" t="inlineStr"/>
      <c r="B49" s="22" t="inlineStr"/>
      <c r="C49" s="22" t="inlineStr">
        <is>
          <t>- of which Railways, IWW</t>
        </is>
      </c>
      <c r="D49" s="35" t="inlineStr">
        <is>
          <t>EEA GHG data viewer</t>
        </is>
      </c>
      <c r="E49" s="72" t="inlineStr">
        <is>
          <t>https://www.eea.europa.eu/en/datahub/datahubitem-view/3b7fe76c-524a-439a-bfd2-a6e4046302a2</t>
        </is>
      </c>
    </row>
    <row r="50" ht="26" customHeight="1">
      <c r="A50" s="14" t="inlineStr"/>
      <c r="B50" s="15" t="inlineStr"/>
      <c r="C50" s="15" t="inlineStr">
        <is>
          <t>Aviation</t>
        </is>
      </c>
      <c r="D50" s="34" t="inlineStr">
        <is>
          <t>EEA GHG data viewer</t>
        </is>
      </c>
      <c r="E50" s="72" t="inlineStr">
        <is>
          <t>https://www.eea.europa.eu/en/datahub/datahubitem-view/3b7fe76c-524a-439a-bfd2-a6e4046302a2</t>
        </is>
      </c>
    </row>
    <row r="51" ht="26" customHeight="1">
      <c r="A51" s="67" t="inlineStr"/>
      <c r="B51" s="22" t="inlineStr"/>
      <c r="C51" s="22" t="inlineStr">
        <is>
          <t>- of which Other</t>
        </is>
      </c>
      <c r="D51" s="35" t="inlineStr">
        <is>
          <t>EEA GHG data viewer</t>
        </is>
      </c>
      <c r="E51" s="72" t="inlineStr">
        <is>
          <t>https://www.eea.europa.eu/en/datahub/datahubitem-view/3b7fe76c-524a-439a-bfd2-a6e4046302a2</t>
        </is>
      </c>
    </row>
    <row r="52" ht="26" customHeight="1">
      <c r="A52" s="14" t="inlineStr"/>
      <c r="B52" s="15" t="inlineStr"/>
      <c r="C52" s="15" t="inlineStr">
        <is>
          <t>1.A.3.b.i - Cars</t>
        </is>
      </c>
      <c r="D52" s="34" t="inlineStr">
        <is>
          <t>EEA GHG data viewer</t>
        </is>
      </c>
      <c r="E52" s="72" t="inlineStr">
        <is>
          <t>https://www.eea.europa.eu/en/datahub/datahubitem-view/3b7fe76c-524a-439a-bfd2-a6e4046302a2</t>
        </is>
      </c>
    </row>
    <row r="53" ht="26" customHeight="1">
      <c r="A53" s="67" t="inlineStr"/>
      <c r="B53" s="22" t="inlineStr"/>
      <c r="C53" s="22" t="inlineStr">
        <is>
          <t>1.A.3.b.iv - Motorcycles</t>
        </is>
      </c>
      <c r="D53" s="35" t="inlineStr">
        <is>
          <t>EEA GHG data viewer</t>
        </is>
      </c>
      <c r="E53" s="72" t="inlineStr">
        <is>
          <t>https://www.eea.europa.eu/en/datahub/datahubitem-view/3b7fe76c-524a-439a-bfd2-a6e4046302a2</t>
        </is>
      </c>
    </row>
    <row r="54" ht="26" customHeight="1">
      <c r="A54" s="14" t="inlineStr"/>
      <c r="B54" s="15" t="inlineStr"/>
      <c r="C54" s="15" t="inlineStr">
        <is>
          <t>1.A.3.b.iii - Heavy duty trucks and buses</t>
        </is>
      </c>
      <c r="D54" s="34" t="inlineStr">
        <is>
          <t>EEA GHG data viewer</t>
        </is>
      </c>
      <c r="E54" s="72" t="inlineStr">
        <is>
          <t>https://www.eea.europa.eu/en/datahub/datahubitem-view/3b7fe76c-524a-439a-bfd2-a6e4046302a2</t>
        </is>
      </c>
    </row>
    <row r="55" ht="26" customHeight="1">
      <c r="A55" s="67" t="inlineStr"/>
      <c r="B55" s="22" t="inlineStr"/>
      <c r="C55" s="22" t="inlineStr">
        <is>
          <t>1.A.3.b.ii - Light duty trucks</t>
        </is>
      </c>
      <c r="D55" s="35" t="inlineStr">
        <is>
          <t>EEA GHG data viewer</t>
        </is>
      </c>
      <c r="E55" s="72" t="inlineStr">
        <is>
          <t>https://www.eea.europa.eu/en/datahub/datahubitem-view/3b7fe76c-524a-439a-bfd2-a6e4046302a2</t>
        </is>
      </c>
    </row>
    <row r="56" ht="26" customHeight="1">
      <c r="A56" s="14" t="inlineStr"/>
      <c r="B56" s="15" t="inlineStr"/>
      <c r="C56" s="15" t="inlineStr">
        <is>
          <t>1.A.3.c - Railways</t>
        </is>
      </c>
      <c r="D56" s="34" t="inlineStr">
        <is>
          <t>EEA GHG data viewer</t>
        </is>
      </c>
      <c r="E56" s="72" t="inlineStr">
        <is>
          <t>https://www.eea.europa.eu/en/datahub/datahubitem-view/3b7fe76c-524a-439a-bfd2-a6e4046302a2</t>
        </is>
      </c>
    </row>
    <row r="57" ht="26" customHeight="1">
      <c r="A57" s="67" t="inlineStr"/>
      <c r="B57" s="22" t="inlineStr"/>
      <c r="C57" s="22" t="inlineStr">
        <is>
          <t>1.A.3.d - Domestic Navigation</t>
        </is>
      </c>
      <c r="D57" s="35" t="inlineStr">
        <is>
          <t>EEA GHG data viewer</t>
        </is>
      </c>
      <c r="E57" s="72" t="inlineStr">
        <is>
          <t>https://www.eea.europa.eu/en/datahub/datahubitem-view/3b7fe76c-524a-439a-bfd2-a6e4046302a2</t>
        </is>
      </c>
    </row>
    <row r="58" ht="26" customHeight="1">
      <c r="A58" s="14" t="inlineStr"/>
      <c r="B58" s="15" t="inlineStr"/>
      <c r="C58" s="15" t="inlineStr">
        <is>
          <t>- of which domestic</t>
        </is>
      </c>
      <c r="D58" s="34" t="inlineStr">
        <is>
          <t>EEA GHG data viewer</t>
        </is>
      </c>
      <c r="E58" s="72" t="inlineStr">
        <is>
          <t>https://www.eea.europa.eu/en/datahub/datahubitem-view/3b7fe76c-524a-439a-bfd2-a6e4046302a2</t>
        </is>
      </c>
    </row>
    <row r="59" ht="26" customHeight="1">
      <c r="A59" s="67" t="inlineStr"/>
      <c r="B59" s="22" t="inlineStr"/>
      <c r="C59" s="22" t="inlineStr">
        <is>
          <t>- of which international</t>
        </is>
      </c>
      <c r="D59" s="35" t="inlineStr">
        <is>
          <t>EEA GHG data viewer</t>
        </is>
      </c>
      <c r="E59" s="72" t="inlineStr">
        <is>
          <t>https://www.eea.europa.eu/en/datahub/datahubitem-view/3b7fe76c-524a-439a-bfd2-a6e4046302a2</t>
        </is>
      </c>
    </row>
    <row r="60" ht="26" customHeight="1">
      <c r="A60" s="14" t="inlineStr"/>
      <c r="B60" s="15" t="inlineStr"/>
      <c r="C60" s="15" t="inlineStr">
        <is>
          <t>1.A.3.b.v - Other Road Transportation</t>
        </is>
      </c>
      <c r="D60" s="34" t="inlineStr">
        <is>
          <t>EEA GHG data viewer</t>
        </is>
      </c>
      <c r="E60" s="72" t="inlineStr">
        <is>
          <t>https://www.eea.europa.eu/en/datahub/datahubitem-view/3b7fe76c-524a-439a-bfd2-a6e4046302a2</t>
        </is>
      </c>
    </row>
    <row r="61" ht="26" customHeight="1">
      <c r="A61" s="67" t="inlineStr"/>
      <c r="B61" s="22" t="inlineStr"/>
      <c r="C61" s="22" t="inlineStr">
        <is>
          <t>1.A.3.e - Other Transportation</t>
        </is>
      </c>
      <c r="D61" s="35" t="inlineStr">
        <is>
          <t>EEA GHG data viewer</t>
        </is>
      </c>
      <c r="E61" s="72" t="inlineStr">
        <is>
          <t>https://www.eea.europa.eu/en/datahub/datahubitem-view/3b7fe76c-524a-439a-bfd2-a6e4046302a2</t>
        </is>
      </c>
    </row>
    <row r="62" ht="26" customHeight="1">
      <c r="A62" s="14" t="inlineStr"/>
      <c r="B62" s="15" t="inlineStr"/>
      <c r="C62" s="15" t="inlineStr">
        <is>
          <t>1.A.3.a - Domestic Aviation</t>
        </is>
      </c>
      <c r="D62" s="34" t="inlineStr">
        <is>
          <t>EEA GHG data viewer</t>
        </is>
      </c>
      <c r="E62" s="72" t="inlineStr">
        <is>
          <t>https://www.eea.europa.eu/en/datahub/datahubitem-view/3b7fe76c-524a-439a-bfd2-a6e4046302a2</t>
        </is>
      </c>
    </row>
    <row r="63" ht="26" customHeight="1">
      <c r="A63" s="67" t="inlineStr"/>
      <c r="B63" s="22" t="inlineStr"/>
      <c r="C63" s="22" t="inlineStr">
        <is>
          <t>1.D.1.a - International Aviation</t>
        </is>
      </c>
      <c r="D63" s="35" t="inlineStr">
        <is>
          <t>EEA GHG data viewer</t>
        </is>
      </c>
      <c r="E63" s="72" t="inlineStr">
        <is>
          <t>https://www.eea.europa.eu/en/datahub/datahubitem-view/3b7fe76c-524a-439a-bfd2-a6e4046302a2</t>
        </is>
      </c>
    </row>
    <row r="64" ht="26" customHeight="1">
      <c r="A64" s="14" t="inlineStr"/>
      <c r="B64" s="15" t="inlineStr"/>
      <c r="C64" s="15" t="inlineStr">
        <is>
          <t>Report figure — row missing from the seeded grid</t>
        </is>
      </c>
      <c r="D64" s="34" t="inlineStr">
        <is>
          <t>ESABCC (2024) “Towards EU climate neutrality”, underlying-data workbook — EEA GHG data viewer. The report carries this year; the seeded calc grid stopped before it.</t>
        </is>
      </c>
      <c r="E64" s="72" t="inlineStr">
        <is>
          <t>https://www.eea.europa.eu/en/datahub/datahubitem-view/3b7fe76c-524a-439a-bfd2-a6e4046302a2</t>
        </is>
      </c>
    </row>
    <row r="65" ht="26" customHeight="1">
      <c r="A65" s="67" t="inlineStr"/>
      <c r="B65" s="22" t="inlineStr"/>
      <c r="C65" s="22" t="inlineStr">
        <is>
          <t>env_air_gge CRF1A3</t>
        </is>
      </c>
      <c r="D65" s="35" t="inlineStr">
        <is>
          <t>Eurostat env_air_gge · geo=EU27_2020, unit=MIO_T, freq=A, airpol=GHG, src_crf=CRF1A3 · https://ec.europa.eu/eurostat/api/dissemination/statistics/1.0/data/env_air_gge?format=JSON&amp;lang=EN&amp;geo=EU27_2020&amp;unit=MIO_T&amp;freq=A&amp;airpol=GHG&amp;src_crf=CRF1A3</t>
        </is>
      </c>
      <c r="E65" s="72" t="inlineStr">
        <is>
          <t>https://doi.org/10.2908/ENV_AIR_GGE</t>
        </is>
      </c>
    </row>
    <row r="66" ht="26" customHeight="1">
      <c r="A66" s="14" t="inlineStr"/>
      <c r="B66" s="15" t="inlineStr"/>
      <c r="C66" s="15" t="inlineStr">
        <is>
          <t>env_air_gge CRF1D1A</t>
        </is>
      </c>
      <c r="D66" s="34" t="inlineStr">
        <is>
          <t>Eurostat env_air_gge · geo=EU27_2020, unit=MIO_T, freq=A, airpol=GHG, src_crf=CRF1D1A · https://ec.europa.eu/eurostat/api/dissemination/statistics/1.0/data/env_air_gge?format=JSON&amp;lang=EN&amp;geo=EU27_2020&amp;unit=MIO_T&amp;freq=A&amp;airpol=GHG&amp;src_crf=CRF1D1A</t>
        </is>
      </c>
      <c r="E66" s="72" t="inlineStr">
        <is>
          <t>https://doi.org/10.2908/ENV_AIR_GGE</t>
        </is>
      </c>
    </row>
    <row r="67" ht="26" customHeight="1">
      <c r="A67" s="67" t="inlineStr">
        <is>
          <t>T2a</t>
        </is>
      </c>
      <c r="B67" s="22" t="inlineStr">
        <is>
          <t>Total passenger transport demand</t>
        </is>
      </c>
      <c r="C67" s="22" t="inlineStr">
        <is>
          <t>Value</t>
        </is>
      </c>
      <c r="D67" s="35" t="inlineStr">
        <is>
          <t>Eurostat Statistical Pocketbook 2022</t>
        </is>
      </c>
    </row>
    <row r="68" ht="26" customHeight="1">
      <c r="A68" s="14" t="inlineStr"/>
      <c r="B68" s="15" t="inlineStr"/>
      <c r="C68" s="15" t="inlineStr">
        <is>
          <t>cars and 2-wheels</t>
        </is>
      </c>
      <c r="D68" s="34" t="inlineStr">
        <is>
          <t>Eurostat Statistical Pocketbook 2022</t>
        </is>
      </c>
    </row>
    <row r="69" ht="26" customHeight="1">
      <c r="A69" s="67" t="inlineStr"/>
      <c r="B69" s="22" t="inlineStr"/>
      <c r="C69" s="22" t="inlineStr">
        <is>
          <t>buses and coaches</t>
        </is>
      </c>
      <c r="D69" s="35" t="inlineStr">
        <is>
          <t>Eurostat Statistical Pocketbook 2022</t>
        </is>
      </c>
    </row>
    <row r="70" ht="26" customHeight="1">
      <c r="A70" s="14" t="inlineStr"/>
      <c r="B70" s="15" t="inlineStr"/>
      <c r="C70" s="15" t="inlineStr">
        <is>
          <t>rail</t>
        </is>
      </c>
      <c r="D70" s="34" t="inlineStr">
        <is>
          <t>Eurostat Statistical Pocketbook 2022</t>
        </is>
      </c>
    </row>
    <row r="71" ht="26" customHeight="1">
      <c r="A71" s="67" t="inlineStr"/>
      <c r="B71" s="22" t="inlineStr"/>
      <c r="C71" s="22" t="inlineStr">
        <is>
          <t>aviation</t>
        </is>
      </c>
      <c r="D71" s="35" t="inlineStr">
        <is>
          <t>Eurostat Statistical Pocketbook 2022</t>
        </is>
      </c>
    </row>
    <row r="72" ht="26" customHeight="1">
      <c r="A72" s="14" t="inlineStr"/>
      <c r="B72" s="15" t="inlineStr"/>
      <c r="C72" s="15" t="inlineStr">
        <is>
          <t>Passenger Cars</t>
        </is>
      </c>
      <c r="D72" s="34" t="inlineStr">
        <is>
          <t>Eurostat Statistical Pocketbook 2022</t>
        </is>
      </c>
    </row>
    <row r="73" ht="26" customHeight="1">
      <c r="A73" s="67" t="inlineStr"/>
      <c r="B73" s="22" t="inlineStr"/>
      <c r="C73" s="22" t="inlineStr">
        <is>
          <t>Powered 2-wheelers</t>
        </is>
      </c>
      <c r="D73" s="35" t="inlineStr">
        <is>
          <t>Eurostat Statistical Pocketbook 2022</t>
        </is>
      </c>
    </row>
    <row r="74" ht="26" customHeight="1">
      <c r="A74" s="14" t="inlineStr"/>
      <c r="B74" s="15" t="inlineStr"/>
      <c r="C74" s="15" t="inlineStr">
        <is>
          <t>Buses &amp; Coaches</t>
        </is>
      </c>
      <c r="D74" s="34" t="inlineStr">
        <is>
          <t>Eurostat Statistical Pocketbook 2022</t>
        </is>
      </c>
    </row>
    <row r="75" ht="26" customHeight="1">
      <c r="A75" s="67" t="inlineStr"/>
      <c r="B75" s="22" t="inlineStr"/>
      <c r="C75" s="22" t="inlineStr">
        <is>
          <t>Railways</t>
        </is>
      </c>
      <c r="D75" s="35" t="inlineStr">
        <is>
          <t>Eurostat Statistical Pocketbook 2022</t>
        </is>
      </c>
    </row>
    <row r="76" ht="26" customHeight="1">
      <c r="A76" s="14" t="inlineStr"/>
      <c r="B76" s="15" t="inlineStr"/>
      <c r="C76" s="15" t="inlineStr">
        <is>
          <t>Tram &amp; Metro</t>
        </is>
      </c>
      <c r="D76" s="34" t="inlineStr">
        <is>
          <t>Eurostat Statistical Pocketbook 2022</t>
        </is>
      </c>
    </row>
    <row r="77" ht="26" customHeight="1">
      <c r="A77" s="67" t="inlineStr"/>
      <c r="B77" s="22" t="inlineStr"/>
      <c r="C77" s="22" t="inlineStr">
        <is>
          <t>Air</t>
        </is>
      </c>
      <c r="D77" s="35" t="inlineStr">
        <is>
          <t>Eurostat Statistical Pocketbook 2022</t>
        </is>
      </c>
    </row>
    <row r="78" ht="26" customHeight="1">
      <c r="A78" s="14" t="inlineStr"/>
      <c r="B78" s="15" t="inlineStr"/>
      <c r="C78" s="15" t="inlineStr">
        <is>
          <t>Post-report figure as published</t>
        </is>
      </c>
      <c r="D78" s="34" t="inlineStr">
        <is>
          <t>European Commission, DG MOVE — EU transport in figures: statistical pocketbook — https://transport.ec.europa.eu/facts-funding/studies-data/eu-transport-figures-statistical-pocketbook_en</t>
        </is>
      </c>
    </row>
    <row r="79" ht="26" customHeight="1">
      <c r="A79" s="67" t="inlineStr">
        <is>
          <t>T2b</t>
        </is>
      </c>
      <c r="B79" s="22" t="inlineStr">
        <is>
          <t>Total freight transport demand</t>
        </is>
      </c>
      <c r="C79" s="22" t="inlineStr">
        <is>
          <t>Value</t>
        </is>
      </c>
      <c r="D79" s="35" t="inlineStr">
        <is>
          <t>Eurostat Statistical Pocketbook 2022</t>
        </is>
      </c>
    </row>
    <row r="80" ht="26" customHeight="1">
      <c r="A80" s="14" t="inlineStr"/>
      <c r="B80" s="15" t="inlineStr"/>
      <c r="C80" s="15" t="inlineStr">
        <is>
          <t>Road</t>
        </is>
      </c>
      <c r="D80" s="34" t="inlineStr">
        <is>
          <t>Eurostat Statistical Pocketbook 2022</t>
        </is>
      </c>
    </row>
    <row r="81" ht="26" customHeight="1">
      <c r="A81" s="67" t="inlineStr"/>
      <c r="B81" s="22" t="inlineStr"/>
      <c r="C81" s="22" t="inlineStr">
        <is>
          <t>Rail</t>
        </is>
      </c>
      <c r="D81" s="35" t="inlineStr">
        <is>
          <t>Eurostat Statistical Pocketbook 2022</t>
        </is>
      </c>
    </row>
    <row r="82" ht="26" customHeight="1">
      <c r="A82" s="14" t="inlineStr"/>
      <c r="B82" s="15" t="inlineStr"/>
      <c r="C82" s="15" t="inlineStr">
        <is>
          <t>IWW</t>
        </is>
      </c>
      <c r="D82" s="34" t="inlineStr">
        <is>
          <t>Eurostat Statistical Pocketbook 2022</t>
        </is>
      </c>
    </row>
    <row r="83" ht="26" customHeight="1">
      <c r="A83" s="67" t="inlineStr"/>
      <c r="B83" s="22" t="inlineStr"/>
      <c r="C83" s="22" t="inlineStr">
        <is>
          <t>Road (2)</t>
        </is>
      </c>
      <c r="D83" s="35" t="inlineStr">
        <is>
          <t>Eurostat Statistical Pocketbook 2022</t>
        </is>
      </c>
    </row>
    <row r="84" ht="26" customHeight="1">
      <c r="A84" s="14" t="inlineStr"/>
      <c r="B84" s="15" t="inlineStr"/>
      <c r="C84" s="15" t="inlineStr">
        <is>
          <t>Rail (2)</t>
        </is>
      </c>
      <c r="D84" s="34" t="inlineStr">
        <is>
          <t>Eurostat Statistical Pocketbook 2022</t>
        </is>
      </c>
    </row>
    <row r="85" ht="26" customHeight="1">
      <c r="A85" s="67" t="inlineStr"/>
      <c r="B85" s="22" t="inlineStr"/>
      <c r="C85" s="22" t="inlineStr">
        <is>
          <t>Inland Waterway</t>
        </is>
      </c>
      <c r="D85" s="35" t="inlineStr">
        <is>
          <t>Eurostat Statistical Pocketbook 2022</t>
        </is>
      </c>
    </row>
    <row r="86" ht="26" customHeight="1">
      <c r="A86" s="14" t="inlineStr"/>
      <c r="B86" s="15" t="inlineStr"/>
      <c r="C86" s="15" t="inlineStr">
        <is>
          <t>Post-report figure as published</t>
        </is>
      </c>
      <c r="D86" s="34" t="inlineStr">
        <is>
          <t>European Commission, DG MOVE — EU transport in figures: statistical pocketbook — https://transport.ec.europa.eu/facts-funding/studies-data/eu-transport-figures-statistical-pocketbook_en</t>
        </is>
      </c>
    </row>
    <row r="87" ht="26" customHeight="1">
      <c r="A87" s="67" t="inlineStr">
        <is>
          <t>T3a</t>
        </is>
      </c>
      <c r="B87" s="22" t="inlineStr">
        <is>
          <t>Road share of motorised inland passenger transport</t>
        </is>
      </c>
      <c r="C87" s="22" t="inlineStr">
        <is>
          <t>Value</t>
        </is>
      </c>
      <c r="D87" s="35" t="inlineStr">
        <is>
          <t>Eurostat Statistical Pocketbook 2022</t>
        </is>
      </c>
    </row>
    <row r="88" ht="26" customHeight="1">
      <c r="A88" s="14" t="inlineStr"/>
      <c r="B88" s="15" t="inlineStr"/>
      <c r="C88" s="15" t="inlineStr">
        <is>
          <t>Passenger Cars</t>
        </is>
      </c>
      <c r="D88" s="34" t="inlineStr">
        <is>
          <t>Eurostat Statistical Pocketbook 2022</t>
        </is>
      </c>
    </row>
    <row r="89" ht="26" customHeight="1">
      <c r="A89" s="67" t="inlineStr"/>
      <c r="B89" s="22" t="inlineStr"/>
      <c r="C89" s="22" t="inlineStr">
        <is>
          <t>Powered 2-wheelers</t>
        </is>
      </c>
      <c r="D89" s="35" t="inlineStr">
        <is>
          <t>Eurostat Statistical Pocketbook 2022</t>
        </is>
      </c>
    </row>
    <row r="90" ht="26" customHeight="1">
      <c r="A90" s="14" t="inlineStr"/>
      <c r="B90" s="15" t="inlineStr"/>
      <c r="C90" s="15" t="inlineStr">
        <is>
          <t>Buses &amp; Coaches</t>
        </is>
      </c>
      <c r="D90" s="34" t="inlineStr">
        <is>
          <t>Eurostat Statistical Pocketbook 2022</t>
        </is>
      </c>
    </row>
    <row r="91" ht="26" customHeight="1">
      <c r="A91" s="67" t="inlineStr"/>
      <c r="B91" s="22" t="inlineStr"/>
      <c r="C91" s="22" t="inlineStr">
        <is>
          <t>Railways</t>
        </is>
      </c>
      <c r="D91" s="35" t="inlineStr">
        <is>
          <t>Eurostat Statistical Pocketbook 2022</t>
        </is>
      </c>
    </row>
    <row r="92" ht="26" customHeight="1">
      <c r="A92" s="14" t="inlineStr"/>
      <c r="B92" s="15" t="inlineStr"/>
      <c r="C92" s="15" t="inlineStr">
        <is>
          <t>Tram &amp; Metro</t>
        </is>
      </c>
      <c r="D92" s="34" t="inlineStr">
        <is>
          <t>Eurostat Statistical Pocketbook 2022</t>
        </is>
      </c>
    </row>
    <row r="93" ht="26" customHeight="1">
      <c r="A93" s="67" t="inlineStr"/>
      <c r="B93" s="22" t="inlineStr"/>
      <c r="C93" s="22" t="inlineStr">
        <is>
          <t>fraction → % (× 100)</t>
        </is>
      </c>
      <c r="D93" s="35" t="inlineStr">
        <is>
          <t>Unit convention: the report workbook computes this share as a fraction, the indicator database stores it as a percent number (migrations 058 / 075 / 076). The conversion is carried here as its own column so the grid and the plotted series agree.</t>
        </is>
      </c>
    </row>
    <row r="94" ht="26" customHeight="1">
      <c r="A94" s="14" t="inlineStr">
        <is>
          <t>T3b</t>
        </is>
      </c>
      <c r="B94" s="15" t="inlineStr">
        <is>
          <t>Intra-EU air passenger transport</t>
        </is>
      </c>
      <c r="C94" s="15" t="inlineStr">
        <is>
          <t>Value</t>
        </is>
      </c>
      <c r="D94" s="34" t="inlineStr">
        <is>
          <t>Eurostat Statistical Pocketbook 2022</t>
        </is>
      </c>
    </row>
    <row r="95" ht="26" customHeight="1">
      <c r="A95" s="67" t="inlineStr"/>
      <c r="B95" s="22" t="inlineStr"/>
      <c r="C95" s="22" t="inlineStr">
        <is>
          <t>Air passenger demand (Gpkm)</t>
        </is>
      </c>
      <c r="D95" s="35" t="inlineStr">
        <is>
          <t>Eurostat Statistical Pocketbook 2022</t>
        </is>
      </c>
    </row>
    <row r="96" ht="26" customHeight="1">
      <c r="A96" s="14" t="inlineStr">
        <is>
          <t>T4</t>
        </is>
      </c>
      <c r="B96" s="15" t="inlineStr">
        <is>
          <t>Average CO₂ intensity of new passenger cars (WLTP)</t>
        </is>
      </c>
      <c r="C96" s="15" t="inlineStr">
        <is>
          <t>Value</t>
        </is>
      </c>
      <c r="D96" s="34" t="inlineStr">
        <is>
          <t>EEA</t>
        </is>
      </c>
      <c r="E96" s="72" t="inlineStr">
        <is>
          <t>https://www.eea.europa.eu/en/datahub/datahubitem-view/3b7fe76c-524a-439a-bfd2-a6e4046302a2</t>
        </is>
      </c>
    </row>
    <row r="97" ht="26" customHeight="1">
      <c r="A97" s="67" t="inlineStr"/>
      <c r="B97" s="22" t="inlineStr"/>
      <c r="C97" s="22" t="inlineStr">
        <is>
          <t>New-car CO2 intensity WLTP (gCO2/km)</t>
        </is>
      </c>
      <c r="D97" s="35" t="inlineStr">
        <is>
          <t>EEA</t>
        </is>
      </c>
      <c r="E97" s="72" t="inlineStr">
        <is>
          <t>https://www.eea.europa.eu/en/datahub/datahubitem-view/3b7fe76c-524a-439a-bfd2-a6e4046302a2</t>
        </is>
      </c>
    </row>
    <row r="98" ht="26" customHeight="1">
      <c r="A98" s="14" t="inlineStr">
        <is>
          <t>T5a</t>
        </is>
      </c>
      <c r="B98" s="15" t="inlineStr">
        <is>
          <t>ZEV share of new passenger car registrations</t>
        </is>
      </c>
      <c r="C98" s="15" t="inlineStr">
        <is>
          <t>Value</t>
        </is>
      </c>
      <c r="D98" s="34" t="inlineStr">
        <is>
          <t>EU alternative fuel observatory, EEA for 2022</t>
        </is>
      </c>
      <c r="E98" s="72" t="inlineStr">
        <is>
          <t>https://www.eea.europa.eu/en/datahub/datahubitem-view/3b7fe76c-524a-439a-bfd2-a6e4046302a2</t>
        </is>
      </c>
    </row>
    <row r="99" ht="26" customHeight="1">
      <c r="A99" s="67" t="inlineStr"/>
      <c r="B99" s="22" t="inlineStr"/>
      <c r="C99" s="22" t="inlineStr">
        <is>
          <t>ZEV</t>
        </is>
      </c>
      <c r="D99" s="35" t="inlineStr">
        <is>
          <t>EU alternative fuel observatory</t>
        </is>
      </c>
    </row>
    <row r="100" ht="26" customHeight="1">
      <c r="A100" s="14" t="inlineStr"/>
      <c r="B100" s="15" t="inlineStr"/>
      <c r="C100" s="15" t="inlineStr">
        <is>
          <t>BEV</t>
        </is>
      </c>
      <c r="D100" s="34" t="inlineStr">
        <is>
          <t>EU alternative fuel observatory, EEA for 2022</t>
        </is>
      </c>
      <c r="E100" s="72" t="inlineStr">
        <is>
          <t>https://www.eea.europa.eu/en/datahub/datahubitem-view/3b7fe76c-524a-439a-bfd2-a6e4046302a2</t>
        </is>
      </c>
    </row>
    <row r="101" ht="26" customHeight="1">
      <c r="A101" s="67" t="inlineStr"/>
      <c r="B101" s="22" t="inlineStr"/>
      <c r="C101" s="22" t="inlineStr">
        <is>
          <t>H2</t>
        </is>
      </c>
      <c r="D101" s="35" t="inlineStr">
        <is>
          <t>EU alternative fuel observatory</t>
        </is>
      </c>
    </row>
    <row r="102" ht="26" customHeight="1">
      <c r="A102" s="14" t="inlineStr"/>
      <c r="B102" s="15" t="inlineStr"/>
      <c r="C102" s="15" t="inlineStr">
        <is>
          <t>Post-report figure as published</t>
        </is>
      </c>
      <c r="D102" s="34" t="inlineStr">
        <is>
          <t>EU Alternative Fuels Observatory; EEA for 2022 — https://alternative-fuels-observatory.ec.europa.eu/</t>
        </is>
      </c>
      <c r="E102" s="72" t="inlineStr">
        <is>
          <t>https://alternative-fuels-observatory.ec.europa.eu/transport-mode/road/european-union-eu27</t>
        </is>
      </c>
    </row>
    <row r="103" ht="26" customHeight="1">
      <c r="A103" s="67" t="inlineStr"/>
      <c r="B103" s="22" t="inlineStr"/>
      <c r="C103" s="22" t="inlineStr">
        <is>
          <t>fraction → % (× 100)</t>
        </is>
      </c>
      <c r="D103" s="35" t="inlineStr">
        <is>
          <t>Unit convention: the report workbook computes this share as a fraction, the indicator database stores it as a percent number (migrations 058 / 075 / 076). The conversion is carried here as its own column so the grid and the plotted series agree.</t>
        </is>
      </c>
    </row>
    <row r="104" ht="26" customHeight="1">
      <c r="A104" s="14" t="inlineStr">
        <is>
          <t>T6a</t>
        </is>
      </c>
      <c r="B104" s="15" t="inlineStr">
        <is>
          <t>Fossil share of transport energy use</t>
        </is>
      </c>
      <c r="C104" s="15" t="inlineStr">
        <is>
          <t>Value</t>
        </is>
      </c>
      <c r="D104" s="34" t="inlineStr">
        <is>
          <t>Energy balances</t>
        </is>
      </c>
    </row>
    <row r="105" ht="26" customHeight="1">
      <c r="A105" s="67" t="inlineStr"/>
      <c r="B105" s="22" t="inlineStr"/>
      <c r="C105" s="22" t="inlineStr">
        <is>
          <t>Solid fossil fuels</t>
        </is>
      </c>
      <c r="D105" s="35" t="inlineStr">
        <is>
          <t>Eurostat energy balance</t>
        </is>
      </c>
    </row>
    <row r="106" ht="26" customHeight="1">
      <c r="A106" s="14" t="inlineStr"/>
      <c r="B106" s="15" t="inlineStr"/>
      <c r="C106" s="15" t="inlineStr">
        <is>
          <t>Manufactured gases</t>
        </is>
      </c>
      <c r="D106" s="34" t="inlineStr">
        <is>
          <t>Eurostat energy balance</t>
        </is>
      </c>
    </row>
    <row r="107" ht="26" customHeight="1">
      <c r="A107" s="67" t="inlineStr"/>
      <c r="B107" s="22" t="inlineStr"/>
      <c r="C107" s="22" t="inlineStr">
        <is>
          <t>Peat and peat products</t>
        </is>
      </c>
      <c r="D107" s="35" t="inlineStr">
        <is>
          <t>Eurostat energy balance</t>
        </is>
      </c>
    </row>
    <row r="108" ht="26" customHeight="1">
      <c r="A108" s="14" t="inlineStr"/>
      <c r="B108" s="15" t="inlineStr"/>
      <c r="C108" s="15" t="inlineStr">
        <is>
          <t>Natural gas</t>
        </is>
      </c>
      <c r="D108" s="34" t="inlineStr">
        <is>
          <t>Eurostat energy balance</t>
        </is>
      </c>
    </row>
    <row r="109" ht="26" customHeight="1">
      <c r="A109" s="67" t="inlineStr"/>
      <c r="B109" s="22" t="inlineStr"/>
      <c r="C109" s="22" t="inlineStr">
        <is>
          <t>Oil and petroleum products (excluding biofuel portion)</t>
        </is>
      </c>
      <c r="D109" s="35" t="inlineStr">
        <is>
          <t>Eurostat energy balance</t>
        </is>
      </c>
    </row>
    <row r="110" ht="26" customHeight="1">
      <c r="A110" s="14" t="inlineStr"/>
      <c r="B110" s="15" t="inlineStr"/>
      <c r="C110" s="15" t="inlineStr">
        <is>
          <t>Solid fossil fuels (2)</t>
        </is>
      </c>
      <c r="D110" s="34" t="inlineStr">
        <is>
          <t>Eurostat energy balance</t>
        </is>
      </c>
    </row>
    <row r="111" ht="26" customHeight="1">
      <c r="A111" s="67" t="inlineStr"/>
      <c r="B111" s="22" t="inlineStr"/>
      <c r="C111" s="22" t="inlineStr">
        <is>
          <t>Manufactured gases (2)</t>
        </is>
      </c>
      <c r="D111" s="35" t="inlineStr">
        <is>
          <t>Eurostat energy balance</t>
        </is>
      </c>
    </row>
    <row r="112" ht="26" customHeight="1">
      <c r="A112" s="14" t="inlineStr"/>
      <c r="B112" s="15" t="inlineStr"/>
      <c r="C112" s="15" t="inlineStr">
        <is>
          <t>Peat and peat products (2)</t>
        </is>
      </c>
      <c r="D112" s="34" t="inlineStr">
        <is>
          <t>Eurostat energy balance</t>
        </is>
      </c>
    </row>
    <row r="113" ht="26" customHeight="1">
      <c r="A113" s="67" t="inlineStr"/>
      <c r="B113" s="22" t="inlineStr"/>
      <c r="C113" s="22" t="inlineStr">
        <is>
          <t>Natural gas (2)</t>
        </is>
      </c>
      <c r="D113" s="35" t="inlineStr">
        <is>
          <t>Eurostat energy balance</t>
        </is>
      </c>
    </row>
    <row r="114" ht="26" customHeight="1">
      <c r="A114" s="14" t="inlineStr"/>
      <c r="B114" s="15" t="inlineStr"/>
      <c r="C114" s="15" t="inlineStr">
        <is>
          <t>Oil and petroleum products (excluding biofuel portion) (2)</t>
        </is>
      </c>
      <c r="D114" s="34" t="inlineStr">
        <is>
          <t>Eurostat energy balance</t>
        </is>
      </c>
    </row>
    <row r="115" ht="26" customHeight="1">
      <c r="A115" s="67" t="inlineStr"/>
      <c r="B115" s="22" t="inlineStr"/>
      <c r="C115" s="22" t="inlineStr">
        <is>
          <t>Solid fossil fuels (3)</t>
        </is>
      </c>
      <c r="D115" s="35" t="inlineStr">
        <is>
          <t>Eurostat energy balance</t>
        </is>
      </c>
    </row>
    <row r="116" ht="26" customHeight="1">
      <c r="A116" s="14" t="inlineStr"/>
      <c r="B116" s="15" t="inlineStr"/>
      <c r="C116" s="15" t="inlineStr">
        <is>
          <t>Manufactured gases (3)</t>
        </is>
      </c>
      <c r="D116" s="34" t="inlineStr">
        <is>
          <t>Eurostat energy balance</t>
        </is>
      </c>
    </row>
    <row r="117" ht="26" customHeight="1">
      <c r="A117" s="67" t="inlineStr"/>
      <c r="B117" s="22" t="inlineStr"/>
      <c r="C117" s="22" t="inlineStr">
        <is>
          <t>Peat and peat products (3)</t>
        </is>
      </c>
      <c r="D117" s="35" t="inlineStr">
        <is>
          <t>Eurostat energy balance</t>
        </is>
      </c>
    </row>
    <row r="118" ht="26" customHeight="1">
      <c r="A118" s="14" t="inlineStr"/>
      <c r="B118" s="15" t="inlineStr"/>
      <c r="C118" s="15" t="inlineStr">
        <is>
          <t>Natural gas (3)</t>
        </is>
      </c>
      <c r="D118" s="34" t="inlineStr">
        <is>
          <t>Eurostat energy balance</t>
        </is>
      </c>
    </row>
    <row r="119" ht="26" customHeight="1">
      <c r="A119" s="67" t="inlineStr"/>
      <c r="B119" s="22" t="inlineStr"/>
      <c r="C119" s="22" t="inlineStr">
        <is>
          <t>Oil and petroleum products (excluding biofuel portion) (3)</t>
        </is>
      </c>
      <c r="D119" s="35" t="inlineStr">
        <is>
          <t>Eurostat energy balance</t>
        </is>
      </c>
    </row>
    <row r="120" ht="26" customHeight="1">
      <c r="A120" s="14" t="inlineStr"/>
      <c r="B120" s="15" t="inlineStr"/>
      <c r="C120" s="15" t="inlineStr">
        <is>
          <t>Total</t>
        </is>
      </c>
      <c r="D120" s="34" t="inlineStr">
        <is>
          <t>Eurostat energy balance</t>
        </is>
      </c>
    </row>
    <row r="121" ht="26" customHeight="1">
      <c r="A121" s="67" t="inlineStr"/>
      <c r="B121" s="22" t="inlineStr"/>
      <c r="C121" s="22" t="inlineStr">
        <is>
          <t>Total (2)</t>
        </is>
      </c>
      <c r="D121" s="35" t="inlineStr">
        <is>
          <t>Eurostat energy balance</t>
        </is>
      </c>
    </row>
    <row r="122" ht="26" customHeight="1">
      <c r="A122" s="14" t="inlineStr"/>
      <c r="B122" s="15" t="inlineStr"/>
      <c r="C122" s="15" t="inlineStr">
        <is>
          <t>Total (3)</t>
        </is>
      </c>
      <c r="D122" s="34" t="inlineStr">
        <is>
          <t>Eurostat energy balance</t>
        </is>
      </c>
    </row>
    <row r="123" ht="26" customHeight="1">
      <c r="A123" s="67" t="inlineStr"/>
      <c r="B123" s="22" t="inlineStr"/>
      <c r="C123" s="22" t="inlineStr">
        <is>
          <t>Numerator · nrg_bal_s O4000XBIO</t>
        </is>
      </c>
      <c r="D123" s="35" t="inlineStr">
        <is>
          <t>Eurostat nrg_bal_s · geo=EU27_2020, unit=GWH, freq=A, nrg_bal=FC_TRA_E, siec=O4000XBIO · https://ec.europa.eu/eurostat/api/dissemination/statistics/1.0/data/nrg_bal_s?format=JSON&amp;lang=EN&amp;geo=EU27_2020&amp;unit=GWH&amp;freq=A&amp;nrg_bal=FC_TRA_E&amp;siec=O4000XBIO</t>
        </is>
      </c>
      <c r="E123" s="72" t="inlineStr">
        <is>
          <t>https://doi.org/10.2908/NRG_BAL_S</t>
        </is>
      </c>
    </row>
    <row r="124" ht="26" customHeight="1">
      <c r="A124" s="14" t="inlineStr"/>
      <c r="B124" s="15" t="inlineStr"/>
      <c r="C124" s="15" t="inlineStr">
        <is>
          <t>Numerator · nrg_bal_s G3000</t>
        </is>
      </c>
      <c r="D124" s="34" t="inlineStr">
        <is>
          <t>Eurostat nrg_bal_s · geo=EU27_2020, unit=GWH, freq=A, nrg_bal=FC_TRA_E, siec=G3000 · https://ec.europa.eu/eurostat/api/dissemination/statistics/1.0/data/nrg_bal_s?format=JSON&amp;lang=EN&amp;geo=EU27_2020&amp;unit=GWH&amp;freq=A&amp;nrg_bal=FC_TRA_E&amp;siec=G3000</t>
        </is>
      </c>
      <c r="E124" s="72" t="inlineStr">
        <is>
          <t>https://doi.org/10.2908/NRG_BAL_S</t>
        </is>
      </c>
    </row>
    <row r="125" ht="26" customHeight="1">
      <c r="A125" s="67" t="inlineStr"/>
      <c r="B125" s="22" t="inlineStr"/>
      <c r="C125" s="22" t="inlineStr">
        <is>
          <t>Numerator · nrg_bal_s C0000X0350-0370</t>
        </is>
      </c>
      <c r="D125" s="35" t="inlineStr">
        <is>
          <t>Eurostat nrg_bal_s · geo=EU27_2020, unit=GWH, freq=A, nrg_bal=FC_TRA_E, siec=C0000X0350-0370 · https://ec.europa.eu/eurostat/api/dissemination/statistics/1.0/data/nrg_bal_s?format=JSON&amp;lang=EN&amp;geo=EU27_2020&amp;unit=GWH&amp;freq=A&amp;nrg_bal=FC_TRA_E&amp;siec=C0000X0350-0370</t>
        </is>
      </c>
      <c r="E125" s="72" t="inlineStr">
        <is>
          <t>https://doi.org/10.2908/NRG_BAL_S</t>
        </is>
      </c>
    </row>
    <row r="126" ht="26" customHeight="1">
      <c r="A126" s="14" t="inlineStr"/>
      <c r="B126" s="15" t="inlineStr"/>
      <c r="C126" s="15" t="inlineStr">
        <is>
          <t>Denominator · nrg_bal_s TOTAL</t>
        </is>
      </c>
      <c r="D126" s="34" t="inlineStr">
        <is>
          <t>Eurostat nrg_bal_s · geo=EU27_2020, unit=GWH, freq=A, nrg_bal=FC_TRA_E, siec=TOTAL · https://ec.europa.eu/eurostat/api/dissemination/statistics/1.0/data/nrg_bal_s?format=JSON&amp;lang=EN&amp;geo=EU27_2020&amp;unit=GWH&amp;freq=A&amp;nrg_bal=FC_TRA_E&amp;siec=TOTAL</t>
        </is>
      </c>
      <c r="E126" s="72" t="inlineStr">
        <is>
          <t>https://doi.org/10.2908/NRG_BAL_S</t>
        </is>
      </c>
    </row>
    <row r="127" ht="26" customHeight="1">
      <c r="A127" s="67" t="inlineStr"/>
      <c r="B127" s="22" t="inlineStr"/>
      <c r="C127" s="22" t="inlineStr">
        <is>
          <t>Report baseline 2021 (%)</t>
        </is>
      </c>
      <c r="D127" s="35" t="inlineStr">
        <is>
          <t>ESABCC (2024) “Towards EU climate neutrality”, underlying-data workbook — the report's own 2021 figure, the anchor the later years are spliced onto.</t>
        </is>
      </c>
    </row>
    <row r="128" ht="26" customHeight="1">
      <c r="A128" s="14" t="inlineStr"/>
      <c r="B128" s="15" t="inlineStr"/>
      <c r="C128" s="15" t="inlineStr">
        <is>
          <t>Live source at 2021 (same basis as the columns left)</t>
        </is>
      </c>
      <c r="D128" s="34" t="inlineStr">
        <is>
          <t>Eurostat nrg_bal_s · fossil ÷ total transport final energy · EU27_2020 — the same query, read at 2021; dividing by it cancels the level difference between the source's scope and the report's, leaving only the year-on-year change.</t>
        </is>
      </c>
      <c r="E128" s="72" t="inlineStr">
        <is>
          <t>https://doi.org/10.2908/NRG_BAL_S</t>
        </is>
      </c>
    </row>
    <row r="129" ht="26" customHeight="1">
      <c r="A129" s="67" t="inlineStr"/>
      <c r="B129" s="22" t="inlineStr"/>
      <c r="C129" s="22" t="inlineStr">
        <is>
          <t>fraction → % (× 100)</t>
        </is>
      </c>
      <c r="D129" s="35" t="inlineStr">
        <is>
          <t>Unit convention: the report workbook computes this share as a fraction, the indicator database stores it as a percent number (migrations 058 / 075 / 076). The conversion is carried here as its own column so the grid and the plotted series agree.</t>
        </is>
      </c>
    </row>
    <row r="130" ht="26" customHeight="1">
      <c r="A130" s="14" t="inlineStr">
        <is>
          <t>B2</t>
        </is>
      </c>
      <c r="B130" s="15" t="inlineStr">
        <is>
          <t>Final energy consumption in buildings</t>
        </is>
      </c>
      <c r="C130" s="15" t="inlineStr">
        <is>
          <t>Value</t>
        </is>
      </c>
      <c r="D130" s="34" t="inlineStr">
        <is>
          <t>Eurostat energy balances</t>
        </is>
      </c>
    </row>
    <row r="131" ht="26" customHeight="1">
      <c r="A131" s="67" t="inlineStr"/>
      <c r="B131" s="22" t="inlineStr"/>
      <c r="C131" s="22" t="inlineStr">
        <is>
          <t>Tertiary commercial &amp; public services (TJ)</t>
        </is>
      </c>
      <c r="D131" s="35" t="inlineStr">
        <is>
          <t>Eurostat energy balances</t>
        </is>
      </c>
    </row>
    <row r="132" ht="26" customHeight="1">
      <c r="A132" s="14" t="inlineStr"/>
      <c r="B132" s="15" t="inlineStr"/>
      <c r="C132" s="15" t="inlineStr">
        <is>
          <t>Residential households (TJ)</t>
        </is>
      </c>
      <c r="D132" s="34" t="inlineStr">
        <is>
          <t>Eurostat energy balances</t>
        </is>
      </c>
    </row>
    <row r="133" ht="26" customHeight="1">
      <c r="A133" s="67" t="inlineStr"/>
      <c r="B133" s="22" t="inlineStr"/>
      <c r="C133" s="22" t="inlineStr">
        <is>
          <t>Agriculture &amp; forestry (TJ)</t>
        </is>
      </c>
      <c r="D133" s="35" t="inlineStr">
        <is>
          <t>Eurostat energy balances</t>
        </is>
      </c>
    </row>
    <row r="134" ht="26" customHeight="1">
      <c r="A134" s="14" t="inlineStr"/>
      <c r="B134" s="15" t="inlineStr"/>
      <c r="C134" s="15" t="inlineStr">
        <is>
          <t>TJ → TWh (EJ2TWh/1e6)</t>
        </is>
      </c>
      <c r="D134" s="34" t="inlineStr">
        <is>
          <t>Named Refs&amp;Conversions</t>
        </is>
      </c>
    </row>
    <row r="135" ht="26" customHeight="1">
      <c r="A135" s="67" t="inlineStr"/>
      <c r="B135" s="22" t="inlineStr"/>
      <c r="C135" s="22" t="inlineStr">
        <is>
          <t>Post-report figure as published</t>
        </is>
      </c>
      <c r="D135" s="35" t="inlineStr">
        <is>
          <t>Eurostat (nrg_bal_c) — https://ec.europa.eu/eurostat/databrowser/view/nrg_bal_c/default/table</t>
        </is>
      </c>
      <c r="E135" s="72" t="inlineStr">
        <is>
          <t>https://doi.org/10.2908/NRG_BAL_C</t>
        </is>
      </c>
    </row>
    <row r="136" ht="26" customHeight="1">
      <c r="A136" s="14" t="inlineStr">
        <is>
          <t>B5a</t>
        </is>
      </c>
      <c r="B136" s="15" t="inlineStr">
        <is>
          <t>Fossil share of residential energy mix</t>
        </is>
      </c>
      <c r="C136" s="15" t="inlineStr">
        <is>
          <t>Value</t>
        </is>
      </c>
      <c r="D136" s="34" t="inlineStr">
        <is>
          <t>Eurostat energy balances</t>
        </is>
      </c>
    </row>
    <row r="137" ht="26" customHeight="1">
      <c r="A137" s="67" t="inlineStr"/>
      <c r="B137" s="22" t="inlineStr"/>
      <c r="C137" s="22" t="inlineStr">
        <is>
          <t>Other fossils (solids, …)</t>
        </is>
      </c>
      <c r="D137" s="35" t="inlineStr">
        <is>
          <t>Eurostat energy balance</t>
        </is>
      </c>
    </row>
    <row r="138" ht="26" customHeight="1">
      <c r="A138" s="14" t="inlineStr"/>
      <c r="B138" s="15" t="inlineStr"/>
      <c r="C138" s="15" t="inlineStr">
        <is>
          <t>Liquid fossils</t>
        </is>
      </c>
      <c r="D138" s="34" t="inlineStr">
        <is>
          <t>Eurostat energy balance</t>
        </is>
      </c>
    </row>
    <row r="139" ht="26" customHeight="1">
      <c r="A139" s="67" t="inlineStr"/>
      <c r="B139" s="22" t="inlineStr"/>
      <c r="C139" s="22" t="inlineStr">
        <is>
          <t>Natural gas</t>
        </is>
      </c>
      <c r="D139" s="35" t="inlineStr">
        <is>
          <t>Eurostat energy balance</t>
        </is>
      </c>
    </row>
    <row r="140" ht="26" customHeight="1">
      <c r="A140" s="14" t="inlineStr"/>
      <c r="B140" s="15" t="inlineStr"/>
      <c r="C140" s="15" t="inlineStr">
        <is>
          <t>Total</t>
        </is>
      </c>
      <c r="D140" s="34" t="inlineStr">
        <is>
          <t>calculated</t>
        </is>
      </c>
    </row>
    <row r="141" ht="26" customHeight="1">
      <c r="A141" s="67" t="inlineStr"/>
      <c r="B141" s="22" t="inlineStr"/>
      <c r="C141" s="22" t="inlineStr">
        <is>
          <t>Electricity</t>
        </is>
      </c>
      <c r="D141" s="35" t="inlineStr">
        <is>
          <t>Eurostat energy balance</t>
        </is>
      </c>
    </row>
    <row r="142" ht="26" customHeight="1">
      <c r="A142" s="14" t="inlineStr"/>
      <c r="B142" s="15" t="inlineStr"/>
      <c r="C142" s="15" t="inlineStr">
        <is>
          <t>District heating</t>
        </is>
      </c>
      <c r="D142" s="34" t="inlineStr">
        <is>
          <t>Eurostat energy balance</t>
        </is>
      </c>
    </row>
    <row r="143" ht="26" customHeight="1">
      <c r="A143" s="67" t="inlineStr"/>
      <c r="B143" s="22" t="inlineStr"/>
      <c r="C143" s="22" t="inlineStr">
        <is>
          <t>Renewables - bio</t>
        </is>
      </c>
      <c r="D143" s="35" t="inlineStr">
        <is>
          <t>Eurostat energy balance</t>
        </is>
      </c>
    </row>
    <row r="144" ht="26" customHeight="1">
      <c r="A144" s="14" t="inlineStr"/>
      <c r="B144" s="15" t="inlineStr"/>
      <c r="C144" s="15" t="inlineStr">
        <is>
          <t>Renewables - other</t>
        </is>
      </c>
      <c r="D144" s="34" t="inlineStr">
        <is>
          <t>Eurostat energy balance</t>
        </is>
      </c>
    </row>
    <row r="145" ht="26" customHeight="1">
      <c r="A145" s="67" t="inlineStr"/>
      <c r="B145" s="22" t="inlineStr"/>
      <c r="C145" s="22" t="inlineStr">
        <is>
          <t>Post-report figure as published</t>
        </is>
      </c>
      <c r="D145" s="35" t="inlineStr">
        <is>
          <t>Eurostat (nrg_bal_c) — https://ec.europa.eu/eurostat/databrowser/view/nrg_bal_c/default/table</t>
        </is>
      </c>
      <c r="E145" s="72" t="inlineStr">
        <is>
          <t>https://doi.org/10.2908/NRG_BAL_C</t>
        </is>
      </c>
    </row>
    <row r="146" ht="26" customHeight="1">
      <c r="A146" s="14" t="inlineStr"/>
      <c r="B146" s="15" t="inlineStr"/>
      <c r="C146" s="15" t="inlineStr">
        <is>
          <t>fraction → % (× 100)</t>
        </is>
      </c>
      <c r="D146" s="34" t="inlineStr">
        <is>
          <t>Unit convention: the report workbook computes this share as a fraction, the indicator database stores it as a percent number (migrations 058 / 075 / 076). The conversion is carried here as its own column so the grid and the plotted series agree.</t>
        </is>
      </c>
    </row>
    <row r="147" ht="26" customHeight="1">
      <c r="A147" s="67" t="inlineStr">
        <is>
          <t>B5b</t>
        </is>
      </c>
      <c r="B147" s="22" t="inlineStr">
        <is>
          <t>Fossil share of tertiary energy mix</t>
        </is>
      </c>
      <c r="C147" s="22" t="inlineStr">
        <is>
          <t>Value</t>
        </is>
      </c>
      <c r="D147" s="35" t="inlineStr">
        <is>
          <t>Eurostat energy balances</t>
        </is>
      </c>
    </row>
    <row r="148" ht="26" customHeight="1">
      <c r="A148" s="14" t="inlineStr"/>
      <c r="B148" s="15" t="inlineStr"/>
      <c r="C148" s="15" t="inlineStr">
        <is>
          <t>Other fossils (solids/liquid) (tertiary, ktoe)</t>
        </is>
      </c>
      <c r="D148" s="34" t="inlineStr">
        <is>
          <t>Eurostat energy balances</t>
        </is>
      </c>
    </row>
    <row r="149" ht="26" customHeight="1">
      <c r="A149" s="67" t="inlineStr"/>
      <c r="B149" s="22" t="inlineStr"/>
      <c r="C149" s="22" t="inlineStr">
        <is>
          <t>Liquid fossils (tertiary, ktoe)</t>
        </is>
      </c>
      <c r="D149" s="35" t="inlineStr">
        <is>
          <t>Eurostat energy balances</t>
        </is>
      </c>
    </row>
    <row r="150" ht="26" customHeight="1">
      <c r="A150" s="14" t="inlineStr"/>
      <c r="B150" s="15" t="inlineStr"/>
      <c r="C150" s="15" t="inlineStr">
        <is>
          <t>Natural gas (tertiary, ktoe)</t>
        </is>
      </c>
      <c r="D150" s="34" t="inlineStr">
        <is>
          <t>Eurostat energy balances</t>
        </is>
      </c>
    </row>
    <row r="151" ht="26" customHeight="1">
      <c r="A151" s="67" t="inlineStr"/>
      <c r="B151" s="22" t="inlineStr"/>
      <c r="C151" s="22" t="inlineStr">
        <is>
          <t>Electricity (tertiary, ktoe)</t>
        </is>
      </c>
      <c r="D151" s="35" t="inlineStr">
        <is>
          <t>Eurostat energy balances</t>
        </is>
      </c>
    </row>
    <row r="152" ht="26" customHeight="1">
      <c r="A152" s="14" t="inlineStr"/>
      <c r="B152" s="15" t="inlineStr"/>
      <c r="C152" s="15" t="inlineStr">
        <is>
          <t>District heating (tertiary, ktoe)</t>
        </is>
      </c>
      <c r="D152" s="34" t="inlineStr">
        <is>
          <t>Eurostat energy balances</t>
        </is>
      </c>
    </row>
    <row r="153" ht="26" customHeight="1">
      <c r="A153" s="67" t="inlineStr"/>
      <c r="B153" s="22" t="inlineStr"/>
      <c r="C153" s="22" t="inlineStr">
        <is>
          <t>Renewables - bio (tertiary, ktoe)</t>
        </is>
      </c>
      <c r="D153" s="35" t="inlineStr">
        <is>
          <t>Eurostat energy balances</t>
        </is>
      </c>
    </row>
    <row r="154" ht="26" customHeight="1">
      <c r="A154" s="14" t="inlineStr"/>
      <c r="B154" s="15" t="inlineStr"/>
      <c r="C154" s="15" t="inlineStr">
        <is>
          <t>Renewables - other (tertiary, ktoe)</t>
        </is>
      </c>
      <c r="D154" s="34" t="inlineStr">
        <is>
          <t>Eurostat energy balances</t>
        </is>
      </c>
    </row>
    <row r="155" ht="26" customHeight="1">
      <c r="A155" s="67" t="inlineStr"/>
      <c r="B155" s="22" t="inlineStr"/>
      <c r="C155" s="22" t="inlineStr">
        <is>
          <t>Post-report figure as published</t>
        </is>
      </c>
      <c r="D155" s="35" t="inlineStr">
        <is>
          <t>Eurostat (nrg_bal_c) — https://ec.europa.eu/eurostat/databrowser/view/nrg_bal_c/default/table</t>
        </is>
      </c>
      <c r="E155" s="72" t="inlineStr">
        <is>
          <t>https://doi.org/10.2908/NRG_BAL_C</t>
        </is>
      </c>
    </row>
    <row r="156" ht="26" customHeight="1">
      <c r="A156" s="14" t="inlineStr"/>
      <c r="B156" s="15" t="inlineStr"/>
      <c r="C156" s="15" t="inlineStr">
        <is>
          <t>fraction → % (× 100)</t>
        </is>
      </c>
      <c r="D156" s="34" t="inlineStr">
        <is>
          <t>Unit convention: the report workbook computes this share as a fraction, the indicator database stores it as a percent number (migrations 058 / 075 / 076). The conversion is carried here as its own column so the grid and the plotted series agree.</t>
        </is>
      </c>
    </row>
    <row r="157" ht="26" customHeight="1">
      <c r="A157" s="67" t="inlineStr">
        <is>
          <t>B6</t>
        </is>
      </c>
      <c r="B157" s="22" t="inlineStr">
        <is>
          <t>EU stock of installed heat pumps</t>
        </is>
      </c>
      <c r="C157" s="22" t="inlineStr">
        <is>
          <t>Value</t>
        </is>
      </c>
      <c r="D157" s="35" t="inlineStr">
        <is>
          <t>EHPA annual report</t>
        </is>
      </c>
      <c r="E157" s="72" t="inlineStr">
        <is>
          <t>https://ehpa.org/market-data/</t>
        </is>
      </c>
    </row>
    <row r="158" ht="26" customHeight="1">
      <c r="A158" s="14" t="inlineStr"/>
      <c r="B158" s="15" t="inlineStr"/>
      <c r="C158" s="15" t="inlineStr">
        <is>
          <t>Total heat-pump stock (thousand units)</t>
        </is>
      </c>
      <c r="D158" s="34" t="inlineStr">
        <is>
          <t>EHPA annual report</t>
        </is>
      </c>
      <c r="E158" s="72" t="inlineStr">
        <is>
          <t>https://ehpa.org/market-data/</t>
        </is>
      </c>
    </row>
    <row r="159" ht="26" customHeight="1">
      <c r="A159" s="67" t="inlineStr">
        <is>
          <t>A1</t>
        </is>
      </c>
      <c r="B159" s="22" t="inlineStr">
        <is>
          <t>Agricultural non-CO₂ emissions</t>
        </is>
      </c>
      <c r="C159" s="22" t="inlineStr">
        <is>
          <t>Value</t>
        </is>
      </c>
      <c r="D159" s="35" t="inlineStr">
        <is>
          <t>EEA GHG data viewer</t>
        </is>
      </c>
      <c r="E159" s="72" t="inlineStr">
        <is>
          <t>https://www.eea.europa.eu/en/datahub/datahubitem-view/3b7fe76c-524a-439a-bfd2-a6e4046302a2</t>
        </is>
      </c>
    </row>
    <row r="160" ht="26" customHeight="1">
      <c r="A160" s="14" t="inlineStr"/>
      <c r="B160" s="15" t="inlineStr"/>
      <c r="C160" s="15" t="inlineStr">
        <is>
          <t>Enteric fermentation</t>
        </is>
      </c>
      <c r="D160" s="34" t="inlineStr">
        <is>
          <t>EEA GHG data viewer</t>
        </is>
      </c>
      <c r="E160" s="72" t="inlineStr">
        <is>
          <t>https://www.eea.europa.eu/en/datahub/datahubitem-view/3b7fe76c-524a-439a-bfd2-a6e4046302a2</t>
        </is>
      </c>
    </row>
    <row r="161" ht="26" customHeight="1">
      <c r="A161" s="67" t="inlineStr"/>
      <c r="B161" s="22" t="inlineStr"/>
      <c r="C161" s="22" t="inlineStr">
        <is>
          <t>Manure management</t>
        </is>
      </c>
      <c r="D161" s="35" t="inlineStr">
        <is>
          <t>EEA GHG data viewer</t>
        </is>
      </c>
      <c r="E161" s="72" t="inlineStr">
        <is>
          <t>https://www.eea.europa.eu/en/datahub/datahubitem-view/3b7fe76c-524a-439a-bfd2-a6e4046302a2</t>
        </is>
      </c>
    </row>
    <row r="162" ht="26" customHeight="1">
      <c r="A162" s="14" t="inlineStr"/>
      <c r="B162" s="15" t="inlineStr"/>
      <c r="C162" s="15" t="inlineStr">
        <is>
          <t>Fertilizer use</t>
        </is>
      </c>
      <c r="D162" s="34" t="inlineStr">
        <is>
          <t>EEA GHG data viewer</t>
        </is>
      </c>
      <c r="E162" s="72" t="inlineStr">
        <is>
          <t>https://www.eea.europa.eu/en/datahub/datahubitem-view/3b7fe76c-524a-439a-bfd2-a6e4046302a2</t>
        </is>
      </c>
    </row>
    <row r="163" ht="26" customHeight="1">
      <c r="A163" s="67" t="inlineStr"/>
      <c r="B163" s="22" t="inlineStr"/>
      <c r="C163" s="22" t="inlineStr">
        <is>
          <t>Other</t>
        </is>
      </c>
      <c r="D163" s="35" t="inlineStr">
        <is>
          <t>EEA GHG data viewer</t>
        </is>
      </c>
      <c r="E163" s="72" t="inlineStr">
        <is>
          <t>https://www.eea.europa.eu/en/datahub/datahubitem-view/3b7fe76c-524a-439a-bfd2-a6e4046302a2</t>
        </is>
      </c>
    </row>
    <row r="164" ht="26" customHeight="1">
      <c r="A164" s="14" t="inlineStr"/>
      <c r="B164" s="15" t="inlineStr"/>
      <c r="C164" s="15" t="inlineStr">
        <is>
          <t>Report figure — row missing from the seeded grid</t>
        </is>
      </c>
      <c r="D164" s="34" t="inlineStr">
        <is>
          <t>ESABCC (2024) “Towards EU climate neutrality”, underlying-data workbook — EEA GHG data viewer. The report carries this year; the seeded calc grid stopped before it.</t>
        </is>
      </c>
      <c r="E164" s="72" t="inlineStr">
        <is>
          <t>https://www.eea.europa.eu/en/datahub/datahubitem-view/3b7fe76c-524a-439a-bfd2-a6e4046302a2</t>
        </is>
      </c>
    </row>
    <row r="165" ht="26" customHeight="1">
      <c r="A165" s="67" t="inlineStr"/>
      <c r="B165" s="22" t="inlineStr"/>
      <c r="C165" s="22" t="inlineStr">
        <is>
          <t>env_air_gge CRF3 CH4</t>
        </is>
      </c>
      <c r="D165" s="35" t="inlineStr">
        <is>
          <t>Eurostat env_air_gge · geo=EU27_2020, unit=MIO_T, freq=A, airpol=CH4, src_crf=CRF3 · https://ec.europa.eu/eurostat/api/dissemination/statistics/1.0/data/env_air_gge?format=JSON&amp;lang=EN&amp;geo=EU27_2020&amp;unit=MIO_T&amp;freq=A&amp;airpol=CH4&amp;src_crf=CRF3</t>
        </is>
      </c>
      <c r="E165" s="72" t="inlineStr">
        <is>
          <t>https://doi.org/10.2908/ENV_AIR_GGE</t>
        </is>
      </c>
    </row>
    <row r="166" ht="26" customHeight="1">
      <c r="A166" s="14" t="inlineStr"/>
      <c r="B166" s="15" t="inlineStr"/>
      <c r="C166" s="15" t="inlineStr">
        <is>
          <t>env_air_gge CRF3 N2O</t>
        </is>
      </c>
      <c r="D166" s="34" t="inlineStr">
        <is>
          <t>Eurostat env_air_gge · geo=EU27_2020, unit=MIO_T, freq=A, airpol=N2O, src_crf=CRF3 · https://ec.europa.eu/eurostat/api/dissemination/statistics/1.0/data/env_air_gge?format=JSON&amp;lang=EN&amp;geo=EU27_2020&amp;unit=MIO_T&amp;freq=A&amp;airpol=N2O&amp;src_crf=CRF3</t>
        </is>
      </c>
      <c r="E166" s="72" t="inlineStr">
        <is>
          <t>https://doi.org/10.2908/ENV_AIR_GGE</t>
        </is>
      </c>
    </row>
    <row r="167" ht="26" customHeight="1">
      <c r="A167" s="67" t="inlineStr"/>
      <c r="B167" s="22" t="inlineStr"/>
      <c r="C167" s="22" t="inlineStr">
        <is>
          <t>Report baseline 2022 (Mt CO₂eq)</t>
        </is>
      </c>
      <c r="D167" s="35" t="inlineStr">
        <is>
          <t>ESABCC (2024) “Towards EU climate neutrality”, underlying-data workbook — the report's own 2022 figure, the anchor the later years are spliced onto.</t>
        </is>
      </c>
    </row>
    <row r="168" ht="26" customHeight="1">
      <c r="A168" s="14" t="inlineStr"/>
      <c r="B168" s="15" t="inlineStr"/>
      <c r="C168" s="15" t="inlineStr">
        <is>
          <t>Live source at 2022 (same basis as the columns left)</t>
        </is>
      </c>
      <c r="D168" s="34" t="inlineStr">
        <is>
          <t>Eurostat env_air_gge · CRF 3 CH₄+N₂O (GWP-weighted) · EU27_2020 — the same query, read at 2022; dividing by it cancels the level difference between the source's scope and the report's, leaving only the year-on-year change.</t>
        </is>
      </c>
      <c r="E168" s="72" t="inlineStr">
        <is>
          <t>https://doi.org/10.2908/ENV_AIR_GGE</t>
        </is>
      </c>
    </row>
    <row r="169" ht="26" customHeight="1">
      <c r="A169" s="67" t="inlineStr">
        <is>
          <t>A2 (bovine, production)</t>
        </is>
      </c>
      <c r="B169" s="22" t="inlineStr">
        <is>
          <t>Bovine meat: production (EU)</t>
        </is>
      </c>
      <c r="C169" s="22" t="inlineStr">
        <is>
          <t>Value</t>
        </is>
      </c>
      <c r="D169" s="35" t="inlineStr">
        <is>
          <t>EEA GHG data viewer + Eurostat/FAOSTAT production</t>
        </is>
      </c>
      <c r="E169" s="72" t="inlineStr">
        <is>
          <t>https://www.eea.europa.eu/en/datahub/datahubitem-view/3b7fe76c-524a-439a-bfd2-a6e4046302a2</t>
        </is>
      </c>
    </row>
    <row r="170" ht="26" customHeight="1">
      <c r="A170" s="14" t="inlineStr"/>
      <c r="B170" s="15" t="inlineStr"/>
      <c r="C170" s="15" t="inlineStr">
        <is>
          <t>Report figure (2024 report underlying data)</t>
        </is>
      </c>
      <c r="D170" s="34" t="inlineStr">
        <is>
          <t>ESABCC (2024) “Towards EU climate neutrality: Progress, policy gaps and opportunities”, underlying-data workbook — EEA GHG data viewer + Eurostat/FAOSTAT production. The report carries this indicator as a published series, with no further breakdown.</t>
        </is>
      </c>
      <c r="E170" s="72" t="inlineStr">
        <is>
          <t>https://www.eea.europa.eu/en/datahub/datahubitem-view/3b7fe76c-524a-439a-bfd2-a6e4046302a2</t>
        </is>
      </c>
    </row>
    <row r="171" ht="26" customHeight="1">
      <c r="A171" s="67" t="inlineStr"/>
      <c r="B171" s="22" t="inlineStr"/>
      <c r="C171" s="22" t="inlineStr">
        <is>
          <t>apro_mt_pann B1000</t>
        </is>
      </c>
      <c r="D171" s="35" t="inlineStr">
        <is>
          <t>Eurostat apro_mt_pann · geo=EU27_2020, meat=B1000, meatitem=SLAUGHT, unit=THS_T · https://ec.europa.eu/eurostat/api/dissemination/statistics/1.0/data/apro_mt_pann?format=JSON&amp;lang=EN&amp;geo=EU27_2020&amp;meat=B1000&amp;meatitem=SLAUGHT&amp;unit=THS_T</t>
        </is>
      </c>
      <c r="E171" s="72" t="inlineStr">
        <is>
          <t>https://doi.org/10.2908/APRO_MT_PANN</t>
        </is>
      </c>
    </row>
    <row r="172" ht="26" customHeight="1">
      <c r="A172" s="14" t="inlineStr"/>
      <c r="B172" s="15" t="inlineStr"/>
      <c r="C172" s="15" t="inlineStr">
        <is>
          <t>Unit conversion (× 0.001)</t>
        </is>
      </c>
      <c r="D172" s="34" t="inlineStr">
        <is>
          <t>Unit conversion applied to the source figure so it is expressed in Mt.</t>
        </is>
      </c>
    </row>
    <row r="173" ht="26" customHeight="1">
      <c r="A173" s="67" t="inlineStr">
        <is>
          <t>A2 (dairy, production)</t>
        </is>
      </c>
      <c r="B173" s="22" t="inlineStr">
        <is>
          <t>Dairy products: production (EU)</t>
        </is>
      </c>
      <c r="C173" s="22" t="inlineStr">
        <is>
          <t>Value</t>
        </is>
      </c>
      <c r="D173" s="35" t="inlineStr">
        <is>
          <t>EEA GHG data viewer + Eurostat/FAOSTAT production</t>
        </is>
      </c>
      <c r="E173" s="72" t="inlineStr">
        <is>
          <t>https://www.eea.europa.eu/en/datahub/datahubitem-view/3b7fe76c-524a-439a-bfd2-a6e4046302a2</t>
        </is>
      </c>
    </row>
    <row r="174" ht="26" customHeight="1">
      <c r="A174" s="14" t="inlineStr"/>
      <c r="B174" s="15" t="inlineStr"/>
      <c r="C174" s="15" t="inlineStr">
        <is>
          <t>Report figure (2024 report underlying data)</t>
        </is>
      </c>
      <c r="D174" s="34" t="inlineStr">
        <is>
          <t>ESABCC (2024) “Towards EU climate neutrality: Progress, policy gaps and opportunities”, underlying-data workbook — EEA GHG data viewer + Eurostat/FAOSTAT production. The report carries this indicator as a published series, with no further breakdown.</t>
        </is>
      </c>
      <c r="E174" s="72" t="inlineStr">
        <is>
          <t>https://www.eea.europa.eu/en/datahub/datahubitem-view/3b7fe76c-524a-439a-bfd2-a6e4046302a2</t>
        </is>
      </c>
    </row>
    <row r="175" ht="26" customHeight="1">
      <c r="A175" s="67" t="inlineStr"/>
      <c r="B175" s="22" t="inlineStr"/>
      <c r="C175" s="22" t="inlineStr">
        <is>
          <t>apro_mk_farm D1100A</t>
        </is>
      </c>
      <c r="D175" s="35" t="inlineStr">
        <is>
          <t>Eurostat apro_mk_farm · geo=EU27_2020, dairyprod=D1100A, milkitem=PRO · https://ec.europa.eu/eurostat/api/dissemination/statistics/1.0/data/apro_mk_farm?format=JSON&amp;lang=EN&amp;geo=EU27_2020&amp;dairyprod=D1100A&amp;milkitem=PRO</t>
        </is>
      </c>
      <c r="E175" s="72" t="inlineStr">
        <is>
          <t>https://doi.org/10.2908/APRO_MK_FARM</t>
        </is>
      </c>
    </row>
    <row r="176" ht="26" customHeight="1">
      <c r="A176" s="14" t="inlineStr"/>
      <c r="B176" s="15" t="inlineStr"/>
      <c r="C176" s="15" t="inlineStr">
        <is>
          <t>Report baseline 2020 (Mt)</t>
        </is>
      </c>
      <c r="D176" s="34" t="inlineStr">
        <is>
          <t>ESABCC (2024) “Towards EU climate neutrality”, underlying-data workbook — the report's own 2020 figure, the anchor the later years are spliced onto.</t>
        </is>
      </c>
    </row>
    <row r="177" ht="26" customHeight="1">
      <c r="A177" s="67" t="inlineStr"/>
      <c r="B177" s="22" t="inlineStr"/>
      <c r="C177" s="22" t="inlineStr">
        <is>
          <t>Live source at 2020 (same basis as the columns left)</t>
        </is>
      </c>
      <c r="D177" s="35" t="inlineStr">
        <is>
          <t>Eurostat apro_mk_farm · raw milk total available on farms · EU27_2020 — the same query, read at 2020; dividing by it cancels the level difference between the source's scope and the report's, leaving only the year-on-year change.</t>
        </is>
      </c>
      <c r="E177" s="72" t="inlineStr">
        <is>
          <t>https://doi.org/10.2908/APRO_MK_FARM</t>
        </is>
      </c>
    </row>
    <row r="178" ht="26" customHeight="1">
      <c r="A178" s="14" t="inlineStr">
        <is>
          <t>A2 (pig, GHG)</t>
        </is>
      </c>
      <c r="B178" s="15" t="inlineStr">
        <is>
          <t>Pig meat: GHG emissions (EU)</t>
        </is>
      </c>
      <c r="C178" s="15" t="inlineStr">
        <is>
          <t>Value</t>
        </is>
      </c>
      <c r="D178" s="34" t="inlineStr">
        <is>
          <t>EEA GHG data viewer + Eurostat/FAOSTAT production</t>
        </is>
      </c>
      <c r="E178" s="72" t="inlineStr">
        <is>
          <t>https://www.eea.europa.eu/en/datahub/datahubitem-view/3b7fe76c-524a-439a-bfd2-a6e4046302a2</t>
        </is>
      </c>
    </row>
    <row r="179" ht="26" customHeight="1">
      <c r="A179" s="67" t="inlineStr"/>
      <c r="B179" s="22" t="inlineStr"/>
      <c r="C179" s="22" t="inlineStr">
        <is>
          <t>Report figure (2024 report underlying data)</t>
        </is>
      </c>
      <c r="D179" s="35" t="inlineStr">
        <is>
          <t>ESABCC (2024) “Towards EU climate neutrality: Progress, policy gaps and opportunities”, underlying-data workbook — EEA GHG data viewer + Eurostat/FAOSTAT production. The report carries this indicator as a published series, with no further breakdown.</t>
        </is>
      </c>
      <c r="E179" s="72" t="inlineStr">
        <is>
          <t>https://www.eea.europa.eu/en/datahub/datahubitem-view/3b7fe76c-524a-439a-bfd2-a6e4046302a2</t>
        </is>
      </c>
    </row>
    <row r="180" ht="26" customHeight="1">
      <c r="A180" s="14" t="inlineStr"/>
      <c r="B180" s="15" t="inlineStr"/>
      <c r="C180" s="15" t="inlineStr">
        <is>
          <t>env_air_gge CRF3A3</t>
        </is>
      </c>
      <c r="D180" s="34" t="inlineStr">
        <is>
          <t>Eurostat env_air_gge · geo=EU27_2020, unit=MIO_T, freq=A, airpol=GHG, src_crf=CRF3A3 · https://ec.europa.eu/eurostat/api/dissemination/statistics/1.0/data/env_air_gge?format=JSON&amp;lang=EN&amp;geo=EU27_2020&amp;unit=MIO_T&amp;freq=A&amp;airpol=GHG&amp;src_crf=CRF3A3</t>
        </is>
      </c>
      <c r="E180" s="72" t="inlineStr">
        <is>
          <t>https://doi.org/10.2908/ENV_AIR_GGE</t>
        </is>
      </c>
    </row>
    <row r="181" ht="26" customHeight="1">
      <c r="A181" s="67" t="inlineStr"/>
      <c r="B181" s="22" t="inlineStr"/>
      <c r="C181" s="22" t="inlineStr">
        <is>
          <t>env_air_gge CRF3B3</t>
        </is>
      </c>
      <c r="D181" s="35" t="inlineStr">
        <is>
          <t>Eurostat env_air_gge · geo=EU27_2020, unit=MIO_T, freq=A, airpol=GHG, src_crf=CRF3B3 · https://ec.europa.eu/eurostat/api/dissemination/statistics/1.0/data/env_air_gge?format=JSON&amp;lang=EN&amp;geo=EU27_2020&amp;unit=MIO_T&amp;freq=A&amp;airpol=GHG&amp;src_crf=CRF3B3</t>
        </is>
      </c>
      <c r="E181" s="72" t="inlineStr">
        <is>
          <t>https://doi.org/10.2908/ENV_AIR_GGE</t>
        </is>
      </c>
    </row>
    <row r="182" ht="26" customHeight="1">
      <c r="A182" s="14" t="inlineStr"/>
      <c r="B182" s="15" t="inlineStr"/>
      <c r="C182" s="15" t="inlineStr">
        <is>
          <t>Report baseline 2021 (Mt CO₂eq)</t>
        </is>
      </c>
      <c r="D182" s="34" t="inlineStr">
        <is>
          <t>ESABCC (2024) “Towards EU climate neutrality”, underlying-data workbook — the report's own 2021 figure, the anchor the later years are spliced onto.</t>
        </is>
      </c>
    </row>
    <row r="183" ht="26" customHeight="1">
      <c r="A183" s="67" t="inlineStr"/>
      <c r="B183" s="22" t="inlineStr"/>
      <c r="C183" s="22" t="inlineStr">
        <is>
          <t>Live source at 2021 (same basis as the columns left)</t>
        </is>
      </c>
      <c r="D183" s="35" t="inlineStr">
        <is>
          <t>Eurostat env_air_gge · swine enteric (CRF 3.A.3) + manure (CRF 3.B.3) GHG · EU27_2020 — the same query, read at 2021; dividing by it cancels the level difference between the source's scope and the report's, leaving only the year-on-year change.</t>
        </is>
      </c>
      <c r="E183" s="72" t="inlineStr">
        <is>
          <t>https://doi.org/10.2908/ENV_AIR_GGE</t>
        </is>
      </c>
    </row>
    <row r="184" ht="26" customHeight="1">
      <c r="A184" s="14" t="inlineStr">
        <is>
          <t>A2 (pig, intensity)</t>
        </is>
      </c>
      <c r="B184" s="15" t="inlineStr">
        <is>
          <t>Pig meat: GHG intensity (EU)</t>
        </is>
      </c>
      <c r="C184" s="15" t="inlineStr">
        <is>
          <t>Value</t>
        </is>
      </c>
      <c r="D184" s="34" t="inlineStr">
        <is>
          <t>EEA GHG data viewer + Eurostat/FAOSTAT production</t>
        </is>
      </c>
      <c r="E184" s="72" t="inlineStr">
        <is>
          <t>https://www.eea.europa.eu/en/datahub/datahubitem-view/3b7fe76c-524a-439a-bfd2-a6e4046302a2</t>
        </is>
      </c>
    </row>
    <row r="185" ht="26" customHeight="1">
      <c r="A185" s="67" t="inlineStr"/>
      <c r="B185" s="22" t="inlineStr"/>
      <c r="C185" s="22" t="inlineStr">
        <is>
          <t>Report figure (2024 report underlying data)</t>
        </is>
      </c>
      <c r="D185" s="35" t="inlineStr">
        <is>
          <t>ESABCC (2024) “Towards EU climate neutrality: Progress, policy gaps and opportunities”, underlying-data workbook — EEA GHG data viewer + Eurostat/FAOSTAT production. The report carries this indicator as a published series, with no further breakdown.</t>
        </is>
      </c>
      <c r="E185" s="72" t="inlineStr">
        <is>
          <t>https://www.eea.europa.eu/en/datahub/datahubitem-view/3b7fe76c-524a-439a-bfd2-a6e4046302a2</t>
        </is>
      </c>
    </row>
    <row r="186" ht="26" customHeight="1">
      <c r="A186" s="14" t="inlineStr"/>
      <c r="B186" s="15" t="inlineStr"/>
      <c r="C186" s="15" t="inlineStr">
        <is>
          <t>Numerator · env_air_gge CRF3A3</t>
        </is>
      </c>
      <c r="D186" s="34" t="inlineStr">
        <is>
          <t>Eurostat env_air_gge · geo=EU27_2020, unit=MIO_T, freq=A, airpol=GHG, src_crf=CRF3A3 · https://ec.europa.eu/eurostat/api/dissemination/statistics/1.0/data/env_air_gge?format=JSON&amp;lang=EN&amp;geo=EU27_2020&amp;unit=MIO_T&amp;freq=A&amp;airpol=GHG&amp;src_crf=CRF3A3</t>
        </is>
      </c>
      <c r="E186" s="72" t="inlineStr">
        <is>
          <t>https://doi.org/10.2908/ENV_AIR_GGE</t>
        </is>
      </c>
    </row>
    <row r="187" ht="26" customHeight="1">
      <c r="A187" s="67" t="inlineStr"/>
      <c r="B187" s="22" t="inlineStr"/>
      <c r="C187" s="22" t="inlineStr">
        <is>
          <t>Numerator · env_air_gge CRF3B3</t>
        </is>
      </c>
      <c r="D187" s="35" t="inlineStr">
        <is>
          <t>Eurostat env_air_gge · geo=EU27_2020, unit=MIO_T, freq=A, airpol=GHG, src_crf=CRF3B3 · https://ec.europa.eu/eurostat/api/dissemination/statistics/1.0/data/env_air_gge?format=JSON&amp;lang=EN&amp;geo=EU27_2020&amp;unit=MIO_T&amp;freq=A&amp;airpol=GHG&amp;src_crf=CRF3B3</t>
        </is>
      </c>
      <c r="E187" s="72" t="inlineStr">
        <is>
          <t>https://doi.org/10.2908/ENV_AIR_GGE</t>
        </is>
      </c>
    </row>
    <row r="188" ht="26" customHeight="1">
      <c r="A188" s="14" t="inlineStr"/>
      <c r="B188" s="15" t="inlineStr"/>
      <c r="C188" s="15" t="inlineStr">
        <is>
          <t>Denominator · apro_mt_pann B3100</t>
        </is>
      </c>
      <c r="D188" s="34" t="inlineStr">
        <is>
          <t>Eurostat apro_mt_pann · geo=EU27_2020, meat=B3100, meatitem=SLAUGHT, unit=THS_T · https://ec.europa.eu/eurostat/api/dissemination/statistics/1.0/data/apro_mt_pann?format=JSON&amp;lang=EN&amp;geo=EU27_2020&amp;meat=B3100&amp;meatitem=SLAUGHT&amp;unit=THS_T</t>
        </is>
      </c>
      <c r="E188" s="72" t="inlineStr">
        <is>
          <t>https://doi.org/10.2908/APRO_MT_PANN</t>
        </is>
      </c>
    </row>
    <row r="189" ht="26" customHeight="1">
      <c r="A189" s="67" t="inlineStr"/>
      <c r="B189" s="22" t="inlineStr"/>
      <c r="C189" s="22" t="inlineStr">
        <is>
          <t>Report baseline 2020 (t CO₂eq/t)</t>
        </is>
      </c>
      <c r="D189" s="35" t="inlineStr">
        <is>
          <t>ESABCC (2024) “Towards EU climate neutrality”, underlying-data workbook — the report's own 2020 figure, the anchor the later years are spliced onto.</t>
        </is>
      </c>
    </row>
    <row r="190" ht="26" customHeight="1">
      <c r="A190" s="14" t="inlineStr"/>
      <c r="B190" s="15" t="inlineStr"/>
      <c r="C190" s="15" t="inlineStr">
        <is>
          <t>Live source at 2020 (same basis as the columns left)</t>
        </is>
      </c>
      <c r="D190" s="34" t="inlineStr">
        <is>
          <t>Eurostat env_air_gge swine GHG (3.A.3 + 3.B.3) ÷ apro_mt_pann pigmeat (B3100) · EU27_2020 — the same query, read at 2020; dividing by it cancels the level difference between the source's scope and the report's, leaving only the year-on-year change.</t>
        </is>
      </c>
      <c r="E190" s="72" t="inlineStr">
        <is>
          <t>https://doi.org/10.2908/ENV_AIR_GGE</t>
        </is>
      </c>
    </row>
    <row r="191" ht="26" customHeight="1">
      <c r="A191" s="67" t="inlineStr">
        <is>
          <t>A2 (pig, production)</t>
        </is>
      </c>
      <c r="B191" s="22" t="inlineStr">
        <is>
          <t>Pig meat: production (EU)</t>
        </is>
      </c>
      <c r="C191" s="22" t="inlineStr">
        <is>
          <t>Value</t>
        </is>
      </c>
      <c r="D191" s="35" t="inlineStr">
        <is>
          <t>EEA GHG data viewer + Eurostat/FAOSTAT production</t>
        </is>
      </c>
      <c r="E191" s="72" t="inlineStr">
        <is>
          <t>https://www.eea.europa.eu/en/datahub/datahubitem-view/3b7fe76c-524a-439a-bfd2-a6e4046302a2</t>
        </is>
      </c>
    </row>
    <row r="192" ht="26" customHeight="1">
      <c r="A192" s="14" t="inlineStr"/>
      <c r="B192" s="15" t="inlineStr"/>
      <c r="C192" s="15" t="inlineStr">
        <is>
          <t>Report figure (2024 report underlying data)</t>
        </is>
      </c>
      <c r="D192" s="34" t="inlineStr">
        <is>
          <t>ESABCC (2024) “Towards EU climate neutrality: Progress, policy gaps and opportunities”, underlying-data workbook — EEA GHG data viewer + Eurostat/FAOSTAT production. The report carries this indicator as a published series, with no further breakdown.</t>
        </is>
      </c>
      <c r="E192" s="72" t="inlineStr">
        <is>
          <t>https://www.eea.europa.eu/en/datahub/datahubitem-view/3b7fe76c-524a-439a-bfd2-a6e4046302a2</t>
        </is>
      </c>
    </row>
    <row r="193" ht="26" customHeight="1">
      <c r="A193" s="67" t="inlineStr"/>
      <c r="B193" s="22" t="inlineStr"/>
      <c r="C193" s="22" t="inlineStr">
        <is>
          <t>apro_mt_pann B3100</t>
        </is>
      </c>
      <c r="D193" s="35" t="inlineStr">
        <is>
          <t>Eurostat apro_mt_pann · geo=EU27_2020, meat=B3100, meatitem=SLAUGHT, unit=THS_T · https://ec.europa.eu/eurostat/api/dissemination/statistics/1.0/data/apro_mt_pann?format=JSON&amp;lang=EN&amp;geo=EU27_2020&amp;meat=B3100&amp;meatitem=SLAUGHT&amp;unit=THS_T</t>
        </is>
      </c>
      <c r="E193" s="72" t="inlineStr">
        <is>
          <t>https://doi.org/10.2908/APRO_MT_PANN</t>
        </is>
      </c>
    </row>
    <row r="194" ht="26" customHeight="1">
      <c r="A194" s="14" t="inlineStr"/>
      <c r="B194" s="15" t="inlineStr"/>
      <c r="C194" s="15" t="inlineStr">
        <is>
          <t>Unit conversion (× 0.001)</t>
        </is>
      </c>
      <c r="D194" s="34" t="inlineStr">
        <is>
          <t>Unit conversion applied to the source figure so it is expressed in Mt.</t>
        </is>
      </c>
    </row>
    <row r="195" ht="26" customHeight="1">
      <c r="A195" s="67" t="inlineStr">
        <is>
          <t>A4 (bovine, herd)</t>
        </is>
      </c>
      <c r="B195" s="22" t="inlineStr">
        <is>
          <t>Bovine meat: herd size (EU)</t>
        </is>
      </c>
      <c r="C195" s="22" t="inlineStr">
        <is>
          <t>Value</t>
        </is>
      </c>
      <c r="D195" s="35" t="inlineStr">
        <is>
          <t>EU GHG inventory (CRF) livestock populations; 2021+ Eurostat survey trend</t>
        </is>
      </c>
      <c r="E195" s="72" t="inlineStr">
        <is>
          <t>https://di.unfccc.int/detailed_data_by_party</t>
        </is>
      </c>
    </row>
    <row r="196" ht="26" customHeight="1">
      <c r="A196" s="14" t="inlineStr"/>
      <c r="B196" s="15" t="inlineStr"/>
      <c r="C196" s="15" t="inlineStr">
        <is>
          <t>Report figure (2024 report underlying data)</t>
        </is>
      </c>
      <c r="D196" s="34" t="inlineStr">
        <is>
          <t>ESABCC (2024) “Towards EU climate neutrality: Progress, policy gaps and opportunities”, underlying-data workbook — EU GHG inventory (CRF) livestock populations; 2021+ Eurostat survey trend. The report carries this indicator as a published series, with no further breakdown.</t>
        </is>
      </c>
      <c r="E196" s="72" t="inlineStr">
        <is>
          <t>https://di.unfccc.int/detailed_data_by_party</t>
        </is>
      </c>
    </row>
    <row r="197" ht="26" customHeight="1">
      <c r="A197" s="67" t="inlineStr"/>
      <c r="B197" s="22" t="inlineStr"/>
      <c r="C197" s="22" t="inlineStr">
        <is>
          <t>apro_mt_lscatl A2000</t>
        </is>
      </c>
      <c r="D197" s="35" t="inlineStr">
        <is>
          <t>Eurostat apro_mt_lscatl · geo=EU27_2020, animals=A2000, month=M11_M12, unit=THS_HD · https://ec.europa.eu/eurostat/api/dissemination/statistics/1.0/data/apro_mt_lscatl?format=JSON&amp;lang=EN&amp;geo=EU27_2020&amp;animals=A2000&amp;month=M11_M12&amp;unit=THS_HD</t>
        </is>
      </c>
      <c r="E197" s="72" t="inlineStr">
        <is>
          <t>https://doi.org/10.2908/APRO_MT_LSCATL</t>
        </is>
      </c>
    </row>
    <row r="198" ht="26" customHeight="1">
      <c r="A198" s="14" t="inlineStr"/>
      <c r="B198" s="15" t="inlineStr"/>
      <c r="C198" s="15" t="inlineStr">
        <is>
          <t>Report baseline 2020 (million heads)</t>
        </is>
      </c>
      <c r="D198" s="34" t="inlineStr">
        <is>
          <t>ESABCC (2024) “Towards EU climate neutrality”, underlying-data workbook — the report's own 2020 figure, the anchor the later years are spliced onto.</t>
        </is>
      </c>
    </row>
    <row r="199" ht="26" customHeight="1">
      <c r="A199" s="67" t="inlineStr"/>
      <c r="B199" s="22" t="inlineStr"/>
      <c r="C199" s="22" t="inlineStr">
        <is>
          <t>Live source at 2020 (same basis as the columns left)</t>
        </is>
      </c>
      <c r="D199" s="35" t="inlineStr">
        <is>
          <t>Eurostat apro_mt_lscatl · live bovine animals (A2000), Nov–Dec survey · EU27_2020 — the same query, read at 2020; dividing by it cancels the level difference between the source's scope and the report's, leaving only the year-on-year change.</t>
        </is>
      </c>
      <c r="E199" s="72" t="inlineStr">
        <is>
          <t>https://doi.org/10.2908/APRO_MT_LSCATL</t>
        </is>
      </c>
    </row>
    <row r="200" ht="26" customHeight="1">
      <c r="A200" s="14" t="inlineStr">
        <is>
          <t>A4 (bovine, production)</t>
        </is>
      </c>
      <c r="B200" s="15" t="inlineStr">
        <is>
          <t>Bovine meat: production (EU)</t>
        </is>
      </c>
      <c r="C200" s="15" t="inlineStr">
        <is>
          <t>Value</t>
        </is>
      </c>
      <c r="D200" s="34" t="inlineStr">
        <is>
          <t>Eurostat/FAOSTAT food balances + livestock surveys</t>
        </is>
      </c>
    </row>
    <row r="201" ht="26" customHeight="1">
      <c r="A201" s="67" t="inlineStr"/>
      <c r="B201" s="22" t="inlineStr"/>
      <c r="C201" s="22" t="inlineStr">
        <is>
          <t>Report figure (2024 report underlying data)</t>
        </is>
      </c>
      <c r="D201" s="35" t="inlineStr">
        <is>
          <t>ESABCC (2024) “Towards EU climate neutrality: Progress, policy gaps and opportunities”, underlying-data workbook — Eurostat/FAOSTAT food balances + livestock surveys. The report carries this indicator as a published series, with no further breakdown.</t>
        </is>
      </c>
    </row>
    <row r="202" ht="26" customHeight="1">
      <c r="A202" s="14" t="inlineStr"/>
      <c r="B202" s="15" t="inlineStr"/>
      <c r="C202" s="15" t="inlineStr">
        <is>
          <t>apro_mt_pann B1000</t>
        </is>
      </c>
      <c r="D202" s="34" t="inlineStr">
        <is>
          <t>Eurostat apro_mt_pann · geo=EU27_2020, meat=B1000, meatitem=SLAUGHT, unit=THS_T · https://ec.europa.eu/eurostat/api/dissemination/statistics/1.0/data/apro_mt_pann?format=JSON&amp;lang=EN&amp;geo=EU27_2020&amp;meat=B1000&amp;meatitem=SLAUGHT&amp;unit=THS_T</t>
        </is>
      </c>
      <c r="E202" s="72" t="inlineStr">
        <is>
          <t>https://doi.org/10.2908/APRO_MT_PANN</t>
        </is>
      </c>
    </row>
    <row r="203" ht="26" customHeight="1">
      <c r="A203" s="67" t="inlineStr"/>
      <c r="B203" s="22" t="inlineStr"/>
      <c r="C203" s="22" t="inlineStr">
        <is>
          <t>Unit conversion (× 0.001)</t>
        </is>
      </c>
      <c r="D203" s="35" t="inlineStr">
        <is>
          <t>Unit conversion applied to the source figure so it is expressed in Mt.</t>
        </is>
      </c>
    </row>
    <row r="204" ht="26" customHeight="1">
      <c r="A204" s="14" t="inlineStr">
        <is>
          <t>A4 (dairy, herd)</t>
        </is>
      </c>
      <c r="B204" s="15" t="inlineStr">
        <is>
          <t>Dairy products: herd size (EU)</t>
        </is>
      </c>
      <c r="C204" s="15" t="inlineStr">
        <is>
          <t>Value</t>
        </is>
      </c>
      <c r="D204" s="34" t="inlineStr">
        <is>
          <t>EU GHG inventory (CRF) livestock populations; 2021+ Eurostat survey trend</t>
        </is>
      </c>
      <c r="E204" s="72" t="inlineStr">
        <is>
          <t>https://di.unfccc.int/detailed_data_by_party</t>
        </is>
      </c>
    </row>
    <row r="205" ht="26" customHeight="1">
      <c r="A205" s="67" t="inlineStr"/>
      <c r="B205" s="22" t="inlineStr"/>
      <c r="C205" s="22" t="inlineStr">
        <is>
          <t>Report figure (2024 report underlying data)</t>
        </is>
      </c>
      <c r="D205" s="35" t="inlineStr">
        <is>
          <t>ESABCC (2024) “Towards EU climate neutrality: Progress, policy gaps and opportunities”, underlying-data workbook — EU GHG inventory (CRF) livestock populations; 2021+ Eurostat survey trend. The report carries this indicator as a published series, with no further breakdown.</t>
        </is>
      </c>
      <c r="E205" s="72" t="inlineStr">
        <is>
          <t>https://di.unfccc.int/detailed_data_by_party</t>
        </is>
      </c>
    </row>
    <row r="206" ht="26" customHeight="1">
      <c r="A206" s="14" t="inlineStr"/>
      <c r="B206" s="15" t="inlineStr"/>
      <c r="C206" s="15" t="inlineStr">
        <is>
          <t>apro_mt_lscatl A2300F</t>
        </is>
      </c>
      <c r="D206" s="34" t="inlineStr">
        <is>
          <t>Eurostat apro_mt_lscatl · geo=EU27_2020, animals=A2300F, month=M11_M12, unit=THS_HD · https://ec.europa.eu/eurostat/api/dissemination/statistics/1.0/data/apro_mt_lscatl?format=JSON&amp;lang=EN&amp;geo=EU27_2020&amp;animals=A2300F&amp;month=M11_M12&amp;unit=THS_HD</t>
        </is>
      </c>
      <c r="E206" s="72" t="inlineStr">
        <is>
          <t>https://doi.org/10.2908/APRO_MT_LSCATL</t>
        </is>
      </c>
    </row>
    <row r="207" ht="26" customHeight="1">
      <c r="A207" s="67" t="inlineStr"/>
      <c r="B207" s="22" t="inlineStr"/>
      <c r="C207" s="22" t="inlineStr">
        <is>
          <t>Unit conversion (× 0.001)</t>
        </is>
      </c>
      <c r="D207" s="35" t="inlineStr">
        <is>
          <t>Unit conversion applied to the source figure so it is expressed in million heads.</t>
        </is>
      </c>
    </row>
    <row r="208" ht="26" customHeight="1">
      <c r="A208" s="14" t="inlineStr">
        <is>
          <t>A4 (dairy, production)</t>
        </is>
      </c>
      <c r="B208" s="15" t="inlineStr">
        <is>
          <t>Dairy products: production (EU)</t>
        </is>
      </c>
      <c r="C208" s="15" t="inlineStr">
        <is>
          <t>Value</t>
        </is>
      </c>
      <c r="D208" s="34" t="inlineStr">
        <is>
          <t>Eurostat/FAOSTAT food balances + livestock surveys</t>
        </is>
      </c>
    </row>
    <row r="209" ht="26" customHeight="1">
      <c r="A209" s="67" t="inlineStr"/>
      <c r="B209" s="22" t="inlineStr"/>
      <c r="C209" s="22" t="inlineStr">
        <is>
          <t>Report figure (2024 report underlying data)</t>
        </is>
      </c>
      <c r="D209" s="35" t="inlineStr">
        <is>
          <t>ESABCC (2024) “Towards EU climate neutrality: Progress, policy gaps and opportunities”, underlying-data workbook — Eurostat/FAOSTAT food balances + livestock surveys. The report carries this indicator as a published series, with no further breakdown.</t>
        </is>
      </c>
    </row>
    <row r="210" ht="26" customHeight="1">
      <c r="A210" s="14" t="inlineStr"/>
      <c r="B210" s="15" t="inlineStr"/>
      <c r="C210" s="15" t="inlineStr">
        <is>
          <t>apro_mk_farm D1100A</t>
        </is>
      </c>
      <c r="D210" s="34" t="inlineStr">
        <is>
          <t>Eurostat apro_mk_farm · geo=EU27_2020, dairyprod=D1100A, milkitem=PRO · https://ec.europa.eu/eurostat/api/dissemination/statistics/1.0/data/apro_mk_farm?format=JSON&amp;lang=EN&amp;geo=EU27_2020&amp;dairyprod=D1100A&amp;milkitem=PRO</t>
        </is>
      </c>
      <c r="E210" s="72" t="inlineStr">
        <is>
          <t>https://doi.org/10.2908/APRO_MK_FARM</t>
        </is>
      </c>
    </row>
    <row r="211" ht="26" customHeight="1">
      <c r="A211" s="67" t="inlineStr"/>
      <c r="B211" s="22" t="inlineStr"/>
      <c r="C211" s="22" t="inlineStr">
        <is>
          <t>Report baseline 2020 (Mt)</t>
        </is>
      </c>
      <c r="D211" s="35" t="inlineStr">
        <is>
          <t>ESABCC (2024) “Towards EU climate neutrality”, underlying-data workbook — the report's own 2020 figure, the anchor the later years are spliced onto.</t>
        </is>
      </c>
    </row>
    <row r="212" ht="26" customHeight="1">
      <c r="A212" s="14" t="inlineStr"/>
      <c r="B212" s="15" t="inlineStr"/>
      <c r="C212" s="15" t="inlineStr">
        <is>
          <t>Live source at 2020 (same basis as the columns left)</t>
        </is>
      </c>
      <c r="D212" s="34" t="inlineStr">
        <is>
          <t>Eurostat apro_mk_farm · raw milk total available on farms · EU27_2020 — the same query, read at 2020; dividing by it cancels the level difference between the source's scope and the report's, leaving only the year-on-year change.</t>
        </is>
      </c>
      <c r="E212" s="72" t="inlineStr">
        <is>
          <t>https://doi.org/10.2908/APRO_MK_FARM</t>
        </is>
      </c>
    </row>
    <row r="213" ht="26" customHeight="1">
      <c r="A213" s="67" t="inlineStr">
        <is>
          <t>A4 (pig, herd)</t>
        </is>
      </c>
      <c r="B213" s="22" t="inlineStr">
        <is>
          <t>Pig meat: herd size (EU)</t>
        </is>
      </c>
      <c r="C213" s="22" t="inlineStr">
        <is>
          <t>Value</t>
        </is>
      </c>
      <c r="D213" s="35" t="inlineStr">
        <is>
          <t>EU GHG inventory (CRF) livestock populations; 2021+ Eurostat apro_mt_lspig (swine) survey trend</t>
        </is>
      </c>
      <c r="E213" s="72" t="inlineStr">
        <is>
          <t>https://doi.org/10.2908/APRO_MT_LSPIG</t>
        </is>
      </c>
    </row>
    <row r="214" ht="26" customHeight="1">
      <c r="A214" s="14" t="inlineStr"/>
      <c r="B214" s="15" t="inlineStr"/>
      <c r="C214" s="15" t="inlineStr">
        <is>
          <t>Report figure (2024 report underlying data)</t>
        </is>
      </c>
      <c r="D214" s="34" t="inlineStr">
        <is>
          <t>ESABCC (2024) “Towards EU climate neutrality: Progress, policy gaps and opportunities”, underlying-data workbook — EU GHG inventory (CRF) livestock populations; 2021+ Eurostat apro_mt_lspig (swine) survey trend. The report carries this indicator as a published series, with no further breakdown.</t>
        </is>
      </c>
      <c r="E214" s="72" t="inlineStr">
        <is>
          <t>https://doi.org/10.2908/APRO_MT_LSPIG</t>
        </is>
      </c>
    </row>
    <row r="215" ht="26" customHeight="1">
      <c r="A215" s="67" t="inlineStr"/>
      <c r="B215" s="22" t="inlineStr"/>
      <c r="C215" s="22" t="inlineStr">
        <is>
          <t>apro_mt_lspig A3100</t>
        </is>
      </c>
      <c r="D215" s="35" t="inlineStr">
        <is>
          <t>Eurostat apro_mt_lspig · geo=EU27_2020, animals=A3100, month=M11_M12, unit=THS_HD · https://ec.europa.eu/eurostat/api/dissemination/statistics/1.0/data/apro_mt_lspig?format=JSON&amp;lang=EN&amp;geo=EU27_2020&amp;animals=A3100&amp;month=M11_M12&amp;unit=THS_HD</t>
        </is>
      </c>
      <c r="E215" s="72" t="inlineStr">
        <is>
          <t>https://doi.org/10.2908/APRO_MT_LSPIG</t>
        </is>
      </c>
    </row>
    <row r="216" ht="26" customHeight="1">
      <c r="A216" s="14" t="inlineStr"/>
      <c r="B216" s="15" t="inlineStr"/>
      <c r="C216" s="15" t="inlineStr">
        <is>
          <t>Report baseline 2020 (million heads)</t>
        </is>
      </c>
      <c r="D216" s="34" t="inlineStr">
        <is>
          <t>ESABCC (2024) “Towards EU climate neutrality”, underlying-data workbook — the report's own 2020 figure, the anchor the later years are spliced onto.</t>
        </is>
      </c>
    </row>
    <row r="217" ht="26" customHeight="1">
      <c r="A217" s="67" t="inlineStr"/>
      <c r="B217" s="22" t="inlineStr"/>
      <c r="C217" s="22" t="inlineStr">
        <is>
          <t>Live source at 2020 (same basis as the columns left)</t>
        </is>
      </c>
      <c r="D217" s="35" t="inlineStr">
        <is>
          <t>Eurostat apro_mt_lspig · live swine (A3100), Nov–Dec survey · EU27_2020 — the same query, read at 2020; dividing by it cancels the level difference between the source's scope and the report's, leaving only the year-on-year change.</t>
        </is>
      </c>
      <c r="E217" s="72" t="inlineStr">
        <is>
          <t>https://doi.org/10.2908/APRO_MT_LSPIG</t>
        </is>
      </c>
    </row>
    <row r="218" ht="26" customHeight="1">
      <c r="A218" s="14" t="inlineStr">
        <is>
          <t>A4 (pig, production)</t>
        </is>
      </c>
      <c r="B218" s="15" t="inlineStr">
        <is>
          <t>Pig meat: production (EU)</t>
        </is>
      </c>
      <c r="C218" s="15" t="inlineStr">
        <is>
          <t>Value</t>
        </is>
      </c>
      <c r="D218" s="34" t="inlineStr">
        <is>
          <t>Eurostat/FAOSTAT food balances + livestock surveys</t>
        </is>
      </c>
    </row>
    <row r="219" ht="26" customHeight="1">
      <c r="A219" s="67" t="inlineStr"/>
      <c r="B219" s="22" t="inlineStr"/>
      <c r="C219" s="22" t="inlineStr">
        <is>
          <t>Report figure (2024 report underlying data)</t>
        </is>
      </c>
      <c r="D219" s="35" t="inlineStr">
        <is>
          <t>ESABCC (2024) “Towards EU climate neutrality: Progress, policy gaps and opportunities”, underlying-data workbook — Eurostat/FAOSTAT food balances + livestock surveys. The report carries this indicator as a published series, with no further breakdown.</t>
        </is>
      </c>
    </row>
    <row r="220" ht="26" customHeight="1">
      <c r="A220" s="14" t="inlineStr"/>
      <c r="B220" s="15" t="inlineStr"/>
      <c r="C220" s="15" t="inlineStr">
        <is>
          <t>apro_mt_pann B3100</t>
        </is>
      </c>
      <c r="D220" s="34" t="inlineStr">
        <is>
          <t>Eurostat apro_mt_pann · geo=EU27_2020, meat=B3100, meatitem=SLAUGHT, unit=THS_T · https://ec.europa.eu/eurostat/api/dissemination/statistics/1.0/data/apro_mt_pann?format=JSON&amp;lang=EN&amp;geo=EU27_2020&amp;meat=B3100&amp;meatitem=SLAUGHT&amp;unit=THS_T</t>
        </is>
      </c>
      <c r="E220" s="72" t="inlineStr">
        <is>
          <t>https://doi.org/10.2908/APRO_MT_PANN</t>
        </is>
      </c>
    </row>
    <row r="221" ht="26" customHeight="1">
      <c r="A221" s="67" t="inlineStr"/>
      <c r="B221" s="22" t="inlineStr"/>
      <c r="C221" s="22" t="inlineStr">
        <is>
          <t>Unit conversion (× 0.001)</t>
        </is>
      </c>
      <c r="D221" s="35" t="inlineStr">
        <is>
          <t>Unit conversion applied to the source figure so it is expressed in Mt.</t>
        </is>
      </c>
    </row>
    <row r="222" ht="26" customHeight="1">
      <c r="A222" s="14" t="inlineStr">
        <is>
          <t>A6</t>
        </is>
      </c>
      <c r="B222" s="15" t="inlineStr">
        <is>
          <t>Food waste per capita (EU)</t>
        </is>
      </c>
      <c r="C222" s="15" t="inlineStr">
        <is>
          <t>Value</t>
        </is>
      </c>
      <c r="D222" s="34" t="inlineStr">
        <is>
          <t>Eurostat (env_wasfw)</t>
        </is>
      </c>
      <c r="E222" s="72" t="inlineStr">
        <is>
          <t>https://doi.org/10.2908/ENV_WASFW</t>
        </is>
      </c>
    </row>
    <row r="223" ht="26" customHeight="1">
      <c r="A223" s="67" t="inlineStr"/>
      <c r="B223" s="22" t="inlineStr"/>
      <c r="C223" s="22" t="inlineStr">
        <is>
          <t>Report figure (2024 report underlying data)</t>
        </is>
      </c>
      <c r="D223" s="35" t="inlineStr">
        <is>
          <t>ESABCC (2024) “Towards EU climate neutrality: Progress, policy gaps and opportunities”, underlying-data workbook — Eurostat (env_wasfw). The report carries this indicator as a published series, with no further breakdown.</t>
        </is>
      </c>
      <c r="E223" s="72" t="inlineStr">
        <is>
          <t>https://doi.org/10.2908/ENV_WASFW</t>
        </is>
      </c>
    </row>
    <row r="224" ht="26" customHeight="1">
      <c r="A224" s="14" t="inlineStr"/>
      <c r="B224" s="15" t="inlineStr"/>
      <c r="C224" s="15" t="inlineStr">
        <is>
          <t>env_wasfw TOT</t>
        </is>
      </c>
      <c r="D224" s="34" t="inlineStr">
        <is>
          <t>Eurostat env_wasfw · geo=EU27_2020, nace_r2=TOT, unit=KG_HAB · https://ec.europa.eu/eurostat/api/dissemination/statistics/1.0/data/env_wasfw?format=JSON&amp;lang=EN&amp;geo=EU27_2020&amp;nace_r2=TOT&amp;unit=KG_HAB</t>
        </is>
      </c>
      <c r="E224" s="72" t="inlineStr">
        <is>
          <t>https://doi.org/10.2908/ENV_WASFW</t>
        </is>
      </c>
    </row>
    <row r="225" ht="26" customHeight="1">
      <c r="A225" s="67" t="inlineStr">
        <is>
          <t>L6</t>
        </is>
      </c>
      <c r="B225" s="22" t="inlineStr">
        <is>
          <t>Forest land living-biomass carbon sink</t>
        </is>
      </c>
      <c r="C225" s="22" t="inlineStr">
        <is>
          <t>Value</t>
        </is>
      </c>
      <c r="D225" s="35" t="inlineStr">
        <is>
          <t>EU GHG inventory CRF</t>
        </is>
      </c>
      <c r="E225" s="72" t="inlineStr">
        <is>
          <t>https://di.unfccc.int/detailed_data_by_party</t>
        </is>
      </c>
    </row>
    <row r="226" ht="26" customHeight="1">
      <c r="A226" s="14" t="inlineStr"/>
      <c r="B226" s="15" t="inlineStr"/>
      <c r="C226" s="15" t="inlineStr">
        <is>
          <t>Carbon stock gain in living biomass</t>
        </is>
      </c>
      <c r="D226" s="34" t="inlineStr">
        <is>
          <t>EU GHG inventory CRF</t>
        </is>
      </c>
      <c r="E226" s="72" t="inlineStr">
        <is>
          <t>https://di.unfccc.int/detailed_data_by_party</t>
        </is>
      </c>
    </row>
    <row r="227" ht="26" customHeight="1">
      <c r="A227" s="67" t="inlineStr"/>
      <c r="B227" s="22" t="inlineStr"/>
      <c r="C227" s="22" t="inlineStr">
        <is>
          <t>Carbon stock loss in living biomass</t>
        </is>
      </c>
      <c r="D227" s="35" t="inlineStr">
        <is>
          <t>EU GHG inventory CRF</t>
        </is>
      </c>
      <c r="E227" s="72" t="inlineStr">
        <is>
          <t>https://di.unfccc.int/detailed_data_by_party</t>
        </is>
      </c>
    </row>
    <row r="228" ht="26" customHeight="1">
      <c r="A228" s="14" t="inlineStr"/>
      <c r="B228" s="15" t="inlineStr"/>
      <c r="C228" s="15" t="inlineStr">
        <is>
          <t>env_air_gge CRF4A</t>
        </is>
      </c>
      <c r="D228" s="34" t="inlineStr">
        <is>
          <t>Eurostat env_air_gge · geo=EU27_2020, unit=MIO_T, freq=A, airpol=GHG, src_crf=CRF4A · https://ec.europa.eu/eurostat/api/dissemination/statistics/1.0/data/env_air_gge?format=JSON&amp;lang=EN&amp;geo=EU27_2020&amp;unit=MIO_T&amp;freq=A&amp;airpol=GHG&amp;src_crf=CRF4A</t>
        </is>
      </c>
      <c r="E228" s="72" t="inlineStr">
        <is>
          <t>https://doi.org/10.2908/ENV_AIR_GGE</t>
        </is>
      </c>
    </row>
    <row r="229" ht="26" customHeight="1">
      <c r="A229" s="67" t="inlineStr"/>
      <c r="B229" s="22" t="inlineStr"/>
      <c r="C229" s="22" t="inlineStr">
        <is>
          <t>Report baseline 2021 (Mt CO₂eq)</t>
        </is>
      </c>
      <c r="D229" s="35" t="inlineStr">
        <is>
          <t>ESABCC (2024) “Towards EU climate neutrality”, underlying-data workbook — the report's own 2021 figure, the anchor the later years are spliced onto.</t>
        </is>
      </c>
    </row>
    <row r="230" ht="26" customHeight="1">
      <c r="A230" s="14" t="inlineStr"/>
      <c r="B230" s="15" t="inlineStr"/>
      <c r="C230" s="15" t="inlineStr">
        <is>
          <t>Live source at 2021 (same basis as the columns left)</t>
        </is>
      </c>
      <c r="D230" s="34" t="inlineStr">
        <is>
          <t>Eurostat env_air_gge · CRF 4.A forest land · EU27_2020 — the same query, read at 2021; dividing by it cancels the level difference between the source's scope and the report's, leaving only the year-on-year change.</t>
        </is>
      </c>
      <c r="E230" s="72" t="inlineStr">
        <is>
          <t>https://doi.org/10.2908/ENV_AIR_GGE</t>
        </is>
      </c>
    </row>
    <row r="231" ht="26" customHeight="1">
      <c r="A231" s="67" t="inlineStr">
        <is>
          <t>L7</t>
        </is>
      </c>
      <c r="B231" s="22" t="inlineStr">
        <is>
          <t>Non-forest LULUCF net GHG emissions</t>
        </is>
      </c>
      <c r="C231" s="22" t="inlineStr">
        <is>
          <t>Value</t>
        </is>
      </c>
      <c r="D231" s="35" t="inlineStr">
        <is>
          <t>EEA GHG data viewer</t>
        </is>
      </c>
      <c r="E231" s="72" t="inlineStr">
        <is>
          <t>https://www.eea.europa.eu/en/datahub/datahubitem-view/3b7fe76c-524a-439a-bfd2-a6e4046302a2</t>
        </is>
      </c>
    </row>
    <row r="232" ht="26" customHeight="1">
      <c r="A232" s="14" t="inlineStr"/>
      <c r="B232" s="15" t="inlineStr"/>
      <c r="C232" s="15" t="inlineStr">
        <is>
          <t>4.B - Cropland</t>
        </is>
      </c>
      <c r="D232" s="34" t="inlineStr">
        <is>
          <t>EEA GHG data viewer</t>
        </is>
      </c>
      <c r="E232" s="72" t="inlineStr">
        <is>
          <t>https://www.eea.europa.eu/en/datahub/datahubitem-view/3b7fe76c-524a-439a-bfd2-a6e4046302a2</t>
        </is>
      </c>
    </row>
    <row r="233" ht="26" customHeight="1">
      <c r="A233" s="67" t="inlineStr"/>
      <c r="B233" s="22" t="inlineStr"/>
      <c r="C233" s="22" t="inlineStr">
        <is>
          <t>4.C - Grassland</t>
        </is>
      </c>
      <c r="D233" s="35" t="inlineStr">
        <is>
          <t>EEA GHG data viewer</t>
        </is>
      </c>
      <c r="E233" s="72" t="inlineStr">
        <is>
          <t>https://www.eea.europa.eu/en/datahub/datahubitem-view/3b7fe76c-524a-439a-bfd2-a6e4046302a2</t>
        </is>
      </c>
    </row>
    <row r="234" ht="26" customHeight="1">
      <c r="A234" s="14" t="inlineStr"/>
      <c r="B234" s="15" t="inlineStr"/>
      <c r="C234" s="15" t="inlineStr">
        <is>
          <t>4.D - Wetlands</t>
        </is>
      </c>
      <c r="D234" s="34" t="inlineStr">
        <is>
          <t>EEA GHG data viewer</t>
        </is>
      </c>
      <c r="E234" s="72" t="inlineStr">
        <is>
          <t>https://www.eea.europa.eu/en/datahub/datahubitem-view/3b7fe76c-524a-439a-bfd2-a6e4046302a2</t>
        </is>
      </c>
    </row>
    <row r="235" ht="26" customHeight="1">
      <c r="A235" s="67" t="inlineStr"/>
      <c r="B235" s="22" t="inlineStr"/>
      <c r="C235" s="22" t="inlineStr">
        <is>
          <t>4.E - Settlements</t>
        </is>
      </c>
      <c r="D235" s="35" t="inlineStr">
        <is>
          <t>EEA GHG data viewer</t>
        </is>
      </c>
      <c r="E235" s="72" t="inlineStr">
        <is>
          <t>https://www.eea.europa.eu/en/datahub/datahubitem-view/3b7fe76c-524a-439a-bfd2-a6e4046302a2</t>
        </is>
      </c>
    </row>
    <row r="236" ht="26" customHeight="1">
      <c r="A236" s="14" t="inlineStr"/>
      <c r="B236" s="15" t="inlineStr"/>
      <c r="C236" s="15" t="inlineStr">
        <is>
          <t>4.F - Other Land</t>
        </is>
      </c>
      <c r="D236" s="34" t="inlineStr">
        <is>
          <t>EEA GHG data viewer</t>
        </is>
      </c>
      <c r="E236" s="72" t="inlineStr">
        <is>
          <t>https://www.eea.europa.eu/en/datahub/datahubitem-view/3b7fe76c-524a-439a-bfd2-a6e4046302a2</t>
        </is>
      </c>
    </row>
    <row r="237" ht="26" customHeight="1">
      <c r="A237" s="67" t="inlineStr"/>
      <c r="B237" s="22" t="inlineStr"/>
      <c r="C237" s="22" t="inlineStr">
        <is>
          <t>4.H - Other LULUCF</t>
        </is>
      </c>
      <c r="D237" s="35" t="inlineStr">
        <is>
          <t>EEA GHG data viewer</t>
        </is>
      </c>
      <c r="E237" s="72" t="inlineStr">
        <is>
          <t>https://www.eea.europa.eu/en/datahub/datahubitem-view/3b7fe76c-524a-439a-bfd2-a6e4046302a2</t>
        </is>
      </c>
    </row>
    <row r="238" ht="26" customHeight="1">
      <c r="A238" s="14" t="inlineStr"/>
      <c r="B238" s="15" t="inlineStr"/>
      <c r="C238" s="15" t="inlineStr">
        <is>
          <t>env_air_gge CRF4B</t>
        </is>
      </c>
      <c r="D238" s="34" t="inlineStr">
        <is>
          <t>Eurostat env_air_gge · geo=EU27_2020, unit=MIO_T, freq=A, airpol=GHG, src_crf=CRF4B · https://ec.europa.eu/eurostat/api/dissemination/statistics/1.0/data/env_air_gge?format=JSON&amp;lang=EN&amp;geo=EU27_2020&amp;unit=MIO_T&amp;freq=A&amp;airpol=GHG&amp;src_crf=CRF4B</t>
        </is>
      </c>
      <c r="E238" s="72" t="inlineStr">
        <is>
          <t>https://doi.org/10.2908/ENV_AIR_GGE</t>
        </is>
      </c>
    </row>
    <row r="239" ht="26" customHeight="1">
      <c r="A239" s="67" t="inlineStr"/>
      <c r="B239" s="22" t="inlineStr"/>
      <c r="C239" s="22" t="inlineStr">
        <is>
          <t>env_air_gge CRF4C</t>
        </is>
      </c>
      <c r="D239" s="35" t="inlineStr">
        <is>
          <t>Eurostat env_air_gge · geo=EU27_2020, unit=MIO_T, freq=A, airpol=GHG, src_crf=CRF4C · https://ec.europa.eu/eurostat/api/dissemination/statistics/1.0/data/env_air_gge?format=JSON&amp;lang=EN&amp;geo=EU27_2020&amp;unit=MIO_T&amp;freq=A&amp;airpol=GHG&amp;src_crf=CRF4C</t>
        </is>
      </c>
      <c r="E239" s="72" t="inlineStr">
        <is>
          <t>https://doi.org/10.2908/ENV_AIR_GGE</t>
        </is>
      </c>
    </row>
    <row r="240" ht="26" customHeight="1">
      <c r="A240" s="14" t="inlineStr"/>
      <c r="B240" s="15" t="inlineStr"/>
      <c r="C240" s="15" t="inlineStr">
        <is>
          <t>env_air_gge CRF4D</t>
        </is>
      </c>
      <c r="D240" s="34" t="inlineStr">
        <is>
          <t>Eurostat env_air_gge · geo=EU27_2020, unit=MIO_T, freq=A, airpol=GHG, src_crf=CRF4D · https://ec.europa.eu/eurostat/api/dissemination/statistics/1.0/data/env_air_gge?format=JSON&amp;lang=EN&amp;geo=EU27_2020&amp;unit=MIO_T&amp;freq=A&amp;airpol=GHG&amp;src_crf=CRF4D</t>
        </is>
      </c>
      <c r="E240" s="72" t="inlineStr">
        <is>
          <t>https://doi.org/10.2908/ENV_AIR_GGE</t>
        </is>
      </c>
    </row>
    <row r="241" ht="26" customHeight="1">
      <c r="A241" s="67" t="inlineStr"/>
      <c r="B241" s="22" t="inlineStr"/>
      <c r="C241" s="22" t="inlineStr">
        <is>
          <t>env_air_gge CRF4E</t>
        </is>
      </c>
      <c r="D241" s="35" t="inlineStr">
        <is>
          <t>Eurostat env_air_gge · geo=EU27_2020, unit=MIO_T, freq=A, airpol=GHG, src_crf=CRF4E · https://ec.europa.eu/eurostat/api/dissemination/statistics/1.0/data/env_air_gge?format=JSON&amp;lang=EN&amp;geo=EU27_2020&amp;unit=MIO_T&amp;freq=A&amp;airpol=GHG&amp;src_crf=CRF4E</t>
        </is>
      </c>
      <c r="E241" s="72" t="inlineStr">
        <is>
          <t>https://doi.org/10.2908/ENV_AIR_GGE</t>
        </is>
      </c>
    </row>
    <row r="242" ht="26" customHeight="1">
      <c r="A242" s="14" t="inlineStr"/>
      <c r="B242" s="15" t="inlineStr"/>
      <c r="C242" s="15" t="inlineStr">
        <is>
          <t>env_air_gge CRF4F</t>
        </is>
      </c>
      <c r="D242" s="34" t="inlineStr">
        <is>
          <t>Eurostat env_air_gge · geo=EU27_2020, unit=MIO_T, freq=A, airpol=GHG, src_crf=CRF4F · https://ec.europa.eu/eurostat/api/dissemination/statistics/1.0/data/env_air_gge?format=JSON&amp;lang=EN&amp;geo=EU27_2020&amp;unit=MIO_T&amp;freq=A&amp;airpol=GHG&amp;src_crf=CRF4F</t>
        </is>
      </c>
      <c r="E242" s="72" t="inlineStr">
        <is>
          <t>https://doi.org/10.2908/ENV_AIR_GGE</t>
        </is>
      </c>
    </row>
    <row r="243" ht="26" customHeight="1">
      <c r="A243" s="67" t="inlineStr">
        <is>
          <t>L8</t>
        </is>
      </c>
      <c r="B243" s="22" t="inlineStr">
        <is>
          <t>Total bioenergy use (EU-27)</t>
        </is>
      </c>
      <c r="C243" s="22" t="inlineStr">
        <is>
          <t>Value</t>
        </is>
      </c>
      <c r="D243" s="35" t="inlineStr">
        <is>
          <t>Eurostat energy balance</t>
        </is>
      </c>
    </row>
    <row r="244" ht="26" customHeight="1">
      <c r="A244" s="14" t="inlineStr"/>
      <c r="B244" s="15" t="inlineStr"/>
      <c r="C244" s="15" t="inlineStr">
        <is>
          <t>Power and heat: Primary solid biofuels</t>
        </is>
      </c>
      <c r="D244" s="34" t="inlineStr">
        <is>
          <t>energy balance</t>
        </is>
      </c>
    </row>
    <row r="245" ht="26" customHeight="1">
      <c r="A245" s="67" t="inlineStr"/>
      <c r="B245" s="22" t="inlineStr"/>
      <c r="C245" s="22" t="inlineStr">
        <is>
          <t>Power and heat: Charcoal</t>
        </is>
      </c>
      <c r="D245" s="35" t="inlineStr">
        <is>
          <t>energy balance</t>
        </is>
      </c>
    </row>
    <row r="246" ht="26" customHeight="1">
      <c r="A246" s="14" t="inlineStr"/>
      <c r="B246" s="15" t="inlineStr"/>
      <c r="C246" s="15" t="inlineStr">
        <is>
          <t>Power and heat: Pure biogasoline</t>
        </is>
      </c>
      <c r="D246" s="34" t="inlineStr">
        <is>
          <t>energy balance</t>
        </is>
      </c>
    </row>
    <row r="247" ht="26" customHeight="1">
      <c r="A247" s="67" t="inlineStr"/>
      <c r="B247" s="22" t="inlineStr"/>
      <c r="C247" s="22" t="inlineStr">
        <is>
          <t>Power and heat: Blended biogasoline</t>
        </is>
      </c>
      <c r="D247" s="35" t="inlineStr">
        <is>
          <t>energy balance</t>
        </is>
      </c>
    </row>
    <row r="248" ht="26" customHeight="1">
      <c r="A248" s="14" t="inlineStr"/>
      <c r="B248" s="15" t="inlineStr"/>
      <c r="C248" s="15" t="inlineStr">
        <is>
          <t>Power and heat: Pure biodiesels</t>
        </is>
      </c>
      <c r="D248" s="34" t="inlineStr">
        <is>
          <t>energy balance</t>
        </is>
      </c>
    </row>
    <row r="249" ht="26" customHeight="1">
      <c r="A249" s="67" t="inlineStr"/>
      <c r="B249" s="22" t="inlineStr"/>
      <c r="C249" s="22" t="inlineStr">
        <is>
          <t>Power and heat: Blended biodiesels</t>
        </is>
      </c>
      <c r="D249" s="35" t="inlineStr">
        <is>
          <t>energy balance</t>
        </is>
      </c>
    </row>
    <row r="250" ht="26" customHeight="1">
      <c r="A250" s="14" t="inlineStr"/>
      <c r="B250" s="15" t="inlineStr"/>
      <c r="C250" s="15" t="inlineStr">
        <is>
          <t>Power and heat: Pure bio jet kerosene</t>
        </is>
      </c>
      <c r="D250" s="34" t="inlineStr">
        <is>
          <t>energy balance</t>
        </is>
      </c>
    </row>
    <row r="251" ht="26" customHeight="1">
      <c r="A251" s="67" t="inlineStr"/>
      <c r="B251" s="22" t="inlineStr"/>
      <c r="C251" s="22" t="inlineStr">
        <is>
          <t>Power and heat: Blended bio jet kerosene</t>
        </is>
      </c>
      <c r="D251" s="35" t="inlineStr">
        <is>
          <t>energy balance</t>
        </is>
      </c>
    </row>
    <row r="252" ht="26" customHeight="1">
      <c r="A252" s="14" t="inlineStr"/>
      <c r="B252" s="15" t="inlineStr"/>
      <c r="C252" s="15" t="inlineStr">
        <is>
          <t>Power and heat: Other liquid biofuels</t>
        </is>
      </c>
      <c r="D252" s="34" t="inlineStr">
        <is>
          <t>energy balance</t>
        </is>
      </c>
    </row>
    <row r="253" ht="26" customHeight="1">
      <c r="A253" s="67" t="inlineStr"/>
      <c r="B253" s="22" t="inlineStr"/>
      <c r="C253" s="22" t="inlineStr">
        <is>
          <t>Power and heat: Biogases</t>
        </is>
      </c>
      <c r="D253" s="35" t="inlineStr">
        <is>
          <t>energy balance</t>
        </is>
      </c>
    </row>
    <row r="254" ht="26" customHeight="1">
      <c r="A254" s="14" t="inlineStr"/>
      <c r="B254" s="15" t="inlineStr"/>
      <c r="C254" s="15" t="inlineStr">
        <is>
          <t>Industry: Primary solid biofuels</t>
        </is>
      </c>
      <c r="D254" s="34" t="inlineStr">
        <is>
          <t>energy balance</t>
        </is>
      </c>
    </row>
    <row r="255" ht="26" customHeight="1">
      <c r="A255" s="67" t="inlineStr"/>
      <c r="B255" s="22" t="inlineStr"/>
      <c r="C255" s="22" t="inlineStr">
        <is>
          <t>Industry: Charcoal</t>
        </is>
      </c>
      <c r="D255" s="35" t="inlineStr">
        <is>
          <t>energy balance</t>
        </is>
      </c>
    </row>
    <row r="256" ht="26" customHeight="1">
      <c r="A256" s="14" t="inlineStr"/>
      <c r="B256" s="15" t="inlineStr"/>
      <c r="C256" s="15" t="inlineStr">
        <is>
          <t>Industry: Pure biogasoline</t>
        </is>
      </c>
      <c r="D256" s="34" t="inlineStr">
        <is>
          <t>energy balance</t>
        </is>
      </c>
    </row>
    <row r="257" ht="26" customHeight="1">
      <c r="A257" s="67" t="inlineStr"/>
      <c r="B257" s="22" t="inlineStr"/>
      <c r="C257" s="22" t="inlineStr">
        <is>
          <t>Industry: Blended biogasoline</t>
        </is>
      </c>
      <c r="D257" s="35" t="inlineStr">
        <is>
          <t>energy balance</t>
        </is>
      </c>
    </row>
    <row r="258" ht="26" customHeight="1">
      <c r="A258" s="14" t="inlineStr"/>
      <c r="B258" s="15" t="inlineStr"/>
      <c r="C258" s="15" t="inlineStr">
        <is>
          <t>Industry: Pure biodiesels</t>
        </is>
      </c>
      <c r="D258" s="34" t="inlineStr">
        <is>
          <t>energy balance</t>
        </is>
      </c>
    </row>
    <row r="259" ht="26" customHeight="1">
      <c r="A259" s="67" t="inlineStr"/>
      <c r="B259" s="22" t="inlineStr"/>
      <c r="C259" s="22" t="inlineStr">
        <is>
          <t>Industry: Blended biodiesels</t>
        </is>
      </c>
      <c r="D259" s="35" t="inlineStr">
        <is>
          <t>energy balance</t>
        </is>
      </c>
    </row>
    <row r="260" ht="26" customHeight="1">
      <c r="A260" s="14" t="inlineStr"/>
      <c r="B260" s="15" t="inlineStr"/>
      <c r="C260" s="15" t="inlineStr">
        <is>
          <t>Industry: Pure bio jet kerosene</t>
        </is>
      </c>
      <c r="D260" s="34" t="inlineStr">
        <is>
          <t>energy balance</t>
        </is>
      </c>
    </row>
    <row r="261" ht="26" customHeight="1">
      <c r="A261" s="67" t="inlineStr"/>
      <c r="B261" s="22" t="inlineStr"/>
      <c r="C261" s="22" t="inlineStr">
        <is>
          <t>Industry: Blended bio jet kerosene</t>
        </is>
      </c>
      <c r="D261" s="35" t="inlineStr">
        <is>
          <t>energy balance</t>
        </is>
      </c>
    </row>
    <row r="262" ht="26" customHeight="1">
      <c r="A262" s="14" t="inlineStr"/>
      <c r="B262" s="15" t="inlineStr"/>
      <c r="C262" s="15" t="inlineStr">
        <is>
          <t>Industry: Other liquid biofuels</t>
        </is>
      </c>
      <c r="D262" s="34" t="inlineStr">
        <is>
          <t>energy balance</t>
        </is>
      </c>
    </row>
    <row r="263" ht="26" customHeight="1">
      <c r="A263" s="67" t="inlineStr"/>
      <c r="B263" s="22" t="inlineStr"/>
      <c r="C263" s="22" t="inlineStr">
        <is>
          <t>Industry: Biogases</t>
        </is>
      </c>
      <c r="D263" s="35" t="inlineStr">
        <is>
          <t>energy balance</t>
        </is>
      </c>
    </row>
    <row r="264" ht="26" customHeight="1">
      <c r="A264" s="14" t="inlineStr"/>
      <c r="B264" s="15" t="inlineStr"/>
      <c r="C264" s="15" t="inlineStr">
        <is>
          <t>Transport: Primary solid biofuels</t>
        </is>
      </c>
      <c r="D264" s="34" t="inlineStr">
        <is>
          <t>energy balance</t>
        </is>
      </c>
    </row>
    <row r="265" ht="26" customHeight="1">
      <c r="A265" s="67" t="inlineStr"/>
      <c r="B265" s="22" t="inlineStr"/>
      <c r="C265" s="22" t="inlineStr">
        <is>
          <t>Transport: Charcoal</t>
        </is>
      </c>
      <c r="D265" s="35" t="inlineStr">
        <is>
          <t>energy balance</t>
        </is>
      </c>
    </row>
    <row r="266" ht="26" customHeight="1">
      <c r="A266" s="14" t="inlineStr"/>
      <c r="B266" s="15" t="inlineStr"/>
      <c r="C266" s="15" t="inlineStr">
        <is>
          <t>Transport: Pure biogasoline</t>
        </is>
      </c>
      <c r="D266" s="34" t="inlineStr">
        <is>
          <t>energy balance</t>
        </is>
      </c>
    </row>
    <row r="267" ht="26" customHeight="1">
      <c r="A267" s="67" t="inlineStr"/>
      <c r="B267" s="22" t="inlineStr"/>
      <c r="C267" s="22" t="inlineStr">
        <is>
          <t>Transport: Blended biogasoline</t>
        </is>
      </c>
      <c r="D267" s="35" t="inlineStr">
        <is>
          <t>energy balance</t>
        </is>
      </c>
    </row>
    <row r="268" ht="26" customHeight="1">
      <c r="A268" s="14" t="inlineStr"/>
      <c r="B268" s="15" t="inlineStr"/>
      <c r="C268" s="15" t="inlineStr">
        <is>
          <t>Transport: Pure biodiesels</t>
        </is>
      </c>
      <c r="D268" s="34" t="inlineStr">
        <is>
          <t>energy balance</t>
        </is>
      </c>
    </row>
    <row r="269" ht="26" customHeight="1">
      <c r="A269" s="67" t="inlineStr"/>
      <c r="B269" s="22" t="inlineStr"/>
      <c r="C269" s="22" t="inlineStr">
        <is>
          <t>Transport: Blended biodiesels</t>
        </is>
      </c>
      <c r="D269" s="35" t="inlineStr">
        <is>
          <t>energy balance</t>
        </is>
      </c>
    </row>
    <row r="270" ht="26" customHeight="1">
      <c r="A270" s="14" t="inlineStr"/>
      <c r="B270" s="15" t="inlineStr"/>
      <c r="C270" s="15" t="inlineStr">
        <is>
          <t>Transport: Pure bio jet kerosene</t>
        </is>
      </c>
      <c r="D270" s="34" t="inlineStr">
        <is>
          <t>energy balance</t>
        </is>
      </c>
    </row>
    <row r="271" ht="26" customHeight="1">
      <c r="A271" s="67" t="inlineStr"/>
      <c r="B271" s="22" t="inlineStr"/>
      <c r="C271" s="22" t="inlineStr">
        <is>
          <t>Transport: Blended bio jet kerosene</t>
        </is>
      </c>
      <c r="D271" s="35" t="inlineStr">
        <is>
          <t>energy balance</t>
        </is>
      </c>
    </row>
    <row r="272" ht="26" customHeight="1">
      <c r="A272" s="14" t="inlineStr"/>
      <c r="B272" s="15" t="inlineStr"/>
      <c r="C272" s="15" t="inlineStr">
        <is>
          <t>Transport: Other liquid biofuels</t>
        </is>
      </c>
      <c r="D272" s="34" t="inlineStr">
        <is>
          <t>energy balance</t>
        </is>
      </c>
    </row>
    <row r="273" ht="26" customHeight="1">
      <c r="A273" s="67" t="inlineStr"/>
      <c r="B273" s="22" t="inlineStr"/>
      <c r="C273" s="22" t="inlineStr">
        <is>
          <t>Transport: Biogases</t>
        </is>
      </c>
      <c r="D273" s="35" t="inlineStr">
        <is>
          <t>energy balance</t>
        </is>
      </c>
    </row>
    <row r="274" ht="26" customHeight="1">
      <c r="A274" s="14" t="inlineStr"/>
      <c r="B274" s="15" t="inlineStr"/>
      <c r="C274" s="15" t="inlineStr">
        <is>
          <t>Other sectors: Primary solid biofuels</t>
        </is>
      </c>
      <c r="D274" s="34" t="inlineStr">
        <is>
          <t>energy balance</t>
        </is>
      </c>
    </row>
    <row r="275" ht="26" customHeight="1">
      <c r="A275" s="67" t="inlineStr"/>
      <c r="B275" s="22" t="inlineStr"/>
      <c r="C275" s="22" t="inlineStr">
        <is>
          <t>Other sectors: Charcoal</t>
        </is>
      </c>
      <c r="D275" s="35" t="inlineStr">
        <is>
          <t>energy balance</t>
        </is>
      </c>
    </row>
    <row r="276" ht="26" customHeight="1">
      <c r="A276" s="14" t="inlineStr"/>
      <c r="B276" s="15" t="inlineStr"/>
      <c r="C276" s="15" t="inlineStr">
        <is>
          <t>Other sectors: Pure biogasoline</t>
        </is>
      </c>
      <c r="D276" s="34" t="inlineStr">
        <is>
          <t>energy balance</t>
        </is>
      </c>
    </row>
    <row r="277" ht="26" customHeight="1">
      <c r="A277" s="67" t="inlineStr"/>
      <c r="B277" s="22" t="inlineStr"/>
      <c r="C277" s="22" t="inlineStr">
        <is>
          <t>Other sectors: Blended biogasoline</t>
        </is>
      </c>
      <c r="D277" s="35" t="inlineStr">
        <is>
          <t>energy balance</t>
        </is>
      </c>
    </row>
    <row r="278" ht="26" customHeight="1">
      <c r="A278" s="14" t="inlineStr"/>
      <c r="B278" s="15" t="inlineStr"/>
      <c r="C278" s="15" t="inlineStr">
        <is>
          <t>Other sectors: Pure biodiesels</t>
        </is>
      </c>
      <c r="D278" s="34" t="inlineStr">
        <is>
          <t>energy balance</t>
        </is>
      </c>
    </row>
    <row r="279" ht="26" customHeight="1">
      <c r="A279" s="67" t="inlineStr"/>
      <c r="B279" s="22" t="inlineStr"/>
      <c r="C279" s="22" t="inlineStr">
        <is>
          <t>Other sectors: Blended biodiesels</t>
        </is>
      </c>
      <c r="D279" s="35" t="inlineStr">
        <is>
          <t>energy balance</t>
        </is>
      </c>
    </row>
    <row r="280" ht="26" customHeight="1">
      <c r="A280" s="14" t="inlineStr"/>
      <c r="B280" s="15" t="inlineStr"/>
      <c r="C280" s="15" t="inlineStr">
        <is>
          <t>Other sectors: Pure bio jet kerosene</t>
        </is>
      </c>
      <c r="D280" s="34" t="inlineStr">
        <is>
          <t>energy balance</t>
        </is>
      </c>
    </row>
    <row r="281" ht="26" customHeight="1">
      <c r="A281" s="67" t="inlineStr"/>
      <c r="B281" s="22" t="inlineStr"/>
      <c r="C281" s="22" t="inlineStr">
        <is>
          <t>Other sectors: Blended bio jet kerosene</t>
        </is>
      </c>
      <c r="D281" s="35" t="inlineStr">
        <is>
          <t>energy balance</t>
        </is>
      </c>
    </row>
    <row r="282" ht="26" customHeight="1">
      <c r="A282" s="14" t="inlineStr"/>
      <c r="B282" s="15" t="inlineStr"/>
      <c r="C282" s="15" t="inlineStr">
        <is>
          <t>Other sectors: Other liquid biofuels</t>
        </is>
      </c>
      <c r="D282" s="34" t="inlineStr">
        <is>
          <t>energy balance</t>
        </is>
      </c>
    </row>
    <row r="283" ht="26" customHeight="1">
      <c r="A283" s="67" t="inlineStr"/>
      <c r="B283" s="22" t="inlineStr"/>
      <c r="C283" s="22" t="inlineStr">
        <is>
          <t>Other sectors: Biogases</t>
        </is>
      </c>
      <c r="D283" s="35" t="inlineStr">
        <is>
          <t>energy balance</t>
        </is>
      </c>
    </row>
    <row r="284" ht="26" customHeight="1">
      <c r="A284" s="14" t="inlineStr"/>
      <c r="B284" s="15" t="inlineStr"/>
      <c r="C284" s="15" t="inlineStr">
        <is>
          <t>nrg_bal_c BIOE</t>
        </is>
      </c>
      <c r="D284" s="34" t="inlineStr">
        <is>
          <t>Eurostat nrg_bal_c · geo=EU27_2020, unit=GWH, freq=A, nrg_bal=GIC, siec=BIOE · https://ec.europa.eu/eurostat/api/dissemination/statistics/1.0/data/nrg_bal_c?format=JSON&amp;lang=EN&amp;geo=EU27_2020&amp;unit=GWH&amp;freq=A&amp;nrg_bal=GIC&amp;siec=BIOE</t>
        </is>
      </c>
      <c r="E284" s="72" t="inlineStr">
        <is>
          <t>https://doi.org/10.2908/NRG_BAL_C</t>
        </is>
      </c>
    </row>
    <row r="285" ht="26" customHeight="1">
      <c r="A285" s="67" t="inlineStr"/>
      <c r="B285" s="22" t="inlineStr"/>
      <c r="C285" s="22" t="inlineStr">
        <is>
          <t>Unit conversion (× 0.001)</t>
        </is>
      </c>
      <c r="D285" s="35" t="inlineStr">
        <is>
          <t>Unit conversion applied to the source figure so it is expressed in TWh.</t>
        </is>
      </c>
    </row>
    <row r="286" ht="26" customHeight="1">
      <c r="A286" s="14" t="inlineStr">
        <is>
          <t>F1</t>
        </is>
      </c>
      <c r="B286" s="15" t="inlineStr">
        <is>
          <t>EU fossil-fuel subsidies (FFST)</t>
        </is>
      </c>
      <c r="C286" s="15" t="inlineStr">
        <is>
          <t>Value</t>
        </is>
      </c>
      <c r="D286" s="34" t="inlineStr">
        <is>
          <t>Fossil Fuel Subsidy Tracker; 2023: EC Report on Energy Subsidies in the EU (COM(2025)17)</t>
        </is>
      </c>
    </row>
    <row r="287" ht="26" customHeight="1">
      <c r="A287" s="67" t="inlineStr"/>
      <c r="B287" s="22" t="inlineStr"/>
      <c r="C287" s="22" t="inlineStr">
        <is>
          <t>Report figure (2024 report underlying data)</t>
        </is>
      </c>
      <c r="D287" s="35" t="inlineStr">
        <is>
          <t>ESABCC (2024) “Towards EU climate neutrality: Progress, policy gaps and opportunities”, underlying-data workbook — Fossil Fuel Subsidy Tracker; 2023: EC Report on Energy Subsidies in the EU (COM(2025)17). The report carries this indicator as a published series, with no further breakdown.</t>
        </is>
      </c>
    </row>
    <row r="288" ht="26" customHeight="1">
      <c r="A288" s="14" t="inlineStr">
        <is>
          <t>F2 (share)</t>
        </is>
      </c>
      <c r="B288" s="15" t="inlineStr">
        <is>
          <t>Green share of EU bond issuance</t>
        </is>
      </c>
      <c r="C288" s="15" t="inlineStr">
        <is>
          <t>Value</t>
        </is>
      </c>
      <c r="D288" s="34" t="inlineStr">
        <is>
          <t>BloombergNEF; 2023+ EEA "Green bonds in Europe" (LSEG/Refinitiv)</t>
        </is>
      </c>
      <c r="E288" s="72" t="inlineStr">
        <is>
          <t>https://www.eea.europa.eu/en/analysis/maps-and-charts/percentage-of-green-bond-issuances-1</t>
        </is>
      </c>
    </row>
    <row r="289" ht="26" customHeight="1">
      <c r="A289" s="67" t="inlineStr"/>
      <c r="B289" s="22" t="inlineStr"/>
      <c r="C289" s="22" t="inlineStr">
        <is>
          <t>Report figure (2024 report underlying data)</t>
        </is>
      </c>
      <c r="D289" s="35" t="inlineStr">
        <is>
          <t>ESABCC (2024) “Towards EU climate neutrality: Progress, policy gaps and opportunities”, underlying-data workbook — BloombergNEF; 2023+ EEA "Green bonds in Europe" (LSEG/Refinitiv). The report carries this indicator as a published series, with no further breakdown.</t>
        </is>
      </c>
      <c r="E289" s="72" t="inlineStr">
        <is>
          <t>https://www.eea.europa.eu/en/analysis/maps-and-charts/percentage-of-green-bond-issuances-1</t>
        </is>
      </c>
    </row>
    <row r="290" ht="26" customHeight="1">
      <c r="A290" s="14" t="inlineStr">
        <is>
          <t>F3</t>
        </is>
      </c>
      <c r="B290" s="15" t="inlineStr">
        <is>
          <t>EU R&amp;D expenditure (GERD)</t>
        </is>
      </c>
      <c r="C290" s="15" t="inlineStr">
        <is>
          <t>Value</t>
        </is>
      </c>
      <c r="D290" s="34" t="inlineStr">
        <is>
          <t>Eurostat (rd_e_gerdtot)</t>
        </is>
      </c>
      <c r="E290" s="72" t="inlineStr">
        <is>
          <t>https://doi.org/10.2908/RD_E_GERDTOT</t>
        </is>
      </c>
    </row>
    <row r="291" ht="26" customHeight="1">
      <c r="A291" s="67" t="inlineStr"/>
      <c r="B291" s="22" t="inlineStr"/>
      <c r="C291" s="22" t="inlineStr">
        <is>
          <t>Report figure (2024 report underlying data)</t>
        </is>
      </c>
      <c r="D291" s="35" t="inlineStr">
        <is>
          <t>ESABCC (2024) “Towards EU climate neutrality: Progress, policy gaps and opportunities”, underlying-data workbook — Eurostat (rd_e_gerdtot). The report carries this indicator as a published series, with no further breakdown.</t>
        </is>
      </c>
      <c r="E291" s="72" t="inlineStr">
        <is>
          <t>https://doi.org/10.2908/RD_E_GERDTOT</t>
        </is>
      </c>
    </row>
    <row r="292" ht="26" customHeight="1">
      <c r="A292" s="14" t="inlineStr"/>
      <c r="B292" s="15" t="inlineStr"/>
      <c r="C292" s="15" t="inlineStr">
        <is>
          <t>rd_e_gerdtot TOTAL</t>
        </is>
      </c>
      <c r="D292" s="34" t="inlineStr">
        <is>
          <t>Eurostat rd_e_gerdtot · geo=EU27_2020, sectperf=TOTAL, unit=PC_GDP · https://ec.europa.eu/eurostat/api/dissemination/statistics/1.0/data/rd_e_gerdtot?format=JSON&amp;lang=EN&amp;geo=EU27_2020&amp;sectperf=TOTAL&amp;unit=PC_GDP</t>
        </is>
      </c>
      <c r="E292" s="72" t="inlineStr">
        <is>
          <t>https://doi.org/10.2908/RD_E_GERDTOT</t>
        </is>
      </c>
    </row>
    <row r="293" ht="26" customHeight="1">
      <c r="A293" s="67" t="inlineStr">
        <is>
          <t>F5</t>
        </is>
      </c>
      <c r="B293" s="22" t="inlineStr">
        <is>
          <t>Cleantech venture &amp; growth investment in the EU</t>
        </is>
      </c>
      <c r="C293" s="22" t="inlineStr">
        <is>
          <t>Value</t>
        </is>
      </c>
      <c r="D293" s="35" t="inlineStr">
        <is>
          <t>Cleantech for Europe</t>
        </is>
      </c>
    </row>
    <row r="294" ht="26" customHeight="1">
      <c r="A294" s="14" t="inlineStr"/>
      <c r="B294" s="15" t="inlineStr"/>
      <c r="C294" s="15" t="inlineStr">
        <is>
          <t>Report figure (2024 report underlying data)</t>
        </is>
      </c>
      <c r="D294" s="34" t="inlineStr">
        <is>
          <t>ESABCC (2024) “Towards EU climate neutrality: Progress, policy gaps and opportunities”, underlying-data workbook — Cleantech for Europe. The report carries this indicator as a published series, with no further breakdown.</t>
        </is>
      </c>
    </row>
  </sheetData>
  <autoFilter ref="A1:E29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7" r:id="rId5"/>
    <hyperlink xmlns:r="http://schemas.openxmlformats.org/officeDocument/2006/relationships" ref="E11" r:id="rId6"/>
    <hyperlink xmlns:r="http://schemas.openxmlformats.org/officeDocument/2006/relationships" ref="E15" r:id="rId7"/>
    <hyperlink xmlns:r="http://schemas.openxmlformats.org/officeDocument/2006/relationships" ref="E16" r:id="rId8"/>
    <hyperlink xmlns:r="http://schemas.openxmlformats.org/officeDocument/2006/relationships" ref="E18" r:id="rId9"/>
    <hyperlink xmlns:r="http://schemas.openxmlformats.org/officeDocument/2006/relationships" ref="E19" r:id="rId10"/>
    <hyperlink xmlns:r="http://schemas.openxmlformats.org/officeDocument/2006/relationships" ref="E20" r:id="rId11"/>
    <hyperlink xmlns:r="http://schemas.openxmlformats.org/officeDocument/2006/relationships" ref="E22" r:id="rId12"/>
    <hyperlink xmlns:r="http://schemas.openxmlformats.org/officeDocument/2006/relationships" ref="E27" r:id="rId13"/>
    <hyperlink xmlns:r="http://schemas.openxmlformats.org/officeDocument/2006/relationships" ref="E28" r:id="rId14"/>
    <hyperlink xmlns:r="http://schemas.openxmlformats.org/officeDocument/2006/relationships" ref="E29" r:id="rId15"/>
    <hyperlink xmlns:r="http://schemas.openxmlformats.org/officeDocument/2006/relationships" ref="E31" r:id="rId16"/>
    <hyperlink xmlns:r="http://schemas.openxmlformats.org/officeDocument/2006/relationships" ref="E34" r:id="rId17"/>
    <hyperlink xmlns:r="http://schemas.openxmlformats.org/officeDocument/2006/relationships" ref="E36" r:id="rId18"/>
    <hyperlink xmlns:r="http://schemas.openxmlformats.org/officeDocument/2006/relationships" ref="E37" r:id="rId19"/>
    <hyperlink xmlns:r="http://schemas.openxmlformats.org/officeDocument/2006/relationships" ref="E38" r:id="rId20"/>
    <hyperlink xmlns:r="http://schemas.openxmlformats.org/officeDocument/2006/relationships" ref="E41" r:id="rId21"/>
    <hyperlink xmlns:r="http://schemas.openxmlformats.org/officeDocument/2006/relationships" ref="E45" r:id="rId22"/>
    <hyperlink xmlns:r="http://schemas.openxmlformats.org/officeDocument/2006/relationships" ref="E46" r:id="rId23"/>
    <hyperlink xmlns:r="http://schemas.openxmlformats.org/officeDocument/2006/relationships" ref="E47" r:id="rId24"/>
    <hyperlink xmlns:r="http://schemas.openxmlformats.org/officeDocument/2006/relationships" ref="E48" r:id="rId25"/>
    <hyperlink xmlns:r="http://schemas.openxmlformats.org/officeDocument/2006/relationships" ref="E49" r:id="rId26"/>
    <hyperlink xmlns:r="http://schemas.openxmlformats.org/officeDocument/2006/relationships" ref="E50" r:id="rId27"/>
    <hyperlink xmlns:r="http://schemas.openxmlformats.org/officeDocument/2006/relationships" ref="E51" r:id="rId28"/>
    <hyperlink xmlns:r="http://schemas.openxmlformats.org/officeDocument/2006/relationships" ref="E52" r:id="rId29"/>
    <hyperlink xmlns:r="http://schemas.openxmlformats.org/officeDocument/2006/relationships" ref="E53" r:id="rId30"/>
    <hyperlink xmlns:r="http://schemas.openxmlformats.org/officeDocument/2006/relationships" ref="E54" r:id="rId31"/>
    <hyperlink xmlns:r="http://schemas.openxmlformats.org/officeDocument/2006/relationships" ref="E55" r:id="rId32"/>
    <hyperlink xmlns:r="http://schemas.openxmlformats.org/officeDocument/2006/relationships" ref="E56" r:id="rId33"/>
    <hyperlink xmlns:r="http://schemas.openxmlformats.org/officeDocument/2006/relationships" ref="E57" r:id="rId34"/>
    <hyperlink xmlns:r="http://schemas.openxmlformats.org/officeDocument/2006/relationships" ref="E58" r:id="rId35"/>
    <hyperlink xmlns:r="http://schemas.openxmlformats.org/officeDocument/2006/relationships" ref="E59" r:id="rId36"/>
    <hyperlink xmlns:r="http://schemas.openxmlformats.org/officeDocument/2006/relationships" ref="E60" r:id="rId37"/>
    <hyperlink xmlns:r="http://schemas.openxmlformats.org/officeDocument/2006/relationships" ref="E61" r:id="rId38"/>
    <hyperlink xmlns:r="http://schemas.openxmlformats.org/officeDocument/2006/relationships" ref="E62" r:id="rId39"/>
    <hyperlink xmlns:r="http://schemas.openxmlformats.org/officeDocument/2006/relationships" ref="E63" r:id="rId40"/>
    <hyperlink xmlns:r="http://schemas.openxmlformats.org/officeDocument/2006/relationships" ref="E64" r:id="rId41"/>
    <hyperlink xmlns:r="http://schemas.openxmlformats.org/officeDocument/2006/relationships" ref="E65" r:id="rId42"/>
    <hyperlink xmlns:r="http://schemas.openxmlformats.org/officeDocument/2006/relationships" ref="E66" r:id="rId43"/>
    <hyperlink xmlns:r="http://schemas.openxmlformats.org/officeDocument/2006/relationships" ref="E96" r:id="rId44"/>
    <hyperlink xmlns:r="http://schemas.openxmlformats.org/officeDocument/2006/relationships" ref="E97" r:id="rId45"/>
    <hyperlink xmlns:r="http://schemas.openxmlformats.org/officeDocument/2006/relationships" ref="E98" r:id="rId46"/>
    <hyperlink xmlns:r="http://schemas.openxmlformats.org/officeDocument/2006/relationships" ref="E100" r:id="rId47"/>
    <hyperlink xmlns:r="http://schemas.openxmlformats.org/officeDocument/2006/relationships" ref="E102" r:id="rId48"/>
    <hyperlink xmlns:r="http://schemas.openxmlformats.org/officeDocument/2006/relationships" ref="E123" r:id="rId49"/>
    <hyperlink xmlns:r="http://schemas.openxmlformats.org/officeDocument/2006/relationships" ref="E124" r:id="rId50"/>
    <hyperlink xmlns:r="http://schemas.openxmlformats.org/officeDocument/2006/relationships" ref="E125" r:id="rId51"/>
    <hyperlink xmlns:r="http://schemas.openxmlformats.org/officeDocument/2006/relationships" ref="E126" r:id="rId52"/>
    <hyperlink xmlns:r="http://schemas.openxmlformats.org/officeDocument/2006/relationships" ref="E128" r:id="rId53"/>
    <hyperlink xmlns:r="http://schemas.openxmlformats.org/officeDocument/2006/relationships" ref="E135" r:id="rId54"/>
    <hyperlink xmlns:r="http://schemas.openxmlformats.org/officeDocument/2006/relationships" ref="E145" r:id="rId55"/>
    <hyperlink xmlns:r="http://schemas.openxmlformats.org/officeDocument/2006/relationships" ref="E155" r:id="rId56"/>
    <hyperlink xmlns:r="http://schemas.openxmlformats.org/officeDocument/2006/relationships" ref="E157" r:id="rId57"/>
    <hyperlink xmlns:r="http://schemas.openxmlformats.org/officeDocument/2006/relationships" ref="E158" r:id="rId58"/>
    <hyperlink xmlns:r="http://schemas.openxmlformats.org/officeDocument/2006/relationships" ref="E159" r:id="rId59"/>
    <hyperlink xmlns:r="http://schemas.openxmlformats.org/officeDocument/2006/relationships" ref="E160" r:id="rId60"/>
    <hyperlink xmlns:r="http://schemas.openxmlformats.org/officeDocument/2006/relationships" ref="E161" r:id="rId61"/>
    <hyperlink xmlns:r="http://schemas.openxmlformats.org/officeDocument/2006/relationships" ref="E162" r:id="rId62"/>
    <hyperlink xmlns:r="http://schemas.openxmlformats.org/officeDocument/2006/relationships" ref="E163" r:id="rId63"/>
    <hyperlink xmlns:r="http://schemas.openxmlformats.org/officeDocument/2006/relationships" ref="E164" r:id="rId64"/>
    <hyperlink xmlns:r="http://schemas.openxmlformats.org/officeDocument/2006/relationships" ref="E165" r:id="rId65"/>
    <hyperlink xmlns:r="http://schemas.openxmlformats.org/officeDocument/2006/relationships" ref="E166" r:id="rId66"/>
    <hyperlink xmlns:r="http://schemas.openxmlformats.org/officeDocument/2006/relationships" ref="E168" r:id="rId67"/>
    <hyperlink xmlns:r="http://schemas.openxmlformats.org/officeDocument/2006/relationships" ref="E169" r:id="rId68"/>
    <hyperlink xmlns:r="http://schemas.openxmlformats.org/officeDocument/2006/relationships" ref="E170" r:id="rId69"/>
    <hyperlink xmlns:r="http://schemas.openxmlformats.org/officeDocument/2006/relationships" ref="E171" r:id="rId70"/>
    <hyperlink xmlns:r="http://schemas.openxmlformats.org/officeDocument/2006/relationships" ref="E173" r:id="rId71"/>
    <hyperlink xmlns:r="http://schemas.openxmlformats.org/officeDocument/2006/relationships" ref="E174" r:id="rId72"/>
    <hyperlink xmlns:r="http://schemas.openxmlformats.org/officeDocument/2006/relationships" ref="E175" r:id="rId73"/>
    <hyperlink xmlns:r="http://schemas.openxmlformats.org/officeDocument/2006/relationships" ref="E177" r:id="rId74"/>
    <hyperlink xmlns:r="http://schemas.openxmlformats.org/officeDocument/2006/relationships" ref="E178" r:id="rId75"/>
    <hyperlink xmlns:r="http://schemas.openxmlformats.org/officeDocument/2006/relationships" ref="E179" r:id="rId76"/>
    <hyperlink xmlns:r="http://schemas.openxmlformats.org/officeDocument/2006/relationships" ref="E180" r:id="rId77"/>
    <hyperlink xmlns:r="http://schemas.openxmlformats.org/officeDocument/2006/relationships" ref="E181" r:id="rId78"/>
    <hyperlink xmlns:r="http://schemas.openxmlformats.org/officeDocument/2006/relationships" ref="E183" r:id="rId79"/>
    <hyperlink xmlns:r="http://schemas.openxmlformats.org/officeDocument/2006/relationships" ref="E184" r:id="rId80"/>
    <hyperlink xmlns:r="http://schemas.openxmlformats.org/officeDocument/2006/relationships" ref="E185" r:id="rId81"/>
    <hyperlink xmlns:r="http://schemas.openxmlformats.org/officeDocument/2006/relationships" ref="E186" r:id="rId82"/>
    <hyperlink xmlns:r="http://schemas.openxmlformats.org/officeDocument/2006/relationships" ref="E187" r:id="rId83"/>
    <hyperlink xmlns:r="http://schemas.openxmlformats.org/officeDocument/2006/relationships" ref="E188" r:id="rId84"/>
    <hyperlink xmlns:r="http://schemas.openxmlformats.org/officeDocument/2006/relationships" ref="E190" r:id="rId85"/>
    <hyperlink xmlns:r="http://schemas.openxmlformats.org/officeDocument/2006/relationships" ref="E191" r:id="rId86"/>
    <hyperlink xmlns:r="http://schemas.openxmlformats.org/officeDocument/2006/relationships" ref="E192" r:id="rId87"/>
    <hyperlink xmlns:r="http://schemas.openxmlformats.org/officeDocument/2006/relationships" ref="E193" r:id="rId88"/>
    <hyperlink xmlns:r="http://schemas.openxmlformats.org/officeDocument/2006/relationships" ref="E195" r:id="rId89"/>
    <hyperlink xmlns:r="http://schemas.openxmlformats.org/officeDocument/2006/relationships" ref="E196" r:id="rId90"/>
    <hyperlink xmlns:r="http://schemas.openxmlformats.org/officeDocument/2006/relationships" ref="E197" r:id="rId91"/>
    <hyperlink xmlns:r="http://schemas.openxmlformats.org/officeDocument/2006/relationships" ref="E199" r:id="rId92"/>
    <hyperlink xmlns:r="http://schemas.openxmlformats.org/officeDocument/2006/relationships" ref="E202" r:id="rId93"/>
    <hyperlink xmlns:r="http://schemas.openxmlformats.org/officeDocument/2006/relationships" ref="E204" r:id="rId94"/>
    <hyperlink xmlns:r="http://schemas.openxmlformats.org/officeDocument/2006/relationships" ref="E205" r:id="rId95"/>
    <hyperlink xmlns:r="http://schemas.openxmlformats.org/officeDocument/2006/relationships" ref="E206" r:id="rId96"/>
    <hyperlink xmlns:r="http://schemas.openxmlformats.org/officeDocument/2006/relationships" ref="E210" r:id="rId97"/>
    <hyperlink xmlns:r="http://schemas.openxmlformats.org/officeDocument/2006/relationships" ref="E212" r:id="rId98"/>
    <hyperlink xmlns:r="http://schemas.openxmlformats.org/officeDocument/2006/relationships" ref="E213" r:id="rId99"/>
    <hyperlink xmlns:r="http://schemas.openxmlformats.org/officeDocument/2006/relationships" ref="E214" r:id="rId100"/>
    <hyperlink xmlns:r="http://schemas.openxmlformats.org/officeDocument/2006/relationships" ref="E215" r:id="rId101"/>
    <hyperlink xmlns:r="http://schemas.openxmlformats.org/officeDocument/2006/relationships" ref="E217" r:id="rId102"/>
    <hyperlink xmlns:r="http://schemas.openxmlformats.org/officeDocument/2006/relationships" ref="E220" r:id="rId103"/>
    <hyperlink xmlns:r="http://schemas.openxmlformats.org/officeDocument/2006/relationships" ref="E222" r:id="rId104"/>
    <hyperlink xmlns:r="http://schemas.openxmlformats.org/officeDocument/2006/relationships" ref="E223" r:id="rId105"/>
    <hyperlink xmlns:r="http://schemas.openxmlformats.org/officeDocument/2006/relationships" ref="E224" r:id="rId106"/>
    <hyperlink xmlns:r="http://schemas.openxmlformats.org/officeDocument/2006/relationships" ref="E225" r:id="rId107"/>
    <hyperlink xmlns:r="http://schemas.openxmlformats.org/officeDocument/2006/relationships" ref="E226" r:id="rId108"/>
    <hyperlink xmlns:r="http://schemas.openxmlformats.org/officeDocument/2006/relationships" ref="E227" r:id="rId109"/>
    <hyperlink xmlns:r="http://schemas.openxmlformats.org/officeDocument/2006/relationships" ref="E228" r:id="rId110"/>
    <hyperlink xmlns:r="http://schemas.openxmlformats.org/officeDocument/2006/relationships" ref="E230" r:id="rId111"/>
    <hyperlink xmlns:r="http://schemas.openxmlformats.org/officeDocument/2006/relationships" ref="E231" r:id="rId112"/>
    <hyperlink xmlns:r="http://schemas.openxmlformats.org/officeDocument/2006/relationships" ref="E232" r:id="rId113"/>
    <hyperlink xmlns:r="http://schemas.openxmlformats.org/officeDocument/2006/relationships" ref="E233" r:id="rId114"/>
    <hyperlink xmlns:r="http://schemas.openxmlformats.org/officeDocument/2006/relationships" ref="E234" r:id="rId115"/>
    <hyperlink xmlns:r="http://schemas.openxmlformats.org/officeDocument/2006/relationships" ref="E235" r:id="rId116"/>
    <hyperlink xmlns:r="http://schemas.openxmlformats.org/officeDocument/2006/relationships" ref="E236" r:id="rId117"/>
    <hyperlink xmlns:r="http://schemas.openxmlformats.org/officeDocument/2006/relationships" ref="E237" r:id="rId118"/>
    <hyperlink xmlns:r="http://schemas.openxmlformats.org/officeDocument/2006/relationships" ref="E238" r:id="rId119"/>
    <hyperlink xmlns:r="http://schemas.openxmlformats.org/officeDocument/2006/relationships" ref="E239" r:id="rId120"/>
    <hyperlink xmlns:r="http://schemas.openxmlformats.org/officeDocument/2006/relationships" ref="E240" r:id="rId121"/>
    <hyperlink xmlns:r="http://schemas.openxmlformats.org/officeDocument/2006/relationships" ref="E241" r:id="rId122"/>
    <hyperlink xmlns:r="http://schemas.openxmlformats.org/officeDocument/2006/relationships" ref="E242" r:id="rId123"/>
    <hyperlink xmlns:r="http://schemas.openxmlformats.org/officeDocument/2006/relationships" ref="E284" r:id="rId124"/>
    <hyperlink xmlns:r="http://schemas.openxmlformats.org/officeDocument/2006/relationships" ref="E288" r:id="rId125"/>
    <hyperlink xmlns:r="http://schemas.openxmlformats.org/officeDocument/2006/relationships" ref="E289" r:id="rId126"/>
    <hyperlink xmlns:r="http://schemas.openxmlformats.org/officeDocument/2006/relationships" ref="E290" r:id="rId127"/>
    <hyperlink xmlns:r="http://schemas.openxmlformats.org/officeDocument/2006/relationships" ref="E291" r:id="rId128"/>
    <hyperlink xmlns:r="http://schemas.openxmlformats.org/officeDocument/2006/relationships" ref="E292" r:id="rId1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ESABCC Method Hub</dc:creator>
  <dc:title>ESABCC Indicators — combined background workbook</dc:title>
  <dc:subject>Summer Prep · Policy Gap 2.0 Report — combined background document</dc:subject>
  <dcterms:created xsi:type="dcterms:W3CDTF">2026-07-28T09:55:56Z</dcterms:created>
  <dcterms:modified xsi:type="dcterms:W3CDTF">2026-07-28T09:55:58Z</dcterms:modified>
</cp:coreProperties>
</file>