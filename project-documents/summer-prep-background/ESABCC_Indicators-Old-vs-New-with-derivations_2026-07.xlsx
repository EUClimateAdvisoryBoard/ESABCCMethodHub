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Old vs new" sheetId="2" state="visible" r:id="rId2"/>
    <sheet name="Derivations" sheetId="3" state="visible" r:id="rId3"/>
    <sheet name="Sources" sheetId="4" state="visible" r:id="rId4"/>
  </sheets>
  <definedNames>
    <definedName name="_xlnm._FilterDatabase" localSheetId="1" hidden="1">'Old vs new'!$A$4:$M$101</definedName>
    <definedName name="_xlnm._FilterDatabase" localSheetId="3" hidden="1">'Sources'!$A$1:$E$406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%;-0.0%;0.0%"/>
    <numFmt numFmtId="165" formatCode="#,##0.000"/>
  </numFmts>
  <fonts count="30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b val="1"/>
      <color rgb="004D7E83"/>
      <sz val="12"/>
    </font>
    <font>
      <name val="Segoe UI Semibold"/>
      <color rgb="004D7E83"/>
      <sz val="9"/>
    </font>
    <font>
      <name val="Segoe UI"/>
      <color rgb="002C2D2D"/>
      <sz val="9"/>
    </font>
    <font>
      <name val="Segoe UI Semibold"/>
      <color rgb="00FFFFFF"/>
      <sz val="9"/>
    </font>
    <font>
      <name val="Segoe UI"/>
      <color rgb="000563C1"/>
      <sz val="9"/>
      <u val="single"/>
    </font>
    <font>
      <name val="Segoe UI Semibold"/>
      <color rgb="003A6165"/>
      <sz val="9"/>
    </font>
    <font>
      <name val="Segoe UI Semibold"/>
      <color rgb="00648ECA"/>
      <sz val="9"/>
    </font>
    <font>
      <name val="Segoe UI Semibold"/>
      <color rgb="00B04545"/>
      <sz val="9"/>
    </font>
    <font>
      <name val="Segoe UI Semibold"/>
      <color rgb="00B487C7"/>
      <sz val="9"/>
    </font>
    <font>
      <name val="Segoe UI Semibold"/>
      <color rgb="0000928F"/>
      <sz val="9"/>
    </font>
    <font>
      <name val="Segoe UI Semibold"/>
      <color rgb="006E8B1F"/>
      <sz val="9"/>
    </font>
    <font>
      <name val="Segoe UI Semibold"/>
      <color rgb="00007B6C"/>
      <sz val="9"/>
    </font>
    <font>
      <name val="Segoe UI Semibold"/>
      <color rgb="00A530B8"/>
      <sz val="9"/>
    </font>
    <font>
      <name val="Segoe UI Semibold"/>
      <color rgb="004D7E83"/>
      <sz val="11"/>
    </font>
    <font>
      <name val="Segoe UI Semibold"/>
      <color rgb="004D7E83"/>
      <sz val="8.5"/>
    </font>
    <font>
      <name val="Segoe UI"/>
      <b val="1"/>
      <color rgb="002C2D2D"/>
      <sz val="9"/>
    </font>
    <font>
      <name val="Segoe UI Semibold"/>
      <color rgb="003A6165"/>
      <sz val="11"/>
    </font>
    <font>
      <name val="Segoe UI Semibold"/>
      <color rgb="00F59E2D"/>
      <sz val="8.5"/>
    </font>
    <font>
      <name val="Segoe UI Semibold"/>
      <color rgb="00648ECA"/>
      <sz val="11"/>
    </font>
    <font>
      <name val="Segoe UI Semibold"/>
      <color rgb="00B04545"/>
      <sz val="11"/>
    </font>
    <font>
      <name val="Segoe UI Semibold"/>
      <color rgb="00B487C7"/>
      <sz val="11"/>
    </font>
    <font>
      <name val="Segoe UI Semibold"/>
      <color rgb="0000928F"/>
      <sz val="11"/>
    </font>
    <font>
      <name val="Segoe UI Semibold"/>
      <color rgb="006E8B1F"/>
      <sz val="11"/>
    </font>
    <font>
      <name val="Segoe UI Semibold"/>
      <color rgb="00007B6C"/>
      <sz val="11"/>
    </font>
    <font>
      <name val="Segoe UI Semibold"/>
      <color rgb="00A530B8"/>
      <sz val="11"/>
    </font>
    <font>
      <name val="Segoe UI Semilight"/>
      <color rgb="004D7E83"/>
      <sz val="8.5"/>
    </font>
  </fonts>
  <fills count="5">
    <fill>
      <patternFill/>
    </fill>
    <fill>
      <patternFill patternType="gray125"/>
    </fill>
    <fill>
      <patternFill patternType="solid">
        <fgColor rgb="00D8E7E8"/>
      </patternFill>
    </fill>
    <fill>
      <patternFill patternType="solid">
        <fgColor rgb="00EFF6F6"/>
      </patternFill>
    </fill>
    <fill>
      <patternFill patternType="solid">
        <fgColor rgb="004D7E83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/>
    </xf>
    <xf numFmtId="0" fontId="6" fillId="2" borderId="0" applyAlignment="1" pivotButton="0" quotePrefix="0" xfId="0">
      <alignment vertical="top" wrapText="1"/>
    </xf>
    <xf numFmtId="0" fontId="0" fillId="2" borderId="0" pivotButton="0" quotePrefix="0" xfId="0"/>
    <xf numFmtId="0" fontId="5" fillId="3" borderId="0" applyAlignment="1" pivotButton="0" quotePrefix="0" xfId="0">
      <alignment vertical="top"/>
    </xf>
    <xf numFmtId="0" fontId="6" fillId="3" borderId="0" applyAlignment="1" pivotButton="0" quotePrefix="0" xfId="0">
      <alignment vertical="top" wrapText="1"/>
    </xf>
    <xf numFmtId="0" fontId="0" fillId="3" borderId="0" pivotButton="0" quotePrefix="0" xfId="0"/>
    <xf numFmtId="0" fontId="6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left" vertical="top" wrapText="1"/>
    </xf>
    <xf numFmtId="1" fontId="6" fillId="2" borderId="1" applyAlignment="1" pivotButton="0" quotePrefix="0" xfId="0">
      <alignment horizontal="center" vertical="center"/>
    </xf>
    <xf numFmtId="4" fontId="6" fillId="2" borderId="1" applyAlignment="1" pivotButton="0" quotePrefix="0" xfId="0">
      <alignment horizontal="right" vertical="center"/>
    </xf>
    <xf numFmtId="164" fontId="6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top" wrapText="1"/>
    </xf>
    <xf numFmtId="0" fontId="8" fillId="2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1" fontId="6" fillId="3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2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12" fillId="2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3" fillId="2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15" fillId="2" borderId="1" applyAlignment="1" pivotButton="0" quotePrefix="0" xfId="0">
      <alignment horizontal="left" vertical="top" wrapText="1"/>
    </xf>
    <xf numFmtId="0" fontId="15" fillId="3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16" fillId="2" borderId="1" applyAlignment="1" pivotButton="0" quotePrefix="0" xfId="0">
      <alignment horizontal="left" vertical="top" wrapText="1"/>
    </xf>
    <xf numFmtId="0" fontId="17" fillId="0" borderId="0" pivotButton="0" quotePrefix="0" xfId="0"/>
    <xf numFmtId="0" fontId="18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top" wrapText="1"/>
    </xf>
    <xf numFmtId="165" fontId="19" fillId="2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165" fontId="19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20" fillId="0" borderId="0" pivotButton="0" quotePrefix="0" xfId="0"/>
    <xf numFmtId="0" fontId="21" fillId="0" borderId="0" applyAlignment="1" pivotButton="0" quotePrefix="0" xfId="0">
      <alignment vertical="top" wrapText="1"/>
    </xf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29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2908/ENV_AIR_GGE" TargetMode="External" Id="rId1" /><Relationship Type="http://schemas.openxmlformats.org/officeDocument/2006/relationships/hyperlink" Target="https://doi.org/10.2908/ENV_AIR_GGE" TargetMode="External" Id="rId2" /><Relationship Type="http://schemas.openxmlformats.org/officeDocument/2006/relationships/hyperlink" Target="https://doi.org/10.2908/NRG_BAL_PEH" TargetMode="External" Id="rId3" /><Relationship Type="http://schemas.openxmlformats.org/officeDocument/2006/relationships/hyperlink" Target="https://doi.org/10.2908/NRG_BAL_PEH" TargetMode="External" Id="rId4" /><Relationship Type="http://schemas.openxmlformats.org/officeDocument/2006/relationships/hyperlink" Target="https://www.eea.europa.eu/en/datahub/datahubitem-view/3b7fe76c-524a-439a-bfd2-a6e4046302a2" TargetMode="External" Id="rId5" /><Relationship Type="http://schemas.openxmlformats.org/officeDocument/2006/relationships/hyperlink" Target="https://doi.org/10.2908/ENV_AIR_GGE" TargetMode="External" Id="rId6" /><Relationship Type="http://schemas.openxmlformats.org/officeDocument/2006/relationships/hyperlink" Target="https://doi.org/10.2908/NRG_BAL_C" TargetMode="External" Id="rId7" /><Relationship Type="http://schemas.openxmlformats.org/officeDocument/2006/relationships/hyperlink" Target="https://doi.org/10.2908/NRG_IND_EFF" TargetMode="External" Id="rId8" /><Relationship Type="http://schemas.openxmlformats.org/officeDocument/2006/relationships/hyperlink" Target="https://doi.org/10.2908/NRG_IND_EFF" TargetMode="External" Id="rId9" /><Relationship Type="http://schemas.openxmlformats.org/officeDocument/2006/relationships/hyperlink" Target="https://doi.org/10.2908/NRG_BAL_C" TargetMode="External" Id="rId10" /><Relationship Type="http://schemas.openxmlformats.org/officeDocument/2006/relationships/hyperlink" Target="https://doi.org/10.2908/ENV_AIR_GGE" TargetMode="External" Id="rId11" /><Relationship Type="http://schemas.openxmlformats.org/officeDocument/2006/relationships/hyperlink" Target="https://www.cementeurope.eu/about-us/key-facts-figures/" TargetMode="External" Id="rId12" /><Relationship Type="http://schemas.openxmlformats.org/officeDocument/2006/relationships/hyperlink" Target="https://www.cementeurope.eu/about-us/key-facts-figures/" TargetMode="External" Id="rId13" /><Relationship Type="http://schemas.openxmlformats.org/officeDocument/2006/relationships/hyperlink" Target="https://www.eurofer.eu/publications/brochures-booklets-and-factsheets/european-steel-in-figures-2024" TargetMode="External" Id="rId14" /><Relationship Type="http://schemas.openxmlformats.org/officeDocument/2006/relationships/hyperlink" Target="https://www.eurofer.eu/publications/brochures-booklets-and-factsheets/european-steel-in-figures-2024" TargetMode="External" Id="rId15" /><Relationship Type="http://schemas.openxmlformats.org/officeDocument/2006/relationships/hyperlink" Target="https://doi.org/10.2908/CEI_SRM030" TargetMode="External" Id="rId16" /><Relationship Type="http://schemas.openxmlformats.org/officeDocument/2006/relationships/hyperlink" Target="https://www.cementeurope.eu/about-us/key-facts-figures/" TargetMode="External" Id="rId17" /><Relationship Type="http://schemas.openxmlformats.org/officeDocument/2006/relationships/hyperlink" Target="https://www.eea.europa.eu/en/datahub/datahubitem-view/3b7fe76c-524a-439a-bfd2-a6e4046302a2" TargetMode="External" Id="rId18" /><Relationship Type="http://schemas.openxmlformats.org/officeDocument/2006/relationships/hyperlink" Target="https://www.eurofer.eu/publications/brochures-booklets-and-factsheets/european-steel-in-figures-2024" TargetMode="External" Id="rId19" /><Relationship Type="http://schemas.openxmlformats.org/officeDocument/2006/relationships/hyperlink" Target="https://doi.org/10.2908/NRG_BAL_C" TargetMode="External" Id="rId20" /><Relationship Type="http://schemas.openxmlformats.org/officeDocument/2006/relationships/hyperlink" Target="https://doi.org/10.2908/NRG_BAL_C" TargetMode="External" Id="rId21" /><Relationship Type="http://schemas.openxmlformats.org/officeDocument/2006/relationships/hyperlink" Target="https://www.cementeurope.eu/about-us/key-facts-figures/" TargetMode="External" Id="rId22" /><Relationship Type="http://schemas.openxmlformats.org/officeDocument/2006/relationships/hyperlink" Target="https://doi.org/10.2908/ENV_AIR_GGE" TargetMode="External" Id="rId23" /><Relationship Type="http://schemas.openxmlformats.org/officeDocument/2006/relationships/hyperlink" Target="https://www.eea.europa.eu/en/datahub/datahubitem-view/3b7fe76c-524a-439a-bfd2-a6e4046302a2" TargetMode="External" Id="rId24" /><Relationship Type="http://schemas.openxmlformats.org/officeDocument/2006/relationships/hyperlink" Target="https://alternative-fuels-observatory.ec.europa.eu/transport-mode/road/european-union-eu27" TargetMode="External" Id="rId25" /><Relationship Type="http://schemas.openxmlformats.org/officeDocument/2006/relationships/hyperlink" Target="https://alternative-fuels-observatory.ec.europa.eu/transport-mode/road/european-union-eu27" TargetMode="External" Id="rId26" /><Relationship Type="http://schemas.openxmlformats.org/officeDocument/2006/relationships/hyperlink" Target="https://doi.org/10.2908/NRG_BAL_S" TargetMode="External" Id="rId27" /><Relationship Type="http://schemas.openxmlformats.org/officeDocument/2006/relationships/hyperlink" Target="https://doi.org/10.2908/ENV_AIR_GGE" TargetMode="External" Id="rId28" /><Relationship Type="http://schemas.openxmlformats.org/officeDocument/2006/relationships/hyperlink" Target="https://doi.org/10.2908/NRG_BAL_C" TargetMode="External" Id="rId29" /><Relationship Type="http://schemas.openxmlformats.org/officeDocument/2006/relationships/hyperlink" Target="https://doi.org/10.2908/DEMO_GIND" TargetMode="External" Id="rId30" /><Relationship Type="http://schemas.openxmlformats.org/officeDocument/2006/relationships/hyperlink" Target="https://doi.org/10.2908/DEMO_GIND" TargetMode="External" Id="rId31" /><Relationship Type="http://schemas.openxmlformats.org/officeDocument/2006/relationships/hyperlink" Target="https://doi.org/10.2908/DEMO_GIND" TargetMode="External" Id="rId32" /><Relationship Type="http://schemas.openxmlformats.org/officeDocument/2006/relationships/hyperlink" Target="https://doi.org/10.2908/DEMO_GIND" TargetMode="External" Id="rId33" /><Relationship Type="http://schemas.openxmlformats.org/officeDocument/2006/relationships/hyperlink" Target="https://doi.org/10.2908/DEMO_GIND" TargetMode="External" Id="rId34" /><Relationship Type="http://schemas.openxmlformats.org/officeDocument/2006/relationships/hyperlink" Target="https://doi.org/10.2908/NRG_BAL_C" TargetMode="External" Id="rId35" /><Relationship Type="http://schemas.openxmlformats.org/officeDocument/2006/relationships/hyperlink" Target="https://doi.org/10.2908/NRG_BAL_C" TargetMode="External" Id="rId36" /><Relationship Type="http://schemas.openxmlformats.org/officeDocument/2006/relationships/hyperlink" Target="https://ehpa.org/market-data/" TargetMode="External" Id="rId37" /><Relationship Type="http://schemas.openxmlformats.org/officeDocument/2006/relationships/hyperlink" Target="https://doi.org/10.2908/ENV_AIR_GGE" TargetMode="External" Id="rId38" /><Relationship Type="http://schemas.openxmlformats.org/officeDocument/2006/relationships/hyperlink" Target="https://www.eea.europa.eu/en/datahub/datahubitem-view/3b7fe76c-524a-439a-bfd2-a6e4046302a2" TargetMode="External" Id="rId39" /><Relationship Type="http://schemas.openxmlformats.org/officeDocument/2006/relationships/hyperlink" Target="https://www.eea.europa.eu/en/datahub/datahubitem-view/3b7fe76c-524a-439a-bfd2-a6e4046302a2" TargetMode="External" Id="rId40" /><Relationship Type="http://schemas.openxmlformats.org/officeDocument/2006/relationships/hyperlink" Target="https://doi.org/10.2908/APRO_MT_PANN" TargetMode="External" Id="rId41" /><Relationship Type="http://schemas.openxmlformats.org/officeDocument/2006/relationships/hyperlink" Target="https://www.eea.europa.eu/en/datahub/datahubitem-view/3b7fe76c-524a-439a-bfd2-a6e4046302a2" TargetMode="External" Id="rId42" /><Relationship Type="http://schemas.openxmlformats.org/officeDocument/2006/relationships/hyperlink" Target="https://www.eea.europa.eu/en/datahub/datahubitem-view/3b7fe76c-524a-439a-bfd2-a6e4046302a2" TargetMode="External" Id="rId43" /><Relationship Type="http://schemas.openxmlformats.org/officeDocument/2006/relationships/hyperlink" Target="https://doi.org/10.2908/APRO_MK_FARM" TargetMode="External" Id="rId44" /><Relationship Type="http://schemas.openxmlformats.org/officeDocument/2006/relationships/hyperlink" Target="https://doi.org/10.2908/ENV_AIR_GGE" TargetMode="External" Id="rId45" /><Relationship Type="http://schemas.openxmlformats.org/officeDocument/2006/relationships/hyperlink" Target="https://doi.org/10.2908/ENV_AIR_GGE" TargetMode="External" Id="rId46" /><Relationship Type="http://schemas.openxmlformats.org/officeDocument/2006/relationships/hyperlink" Target="https://doi.org/10.2908/APRO_MT_PANN" TargetMode="External" Id="rId47" /><Relationship Type="http://schemas.openxmlformats.org/officeDocument/2006/relationships/hyperlink" Target="https://di.unfccc.int/detailed_data_by_party" TargetMode="External" Id="rId48" /><Relationship Type="http://schemas.openxmlformats.org/officeDocument/2006/relationships/hyperlink" Target="https://di.unfccc.int/detailed_data_by_party" TargetMode="External" Id="rId49" /><Relationship Type="http://schemas.openxmlformats.org/officeDocument/2006/relationships/hyperlink" Target="https://doi.org/10.2908/APRO_MT_PANN" TargetMode="External" Id="rId50" /><Relationship Type="http://schemas.openxmlformats.org/officeDocument/2006/relationships/hyperlink" Target="https://di.unfccc.int/detailed_data_by_party" TargetMode="External" Id="rId51" /><Relationship Type="http://schemas.openxmlformats.org/officeDocument/2006/relationships/hyperlink" Target="https://doi.org/10.2908/APRO_MK_FARM" TargetMode="External" Id="rId52" /><Relationship Type="http://schemas.openxmlformats.org/officeDocument/2006/relationships/hyperlink" Target="https://doi.org/10.2908/APRO_MT_LSPIG" TargetMode="External" Id="rId53" /><Relationship Type="http://schemas.openxmlformats.org/officeDocument/2006/relationships/hyperlink" Target="https://doi.org/10.2908/APRO_MT_PANN" TargetMode="External" Id="rId54" /><Relationship Type="http://schemas.openxmlformats.org/officeDocument/2006/relationships/hyperlink" Target="https://doi.org/10.2908/ENV_WASFW" TargetMode="External" Id="rId55" /><Relationship Type="http://schemas.openxmlformats.org/officeDocument/2006/relationships/hyperlink" Target="https://doi.org/10.2908/ENV_AIR_GGE" TargetMode="External" Id="rId56" /><Relationship Type="http://schemas.openxmlformats.org/officeDocument/2006/relationships/hyperlink" Target="https://di.unfccc.int/detailed_data_by_party" TargetMode="External" Id="rId57" /><Relationship Type="http://schemas.openxmlformats.org/officeDocument/2006/relationships/hyperlink" Target="https://di.unfccc.int/detailed_data_by_party" TargetMode="External" Id="rId58" /><Relationship Type="http://schemas.openxmlformats.org/officeDocument/2006/relationships/hyperlink" Target="https://di.unfccc.int/detailed_data_by_party" TargetMode="External" Id="rId59" /><Relationship Type="http://schemas.openxmlformats.org/officeDocument/2006/relationships/hyperlink" Target="https://di.unfccc.int/detailed_data_by_party" TargetMode="External" Id="rId60" /><Relationship Type="http://schemas.openxmlformats.org/officeDocument/2006/relationships/hyperlink" Target="https://di.unfccc.int/detailed_data_by_party" TargetMode="External" Id="rId61" /><Relationship Type="http://schemas.openxmlformats.org/officeDocument/2006/relationships/hyperlink" Target="https://di.unfccc.int/detailed_data_by_party" TargetMode="External" Id="rId62" /><Relationship Type="http://schemas.openxmlformats.org/officeDocument/2006/relationships/hyperlink" Target="https://di.unfccc.int/detailed_data_by_party" TargetMode="External" Id="rId63" /><Relationship Type="http://schemas.openxmlformats.org/officeDocument/2006/relationships/hyperlink" Target="https://di.unfccc.int/detailed_data_by_party" TargetMode="External" Id="rId64" /><Relationship Type="http://schemas.openxmlformats.org/officeDocument/2006/relationships/hyperlink" Target="https://di.unfccc.int/detailed_data_by_party" TargetMode="External" Id="rId65" /><Relationship Type="http://schemas.openxmlformats.org/officeDocument/2006/relationships/hyperlink" Target="https://doi.org/10.2908/ENV_AIR_GGE" TargetMode="External" Id="rId66" /><Relationship Type="http://schemas.openxmlformats.org/officeDocument/2006/relationships/hyperlink" Target="https://doi.org/10.2908/ENV_AIR_GGE" TargetMode="External" Id="rId67" /><Relationship Type="http://schemas.openxmlformats.org/officeDocument/2006/relationships/hyperlink" Target="https://doi.org/10.2908/NRG_BAL_S" TargetMode="External" Id="rId68" /><Relationship Type="http://schemas.openxmlformats.org/officeDocument/2006/relationships/hyperlink" Target="https://about.bnef.com/" TargetMode="External" Id="rId69" /><Relationship Type="http://schemas.openxmlformats.org/officeDocument/2006/relationships/hyperlink" Target="https://www.eea.europa.eu/en/analysis/maps-and-charts/percentage-of-green-bond-issuances-1" TargetMode="External" Id="rId70" /><Relationship Type="http://schemas.openxmlformats.org/officeDocument/2006/relationships/hyperlink" Target="https://doi.org/10.2908/RD_E_GERDTOT" TargetMode="External" Id="rId7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eea.europa.eu/en/datahub/datahubitem-view/3b7fe76c-524a-439a-bfd2-a6e4046302a2" TargetMode="External" Id="rId1" /><Relationship Type="http://schemas.openxmlformats.org/officeDocument/2006/relationships/hyperlink" Target="https://www.eea.europa.eu/en/datahub/datahubitem-view/3b7fe76c-524a-439a-bfd2-a6e4046302a2" TargetMode="External" Id="rId2" /><Relationship Type="http://schemas.openxmlformats.org/officeDocument/2006/relationships/hyperlink" Target="https://www.eea.europa.eu/en/datahub/datahubitem-view/3b7fe76c-524a-439a-bfd2-a6e4046302a2" TargetMode="External" Id="rId3" /><Relationship Type="http://schemas.openxmlformats.org/officeDocument/2006/relationships/hyperlink" Target="https://www.eea.europa.eu/en/datahub/datahubitem-view/3b7fe76c-524a-439a-bfd2-a6e4046302a2" TargetMode="External" Id="rId4" /><Relationship Type="http://schemas.openxmlformats.org/officeDocument/2006/relationships/hyperlink" Target="https://www.eea.europa.eu/en/datahub/datahubitem-view/3b7fe76c-524a-439a-bfd2-a6e4046302a2" TargetMode="External" Id="rId5" /><Relationship Type="http://schemas.openxmlformats.org/officeDocument/2006/relationships/hyperlink" Target="https://www.eea.europa.eu/en/datahub/datahubitem-view/3b7fe76c-524a-439a-bfd2-a6e4046302a2" TargetMode="External" Id="rId6" /><Relationship Type="http://schemas.openxmlformats.org/officeDocument/2006/relationships/hyperlink" Target="https://www.eea.europa.eu/en/datahub/datahubitem-view/3b7fe76c-524a-439a-bfd2-a6e4046302a2" TargetMode="External" Id="rId7" /><Relationship Type="http://schemas.openxmlformats.org/officeDocument/2006/relationships/hyperlink" Target="https://www.eea.europa.eu/en/datahub/datahubitem-view/3b7fe76c-524a-439a-bfd2-a6e4046302a2" TargetMode="External" Id="rId8" /><Relationship Type="http://schemas.openxmlformats.org/officeDocument/2006/relationships/hyperlink" Target="https://www.eea.europa.eu/en/datahub/datahubitem-view/3b7fe76c-524a-439a-bfd2-a6e4046302a2" TargetMode="External" Id="rId9" /><Relationship Type="http://schemas.openxmlformats.org/officeDocument/2006/relationships/hyperlink" Target="https://www.eea.europa.eu/en/datahub/datahubitem-view/3b7fe76c-524a-439a-bfd2-a6e4046302a2" TargetMode="External" Id="rId10" /><Relationship Type="http://schemas.openxmlformats.org/officeDocument/2006/relationships/hyperlink" Target="https://www.eea.europa.eu/en/datahub/datahubitem-view/3b7fe76c-524a-439a-bfd2-a6e4046302a2" TargetMode="External" Id="rId11" /><Relationship Type="http://schemas.openxmlformats.org/officeDocument/2006/relationships/hyperlink" Target="https://www.eea.europa.eu/en/datahub/datahubitem-view/3b7fe76c-524a-439a-bfd2-a6e4046302a2" TargetMode="External" Id="rId12" /><Relationship Type="http://schemas.openxmlformats.org/officeDocument/2006/relationships/hyperlink" Target="https://www.eea.europa.eu/en/datahub/datahubitem-view/3b7fe76c-524a-439a-bfd2-a6e4046302a2" TargetMode="External" Id="rId13" /><Relationship Type="http://schemas.openxmlformats.org/officeDocument/2006/relationships/hyperlink" Target="https://www.eea.europa.eu/en/datahub/datahubitem-view/3b7fe76c-524a-439a-bfd2-a6e4046302a2" TargetMode="External" Id="rId14" /><Relationship Type="http://schemas.openxmlformats.org/officeDocument/2006/relationships/hyperlink" Target="https://www.eea.europa.eu/en/datahub/datahubitem-view/3b7fe76c-524a-439a-bfd2-a6e4046302a2" TargetMode="External" Id="rId15" /><Relationship Type="http://schemas.openxmlformats.org/officeDocument/2006/relationships/hyperlink" Target="https://www.eea.europa.eu/en/datahub/datahubitem-view/3b7fe76c-524a-439a-bfd2-a6e4046302a2" TargetMode="External" Id="rId16" /><Relationship Type="http://schemas.openxmlformats.org/officeDocument/2006/relationships/hyperlink" Target="https://www.eea.europa.eu/en/datahub/datahubitem-view/3b7fe76c-524a-439a-bfd2-a6e4046302a2" TargetMode="External" Id="rId17" /><Relationship Type="http://schemas.openxmlformats.org/officeDocument/2006/relationships/hyperlink" Target="https://www.eea.europa.eu/en/datahub/datahubitem-view/3b7fe76c-524a-439a-bfd2-a6e4046302a2" TargetMode="External" Id="rId18" /><Relationship Type="http://schemas.openxmlformats.org/officeDocument/2006/relationships/hyperlink" Target="https://www.eea.europa.eu/en/datahub/datahubitem-view/3b7fe76c-524a-439a-bfd2-a6e4046302a2" TargetMode="External" Id="rId19" /><Relationship Type="http://schemas.openxmlformats.org/officeDocument/2006/relationships/hyperlink" Target="https://www.eea.europa.eu/en/datahub/datahubitem-view/3b7fe76c-524a-439a-bfd2-a6e4046302a2" TargetMode="External" Id="rId20" /><Relationship Type="http://schemas.openxmlformats.org/officeDocument/2006/relationships/hyperlink" Target="https://www.eea.europa.eu/en/datahub/datahubitem-view/3b7fe76c-524a-439a-bfd2-a6e4046302a2" TargetMode="External" Id="rId21" /><Relationship Type="http://schemas.openxmlformats.org/officeDocument/2006/relationships/hyperlink" Target="https://di.unfccc.int/detailed_data_by_party" TargetMode="External" Id="rId22" /><Relationship Type="http://schemas.openxmlformats.org/officeDocument/2006/relationships/hyperlink" Target="https://di.unfccc.int/detailed_data_by_party" TargetMode="External" Id="rId23" /><Relationship Type="http://schemas.openxmlformats.org/officeDocument/2006/relationships/hyperlink" Target="https://di.unfccc.int/detailed_data_by_party" TargetMode="External" Id="rId24" /><Relationship Type="http://schemas.openxmlformats.org/officeDocument/2006/relationships/hyperlink" Target="https://di.unfccc.int/detailed_data_by_party" TargetMode="External" Id="rId25" /><Relationship Type="http://schemas.openxmlformats.org/officeDocument/2006/relationships/hyperlink" Target="https://www.eea.europa.eu/en/datahub/datahubitem-view/3b7fe76c-524a-439a-bfd2-a6e4046302a2" TargetMode="External" Id="rId26" /><Relationship Type="http://schemas.openxmlformats.org/officeDocument/2006/relationships/hyperlink" Target="https://di.unfccc.int/detailed_data_by_party" TargetMode="External" Id="rId27" /><Relationship Type="http://schemas.openxmlformats.org/officeDocument/2006/relationships/hyperlink" Target="https://www.eea.europa.eu/en/datahub/datahubitem-view/3b7fe76c-524a-439a-bfd2-a6e4046302a2" TargetMode="External" Id="rId28" /><Relationship Type="http://schemas.openxmlformats.org/officeDocument/2006/relationships/hyperlink" Target="https://www.eea.europa.eu/en/datahub/datahubitem-view/3b7fe76c-524a-439a-bfd2-a6e4046302a2" TargetMode="External" Id="rId29" /><Relationship Type="http://schemas.openxmlformats.org/officeDocument/2006/relationships/hyperlink" Target="https://doi.org/10.2908/ENV_AIR_GGE" TargetMode="External" Id="rId30" /><Relationship Type="http://schemas.openxmlformats.org/officeDocument/2006/relationships/hyperlink" Target="https://doi.org/10.2908/NRG_BAL_PEH" TargetMode="External" Id="rId31" /><Relationship Type="http://schemas.openxmlformats.org/officeDocument/2006/relationships/hyperlink" Target="https://doi.org/10.2908/ENV_AIR_GGE" TargetMode="External" Id="rId32" /><Relationship Type="http://schemas.openxmlformats.org/officeDocument/2006/relationships/hyperlink" Target="https://www.solarpowereurope.org/insights/outlooks/eu-market-outlook-for-solar-power-2024-2028" TargetMode="External" Id="rId33" /><Relationship Type="http://schemas.openxmlformats.org/officeDocument/2006/relationships/hyperlink" Target="https://windeurope.org/intelligence-platform/product/wind-energy-in-europe-2024-statistics-and-the-outlook-for-2025-2030/" TargetMode="External" Id="rId34" /><Relationship Type="http://schemas.openxmlformats.org/officeDocument/2006/relationships/hyperlink" Target="https://di.unfccc.int/detailed_data_by_party" TargetMode="External" Id="rId35" /><Relationship Type="http://schemas.openxmlformats.org/officeDocument/2006/relationships/hyperlink" Target="https://di.unfccc.int/detailed_data_by_party" TargetMode="External" Id="rId36" /><Relationship Type="http://schemas.openxmlformats.org/officeDocument/2006/relationships/hyperlink" Target="https://di.unfccc.int/detailed_data_by_party" TargetMode="External" Id="rId37" /><Relationship Type="http://schemas.openxmlformats.org/officeDocument/2006/relationships/hyperlink" Target="https://doi.org/10.2908/ENV_AIR_GGE" TargetMode="External" Id="rId38" /><Relationship Type="http://schemas.openxmlformats.org/officeDocument/2006/relationships/hyperlink" Target="https://doi.org/10.2908/ENV_AIR_GGE" TargetMode="External" Id="rId39" /><Relationship Type="http://schemas.openxmlformats.org/officeDocument/2006/relationships/hyperlink" Target="https://doi.org/10.2908/NRG_BAL_C" TargetMode="External" Id="rId40" /><Relationship Type="http://schemas.openxmlformats.org/officeDocument/2006/relationships/hyperlink" Target="https://doi.org/10.2908/NRG_BAL_C" TargetMode="External" Id="rId41" /><Relationship Type="http://schemas.openxmlformats.org/officeDocument/2006/relationships/hyperlink" Target="https://doi.org/10.2908/NRG_BAL_C" TargetMode="External" Id="rId42" /><Relationship Type="http://schemas.openxmlformats.org/officeDocument/2006/relationships/hyperlink" Target="https://doi.org/10.2908/NRG_BAL_C" TargetMode="External" Id="rId43" /><Relationship Type="http://schemas.openxmlformats.org/officeDocument/2006/relationships/hyperlink" Target="https://doi.org/10.2908/NRG_BAL_C" TargetMode="External" Id="rId44" /><Relationship Type="http://schemas.openxmlformats.org/officeDocument/2006/relationships/hyperlink" Target="https://doi.org/10.2908/NRG_BAL_C" TargetMode="External" Id="rId45" /><Relationship Type="http://schemas.openxmlformats.org/officeDocument/2006/relationships/hyperlink" Target="https://www.eea.europa.eu/en/datahub/datahubitem-view/3b7fe76c-524a-439a-bfd2-a6e4046302a2" TargetMode="External" Id="rId46" /><Relationship Type="http://schemas.openxmlformats.org/officeDocument/2006/relationships/hyperlink" Target="https://www.eea.europa.eu/en/datahub/datahubitem-view/3b7fe76c-524a-439a-bfd2-a6e4046302a2" TargetMode="External" Id="rId47" /><Relationship Type="http://schemas.openxmlformats.org/officeDocument/2006/relationships/hyperlink" Target="https://www.eea.europa.eu/en/datahub/datahubitem-view/3b7fe76c-524a-439a-bfd2-a6e4046302a2" TargetMode="External" Id="rId48" /><Relationship Type="http://schemas.openxmlformats.org/officeDocument/2006/relationships/hyperlink" Target="https://www.cementeurope.eu/about-us/key-facts-figures/" TargetMode="External" Id="rId49" /><Relationship Type="http://schemas.openxmlformats.org/officeDocument/2006/relationships/hyperlink" Target="https://www.cementeurope.eu/about-us/key-facts-figures/" TargetMode="External" Id="rId50" /><Relationship Type="http://schemas.openxmlformats.org/officeDocument/2006/relationships/hyperlink" Target="https://doi.org/10.2908/STS_INPR_A" TargetMode="External" Id="rId51" /><Relationship Type="http://schemas.openxmlformats.org/officeDocument/2006/relationships/hyperlink" Target="https://doi.org/10.2908/STS_INPR_A" TargetMode="External" Id="rId52" /><Relationship Type="http://schemas.openxmlformats.org/officeDocument/2006/relationships/hyperlink" Target="https://doi.org/10.2908/STS_INPR_A" TargetMode="External" Id="rId53" /><Relationship Type="http://schemas.openxmlformats.org/officeDocument/2006/relationships/hyperlink" Target="https://doi.org/10.2908/STS_INPR_A" TargetMode="External" Id="rId54" /><Relationship Type="http://schemas.openxmlformats.org/officeDocument/2006/relationships/hyperlink" Target="https://www.eurofer.eu/publications/brochures-booklets-and-factsheets/european-steel-in-figures-2024" TargetMode="External" Id="rId55" /><Relationship Type="http://schemas.openxmlformats.org/officeDocument/2006/relationships/hyperlink" Target="https://www.eurofer.eu/publications/brochures-booklets-and-factsheets/european-steel-in-figures-2024" TargetMode="External" Id="rId56" /><Relationship Type="http://schemas.openxmlformats.org/officeDocument/2006/relationships/hyperlink" Target="https://doi.org/10.2908/CEI_SRM030" TargetMode="External" Id="rId57" /><Relationship Type="http://schemas.openxmlformats.org/officeDocument/2006/relationships/hyperlink" Target="https://www.eea.europa.eu/en/datahub/datahubitem-view/3b7fe76c-524a-439a-bfd2-a6e4046302a2" TargetMode="External" Id="rId58" /><Relationship Type="http://schemas.openxmlformats.org/officeDocument/2006/relationships/hyperlink" Target="https://www.cementeurope.eu/about-us/key-facts-figures/" TargetMode="External" Id="rId59" /><Relationship Type="http://schemas.openxmlformats.org/officeDocument/2006/relationships/hyperlink" Target="https://www.eea.europa.eu/en/datahub/datahubitem-view/3b7fe76c-524a-439a-bfd2-a6e4046302a2" TargetMode="External" Id="rId60" /><Relationship Type="http://schemas.openxmlformats.org/officeDocument/2006/relationships/hyperlink" Target="https://www.eea.europa.eu/en/datahub/datahubitem-view/3b7fe76c-524a-439a-bfd2-a6e4046302a2" TargetMode="External" Id="rId61" /><Relationship Type="http://schemas.openxmlformats.org/officeDocument/2006/relationships/hyperlink" Target="https://www.eurofer.eu/publications/brochures-booklets-and-factsheets/european-steel-in-figures-2024" TargetMode="External" Id="rId62" /><Relationship Type="http://schemas.openxmlformats.org/officeDocument/2006/relationships/hyperlink" Target="https://www.eea.europa.eu/en/datahub/datahubitem-view/3b7fe76c-524a-439a-bfd2-a6e4046302a2" TargetMode="External" Id="rId63" /><Relationship Type="http://schemas.openxmlformats.org/officeDocument/2006/relationships/hyperlink" Target="https://www.eea.europa.eu/en/datahub/datahubitem-view/3b7fe76c-524a-439a-bfd2-a6e4046302a2" TargetMode="External" Id="rId64" /><Relationship Type="http://schemas.openxmlformats.org/officeDocument/2006/relationships/hyperlink" Target="https://www.eea.europa.eu/en/datahub/datahubitem-view/3b7fe76c-524a-439a-bfd2-a6e4046302a2" TargetMode="External" Id="rId65" /><Relationship Type="http://schemas.openxmlformats.org/officeDocument/2006/relationships/hyperlink" Target="https://www.eea.europa.eu/en/datahub/datahubitem-view/3b7fe76c-524a-439a-bfd2-a6e4046302a2" TargetMode="External" Id="rId66" /><Relationship Type="http://schemas.openxmlformats.org/officeDocument/2006/relationships/hyperlink" Target="https://www.eea.europa.eu/en/datahub/datahubitem-view/3b7fe76c-524a-439a-bfd2-a6e4046302a2" TargetMode="External" Id="rId67" /><Relationship Type="http://schemas.openxmlformats.org/officeDocument/2006/relationships/hyperlink" Target="https://www.eea.europa.eu/en/datahub/datahubitem-view/3b7fe76c-524a-439a-bfd2-a6e4046302a2" TargetMode="External" Id="rId68" /><Relationship Type="http://schemas.openxmlformats.org/officeDocument/2006/relationships/hyperlink" Target="https://www.eea.europa.eu/en/datahub/datahubitem-view/3b7fe76c-524a-439a-bfd2-a6e4046302a2" TargetMode="External" Id="rId69" /><Relationship Type="http://schemas.openxmlformats.org/officeDocument/2006/relationships/hyperlink" Target="https://www.eea.europa.eu/en/datahub/datahubitem-view/3b7fe76c-524a-439a-bfd2-a6e4046302a2" TargetMode="External" Id="rId70" /><Relationship Type="http://schemas.openxmlformats.org/officeDocument/2006/relationships/hyperlink" Target="https://www.eea.europa.eu/en/datahub/datahubitem-view/3b7fe76c-524a-439a-bfd2-a6e4046302a2" TargetMode="External" Id="rId71" /><Relationship Type="http://schemas.openxmlformats.org/officeDocument/2006/relationships/hyperlink" Target="https://www.eea.europa.eu/en/datahub/datahubitem-view/3b7fe76c-524a-439a-bfd2-a6e4046302a2" TargetMode="External" Id="rId72" /><Relationship Type="http://schemas.openxmlformats.org/officeDocument/2006/relationships/hyperlink" Target="https://www.eea.europa.eu/en/datahub/datahubitem-view/3b7fe76c-524a-439a-bfd2-a6e4046302a2" TargetMode="External" Id="rId73" /><Relationship Type="http://schemas.openxmlformats.org/officeDocument/2006/relationships/hyperlink" Target="https://www.eea.europa.eu/en/datahub/datahubitem-view/3b7fe76c-524a-439a-bfd2-a6e4046302a2" TargetMode="External" Id="rId74" /><Relationship Type="http://schemas.openxmlformats.org/officeDocument/2006/relationships/hyperlink" Target="https://www.eea.europa.eu/en/datahub/datahubitem-view/3b7fe76c-524a-439a-bfd2-a6e4046302a2" TargetMode="External" Id="rId75" /><Relationship Type="http://schemas.openxmlformats.org/officeDocument/2006/relationships/hyperlink" Target="https://www.eea.europa.eu/en/datahub/datahubitem-view/3b7fe76c-524a-439a-bfd2-a6e4046302a2" TargetMode="External" Id="rId76" /><Relationship Type="http://schemas.openxmlformats.org/officeDocument/2006/relationships/hyperlink" Target="https://www.eea.europa.eu/en/datahub/datahubitem-view/3b7fe76c-524a-439a-bfd2-a6e4046302a2" TargetMode="External" Id="rId77" /><Relationship Type="http://schemas.openxmlformats.org/officeDocument/2006/relationships/hyperlink" Target="https://www.eea.europa.eu/en/datahub/datahubitem-view/3b7fe76c-524a-439a-bfd2-a6e4046302a2" TargetMode="External" Id="rId78" /><Relationship Type="http://schemas.openxmlformats.org/officeDocument/2006/relationships/hyperlink" Target="https://www.eea.europa.eu/en/datahub/datahubitem-view/3b7fe76c-524a-439a-bfd2-a6e4046302a2" TargetMode="External" Id="rId79" /><Relationship Type="http://schemas.openxmlformats.org/officeDocument/2006/relationships/hyperlink" Target="https://www.eea.europa.eu/en/datahub/datahubitem-view/3b7fe76c-524a-439a-bfd2-a6e4046302a2" TargetMode="External" Id="rId80" /><Relationship Type="http://schemas.openxmlformats.org/officeDocument/2006/relationships/hyperlink" Target="https://www.eea.europa.eu/en/datahub/datahubitem-view/3b7fe76c-524a-439a-bfd2-a6e4046302a2" TargetMode="External" Id="rId81" /><Relationship Type="http://schemas.openxmlformats.org/officeDocument/2006/relationships/hyperlink" Target="https://www.eea.europa.eu/en/datahub/datahubitem-view/3b7fe76c-524a-439a-bfd2-a6e4046302a2" TargetMode="External" Id="rId82" /><Relationship Type="http://schemas.openxmlformats.org/officeDocument/2006/relationships/hyperlink" Target="https://doi.org/10.2908/ENV_AIR_GGE" TargetMode="External" Id="rId83" /><Relationship Type="http://schemas.openxmlformats.org/officeDocument/2006/relationships/hyperlink" Target="https://doi.org/10.2908/ENV_AIR_GGE" TargetMode="External" Id="rId84" /><Relationship Type="http://schemas.openxmlformats.org/officeDocument/2006/relationships/hyperlink" Target="https://www.eea.europa.eu/en/datahub/datahubitem-view/3b7fe76c-524a-439a-bfd2-a6e4046302a2" TargetMode="External" Id="rId85" /><Relationship Type="http://schemas.openxmlformats.org/officeDocument/2006/relationships/hyperlink" Target="https://www.eea.europa.eu/en/datahub/datahubitem-view/3b7fe76c-524a-439a-bfd2-a6e4046302a2" TargetMode="External" Id="rId86" /><Relationship Type="http://schemas.openxmlformats.org/officeDocument/2006/relationships/hyperlink" Target="https://www.eea.europa.eu/en/datahub/datahubitem-view/3b7fe76c-524a-439a-bfd2-a6e4046302a2" TargetMode="External" Id="rId87" /><Relationship Type="http://schemas.openxmlformats.org/officeDocument/2006/relationships/hyperlink" Target="https://www.eea.europa.eu/en/datahub/datahubitem-view/3b7fe76c-524a-439a-bfd2-a6e4046302a2" TargetMode="External" Id="rId88" /><Relationship Type="http://schemas.openxmlformats.org/officeDocument/2006/relationships/hyperlink" Target="https://alternative-fuels-observatory.ec.europa.eu/transport-mode/road/european-union-eu27" TargetMode="External" Id="rId89" /><Relationship Type="http://schemas.openxmlformats.org/officeDocument/2006/relationships/hyperlink" Target="https://doi.org/10.2908/NRG_BAL_S" TargetMode="External" Id="rId90" /><Relationship Type="http://schemas.openxmlformats.org/officeDocument/2006/relationships/hyperlink" Target="https://doi.org/10.2908/NRG_BAL_S" TargetMode="External" Id="rId91" /><Relationship Type="http://schemas.openxmlformats.org/officeDocument/2006/relationships/hyperlink" Target="https://doi.org/10.2908/NRG_BAL_S" TargetMode="External" Id="rId92" /><Relationship Type="http://schemas.openxmlformats.org/officeDocument/2006/relationships/hyperlink" Target="https://doi.org/10.2908/NRG_BAL_S" TargetMode="External" Id="rId93" /><Relationship Type="http://schemas.openxmlformats.org/officeDocument/2006/relationships/hyperlink" Target="https://doi.org/10.2908/NRG_BAL_S" TargetMode="External" Id="rId94" /><Relationship Type="http://schemas.openxmlformats.org/officeDocument/2006/relationships/hyperlink" Target="https://di.unfccc.int/detailed_data_by_party" TargetMode="External" Id="rId95" /><Relationship Type="http://schemas.openxmlformats.org/officeDocument/2006/relationships/hyperlink" Target="https://di.unfccc.int/detailed_data_by_party" TargetMode="External" Id="rId96" /><Relationship Type="http://schemas.openxmlformats.org/officeDocument/2006/relationships/hyperlink" Target="https://di.unfccc.int/detailed_data_by_party" TargetMode="External" Id="rId97" /><Relationship Type="http://schemas.openxmlformats.org/officeDocument/2006/relationships/hyperlink" Target="https://di.unfccc.int/detailed_data_by_party" TargetMode="External" Id="rId98" /><Relationship Type="http://schemas.openxmlformats.org/officeDocument/2006/relationships/hyperlink" Target="https://doi.org/10.2908/NRG_BAL_C" TargetMode="External" Id="rId99" /><Relationship Type="http://schemas.openxmlformats.org/officeDocument/2006/relationships/hyperlink" Target="https://doi.org/10.2908/DEMO_GIND" TargetMode="External" Id="rId100" /><Relationship Type="http://schemas.openxmlformats.org/officeDocument/2006/relationships/hyperlink" Target="https://doi.org/10.2908/DEMO_GIND" TargetMode="External" Id="rId101" /><Relationship Type="http://schemas.openxmlformats.org/officeDocument/2006/relationships/hyperlink" Target="https://doi.org/10.2908/DEMO_GIND" TargetMode="External" Id="rId102" /><Relationship Type="http://schemas.openxmlformats.org/officeDocument/2006/relationships/hyperlink" Target="https://doi.org/10.2908/DEMO_GIND" TargetMode="External" Id="rId103" /><Relationship Type="http://schemas.openxmlformats.org/officeDocument/2006/relationships/hyperlink" Target="https://doi.org/10.2908/NRG_BAL_C" TargetMode="External" Id="rId104" /><Relationship Type="http://schemas.openxmlformats.org/officeDocument/2006/relationships/hyperlink" Target="https://doi.org/10.2908/NRG_BAL_C" TargetMode="External" Id="rId105" /><Relationship Type="http://schemas.openxmlformats.org/officeDocument/2006/relationships/hyperlink" Target="https://ehpa.org/market-data/" TargetMode="External" Id="rId106" /><Relationship Type="http://schemas.openxmlformats.org/officeDocument/2006/relationships/hyperlink" Target="https://ehpa.org/market-data/" TargetMode="External" Id="rId107" /><Relationship Type="http://schemas.openxmlformats.org/officeDocument/2006/relationships/hyperlink" Target="https://www.eea.europa.eu/en/datahub/datahubitem-view/3b7fe76c-524a-439a-bfd2-a6e4046302a2" TargetMode="External" Id="rId108" /><Relationship Type="http://schemas.openxmlformats.org/officeDocument/2006/relationships/hyperlink" Target="https://www.eea.europa.eu/en/datahub/datahubitem-view/3b7fe76c-524a-439a-bfd2-a6e4046302a2" TargetMode="External" Id="rId109" /><Relationship Type="http://schemas.openxmlformats.org/officeDocument/2006/relationships/hyperlink" Target="https://www.eea.europa.eu/en/datahub/datahubitem-view/3b7fe76c-524a-439a-bfd2-a6e4046302a2" TargetMode="External" Id="rId110" /><Relationship Type="http://schemas.openxmlformats.org/officeDocument/2006/relationships/hyperlink" Target="https://www.eea.europa.eu/en/datahub/datahubitem-view/3b7fe76c-524a-439a-bfd2-a6e4046302a2" TargetMode="External" Id="rId111" /><Relationship Type="http://schemas.openxmlformats.org/officeDocument/2006/relationships/hyperlink" Target="https://www.eea.europa.eu/en/datahub/datahubitem-view/3b7fe76c-524a-439a-bfd2-a6e4046302a2" TargetMode="External" Id="rId112" /><Relationship Type="http://schemas.openxmlformats.org/officeDocument/2006/relationships/hyperlink" Target="https://www.eea.europa.eu/en/datahub/datahubitem-view/3b7fe76c-524a-439a-bfd2-a6e4046302a2" TargetMode="External" Id="rId113" /><Relationship Type="http://schemas.openxmlformats.org/officeDocument/2006/relationships/hyperlink" Target="https://doi.org/10.2908/ENV_AIR_GGE" TargetMode="External" Id="rId114" /><Relationship Type="http://schemas.openxmlformats.org/officeDocument/2006/relationships/hyperlink" Target="https://doi.org/10.2908/ENV_AIR_GGE" TargetMode="External" Id="rId115" /><Relationship Type="http://schemas.openxmlformats.org/officeDocument/2006/relationships/hyperlink" Target="https://doi.org/10.2908/ENV_AIR_GGE" TargetMode="External" Id="rId116" /><Relationship Type="http://schemas.openxmlformats.org/officeDocument/2006/relationships/hyperlink" Target="https://www.eea.europa.eu/en/datahub/datahubitem-view/3b7fe76c-524a-439a-bfd2-a6e4046302a2" TargetMode="External" Id="rId117" /><Relationship Type="http://schemas.openxmlformats.org/officeDocument/2006/relationships/hyperlink" Target="https://www.eea.europa.eu/en/datahub/datahubitem-view/3b7fe76c-524a-439a-bfd2-a6e4046302a2" TargetMode="External" Id="rId118" /><Relationship Type="http://schemas.openxmlformats.org/officeDocument/2006/relationships/hyperlink" Target="https://doi.org/10.2908/APRO_MT_PANN" TargetMode="External" Id="rId119" /><Relationship Type="http://schemas.openxmlformats.org/officeDocument/2006/relationships/hyperlink" Target="https://www.eea.europa.eu/en/datahub/datahubitem-view/3b7fe76c-524a-439a-bfd2-a6e4046302a2" TargetMode="External" Id="rId120" /><Relationship Type="http://schemas.openxmlformats.org/officeDocument/2006/relationships/hyperlink" Target="https://www.eea.europa.eu/en/datahub/datahubitem-view/3b7fe76c-524a-439a-bfd2-a6e4046302a2" TargetMode="External" Id="rId121" /><Relationship Type="http://schemas.openxmlformats.org/officeDocument/2006/relationships/hyperlink" Target="https://doi.org/10.2908/APRO_MK_FARM" TargetMode="External" Id="rId122" /><Relationship Type="http://schemas.openxmlformats.org/officeDocument/2006/relationships/hyperlink" Target="https://doi.org/10.2908/APRO_MK_FARM" TargetMode="External" Id="rId123" /><Relationship Type="http://schemas.openxmlformats.org/officeDocument/2006/relationships/hyperlink" Target="https://www.eea.europa.eu/en/datahub/datahubitem-view/3b7fe76c-524a-439a-bfd2-a6e4046302a2" TargetMode="External" Id="rId124" /><Relationship Type="http://schemas.openxmlformats.org/officeDocument/2006/relationships/hyperlink" Target="https://www.eea.europa.eu/en/datahub/datahubitem-view/3b7fe76c-524a-439a-bfd2-a6e4046302a2" TargetMode="External" Id="rId125" /><Relationship Type="http://schemas.openxmlformats.org/officeDocument/2006/relationships/hyperlink" Target="https://doi.org/10.2908/ENV_AIR_GGE" TargetMode="External" Id="rId126" /><Relationship Type="http://schemas.openxmlformats.org/officeDocument/2006/relationships/hyperlink" Target="https://doi.org/10.2908/ENV_AIR_GGE" TargetMode="External" Id="rId127" /><Relationship Type="http://schemas.openxmlformats.org/officeDocument/2006/relationships/hyperlink" Target="https://doi.org/10.2908/ENV_AIR_GGE" TargetMode="External" Id="rId128" /><Relationship Type="http://schemas.openxmlformats.org/officeDocument/2006/relationships/hyperlink" Target="https://www.eea.europa.eu/en/datahub/datahubitem-view/3b7fe76c-524a-439a-bfd2-a6e4046302a2" TargetMode="External" Id="rId129" /><Relationship Type="http://schemas.openxmlformats.org/officeDocument/2006/relationships/hyperlink" Target="https://www.eea.europa.eu/en/datahub/datahubitem-view/3b7fe76c-524a-439a-bfd2-a6e4046302a2" TargetMode="External" Id="rId130" /><Relationship Type="http://schemas.openxmlformats.org/officeDocument/2006/relationships/hyperlink" Target="https://doi.org/10.2908/ENV_AIR_GGE" TargetMode="External" Id="rId131" /><Relationship Type="http://schemas.openxmlformats.org/officeDocument/2006/relationships/hyperlink" Target="https://doi.org/10.2908/ENV_AIR_GGE" TargetMode="External" Id="rId132" /><Relationship Type="http://schemas.openxmlformats.org/officeDocument/2006/relationships/hyperlink" Target="https://doi.org/10.2908/APRO_MT_PANN" TargetMode="External" Id="rId133" /><Relationship Type="http://schemas.openxmlformats.org/officeDocument/2006/relationships/hyperlink" Target="https://doi.org/10.2908/ENV_AIR_GGE" TargetMode="External" Id="rId134" /><Relationship Type="http://schemas.openxmlformats.org/officeDocument/2006/relationships/hyperlink" Target="https://www.eea.europa.eu/en/datahub/datahubitem-view/3b7fe76c-524a-439a-bfd2-a6e4046302a2" TargetMode="External" Id="rId135" /><Relationship Type="http://schemas.openxmlformats.org/officeDocument/2006/relationships/hyperlink" Target="https://www.eea.europa.eu/en/datahub/datahubitem-view/3b7fe76c-524a-439a-bfd2-a6e4046302a2" TargetMode="External" Id="rId136" /><Relationship Type="http://schemas.openxmlformats.org/officeDocument/2006/relationships/hyperlink" Target="https://doi.org/10.2908/APRO_MT_PANN" TargetMode="External" Id="rId137" /><Relationship Type="http://schemas.openxmlformats.org/officeDocument/2006/relationships/hyperlink" Target="https://di.unfccc.int/detailed_data_by_party" TargetMode="External" Id="rId138" /><Relationship Type="http://schemas.openxmlformats.org/officeDocument/2006/relationships/hyperlink" Target="https://di.unfccc.int/detailed_data_by_party" TargetMode="External" Id="rId139" /><Relationship Type="http://schemas.openxmlformats.org/officeDocument/2006/relationships/hyperlink" Target="https://di.unfccc.int/detailed_data_by_party" TargetMode="External" Id="rId140" /><Relationship Type="http://schemas.openxmlformats.org/officeDocument/2006/relationships/hyperlink" Target="https://di.unfccc.int/detailed_data_by_party" TargetMode="External" Id="rId141" /><Relationship Type="http://schemas.openxmlformats.org/officeDocument/2006/relationships/hyperlink" Target="https://di.unfccc.int/detailed_data_by_party" TargetMode="External" Id="rId142" /><Relationship Type="http://schemas.openxmlformats.org/officeDocument/2006/relationships/hyperlink" Target="https://doi.org/10.2908/APRO_MT_LSCATL" TargetMode="External" Id="rId143" /><Relationship Type="http://schemas.openxmlformats.org/officeDocument/2006/relationships/hyperlink" Target="https://doi.org/10.2908/APRO_MT_LSCATL" TargetMode="External" Id="rId144" /><Relationship Type="http://schemas.openxmlformats.org/officeDocument/2006/relationships/hyperlink" Target="https://doi.org/10.2908/APRO_MT_PANN" TargetMode="External" Id="rId145" /><Relationship Type="http://schemas.openxmlformats.org/officeDocument/2006/relationships/hyperlink" Target="https://di.unfccc.int/detailed_data_by_party" TargetMode="External" Id="rId146" /><Relationship Type="http://schemas.openxmlformats.org/officeDocument/2006/relationships/hyperlink" Target="https://di.unfccc.int/detailed_data_by_party" TargetMode="External" Id="rId147" /><Relationship Type="http://schemas.openxmlformats.org/officeDocument/2006/relationships/hyperlink" Target="https://doi.org/10.2908/APRO_MT_LSCATL" TargetMode="External" Id="rId148" /><Relationship Type="http://schemas.openxmlformats.org/officeDocument/2006/relationships/hyperlink" Target="https://doi.org/10.2908/APRO_MK_FARM" TargetMode="External" Id="rId149" /><Relationship Type="http://schemas.openxmlformats.org/officeDocument/2006/relationships/hyperlink" Target="https://doi.org/10.2908/APRO_MK_FARM" TargetMode="External" Id="rId150" /><Relationship Type="http://schemas.openxmlformats.org/officeDocument/2006/relationships/hyperlink" Target="https://doi.org/10.2908/APRO_MT_LSPIG" TargetMode="External" Id="rId151" /><Relationship Type="http://schemas.openxmlformats.org/officeDocument/2006/relationships/hyperlink" Target="https://doi.org/10.2908/APRO_MT_LSPIG" TargetMode="External" Id="rId152" /><Relationship Type="http://schemas.openxmlformats.org/officeDocument/2006/relationships/hyperlink" Target="https://doi.org/10.2908/APRO_MT_LSPIG" TargetMode="External" Id="rId153" /><Relationship Type="http://schemas.openxmlformats.org/officeDocument/2006/relationships/hyperlink" Target="https://doi.org/10.2908/APRO_MT_LSPIG" TargetMode="External" Id="rId154" /><Relationship Type="http://schemas.openxmlformats.org/officeDocument/2006/relationships/hyperlink" Target="https://doi.org/10.2908/APRO_MT_PANN" TargetMode="External" Id="rId155" /><Relationship Type="http://schemas.openxmlformats.org/officeDocument/2006/relationships/hyperlink" Target="https://doi.org/10.2908/ENV_WASFW" TargetMode="External" Id="rId156" /><Relationship Type="http://schemas.openxmlformats.org/officeDocument/2006/relationships/hyperlink" Target="https://doi.org/10.2908/ENV_WASFW" TargetMode="External" Id="rId157" /><Relationship Type="http://schemas.openxmlformats.org/officeDocument/2006/relationships/hyperlink" Target="https://doi.org/10.2908/ENV_WASFW" TargetMode="External" Id="rId158" /><Relationship Type="http://schemas.openxmlformats.org/officeDocument/2006/relationships/hyperlink" Target="https://www.eea.europa.eu/en/datahub/datahubitem-view/3b7fe76c-524a-439a-bfd2-a6e4046302a2" TargetMode="External" Id="rId159" /><Relationship Type="http://schemas.openxmlformats.org/officeDocument/2006/relationships/hyperlink" Target="https://www.eea.europa.eu/en/datahub/datahubitem-view/3b7fe76c-524a-439a-bfd2-a6e4046302a2" TargetMode="External" Id="rId160" /><Relationship Type="http://schemas.openxmlformats.org/officeDocument/2006/relationships/hyperlink" Target="https://di.unfccc.int/detailed_data_by_party" TargetMode="External" Id="rId161" /><Relationship Type="http://schemas.openxmlformats.org/officeDocument/2006/relationships/hyperlink" Target="https://di.unfccc.int/detailed_data_by_party" TargetMode="External" Id="rId162" /><Relationship Type="http://schemas.openxmlformats.org/officeDocument/2006/relationships/hyperlink" Target="https://di.unfccc.int/detailed_data_by_party" TargetMode="External" Id="rId163" /><Relationship Type="http://schemas.openxmlformats.org/officeDocument/2006/relationships/hyperlink" Target="https://di.unfccc.int/detailed_data_by_party" TargetMode="External" Id="rId164" /><Relationship Type="http://schemas.openxmlformats.org/officeDocument/2006/relationships/hyperlink" Target="https://di.unfccc.int/detailed_data_by_party" TargetMode="External" Id="rId165" /><Relationship Type="http://schemas.openxmlformats.org/officeDocument/2006/relationships/hyperlink" Target="https://di.unfccc.int/detailed_data_by_party" TargetMode="External" Id="rId166" /><Relationship Type="http://schemas.openxmlformats.org/officeDocument/2006/relationships/hyperlink" Target="https://di.unfccc.int/detailed_data_by_party" TargetMode="External" Id="rId167" /><Relationship Type="http://schemas.openxmlformats.org/officeDocument/2006/relationships/hyperlink" Target="https://di.unfccc.int/detailed_data_by_party" TargetMode="External" Id="rId168" /><Relationship Type="http://schemas.openxmlformats.org/officeDocument/2006/relationships/hyperlink" Target="https://di.unfccc.int/detailed_data_by_party" TargetMode="External" Id="rId169" /><Relationship Type="http://schemas.openxmlformats.org/officeDocument/2006/relationships/hyperlink" Target="https://di.unfccc.int/detailed_data_by_party" TargetMode="External" Id="rId170" /><Relationship Type="http://schemas.openxmlformats.org/officeDocument/2006/relationships/hyperlink" Target="https://di.unfccc.int/detailed_data_by_party" TargetMode="External" Id="rId171" /><Relationship Type="http://schemas.openxmlformats.org/officeDocument/2006/relationships/hyperlink" Target="https://di.unfccc.int/detailed_data_by_party" TargetMode="External" Id="rId172" /><Relationship Type="http://schemas.openxmlformats.org/officeDocument/2006/relationships/hyperlink" Target="https://di.unfccc.int/detailed_data_by_party" TargetMode="External" Id="rId173" /><Relationship Type="http://schemas.openxmlformats.org/officeDocument/2006/relationships/hyperlink" Target="https://di.unfccc.int/detailed_data_by_party" TargetMode="External" Id="rId174" /><Relationship Type="http://schemas.openxmlformats.org/officeDocument/2006/relationships/hyperlink" Target="https://di.unfccc.int/detailed_data_by_party" TargetMode="External" Id="rId175" /><Relationship Type="http://schemas.openxmlformats.org/officeDocument/2006/relationships/hyperlink" Target="https://di.unfccc.int/detailed_data_by_party" TargetMode="External" Id="rId176" /><Relationship Type="http://schemas.openxmlformats.org/officeDocument/2006/relationships/hyperlink" Target="https://di.unfccc.int/detailed_data_by_party" TargetMode="External" Id="rId177" /><Relationship Type="http://schemas.openxmlformats.org/officeDocument/2006/relationships/hyperlink" Target="https://di.unfccc.int/detailed_data_by_party" TargetMode="External" Id="rId178" /><Relationship Type="http://schemas.openxmlformats.org/officeDocument/2006/relationships/hyperlink" Target="https://doi.org/10.2908/ENV_AIR_GGE" TargetMode="External" Id="rId179" /><Relationship Type="http://schemas.openxmlformats.org/officeDocument/2006/relationships/hyperlink" Target="https://doi.org/10.2908/ENV_AIR_GGE" TargetMode="External" Id="rId180" /><Relationship Type="http://schemas.openxmlformats.org/officeDocument/2006/relationships/hyperlink" Target="https://www.eea.europa.eu/en/datahub/datahubitem-view/3b7fe76c-524a-439a-bfd2-a6e4046302a2" TargetMode="External" Id="rId181" /><Relationship Type="http://schemas.openxmlformats.org/officeDocument/2006/relationships/hyperlink" Target="https://www.eea.europa.eu/en/datahub/datahubitem-view/3b7fe76c-524a-439a-bfd2-a6e4046302a2" TargetMode="External" Id="rId182" /><Relationship Type="http://schemas.openxmlformats.org/officeDocument/2006/relationships/hyperlink" Target="https://www.eea.europa.eu/en/datahub/datahubitem-view/3b7fe76c-524a-439a-bfd2-a6e4046302a2" TargetMode="External" Id="rId183" /><Relationship Type="http://schemas.openxmlformats.org/officeDocument/2006/relationships/hyperlink" Target="https://www.eea.europa.eu/en/datahub/datahubitem-view/3b7fe76c-524a-439a-bfd2-a6e4046302a2" TargetMode="External" Id="rId184" /><Relationship Type="http://schemas.openxmlformats.org/officeDocument/2006/relationships/hyperlink" Target="https://www.eea.europa.eu/en/datahub/datahubitem-view/3b7fe76c-524a-439a-bfd2-a6e4046302a2" TargetMode="External" Id="rId185" /><Relationship Type="http://schemas.openxmlformats.org/officeDocument/2006/relationships/hyperlink" Target="https://www.eea.europa.eu/en/datahub/datahubitem-view/3b7fe76c-524a-439a-bfd2-a6e4046302a2" TargetMode="External" Id="rId186" /><Relationship Type="http://schemas.openxmlformats.org/officeDocument/2006/relationships/hyperlink" Target="https://www.eea.europa.eu/en/datahub/datahubitem-view/3b7fe76c-524a-439a-bfd2-a6e4046302a2" TargetMode="External" Id="rId187" /><Relationship Type="http://schemas.openxmlformats.org/officeDocument/2006/relationships/hyperlink" Target="https://doi.org/10.2908/ENV_AIR_GGE" TargetMode="External" Id="rId188" /><Relationship Type="http://schemas.openxmlformats.org/officeDocument/2006/relationships/hyperlink" Target="https://doi.org/10.2908/ENV_AIR_GGE" TargetMode="External" Id="rId189" /><Relationship Type="http://schemas.openxmlformats.org/officeDocument/2006/relationships/hyperlink" Target="https://doi.org/10.2908/ENV_AIR_GGE" TargetMode="External" Id="rId190" /><Relationship Type="http://schemas.openxmlformats.org/officeDocument/2006/relationships/hyperlink" Target="https://doi.org/10.2908/ENV_AIR_GGE" TargetMode="External" Id="rId191" /><Relationship Type="http://schemas.openxmlformats.org/officeDocument/2006/relationships/hyperlink" Target="https://doi.org/10.2908/ENV_AIR_GGE" TargetMode="External" Id="rId192" /><Relationship Type="http://schemas.openxmlformats.org/officeDocument/2006/relationships/hyperlink" Target="https://doi.org/10.2908/NRG_BAL_C" TargetMode="External" Id="rId193" /><Relationship Type="http://schemas.openxmlformats.org/officeDocument/2006/relationships/hyperlink" Target="https://www.eea.europa.eu/en/analysis/maps-and-charts/percentage-of-green-bond-issuances-1" TargetMode="External" Id="rId194" /><Relationship Type="http://schemas.openxmlformats.org/officeDocument/2006/relationships/hyperlink" Target="https://www.eea.europa.eu/en/analysis/maps-and-charts/percentage-of-green-bond-issuances-1" TargetMode="External" Id="rId195" /><Relationship Type="http://schemas.openxmlformats.org/officeDocument/2006/relationships/hyperlink" Target="https://doi.org/10.2908/RD_E_GERDTOT" TargetMode="External" Id="rId196" /><Relationship Type="http://schemas.openxmlformats.org/officeDocument/2006/relationships/hyperlink" Target="https://doi.org/10.2908/RD_E_GERDTOT" TargetMode="External" Id="rId197" /><Relationship Type="http://schemas.openxmlformats.org/officeDocument/2006/relationships/hyperlink" Target="https://doi.org/10.2908/RD_E_GERDTOT" TargetMode="External" Id="rId198" /></Relationships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H13"/>
  <sheetViews>
    <sheetView showGridLines="0" zoomScale="10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0" customWidth="1" min="6" max="6"/>
    <col width="16" customWidth="1" min="7" max="7"/>
    <col width="16" customWidth="1" min="8" max="8"/>
  </cols>
  <sheetData>
    <row r="1" ht="26" customHeight="1">
      <c r="A1" s="1" t="inlineStr">
        <is>
          <t>The report's indicators, and where they stand now</t>
        </is>
      </c>
    </row>
    <row r="2" ht="30" customHeight="1">
      <c r="A2" s="2" t="inlineStr">
        <is>
          <t>Every progress indicator the 2024 report carried, with the figure the report itself published, the latest figure in the Policy Gap 2.0 workspace database, and the arithmetic in between — written into the sheet as a live Excel formula.</t>
        </is>
      </c>
    </row>
    <row r="3">
      <c r="A3" s="3" t="inlineStr">
        <is>
          <t>Summer Prep · Policy Gap 2.0 Report — prepared 27 July 2026.</t>
        </is>
      </c>
    </row>
    <row r="5">
      <c r="A5" s="4" t="inlineStr">
        <is>
          <t>What is in this workbook</t>
        </is>
      </c>
    </row>
    <row r="6" ht="46" customHeight="1">
      <c r="A6" s="5" t="inlineStr">
        <is>
          <t>Old vs new</t>
        </is>
      </c>
      <c r="B6" s="6" t="inlineStr">
        <is>
          <t>One row per indicator: what the report published, what the database holds now, the change, and how that later figure was obtained. Sorted by report chapter.</t>
        </is>
      </c>
      <c r="C6" s="7" t="n"/>
      <c r="D6" s="7" t="n"/>
      <c r="E6" s="7" t="n"/>
      <c r="F6" s="7" t="n"/>
      <c r="G6" s="7" t="n"/>
      <c r="H6" s="7" t="n"/>
    </row>
    <row r="7" ht="46" customHeight="1">
      <c r="A7" s="8" t="inlineStr">
        <is>
          <t>Derivations</t>
        </is>
      </c>
      <c r="B7" s="9" t="inlineStr">
        <is>
          <t>The calc grid behind every indicator, one block each: Year, Value and the input columns. The Value cells are LIVE EXCEL FORMULAS over the inputs in the same block — click one and Excel shows the arithmetic. Change an input and the value recomputes, exactly as the Method Hub's calc editor does it.</t>
        </is>
      </c>
      <c r="C7" s="10" t="n"/>
      <c r="D7" s="10" t="n"/>
      <c r="E7" s="10" t="n"/>
      <c r="F7" s="10" t="n"/>
      <c r="G7" s="10" t="n"/>
      <c r="H7" s="10" t="n"/>
    </row>
    <row r="8" ht="46" customHeight="1">
      <c r="A8" s="5" t="inlineStr">
        <is>
          <t>Sources</t>
        </is>
      </c>
      <c r="B8" s="6" t="inlineStr">
        <is>
          <t>The exact source query behind every input column — dataset, filters and URL.</t>
        </is>
      </c>
      <c r="C8" s="7" t="n"/>
      <c r="D8" s="7" t="n"/>
      <c r="E8" s="7" t="n"/>
      <c r="F8" s="7" t="n"/>
      <c r="G8" s="7" t="n"/>
      <c r="H8" s="7" t="n"/>
    </row>
    <row r="10" ht="30" customHeight="1">
      <c r="A10" s="11" t="inlineStr">
        <is>
          <t>• The formulas are the Method Hub's own: they are produced by the same translator the Hub uses to export a calc grid to Excel, so what you see here is what the Hub computes, not a re-implementation.</t>
        </is>
      </c>
    </row>
    <row r="11" ht="30" customHeight="1">
      <c r="A11" s="11" t="inlineStr">
        <is>
          <t>• A formula of the form =IF(A21&gt;=2023, ROUND(&lt;live-source recipe&gt;), &lt;report recipe&gt;) means the report years keep the 2024 workbook's derivation and the later years are computed from the live source. That year switch is deliberate — the two are different derivations, and both are shown.</t>
        </is>
      </c>
    </row>
    <row r="12" ht="30" customHeight="1">
      <c r="A12" s="11" t="inlineStr">
        <is>
          <t>• Where an indicator is a published figure with no derivation, the input column simply carries that figure and names the publication. Nothing is left blank.</t>
        </is>
      </c>
    </row>
    <row r="13" ht="30" customHeight="1">
      <c r="A13" s="11" t="inlineStr">
        <is>
          <t>• The “Source check” column of the Old vs new sheet carries the 27 July 2026 fact-check verdict. It covers the post-report values as they stood on that date; series refreshed since show “—” there, which means not yet re-checked — not that the check passed.</t>
        </is>
      </c>
    </row>
  </sheetData>
  <mergeCells count="10">
    <mergeCell ref="A12:H12"/>
    <mergeCell ref="B8:H8"/>
    <mergeCell ref="A3:H3"/>
    <mergeCell ref="A2:H2"/>
    <mergeCell ref="A10:H10"/>
    <mergeCell ref="B6:H6"/>
    <mergeCell ref="A13:H13"/>
    <mergeCell ref="A11:H11"/>
    <mergeCell ref="B7:H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D7E83"/>
    <outlinePr summaryBelow="1" summaryRight="1"/>
    <pageSetUpPr/>
  </sheetPr>
  <dimension ref="A1:M10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4" customWidth="1" min="4" max="4"/>
    <col width="12" customWidth="1" min="5" max="5"/>
    <col width="14" customWidth="1" min="6" max="6"/>
    <col width="11" customWidth="1" min="7" max="7"/>
    <col width="14" customWidth="1" min="8" max="8"/>
    <col width="12" customWidth="1" min="9" max="9"/>
    <col width="12" customWidth="1" min="10" max="10"/>
    <col width="24" customWidth="1" min="11" max="11"/>
    <col width="30" customWidth="1" min="12" max="12"/>
    <col width="34" customWidth="1" min="13" max="13"/>
  </cols>
  <sheetData>
    <row r="1" ht="26" customHeight="1">
      <c r="A1" s="1" t="inlineStr">
        <is>
          <t>What the report published, and what the database holds now</t>
        </is>
      </c>
    </row>
    <row r="2" ht="30" customHeight="1">
      <c r="A2" s="2" t="inlineStr">
        <is>
          <t>“Report figure” is the last value the 2024 report itself carried. “Latest” is the most recent value in the Policy Gap 2.0 workspace indicator database today.</t>
        </is>
      </c>
    </row>
    <row r="4" ht="32" customHeight="1">
      <c r="A4" s="12" t="inlineStr">
        <is>
          <t>Code</t>
        </is>
      </c>
      <c r="B4" s="12" t="inlineStr">
        <is>
          <t>Indicator</t>
        </is>
      </c>
      <c r="C4" s="12" t="inlineStr">
        <is>
          <t>Chapter</t>
        </is>
      </c>
      <c r="D4" s="12" t="inlineStr">
        <is>
          <t>Unit</t>
        </is>
      </c>
      <c r="E4" s="12" t="inlineStr">
        <is>
          <t>Report year</t>
        </is>
      </c>
      <c r="F4" s="12" t="inlineStr">
        <is>
          <t>Report figure</t>
        </is>
      </c>
      <c r="G4" s="12" t="inlineStr">
        <is>
          <t>Latest year</t>
        </is>
      </c>
      <c r="H4" s="12" t="inlineStr">
        <is>
          <t>Latest value</t>
        </is>
      </c>
      <c r="I4" s="12" t="inlineStr">
        <is>
          <t>Change</t>
        </is>
      </c>
      <c r="J4" s="12" t="inlineStr">
        <is>
          <t>Change %</t>
        </is>
      </c>
      <c r="K4" s="12" t="inlineStr">
        <is>
          <t>How the later figure was obtained</t>
        </is>
      </c>
      <c r="L4" s="12" t="inlineStr">
        <is>
          <t>Source check (27 Jul 2026)</t>
        </is>
      </c>
      <c r="M4" s="12" t="inlineStr">
        <is>
          <t>Primary source</t>
        </is>
      </c>
    </row>
    <row r="5" ht="15" customHeight="1">
      <c r="A5" s="13" t="inlineStr">
        <is>
          <t>O1</t>
        </is>
      </c>
      <c r="B5" s="14" t="inlineStr">
        <is>
          <t>Total EU GHG emissions (European Climate Law scope)</t>
        </is>
      </c>
      <c r="C5" s="14" t="inlineStr">
        <is>
          <t>Emissions</t>
        </is>
      </c>
      <c r="D5" s="14" t="inlineStr">
        <is>
          <t>Mt CO₂eq</t>
        </is>
      </c>
      <c r="E5" s="15" t="n">
        <v>2022</v>
      </c>
      <c r="F5" s="16" t="n">
        <v>3333.9</v>
      </c>
      <c r="G5" s="15" t="n">
        <v>2024</v>
      </c>
      <c r="H5" s="16" t="n">
        <v>3043.2</v>
      </c>
      <c r="I5" s="16" t="n">
        <v>-290.7000000000003</v>
      </c>
      <c r="J5" s="17" t="n">
        <v>-0.08719517681994068</v>
      </c>
      <c r="K5" s="18" t="inlineStr">
        <is>
          <t>Report's own derivation, continued</t>
        </is>
      </c>
      <c r="L5" s="18" t="inlineStr">
        <is>
          <t>Reproduces from source</t>
        </is>
      </c>
      <c r="M5" s="19" t="inlineStr">
        <is>
          <t>EEA GHG data viewer; 2023+ Eurostat (env_air_gge)</t>
        </is>
      </c>
    </row>
    <row r="6" ht="15" customHeight="1">
      <c r="A6" s="20" t="inlineStr">
        <is>
          <t>E1</t>
        </is>
      </c>
      <c r="B6" s="21" t="inlineStr">
        <is>
          <t>Energy supply GHG emissions</t>
        </is>
      </c>
      <c r="C6" s="21" t="inlineStr">
        <is>
          <t>Energy supply</t>
        </is>
      </c>
      <c r="D6" s="21" t="inlineStr">
        <is>
          <t>Mt CO₂eq</t>
        </is>
      </c>
      <c r="E6" s="22" t="n">
        <v>2022</v>
      </c>
      <c r="F6" s="23" t="n">
        <v>924</v>
      </c>
      <c r="G6" s="22" t="n">
        <v>2024</v>
      </c>
      <c r="H6" s="23" t="n">
        <v>689.1</v>
      </c>
      <c r="I6" s="23" t="n">
        <v>-234.9</v>
      </c>
      <c r="J6" s="24" t="n">
        <v>-0.2542207792207792</v>
      </c>
      <c r="K6" s="25" t="inlineStr">
        <is>
          <t>Report's own derivation, continued</t>
        </is>
      </c>
      <c r="L6" s="25" t="inlineStr">
        <is>
          <t>Reproduces from source</t>
        </is>
      </c>
      <c r="M6" s="26" t="inlineStr">
        <is>
          <t>EEA GHG data viewer; 2023+ Eurostat (env_air_gge)</t>
        </is>
      </c>
    </row>
    <row r="7" ht="15" customHeight="1">
      <c r="A7" s="27" t="inlineStr">
        <is>
          <t>E2 (RES)</t>
        </is>
      </c>
      <c r="B7" s="14" t="inlineStr">
        <is>
          <t>Non-biomass renewable share of EU electricity mix</t>
        </is>
      </c>
      <c r="C7" s="14" t="inlineStr">
        <is>
          <t>Energy supply</t>
        </is>
      </c>
      <c r="D7" s="14" t="inlineStr">
        <is>
          <t>%</t>
        </is>
      </c>
      <c r="E7" s="15" t="n">
        <v>2022</v>
      </c>
      <c r="F7" s="16" t="n">
        <v>33.76</v>
      </c>
      <c r="G7" s="15" t="n">
        <v>2024</v>
      </c>
      <c r="H7" s="16" t="n">
        <v>43.21</v>
      </c>
      <c r="I7" s="16" t="n">
        <v>9.450000000000003</v>
      </c>
      <c r="J7" s="17" t="n">
        <v>0.2799170616113745</v>
      </c>
      <c r="K7" s="18" t="inlineStr">
        <is>
          <t>Report's own derivation, continued</t>
        </is>
      </c>
      <c r="L7" s="18" t="inlineStr">
        <is>
          <t>2–5% off source</t>
        </is>
      </c>
      <c r="M7" s="19" t="inlineStr">
        <is>
          <t>Eurostat (nrg_bal_peh)</t>
        </is>
      </c>
    </row>
    <row r="8" ht="15" customHeight="1">
      <c r="A8" s="20" t="inlineStr">
        <is>
          <t>E2 (fossil)</t>
        </is>
      </c>
      <c r="B8" s="21" t="inlineStr">
        <is>
          <t>Fossil share of EU electricity mix</t>
        </is>
      </c>
      <c r="C8" s="21" t="inlineStr">
        <is>
          <t>Energy supply</t>
        </is>
      </c>
      <c r="D8" s="21" t="inlineStr">
        <is>
          <t>%</t>
        </is>
      </c>
      <c r="E8" s="22" t="n">
        <v>2022</v>
      </c>
      <c r="F8" s="23" t="n">
        <v>38.76</v>
      </c>
      <c r="G8" s="22" t="n">
        <v>2024</v>
      </c>
      <c r="H8" s="23" t="n">
        <v>28.11</v>
      </c>
      <c r="I8" s="23" t="n">
        <v>-10.65</v>
      </c>
      <c r="J8" s="24" t="n">
        <v>-0.2747678018575851</v>
      </c>
      <c r="K8" s="25" t="inlineStr">
        <is>
          <t>Report's own derivation, continued</t>
        </is>
      </c>
      <c r="L8" s="25" t="inlineStr">
        <is>
          <t>Reproduces from source</t>
        </is>
      </c>
      <c r="M8" s="26" t="inlineStr">
        <is>
          <t>Eurostat (nrg_bal_peh)</t>
        </is>
      </c>
    </row>
    <row r="9" ht="15" customHeight="1">
      <c r="A9" s="27" t="inlineStr">
        <is>
          <t>E3</t>
        </is>
      </c>
      <c r="B9" s="14" t="inlineStr">
        <is>
          <t>Average GHG intensity of EU electricity</t>
        </is>
      </c>
      <c r="C9" s="14" t="inlineStr">
        <is>
          <t>Energy supply</t>
        </is>
      </c>
      <c r="D9" s="14" t="inlineStr">
        <is>
          <t>g CO₂eq/kWh</t>
        </is>
      </c>
      <c r="E9" s="15" t="n">
        <v>2022</v>
      </c>
      <c r="F9" s="16" t="n">
        <v>251</v>
      </c>
      <c r="G9" s="15" t="n">
        <v>2024</v>
      </c>
      <c r="H9" s="16" t="n">
        <v>187.4</v>
      </c>
      <c r="I9" s="16" t="n">
        <v>-63.59999999999999</v>
      </c>
      <c r="J9" s="17" t="n">
        <v>-0.2533864541832669</v>
      </c>
      <c r="K9" s="18" t="inlineStr">
        <is>
          <t>Different recipe for the later years</t>
        </is>
      </c>
      <c r="L9" s="18" t="inlineStr">
        <is>
          <t>Reproduces from source</t>
        </is>
      </c>
      <c r="M9" s="19" t="inlineStr">
        <is>
          <t>EEA</t>
        </is>
      </c>
    </row>
    <row r="10" ht="15" customHeight="1">
      <c r="A10" s="20" t="inlineStr">
        <is>
          <t>E4a</t>
        </is>
      </c>
      <c r="B10" s="21" t="inlineStr">
        <is>
          <t>Annual solar PV capacity additions (EU)</t>
        </is>
      </c>
      <c r="C10" s="21" t="inlineStr">
        <is>
          <t>Energy supply</t>
        </is>
      </c>
      <c r="D10" s="21" t="inlineStr">
        <is>
          <t>GW/yr</t>
        </is>
      </c>
      <c r="E10" s="22" t="n">
        <v>2021</v>
      </c>
      <c r="F10" s="23" t="n">
        <v>25.7</v>
      </c>
      <c r="G10" s="22" t="n">
        <v>2024</v>
      </c>
      <c r="H10" s="23" t="n">
        <v>60.96</v>
      </c>
      <c r="I10" s="23" t="n">
        <v>35.26000000000001</v>
      </c>
      <c r="J10" s="24" t="n">
        <v>1.371984435797665</v>
      </c>
      <c r="K10" s="25" t="inlineStr">
        <is>
          <t>Published figure, no derivation</t>
        </is>
      </c>
      <c r="L10" s="25" t="inlineStr">
        <is>
          <t>Published figure, not re-derived</t>
        </is>
      </c>
      <c r="M10" s="25" t="inlineStr">
        <is>
          <t>Eurostat (nrg_inf_epcrw)</t>
        </is>
      </c>
    </row>
    <row r="11" ht="15" customHeight="1">
      <c r="A11" s="27" t="inlineStr">
        <is>
          <t>E4b/c</t>
        </is>
      </c>
      <c r="B11" s="14" t="inlineStr">
        <is>
          <t>Annual wind capacity additions (EU)</t>
        </is>
      </c>
      <c r="C11" s="14" t="inlineStr">
        <is>
          <t>Energy supply</t>
        </is>
      </c>
      <c r="D11" s="14" t="inlineStr">
        <is>
          <t>GW/yr</t>
        </is>
      </c>
      <c r="E11" s="15" t="n">
        <v>2021</v>
      </c>
      <c r="F11" s="16" t="n">
        <v>10.72</v>
      </c>
      <c r="G11" s="15" t="n">
        <v>2024</v>
      </c>
      <c r="H11" s="16" t="n">
        <v>15.32</v>
      </c>
      <c r="I11" s="16" t="n">
        <v>4.6</v>
      </c>
      <c r="J11" s="17" t="n">
        <v>0.4291044776119403</v>
      </c>
      <c r="K11" s="18" t="inlineStr">
        <is>
          <t>Published figure, no derivation</t>
        </is>
      </c>
      <c r="L11" s="18" t="inlineStr">
        <is>
          <t>Published figure, not re-derived</t>
        </is>
      </c>
      <c r="M11" s="18" t="inlineStr">
        <is>
          <t>Eurostat (nrg_inf_epcrw)</t>
        </is>
      </c>
    </row>
    <row r="12" ht="15" customHeight="1">
      <c r="A12" s="20" t="inlineStr">
        <is>
          <t>E6</t>
        </is>
      </c>
      <c r="B12" s="21" t="inlineStr">
        <is>
          <t>Energy-related methane emissions (EU-27)</t>
        </is>
      </c>
      <c r="C12" s="21" t="inlineStr">
        <is>
          <t>Energy supply</t>
        </is>
      </c>
      <c r="D12" s="21" t="inlineStr">
        <is>
          <t>Mt CO₂eq</t>
        </is>
      </c>
      <c r="E12" s="22" t="n">
        <v>2021</v>
      </c>
      <c r="F12" s="23" t="n">
        <v>69.91</v>
      </c>
      <c r="G12" s="22" t="n">
        <v>2024</v>
      </c>
      <c r="H12" s="23" t="n">
        <v>57.77</v>
      </c>
      <c r="I12" s="23" t="n">
        <v>-12.13999999999999</v>
      </c>
      <c r="J12" s="24" t="n">
        <v>-0.1736518380775282</v>
      </c>
      <c r="K12" s="25" t="inlineStr">
        <is>
          <t>Different recipe for the later years</t>
        </is>
      </c>
      <c r="L12" s="25" t="inlineStr">
        <is>
          <t>Reproduces from source</t>
        </is>
      </c>
      <c r="M12" s="26" t="inlineStr">
        <is>
          <t>EEA GHG data viewer; 2022+ Eurostat (env_air_gge)</t>
        </is>
      </c>
    </row>
    <row r="13" ht="15" customHeight="1">
      <c r="A13" s="28" t="inlineStr">
        <is>
          <t>E5</t>
        </is>
      </c>
      <c r="B13" s="14" t="inlineStr">
        <is>
          <t>Electrification rate of final energy use</t>
        </is>
      </c>
      <c r="C13" s="14" t="inlineStr">
        <is>
          <t>Energy demand</t>
        </is>
      </c>
      <c r="D13" s="14" t="inlineStr">
        <is>
          <t>%</t>
        </is>
      </c>
      <c r="E13" s="15" t="n">
        <v>2021</v>
      </c>
      <c r="F13" s="16" t="n">
        <v>22.75</v>
      </c>
      <c r="G13" s="15" t="n">
        <v>2024</v>
      </c>
      <c r="H13" s="16" t="n">
        <v>23.44</v>
      </c>
      <c r="I13" s="16" t="n">
        <v>0.6900000000000013</v>
      </c>
      <c r="J13" s="17" t="n">
        <v>0.03032967032967039</v>
      </c>
      <c r="K13" s="18" t="inlineStr">
        <is>
          <t>Report's formula, input back-computed</t>
        </is>
      </c>
      <c r="L13" s="18" t="inlineStr">
        <is>
          <t>—</t>
        </is>
      </c>
      <c r="M13" s="19" t="inlineStr">
        <is>
          <t>Eurostat (nrg_bal_c)</t>
        </is>
      </c>
    </row>
    <row r="14" ht="15" customHeight="1">
      <c r="A14" s="29" t="inlineStr">
        <is>
          <t>O2 (FEC)</t>
        </is>
      </c>
      <c r="B14" s="21" t="inlineStr">
        <is>
          <t>Final energy consumption (EU-27)</t>
        </is>
      </c>
      <c r="C14" s="21" t="inlineStr">
        <is>
          <t>Energy demand</t>
        </is>
      </c>
      <c r="D14" s="21" t="inlineStr">
        <is>
          <t>TWh</t>
        </is>
      </c>
      <c r="E14" s="22" t="n">
        <v>2021</v>
      </c>
      <c r="F14" s="23" t="n">
        <v>11263</v>
      </c>
      <c r="G14" s="22" t="n">
        <v>2024</v>
      </c>
      <c r="H14" s="23" t="n">
        <v>10471.8</v>
      </c>
      <c r="I14" s="23" t="n">
        <v>-791.2000000000007</v>
      </c>
      <c r="J14" s="24" t="n">
        <v>-0.0702477137529966</v>
      </c>
      <c r="K14" s="25" t="inlineStr">
        <is>
          <t>Report's own derivation, continued</t>
        </is>
      </c>
      <c r="L14" s="25" t="inlineStr">
        <is>
          <t>Reproduces from source</t>
        </is>
      </c>
      <c r="M14" s="26" t="inlineStr">
        <is>
          <t>Eurostat (nrg_ind_eff)</t>
        </is>
      </c>
    </row>
    <row r="15" ht="15" customHeight="1">
      <c r="A15" s="28" t="inlineStr">
        <is>
          <t>O2 (PEC)</t>
        </is>
      </c>
      <c r="B15" s="14" t="inlineStr">
        <is>
          <t>Primary energy consumption (EU-27)</t>
        </is>
      </c>
      <c r="C15" s="14" t="inlineStr">
        <is>
          <t>Energy demand</t>
        </is>
      </c>
      <c r="D15" s="14" t="inlineStr">
        <is>
          <t>TWh</t>
        </is>
      </c>
      <c r="E15" s="15" t="n">
        <v>2021</v>
      </c>
      <c r="F15" s="16" t="n">
        <v>15248</v>
      </c>
      <c r="G15" s="15" t="n">
        <v>2024</v>
      </c>
      <c r="H15" s="16" t="n">
        <v>13883</v>
      </c>
      <c r="I15" s="16" t="n">
        <v>-1365</v>
      </c>
      <c r="J15" s="17" t="n">
        <v>-0.0895199370409234</v>
      </c>
      <c r="K15" s="18" t="inlineStr">
        <is>
          <t>Report's own derivation, continued</t>
        </is>
      </c>
      <c r="L15" s="18" t="inlineStr">
        <is>
          <t>Reproduces from source</t>
        </is>
      </c>
      <c r="M15" s="19" t="inlineStr">
        <is>
          <t>Eurostat (nrg_ind_eff)</t>
        </is>
      </c>
    </row>
    <row r="16" ht="15" customHeight="1">
      <c r="A16" s="29" t="inlineStr">
        <is>
          <t>O3</t>
        </is>
      </c>
      <c r="B16" s="21" t="inlineStr">
        <is>
          <t>Gross inland energy consumption (EU-27)</t>
        </is>
      </c>
      <c r="C16" s="21" t="inlineStr">
        <is>
          <t>Energy demand</t>
        </is>
      </c>
      <c r="D16" s="21" t="inlineStr">
        <is>
          <t>TWh</t>
        </is>
      </c>
      <c r="E16" s="22" t="n">
        <v>2021</v>
      </c>
      <c r="F16" s="23" t="n">
        <v>16534</v>
      </c>
      <c r="G16" s="22" t="n">
        <v>2024</v>
      </c>
      <c r="H16" s="23" t="n">
        <v>15023.9</v>
      </c>
      <c r="I16" s="23" t="n">
        <v>-1510.1</v>
      </c>
      <c r="J16" s="24" t="n">
        <v>-0.09133301076569494</v>
      </c>
      <c r="K16" s="25" t="inlineStr">
        <is>
          <t>Report's own derivation, continued</t>
        </is>
      </c>
      <c r="L16" s="25" t="inlineStr">
        <is>
          <t>Published figure, not re-derived</t>
        </is>
      </c>
      <c r="M16" s="26" t="inlineStr">
        <is>
          <t>Eurostat (nrg_bal_c)</t>
        </is>
      </c>
    </row>
    <row r="17" ht="15" customHeight="1">
      <c r="A17" s="30" t="inlineStr">
        <is>
          <t>I1</t>
        </is>
      </c>
      <c r="B17" s="14" t="inlineStr">
        <is>
          <t>Industrial GHG emissions</t>
        </is>
      </c>
      <c r="C17" s="14" t="inlineStr">
        <is>
          <t>Industry</t>
        </is>
      </c>
      <c r="D17" s="14" t="inlineStr">
        <is>
          <t>Mt CO₂eq</t>
        </is>
      </c>
      <c r="E17" s="15" t="n">
        <v>2022</v>
      </c>
      <c r="F17" s="16" t="n">
        <v>691.3</v>
      </c>
      <c r="G17" s="15" t="n">
        <v>2024</v>
      </c>
      <c r="H17" s="16" t="n">
        <v>611.4</v>
      </c>
      <c r="I17" s="16" t="n">
        <v>-79.89999999999998</v>
      </c>
      <c r="J17" s="17" t="n">
        <v>-0.1155793432663098</v>
      </c>
      <c r="K17" s="18" t="inlineStr">
        <is>
          <t>Report's own derivation, continued</t>
        </is>
      </c>
      <c r="L17" s="18" t="inlineStr">
        <is>
          <t>Reproduces from source</t>
        </is>
      </c>
      <c r="M17" s="19" t="inlineStr">
        <is>
          <t>EEA GHG data viewer (Eurostat env_air_gge mirror)</t>
        </is>
      </c>
    </row>
    <row r="18" ht="15" customHeight="1">
      <c r="A18" s="31" t="inlineStr">
        <is>
          <t>I2 (cement, production)</t>
        </is>
      </c>
      <c r="B18" s="21" t="inlineStr">
        <is>
          <t>Cement production (EU)</t>
        </is>
      </c>
      <c r="C18" s="21" t="inlineStr">
        <is>
          <t>Industry</t>
        </is>
      </c>
      <c r="D18" s="21" t="inlineStr">
        <is>
          <t>Mt</t>
        </is>
      </c>
      <c r="E18" s="22" t="n">
        <v>2021</v>
      </c>
      <c r="F18" s="23" t="n">
        <v>182.5</v>
      </c>
      <c r="G18" s="22" t="n">
        <v>2025</v>
      </c>
      <c r="H18" s="23" t="n">
        <v>157.7</v>
      </c>
      <c r="I18" s="23" t="n">
        <v>-24.80000000000001</v>
      </c>
      <c r="J18" s="24" t="n">
        <v>-0.1358904109589042</v>
      </c>
      <c r="K18" s="25" t="inlineStr">
        <is>
          <t>Different recipe for the later years</t>
        </is>
      </c>
      <c r="L18" s="25" t="inlineStr">
        <is>
          <t>Reproduces from source</t>
        </is>
      </c>
      <c r="M18" s="26" t="inlineStr">
        <is>
          <t>Cembureau (data provided)</t>
        </is>
      </c>
    </row>
    <row r="19" ht="15" customHeight="1">
      <c r="A19" s="30" t="inlineStr">
        <is>
          <t>I2 (cement, use)</t>
        </is>
      </c>
      <c r="B19" s="14" t="inlineStr">
        <is>
          <t>Cement apparent use (consumption) (EU)</t>
        </is>
      </c>
      <c r="C19" s="14" t="inlineStr">
        <is>
          <t>Industry</t>
        </is>
      </c>
      <c r="D19" s="14" t="inlineStr">
        <is>
          <t>Mt</t>
        </is>
      </c>
      <c r="E19" s="15" t="n">
        <v>2021</v>
      </c>
      <c r="F19" s="16" t="n">
        <v>170.5</v>
      </c>
      <c r="G19" s="15" t="n">
        <v>2024</v>
      </c>
      <c r="H19" s="16" t="n">
        <v>148.1</v>
      </c>
      <c r="I19" s="16" t="n">
        <v>-22.40000000000001</v>
      </c>
      <c r="J19" s="17" t="n">
        <v>-0.1313782991202346</v>
      </c>
      <c r="K19" s="18" t="inlineStr">
        <is>
          <t>No calc grid</t>
        </is>
      </c>
      <c r="L19" s="18" t="inlineStr">
        <is>
          <t>—</t>
        </is>
      </c>
      <c r="M19" s="19" t="inlineStr">
        <is>
          <t>Cement Europe (formerly Cembureau), Key Facts &amp; Figures — CONSUMPTION EU27</t>
        </is>
      </c>
    </row>
    <row r="20" ht="15" customHeight="1">
      <c r="A20" s="31" t="inlineStr">
        <is>
          <t>I2 (chemicals, production)</t>
        </is>
      </c>
      <c r="B20" s="21" t="inlineStr">
        <is>
          <t>Chemicals production (EU)</t>
        </is>
      </c>
      <c r="C20" s="21" t="inlineStr">
        <is>
          <t>Industry</t>
        </is>
      </c>
      <c r="D20" s="21" t="inlineStr">
        <is>
          <t>Mt</t>
        </is>
      </c>
      <c r="E20" s="22" t="n">
        <v>2022</v>
      </c>
      <c r="F20" s="23" t="n">
        <v>26.84</v>
      </c>
      <c r="G20" s="22" t="n">
        <v>2025</v>
      </c>
      <c r="H20" s="23" t="n">
        <v>21.59</v>
      </c>
      <c r="I20" s="23" t="n">
        <v>-5.25</v>
      </c>
      <c r="J20" s="24" t="n">
        <v>-0.1956035767511178</v>
      </c>
      <c r="K20" s="25" t="inlineStr">
        <is>
          <t>Different recipe for the later years</t>
        </is>
      </c>
      <c r="L20" s="25" t="inlineStr">
        <is>
          <t>Reproduces from source</t>
        </is>
      </c>
      <c r="M20" s="25" t="inlineStr">
        <is>
          <t>Eurostat PRODCOM ds-059358 / ds-059367 (sold production)</t>
        </is>
      </c>
    </row>
    <row r="21" ht="15" customHeight="1">
      <c r="A21" s="30" t="inlineStr">
        <is>
          <t>I2 (chemicals, trade)</t>
        </is>
      </c>
      <c r="B21" s="14" t="inlineStr">
        <is>
          <t>Chemicals net trade balance (EU)</t>
        </is>
      </c>
      <c r="C21" s="14" t="inlineStr">
        <is>
          <t>Industry</t>
        </is>
      </c>
      <c r="D21" s="14" t="inlineStr">
        <is>
          <t>Mt</t>
        </is>
      </c>
      <c r="E21" s="15" t="n">
        <v>2022</v>
      </c>
      <c r="F21" s="16" t="n">
        <v>-2.268</v>
      </c>
      <c r="G21" s="15" t="n">
        <v>2025</v>
      </c>
      <c r="H21" s="16" t="n">
        <v>-1.357</v>
      </c>
      <c r="I21" s="16" t="n">
        <v>0.9109999999999998</v>
      </c>
      <c r="J21" s="17" t="n">
        <v>0.4016754850088183</v>
      </c>
      <c r="K21" s="18" t="inlineStr">
        <is>
          <t>No calc grid</t>
        </is>
      </c>
      <c r="L21" s="18" t="inlineStr">
        <is>
          <t>—</t>
        </is>
      </c>
      <c r="M21" s="18" t="inlineStr">
        <is>
          <t>Eurostat PRODCOM ds-059358 / ds-059367 (trade)</t>
        </is>
      </c>
    </row>
    <row r="22" ht="15" customHeight="1">
      <c r="A22" s="31" t="inlineStr">
        <is>
          <t>I2 (chemicals, use)</t>
        </is>
      </c>
      <c r="B22" s="21" t="inlineStr">
        <is>
          <t>Chemicals apparent use (consumption) (EU)</t>
        </is>
      </c>
      <c r="C22" s="21" t="inlineStr">
        <is>
          <t>Industry</t>
        </is>
      </c>
      <c r="D22" s="21" t="inlineStr">
        <is>
          <t>Mt</t>
        </is>
      </c>
      <c r="E22" s="22" t="n">
        <v>2022</v>
      </c>
      <c r="F22" s="23" t="n">
        <v>29.11</v>
      </c>
      <c r="G22" s="22" t="n">
        <v>2025</v>
      </c>
      <c r="H22" s="23" t="n">
        <v>22.95</v>
      </c>
      <c r="I22" s="23" t="n">
        <v>-6.16</v>
      </c>
      <c r="J22" s="24" t="n">
        <v>-0.211611130195809</v>
      </c>
      <c r="K22" s="25" t="inlineStr">
        <is>
          <t>No calc grid</t>
        </is>
      </c>
      <c r="L22" s="25" t="inlineStr">
        <is>
          <t>—</t>
        </is>
      </c>
      <c r="M22" s="25" t="inlineStr">
        <is>
          <t>Eurostat PRODCOM ds-059358 / ds-059367 (sold production and trade)</t>
        </is>
      </c>
    </row>
    <row r="23" ht="15" customHeight="1">
      <c r="A23" s="30" t="inlineStr">
        <is>
          <t>I2 (steel, production)</t>
        </is>
      </c>
      <c r="B23" s="14" t="inlineStr">
        <is>
          <t>Steel production (EU)</t>
        </is>
      </c>
      <c r="C23" s="14" t="inlineStr">
        <is>
          <t>Industry</t>
        </is>
      </c>
      <c r="D23" s="14" t="inlineStr">
        <is>
          <t>Mt</t>
        </is>
      </c>
      <c r="E23" s="15" t="n">
        <v>2021</v>
      </c>
      <c r="F23" s="16" t="n">
        <v>152.8</v>
      </c>
      <c r="G23" s="15" t="n">
        <v>2025</v>
      </c>
      <c r="H23" s="16" t="n">
        <v>128.8</v>
      </c>
      <c r="I23" s="16" t="n">
        <v>-24</v>
      </c>
      <c r="J23" s="17" t="n">
        <v>-0.1570680628272251</v>
      </c>
      <c r="K23" s="18" t="inlineStr">
        <is>
          <t>Report's formula, input back-computed</t>
        </is>
      </c>
      <c r="L23" s="18" t="inlineStr">
        <is>
          <t>2–5% off source</t>
        </is>
      </c>
      <c r="M23" s="19" t="inlineStr">
        <is>
          <t>Eurofer, Steel in figures 2022</t>
        </is>
      </c>
    </row>
    <row r="24" ht="15" customHeight="1">
      <c r="A24" s="31" t="inlineStr">
        <is>
          <t>I2 (steel, trade)</t>
        </is>
      </c>
      <c r="B24" s="21" t="inlineStr">
        <is>
          <t>Steel net trade balance (EU)</t>
        </is>
      </c>
      <c r="C24" s="21" t="inlineStr">
        <is>
          <t>Industry</t>
        </is>
      </c>
      <c r="D24" s="21" t="inlineStr">
        <is>
          <t>Mt</t>
        </is>
      </c>
      <c r="E24" s="22" t="n">
        <v>2021</v>
      </c>
      <c r="F24" s="23" t="n">
        <v>-25.77</v>
      </c>
      <c r="G24" s="22" t="n">
        <v>2025</v>
      </c>
      <c r="H24" s="23" t="n">
        <v>-30.891</v>
      </c>
      <c r="I24" s="23" t="n">
        <v>-5.120999999999999</v>
      </c>
      <c r="J24" s="24" t="n">
        <v>-0.1987194412107101</v>
      </c>
      <c r="K24" s="25" t="inlineStr">
        <is>
          <t>No calc grid</t>
        </is>
      </c>
      <c r="L24" s="25" t="inlineStr">
        <is>
          <t>—</t>
        </is>
      </c>
      <c r="M24" s="25" t="inlineStr">
        <is>
          <t>Eurostat ds-059366 (CPA 2.2), extra-EU trade in CPA 2410</t>
        </is>
      </c>
    </row>
    <row r="25" ht="15" customHeight="1">
      <c r="A25" s="30" t="inlineStr">
        <is>
          <t>I2 (steel, use)</t>
        </is>
      </c>
      <c r="B25" s="14" t="inlineStr">
        <is>
          <t>Steel apparent use (consumption) (EU)</t>
        </is>
      </c>
      <c r="C25" s="14" t="inlineStr">
        <is>
          <t>Industry</t>
        </is>
      </c>
      <c r="D25" s="14" t="inlineStr">
        <is>
          <t>Mt</t>
        </is>
      </c>
      <c r="E25" s="15" t="n">
        <v>2021</v>
      </c>
      <c r="F25" s="16" t="n">
        <v>149</v>
      </c>
      <c r="G25" s="15" t="n">
        <v>2025</v>
      </c>
      <c r="H25" s="16" t="n">
        <v>134.4</v>
      </c>
      <c r="I25" s="16" t="n">
        <v>-14.59999999999999</v>
      </c>
      <c r="J25" s="17" t="n">
        <v>-0.09798657718120801</v>
      </c>
      <c r="K25" s="18" t="inlineStr">
        <is>
          <t>No calc grid</t>
        </is>
      </c>
      <c r="L25" s="18" t="inlineStr">
        <is>
          <t>—</t>
        </is>
      </c>
      <c r="M25" s="19" t="inlineStr">
        <is>
          <t>Eurofer, Steel in figures 2022</t>
        </is>
      </c>
    </row>
    <row r="26" ht="15" customHeight="1">
      <c r="A26" s="31" t="inlineStr">
        <is>
          <t>I3</t>
        </is>
      </c>
      <c r="B26" s="21" t="inlineStr">
        <is>
          <t>Circular material use rate (EU)</t>
        </is>
      </c>
      <c r="C26" s="21" t="inlineStr">
        <is>
          <t>Industry</t>
        </is>
      </c>
      <c r="D26" s="21" t="inlineStr">
        <is>
          <t>%</t>
        </is>
      </c>
      <c r="E26" s="22" t="n">
        <v>2021</v>
      </c>
      <c r="F26" s="23" t="n">
        <v>11.7</v>
      </c>
      <c r="G26" s="22" t="n">
        <v>2024</v>
      </c>
      <c r="H26" s="23" t="n">
        <v>12.2</v>
      </c>
      <c r="I26" s="23" t="n">
        <v>0.5</v>
      </c>
      <c r="J26" s="24" t="n">
        <v>0.04273504273504274</v>
      </c>
      <c r="K26" s="25" t="inlineStr">
        <is>
          <t>Different recipe for the later years</t>
        </is>
      </c>
      <c r="L26" s="25" t="inlineStr">
        <is>
          <t>Reproduces from source</t>
        </is>
      </c>
      <c r="M26" s="26" t="inlineStr">
        <is>
          <t>Eurostat (cei_srm030)</t>
        </is>
      </c>
    </row>
    <row r="27" ht="15" customHeight="1">
      <c r="A27" s="30" t="inlineStr">
        <is>
          <t>I4 (cement)</t>
        </is>
      </c>
      <c r="B27" s="14" t="inlineStr">
        <is>
          <t>GHG intensity of EU cement production</t>
        </is>
      </c>
      <c r="C27" s="14" t="inlineStr">
        <is>
          <t>Industry</t>
        </is>
      </c>
      <c r="D27" s="14" t="inlineStr">
        <is>
          <t>t CO₂eq/t</t>
        </is>
      </c>
      <c r="E27" s="15" t="n">
        <v>2021</v>
      </c>
      <c r="F27" s="16" t="n">
        <v>0.6038</v>
      </c>
      <c r="G27" s="15" t="n">
        <v>2024</v>
      </c>
      <c r="H27" s="16" t="n">
        <v>0.5614</v>
      </c>
      <c r="I27" s="16" t="n">
        <v>-0.04239999999999999</v>
      </c>
      <c r="J27" s="17" t="n">
        <v>-0.07022192779065915</v>
      </c>
      <c r="K27" s="18" t="inlineStr">
        <is>
          <t>Report's formula, input back-computed</t>
        </is>
      </c>
      <c r="L27" s="18" t="inlineStr">
        <is>
          <t>—</t>
        </is>
      </c>
      <c r="M27" s="19" t="inlineStr">
        <is>
          <t>EEA + Cembureau</t>
        </is>
      </c>
    </row>
    <row r="28" ht="15" customHeight="1">
      <c r="A28" s="31" t="inlineStr">
        <is>
          <t>I4 (chemicals)</t>
        </is>
      </c>
      <c r="B28" s="21" t="inlineStr">
        <is>
          <t>GHG intensity of EU base organic chemicals</t>
        </is>
      </c>
      <c r="C28" s="21" t="inlineStr">
        <is>
          <t>Industry</t>
        </is>
      </c>
      <c r="D28" s="21" t="inlineStr">
        <is>
          <t>t CO₂eq/t</t>
        </is>
      </c>
      <c r="E28" s="22" t="n">
        <v>2022</v>
      </c>
      <c r="F28" s="23" t="n">
        <v>0.767</v>
      </c>
      <c r="G28" s="22" t="n">
        <v>2022</v>
      </c>
      <c r="H28" s="23" t="n">
        <v>0.767</v>
      </c>
      <c r="I28" s="23" t="n"/>
      <c r="J28" s="24" t="n"/>
      <c r="K28" s="25" t="inlineStr">
        <is>
          <t>No later data — report figure stands</t>
        </is>
      </c>
      <c r="L28" s="25" t="inlineStr">
        <is>
          <t>—</t>
        </is>
      </c>
      <c r="M28" s="26" t="inlineStr">
        <is>
          <t>EEA + Eurostat (DS-056120)</t>
        </is>
      </c>
    </row>
    <row r="29" ht="15" customHeight="1">
      <c r="A29" s="30" t="inlineStr">
        <is>
          <t>I4 (steel)</t>
        </is>
      </c>
      <c r="B29" s="14" t="inlineStr">
        <is>
          <t>GHG intensity of EU steel production</t>
        </is>
      </c>
      <c r="C29" s="14" t="inlineStr">
        <is>
          <t>Industry</t>
        </is>
      </c>
      <c r="D29" s="14" t="inlineStr">
        <is>
          <t>t CO₂eq/t</t>
        </is>
      </c>
      <c r="E29" s="15" t="n">
        <v>2021</v>
      </c>
      <c r="F29" s="16" t="n">
        <v>0.9623</v>
      </c>
      <c r="G29" s="15" t="n">
        <v>2024</v>
      </c>
      <c r="H29" s="16" t="n">
        <v>0.911</v>
      </c>
      <c r="I29" s="16" t="n">
        <v>-0.05130000000000001</v>
      </c>
      <c r="J29" s="17" t="n">
        <v>-0.05330977865530501</v>
      </c>
      <c r="K29" s="18" t="inlineStr">
        <is>
          <t>Report's formula, input back-computed</t>
        </is>
      </c>
      <c r="L29" s="18" t="inlineStr">
        <is>
          <t>—</t>
        </is>
      </c>
      <c r="M29" s="19" t="inlineStr">
        <is>
          <t>EEA + Eurofer</t>
        </is>
      </c>
    </row>
    <row r="30" ht="15" customHeight="1">
      <c r="A30" s="31" t="inlineStr">
        <is>
          <t>I5</t>
        </is>
      </c>
      <c r="B30" s="21" t="inlineStr">
        <is>
          <t>Industrial final energy consumption (EU)</t>
        </is>
      </c>
      <c r="C30" s="21" t="inlineStr">
        <is>
          <t>Industry</t>
        </is>
      </c>
      <c r="D30" s="21" t="inlineStr">
        <is>
          <t>TWh</t>
        </is>
      </c>
      <c r="E30" s="22" t="n">
        <v>2021</v>
      </c>
      <c r="F30" s="23" t="n">
        <v>2795.2</v>
      </c>
      <c r="G30" s="22" t="n">
        <v>2024</v>
      </c>
      <c r="H30" s="23" t="n">
        <v>2506.3</v>
      </c>
      <c r="I30" s="23" t="n">
        <v>-288.8999999999996</v>
      </c>
      <c r="J30" s="24" t="n">
        <v>-0.1033557527189466</v>
      </c>
      <c r="K30" s="25" t="inlineStr">
        <is>
          <t>Report's formula, input back-computed</t>
        </is>
      </c>
      <c r="L30" s="25" t="inlineStr">
        <is>
          <t>Published figure, not re-derived</t>
        </is>
      </c>
      <c r="M30" s="26" t="inlineStr">
        <is>
          <t>Eurostat (nrg_bal_c)</t>
        </is>
      </c>
    </row>
    <row r="31" ht="15" customHeight="1">
      <c r="A31" s="30" t="inlineStr">
        <is>
          <t>I6</t>
        </is>
      </c>
      <c r="B31" s="14" t="inlineStr">
        <is>
          <t>Electricity share of industrial final energy use</t>
        </is>
      </c>
      <c r="C31" s="14" t="inlineStr">
        <is>
          <t>Industry</t>
        </is>
      </c>
      <c r="D31" s="14" t="inlineStr">
        <is>
          <t>%</t>
        </is>
      </c>
      <c r="E31" s="15" t="n">
        <v>2021</v>
      </c>
      <c r="F31" s="16" t="n">
        <v>33.22</v>
      </c>
      <c r="G31" s="15" t="n">
        <v>2024</v>
      </c>
      <c r="H31" s="16" t="n">
        <v>34.02</v>
      </c>
      <c r="I31" s="16" t="n">
        <v>0.8000000000000043</v>
      </c>
      <c r="J31" s="17" t="n">
        <v>0.02408187838651428</v>
      </c>
      <c r="K31" s="18" t="inlineStr">
        <is>
          <t>Report's own derivation, continued</t>
        </is>
      </c>
      <c r="L31" s="18" t="inlineStr">
        <is>
          <t>2–5% off source</t>
        </is>
      </c>
      <c r="M31" s="19" t="inlineStr">
        <is>
          <t>Eurostat (nrg_bal_c)</t>
        </is>
      </c>
    </row>
    <row r="32" ht="15" customHeight="1">
      <c r="A32" s="31" t="inlineStr">
        <is>
          <t>I7a</t>
        </is>
      </c>
      <c r="B32" s="21" t="inlineStr">
        <is>
          <t>Low-carbon steel projects (EU)</t>
        </is>
      </c>
      <c r="C32" s="21" t="inlineStr">
        <is>
          <t>Industry</t>
        </is>
      </c>
      <c r="D32" s="21" t="inlineStr">
        <is>
          <t>projects</t>
        </is>
      </c>
      <c r="E32" s="22" t="n">
        <v>2023</v>
      </c>
      <c r="F32" s="23" t="n">
        <v>48</v>
      </c>
      <c r="G32" s="22" t="n">
        <v>2025</v>
      </c>
      <c r="H32" s="23" t="n">
        <v>56</v>
      </c>
      <c r="I32" s="23" t="n">
        <v>8</v>
      </c>
      <c r="J32" s="24" t="n">
        <v>0.1666666666666666</v>
      </c>
      <c r="K32" s="25" t="inlineStr">
        <is>
          <t>No calc grid</t>
        </is>
      </c>
      <c r="L32" s="25" t="inlineStr">
        <is>
          <t>—</t>
        </is>
      </c>
      <c r="M32" s="25" t="inlineStr">
        <is>
          <t>Green Steel Tracker (Leadership Group for Industry Transition)</t>
        </is>
      </c>
    </row>
    <row r="33" ht="15" customHeight="1">
      <c r="A33" s="30" t="inlineStr">
        <is>
          <t>I7b</t>
        </is>
      </c>
      <c r="B33" s="14" t="inlineStr">
        <is>
          <t>Low-carbon cement projects (EU)</t>
        </is>
      </c>
      <c r="C33" s="14" t="inlineStr">
        <is>
          <t>Industry</t>
        </is>
      </c>
      <c r="D33" s="14" t="inlineStr">
        <is>
          <t>projects</t>
        </is>
      </c>
      <c r="E33" s="15" t="n">
        <v>2023</v>
      </c>
      <c r="F33" s="16" t="n">
        <v>62</v>
      </c>
      <c r="G33" s="15" t="n">
        <v>2026</v>
      </c>
      <c r="H33" s="16" t="n">
        <v>114</v>
      </c>
      <c r="I33" s="16" t="n">
        <v>52</v>
      </c>
      <c r="J33" s="17" t="n">
        <v>0.8387096774193549</v>
      </c>
      <c r="K33" s="18" t="inlineStr">
        <is>
          <t>No calc grid</t>
        </is>
      </c>
      <c r="L33" s="18" t="inlineStr">
        <is>
          <t>—</t>
        </is>
      </c>
      <c r="M33" s="19" t="inlineStr">
        <is>
          <t>Cement Europe (formerly Cembureau) map of innovation projects</t>
        </is>
      </c>
    </row>
    <row r="34" ht="15" customHeight="1">
      <c r="A34" s="31" t="inlineStr">
        <is>
          <t>I7c</t>
        </is>
      </c>
      <c r="B34" s="21" t="inlineStr">
        <is>
          <t>Low-carbon chemicals projects (EU)</t>
        </is>
      </c>
      <c r="C34" s="21" t="inlineStr">
        <is>
          <t>Industry</t>
        </is>
      </c>
      <c r="D34" s="21" t="inlineStr">
        <is>
          <t>projects</t>
        </is>
      </c>
      <c r="E34" s="22" t="n">
        <v>2023</v>
      </c>
      <c r="F34" s="23" t="n">
        <v>171</v>
      </c>
      <c r="G34" s="22" t="n">
        <v>2026</v>
      </c>
      <c r="H34" s="23" t="n">
        <v>215</v>
      </c>
      <c r="I34" s="23" t="n">
        <v>44</v>
      </c>
      <c r="J34" s="24" t="n">
        <v>0.2573099415204678</v>
      </c>
      <c r="K34" s="25" t="inlineStr">
        <is>
          <t>No calc grid</t>
        </is>
      </c>
      <c r="L34" s="25" t="inlineStr">
        <is>
          <t>—</t>
        </is>
      </c>
      <c r="M34" s="25" t="inlineStr">
        <is>
          <t>Cefic Low-Carbon Technologies Projects Map (/wp-json/wp/v2/gips)</t>
        </is>
      </c>
    </row>
    <row r="35" ht="15" customHeight="1">
      <c r="A35" s="32" t="inlineStr">
        <is>
          <t>T1</t>
        </is>
      </c>
      <c r="B35" s="14" t="inlineStr">
        <is>
          <t>Transport GHG emissions (EU)</t>
        </is>
      </c>
      <c r="C35" s="14" t="inlineStr">
        <is>
          <t>Transport</t>
        </is>
      </c>
      <c r="D35" s="14" t="inlineStr">
        <is>
          <t>Mt CO₂eq</t>
        </is>
      </c>
      <c r="E35" s="15" t="n">
        <v>2022</v>
      </c>
      <c r="F35" s="16" t="n">
        <v>906.6</v>
      </c>
      <c r="G35" s="15" t="n">
        <v>2024</v>
      </c>
      <c r="H35" s="16" t="n">
        <v>920</v>
      </c>
      <c r="I35" s="16" t="n">
        <v>13.39999999999998</v>
      </c>
      <c r="J35" s="17" t="n">
        <v>0.01478049856607101</v>
      </c>
      <c r="K35" s="18" t="inlineStr">
        <is>
          <t>Different recipe for the later years</t>
        </is>
      </c>
      <c r="L35" s="18" t="inlineStr">
        <is>
          <t>Reproduces from source</t>
        </is>
      </c>
      <c r="M35" s="19" t="inlineStr">
        <is>
          <t>EEA GHG data viewer (Eurostat env_air_gge mirror)</t>
        </is>
      </c>
    </row>
    <row r="36" ht="15" customHeight="1">
      <c r="A36" s="33" t="inlineStr">
        <is>
          <t>T2a</t>
        </is>
      </c>
      <c r="B36" s="21" t="inlineStr">
        <is>
          <t>Total passenger transport demand</t>
        </is>
      </c>
      <c r="C36" s="21" t="inlineStr">
        <is>
          <t>Transport</t>
        </is>
      </c>
      <c r="D36" s="21" t="inlineStr">
        <is>
          <t>Gpkm</t>
        </is>
      </c>
      <c r="E36" s="22" t="n">
        <v>2020</v>
      </c>
      <c r="F36" s="23" t="n">
        <v>4435.8</v>
      </c>
      <c r="G36" s="22" t="n">
        <v>2023</v>
      </c>
      <c r="H36" s="23" t="n">
        <v>5932</v>
      </c>
      <c r="I36" s="23" t="n">
        <v>1496.2</v>
      </c>
      <c r="J36" s="24" t="n">
        <v>0.3373010505433067</v>
      </c>
      <c r="K36" s="25" t="inlineStr">
        <is>
          <t>Published figure, no derivation</t>
        </is>
      </c>
      <c r="L36" s="25" t="inlineStr">
        <is>
          <t>Published figure, not re-derived</t>
        </is>
      </c>
      <c r="M36" s="25" t="inlineStr">
        <is>
          <t>European Commission, DG MOVE — EU transport in figures: statistical pocketbook</t>
        </is>
      </c>
    </row>
    <row r="37" ht="15" customHeight="1">
      <c r="A37" s="32" t="inlineStr">
        <is>
          <t>T2b</t>
        </is>
      </c>
      <c r="B37" s="14" t="inlineStr">
        <is>
          <t>Total freight transport demand</t>
        </is>
      </c>
      <c r="C37" s="14" t="inlineStr">
        <is>
          <t>Transport</t>
        </is>
      </c>
      <c r="D37" s="14" t="inlineStr">
        <is>
          <t>Gtkm</t>
        </is>
      </c>
      <c r="E37" s="15" t="n">
        <v>2020</v>
      </c>
      <c r="F37" s="16" t="n">
        <v>2254</v>
      </c>
      <c r="G37" s="15" t="n">
        <v>2023</v>
      </c>
      <c r="H37" s="16" t="n">
        <v>2319</v>
      </c>
      <c r="I37" s="16" t="n">
        <v>65</v>
      </c>
      <c r="J37" s="17" t="n">
        <v>0.02883762200532387</v>
      </c>
      <c r="K37" s="18" t="inlineStr">
        <is>
          <t>Published figure, no derivation</t>
        </is>
      </c>
      <c r="L37" s="18" t="inlineStr">
        <is>
          <t>Published figure, not re-derived</t>
        </is>
      </c>
      <c r="M37" s="18" t="inlineStr">
        <is>
          <t>European Commission, DG MOVE — EU transport in figures: statistical pocketbook</t>
        </is>
      </c>
    </row>
    <row r="38" ht="15" customHeight="1">
      <c r="A38" s="33" t="inlineStr">
        <is>
          <t>T3a</t>
        </is>
      </c>
      <c r="B38" s="21" t="inlineStr">
        <is>
          <t>Road share of motorised inland passenger transport</t>
        </is>
      </c>
      <c r="C38" s="21" t="inlineStr">
        <is>
          <t>Transport</t>
        </is>
      </c>
      <c r="D38" s="21" t="inlineStr">
        <is>
          <t>%</t>
        </is>
      </c>
      <c r="E38" s="22" t="n">
        <v>2020</v>
      </c>
      <c r="F38" s="23" t="n">
        <v>86.5</v>
      </c>
      <c r="G38" s="22" t="n">
        <v>2024</v>
      </c>
      <c r="H38" s="23" t="n">
        <v>83.3</v>
      </c>
      <c r="I38" s="23" t="n">
        <v>-3.200000000000003</v>
      </c>
      <c r="J38" s="24" t="n">
        <v>-0.03699421965317922</v>
      </c>
      <c r="K38" s="25" t="inlineStr">
        <is>
          <t>Report's formula, input back-computed</t>
        </is>
      </c>
      <c r="L38" s="25" t="inlineStr">
        <is>
          <t>—</t>
        </is>
      </c>
      <c r="M38" s="25" t="inlineStr">
        <is>
          <t>European Commission, DG MOVE — EU transport in figures: statistical pocketbook</t>
        </is>
      </c>
    </row>
    <row r="39" ht="15" customHeight="1">
      <c r="A39" s="32" t="inlineStr">
        <is>
          <t>T3b</t>
        </is>
      </c>
      <c r="B39" s="14" t="inlineStr">
        <is>
          <t>Intra-EU air passenger transport</t>
        </is>
      </c>
      <c r="C39" s="14" t="inlineStr">
        <is>
          <t>Transport</t>
        </is>
      </c>
      <c r="D39" s="14" t="inlineStr">
        <is>
          <t>Gpkm</t>
        </is>
      </c>
      <c r="E39" s="15" t="n">
        <v>2020</v>
      </c>
      <c r="F39" s="16" t="n">
        <v>177.9</v>
      </c>
      <c r="G39" s="15" t="n">
        <v>2025</v>
      </c>
      <c r="H39" s="16" t="n">
        <v>637.8</v>
      </c>
      <c r="I39" s="16" t="n">
        <v>459.9</v>
      </c>
      <c r="J39" s="17" t="n">
        <v>2.585160202360877</v>
      </c>
      <c r="K39" s="18" t="inlineStr">
        <is>
          <t>Report's formula, input back-computed</t>
        </is>
      </c>
      <c r="L39" s="18" t="inlineStr">
        <is>
          <t>Published figure, not re-derived</t>
        </is>
      </c>
      <c r="M39" s="18" t="inlineStr">
        <is>
          <t>European Commission, DG MOVE — EU transport in figures: statistical pocketbook</t>
        </is>
      </c>
    </row>
    <row r="40" ht="15" customHeight="1">
      <c r="A40" s="33" t="inlineStr">
        <is>
          <t>T4</t>
        </is>
      </c>
      <c r="B40" s="21" t="inlineStr">
        <is>
          <t>Average CO₂ intensity of new passenger cars (WLTP)</t>
        </is>
      </c>
      <c r="C40" s="21" t="inlineStr">
        <is>
          <t>Transport</t>
        </is>
      </c>
      <c r="D40" s="21" t="inlineStr">
        <is>
          <t>g CO₂/km</t>
        </is>
      </c>
      <c r="E40" s="22" t="n">
        <v>2022</v>
      </c>
      <c r="F40" s="23" t="n">
        <v>108.2</v>
      </c>
      <c r="G40" s="22" t="n">
        <v>2025</v>
      </c>
      <c r="H40" s="23" t="n">
        <v>96.7</v>
      </c>
      <c r="I40" s="23" t="n">
        <v>-11.5</v>
      </c>
      <c r="J40" s="24" t="n">
        <v>-0.1062846580406654</v>
      </c>
      <c r="K40" s="25" t="inlineStr">
        <is>
          <t>Report's formula, input back-computed</t>
        </is>
      </c>
      <c r="L40" s="25" t="inlineStr">
        <is>
          <t>Published figure, not re-derived</t>
        </is>
      </c>
      <c r="M40" s="26" t="inlineStr">
        <is>
          <t>EEA</t>
        </is>
      </c>
    </row>
    <row r="41" ht="15" customHeight="1">
      <c r="A41" s="32" t="inlineStr">
        <is>
          <t>T5a</t>
        </is>
      </c>
      <c r="B41" s="14" t="inlineStr">
        <is>
          <t>ZEV share of new passenger car registrations</t>
        </is>
      </c>
      <c r="C41" s="14" t="inlineStr">
        <is>
          <t>Transport</t>
        </is>
      </c>
      <c r="D41" s="14" t="inlineStr">
        <is>
          <t>%</t>
        </is>
      </c>
      <c r="E41" s="15" t="n">
        <v>2022</v>
      </c>
      <c r="F41" s="16" t="n">
        <v>13.41</v>
      </c>
      <c r="G41" s="15" t="n">
        <v>2025</v>
      </c>
      <c r="H41" s="16" t="n">
        <v>17.4</v>
      </c>
      <c r="I41" s="16" t="n">
        <v>3.989999999999998</v>
      </c>
      <c r="J41" s="17" t="n">
        <v>0.2975391498881431</v>
      </c>
      <c r="K41" s="18" t="inlineStr">
        <is>
          <t>Published figure, no derivation</t>
        </is>
      </c>
      <c r="L41" s="18" t="inlineStr">
        <is>
          <t>Published figure, not re-derived</t>
        </is>
      </c>
      <c r="M41" s="19" t="inlineStr">
        <is>
          <t>EU Alternative Fuels Observatory</t>
        </is>
      </c>
    </row>
    <row r="42" ht="15" customHeight="1">
      <c r="A42" s="33" t="inlineStr">
        <is>
          <t>T5b</t>
        </is>
      </c>
      <c r="B42" s="21" t="inlineStr">
        <is>
          <t>Zero-emission lorries in the EU fleet</t>
        </is>
      </c>
      <c r="C42" s="21" t="inlineStr">
        <is>
          <t>Transport</t>
        </is>
      </c>
      <c r="D42" s="21" t="inlineStr">
        <is>
          <t>vehicles</t>
        </is>
      </c>
      <c r="E42" s="22" t="n">
        <v>2022</v>
      </c>
      <c r="F42" s="23" t="n">
        <v>3794</v>
      </c>
      <c r="G42" s="22" t="n">
        <v>2024</v>
      </c>
      <c r="H42" s="23" t="n">
        <v>9831</v>
      </c>
      <c r="I42" s="23" t="n">
        <v>6037</v>
      </c>
      <c r="J42" s="24" t="n">
        <v>1.591196626251977</v>
      </c>
      <c r="K42" s="25" t="inlineStr">
        <is>
          <t>Report's formula, input back-computed</t>
        </is>
      </c>
      <c r="L42" s="25" t="inlineStr">
        <is>
          <t>—</t>
        </is>
      </c>
      <c r="M42" s="26" t="inlineStr">
        <is>
          <t>EU Alternative Fuels Observatory; EEA for 2022</t>
        </is>
      </c>
    </row>
    <row r="43" ht="15" customHeight="1">
      <c r="A43" s="32" t="inlineStr">
        <is>
          <t>T6a</t>
        </is>
      </c>
      <c r="B43" s="14" t="inlineStr">
        <is>
          <t>Fossil share of transport energy use</t>
        </is>
      </c>
      <c r="C43" s="14" t="inlineStr">
        <is>
          <t>Transport</t>
        </is>
      </c>
      <c r="D43" s="14" t="inlineStr">
        <is>
          <t>%</t>
        </is>
      </c>
      <c r="E43" s="15" t="n">
        <v>2021</v>
      </c>
      <c r="F43" s="16" t="n">
        <v>93.44</v>
      </c>
      <c r="G43" s="15" t="n">
        <v>2024</v>
      </c>
      <c r="H43" s="16" t="n">
        <v>93.17</v>
      </c>
      <c r="I43" s="16" t="n">
        <v>-0.269999999999996</v>
      </c>
      <c r="J43" s="17" t="n">
        <v>-0.002889554794520505</v>
      </c>
      <c r="K43" s="18" t="inlineStr">
        <is>
          <t>Different recipe for the later years</t>
        </is>
      </c>
      <c r="L43" s="18" t="inlineStr">
        <is>
          <t>Reproduces from source</t>
        </is>
      </c>
      <c r="M43" s="19" t="inlineStr">
        <is>
          <t>Eurostat (nrg_bal_s)</t>
        </is>
      </c>
    </row>
    <row r="44" ht="15" customHeight="1">
      <c r="A44" s="33" t="inlineStr">
        <is>
          <t>T6b</t>
        </is>
      </c>
      <c r="B44" s="21" t="inlineStr">
        <is>
          <t>Use of first-generation (food-crop) biofuels in transport</t>
        </is>
      </c>
      <c r="C44" s="21" t="inlineStr">
        <is>
          <t>Transport</t>
        </is>
      </c>
      <c r="D44" s="21" t="inlineStr">
        <is>
          <t>TWh</t>
        </is>
      </c>
      <c r="E44" s="22" t="n">
        <v>2015</v>
      </c>
      <c r="F44" s="23" t="n">
        <v>118.1</v>
      </c>
      <c r="G44" s="22" t="n">
        <v>2024</v>
      </c>
      <c r="H44" s="23" t="n">
        <v>102.9</v>
      </c>
      <c r="I44" s="23" t="n">
        <v>-15.19999999999999</v>
      </c>
      <c r="J44" s="24" t="n">
        <v>-0.1287044877222692</v>
      </c>
      <c r="K44" s="25" t="inlineStr">
        <is>
          <t>Report's formula, input back-computed</t>
        </is>
      </c>
      <c r="L44" s="25" t="inlineStr">
        <is>
          <t>—</t>
        </is>
      </c>
      <c r="M44" s="25" t="inlineStr">
        <is>
          <t>SHARES summary</t>
        </is>
      </c>
    </row>
    <row r="45" ht="15" customHeight="1">
      <c r="A45" s="34" t="inlineStr">
        <is>
          <t>B1</t>
        </is>
      </c>
      <c r="B45" s="14" t="inlineStr">
        <is>
          <t>Residential + tertiary building GHG emissions</t>
        </is>
      </c>
      <c r="C45" s="14" t="inlineStr">
        <is>
          <t>Buildings</t>
        </is>
      </c>
      <c r="D45" s="14" t="inlineStr">
        <is>
          <t>Mt CO₂eq</t>
        </is>
      </c>
      <c r="E45" s="15" t="n">
        <v>2022</v>
      </c>
      <c r="F45" s="16" t="n">
        <v>481.8</v>
      </c>
      <c r="G45" s="15" t="n">
        <v>2024</v>
      </c>
      <c r="H45" s="16" t="n">
        <v>430.7</v>
      </c>
      <c r="I45" s="16" t="n">
        <v>-51.10000000000002</v>
      </c>
      <c r="J45" s="17" t="n">
        <v>-0.1060606060606061</v>
      </c>
      <c r="K45" s="18" t="inlineStr">
        <is>
          <t>Report's own derivation, continued</t>
        </is>
      </c>
      <c r="L45" s="18" t="inlineStr">
        <is>
          <t>Reproduces from source</t>
        </is>
      </c>
      <c r="M45" s="19" t="inlineStr">
        <is>
          <t>EEA GHG data viewer; 2023+ Eurostat (env_air_gge)</t>
        </is>
      </c>
    </row>
    <row r="46" ht="15" customHeight="1">
      <c r="A46" s="35" t="inlineStr">
        <is>
          <t>B2</t>
        </is>
      </c>
      <c r="B46" s="21" t="inlineStr">
        <is>
          <t>Final energy consumption in buildings</t>
        </is>
      </c>
      <c r="C46" s="21" t="inlineStr">
        <is>
          <t>Buildings</t>
        </is>
      </c>
      <c r="D46" s="21" t="inlineStr">
        <is>
          <t>TWh</t>
        </is>
      </c>
      <c r="E46" s="22" t="n">
        <v>2021</v>
      </c>
      <c r="F46" s="23" t="n">
        <v>4878.7</v>
      </c>
      <c r="G46" s="22" t="n">
        <v>2024</v>
      </c>
      <c r="H46" s="23" t="n">
        <v>4326.8</v>
      </c>
      <c r="I46" s="23" t="n">
        <v>-551.8999999999996</v>
      </c>
      <c r="J46" s="24" t="n">
        <v>-0.1131243978928812</v>
      </c>
      <c r="K46" s="25" t="inlineStr">
        <is>
          <t>Published figure, no derivation</t>
        </is>
      </c>
      <c r="L46" s="25" t="inlineStr">
        <is>
          <t>Published figure, not re-derived</t>
        </is>
      </c>
      <c r="M46" s="26" t="inlineStr">
        <is>
          <t>Eurostat (nrg_bal_c)</t>
        </is>
      </c>
    </row>
    <row r="47" ht="15" customHeight="1">
      <c r="A47" s="34" t="inlineStr">
        <is>
          <t>B3 (commercial)</t>
        </is>
      </c>
      <c r="B47" s="14" t="inlineStr">
        <is>
          <t>Commercial weighted renovation rate (EU)</t>
        </is>
      </c>
      <c r="C47" s="14" t="inlineStr">
        <is>
          <t>Buildings</t>
        </is>
      </c>
      <c r="D47" s="14" t="inlineStr">
        <is>
          <t>%</t>
        </is>
      </c>
      <c r="E47" s="15" t="n">
        <v>2020</v>
      </c>
      <c r="F47" s="16" t="n">
        <v>0.6</v>
      </c>
      <c r="G47" s="15" t="n">
        <v>2020</v>
      </c>
      <c r="H47" s="16" t="n">
        <v>0.6</v>
      </c>
      <c r="I47" s="16" t="n"/>
      <c r="J47" s="17" t="n"/>
      <c r="K47" s="18" t="inlineStr">
        <is>
          <t>No later data — report figure stands</t>
        </is>
      </c>
      <c r="L47" s="18" t="inlineStr">
        <is>
          <t>—</t>
        </is>
      </c>
      <c r="M47" s="18" t="inlineStr">
        <is>
          <t>Climate Target Plan impact assessment + Eurostat</t>
        </is>
      </c>
    </row>
    <row r="48" ht="15" customHeight="1">
      <c r="A48" s="35" t="inlineStr">
        <is>
          <t>B3 (residential)</t>
        </is>
      </c>
      <c r="B48" s="21" t="inlineStr">
        <is>
          <t>Residential weighted renovation rate (EU)</t>
        </is>
      </c>
      <c r="C48" s="21" t="inlineStr">
        <is>
          <t>Buildings</t>
        </is>
      </c>
      <c r="D48" s="21" t="inlineStr">
        <is>
          <t>%</t>
        </is>
      </c>
      <c r="E48" s="22" t="n">
        <v>2020</v>
      </c>
      <c r="F48" s="23" t="n">
        <v>1</v>
      </c>
      <c r="G48" s="22" t="n">
        <v>2020</v>
      </c>
      <c r="H48" s="23" t="n">
        <v>1</v>
      </c>
      <c r="I48" s="23" t="n"/>
      <c r="J48" s="24" t="n"/>
      <c r="K48" s="25" t="inlineStr">
        <is>
          <t>No later data — report figure stands</t>
        </is>
      </c>
      <c r="L48" s="25" t="inlineStr">
        <is>
          <t>—</t>
        </is>
      </c>
      <c r="M48" s="25" t="inlineStr">
        <is>
          <t>Climate Target Plan impact assessment + Eurostat</t>
        </is>
      </c>
    </row>
    <row r="49" ht="15" customHeight="1">
      <c r="A49" s="34" t="inlineStr">
        <is>
          <t>B4 (dwellings)</t>
        </is>
      </c>
      <c r="B49" s="14" t="inlineStr">
        <is>
          <t>Total number of dwellings (index, 2005 = 1.0)</t>
        </is>
      </c>
      <c r="C49" s="14" t="inlineStr">
        <is>
          <t>Buildings</t>
        </is>
      </c>
      <c r="D49" s="14" t="inlineStr">
        <is>
          <t>index (2005 = 1.0)</t>
        </is>
      </c>
      <c r="E49" s="15" t="n">
        <v>2016</v>
      </c>
      <c r="F49" s="16" t="n">
        <v>1.086</v>
      </c>
      <c r="G49" s="15" t="n">
        <v>2016</v>
      </c>
      <c r="H49" s="16" t="n">
        <v>1.086</v>
      </c>
      <c r="I49" s="16" t="n"/>
      <c r="J49" s="17" t="n"/>
      <c r="K49" s="18" t="inlineStr">
        <is>
          <t>No later data — report figure stands</t>
        </is>
      </c>
      <c r="L49" s="18" t="inlineStr">
        <is>
          <t>—</t>
        </is>
      </c>
      <c r="M49" s="19" t="inlineStr">
        <is>
          <t>European Building Stock Observatory (DG ENER) + Odyssee-Mure; population from Eurostat demo_gind</t>
        </is>
      </c>
    </row>
    <row r="50" ht="15" customHeight="1">
      <c r="A50" s="35" t="inlineStr">
        <is>
          <t>B4 (floor area)</t>
        </is>
      </c>
      <c r="B50" s="21" t="inlineStr">
        <is>
          <t>Average floor area per dwelling (index, 2005 = 1.0)</t>
        </is>
      </c>
      <c r="C50" s="21" t="inlineStr">
        <is>
          <t>Buildings</t>
        </is>
      </c>
      <c r="D50" s="21" t="inlineStr">
        <is>
          <t>index (2005 = 1.0)</t>
        </is>
      </c>
      <c r="E50" s="22" t="n">
        <v>2020</v>
      </c>
      <c r="F50" s="23" t="n">
        <v>1.044</v>
      </c>
      <c r="G50" s="22" t="n">
        <v>2020</v>
      </c>
      <c r="H50" s="23" t="n">
        <v>1.044</v>
      </c>
      <c r="I50" s="23" t="n"/>
      <c r="J50" s="24" t="n"/>
      <c r="K50" s="25" t="inlineStr">
        <is>
          <t>No later data — report figure stands</t>
        </is>
      </c>
      <c r="L50" s="25" t="inlineStr">
        <is>
          <t>—</t>
        </is>
      </c>
      <c r="M50" s="26" t="inlineStr">
        <is>
          <t>European Building Stock Observatory (DG ENER) + Odyssee-Mure; population from Eurostat demo_gind</t>
        </is>
      </c>
    </row>
    <row r="51" ht="15" customHeight="1">
      <c r="A51" s="34" t="inlineStr">
        <is>
          <t>B4 (population)</t>
        </is>
      </c>
      <c r="B51" s="14" t="inlineStr">
        <is>
          <t>EU population (index, 2005 = 1.0)</t>
        </is>
      </c>
      <c r="C51" s="14" t="inlineStr">
        <is>
          <t>Buildings</t>
        </is>
      </c>
      <c r="D51" s="14" t="inlineStr">
        <is>
          <t>index (2005 = 1.0)</t>
        </is>
      </c>
      <c r="E51" s="15" t="n">
        <v>2020</v>
      </c>
      <c r="F51" s="16" t="n">
        <v>1.028</v>
      </c>
      <c r="G51" s="15" t="n">
        <v>2025</v>
      </c>
      <c r="H51" s="16" t="n">
        <v>1.04</v>
      </c>
      <c r="I51" s="16" t="n">
        <v>0.01200000000000001</v>
      </c>
      <c r="J51" s="17" t="n">
        <v>0.01167315175097277</v>
      </c>
      <c r="K51" s="18" t="inlineStr">
        <is>
          <t>Different recipe for the later years</t>
        </is>
      </c>
      <c r="L51" s="18" t="inlineStr">
        <is>
          <t>Reproduces from source</t>
        </is>
      </c>
      <c r="M51" s="19" t="inlineStr">
        <is>
          <t>European Building Stock Observatory (DG ENER) + Odyssee-Mure; population from Eurostat demo_gind</t>
        </is>
      </c>
    </row>
    <row r="52" ht="15" customHeight="1">
      <c r="A52" s="35" t="inlineStr">
        <is>
          <t>B4 (surface residential)</t>
        </is>
      </c>
      <c r="B52" s="21" t="inlineStr">
        <is>
          <t>Total residential floor surface (index, 2005 = 1.0)</t>
        </is>
      </c>
      <c r="C52" s="21" t="inlineStr">
        <is>
          <t>Buildings</t>
        </is>
      </c>
      <c r="D52" s="21" t="inlineStr">
        <is>
          <t>index (2005 = 1.0)</t>
        </is>
      </c>
      <c r="E52" s="22" t="n">
        <v>2016</v>
      </c>
      <c r="F52" s="23" t="n">
        <v>1.131</v>
      </c>
      <c r="G52" s="22" t="n">
        <v>2016</v>
      </c>
      <c r="H52" s="23" t="n">
        <v>1.131</v>
      </c>
      <c r="I52" s="23" t="n"/>
      <c r="J52" s="24" t="n"/>
      <c r="K52" s="25" t="inlineStr">
        <is>
          <t>No later data — report figure stands</t>
        </is>
      </c>
      <c r="L52" s="25" t="inlineStr">
        <is>
          <t>—</t>
        </is>
      </c>
      <c r="M52" s="26" t="inlineStr">
        <is>
          <t>European Building Stock Observatory (DG ENER) + Odyssee-Mure; population from Eurostat demo_gind</t>
        </is>
      </c>
    </row>
    <row r="53" ht="15" customHeight="1">
      <c r="A53" s="34" t="inlineStr">
        <is>
          <t>B4 (surface tertiary)</t>
        </is>
      </c>
      <c r="B53" s="14" t="inlineStr">
        <is>
          <t>Total tertiary floor surface (index, 2005 = 1.0)</t>
        </is>
      </c>
      <c r="C53" s="14" t="inlineStr">
        <is>
          <t>Buildings</t>
        </is>
      </c>
      <c r="D53" s="14" t="inlineStr">
        <is>
          <t>index (2005 = 1.0)</t>
        </is>
      </c>
      <c r="E53" s="15" t="n">
        <v>2019</v>
      </c>
      <c r="F53" s="16" t="n">
        <v>1.12</v>
      </c>
      <c r="G53" s="15" t="n">
        <v>2019</v>
      </c>
      <c r="H53" s="16" t="n">
        <v>1.12</v>
      </c>
      <c r="I53" s="16" t="n"/>
      <c r="J53" s="17" t="n"/>
      <c r="K53" s="18" t="inlineStr">
        <is>
          <t>No later data — report figure stands</t>
        </is>
      </c>
      <c r="L53" s="18" t="inlineStr">
        <is>
          <t>—</t>
        </is>
      </c>
      <c r="M53" s="19" t="inlineStr">
        <is>
          <t>European Building Stock Observatory (DG ENER) + Odyssee-Mure; population from Eurostat demo_gind</t>
        </is>
      </c>
    </row>
    <row r="54" ht="15" customHeight="1">
      <c r="A54" s="35" t="inlineStr">
        <is>
          <t>B5a</t>
        </is>
      </c>
      <c r="B54" s="21" t="inlineStr">
        <is>
          <t>Fossil share of residential energy mix</t>
        </is>
      </c>
      <c r="C54" s="21" t="inlineStr">
        <is>
          <t>Buildings</t>
        </is>
      </c>
      <c r="D54" s="21" t="inlineStr">
        <is>
          <t>%</t>
        </is>
      </c>
      <c r="E54" s="22" t="n">
        <v>2021</v>
      </c>
      <c r="F54" s="23" t="n">
        <v>45.58</v>
      </c>
      <c r="G54" s="22" t="n">
        <v>2024</v>
      </c>
      <c r="H54" s="23" t="n">
        <v>41.74</v>
      </c>
      <c r="I54" s="23" t="n">
        <v>-3.839999999999996</v>
      </c>
      <c r="J54" s="24" t="n">
        <v>-0.08424747696358043</v>
      </c>
      <c r="K54" s="25" t="inlineStr">
        <is>
          <t>Published figure, no derivation</t>
        </is>
      </c>
      <c r="L54" s="25" t="inlineStr">
        <is>
          <t>Published figure, not re-derived</t>
        </is>
      </c>
      <c r="M54" s="26" t="inlineStr">
        <is>
          <t>Eurostat (nrg_bal_c)</t>
        </is>
      </c>
    </row>
    <row r="55" ht="15" customHeight="1">
      <c r="A55" s="34" t="inlineStr">
        <is>
          <t>B5b</t>
        </is>
      </c>
      <c r="B55" s="14" t="inlineStr">
        <is>
          <t>Fossil share of tertiary energy mix</t>
        </is>
      </c>
      <c r="C55" s="14" t="inlineStr">
        <is>
          <t>Buildings</t>
        </is>
      </c>
      <c r="D55" s="14" t="inlineStr">
        <is>
          <t>%</t>
        </is>
      </c>
      <c r="E55" s="15" t="n">
        <v>2021</v>
      </c>
      <c r="F55" s="16" t="n">
        <v>38.74</v>
      </c>
      <c r="G55" s="15" t="n">
        <v>2024</v>
      </c>
      <c r="H55" s="16" t="n">
        <v>32.85</v>
      </c>
      <c r="I55" s="16" t="n">
        <v>-5.890000000000001</v>
      </c>
      <c r="J55" s="17" t="n">
        <v>-0.1520392359318534</v>
      </c>
      <c r="K55" s="18" t="inlineStr">
        <is>
          <t>Published figure, no derivation</t>
        </is>
      </c>
      <c r="L55" s="18" t="inlineStr">
        <is>
          <t>Published figure, not re-derived</t>
        </is>
      </c>
      <c r="M55" s="19" t="inlineStr">
        <is>
          <t>Eurostat (nrg_bal_c)</t>
        </is>
      </c>
    </row>
    <row r="56" ht="15" customHeight="1">
      <c r="A56" s="35" t="inlineStr">
        <is>
          <t>B6</t>
        </is>
      </c>
      <c r="B56" s="21" t="inlineStr">
        <is>
          <t>EU stock of installed heat pumps</t>
        </is>
      </c>
      <c r="C56" s="21" t="inlineStr">
        <is>
          <t>Buildings</t>
        </is>
      </c>
      <c r="D56" s="21" t="inlineStr">
        <is>
          <t>million units</t>
        </is>
      </c>
      <c r="E56" s="22" t="n">
        <v>2022</v>
      </c>
      <c r="F56" s="23" t="n">
        <v>19.79</v>
      </c>
      <c r="G56" s="22" t="n">
        <v>2024</v>
      </c>
      <c r="H56" s="23" t="n">
        <v>25.5</v>
      </c>
      <c r="I56" s="23" t="n">
        <v>5.710000000000001</v>
      </c>
      <c r="J56" s="24" t="n">
        <v>0.2885295603840324</v>
      </c>
      <c r="K56" s="25" t="inlineStr">
        <is>
          <t>Report's formula, input back-computed</t>
        </is>
      </c>
      <c r="L56" s="25" t="inlineStr">
        <is>
          <t>Published figure, not re-derived</t>
        </is>
      </c>
      <c r="M56" s="26" t="inlineStr">
        <is>
          <t>European Heat Pump Association</t>
        </is>
      </c>
    </row>
    <row r="57" ht="15" customHeight="1">
      <c r="A57" s="36" t="inlineStr">
        <is>
          <t>A1</t>
        </is>
      </c>
      <c r="B57" s="14" t="inlineStr">
        <is>
          <t>Agricultural non-CO₂ emissions</t>
        </is>
      </c>
      <c r="C57" s="14" t="inlineStr">
        <is>
          <t>Agriculture</t>
        </is>
      </c>
      <c r="D57" s="14" t="inlineStr">
        <is>
          <t>Mt CO₂eq</t>
        </is>
      </c>
      <c r="E57" s="15" t="n">
        <v>2022</v>
      </c>
      <c r="F57" s="16" t="n">
        <v>360.9</v>
      </c>
      <c r="G57" s="15" t="n">
        <v>2024</v>
      </c>
      <c r="H57" s="16" t="n">
        <v>355.7</v>
      </c>
      <c r="I57" s="16" t="n">
        <v>-5.199999999999989</v>
      </c>
      <c r="J57" s="17" t="n">
        <v>-0.01440842338597947</v>
      </c>
      <c r="K57" s="18" t="inlineStr">
        <is>
          <t>Different recipe for the later years</t>
        </is>
      </c>
      <c r="L57" s="18" t="inlineStr">
        <is>
          <t>Reproduces from source</t>
        </is>
      </c>
      <c r="M57" s="19" t="inlineStr">
        <is>
          <t>EEA GHG data viewer; 2023+ Eurostat (env_air_gge, GWP-weighted)</t>
        </is>
      </c>
    </row>
    <row r="58" ht="15" customHeight="1">
      <c r="A58" s="37" t="inlineStr">
        <is>
          <t>A2 (bovine, GHG)</t>
        </is>
      </c>
      <c r="B58" s="21" t="inlineStr">
        <is>
          <t>Bovine meat: GHG emissions (EU)</t>
        </is>
      </c>
      <c r="C58" s="21" t="inlineStr">
        <is>
          <t>Agriculture</t>
        </is>
      </c>
      <c r="D58" s="21" t="inlineStr">
        <is>
          <t>Mt CO₂eq</t>
        </is>
      </c>
      <c r="E58" s="22" t="n">
        <v>2021</v>
      </c>
      <c r="F58" s="23" t="n">
        <v>100.3</v>
      </c>
      <c r="G58" s="22" t="n">
        <v>2024</v>
      </c>
      <c r="H58" s="23" t="n">
        <v>96.81999999999999</v>
      </c>
      <c r="I58" s="23" t="n">
        <v>-3.480000000000004</v>
      </c>
      <c r="J58" s="24" t="n">
        <v>-0.03469591226321041</v>
      </c>
      <c r="K58" s="25" t="inlineStr">
        <is>
          <t>No calc grid</t>
        </is>
      </c>
      <c r="L58" s="25" t="inlineStr">
        <is>
          <t>—</t>
        </is>
      </c>
      <c r="M58" s="26" t="inlineStr">
        <is>
          <t>EEA GHG data viewer + Eurostat/FAOSTAT production</t>
        </is>
      </c>
    </row>
    <row r="59" ht="15" customHeight="1">
      <c r="A59" s="36" t="inlineStr">
        <is>
          <t>A2 (bovine, intensity)</t>
        </is>
      </c>
      <c r="B59" s="14" t="inlineStr">
        <is>
          <t>Bovine meat: GHG intensity (EU)</t>
        </is>
      </c>
      <c r="C59" s="14" t="inlineStr">
        <is>
          <t>Agriculture</t>
        </is>
      </c>
      <c r="D59" s="14" t="inlineStr">
        <is>
          <t>t CO₂eq/t</t>
        </is>
      </c>
      <c r="E59" s="15" t="n">
        <v>2020</v>
      </c>
      <c r="F59" s="16" t="n">
        <v>14.53</v>
      </c>
      <c r="G59" s="15" t="n">
        <v>2024</v>
      </c>
      <c r="H59" s="16" t="n">
        <v>14.447</v>
      </c>
      <c r="I59" s="16" t="n">
        <v>-0.08300000000000018</v>
      </c>
      <c r="J59" s="17" t="n">
        <v>-0.005712319339298017</v>
      </c>
      <c r="K59" s="18" t="inlineStr">
        <is>
          <t>No calc grid</t>
        </is>
      </c>
      <c r="L59" s="18" t="inlineStr">
        <is>
          <t>—</t>
        </is>
      </c>
      <c r="M59" s="19" t="inlineStr">
        <is>
          <t>EEA GHG data viewer + Eurostat/FAOSTAT production</t>
        </is>
      </c>
    </row>
    <row r="60" ht="15" customHeight="1">
      <c r="A60" s="37" t="inlineStr">
        <is>
          <t>A2 (bovine, production)</t>
        </is>
      </c>
      <c r="B60" s="21" t="inlineStr">
        <is>
          <t>Bovine meat: production (EU)</t>
        </is>
      </c>
      <c r="C60" s="21" t="inlineStr">
        <is>
          <t>Agriculture</t>
        </is>
      </c>
      <c r="D60" s="21" t="inlineStr">
        <is>
          <t>Mt</t>
        </is>
      </c>
      <c r="E60" s="22" t="n">
        <v>2020</v>
      </c>
      <c r="F60" s="23" t="n">
        <v>6.936</v>
      </c>
      <c r="G60" s="22" t="n">
        <v>2025</v>
      </c>
      <c r="H60" s="23" t="n">
        <v>6.32</v>
      </c>
      <c r="I60" s="23" t="n">
        <v>-0.6159999999999997</v>
      </c>
      <c r="J60" s="24" t="n">
        <v>-0.08881199538638979</v>
      </c>
      <c r="K60" s="25" t="inlineStr">
        <is>
          <t>Different recipe for the later years</t>
        </is>
      </c>
      <c r="L60" s="25" t="inlineStr">
        <is>
          <t>Reproduces from source</t>
        </is>
      </c>
      <c r="M60" s="26" t="inlineStr">
        <is>
          <t>Eurostat (apro_mt_pann)</t>
        </is>
      </c>
    </row>
    <row r="61" ht="15" customHeight="1">
      <c r="A61" s="36" t="inlineStr">
        <is>
          <t>A2 (dairy, GHG)</t>
        </is>
      </c>
      <c r="B61" s="14" t="inlineStr">
        <is>
          <t>Dairy products: GHG emissions (EU)</t>
        </is>
      </c>
      <c r="C61" s="14" t="inlineStr">
        <is>
          <t>Agriculture</t>
        </is>
      </c>
      <c r="D61" s="14" t="inlineStr">
        <is>
          <t>Mt CO₂eq</t>
        </is>
      </c>
      <c r="E61" s="15" t="n">
        <v>2021</v>
      </c>
      <c r="F61" s="16" t="n">
        <v>97.79000000000001</v>
      </c>
      <c r="G61" s="15" t="n">
        <v>2024</v>
      </c>
      <c r="H61" s="16" t="n">
        <v>94.56999999999999</v>
      </c>
      <c r="I61" s="16" t="n">
        <v>-3.220000000000013</v>
      </c>
      <c r="J61" s="17" t="n">
        <v>-0.03292770221904093</v>
      </c>
      <c r="K61" s="18" t="inlineStr">
        <is>
          <t>No calc grid</t>
        </is>
      </c>
      <c r="L61" s="18" t="inlineStr">
        <is>
          <t>—</t>
        </is>
      </c>
      <c r="M61" s="19" t="inlineStr">
        <is>
          <t>EEA GHG data viewer + Eurostat/FAOSTAT production</t>
        </is>
      </c>
    </row>
    <row r="62" ht="15" customHeight="1">
      <c r="A62" s="37" t="inlineStr">
        <is>
          <t>A2 (dairy, intensity)</t>
        </is>
      </c>
      <c r="B62" s="21" t="inlineStr">
        <is>
          <t>Dairy products: GHG intensity (EU)</t>
        </is>
      </c>
      <c r="C62" s="21" t="inlineStr">
        <is>
          <t>Agriculture</t>
        </is>
      </c>
      <c r="D62" s="21" t="inlineStr">
        <is>
          <t>t CO₂eq/t</t>
        </is>
      </c>
      <c r="E62" s="22" t="n">
        <v>2020</v>
      </c>
      <c r="F62" s="23" t="n">
        <v>0.6049</v>
      </c>
      <c r="G62" s="22" t="n">
        <v>2024</v>
      </c>
      <c r="H62" s="23" t="n">
        <v>0.5728</v>
      </c>
      <c r="I62" s="23" t="n">
        <v>-0.03210000000000002</v>
      </c>
      <c r="J62" s="24" t="n">
        <v>-0.05306662258224503</v>
      </c>
      <c r="K62" s="25" t="inlineStr">
        <is>
          <t>No calc grid</t>
        </is>
      </c>
      <c r="L62" s="25" t="inlineStr">
        <is>
          <t>—</t>
        </is>
      </c>
      <c r="M62" s="26" t="inlineStr">
        <is>
          <t>EEA GHG data viewer + Eurostat/FAOSTAT production</t>
        </is>
      </c>
    </row>
    <row r="63" ht="15" customHeight="1">
      <c r="A63" s="36" t="inlineStr">
        <is>
          <t>A2 (dairy, production)</t>
        </is>
      </c>
      <c r="B63" s="14" t="inlineStr">
        <is>
          <t>Dairy products: production (EU)</t>
        </is>
      </c>
      <c r="C63" s="14" t="inlineStr">
        <is>
          <t>Agriculture</t>
        </is>
      </c>
      <c r="D63" s="14" t="inlineStr">
        <is>
          <t>Mt</t>
        </is>
      </c>
      <c r="E63" s="15" t="n">
        <v>2020</v>
      </c>
      <c r="F63" s="16" t="n">
        <v>163.1</v>
      </c>
      <c r="G63" s="15" t="n">
        <v>2024</v>
      </c>
      <c r="H63" s="16" t="n">
        <v>164.6</v>
      </c>
      <c r="I63" s="16" t="n">
        <v>1.5</v>
      </c>
      <c r="J63" s="17" t="n">
        <v>0.009196811771919068</v>
      </c>
      <c r="K63" s="18" t="inlineStr">
        <is>
          <t>Different recipe for the later years</t>
        </is>
      </c>
      <c r="L63" s="18" t="inlineStr">
        <is>
          <t>Reproduces from source</t>
        </is>
      </c>
      <c r="M63" s="19" t="inlineStr">
        <is>
          <t>Eurostat (apro_mk_farm)</t>
        </is>
      </c>
    </row>
    <row r="64" ht="15" customHeight="1">
      <c r="A64" s="37" t="inlineStr">
        <is>
          <t>A2 (pig, GHG)</t>
        </is>
      </c>
      <c r="B64" s="21" t="inlineStr">
        <is>
          <t>Pig meat: GHG emissions (EU)</t>
        </is>
      </c>
      <c r="C64" s="21" t="inlineStr">
        <is>
          <t>Agriculture</t>
        </is>
      </c>
      <c r="D64" s="21" t="inlineStr">
        <is>
          <t>Mt CO₂eq</t>
        </is>
      </c>
      <c r="E64" s="22" t="n">
        <v>2021</v>
      </c>
      <c r="F64" s="23" t="n">
        <v>28.58</v>
      </c>
      <c r="G64" s="22" t="n">
        <v>2024</v>
      </c>
      <c r="H64" s="23" t="n">
        <v>26.18</v>
      </c>
      <c r="I64" s="23" t="n">
        <v>-2.399999999999999</v>
      </c>
      <c r="J64" s="24" t="n">
        <v>-0.08397480755773264</v>
      </c>
      <c r="K64" s="25" t="inlineStr">
        <is>
          <t>Different recipe for the later years</t>
        </is>
      </c>
      <c r="L64" s="25" t="inlineStr">
        <is>
          <t>Reproduces from source</t>
        </is>
      </c>
      <c r="M64" s="26" t="inlineStr">
        <is>
          <t>EEA GHG data viewer; 2022+ Eurostat (env_air_gge, swine CRF3A3+3B3)</t>
        </is>
      </c>
    </row>
    <row r="65" ht="15" customHeight="1">
      <c r="A65" s="36" t="inlineStr">
        <is>
          <t>A2 (pig, intensity)</t>
        </is>
      </c>
      <c r="B65" s="14" t="inlineStr">
        <is>
          <t>Pig meat: GHG intensity (EU)</t>
        </is>
      </c>
      <c r="C65" s="14" t="inlineStr">
        <is>
          <t>Agriculture</t>
        </is>
      </c>
      <c r="D65" s="14" t="inlineStr">
        <is>
          <t>t CO₂eq/t</t>
        </is>
      </c>
      <c r="E65" s="15" t="n">
        <v>2020</v>
      </c>
      <c r="F65" s="16" t="n">
        <v>1.264</v>
      </c>
      <c r="G65" s="15" t="n">
        <v>2024</v>
      </c>
      <c r="H65" s="16" t="n">
        <v>1.238</v>
      </c>
      <c r="I65" s="16" t="n">
        <v>-0.02600000000000002</v>
      </c>
      <c r="J65" s="17" t="n">
        <v>-0.02056962025316458</v>
      </c>
      <c r="K65" s="18" t="inlineStr">
        <is>
          <t>Different recipe for the later years</t>
        </is>
      </c>
      <c r="L65" s="18" t="inlineStr">
        <is>
          <t>Reproduces from source</t>
        </is>
      </c>
      <c r="M65" s="19" t="inlineStr">
        <is>
          <t>EEA GHG data viewer; 2021+ Eurostat (env_air_gge ÷ apro_mt_pann)</t>
        </is>
      </c>
    </row>
    <row r="66" ht="15" customHeight="1">
      <c r="A66" s="37" t="inlineStr">
        <is>
          <t>A2 (pig, production)</t>
        </is>
      </c>
      <c r="B66" s="21" t="inlineStr">
        <is>
          <t>Pig meat: production (EU)</t>
        </is>
      </c>
      <c r="C66" s="21" t="inlineStr">
        <is>
          <t>Agriculture</t>
        </is>
      </c>
      <c r="D66" s="21" t="inlineStr">
        <is>
          <t>Mt</t>
        </is>
      </c>
      <c r="E66" s="22" t="n">
        <v>2020</v>
      </c>
      <c r="F66" s="23" t="n">
        <v>23.22</v>
      </c>
      <c r="G66" s="22" t="n">
        <v>2025</v>
      </c>
      <c r="H66" s="23" t="n">
        <v>21.84</v>
      </c>
      <c r="I66" s="23" t="n">
        <v>-1.379999999999999</v>
      </c>
      <c r="J66" s="24" t="n">
        <v>-0.05943152454780358</v>
      </c>
      <c r="K66" s="25" t="inlineStr">
        <is>
          <t>Different recipe for the later years</t>
        </is>
      </c>
      <c r="L66" s="25" t="inlineStr">
        <is>
          <t>Reproduces from source</t>
        </is>
      </c>
      <c r="M66" s="26" t="inlineStr">
        <is>
          <t>Eurostat (apro_mt_pann)</t>
        </is>
      </c>
    </row>
    <row r="67" ht="15" customHeight="1">
      <c r="A67" s="36" t="inlineStr">
        <is>
          <t>A3 (NUE)</t>
        </is>
      </c>
      <c r="B67" s="14" t="inlineStr">
        <is>
          <t>Nitrogen use efficiency in EU agriculture</t>
        </is>
      </c>
      <c r="C67" s="14" t="inlineStr">
        <is>
          <t>Agriculture</t>
        </is>
      </c>
      <c r="D67" s="14" t="inlineStr">
        <is>
          <t>%</t>
        </is>
      </c>
      <c r="E67" s="15" t="n">
        <v>2020</v>
      </c>
      <c r="F67" s="16" t="n">
        <v>49.03</v>
      </c>
      <c r="G67" s="15" t="n">
        <v>2020</v>
      </c>
      <c r="H67" s="16" t="n">
        <v>49.03</v>
      </c>
      <c r="I67" s="16" t="n"/>
      <c r="J67" s="17" t="n"/>
      <c r="K67" s="18" t="inlineStr">
        <is>
          <t>No later data — report figure stands</t>
        </is>
      </c>
      <c r="L67" s="18" t="inlineStr">
        <is>
          <t>—</t>
        </is>
      </c>
      <c r="M67" s="18" t="inlineStr">
        <is>
          <t>Ludemann et al. 2023</t>
        </is>
      </c>
    </row>
    <row r="68" ht="15" customHeight="1">
      <c r="A68" s="37" t="inlineStr">
        <is>
          <t>A3 (use)</t>
        </is>
      </c>
      <c r="B68" s="21" t="inlineStr">
        <is>
          <t>Total fertiliser nitrogen use (EU)</t>
        </is>
      </c>
      <c r="C68" s="21" t="inlineStr">
        <is>
          <t>Agriculture</t>
        </is>
      </c>
      <c r="D68" s="21" t="inlineStr">
        <is>
          <t>Mt N</t>
        </is>
      </c>
      <c r="E68" s="22" t="n">
        <v>2021</v>
      </c>
      <c r="F68" s="23" t="n">
        <v>15.01</v>
      </c>
      <c r="G68" s="22" t="n">
        <v>2021</v>
      </c>
      <c r="H68" s="23" t="n">
        <v>15.01</v>
      </c>
      <c r="I68" s="23" t="n"/>
      <c r="J68" s="24" t="n"/>
      <c r="K68" s="25" t="inlineStr">
        <is>
          <t>No later data — report figure stands</t>
        </is>
      </c>
      <c r="L68" s="25" t="inlineStr">
        <is>
          <t>—</t>
        </is>
      </c>
      <c r="M68" s="26" t="inlineStr">
        <is>
          <t>EU GHG inventory (CRF)</t>
        </is>
      </c>
    </row>
    <row r="69" ht="15" customHeight="1">
      <c r="A69" s="36" t="inlineStr">
        <is>
          <t>A4 (bovine, consumption)</t>
        </is>
      </c>
      <c r="B69" s="14" t="inlineStr">
        <is>
          <t>Bovine meat: consumption (EU)</t>
        </is>
      </c>
      <c r="C69" s="14" t="inlineStr">
        <is>
          <t>Agriculture</t>
        </is>
      </c>
      <c r="D69" s="14" t="inlineStr">
        <is>
          <t>Mt</t>
        </is>
      </c>
      <c r="E69" s="15" t="n">
        <v>2020</v>
      </c>
      <c r="F69" s="16" t="n">
        <v>6.115</v>
      </c>
      <c r="G69" s="15" t="n">
        <v>2023</v>
      </c>
      <c r="H69" s="16" t="n">
        <v>5.867</v>
      </c>
      <c r="I69" s="16" t="n">
        <v>-0.2480000000000002</v>
      </c>
      <c r="J69" s="17" t="n">
        <v>-0.04055600981193788</v>
      </c>
      <c r="K69" s="18" t="inlineStr">
        <is>
          <t>No calc grid</t>
        </is>
      </c>
      <c r="L69" s="18" t="inlineStr">
        <is>
          <t>—</t>
        </is>
      </c>
      <c r="M69" s="18" t="inlineStr">
        <is>
          <t>FAOSTAT food balance sheets</t>
        </is>
      </c>
    </row>
    <row r="70" ht="15" customHeight="1">
      <c r="A70" s="37" t="inlineStr">
        <is>
          <t>A4 (bovine, herd)</t>
        </is>
      </c>
      <c r="B70" s="21" t="inlineStr">
        <is>
          <t>Bovine meat: herd size (EU)</t>
        </is>
      </c>
      <c r="C70" s="21" t="inlineStr">
        <is>
          <t>Agriculture</t>
        </is>
      </c>
      <c r="D70" s="21" t="inlineStr">
        <is>
          <t>million heads</t>
        </is>
      </c>
      <c r="E70" s="22" t="n">
        <v>2020</v>
      </c>
      <c r="F70" s="23" t="n">
        <v>60.16</v>
      </c>
      <c r="G70" s="22" t="n">
        <v>2025</v>
      </c>
      <c r="H70" s="23" t="n">
        <v>56.26</v>
      </c>
      <c r="I70" s="23" t="n">
        <v>-3.899999999999999</v>
      </c>
      <c r="J70" s="24" t="n">
        <v>-0.06482712765957445</v>
      </c>
      <c r="K70" s="25" t="inlineStr">
        <is>
          <t>Different recipe for the later years</t>
        </is>
      </c>
      <c r="L70" s="25" t="inlineStr">
        <is>
          <t>Reproduces from source</t>
        </is>
      </c>
      <c r="M70" s="26" t="inlineStr">
        <is>
          <t>EU GHG inventory (CRF) livestock populations; 2021+ Eurostat survey trend</t>
        </is>
      </c>
    </row>
    <row r="71" ht="15" customHeight="1">
      <c r="A71" s="36" t="inlineStr">
        <is>
          <t>A4 (bovine, production)</t>
        </is>
      </c>
      <c r="B71" s="14" t="inlineStr">
        <is>
          <t>Bovine meat: production (EU)</t>
        </is>
      </c>
      <c r="C71" s="14" t="inlineStr">
        <is>
          <t>Agriculture</t>
        </is>
      </c>
      <c r="D71" s="14" t="inlineStr">
        <is>
          <t>Mt</t>
        </is>
      </c>
      <c r="E71" s="15" t="n">
        <v>2020</v>
      </c>
      <c r="F71" s="16" t="n">
        <v>6.936</v>
      </c>
      <c r="G71" s="15" t="n">
        <v>2025</v>
      </c>
      <c r="H71" s="16" t="n">
        <v>6.32</v>
      </c>
      <c r="I71" s="16" t="n">
        <v>-0.6159999999999997</v>
      </c>
      <c r="J71" s="17" t="n">
        <v>-0.08881199538638979</v>
      </c>
      <c r="K71" s="18" t="inlineStr">
        <is>
          <t>Different recipe for the later years</t>
        </is>
      </c>
      <c r="L71" s="18" t="inlineStr">
        <is>
          <t>Reproduces from source</t>
        </is>
      </c>
      <c r="M71" s="19" t="inlineStr">
        <is>
          <t>Eurostat (apro_mt_pann)</t>
        </is>
      </c>
    </row>
    <row r="72" ht="15" customHeight="1">
      <c r="A72" s="37" t="inlineStr">
        <is>
          <t>A4 (dairy, consumption)</t>
        </is>
      </c>
      <c r="B72" s="21" t="inlineStr">
        <is>
          <t>Dairy products: consumption (EU)</t>
        </is>
      </c>
      <c r="C72" s="21" t="inlineStr">
        <is>
          <t>Agriculture</t>
        </is>
      </c>
      <c r="D72" s="21" t="inlineStr">
        <is>
          <t>Mt</t>
        </is>
      </c>
      <c r="E72" s="22" t="n">
        <v>2020</v>
      </c>
      <c r="F72" s="23" t="n">
        <v>86.63</v>
      </c>
      <c r="G72" s="22" t="n">
        <v>2023</v>
      </c>
      <c r="H72" s="23" t="n">
        <v>91.16200000000001</v>
      </c>
      <c r="I72" s="23" t="n">
        <v>4.532000000000011</v>
      </c>
      <c r="J72" s="24" t="n">
        <v>0.05231444072492221</v>
      </c>
      <c r="K72" s="25" t="inlineStr">
        <is>
          <t>No calc grid</t>
        </is>
      </c>
      <c r="L72" s="25" t="inlineStr">
        <is>
          <t>—</t>
        </is>
      </c>
      <c r="M72" s="25" t="inlineStr">
        <is>
          <t>FAOSTAT food balance sheets</t>
        </is>
      </c>
    </row>
    <row r="73" ht="15" customHeight="1">
      <c r="A73" s="36" t="inlineStr">
        <is>
          <t>A4 (dairy, herd)</t>
        </is>
      </c>
      <c r="B73" s="14" t="inlineStr">
        <is>
          <t>Dairy products: herd size (EU)</t>
        </is>
      </c>
      <c r="C73" s="14" t="inlineStr">
        <is>
          <t>Agriculture</t>
        </is>
      </c>
      <c r="D73" s="14" t="inlineStr">
        <is>
          <t>million heads</t>
        </is>
      </c>
      <c r="E73" s="15" t="n">
        <v>2020</v>
      </c>
      <c r="F73" s="16" t="n">
        <v>20.63</v>
      </c>
      <c r="G73" s="15" t="n">
        <v>2025</v>
      </c>
      <c r="H73" s="16" t="n">
        <v>19.02</v>
      </c>
      <c r="I73" s="16" t="n">
        <v>-1.609999999999999</v>
      </c>
      <c r="J73" s="17" t="n">
        <v>-0.07804168686379057</v>
      </c>
      <c r="K73" s="18" t="inlineStr">
        <is>
          <t>Different recipe for the later years</t>
        </is>
      </c>
      <c r="L73" s="18" t="inlineStr">
        <is>
          <t>Reproduces from source</t>
        </is>
      </c>
      <c r="M73" s="19" t="inlineStr">
        <is>
          <t>EU GHG inventory (CRF) livestock populations; 2021+ Eurostat survey trend</t>
        </is>
      </c>
    </row>
    <row r="74" ht="15" customHeight="1">
      <c r="A74" s="37" t="inlineStr">
        <is>
          <t>A4 (dairy, production)</t>
        </is>
      </c>
      <c r="B74" s="21" t="inlineStr">
        <is>
          <t>Dairy products: production (EU)</t>
        </is>
      </c>
      <c r="C74" s="21" t="inlineStr">
        <is>
          <t>Agriculture</t>
        </is>
      </c>
      <c r="D74" s="21" t="inlineStr">
        <is>
          <t>Mt</t>
        </is>
      </c>
      <c r="E74" s="22" t="n">
        <v>2020</v>
      </c>
      <c r="F74" s="23" t="n">
        <v>163.1</v>
      </c>
      <c r="G74" s="22" t="n">
        <v>2024</v>
      </c>
      <c r="H74" s="23" t="n">
        <v>164.6</v>
      </c>
      <c r="I74" s="23" t="n">
        <v>1.5</v>
      </c>
      <c r="J74" s="24" t="n">
        <v>0.009196811771919068</v>
      </c>
      <c r="K74" s="25" t="inlineStr">
        <is>
          <t>Different recipe for the later years</t>
        </is>
      </c>
      <c r="L74" s="25" t="inlineStr">
        <is>
          <t>Reproduces from source</t>
        </is>
      </c>
      <c r="M74" s="26" t="inlineStr">
        <is>
          <t>Eurostat (apro_mk_farm)</t>
        </is>
      </c>
    </row>
    <row r="75" ht="15" customHeight="1">
      <c r="A75" s="36" t="inlineStr">
        <is>
          <t>A4 (pig, consumption)</t>
        </is>
      </c>
      <c r="B75" s="14" t="inlineStr">
        <is>
          <t>Pig meat: consumption (EU)</t>
        </is>
      </c>
      <c r="C75" s="14" t="inlineStr">
        <is>
          <t>Agriculture</t>
        </is>
      </c>
      <c r="D75" s="14" t="inlineStr">
        <is>
          <t>Mt</t>
        </is>
      </c>
      <c r="E75" s="15" t="n">
        <v>2020</v>
      </c>
      <c r="F75" s="16" t="n">
        <v>17.46</v>
      </c>
      <c r="G75" s="15" t="n">
        <v>2023</v>
      </c>
      <c r="H75" s="16" t="n">
        <v>17.397</v>
      </c>
      <c r="I75" s="16" t="n">
        <v>-0.06300000000000239</v>
      </c>
      <c r="J75" s="17" t="n">
        <v>-0.003608247422680549</v>
      </c>
      <c r="K75" s="18" t="inlineStr">
        <is>
          <t>No calc grid</t>
        </is>
      </c>
      <c r="L75" s="18" t="inlineStr">
        <is>
          <t>—</t>
        </is>
      </c>
      <c r="M75" s="18" t="inlineStr">
        <is>
          <t>FAOSTAT food balance sheets</t>
        </is>
      </c>
    </row>
    <row r="76" ht="15" customHeight="1">
      <c r="A76" s="37" t="inlineStr">
        <is>
          <t>A4 (pig, herd)</t>
        </is>
      </c>
      <c r="B76" s="21" t="inlineStr">
        <is>
          <t>Pig meat: herd size (EU)</t>
        </is>
      </c>
      <c r="C76" s="21" t="inlineStr">
        <is>
          <t>Agriculture</t>
        </is>
      </c>
      <c r="D76" s="21" t="inlineStr">
        <is>
          <t>million heads</t>
        </is>
      </c>
      <c r="E76" s="22" t="n">
        <v>2020</v>
      </c>
      <c r="F76" s="23" t="n">
        <v>140</v>
      </c>
      <c r="G76" s="22" t="n">
        <v>2025</v>
      </c>
      <c r="H76" s="23" t="n">
        <v>126.1</v>
      </c>
      <c r="I76" s="23" t="n">
        <v>-13.90000000000001</v>
      </c>
      <c r="J76" s="24" t="n">
        <v>-0.09928571428571432</v>
      </c>
      <c r="K76" s="25" t="inlineStr">
        <is>
          <t>Different recipe for the later years</t>
        </is>
      </c>
      <c r="L76" s="25" t="inlineStr">
        <is>
          <t>Reproduces from source</t>
        </is>
      </c>
      <c r="M76" s="26" t="inlineStr">
        <is>
          <t>EU GHG inventory (CRF) livestock populations; 2021+ Eurostat apro_mt_lspig (swine) survey trend</t>
        </is>
      </c>
    </row>
    <row r="77" ht="15" customHeight="1">
      <c r="A77" s="36" t="inlineStr">
        <is>
          <t>A4 (pig, production)</t>
        </is>
      </c>
      <c r="B77" s="14" t="inlineStr">
        <is>
          <t>Pig meat: production (EU)</t>
        </is>
      </c>
      <c r="C77" s="14" t="inlineStr">
        <is>
          <t>Agriculture</t>
        </is>
      </c>
      <c r="D77" s="14" t="inlineStr">
        <is>
          <t>Mt</t>
        </is>
      </c>
      <c r="E77" s="15" t="n">
        <v>2020</v>
      </c>
      <c r="F77" s="16" t="n">
        <v>23.22</v>
      </c>
      <c r="G77" s="15" t="n">
        <v>2025</v>
      </c>
      <c r="H77" s="16" t="n">
        <v>21.84</v>
      </c>
      <c r="I77" s="16" t="n">
        <v>-1.379999999999999</v>
      </c>
      <c r="J77" s="17" t="n">
        <v>-0.05943152454780358</v>
      </c>
      <c r="K77" s="18" t="inlineStr">
        <is>
          <t>Different recipe for the later years</t>
        </is>
      </c>
      <c r="L77" s="18" t="inlineStr">
        <is>
          <t>Reproduces from source</t>
        </is>
      </c>
      <c r="M77" s="19" t="inlineStr">
        <is>
          <t>Eurostat (apro_mt_pann)</t>
        </is>
      </c>
    </row>
    <row r="78" ht="15" customHeight="1">
      <c r="A78" s="37" t="inlineStr">
        <is>
          <t>A5 (bovine)</t>
        </is>
      </c>
      <c r="B78" s="21" t="inlineStr">
        <is>
          <t>Average bovine meat consumption (EU)</t>
        </is>
      </c>
      <c r="C78" s="21" t="inlineStr">
        <is>
          <t>Agriculture</t>
        </is>
      </c>
      <c r="D78" s="21" t="inlineStr">
        <is>
          <t>kcal/cap/day</t>
        </is>
      </c>
      <c r="E78" s="22" t="n">
        <v>2020</v>
      </c>
      <c r="F78" s="23" t="n">
        <v>52.12</v>
      </c>
      <c r="G78" s="22" t="n">
        <v>2023</v>
      </c>
      <c r="H78" s="23" t="n">
        <v>49.48</v>
      </c>
      <c r="I78" s="23" t="n">
        <v>-2.640000000000001</v>
      </c>
      <c r="J78" s="24" t="n">
        <v>-0.05065234075211053</v>
      </c>
      <c r="K78" s="25" t="inlineStr">
        <is>
          <t>No calc grid</t>
        </is>
      </c>
      <c r="L78" s="25" t="inlineStr">
        <is>
          <t>—</t>
        </is>
      </c>
      <c r="M78" s="25" t="inlineStr">
        <is>
          <t>FAOSTAT food balance sheets</t>
        </is>
      </c>
    </row>
    <row r="79" ht="15" customHeight="1">
      <c r="A79" s="36" t="inlineStr">
        <is>
          <t>A5 (dairy)</t>
        </is>
      </c>
      <c r="B79" s="14" t="inlineStr">
        <is>
          <t>Average dairy products consumption (EU)</t>
        </is>
      </c>
      <c r="C79" s="14" t="inlineStr">
        <is>
          <t>Agriculture</t>
        </is>
      </c>
      <c r="D79" s="14" t="inlineStr">
        <is>
          <t>kcal/cap/day</t>
        </is>
      </c>
      <c r="E79" s="15" t="n">
        <v>2021</v>
      </c>
      <c r="F79" s="16" t="n">
        <v>550.4</v>
      </c>
      <c r="G79" s="15" t="n">
        <v>2023</v>
      </c>
      <c r="H79" s="16" t="n">
        <v>569.13</v>
      </c>
      <c r="I79" s="16" t="n">
        <v>18.73000000000002</v>
      </c>
      <c r="J79" s="17" t="n">
        <v>0.03402979651162794</v>
      </c>
      <c r="K79" s="18" t="inlineStr">
        <is>
          <t>No calc grid</t>
        </is>
      </c>
      <c r="L79" s="18" t="inlineStr">
        <is>
          <t>—</t>
        </is>
      </c>
      <c r="M79" s="18" t="inlineStr">
        <is>
          <t>FAOSTAT food balance sheets</t>
        </is>
      </c>
    </row>
    <row r="80" ht="15" customHeight="1">
      <c r="A80" s="37" t="inlineStr">
        <is>
          <t>A5 (pig)</t>
        </is>
      </c>
      <c r="B80" s="21" t="inlineStr">
        <is>
          <t>Average pig meat consumption (EU)</t>
        </is>
      </c>
      <c r="C80" s="21" t="inlineStr">
        <is>
          <t>Agriculture</t>
        </is>
      </c>
      <c r="D80" s="21" t="inlineStr">
        <is>
          <t>kcal/cap/day</t>
        </is>
      </c>
      <c r="E80" s="22" t="n">
        <v>2020</v>
      </c>
      <c r="F80" s="23" t="n">
        <v>203.8</v>
      </c>
      <c r="G80" s="22" t="n">
        <v>2023</v>
      </c>
      <c r="H80" s="23" t="n">
        <v>201.99</v>
      </c>
      <c r="I80" s="23" t="n">
        <v>-1.810000000000002</v>
      </c>
      <c r="J80" s="24" t="n">
        <v>-0.008881256133464192</v>
      </c>
      <c r="K80" s="25" t="inlineStr">
        <is>
          <t>No calc grid</t>
        </is>
      </c>
      <c r="L80" s="25" t="inlineStr">
        <is>
          <t>—</t>
        </is>
      </c>
      <c r="M80" s="25" t="inlineStr">
        <is>
          <t>FAOSTAT food balance sheets</t>
        </is>
      </c>
    </row>
    <row r="81" ht="15" customHeight="1">
      <c r="A81" s="36" t="inlineStr">
        <is>
          <t>A6</t>
        </is>
      </c>
      <c r="B81" s="14" t="inlineStr">
        <is>
          <t>Food waste per capita (EU)</t>
        </is>
      </c>
      <c r="C81" s="14" t="inlineStr">
        <is>
          <t>Agriculture</t>
        </is>
      </c>
      <c r="D81" s="14" t="inlineStr">
        <is>
          <t>kg/cap/year</t>
        </is>
      </c>
      <c r="E81" s="15" t="n">
        <v>2020</v>
      </c>
      <c r="F81" s="16" t="n">
        <v>131</v>
      </c>
      <c r="G81" s="15" t="n">
        <v>2023</v>
      </c>
      <c r="H81" s="16" t="n">
        <v>129</v>
      </c>
      <c r="I81" s="16" t="n">
        <v>-2</v>
      </c>
      <c r="J81" s="17" t="n">
        <v>-0.01526717557251908</v>
      </c>
      <c r="K81" s="18" t="inlineStr">
        <is>
          <t>Different recipe for the later years</t>
        </is>
      </c>
      <c r="L81" s="18" t="inlineStr">
        <is>
          <t>Reproduces from source</t>
        </is>
      </c>
      <c r="M81" s="19" t="inlineStr">
        <is>
          <t>Eurostat (env_wasfw)</t>
        </is>
      </c>
    </row>
    <row r="82" ht="15" customHeight="1">
      <c r="A82" s="37" t="inlineStr">
        <is>
          <t>A7</t>
        </is>
      </c>
      <c r="B82" s="21" t="inlineStr">
        <is>
          <t>Agricultural products used as bioenergy feedstock</t>
        </is>
      </c>
      <c r="C82" s="21" t="inlineStr">
        <is>
          <t>Agriculture</t>
        </is>
      </c>
      <c r="D82" s="21" t="inlineStr">
        <is>
          <t>Mt fresh</t>
        </is>
      </c>
      <c r="E82" s="22" t="n">
        <v>2021</v>
      </c>
      <c r="F82" s="23" t="n">
        <v>23.89</v>
      </c>
      <c r="G82" s="22" t="n">
        <v>2025</v>
      </c>
      <c r="H82" s="23" t="n">
        <v>24.51</v>
      </c>
      <c r="I82" s="23" t="n">
        <v>0.620000000000001</v>
      </c>
      <c r="J82" s="24" t="n">
        <v>0.0259522812892424</v>
      </c>
      <c r="K82" s="25" t="inlineStr">
        <is>
          <t>Report's formula, input back-computed</t>
        </is>
      </c>
      <c r="L82" s="25" t="inlineStr">
        <is>
          <t>—</t>
        </is>
      </c>
      <c r="M82" s="25" t="inlineStr">
        <is>
          <t>JRC medium-term outlook</t>
        </is>
      </c>
    </row>
    <row r="83" ht="15" customHeight="1">
      <c r="A83" s="38" t="inlineStr">
        <is>
          <t>L1</t>
        </is>
      </c>
      <c r="B83" s="14" t="inlineStr">
        <is>
          <t>LULUCF net GHG balance</t>
        </is>
      </c>
      <c r="C83" s="14" t="inlineStr">
        <is>
          <t>LULUCF</t>
        </is>
      </c>
      <c r="D83" s="14" t="inlineStr">
        <is>
          <t>Mt CO₂eq</t>
        </is>
      </c>
      <c r="E83" s="15" t="n">
        <v>2022</v>
      </c>
      <c r="F83" s="16" t="n">
        <v>-244</v>
      </c>
      <c r="G83" s="15" t="n">
        <v>2024</v>
      </c>
      <c r="H83" s="16" t="n">
        <v>-231</v>
      </c>
      <c r="I83" s="16" t="n">
        <v>13</v>
      </c>
      <c r="J83" s="17" t="n">
        <v>0.05327868852459016</v>
      </c>
      <c r="K83" s="18" t="inlineStr">
        <is>
          <t>Report's own derivation, continued</t>
        </is>
      </c>
      <c r="L83" s="18" t="inlineStr">
        <is>
          <t>Reproduces from source</t>
        </is>
      </c>
      <c r="M83" s="19" t="inlineStr">
        <is>
          <t>EEA GHG data viewer; 2023+ Eurostat (env_air_gge)</t>
        </is>
      </c>
    </row>
    <row r="84" ht="15" customHeight="1">
      <c r="A84" s="39" t="inlineStr">
        <is>
          <t>L2 (cropland)</t>
        </is>
      </c>
      <c r="B84" s="21" t="inlineStr">
        <is>
          <t>Cropland surface area (EU)</t>
        </is>
      </c>
      <c r="C84" s="21" t="inlineStr">
        <is>
          <t>LULUCF</t>
        </is>
      </c>
      <c r="D84" s="21" t="inlineStr">
        <is>
          <t>million ha</t>
        </is>
      </c>
      <c r="E84" s="22" t="n">
        <v>2021</v>
      </c>
      <c r="F84" s="23" t="n">
        <v>120.9</v>
      </c>
      <c r="G84" s="22" t="n">
        <v>2021</v>
      </c>
      <c r="H84" s="23" t="n">
        <v>120.9</v>
      </c>
      <c r="I84" s="23" t="n"/>
      <c r="J84" s="24" t="n"/>
      <c r="K84" s="25" t="inlineStr">
        <is>
          <t>No later data — report figure stands</t>
        </is>
      </c>
      <c r="L84" s="25" t="inlineStr">
        <is>
          <t>—</t>
        </is>
      </c>
      <c r="M84" s="26" t="inlineStr">
        <is>
          <t>EU GHG inventory (CRF tables)</t>
        </is>
      </c>
    </row>
    <row r="85" ht="15" customHeight="1">
      <c r="A85" s="38" t="inlineStr">
        <is>
          <t>L2 (forest)</t>
        </is>
      </c>
      <c r="B85" s="14" t="inlineStr">
        <is>
          <t>Forest land surface area (EU)</t>
        </is>
      </c>
      <c r="C85" s="14" t="inlineStr">
        <is>
          <t>LULUCF</t>
        </is>
      </c>
      <c r="D85" s="14" t="inlineStr">
        <is>
          <t>million ha</t>
        </is>
      </c>
      <c r="E85" s="15" t="n">
        <v>2021</v>
      </c>
      <c r="F85" s="16" t="n">
        <v>167.7</v>
      </c>
      <c r="G85" s="15" t="n">
        <v>2021</v>
      </c>
      <c r="H85" s="16" t="n">
        <v>167.7</v>
      </c>
      <c r="I85" s="16" t="n"/>
      <c r="J85" s="17" t="n"/>
      <c r="K85" s="18" t="inlineStr">
        <is>
          <t>No later data — report figure stands</t>
        </is>
      </c>
      <c r="L85" s="18" t="inlineStr">
        <is>
          <t>—</t>
        </is>
      </c>
      <c r="M85" s="19" t="inlineStr">
        <is>
          <t>EU GHG inventory (CRF tables)</t>
        </is>
      </c>
    </row>
    <row r="86" ht="15" customHeight="1">
      <c r="A86" s="39" t="inlineStr">
        <is>
          <t>L2 (grassland)</t>
        </is>
      </c>
      <c r="B86" s="21" t="inlineStr">
        <is>
          <t>Grassland surface area (EU)</t>
        </is>
      </c>
      <c r="C86" s="21" t="inlineStr">
        <is>
          <t>LULUCF</t>
        </is>
      </c>
      <c r="D86" s="21" t="inlineStr">
        <is>
          <t>million ha</t>
        </is>
      </c>
      <c r="E86" s="22" t="n">
        <v>2021</v>
      </c>
      <c r="F86" s="23" t="n">
        <v>73.2</v>
      </c>
      <c r="G86" s="22" t="n">
        <v>2021</v>
      </c>
      <c r="H86" s="23" t="n">
        <v>73.2</v>
      </c>
      <c r="I86" s="23" t="n"/>
      <c r="J86" s="24" t="n"/>
      <c r="K86" s="25" t="inlineStr">
        <is>
          <t>No later data — report figure stands</t>
        </is>
      </c>
      <c r="L86" s="25" t="inlineStr">
        <is>
          <t>—</t>
        </is>
      </c>
      <c r="M86" s="26" t="inlineStr">
        <is>
          <t>EU GHG inventory (CRF tables)</t>
        </is>
      </c>
    </row>
    <row r="87" ht="15" customHeight="1">
      <c r="A87" s="38" t="inlineStr">
        <is>
          <t>L2 (other)</t>
        </is>
      </c>
      <c r="B87" s="14" t="inlineStr">
        <is>
          <t>Other surface area (EU)</t>
        </is>
      </c>
      <c r="C87" s="14" t="inlineStr">
        <is>
          <t>LULUCF</t>
        </is>
      </c>
      <c r="D87" s="14" t="inlineStr">
        <is>
          <t>million ha</t>
        </is>
      </c>
      <c r="E87" s="15" t="n">
        <v>2021</v>
      </c>
      <c r="F87" s="16" t="n">
        <v>9.657999999999999</v>
      </c>
      <c r="G87" s="15" t="n">
        <v>2021</v>
      </c>
      <c r="H87" s="16" t="n">
        <v>9.657999999999999</v>
      </c>
      <c r="I87" s="16" t="n"/>
      <c r="J87" s="17" t="n"/>
      <c r="K87" s="18" t="inlineStr">
        <is>
          <t>No later data — report figure stands</t>
        </is>
      </c>
      <c r="L87" s="18" t="inlineStr">
        <is>
          <t>—</t>
        </is>
      </c>
      <c r="M87" s="19" t="inlineStr">
        <is>
          <t>EU GHG inventory (CRF tables)</t>
        </is>
      </c>
    </row>
    <row r="88" ht="15" customHeight="1">
      <c r="A88" s="39" t="inlineStr">
        <is>
          <t>L2 (settlements)</t>
        </is>
      </c>
      <c r="B88" s="21" t="inlineStr">
        <is>
          <t>Settlements surface area (EU)</t>
        </is>
      </c>
      <c r="C88" s="21" t="inlineStr">
        <is>
          <t>LULUCF</t>
        </is>
      </c>
      <c r="D88" s="21" t="inlineStr">
        <is>
          <t>million ha</t>
        </is>
      </c>
      <c r="E88" s="22" t="n">
        <v>2021</v>
      </c>
      <c r="F88" s="23" t="n">
        <v>28.15</v>
      </c>
      <c r="G88" s="22" t="n">
        <v>2021</v>
      </c>
      <c r="H88" s="23" t="n">
        <v>28.15</v>
      </c>
      <c r="I88" s="23" t="n"/>
      <c r="J88" s="24" t="n"/>
      <c r="K88" s="25" t="inlineStr">
        <is>
          <t>No later data — report figure stands</t>
        </is>
      </c>
      <c r="L88" s="25" t="inlineStr">
        <is>
          <t>—</t>
        </is>
      </c>
      <c r="M88" s="26" t="inlineStr">
        <is>
          <t>EU GHG inventory (CRF tables)</t>
        </is>
      </c>
    </row>
    <row r="89" ht="15" customHeight="1">
      <c r="A89" s="38" t="inlineStr">
        <is>
          <t>L2 (wetland)</t>
        </is>
      </c>
      <c r="B89" s="14" t="inlineStr">
        <is>
          <t>Wetland surface area (EU)</t>
        </is>
      </c>
      <c r="C89" s="14" t="inlineStr">
        <is>
          <t>LULUCF</t>
        </is>
      </c>
      <c r="D89" s="14" t="inlineStr">
        <is>
          <t>million ha</t>
        </is>
      </c>
      <c r="E89" s="15" t="n">
        <v>2021</v>
      </c>
      <c r="F89" s="16" t="n">
        <v>23.87</v>
      </c>
      <c r="G89" s="15" t="n">
        <v>2021</v>
      </c>
      <c r="H89" s="16" t="n">
        <v>23.87</v>
      </c>
      <c r="I89" s="16" t="n"/>
      <c r="J89" s="17" t="n"/>
      <c r="K89" s="18" t="inlineStr">
        <is>
          <t>No later data — report figure stands</t>
        </is>
      </c>
      <c r="L89" s="18" t="inlineStr">
        <is>
          <t>—</t>
        </is>
      </c>
      <c r="M89" s="19" t="inlineStr">
        <is>
          <t>EU GHG inventory (CRF tables)</t>
        </is>
      </c>
    </row>
    <row r="90" ht="15" customHeight="1">
      <c r="A90" s="39" t="inlineStr">
        <is>
          <t>L3</t>
        </is>
      </c>
      <c r="B90" s="21" t="inlineStr">
        <is>
          <t>Annual afforested area</t>
        </is>
      </c>
      <c r="C90" s="21" t="inlineStr">
        <is>
          <t>LULUCF</t>
        </is>
      </c>
      <c r="D90" s="21" t="inlineStr">
        <is>
          <t>thousand ha/yr</t>
        </is>
      </c>
      <c r="E90" s="22" t="n">
        <v>2021</v>
      </c>
      <c r="F90" s="23" t="n">
        <v>326.8</v>
      </c>
      <c r="G90" s="22" t="n">
        <v>2021</v>
      </c>
      <c r="H90" s="23" t="n">
        <v>326.8</v>
      </c>
      <c r="I90" s="23" t="n"/>
      <c r="J90" s="24" t="n"/>
      <c r="K90" s="25" t="inlineStr">
        <is>
          <t>No later data — report figure stands</t>
        </is>
      </c>
      <c r="L90" s="25" t="inlineStr">
        <is>
          <t>—</t>
        </is>
      </c>
      <c r="M90" s="26" t="inlineStr">
        <is>
          <t>EU GHG inventory (CRF)</t>
        </is>
      </c>
    </row>
    <row r="91" ht="15" customHeight="1">
      <c r="A91" s="38" t="inlineStr">
        <is>
          <t>L4</t>
        </is>
      </c>
      <c r="B91" s="14" t="inlineStr">
        <is>
          <t>Annual deforested area</t>
        </is>
      </c>
      <c r="C91" s="14" t="inlineStr">
        <is>
          <t>LULUCF</t>
        </is>
      </c>
      <c r="D91" s="14" t="inlineStr">
        <is>
          <t>thousand ha/yr</t>
        </is>
      </c>
      <c r="E91" s="15" t="n">
        <v>2021</v>
      </c>
      <c r="F91" s="16" t="n">
        <v>-114.5</v>
      </c>
      <c r="G91" s="15" t="n">
        <v>2021</v>
      </c>
      <c r="H91" s="16" t="n">
        <v>-114.5</v>
      </c>
      <c r="I91" s="16" t="n"/>
      <c r="J91" s="17" t="n"/>
      <c r="K91" s="18" t="inlineStr">
        <is>
          <t>No later data — report figure stands</t>
        </is>
      </c>
      <c r="L91" s="18" t="inlineStr">
        <is>
          <t>—</t>
        </is>
      </c>
      <c r="M91" s="19" t="inlineStr">
        <is>
          <t>EU GHG inventory (CRF)</t>
        </is>
      </c>
    </row>
    <row r="92" ht="15" customHeight="1">
      <c r="A92" s="39" t="inlineStr">
        <is>
          <t>L5</t>
        </is>
      </c>
      <c r="B92" s="21" t="inlineStr">
        <is>
          <t>Annual settlement area increase (net land take proxy)</t>
        </is>
      </c>
      <c r="C92" s="21" t="inlineStr">
        <is>
          <t>LULUCF</t>
        </is>
      </c>
      <c r="D92" s="21" t="inlineStr">
        <is>
          <t>thousand ha/yr</t>
        </is>
      </c>
      <c r="E92" s="22" t="n">
        <v>2021</v>
      </c>
      <c r="F92" s="23" t="n">
        <v>142.2</v>
      </c>
      <c r="G92" s="22" t="n">
        <v>2021</v>
      </c>
      <c r="H92" s="23" t="n">
        <v>142.2</v>
      </c>
      <c r="I92" s="23" t="n"/>
      <c r="J92" s="24" t="n"/>
      <c r="K92" s="25" t="inlineStr">
        <is>
          <t>No later data — report figure stands</t>
        </is>
      </c>
      <c r="L92" s="25" t="inlineStr">
        <is>
          <t>—</t>
        </is>
      </c>
      <c r="M92" s="26" t="inlineStr">
        <is>
          <t>EU GHG inventory (CRF)</t>
        </is>
      </c>
    </row>
    <row r="93" ht="15" customHeight="1">
      <c r="A93" s="38" t="inlineStr">
        <is>
          <t>L6</t>
        </is>
      </c>
      <c r="B93" s="14" t="inlineStr">
        <is>
          <t>Forest land living-biomass carbon sink</t>
        </is>
      </c>
      <c r="C93" s="14" t="inlineStr">
        <is>
          <t>LULUCF</t>
        </is>
      </c>
      <c r="D93" s="14" t="inlineStr">
        <is>
          <t>Mt CO₂eq</t>
        </is>
      </c>
      <c r="E93" s="15" t="n">
        <v>2021</v>
      </c>
      <c r="F93" s="16" t="n">
        <v>231.8</v>
      </c>
      <c r="G93" s="15" t="n">
        <v>2024</v>
      </c>
      <c r="H93" s="16" t="n">
        <v>258.3</v>
      </c>
      <c r="I93" s="16" t="n">
        <v>26.5</v>
      </c>
      <c r="J93" s="17" t="n">
        <v>0.1143226919758412</v>
      </c>
      <c r="K93" s="18" t="inlineStr">
        <is>
          <t>Different recipe for the later years</t>
        </is>
      </c>
      <c r="L93" s="18" t="inlineStr">
        <is>
          <t>Reproduces from source</t>
        </is>
      </c>
      <c r="M93" s="19" t="inlineStr">
        <is>
          <t>EU GHG inventory (CRF); 2022+ calculated from Eurostat (env_air_gge CRF4.A, splice)</t>
        </is>
      </c>
    </row>
    <row r="94" ht="15" customHeight="1">
      <c r="A94" s="39" t="inlineStr">
        <is>
          <t>L7</t>
        </is>
      </c>
      <c r="B94" s="21" t="inlineStr">
        <is>
          <t>Non-forest LULUCF net GHG emissions</t>
        </is>
      </c>
      <c r="C94" s="21" t="inlineStr">
        <is>
          <t>LULUCF</t>
        </is>
      </c>
      <c r="D94" s="21" t="inlineStr">
        <is>
          <t>Mt CO₂eq</t>
        </is>
      </c>
      <c r="E94" s="22" t="n">
        <v>2021</v>
      </c>
      <c r="F94" s="23" t="n">
        <v>97.44</v>
      </c>
      <c r="G94" s="22" t="n">
        <v>2024</v>
      </c>
      <c r="H94" s="23" t="n">
        <v>123</v>
      </c>
      <c r="I94" s="23" t="n">
        <v>25.56</v>
      </c>
      <c r="J94" s="24" t="n">
        <v>0.2623152709359606</v>
      </c>
      <c r="K94" s="25" t="inlineStr">
        <is>
          <t>Different recipe for the later years</t>
        </is>
      </c>
      <c r="L94" s="25" t="inlineStr">
        <is>
          <t>Reproduces from source</t>
        </is>
      </c>
      <c r="M94" s="26" t="inlineStr">
        <is>
          <t>EU GHG inventory (CRF); 2022+ Eurostat (env_air_gge)</t>
        </is>
      </c>
    </row>
    <row r="95" ht="15" customHeight="1">
      <c r="A95" s="38" t="inlineStr">
        <is>
          <t>L8</t>
        </is>
      </c>
      <c r="B95" s="14" t="inlineStr">
        <is>
          <t>Total bioenergy use (EU-27)</t>
        </is>
      </c>
      <c r="C95" s="14" t="inlineStr">
        <is>
          <t>LULUCF</t>
        </is>
      </c>
      <c r="D95" s="14" t="inlineStr">
        <is>
          <t>TWh</t>
        </is>
      </c>
      <c r="E95" s="15" t="n">
        <v>2021</v>
      </c>
      <c r="F95" s="16" t="n">
        <v>1795.7</v>
      </c>
      <c r="G95" s="15" t="n">
        <v>2024</v>
      </c>
      <c r="H95" s="16" t="n">
        <v>1761.2</v>
      </c>
      <c r="I95" s="16" t="n">
        <v>-34.5</v>
      </c>
      <c r="J95" s="17" t="n">
        <v>-0.01921256334577045</v>
      </c>
      <c r="K95" s="18" t="inlineStr">
        <is>
          <t>Different recipe for the later years</t>
        </is>
      </c>
      <c r="L95" s="18" t="inlineStr">
        <is>
          <t>Reproduces from source</t>
        </is>
      </c>
      <c r="M95" s="19" t="inlineStr">
        <is>
          <t>Eurostat (nrg_bal_s)</t>
        </is>
      </c>
    </row>
    <row r="96" ht="15" customHeight="1">
      <c r="A96" s="40" t="inlineStr">
        <is>
          <t>F1</t>
        </is>
      </c>
      <c r="B96" s="21" t="inlineStr">
        <is>
          <t>EU fossil-fuel subsidies (FFST)</t>
        </is>
      </c>
      <c r="C96" s="21" t="inlineStr">
        <is>
          <t>Finance &amp; innovation</t>
        </is>
      </c>
      <c r="D96" s="21" t="inlineStr">
        <is>
          <t>billion EUR</t>
        </is>
      </c>
      <c r="E96" s="22" t="n">
        <v>2022</v>
      </c>
      <c r="F96" s="23" t="n">
        <v>122</v>
      </c>
      <c r="G96" s="22" t="n">
        <v>2023</v>
      </c>
      <c r="H96" s="23" t="n">
        <v>111</v>
      </c>
      <c r="I96" s="23" t="n">
        <v>-11</v>
      </c>
      <c r="J96" s="24" t="n">
        <v>-0.09016393442622951</v>
      </c>
      <c r="K96" s="25" t="inlineStr">
        <is>
          <t>Report's formula, input back-computed</t>
        </is>
      </c>
      <c r="L96" s="25" t="inlineStr">
        <is>
          <t>Published figure, not re-derived</t>
        </is>
      </c>
      <c r="M96" s="25" t="inlineStr">
        <is>
          <t>Fossil Fuel Subsidy Tracker; 2023: EC Report on Energy Subsidies in the EU (COM(2025)17)</t>
        </is>
      </c>
    </row>
    <row r="97" ht="15" customHeight="1">
      <c r="A97" s="41" t="inlineStr">
        <is>
          <t>F2</t>
        </is>
      </c>
      <c r="B97" s="14" t="inlineStr">
        <is>
          <t>EU green bond issuance</t>
        </is>
      </c>
      <c r="C97" s="14" t="inlineStr">
        <is>
          <t>Finance &amp; innovation</t>
        </is>
      </c>
      <c r="D97" s="14" t="inlineStr">
        <is>
          <t>billion EUR</t>
        </is>
      </c>
      <c r="E97" s="15" t="n">
        <v>2022</v>
      </c>
      <c r="F97" s="16" t="n">
        <v>243</v>
      </c>
      <c r="G97" s="15" t="n">
        <v>2022</v>
      </c>
      <c r="H97" s="16" t="n">
        <v>243</v>
      </c>
      <c r="I97" s="16" t="n"/>
      <c r="J97" s="17" t="n"/>
      <c r="K97" s="18" t="inlineStr">
        <is>
          <t>No later data — report figure stands</t>
        </is>
      </c>
      <c r="L97" s="18" t="inlineStr">
        <is>
          <t>—</t>
        </is>
      </c>
      <c r="M97" s="19" t="inlineStr">
        <is>
          <t>BloombergNEF</t>
        </is>
      </c>
    </row>
    <row r="98" ht="15" customHeight="1">
      <c r="A98" s="40" t="inlineStr">
        <is>
          <t>F2 (share)</t>
        </is>
      </c>
      <c r="B98" s="21" t="inlineStr">
        <is>
          <t>Green share of EU bond issuance</t>
        </is>
      </c>
      <c r="C98" s="21" t="inlineStr">
        <is>
          <t>Finance &amp; innovation</t>
        </is>
      </c>
      <c r="D98" s="21" t="inlineStr">
        <is>
          <t>%</t>
        </is>
      </c>
      <c r="E98" s="22" t="n">
        <v>2022</v>
      </c>
      <c r="F98" s="23" t="n">
        <v>6.74</v>
      </c>
      <c r="G98" s="22" t="n">
        <v>2024</v>
      </c>
      <c r="H98" s="23" t="n">
        <v>6.9</v>
      </c>
      <c r="I98" s="23" t="n">
        <v>0.1600000000000001</v>
      </c>
      <c r="J98" s="24" t="n">
        <v>0.02373887240356085</v>
      </c>
      <c r="K98" s="25" t="inlineStr">
        <is>
          <t>Report's formula, input back-computed</t>
        </is>
      </c>
      <c r="L98" s="25" t="inlineStr">
        <is>
          <t>Published figure, not re-derived</t>
        </is>
      </c>
      <c r="M98" s="26" t="inlineStr">
        <is>
          <t>BloombergNEF (2012-2022); EEA "Green bonds in Europe", LSEG Data &amp; Analytics (2023+)</t>
        </is>
      </c>
    </row>
    <row r="99" ht="15" customHeight="1">
      <c r="A99" s="41" t="inlineStr">
        <is>
          <t>F3</t>
        </is>
      </c>
      <c r="B99" s="14" t="inlineStr">
        <is>
          <t>EU R&amp;D expenditure (GERD)</t>
        </is>
      </c>
      <c r="C99" s="14" t="inlineStr">
        <is>
          <t>Finance &amp; innovation</t>
        </is>
      </c>
      <c r="D99" s="14" t="inlineStr">
        <is>
          <t>% of GDP</t>
        </is>
      </c>
      <c r="E99" s="15" t="n">
        <v>2022</v>
      </c>
      <c r="F99" s="16" t="n">
        <v>2.27</v>
      </c>
      <c r="G99" s="15" t="n">
        <v>2024</v>
      </c>
      <c r="H99" s="16" t="n">
        <v>2.24</v>
      </c>
      <c r="I99" s="16" t="n">
        <v>-0.0299999999999998</v>
      </c>
      <c r="J99" s="17" t="n">
        <v>-0.01321585903083692</v>
      </c>
      <c r="K99" s="18" t="inlineStr">
        <is>
          <t>Different recipe for the later years</t>
        </is>
      </c>
      <c r="L99" s="18" t="inlineStr">
        <is>
          <t>Reproduces from source</t>
        </is>
      </c>
      <c r="M99" s="19" t="inlineStr">
        <is>
          <t>Eurostat (rd_e_gerdtot)</t>
        </is>
      </c>
    </row>
    <row r="100" ht="15" customHeight="1">
      <c r="A100" s="40" t="inlineStr">
        <is>
          <t>F4</t>
        </is>
      </c>
      <c r="B100" s="21" t="inlineStr">
        <is>
          <t>Climate-related share of EU patent filings</t>
        </is>
      </c>
      <c r="C100" s="21" t="inlineStr">
        <is>
          <t>Finance &amp; innovation</t>
        </is>
      </c>
      <c r="D100" s="21" t="inlineStr">
        <is>
          <t>%</t>
        </is>
      </c>
      <c r="E100" s="22" t="n">
        <v>2019</v>
      </c>
      <c r="F100" s="23" t="n">
        <v>11.94</v>
      </c>
      <c r="G100" s="22" t="n">
        <v>2023</v>
      </c>
      <c r="H100" s="23" t="n">
        <v>6.75</v>
      </c>
      <c r="I100" s="23" t="n">
        <v>-5.19</v>
      </c>
      <c r="J100" s="24" t="n">
        <v>-0.4346733668341709</v>
      </c>
      <c r="K100" s="25" t="inlineStr">
        <is>
          <t>No calc grid</t>
        </is>
      </c>
      <c r="L100" s="25" t="inlineStr">
        <is>
          <t>—</t>
        </is>
      </c>
      <c r="M100" s="25" t="inlineStr">
        <is>
          <t>OECD Green Growth Indicators</t>
        </is>
      </c>
    </row>
    <row r="101" ht="15" customHeight="1">
      <c r="A101" s="41" t="inlineStr">
        <is>
          <t>F5</t>
        </is>
      </c>
      <c r="B101" s="14" t="inlineStr">
        <is>
          <t>Cleantech venture &amp; growth investment in the EU</t>
        </is>
      </c>
      <c r="C101" s="14" t="inlineStr">
        <is>
          <t>Finance &amp; innovation</t>
        </is>
      </c>
      <c r="D101" s="14" t="inlineStr">
        <is>
          <t>% of GDP</t>
        </is>
      </c>
      <c r="E101" s="15" t="n">
        <v>2022</v>
      </c>
      <c r="F101" s="16" t="n">
        <v>0.06</v>
      </c>
      <c r="G101" s="15" t="n">
        <v>2025</v>
      </c>
      <c r="H101" s="16" t="n">
        <v>0.04</v>
      </c>
      <c r="I101" s="16" t="n">
        <v>-0.02</v>
      </c>
      <c r="J101" s="17" t="n">
        <v>-0.3333333333333333</v>
      </c>
      <c r="K101" s="18" t="inlineStr">
        <is>
          <t>Report's formula, input back-computed</t>
        </is>
      </c>
      <c r="L101" s="18" t="inlineStr">
        <is>
          <t>Published figure, not re-derived</t>
        </is>
      </c>
      <c r="M101" s="18" t="inlineStr">
        <is>
          <t>Cleantech for Europe</t>
        </is>
      </c>
    </row>
  </sheetData>
  <autoFilter ref="A4:M101"/>
  <mergeCells count="2">
    <mergeCell ref="A2:L2"/>
    <mergeCell ref="A1:L1"/>
  </mergeCells>
  <hyperlinks>
    <hyperlink xmlns:r="http://schemas.openxmlformats.org/officeDocument/2006/relationships" ref="M5" r:id="rId1"/>
    <hyperlink xmlns:r="http://schemas.openxmlformats.org/officeDocument/2006/relationships" ref="M6" r:id="rId2"/>
    <hyperlink xmlns:r="http://schemas.openxmlformats.org/officeDocument/2006/relationships" ref="M7" r:id="rId3"/>
    <hyperlink xmlns:r="http://schemas.openxmlformats.org/officeDocument/2006/relationships" ref="M8" r:id="rId4"/>
    <hyperlink xmlns:r="http://schemas.openxmlformats.org/officeDocument/2006/relationships" ref="M9" r:id="rId5"/>
    <hyperlink xmlns:r="http://schemas.openxmlformats.org/officeDocument/2006/relationships" ref="M12" r:id="rId6"/>
    <hyperlink xmlns:r="http://schemas.openxmlformats.org/officeDocument/2006/relationships" ref="M13" r:id="rId7"/>
    <hyperlink xmlns:r="http://schemas.openxmlformats.org/officeDocument/2006/relationships" ref="M14" r:id="rId8"/>
    <hyperlink xmlns:r="http://schemas.openxmlformats.org/officeDocument/2006/relationships" ref="M15" r:id="rId9"/>
    <hyperlink xmlns:r="http://schemas.openxmlformats.org/officeDocument/2006/relationships" ref="M16" r:id="rId10"/>
    <hyperlink xmlns:r="http://schemas.openxmlformats.org/officeDocument/2006/relationships" ref="M17" r:id="rId11"/>
    <hyperlink xmlns:r="http://schemas.openxmlformats.org/officeDocument/2006/relationships" ref="M18" r:id="rId12"/>
    <hyperlink xmlns:r="http://schemas.openxmlformats.org/officeDocument/2006/relationships" ref="M19" r:id="rId13"/>
    <hyperlink xmlns:r="http://schemas.openxmlformats.org/officeDocument/2006/relationships" ref="M23" r:id="rId14"/>
    <hyperlink xmlns:r="http://schemas.openxmlformats.org/officeDocument/2006/relationships" ref="M25" r:id="rId15"/>
    <hyperlink xmlns:r="http://schemas.openxmlformats.org/officeDocument/2006/relationships" ref="M26" r:id="rId16"/>
    <hyperlink xmlns:r="http://schemas.openxmlformats.org/officeDocument/2006/relationships" ref="M27" r:id="rId17"/>
    <hyperlink xmlns:r="http://schemas.openxmlformats.org/officeDocument/2006/relationships" ref="M28" r:id="rId18"/>
    <hyperlink xmlns:r="http://schemas.openxmlformats.org/officeDocument/2006/relationships" ref="M29" r:id="rId19"/>
    <hyperlink xmlns:r="http://schemas.openxmlformats.org/officeDocument/2006/relationships" ref="M30" r:id="rId20"/>
    <hyperlink xmlns:r="http://schemas.openxmlformats.org/officeDocument/2006/relationships" ref="M31" r:id="rId21"/>
    <hyperlink xmlns:r="http://schemas.openxmlformats.org/officeDocument/2006/relationships" ref="M33" r:id="rId22"/>
    <hyperlink xmlns:r="http://schemas.openxmlformats.org/officeDocument/2006/relationships" ref="M35" r:id="rId23"/>
    <hyperlink xmlns:r="http://schemas.openxmlformats.org/officeDocument/2006/relationships" ref="M40" r:id="rId24"/>
    <hyperlink xmlns:r="http://schemas.openxmlformats.org/officeDocument/2006/relationships" ref="M41" r:id="rId25"/>
    <hyperlink xmlns:r="http://schemas.openxmlformats.org/officeDocument/2006/relationships" ref="M42" r:id="rId26"/>
    <hyperlink xmlns:r="http://schemas.openxmlformats.org/officeDocument/2006/relationships" ref="M43" r:id="rId27"/>
    <hyperlink xmlns:r="http://schemas.openxmlformats.org/officeDocument/2006/relationships" ref="M45" r:id="rId28"/>
    <hyperlink xmlns:r="http://schemas.openxmlformats.org/officeDocument/2006/relationships" ref="M46" r:id="rId29"/>
    <hyperlink xmlns:r="http://schemas.openxmlformats.org/officeDocument/2006/relationships" ref="M49" r:id="rId30"/>
    <hyperlink xmlns:r="http://schemas.openxmlformats.org/officeDocument/2006/relationships" ref="M50" r:id="rId31"/>
    <hyperlink xmlns:r="http://schemas.openxmlformats.org/officeDocument/2006/relationships" ref="M51" r:id="rId32"/>
    <hyperlink xmlns:r="http://schemas.openxmlformats.org/officeDocument/2006/relationships" ref="M52" r:id="rId33"/>
    <hyperlink xmlns:r="http://schemas.openxmlformats.org/officeDocument/2006/relationships" ref="M53" r:id="rId34"/>
    <hyperlink xmlns:r="http://schemas.openxmlformats.org/officeDocument/2006/relationships" ref="M54" r:id="rId35"/>
    <hyperlink xmlns:r="http://schemas.openxmlformats.org/officeDocument/2006/relationships" ref="M55" r:id="rId36"/>
    <hyperlink xmlns:r="http://schemas.openxmlformats.org/officeDocument/2006/relationships" ref="M56" r:id="rId37"/>
    <hyperlink xmlns:r="http://schemas.openxmlformats.org/officeDocument/2006/relationships" ref="M57" r:id="rId38"/>
    <hyperlink xmlns:r="http://schemas.openxmlformats.org/officeDocument/2006/relationships" ref="M58" r:id="rId39"/>
    <hyperlink xmlns:r="http://schemas.openxmlformats.org/officeDocument/2006/relationships" ref="M59" r:id="rId40"/>
    <hyperlink xmlns:r="http://schemas.openxmlformats.org/officeDocument/2006/relationships" ref="M60" r:id="rId41"/>
    <hyperlink xmlns:r="http://schemas.openxmlformats.org/officeDocument/2006/relationships" ref="M61" r:id="rId42"/>
    <hyperlink xmlns:r="http://schemas.openxmlformats.org/officeDocument/2006/relationships" ref="M62" r:id="rId43"/>
    <hyperlink xmlns:r="http://schemas.openxmlformats.org/officeDocument/2006/relationships" ref="M63" r:id="rId44"/>
    <hyperlink xmlns:r="http://schemas.openxmlformats.org/officeDocument/2006/relationships" ref="M64" r:id="rId45"/>
    <hyperlink xmlns:r="http://schemas.openxmlformats.org/officeDocument/2006/relationships" ref="M65" r:id="rId46"/>
    <hyperlink xmlns:r="http://schemas.openxmlformats.org/officeDocument/2006/relationships" ref="M66" r:id="rId47"/>
    <hyperlink xmlns:r="http://schemas.openxmlformats.org/officeDocument/2006/relationships" ref="M68" r:id="rId48"/>
    <hyperlink xmlns:r="http://schemas.openxmlformats.org/officeDocument/2006/relationships" ref="M70" r:id="rId49"/>
    <hyperlink xmlns:r="http://schemas.openxmlformats.org/officeDocument/2006/relationships" ref="M71" r:id="rId50"/>
    <hyperlink xmlns:r="http://schemas.openxmlformats.org/officeDocument/2006/relationships" ref="M73" r:id="rId51"/>
    <hyperlink xmlns:r="http://schemas.openxmlformats.org/officeDocument/2006/relationships" ref="M74" r:id="rId52"/>
    <hyperlink xmlns:r="http://schemas.openxmlformats.org/officeDocument/2006/relationships" ref="M76" r:id="rId53"/>
    <hyperlink xmlns:r="http://schemas.openxmlformats.org/officeDocument/2006/relationships" ref="M77" r:id="rId54"/>
    <hyperlink xmlns:r="http://schemas.openxmlformats.org/officeDocument/2006/relationships" ref="M81" r:id="rId55"/>
    <hyperlink xmlns:r="http://schemas.openxmlformats.org/officeDocument/2006/relationships" ref="M83" r:id="rId56"/>
    <hyperlink xmlns:r="http://schemas.openxmlformats.org/officeDocument/2006/relationships" ref="M84" r:id="rId57"/>
    <hyperlink xmlns:r="http://schemas.openxmlformats.org/officeDocument/2006/relationships" ref="M85" r:id="rId58"/>
    <hyperlink xmlns:r="http://schemas.openxmlformats.org/officeDocument/2006/relationships" ref="M86" r:id="rId59"/>
    <hyperlink xmlns:r="http://schemas.openxmlformats.org/officeDocument/2006/relationships" ref="M87" r:id="rId60"/>
    <hyperlink xmlns:r="http://schemas.openxmlformats.org/officeDocument/2006/relationships" ref="M88" r:id="rId61"/>
    <hyperlink xmlns:r="http://schemas.openxmlformats.org/officeDocument/2006/relationships" ref="M89" r:id="rId62"/>
    <hyperlink xmlns:r="http://schemas.openxmlformats.org/officeDocument/2006/relationships" ref="M90" r:id="rId63"/>
    <hyperlink xmlns:r="http://schemas.openxmlformats.org/officeDocument/2006/relationships" ref="M91" r:id="rId64"/>
    <hyperlink xmlns:r="http://schemas.openxmlformats.org/officeDocument/2006/relationships" ref="M92" r:id="rId65"/>
    <hyperlink xmlns:r="http://schemas.openxmlformats.org/officeDocument/2006/relationships" ref="M93" r:id="rId66"/>
    <hyperlink xmlns:r="http://schemas.openxmlformats.org/officeDocument/2006/relationships" ref="M94" r:id="rId67"/>
    <hyperlink xmlns:r="http://schemas.openxmlformats.org/officeDocument/2006/relationships" ref="M95" r:id="rId68"/>
    <hyperlink xmlns:r="http://schemas.openxmlformats.org/officeDocument/2006/relationships" ref="M97" r:id="rId69"/>
    <hyperlink xmlns:r="http://schemas.openxmlformats.org/officeDocument/2006/relationships" ref="M98" r:id="rId70"/>
    <hyperlink xmlns:r="http://schemas.openxmlformats.org/officeDocument/2006/relationships" ref="M99" r:id="rId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D7E83"/>
    <outlinePr summaryBelow="1" summaryRight="1"/>
    <pageSetUpPr/>
  </sheetPr>
  <dimension ref="A1:AR1502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</cols>
  <sheetData>
    <row r="1" ht="26" customHeight="1">
      <c r="A1" s="1" t="inlineStr">
        <is>
          <t>The arithmetic behind every figure</t>
        </is>
      </c>
    </row>
    <row r="2" ht="30" customHeight="1">
      <c r="A2" s="2" t="inlineStr">
        <is>
          <t>One block per indicator: Year, Value, then the inputs the value is built from. The Value cells are live Excel formulas over the cells to their right — click one to see it, edit an input and it recomputes. These are the Method Hub's own formulas, produced by the same translator the Hub uses to export a calc grid, so the sheet and the Hub agree by construction.</t>
        </is>
      </c>
    </row>
    <row r="4">
      <c r="A4" s="42" t="inlineStr">
        <is>
          <t>O1 · Total EU GHG emissions (European Climate Law scope)  (Mt CO₂eq)</t>
        </is>
      </c>
    </row>
    <row r="5" ht="26" customHeight="1">
      <c r="A5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" ht="22" customHeight="1">
      <c r="A6" s="3" t="inlineStr">
        <is>
          <t>Refreshed for 2023, 2024: 1.D.1.a - International Aviation, 1.A.1 - Energy Industries, 1.B - Fugitive Emissions from Fuels, 1.A.2 - Manufacturing Industries and Construction, 2 - Industrial Processes and Product Use, 1.A.3 - Transport, 1.A.4 - Other Sectors, 3 - Agriculture, 4 - Land Use, Land-Use Change and Forestry, Total net emissions (UNFCCC), 1.D.1.b - International Navigation</t>
        </is>
      </c>
    </row>
    <row r="7" ht="24" customHeight="1">
      <c r="A7" s="3" t="inlineStr">
        <is>
          <t>Derivation:  Value = ([International aviation]+[Energy supply]+[Industry]+[Transport]+[Buildings and agriculture energy]+[Agriculture (non-energy)]+[LULUCF]+[Waste and other sectors])+[International maritime]*(0.6374552000704592)</t>
        </is>
      </c>
    </row>
    <row r="8" ht="42" customHeight="1">
      <c r="A8" s="44" t="inlineStr">
        <is>
          <t>Year</t>
        </is>
      </c>
      <c r="B8" s="44" t="inlineStr">
        <is>
          <t>Value</t>
        </is>
      </c>
      <c r="C8" s="44" t="inlineStr">
        <is>
          <t>International aviation</t>
        </is>
      </c>
      <c r="D8" s="44" t="inlineStr">
        <is>
          <t>Energy supply</t>
        </is>
      </c>
      <c r="E8" s="44" t="inlineStr">
        <is>
          <t>Industry</t>
        </is>
      </c>
      <c r="F8" s="44" t="inlineStr">
        <is>
          <t>Transport</t>
        </is>
      </c>
      <c r="G8" s="44" t="inlineStr">
        <is>
          <t>Buildings and agriculture energy</t>
        </is>
      </c>
      <c r="H8" s="44" t="inlineStr">
        <is>
          <t>Agriculture (non-energy)</t>
        </is>
      </c>
      <c r="I8" s="44" t="inlineStr">
        <is>
          <t>LULUCF</t>
        </is>
      </c>
      <c r="J8" s="44" t="inlineStr">
        <is>
          <t>Waste and other sectors</t>
        </is>
      </c>
      <c r="K8" s="44" t="inlineStr">
        <is>
          <t>International maritime</t>
        </is>
      </c>
      <c r="L8" s="44" t="inlineStr">
        <is>
          <t>1.D.1.a - International Aviation</t>
        </is>
      </c>
      <c r="M8" s="44" t="inlineStr">
        <is>
          <t>1.A.1 - Energy Industries</t>
        </is>
      </c>
      <c r="N8" s="44" t="inlineStr">
        <is>
          <t>1.B - Fugitive Emissions from Fuels</t>
        </is>
      </c>
      <c r="O8" s="44" t="inlineStr">
        <is>
          <t>1.A.2 - Manufacturing Industries and Construction</t>
        </is>
      </c>
      <c r="P8" s="44" t="inlineStr">
        <is>
          <t>2 - Industrial Processes and Product Use</t>
        </is>
      </c>
      <c r="Q8" s="44" t="inlineStr">
        <is>
          <t>1.A.3 - Transport</t>
        </is>
      </c>
      <c r="R8" s="44" t="inlineStr">
        <is>
          <t>1.A.4 - Other Sectors</t>
        </is>
      </c>
      <c r="S8" s="44" t="inlineStr">
        <is>
          <t>3 - Agriculture</t>
        </is>
      </c>
      <c r="T8" s="44" t="inlineStr">
        <is>
          <t>4 - Land Use, Land-Use Change and Forestry</t>
        </is>
      </c>
      <c r="U8" s="44" t="inlineStr">
        <is>
          <t>Total net emissions (UNFCCC)</t>
        </is>
      </c>
      <c r="V8" s="44" t="inlineStr">
        <is>
          <t>1.D.1.b - International Navigation</t>
        </is>
      </c>
    </row>
    <row r="9" ht="14" customHeight="1">
      <c r="A9" s="15" t="n">
        <v>2005</v>
      </c>
      <c r="B9" s="45">
        <f>((((((((C9+D9)+E9)+F9)+G9)+H9)+I9)+J9)+(K9*0.6374552000704592))</f>
        <v/>
      </c>
      <c r="C9" s="46">
        <f>(L9/1000)</f>
        <v/>
      </c>
      <c r="D9" s="46">
        <f>((M9+N9)/1000)</f>
        <v/>
      </c>
      <c r="E9" s="46">
        <f>((O9+P9)/1000)</f>
        <v/>
      </c>
      <c r="F9" s="46">
        <f>(Q9/1000)</f>
        <v/>
      </c>
      <c r="G9" s="46">
        <f>(R9/1000)</f>
        <v/>
      </c>
      <c r="H9" s="46">
        <f>(S9/1000)</f>
        <v/>
      </c>
      <c r="I9" s="46">
        <f>(T9/1000)</f>
        <v/>
      </c>
      <c r="J9" s="46">
        <f>(((((((U9/1000)-I9)-H9)-G9)-F9)-E9)-D9)</f>
        <v/>
      </c>
      <c r="K9" s="46">
        <f>(V9/1000)</f>
        <v/>
      </c>
      <c r="L9" s="46" t="n">
        <v>96093.5467867558</v>
      </c>
      <c r="M9" s="46" t="n">
        <v>1383791.909747243</v>
      </c>
      <c r="N9" s="46" t="n">
        <v>105438.9538356649</v>
      </c>
      <c r="O9" s="46" t="n">
        <v>556523.7994334318</v>
      </c>
      <c r="P9" s="46" t="n">
        <v>424749.957324306</v>
      </c>
      <c r="Q9" s="46" t="n">
        <v>847385.8950621939</v>
      </c>
      <c r="R9" s="46" t="n">
        <v>665039.2409976354</v>
      </c>
      <c r="S9" s="46" t="n">
        <v>389223.9381124297</v>
      </c>
      <c r="T9" s="46" t="n">
        <v>-342109.4761312911</v>
      </c>
      <c r="U9" s="46" t="n">
        <v>4199772.422216571</v>
      </c>
      <c r="V9" s="46" t="n">
        <v>153718.2167242595</v>
      </c>
    </row>
    <row r="10" ht="14" customHeight="1">
      <c r="A10" s="22" t="n">
        <v>2006</v>
      </c>
      <c r="B10" s="47">
        <f>((((((((C10+D10)+E10)+F10)+G10)+H10)+I10)+J10)+(K10*0.6374552000704592))</f>
        <v/>
      </c>
      <c r="C10" s="48">
        <f>(L10/1000)</f>
        <v/>
      </c>
      <c r="D10" s="48">
        <f>((M10+N10)/1000)</f>
        <v/>
      </c>
      <c r="E10" s="48">
        <f>((O10+P10)/1000)</f>
        <v/>
      </c>
      <c r="F10" s="48">
        <f>(Q10/1000)</f>
        <v/>
      </c>
      <c r="G10" s="48">
        <f>(R10/1000)</f>
        <v/>
      </c>
      <c r="H10" s="48">
        <f>(S10/1000)</f>
        <v/>
      </c>
      <c r="I10" s="48">
        <f>(T10/1000)</f>
        <v/>
      </c>
      <c r="J10" s="48">
        <f>(((((((U10/1000)-I10)-H10)-G10)-F10)-E10)-D10)</f>
        <v/>
      </c>
      <c r="K10" s="48">
        <f>(V10/1000)</f>
        <v/>
      </c>
      <c r="L10" s="48" t="n">
        <v>101161.5316416803</v>
      </c>
      <c r="M10" s="48" t="n">
        <v>1391298.067482591</v>
      </c>
      <c r="N10" s="48" t="n">
        <v>102854.448388843</v>
      </c>
      <c r="O10" s="48" t="n">
        <v>546025.3443937633</v>
      </c>
      <c r="P10" s="48" t="n">
        <v>427761.119956169</v>
      </c>
      <c r="Q10" s="48" t="n">
        <v>855493.5985864113</v>
      </c>
      <c r="R10" s="48" t="n">
        <v>663447.8326795688</v>
      </c>
      <c r="S10" s="48" t="n">
        <v>386079.7416515591</v>
      </c>
      <c r="T10" s="48" t="n">
        <v>-351296.38360007</v>
      </c>
      <c r="U10" s="48" t="n">
        <v>4186742.650344439</v>
      </c>
      <c r="V10" s="48" t="n">
        <v>164515.5386288674</v>
      </c>
    </row>
    <row r="11" ht="14" customHeight="1">
      <c r="A11" s="15" t="n">
        <v>2007</v>
      </c>
      <c r="B11" s="45">
        <f>((((((((C11+D11)+E11)+F11)+G11)+H11)+I11)+J11)+(K11*0.6374552000704592))</f>
        <v/>
      </c>
      <c r="C11" s="46">
        <f>(L11/1000)</f>
        <v/>
      </c>
      <c r="D11" s="46">
        <f>((M11+N11)/1000)</f>
        <v/>
      </c>
      <c r="E11" s="46">
        <f>((O11+P11)/1000)</f>
        <v/>
      </c>
      <c r="F11" s="46">
        <f>(Q11/1000)</f>
        <v/>
      </c>
      <c r="G11" s="46">
        <f>(R11/1000)</f>
        <v/>
      </c>
      <c r="H11" s="46">
        <f>(S11/1000)</f>
        <v/>
      </c>
      <c r="I11" s="46">
        <f>(T11/1000)</f>
        <v/>
      </c>
      <c r="J11" s="46">
        <f>(((((((U11/1000)-I11)-H11)-G11)-F11)-E11)-D11)</f>
        <v/>
      </c>
      <c r="K11" s="46">
        <f>(V11/1000)</f>
        <v/>
      </c>
      <c r="L11" s="46" t="n">
        <v>105830.0665252898</v>
      </c>
      <c r="M11" s="46" t="n">
        <v>1405513.649998837</v>
      </c>
      <c r="N11" s="46" t="n">
        <v>98154.80970217913</v>
      </c>
      <c r="O11" s="46" t="n">
        <v>558821.7373136887</v>
      </c>
      <c r="P11" s="46" t="n">
        <v>436796.397234523</v>
      </c>
      <c r="Q11" s="46" t="n">
        <v>863987.3624702656</v>
      </c>
      <c r="R11" s="46" t="n">
        <v>589494.6612543917</v>
      </c>
      <c r="S11" s="46" t="n">
        <v>389077.2087221159</v>
      </c>
      <c r="T11" s="46" t="n">
        <v>-300617.2864973615</v>
      </c>
      <c r="U11" s="46" t="n">
        <v>4202150.3650721</v>
      </c>
      <c r="V11" s="46" t="n">
        <v>171662.0376391525</v>
      </c>
    </row>
    <row r="12" ht="14" customHeight="1">
      <c r="A12" s="22" t="n">
        <v>2008</v>
      </c>
      <c r="B12" s="47">
        <f>((((((((C12+D12)+E12)+F12)+G12)+H12)+I12)+J12)+(K12*0.6374552000704592))</f>
        <v/>
      </c>
      <c r="C12" s="48">
        <f>(L12/1000)</f>
        <v/>
      </c>
      <c r="D12" s="48">
        <f>((M12+N12)/1000)</f>
        <v/>
      </c>
      <c r="E12" s="48">
        <f>((O12+P12)/1000)</f>
        <v/>
      </c>
      <c r="F12" s="48">
        <f>(Q12/1000)</f>
        <v/>
      </c>
      <c r="G12" s="48">
        <f>(R12/1000)</f>
        <v/>
      </c>
      <c r="H12" s="48">
        <f>(S12/1000)</f>
        <v/>
      </c>
      <c r="I12" s="48">
        <f>(T12/1000)</f>
        <v/>
      </c>
      <c r="J12" s="48">
        <f>(((((((U12/1000)-I12)-H12)-G12)-F12)-E12)-D12)</f>
        <v/>
      </c>
      <c r="K12" s="48">
        <f>(V12/1000)</f>
        <v/>
      </c>
      <c r="L12" s="48" t="n">
        <v>107394.2293441508</v>
      </c>
      <c r="M12" s="48" t="n">
        <v>1336603.937452088</v>
      </c>
      <c r="N12" s="48" t="n">
        <v>96639.65675954637</v>
      </c>
      <c r="O12" s="48" t="n">
        <v>539298.5581894323</v>
      </c>
      <c r="P12" s="48" t="n">
        <v>413039.8886742173</v>
      </c>
      <c r="Q12" s="48" t="n">
        <v>844924.2604683492</v>
      </c>
      <c r="R12" s="48" t="n">
        <v>635070.0212689056</v>
      </c>
      <c r="S12" s="48" t="n">
        <v>386575.0098164768</v>
      </c>
      <c r="T12" s="48" t="n">
        <v>-344262.7716834369</v>
      </c>
      <c r="U12" s="48" t="n">
        <v>4064149.484070258</v>
      </c>
      <c r="V12" s="48" t="n">
        <v>169489.7568514196</v>
      </c>
    </row>
    <row r="13" ht="14" customHeight="1">
      <c r="A13" s="15" t="n">
        <v>2009</v>
      </c>
      <c r="B13" s="45">
        <f>((((((((C13+D13)+E13)+F13)+G13)+H13)+I13)+J13)+(K13*0.6374552000704592))</f>
        <v/>
      </c>
      <c r="C13" s="46">
        <f>(L13/1000)</f>
        <v/>
      </c>
      <c r="D13" s="46">
        <f>((M13+N13)/1000)</f>
        <v/>
      </c>
      <c r="E13" s="46">
        <f>((O13+P13)/1000)</f>
        <v/>
      </c>
      <c r="F13" s="46">
        <f>(Q13/1000)</f>
        <v/>
      </c>
      <c r="G13" s="46">
        <f>(R13/1000)</f>
        <v/>
      </c>
      <c r="H13" s="46">
        <f>(S13/1000)</f>
        <v/>
      </c>
      <c r="I13" s="46">
        <f>(T13/1000)</f>
        <v/>
      </c>
      <c r="J13" s="46">
        <f>(((((((U13/1000)-I13)-H13)-G13)-F13)-E13)-D13)</f>
        <v/>
      </c>
      <c r="K13" s="46">
        <f>(V13/1000)</f>
        <v/>
      </c>
      <c r="L13" s="46" t="n">
        <v>98727.74136248264</v>
      </c>
      <c r="M13" s="46" t="n">
        <v>1235822.217675003</v>
      </c>
      <c r="N13" s="46" t="n">
        <v>89395.84095457353</v>
      </c>
      <c r="O13" s="46" t="n">
        <v>447681.1654271635</v>
      </c>
      <c r="P13" s="46" t="n">
        <v>341747.1408288951</v>
      </c>
      <c r="Q13" s="46" t="n">
        <v>823123.0306433681</v>
      </c>
      <c r="R13" s="46" t="n">
        <v>621387.0525601142</v>
      </c>
      <c r="S13" s="46" t="n">
        <v>381540.6542629341</v>
      </c>
      <c r="T13" s="46" t="n">
        <v>-347022.328623644</v>
      </c>
      <c r="U13" s="46" t="n">
        <v>3745936.961124457</v>
      </c>
      <c r="V13" s="46" t="n">
        <v>150692.1471136669</v>
      </c>
    </row>
    <row r="14" ht="14" customHeight="1">
      <c r="A14" s="22" t="n">
        <v>2010</v>
      </c>
      <c r="B14" s="47">
        <f>((((((((C14+D14)+E14)+F14)+G14)+H14)+I14)+J14)+(K14*0.6374552000704592))</f>
        <v/>
      </c>
      <c r="C14" s="48">
        <f>(L14/1000)</f>
        <v/>
      </c>
      <c r="D14" s="48">
        <f>((M14+N14)/1000)</f>
        <v/>
      </c>
      <c r="E14" s="48">
        <f>((O14+P14)/1000)</f>
        <v/>
      </c>
      <c r="F14" s="48">
        <f>(Q14/1000)</f>
        <v/>
      </c>
      <c r="G14" s="48">
        <f>(R14/1000)</f>
        <v/>
      </c>
      <c r="H14" s="48">
        <f>(S14/1000)</f>
        <v/>
      </c>
      <c r="I14" s="48">
        <f>(T14/1000)</f>
        <v/>
      </c>
      <c r="J14" s="48">
        <f>(((((((U14/1000)-I14)-H14)-G14)-F14)-E14)-D14)</f>
        <v/>
      </c>
      <c r="K14" s="48">
        <f>(V14/1000)</f>
        <v/>
      </c>
      <c r="L14" s="48" t="n">
        <v>100367.703168101</v>
      </c>
      <c r="M14" s="48" t="n">
        <v>1254197.964069834</v>
      </c>
      <c r="N14" s="48" t="n">
        <v>88942.11788421345</v>
      </c>
      <c r="O14" s="48" t="n">
        <v>480724.9666168753</v>
      </c>
      <c r="P14" s="48" t="n">
        <v>358089.4760762021</v>
      </c>
      <c r="Q14" s="48" t="n">
        <v>817639.3284119875</v>
      </c>
      <c r="R14" s="48" t="n">
        <v>656091.4267227739</v>
      </c>
      <c r="S14" s="48" t="n">
        <v>376261.832016038</v>
      </c>
      <c r="T14" s="48" t="n">
        <v>-352590.1909498173</v>
      </c>
      <c r="U14" s="48" t="n">
        <v>3828151.481732043</v>
      </c>
      <c r="V14" s="48" t="n">
        <v>151616.5388100612</v>
      </c>
    </row>
    <row r="15" ht="14" customHeight="1">
      <c r="A15" s="15" t="n">
        <v>2011</v>
      </c>
      <c r="B15" s="45">
        <f>((((((((C15+D15)+E15)+F15)+G15)+H15)+I15)+J15)+(K15*0.6374552000704592))</f>
        <v/>
      </c>
      <c r="C15" s="46">
        <f>(L15/1000)</f>
        <v/>
      </c>
      <c r="D15" s="46">
        <f>((M15+N15)/1000)</f>
        <v/>
      </c>
      <c r="E15" s="46">
        <f>((O15+P15)/1000)</f>
        <v/>
      </c>
      <c r="F15" s="46">
        <f>(Q15/1000)</f>
        <v/>
      </c>
      <c r="G15" s="46">
        <f>(R15/1000)</f>
        <v/>
      </c>
      <c r="H15" s="46">
        <f>(S15/1000)</f>
        <v/>
      </c>
      <c r="I15" s="46">
        <f>(T15/1000)</f>
        <v/>
      </c>
      <c r="J15" s="46">
        <f>(((((((U15/1000)-I15)-H15)-G15)-F15)-E15)-D15)</f>
        <v/>
      </c>
      <c r="K15" s="46">
        <f>(V15/1000)</f>
        <v/>
      </c>
      <c r="L15" s="46" t="n">
        <v>102837.0641991336</v>
      </c>
      <c r="M15" s="46" t="n">
        <v>1245598.75636121</v>
      </c>
      <c r="N15" s="46" t="n">
        <v>88256.71798617767</v>
      </c>
      <c r="O15" s="46" t="n">
        <v>468688.8421073754</v>
      </c>
      <c r="P15" s="46" t="n">
        <v>357464.6123107264</v>
      </c>
      <c r="Q15" s="46" t="n">
        <v>808240.4255515237</v>
      </c>
      <c r="R15" s="46" t="n">
        <v>581491.159158799</v>
      </c>
      <c r="S15" s="46" t="n">
        <v>375710.6857101015</v>
      </c>
      <c r="T15" s="46" t="n">
        <v>-347273.8004383777</v>
      </c>
      <c r="U15" s="46" t="n">
        <v>3722592.33532732</v>
      </c>
      <c r="V15" s="46" t="n">
        <v>150438.6922295953</v>
      </c>
    </row>
    <row r="16" ht="14" customHeight="1">
      <c r="A16" s="22" t="n">
        <v>2012</v>
      </c>
      <c r="B16" s="47">
        <f>((((((((C16+D16)+E16)+F16)+G16)+H16)+I16)+J16)+(K16*0.6374552000704592))</f>
        <v/>
      </c>
      <c r="C16" s="48">
        <f>(L16/1000)</f>
        <v/>
      </c>
      <c r="D16" s="48">
        <f>((M16+N16)/1000)</f>
        <v/>
      </c>
      <c r="E16" s="48">
        <f>((O16+P16)/1000)</f>
        <v/>
      </c>
      <c r="F16" s="48">
        <f>(Q16/1000)</f>
        <v/>
      </c>
      <c r="G16" s="48">
        <f>(R16/1000)</f>
        <v/>
      </c>
      <c r="H16" s="48">
        <f>(S16/1000)</f>
        <v/>
      </c>
      <c r="I16" s="48">
        <f>(T16/1000)</f>
        <v/>
      </c>
      <c r="J16" s="48">
        <f>(((((((U16/1000)-I16)-H16)-G16)-F16)-E16)-D16)</f>
        <v/>
      </c>
      <c r="K16" s="48">
        <f>(V16/1000)</f>
        <v/>
      </c>
      <c r="L16" s="48" t="n">
        <v>101711.2712350216</v>
      </c>
      <c r="M16" s="48" t="n">
        <v>1228497.283589192</v>
      </c>
      <c r="N16" s="48" t="n">
        <v>87382.27090351634</v>
      </c>
      <c r="O16" s="48" t="n">
        <v>450892.5625642318</v>
      </c>
      <c r="P16" s="48" t="n">
        <v>344777.8719775737</v>
      </c>
      <c r="Q16" s="48" t="n">
        <v>778706.749671909</v>
      </c>
      <c r="R16" s="48" t="n">
        <v>589570.9624305605</v>
      </c>
      <c r="S16" s="48" t="n">
        <v>375535.1288160273</v>
      </c>
      <c r="T16" s="48" t="n">
        <v>-342633.5989882683</v>
      </c>
      <c r="U16" s="48" t="n">
        <v>3652676.458347446</v>
      </c>
      <c r="V16" s="48" t="n">
        <v>140076.7945914176</v>
      </c>
    </row>
    <row r="17" ht="14" customHeight="1">
      <c r="A17" s="15" t="n">
        <v>2013</v>
      </c>
      <c r="B17" s="45">
        <f>((((((((C17+D17)+E17)+F17)+G17)+H17)+I17)+J17)+(K17*0.6374552000704592))</f>
        <v/>
      </c>
      <c r="C17" s="46">
        <f>(L17/1000)</f>
        <v/>
      </c>
      <c r="D17" s="46">
        <f>((M17+N17)/1000)</f>
        <v/>
      </c>
      <c r="E17" s="46">
        <f>((O17+P17)/1000)</f>
        <v/>
      </c>
      <c r="F17" s="46">
        <f>(Q17/1000)</f>
        <v/>
      </c>
      <c r="G17" s="46">
        <f>(R17/1000)</f>
        <v/>
      </c>
      <c r="H17" s="46">
        <f>(S17/1000)</f>
        <v/>
      </c>
      <c r="I17" s="46">
        <f>(T17/1000)</f>
        <v/>
      </c>
      <c r="J17" s="46">
        <f>(((((((U17/1000)-I17)-H17)-G17)-F17)-E17)-D17)</f>
        <v/>
      </c>
      <c r="K17" s="46">
        <f>(V17/1000)</f>
        <v/>
      </c>
      <c r="L17" s="46" t="n">
        <v>102661.527717858</v>
      </c>
      <c r="M17" s="46" t="n">
        <v>1167766.627856105</v>
      </c>
      <c r="N17" s="46" t="n">
        <v>86244.80117624416</v>
      </c>
      <c r="O17" s="46" t="n">
        <v>432830.4669897874</v>
      </c>
      <c r="P17" s="46" t="n">
        <v>342701.8740429208</v>
      </c>
      <c r="Q17" s="46" t="n">
        <v>772714.0098053934</v>
      </c>
      <c r="R17" s="46" t="n">
        <v>593898.5478671879</v>
      </c>
      <c r="S17" s="46" t="n">
        <v>377711.0600038942</v>
      </c>
      <c r="T17" s="46" t="n">
        <v>-342604.9051712324</v>
      </c>
      <c r="U17" s="46" t="n">
        <v>3565971.851813179</v>
      </c>
      <c r="V17" s="46" t="n">
        <v>132216.8364301119</v>
      </c>
    </row>
    <row r="18" ht="14" customHeight="1">
      <c r="A18" s="22" t="n">
        <v>2014</v>
      </c>
      <c r="B18" s="47">
        <f>((((((((C18+D18)+E18)+F18)+G18)+H18)+I18)+J18)+(K18*0.6374552000704592))</f>
        <v/>
      </c>
      <c r="C18" s="48">
        <f>(L18/1000)</f>
        <v/>
      </c>
      <c r="D18" s="48">
        <f>((M18+N18)/1000)</f>
        <v/>
      </c>
      <c r="E18" s="48">
        <f>((O18+P18)/1000)</f>
        <v/>
      </c>
      <c r="F18" s="48">
        <f>(Q18/1000)</f>
        <v/>
      </c>
      <c r="G18" s="48">
        <f>(R18/1000)</f>
        <v/>
      </c>
      <c r="H18" s="48">
        <f>(S18/1000)</f>
        <v/>
      </c>
      <c r="I18" s="48">
        <f>(T18/1000)</f>
        <v/>
      </c>
      <c r="J18" s="48">
        <f>(((((((U18/1000)-I18)-H18)-G18)-F18)-E18)-D18)</f>
        <v/>
      </c>
      <c r="K18" s="48">
        <f>(V18/1000)</f>
        <v/>
      </c>
      <c r="L18" s="48" t="n">
        <v>104670.2515866599</v>
      </c>
      <c r="M18" s="48" t="n">
        <v>1106411.952567341</v>
      </c>
      <c r="N18" s="48" t="n">
        <v>83315.75412458043</v>
      </c>
      <c r="O18" s="48" t="n">
        <v>419987.1953761611</v>
      </c>
      <c r="P18" s="48" t="n">
        <v>349178.2009048872</v>
      </c>
      <c r="Q18" s="48" t="n">
        <v>778078.2800394794</v>
      </c>
      <c r="R18" s="48" t="n">
        <v>517774.6481601744</v>
      </c>
      <c r="S18" s="48" t="n">
        <v>382763.2323365848</v>
      </c>
      <c r="T18" s="48" t="n">
        <v>-327802.7208805995</v>
      </c>
      <c r="U18" s="48" t="n">
        <v>3439936.605301883</v>
      </c>
      <c r="V18" s="48" t="n">
        <v>128504.2723115443</v>
      </c>
    </row>
    <row r="19" ht="14" customHeight="1">
      <c r="A19" s="15" t="n">
        <v>2015</v>
      </c>
      <c r="B19" s="45">
        <f>((((((((C19+D19)+E19)+F19)+G19)+H19)+I19)+J19)+(K19*0.6374552000704592))</f>
        <v/>
      </c>
      <c r="C19" s="46">
        <f>(L19/1000)</f>
        <v/>
      </c>
      <c r="D19" s="46">
        <f>((M19+N19)/1000)</f>
        <v/>
      </c>
      <c r="E19" s="46">
        <f>((O19+P19)/1000)</f>
        <v/>
      </c>
      <c r="F19" s="46">
        <f>(Q19/1000)</f>
        <v/>
      </c>
      <c r="G19" s="46">
        <f>(R19/1000)</f>
        <v/>
      </c>
      <c r="H19" s="46">
        <f>(S19/1000)</f>
        <v/>
      </c>
      <c r="I19" s="46">
        <f>(T19/1000)</f>
        <v/>
      </c>
      <c r="J19" s="46">
        <f>(((((((U19/1000)-I19)-H19)-G19)-F19)-E19)-D19)</f>
        <v/>
      </c>
      <c r="K19" s="46">
        <f>(V19/1000)</f>
        <v/>
      </c>
      <c r="L19" s="46" t="n">
        <v>108530.225575632</v>
      </c>
      <c r="M19" s="46" t="n">
        <v>1113952.039429784</v>
      </c>
      <c r="N19" s="46" t="n">
        <v>82722.17581126672</v>
      </c>
      <c r="O19" s="46" t="n">
        <v>428994.7046756293</v>
      </c>
      <c r="P19" s="46" t="n">
        <v>339854.3406348636</v>
      </c>
      <c r="Q19" s="46" t="n">
        <v>793239.5374683889</v>
      </c>
      <c r="R19" s="46" t="n">
        <v>541000.8190923381</v>
      </c>
      <c r="S19" s="46" t="n">
        <v>384280.2404336713</v>
      </c>
      <c r="T19" s="46" t="n">
        <v>-322423.8390120481</v>
      </c>
      <c r="U19" s="46" t="n">
        <v>3489991.78684447</v>
      </c>
      <c r="V19" s="46" t="n">
        <v>129161.6247826884</v>
      </c>
    </row>
    <row r="20" ht="14" customHeight="1">
      <c r="A20" s="22" t="n">
        <v>2016</v>
      </c>
      <c r="B20" s="47">
        <f>((((((((C20+D20)+E20)+F20)+G20)+H20)+I20)+J20)+(K20*0.6374552000704592))</f>
        <v/>
      </c>
      <c r="C20" s="48">
        <f>(L20/1000)</f>
        <v/>
      </c>
      <c r="D20" s="48">
        <f>((M20+N20)/1000)</f>
        <v/>
      </c>
      <c r="E20" s="48">
        <f>((O20+P20)/1000)</f>
        <v/>
      </c>
      <c r="F20" s="48">
        <f>(Q20/1000)</f>
        <v/>
      </c>
      <c r="G20" s="48">
        <f>(R20/1000)</f>
        <v/>
      </c>
      <c r="H20" s="48">
        <f>(S20/1000)</f>
        <v/>
      </c>
      <c r="I20" s="48">
        <f>(T20/1000)</f>
        <v/>
      </c>
      <c r="J20" s="48">
        <f>(((((((U20/1000)-I20)-H20)-G20)-F20)-E20)-D20)</f>
        <v/>
      </c>
      <c r="K20" s="48">
        <f>(V20/1000)</f>
        <v/>
      </c>
      <c r="L20" s="48" t="n">
        <v>115073.9625731744</v>
      </c>
      <c r="M20" s="48" t="n">
        <v>1089116.588723411</v>
      </c>
      <c r="N20" s="48" t="n">
        <v>79398.29508330715</v>
      </c>
      <c r="O20" s="48" t="n">
        <v>434138.4673306638</v>
      </c>
      <c r="P20" s="48" t="n">
        <v>342081.2033069766</v>
      </c>
      <c r="Q20" s="48" t="n">
        <v>810749.1666258904</v>
      </c>
      <c r="R20" s="48" t="n">
        <v>547734.6214553677</v>
      </c>
      <c r="S20" s="48" t="n">
        <v>386350.863086234</v>
      </c>
      <c r="T20" s="48" t="n">
        <v>-318486.5248315362</v>
      </c>
      <c r="U20" s="48" t="n">
        <v>3496207.047471587</v>
      </c>
      <c r="V20" s="48" t="n">
        <v>132878.7115343804</v>
      </c>
    </row>
    <row r="21" ht="14" customHeight="1">
      <c r="A21" s="15" t="n">
        <v>2017</v>
      </c>
      <c r="B21" s="45">
        <f>((((((((C21+D21)+E21)+F21)+G21)+H21)+I21)+J21)+(K21*0.6374552000704592))</f>
        <v/>
      </c>
      <c r="C21" s="46">
        <f>(L21/1000)</f>
        <v/>
      </c>
      <c r="D21" s="46">
        <f>((M21+N21)/1000)</f>
        <v/>
      </c>
      <c r="E21" s="46">
        <f>((O21+P21)/1000)</f>
        <v/>
      </c>
      <c r="F21" s="46">
        <f>(Q21/1000)</f>
        <v/>
      </c>
      <c r="G21" s="46">
        <f>(R21/1000)</f>
        <v/>
      </c>
      <c r="H21" s="46">
        <f>(S21/1000)</f>
        <v/>
      </c>
      <c r="I21" s="46">
        <f>(T21/1000)</f>
        <v/>
      </c>
      <c r="J21" s="46">
        <f>(((((((U21/1000)-I21)-H21)-G21)-F21)-E21)-D21)</f>
        <v/>
      </c>
      <c r="K21" s="46">
        <f>(V21/1000)</f>
        <v/>
      </c>
      <c r="L21" s="46" t="n">
        <v>124162.2531613785</v>
      </c>
      <c r="M21" s="46" t="n">
        <v>1083340.062104683</v>
      </c>
      <c r="N21" s="46" t="n">
        <v>78797.86218157514</v>
      </c>
      <c r="O21" s="46" t="n">
        <v>441345.5467568766</v>
      </c>
      <c r="P21" s="46" t="n">
        <v>349690.552885406</v>
      </c>
      <c r="Q21" s="46" t="n">
        <v>824980.6709826406</v>
      </c>
      <c r="R21" s="46" t="n">
        <v>545728.3094760611</v>
      </c>
      <c r="S21" s="46" t="n">
        <v>388162.7465621477</v>
      </c>
      <c r="T21" s="46" t="n">
        <v>-249795.8911803428</v>
      </c>
      <c r="U21" s="46" t="n">
        <v>3586270.555416179</v>
      </c>
      <c r="V21" s="46" t="n">
        <v>134673.0537708645</v>
      </c>
    </row>
    <row r="22" ht="14" customHeight="1">
      <c r="A22" s="22" t="n">
        <v>2018</v>
      </c>
      <c r="B22" s="47">
        <f>((((((((C22+D22)+E22)+F22)+G22)+H22)+I22)+J22)+(K22*0.6374552000704592))</f>
        <v/>
      </c>
      <c r="C22" s="48">
        <f>(L22/1000)</f>
        <v/>
      </c>
      <c r="D22" s="48">
        <f>((M22+N22)/1000)</f>
        <v/>
      </c>
      <c r="E22" s="48">
        <f>((O22+P22)/1000)</f>
        <v/>
      </c>
      <c r="F22" s="48">
        <f>(Q22/1000)</f>
        <v/>
      </c>
      <c r="G22" s="48">
        <f>(R22/1000)</f>
        <v/>
      </c>
      <c r="H22" s="48">
        <f>(S22/1000)</f>
        <v/>
      </c>
      <c r="I22" s="48">
        <f>(T22/1000)</f>
        <v/>
      </c>
      <c r="J22" s="48">
        <f>(((((((U22/1000)-I22)-H22)-G22)-F22)-E22)-D22)</f>
        <v/>
      </c>
      <c r="K22" s="48">
        <f>(V22/1000)</f>
        <v/>
      </c>
      <c r="L22" s="48" t="n">
        <v>130358.3122343503</v>
      </c>
      <c r="M22" s="48" t="n">
        <v>1023654.369042464</v>
      </c>
      <c r="N22" s="48" t="n">
        <v>75127.80479899461</v>
      </c>
      <c r="O22" s="48" t="n">
        <v>442369.9182363944</v>
      </c>
      <c r="P22" s="48" t="n">
        <v>342906.689601974</v>
      </c>
      <c r="Q22" s="48" t="n">
        <v>826483.0160983559</v>
      </c>
      <c r="R22" s="48" t="n">
        <v>532932.2957141745</v>
      </c>
      <c r="S22" s="48" t="n">
        <v>385144.0777511664</v>
      </c>
      <c r="T22" s="48" t="n">
        <v>-257789.0407210758</v>
      </c>
      <c r="U22" s="48" t="n">
        <v>3492981.769437353</v>
      </c>
      <c r="V22" s="48" t="n">
        <v>137835.7627343526</v>
      </c>
    </row>
    <row r="23" ht="14" customHeight="1">
      <c r="A23" s="15" t="n">
        <v>2019</v>
      </c>
      <c r="B23" s="45">
        <f>((((((((C23+D23)+E23)+F23)+G23)+H23)+I23)+J23)+(K23*0.6374552000704592))</f>
        <v/>
      </c>
      <c r="C23" s="46">
        <f>(L23/1000)</f>
        <v/>
      </c>
      <c r="D23" s="46">
        <f>((M23+N23)/1000)</f>
        <v/>
      </c>
      <c r="E23" s="46">
        <f>((O23+P23)/1000)</f>
        <v/>
      </c>
      <c r="F23" s="46">
        <f>(Q23/1000)</f>
        <v/>
      </c>
      <c r="G23" s="46">
        <f>(R23/1000)</f>
        <v/>
      </c>
      <c r="H23" s="46">
        <f>(S23/1000)</f>
        <v/>
      </c>
      <c r="I23" s="46">
        <f>(T23/1000)</f>
        <v/>
      </c>
      <c r="J23" s="46">
        <f>(((((((U23/1000)-I23)-H23)-G23)-F23)-E23)-D23)</f>
        <v/>
      </c>
      <c r="K23" s="46">
        <f>(V23/1000)</f>
        <v/>
      </c>
      <c r="L23" s="46" t="n">
        <v>132976.6899599499</v>
      </c>
      <c r="M23" s="46" t="n">
        <v>905334.0532878421</v>
      </c>
      <c r="N23" s="46" t="n">
        <v>68470.86858615991</v>
      </c>
      <c r="O23" s="46" t="n">
        <v>428579.8953015269</v>
      </c>
      <c r="P23" s="46" t="n">
        <v>331548.2341144778</v>
      </c>
      <c r="Q23" s="46" t="n">
        <v>832732.9627801805</v>
      </c>
      <c r="R23" s="46" t="n">
        <v>522823.0782422734</v>
      </c>
      <c r="S23" s="46" t="n">
        <v>380247.9630183178</v>
      </c>
      <c r="T23" s="46" t="n">
        <v>-247317.6236412184</v>
      </c>
      <c r="U23" s="46" t="n">
        <v>3343976.001711879</v>
      </c>
      <c r="V23" s="46" t="n">
        <v>136597.1927971829</v>
      </c>
    </row>
    <row r="24" ht="14" customHeight="1">
      <c r="A24" s="22" t="n">
        <v>2020</v>
      </c>
      <c r="B24" s="47">
        <f>((((((((C24+D24)+E24)+F24)+G24)+H24)+I24)+J24)+(K24*0.6374552000704592))</f>
        <v/>
      </c>
      <c r="C24" s="48">
        <f>(L24/1000)</f>
        <v/>
      </c>
      <c r="D24" s="48">
        <f>((M24+N24)/1000)</f>
        <v/>
      </c>
      <c r="E24" s="48">
        <f>((O24+P24)/1000)</f>
        <v/>
      </c>
      <c r="F24" s="48">
        <f>(Q24/1000)</f>
        <v/>
      </c>
      <c r="G24" s="48">
        <f>(R24/1000)</f>
        <v/>
      </c>
      <c r="H24" s="48">
        <f>(S24/1000)</f>
        <v/>
      </c>
      <c r="I24" s="48">
        <f>(T24/1000)</f>
        <v/>
      </c>
      <c r="J24" s="48">
        <f>(((((((U24/1000)-I24)-H24)-G24)-F24)-E24)-D24)</f>
        <v/>
      </c>
      <c r="K24" s="48">
        <f>(V24/1000)</f>
        <v/>
      </c>
      <c r="L24" s="48" t="n">
        <v>56110.15386994078</v>
      </c>
      <c r="M24" s="48" t="n">
        <v>778122.0885059792</v>
      </c>
      <c r="N24" s="48" t="n">
        <v>63396.09017103456</v>
      </c>
      <c r="O24" s="48" t="n">
        <v>412771.8756989454</v>
      </c>
      <c r="P24" s="48" t="n">
        <v>306828.453320871</v>
      </c>
      <c r="Q24" s="48" t="n">
        <v>720181.5179737462</v>
      </c>
      <c r="R24" s="48" t="n">
        <v>519713.6736162479</v>
      </c>
      <c r="S24" s="48" t="n">
        <v>381956.8334369566</v>
      </c>
      <c r="T24" s="48" t="n">
        <v>-241038.0579270464</v>
      </c>
      <c r="U24" s="48" t="n">
        <v>3062562.485365232</v>
      </c>
      <c r="V24" s="48" t="n">
        <v>121030.6700531797</v>
      </c>
    </row>
    <row r="25" ht="14" customHeight="1">
      <c r="A25" s="15" t="n">
        <v>2021</v>
      </c>
      <c r="B25" s="45">
        <f>((((((((C25+D25)+E25)+F25)+G25)+H25)+I25)+J25)+(K25*0.6374552000704592))</f>
        <v/>
      </c>
      <c r="C25" s="46">
        <f>(L25/1000)</f>
        <v/>
      </c>
      <c r="D25" s="46">
        <f>((M25+N25)/1000)</f>
        <v/>
      </c>
      <c r="E25" s="46">
        <f>((O25+P25)/1000)</f>
        <v/>
      </c>
      <c r="F25" s="46">
        <f>(Q25/1000)</f>
        <v/>
      </c>
      <c r="G25" s="46">
        <f>(R25/1000)</f>
        <v/>
      </c>
      <c r="H25" s="46">
        <f>(S25/1000)</f>
        <v/>
      </c>
      <c r="I25" s="46">
        <f>(T25/1000)</f>
        <v/>
      </c>
      <c r="J25" s="46">
        <f>(((((((U25/1000)-I25)-H25)-G25)-F25)-E25)-D25)</f>
        <v/>
      </c>
      <c r="K25" s="46">
        <f>(V25/1000)</f>
        <v/>
      </c>
      <c r="L25" s="46" t="n">
        <v>69754.33288629929</v>
      </c>
      <c r="M25" s="46" t="n">
        <v>840446.6098716129</v>
      </c>
      <c r="N25" s="46" t="n">
        <v>61178.10452410704</v>
      </c>
      <c r="O25" s="46" t="n">
        <v>439540.132456479</v>
      </c>
      <c r="P25" s="46" t="n">
        <v>317933.961339561</v>
      </c>
      <c r="Q25" s="46" t="n">
        <v>782100.6927128381</v>
      </c>
      <c r="R25" s="46" t="n">
        <v>532533.8870926787</v>
      </c>
      <c r="S25" s="46" t="n">
        <v>378430.4732188581</v>
      </c>
      <c r="T25" s="46" t="n">
        <v>-229984.6664172722</v>
      </c>
      <c r="U25" s="46" t="n">
        <v>3241715.645399727</v>
      </c>
      <c r="V25" s="46" t="n">
        <v>129086.0910553474</v>
      </c>
    </row>
    <row r="26" ht="14" customHeight="1">
      <c r="A26" s="22" t="n">
        <v>2022</v>
      </c>
      <c r="B26" s="47">
        <f>((((((((C26+D26)+E26)+F26)+G26)+H26)+I26)+J26)+(K26*0.6374552000704592))</f>
        <v/>
      </c>
      <c r="C26" s="48">
        <f>(L26/1000)</f>
        <v/>
      </c>
      <c r="D26" s="48">
        <f>((M26+N26)/1000)</f>
        <v/>
      </c>
      <c r="E26" s="48">
        <f>((O26+P26)/1000)</f>
        <v/>
      </c>
      <c r="F26" s="48">
        <f>(Q26/1000)</f>
        <v/>
      </c>
      <c r="G26" s="48">
        <f>(R26/1000)</f>
        <v/>
      </c>
      <c r="H26" s="48">
        <f>(S26/1000)</f>
        <v/>
      </c>
      <c r="I26" s="48">
        <f>(T26/1000)</f>
        <v/>
      </c>
      <c r="J26" s="48">
        <f>(((((((U26/1000)-I26)-H26)-G26)-F26)-E26)-D26)</f>
        <v/>
      </c>
      <c r="K26" s="48">
        <f>(V26/1000)</f>
        <v/>
      </c>
      <c r="L26" s="48" t="n">
        <v>103282.33849</v>
      </c>
      <c r="M26" s="48" t="n">
        <v>863591.50089</v>
      </c>
      <c r="N26" s="48" t="n">
        <v>60742.65651</v>
      </c>
      <c r="O26" s="48" t="n">
        <v>398202.32207</v>
      </c>
      <c r="P26" s="48" t="n">
        <v>293126.49118</v>
      </c>
      <c r="Q26" s="48" t="n">
        <v>803300.64018</v>
      </c>
      <c r="R26" s="48" t="n">
        <v>481832.07029</v>
      </c>
      <c r="S26" s="48" t="n">
        <v>370649.49145</v>
      </c>
      <c r="T26" s="48" t="n">
        <v>-243767.28937</v>
      </c>
      <c r="U26" s="48" t="n">
        <v>3142824.65786</v>
      </c>
      <c r="V26" s="48" t="n">
        <v>137742.68167</v>
      </c>
    </row>
    <row r="27" ht="14" customHeight="1">
      <c r="A27" s="15" t="n">
        <v>2023</v>
      </c>
      <c r="B27" s="45">
        <f>((((((((C27+D27)+E27)+F27)+G27)+H27)+I27)+J27)+(K27*0.6374552000704592))</f>
        <v/>
      </c>
      <c r="C27" s="46">
        <f>(L27/1000)</f>
        <v/>
      </c>
      <c r="D27" s="46">
        <f>((M27+N27)/1000)</f>
        <v/>
      </c>
      <c r="E27" s="46">
        <f>((O27+P27)/1000)</f>
        <v/>
      </c>
      <c r="F27" s="46">
        <f>(Q27/1000)</f>
        <v/>
      </c>
      <c r="G27" s="46">
        <f>(R27/1000)</f>
        <v/>
      </c>
      <c r="H27" s="46">
        <f>(S27/1000)</f>
        <v/>
      </c>
      <c r="I27" s="46">
        <f>(T27/1000)</f>
        <v/>
      </c>
      <c r="J27" s="46">
        <f>(((((((U27/1000)-I27)-H27)-G27)-F27)-E27)-D27)</f>
        <v/>
      </c>
      <c r="K27" s="46">
        <f>(V27/1000)</f>
        <v/>
      </c>
      <c r="L27" s="46" t="n">
        <v>122755.95</v>
      </c>
      <c r="M27" s="46" t="n">
        <v>698415.59</v>
      </c>
      <c r="N27" s="46" t="n">
        <v>47890.66</v>
      </c>
      <c r="O27" s="46" t="n">
        <v>358770.37</v>
      </c>
      <c r="P27" s="46" t="n">
        <v>263328.47</v>
      </c>
      <c r="Q27" s="46" t="n">
        <v>795640.38</v>
      </c>
      <c r="R27" s="46" t="n">
        <v>437337.17</v>
      </c>
      <c r="S27" s="46" t="n">
        <v>363238.13</v>
      </c>
      <c r="T27" s="46" t="n">
        <v>-215514.95</v>
      </c>
      <c r="U27" s="46" t="n">
        <v>2872831.69</v>
      </c>
      <c r="V27" s="46" t="n">
        <v>122385.65</v>
      </c>
    </row>
    <row r="28" ht="14" customHeight="1">
      <c r="A28" s="22" t="n">
        <v>2024</v>
      </c>
      <c r="B28" s="47">
        <f>((((((((C28+D28)+E28)+F28)+G28)+H28)+I28)+J28)+(K28*0.6374552000704592))</f>
        <v/>
      </c>
      <c r="C28" s="48">
        <f>(L28/1000)</f>
        <v/>
      </c>
      <c r="D28" s="48">
        <f>((M28+N28)/1000)</f>
        <v/>
      </c>
      <c r="E28" s="48">
        <f>((O28+P28)/1000)</f>
        <v/>
      </c>
      <c r="F28" s="48">
        <f>(Q28/1000)</f>
        <v/>
      </c>
      <c r="G28" s="48">
        <f>(R28/1000)</f>
        <v/>
      </c>
      <c r="H28" s="48">
        <f>(S28/1000)</f>
        <v/>
      </c>
      <c r="I28" s="48">
        <f>(T28/1000)</f>
        <v/>
      </c>
      <c r="J28" s="48">
        <f>(((((((U28/1000)-I28)-H28)-G28)-F28)-E28)-D28)</f>
        <v/>
      </c>
      <c r="K28" s="48">
        <f>(V28/1000)</f>
        <v/>
      </c>
      <c r="L28" s="48" t="n">
        <v>129981.66</v>
      </c>
      <c r="M28" s="48" t="n">
        <v>642414.8100000001</v>
      </c>
      <c r="N28" s="48" t="n">
        <v>46712.11</v>
      </c>
      <c r="O28" s="48" t="n">
        <v>351562.16</v>
      </c>
      <c r="P28" s="48" t="n">
        <v>259866.27</v>
      </c>
      <c r="Q28" s="48" t="n">
        <v>804764.05</v>
      </c>
      <c r="R28" s="48" t="n">
        <v>430706</v>
      </c>
      <c r="S28" s="48" t="n">
        <v>359085.59</v>
      </c>
      <c r="T28" s="48" t="n">
        <v>-230985.16</v>
      </c>
      <c r="U28" s="48" t="n">
        <v>2786202.81</v>
      </c>
      <c r="V28" s="48" t="n">
        <v>127020.67</v>
      </c>
    </row>
    <row r="31">
      <c r="A31" s="49" t="inlineStr">
        <is>
          <t>E1 · Energy supply GHG emissions  (Mt CO₂eq)</t>
        </is>
      </c>
    </row>
    <row r="32" ht="26" customHeight="1">
      <c r="A32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3" ht="22" customHeight="1">
      <c r="A33" s="3" t="inlineStr">
        <is>
          <t>Refreshed for 2023, 2024: Total (reported, no breakdown)</t>
        </is>
      </c>
    </row>
    <row r="34" ht="24" customHeight="1">
      <c r="A34" s="3" t="inlineStr">
        <is>
          <t>Derivation:  Value = ([Power and heat]+[Petroleum refineries]+[Other (mining, gas transport, …)]+[Fugitive emissions]+[Total (reported, no breakdown)])</t>
        </is>
      </c>
    </row>
    <row r="35" ht="42" customHeight="1">
      <c r="A35" s="44" t="inlineStr">
        <is>
          <t>Year</t>
        </is>
      </c>
      <c r="B35" s="44" t="inlineStr">
        <is>
          <t>Value</t>
        </is>
      </c>
      <c r="C35" s="44" t="inlineStr">
        <is>
          <t>Power and heat</t>
        </is>
      </c>
      <c r="D35" s="44" t="inlineStr">
        <is>
          <t>Petroleum refineries</t>
        </is>
      </c>
      <c r="E35" s="44" t="inlineStr">
        <is>
          <t>Other (mining, gas transport, …)</t>
        </is>
      </c>
      <c r="F35" s="44" t="inlineStr">
        <is>
          <t>Fugitive emissions</t>
        </is>
      </c>
      <c r="G35" s="44" t="inlineStr">
        <is>
          <t>Total (reported, no breakdown)</t>
        </is>
      </c>
    </row>
    <row r="36" ht="14" customHeight="1">
      <c r="A36" s="15" t="n">
        <v>2005</v>
      </c>
      <c r="B36" s="45">
        <f>((((C36+D36)+E36)+F36)+G36)</f>
        <v/>
      </c>
      <c r="C36" s="46" t="n">
        <v>1196.758245846026</v>
      </c>
      <c r="D36" s="46" t="n">
        <v>123.9870596101241</v>
      </c>
      <c r="E36" s="46" t="n">
        <v>63.04660429109262</v>
      </c>
      <c r="F36" s="46" t="n">
        <v>105.4389538</v>
      </c>
      <c r="G36" s="46" t="n">
        <v>0</v>
      </c>
    </row>
    <row r="37" ht="14" customHeight="1">
      <c r="A37" s="22" t="n">
        <v>2006</v>
      </c>
      <c r="B37" s="47">
        <f>((((C37+D37)+E37)+F37)+G37)</f>
        <v/>
      </c>
      <c r="C37" s="48" t="n">
        <v>1202.287158688667</v>
      </c>
      <c r="D37" s="48" t="n">
        <v>124.1365710393262</v>
      </c>
      <c r="E37" s="48" t="n">
        <v>64.87433775459844</v>
      </c>
      <c r="F37" s="48" t="n">
        <v>102.8544484</v>
      </c>
      <c r="G37" s="48" t="n">
        <v>0</v>
      </c>
    </row>
    <row r="38" ht="14" customHeight="1">
      <c r="A38" s="15" t="n">
        <v>2007</v>
      </c>
      <c r="B38" s="45">
        <f>((((C38+D38)+E38)+F38)+G38)</f>
        <v/>
      </c>
      <c r="C38" s="46" t="n">
        <v>1217.033778045102</v>
      </c>
      <c r="D38" s="46" t="n">
        <v>126.0325001798641</v>
      </c>
      <c r="E38" s="46" t="n">
        <v>62.44737177387138</v>
      </c>
      <c r="F38" s="46" t="n">
        <v>98.1548097</v>
      </c>
      <c r="G38" s="46" t="n">
        <v>0</v>
      </c>
    </row>
    <row r="39" ht="14" customHeight="1">
      <c r="A39" s="22" t="n">
        <v>2008</v>
      </c>
      <c r="B39" s="47">
        <f>((((C39+D39)+E39)+F39)+G39)</f>
        <v/>
      </c>
      <c r="C39" s="48" t="n">
        <v>1154.090287704243</v>
      </c>
      <c r="D39" s="48" t="n">
        <v>123.850140695121</v>
      </c>
      <c r="E39" s="48" t="n">
        <v>58.66350905272446</v>
      </c>
      <c r="F39" s="48" t="n">
        <v>96.63965675999999</v>
      </c>
      <c r="G39" s="48" t="n">
        <v>0</v>
      </c>
    </row>
    <row r="40" ht="14" customHeight="1">
      <c r="A40" s="15" t="n">
        <v>2009</v>
      </c>
      <c r="B40" s="45">
        <f>((((C40+D40)+E40)+F40)+G40)</f>
        <v/>
      </c>
      <c r="C40" s="46" t="n">
        <v>1071.723628773908</v>
      </c>
      <c r="D40" s="46" t="n">
        <v>116.4991543655994</v>
      </c>
      <c r="E40" s="46" t="n">
        <v>47.5994345354952</v>
      </c>
      <c r="F40" s="46" t="n">
        <v>89.39584094999999</v>
      </c>
      <c r="G40" s="46" t="n">
        <v>0</v>
      </c>
    </row>
    <row r="41" ht="14" customHeight="1">
      <c r="A41" s="22" t="n">
        <v>2010</v>
      </c>
      <c r="B41" s="47">
        <f>((((C41+D41)+E41)+F41)+G41)</f>
        <v/>
      </c>
      <c r="C41" s="48" t="n">
        <v>1083.159785618806</v>
      </c>
      <c r="D41" s="48" t="n">
        <v>115.7643596914695</v>
      </c>
      <c r="E41" s="48" t="n">
        <v>55.27381875955815</v>
      </c>
      <c r="F41" s="48" t="n">
        <v>88.94211788000001</v>
      </c>
      <c r="G41" s="48" t="n">
        <v>0</v>
      </c>
    </row>
    <row r="42" ht="14" customHeight="1">
      <c r="A42" s="15" t="n">
        <v>2011</v>
      </c>
      <c r="B42" s="45">
        <f>((((C42+D42)+E42)+F42)+G42)</f>
        <v/>
      </c>
      <c r="C42" s="46" t="n">
        <v>1078.116924470295</v>
      </c>
      <c r="D42" s="46" t="n">
        <v>113.0561118340927</v>
      </c>
      <c r="E42" s="46" t="n">
        <v>54.42572005682139</v>
      </c>
      <c r="F42" s="46" t="n">
        <v>88.25671799</v>
      </c>
      <c r="G42" s="46" t="n">
        <v>0</v>
      </c>
    </row>
    <row r="43" ht="14" customHeight="1">
      <c r="A43" s="22" t="n">
        <v>2012</v>
      </c>
      <c r="B43" s="47">
        <f>((((C43+D43)+E43)+F43)+G43)</f>
        <v/>
      </c>
      <c r="C43" s="48" t="n">
        <v>1073.885467423855</v>
      </c>
      <c r="D43" s="48" t="n">
        <v>109.9061579609855</v>
      </c>
      <c r="E43" s="48" t="n">
        <v>44.70565820435123</v>
      </c>
      <c r="F43" s="48" t="n">
        <v>87.38227090000001</v>
      </c>
      <c r="G43" s="48" t="n">
        <v>0</v>
      </c>
    </row>
    <row r="44" ht="14" customHeight="1">
      <c r="A44" s="15" t="n">
        <v>2013</v>
      </c>
      <c r="B44" s="45">
        <f>((((C44+D44)+E44)+F44)+G44)</f>
        <v/>
      </c>
      <c r="C44" s="46" t="n">
        <v>1017.828197834809</v>
      </c>
      <c r="D44" s="46" t="n">
        <v>107.8915398301622</v>
      </c>
      <c r="E44" s="46" t="n">
        <v>42.0468901911337</v>
      </c>
      <c r="F44" s="46" t="n">
        <v>86.24480118</v>
      </c>
      <c r="G44" s="46" t="n">
        <v>0</v>
      </c>
    </row>
    <row r="45" ht="14" customHeight="1">
      <c r="A45" s="22" t="n">
        <v>2014</v>
      </c>
      <c r="B45" s="47">
        <f>((((C45+D45)+E45)+F45)+G45)</f>
        <v/>
      </c>
      <c r="C45" s="48" t="n">
        <v>959.9153430101976</v>
      </c>
      <c r="D45" s="48" t="n">
        <v>104.8373214979622</v>
      </c>
      <c r="E45" s="48" t="n">
        <v>41.65928805918095</v>
      </c>
      <c r="F45" s="48" t="n">
        <v>83.31575411999999</v>
      </c>
      <c r="G45" s="48" t="n">
        <v>0</v>
      </c>
    </row>
    <row r="46" ht="14" customHeight="1">
      <c r="A46" s="15" t="n">
        <v>2015</v>
      </c>
      <c r="B46" s="45">
        <f>((((C46+D46)+E46)+F46)+G46)</f>
        <v/>
      </c>
      <c r="C46" s="46" t="n">
        <v>968.478226654539</v>
      </c>
      <c r="D46" s="46" t="n">
        <v>105.9232176692684</v>
      </c>
      <c r="E46" s="46" t="n">
        <v>39.55059510597678</v>
      </c>
      <c r="F46" s="46" t="n">
        <v>82.72217581</v>
      </c>
      <c r="G46" s="46" t="n">
        <v>0</v>
      </c>
    </row>
    <row r="47" ht="14" customHeight="1">
      <c r="A47" s="22" t="n">
        <v>2016</v>
      </c>
      <c r="B47" s="47">
        <f>((((C47+D47)+E47)+F47)+G47)</f>
        <v/>
      </c>
      <c r="C47" s="48" t="n">
        <v>943.7780432166106</v>
      </c>
      <c r="D47" s="48" t="n">
        <v>105.3676318303479</v>
      </c>
      <c r="E47" s="48" t="n">
        <v>39.97091367645223</v>
      </c>
      <c r="F47" s="48" t="n">
        <v>79.39829508</v>
      </c>
      <c r="G47" s="48" t="n">
        <v>0</v>
      </c>
    </row>
    <row r="48" ht="14" customHeight="1">
      <c r="A48" s="15" t="n">
        <v>2017</v>
      </c>
      <c r="B48" s="45">
        <f>((((C48+D48)+E48)+F48)+G48)</f>
        <v/>
      </c>
      <c r="C48" s="46" t="n">
        <v>941.4613738822286</v>
      </c>
      <c r="D48" s="46" t="n">
        <v>103.0793338102074</v>
      </c>
      <c r="E48" s="46" t="n">
        <v>38.79935441224699</v>
      </c>
      <c r="F48" s="46" t="n">
        <v>78.79786218</v>
      </c>
      <c r="G48" s="46" t="n">
        <v>0</v>
      </c>
    </row>
    <row r="49" ht="14" customHeight="1">
      <c r="A49" s="22" t="n">
        <v>2018</v>
      </c>
      <c r="B49" s="47">
        <f>((((C49+D49)+E49)+F49)+G49)</f>
        <v/>
      </c>
      <c r="C49" s="48" t="n">
        <v>882.6337398417216</v>
      </c>
      <c r="D49" s="48" t="n">
        <v>99.76282735267915</v>
      </c>
      <c r="E49" s="48" t="n">
        <v>41.25780184806324</v>
      </c>
      <c r="F49" s="48" t="n">
        <v>75.12780479999999</v>
      </c>
      <c r="G49" s="48" t="n">
        <v>0</v>
      </c>
    </row>
    <row r="50" ht="14" customHeight="1">
      <c r="A50" s="15" t="n">
        <v>2019</v>
      </c>
      <c r="B50" s="45">
        <f>((((C50+D50)+E50)+F50)+G50)</f>
        <v/>
      </c>
      <c r="C50" s="46" t="n">
        <v>765.3394265641642</v>
      </c>
      <c r="D50" s="46" t="n">
        <v>100.0629083064018</v>
      </c>
      <c r="E50" s="46" t="n">
        <v>39.93171841727609</v>
      </c>
      <c r="F50" s="46" t="n">
        <v>68.47086858999999</v>
      </c>
      <c r="G50" s="46" t="n">
        <v>0</v>
      </c>
    </row>
    <row r="51" ht="14" customHeight="1">
      <c r="A51" s="22" t="n">
        <v>2020</v>
      </c>
      <c r="B51" s="47">
        <f>((((C51+D51)+E51)+F51)+G51)</f>
        <v/>
      </c>
      <c r="C51" s="48" t="n">
        <v>652.2738549169003</v>
      </c>
      <c r="D51" s="48" t="n">
        <v>93.1745498914046</v>
      </c>
      <c r="E51" s="48" t="n">
        <v>32.67368369767437</v>
      </c>
      <c r="F51" s="48" t="n">
        <v>63.39609017</v>
      </c>
      <c r="G51" s="48" t="n">
        <v>0</v>
      </c>
    </row>
    <row r="52" ht="14" customHeight="1">
      <c r="A52" s="15" t="n">
        <v>2021</v>
      </c>
      <c r="B52" s="45">
        <f>((((C52+D52)+E52)+F52)+G52)</f>
        <v/>
      </c>
      <c r="C52" s="46" t="n">
        <v>716.9830013629618</v>
      </c>
      <c r="D52" s="46" t="n">
        <v>92.82853754286684</v>
      </c>
      <c r="E52" s="46" t="n">
        <v>30.63507096578415</v>
      </c>
      <c r="F52" s="46" t="n">
        <v>61.17810452</v>
      </c>
      <c r="G52" s="46" t="n">
        <v>0</v>
      </c>
    </row>
    <row r="53" ht="14" customHeight="1">
      <c r="A53" s="22" t="n">
        <v>2022</v>
      </c>
      <c r="B53" s="47">
        <f>((((C53+D53)+E53)+F53)+G53)</f>
        <v/>
      </c>
      <c r="C53" s="48" t="n">
        <v>0</v>
      </c>
      <c r="D53" s="48" t="n">
        <v>0</v>
      </c>
      <c r="E53" s="48" t="n">
        <v>0</v>
      </c>
      <c r="F53" s="48" t="n">
        <v>0</v>
      </c>
      <c r="G53" s="48" t="n">
        <v>924.3341574</v>
      </c>
    </row>
    <row r="54" ht="14" customHeight="1">
      <c r="A54" s="15" t="n">
        <v>2023</v>
      </c>
      <c r="B54" s="45">
        <f>((((C54+D54)+E54)+F54)+G54)</f>
        <v/>
      </c>
      <c r="C54" s="46" t="n">
        <v>0</v>
      </c>
      <c r="D54" s="46" t="n">
        <v>0</v>
      </c>
      <c r="E54" s="46" t="n">
        <v>0</v>
      </c>
      <c r="F54" s="46" t="n">
        <v>0</v>
      </c>
      <c r="G54" s="46" t="n">
        <v>746.30625</v>
      </c>
    </row>
    <row r="55" ht="14" customHeight="1">
      <c r="A55" s="22" t="n">
        <v>2024</v>
      </c>
      <c r="B55" s="47">
        <f>((((C55+D55)+E55)+F55)+G55)</f>
        <v/>
      </c>
      <c r="C55" s="48" t="n">
        <v>0</v>
      </c>
      <c r="D55" s="48" t="n">
        <v>0</v>
      </c>
      <c r="E55" s="48" t="n">
        <v>0</v>
      </c>
      <c r="F55" s="48" t="n">
        <v>0</v>
      </c>
      <c r="G55" s="48" t="n">
        <v>689.12692</v>
      </c>
    </row>
    <row r="58">
      <c r="A58" s="49" t="inlineStr">
        <is>
          <t>E2 (RES) · Non-biomass renewable share of EU electricity mix  (%)</t>
        </is>
      </c>
    </row>
    <row r="59" ht="26" customHeight="1">
      <c r="A59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0" ht="22" customHeight="1">
      <c r="A60" s="3" t="inlineStr">
        <is>
          <t>Refreshed for 2023, 2024: Renewable - hydro, Renewable - solar, Renewable - wind, Renewable - other non-bio, Total</t>
        </is>
      </c>
    </row>
    <row r="61" ht="24" customHeight="1">
      <c r="A61" s="3" t="inlineStr">
        <is>
          <t>Derivation:  Value = (([Renewable - hydro]+[Renewable - solar]+[Renewable - wind]+[Renewable - other non-bio]) / [Total]) * [fraction → % (× 100)]</t>
        </is>
      </c>
    </row>
    <row r="62" ht="42" customHeight="1">
      <c r="A62" s="44" t="inlineStr">
        <is>
          <t>Year</t>
        </is>
      </c>
      <c r="B62" s="44" t="inlineStr">
        <is>
          <t>Value</t>
        </is>
      </c>
      <c r="C62" s="44" t="inlineStr">
        <is>
          <t>Renewable - hydro</t>
        </is>
      </c>
      <c r="D62" s="44" t="inlineStr">
        <is>
          <t>Renewable - solar</t>
        </is>
      </c>
      <c r="E62" s="44" t="inlineStr">
        <is>
          <t>Renewable - wind</t>
        </is>
      </c>
      <c r="F62" s="44" t="inlineStr">
        <is>
          <t>Renewable - other non-bio</t>
        </is>
      </c>
      <c r="G62" s="44" t="inlineStr">
        <is>
          <t>Total</t>
        </is>
      </c>
      <c r="H62" s="44" t="inlineStr">
        <is>
          <t>fraction → % (× 100)</t>
        </is>
      </c>
    </row>
    <row r="63" ht="14" customHeight="1">
      <c r="A63" s="15" t="n">
        <v>2005</v>
      </c>
      <c r="B63" s="45">
        <f>(((((C63+D63)+E63)+F63)/G63)*H63)</f>
        <v/>
      </c>
      <c r="C63" s="46" t="n">
        <v>340.546184</v>
      </c>
      <c r="D63" s="46" t="n">
        <v>1.458688</v>
      </c>
      <c r="E63" s="46" t="n">
        <v>68.094587</v>
      </c>
      <c r="F63" s="46" t="n">
        <v>5.878568</v>
      </c>
      <c r="G63" s="46" t="n">
        <v>2916.31008</v>
      </c>
      <c r="H63" s="46" t="n">
        <v>100</v>
      </c>
    </row>
    <row r="64" ht="14" customHeight="1">
      <c r="A64" s="22" t="n">
        <v>2006</v>
      </c>
      <c r="B64" s="47">
        <f>(((((C64+D64)+E64)+F64)/G64)*H64)</f>
        <v/>
      </c>
      <c r="C64" s="48" t="n">
        <v>342.707881</v>
      </c>
      <c r="D64" s="48" t="n">
        <v>2.48947</v>
      </c>
      <c r="E64" s="48" t="n">
        <v>78.711461</v>
      </c>
      <c r="F64" s="48" t="n">
        <v>6.079915</v>
      </c>
      <c r="G64" s="48" t="n">
        <v>2967.633772</v>
      </c>
      <c r="H64" s="48" t="n">
        <v>100</v>
      </c>
    </row>
    <row r="65" ht="14" customHeight="1">
      <c r="A65" s="15" t="n">
        <v>2007</v>
      </c>
      <c r="B65" s="45">
        <f>(((((C65+D65)+E65)+F65)/G65)*H65)</f>
        <v/>
      </c>
      <c r="C65" s="46" t="n">
        <v>338.893876</v>
      </c>
      <c r="D65" s="46" t="n">
        <v>3.774527</v>
      </c>
      <c r="E65" s="46" t="n">
        <v>99.907526</v>
      </c>
      <c r="F65" s="46" t="n">
        <v>6.237820000000001</v>
      </c>
      <c r="G65" s="46" t="n">
        <v>2982.779542999999</v>
      </c>
      <c r="H65" s="46" t="n">
        <v>100</v>
      </c>
    </row>
    <row r="66" ht="14" customHeight="1">
      <c r="A66" s="22" t="n">
        <v>2008</v>
      </c>
      <c r="B66" s="47">
        <f>(((((C66+D66)+E66)+F66)/G66)*H66)</f>
        <v/>
      </c>
      <c r="C66" s="48" t="n">
        <v>354.877833</v>
      </c>
      <c r="D66" s="48" t="n">
        <v>7.437621</v>
      </c>
      <c r="E66" s="48" t="n">
        <v>113.234843</v>
      </c>
      <c r="F66" s="48" t="n">
        <v>6.196697</v>
      </c>
      <c r="G66" s="48" t="n">
        <v>2994.069288</v>
      </c>
      <c r="H66" s="48" t="n">
        <v>100</v>
      </c>
    </row>
    <row r="67" ht="14" customHeight="1">
      <c r="A67" s="15" t="n">
        <v>2009</v>
      </c>
      <c r="B67" s="45">
        <f>(((((C67+D67)+E67)+F67)/G67)*H67)</f>
        <v/>
      </c>
      <c r="C67" s="46" t="n">
        <v>357.662569</v>
      </c>
      <c r="D67" s="46" t="n">
        <v>14.103981</v>
      </c>
      <c r="E67" s="46" t="n">
        <v>124.555918</v>
      </c>
      <c r="F67" s="46" t="n">
        <v>5.994467</v>
      </c>
      <c r="G67" s="46" t="n">
        <v>2842.476761000001</v>
      </c>
      <c r="H67" s="46" t="n">
        <v>100</v>
      </c>
    </row>
    <row r="68" ht="14" customHeight="1">
      <c r="A68" s="22" t="n">
        <v>2010</v>
      </c>
      <c r="B68" s="47">
        <f>(((((C68+D68)+E68)+F68)/G68)*H68)</f>
        <v/>
      </c>
      <c r="C68" s="48" t="n">
        <v>401.279583</v>
      </c>
      <c r="D68" s="48" t="n">
        <v>23.224063</v>
      </c>
      <c r="E68" s="48" t="n">
        <v>139.842164</v>
      </c>
      <c r="F68" s="48" t="n">
        <v>6.078805999999999</v>
      </c>
      <c r="G68" s="48" t="n">
        <v>2979.660478</v>
      </c>
      <c r="H68" s="48" t="n">
        <v>100</v>
      </c>
    </row>
    <row r="69" ht="14" customHeight="1">
      <c r="A69" s="15" t="n">
        <v>2011</v>
      </c>
      <c r="B69" s="45">
        <f>(((((C69+D69)+E69)+F69)/G69)*H69)</f>
        <v/>
      </c>
      <c r="C69" s="46" t="n">
        <v>332.848797</v>
      </c>
      <c r="D69" s="46" t="n">
        <v>47.288533</v>
      </c>
      <c r="E69" s="46" t="n">
        <v>165.346899</v>
      </c>
      <c r="F69" s="46" t="n">
        <v>6.424249</v>
      </c>
      <c r="G69" s="46" t="n">
        <v>2937.062106</v>
      </c>
      <c r="H69" s="46" t="n">
        <v>100</v>
      </c>
    </row>
    <row r="70" ht="14" customHeight="1">
      <c r="A70" s="22" t="n">
        <v>2012</v>
      </c>
      <c r="B70" s="47">
        <f>(((((C70+D70)+E70)+F70)/G70)*H70)</f>
        <v/>
      </c>
      <c r="C70" s="48" t="n">
        <v>359.551397</v>
      </c>
      <c r="D70" s="48" t="n">
        <v>70.14140800000001</v>
      </c>
      <c r="E70" s="48" t="n">
        <v>187.468916</v>
      </c>
      <c r="F70" s="48" t="n">
        <v>6.278327999999999</v>
      </c>
      <c r="G70" s="48" t="n">
        <v>2934.338138</v>
      </c>
      <c r="H70" s="48" t="n">
        <v>100</v>
      </c>
    </row>
    <row r="71" ht="14" customHeight="1">
      <c r="A71" s="15" t="n">
        <v>2013</v>
      </c>
      <c r="B71" s="45">
        <f>(((((C71+D71)+E71)+F71)/G71)*H71)</f>
        <v/>
      </c>
      <c r="C71" s="46" t="n">
        <v>396.650775</v>
      </c>
      <c r="D71" s="46" t="n">
        <v>84.13560100000001</v>
      </c>
      <c r="E71" s="46" t="n">
        <v>209.474806</v>
      </c>
      <c r="F71" s="46" t="n">
        <v>6.439842</v>
      </c>
      <c r="G71" s="46" t="n">
        <v>2916.392271000001</v>
      </c>
      <c r="H71" s="46" t="n">
        <v>100</v>
      </c>
    </row>
    <row r="72" ht="14" customHeight="1">
      <c r="A72" s="22" t="n">
        <v>2014</v>
      </c>
      <c r="B72" s="47">
        <f>(((((C72+D72)+E72)+F72)/G72)*H72)</f>
        <v/>
      </c>
      <c r="C72" s="48" t="n">
        <v>398.608494</v>
      </c>
      <c r="D72" s="48" t="n">
        <v>94.172878</v>
      </c>
      <c r="E72" s="48" t="n">
        <v>222.356661</v>
      </c>
      <c r="F72" s="48" t="n">
        <v>6.783885000000001</v>
      </c>
      <c r="G72" s="48" t="n">
        <v>2856.506539</v>
      </c>
      <c r="H72" s="48" t="n">
        <v>100</v>
      </c>
    </row>
    <row r="73" ht="14" customHeight="1">
      <c r="A73" s="15" t="n">
        <v>2015</v>
      </c>
      <c r="B73" s="45">
        <f>(((((C73+D73)+E73)+F73)/G73)*H73)</f>
        <v/>
      </c>
      <c r="C73" s="46" t="n">
        <v>363.237628</v>
      </c>
      <c r="D73" s="46" t="n">
        <v>100.856862</v>
      </c>
      <c r="E73" s="46" t="n">
        <v>263.204743</v>
      </c>
      <c r="F73" s="46" t="n">
        <v>7.101067</v>
      </c>
      <c r="G73" s="46" t="n">
        <v>2900.551886000001</v>
      </c>
      <c r="H73" s="46" t="n">
        <v>100</v>
      </c>
    </row>
    <row r="74" ht="14" customHeight="1">
      <c r="A74" s="22" t="n">
        <v>2016</v>
      </c>
      <c r="B74" s="47">
        <f>(((((C74+D74)+E74)+F74)/G74)*H74)</f>
        <v/>
      </c>
      <c r="C74" s="48" t="n">
        <v>372.711195</v>
      </c>
      <c r="D74" s="48" t="n">
        <v>101.036686</v>
      </c>
      <c r="E74" s="48" t="n">
        <v>266.814627</v>
      </c>
      <c r="F74" s="48" t="n">
        <v>7.23339</v>
      </c>
      <c r="G74" s="48" t="n">
        <v>2922.01605</v>
      </c>
      <c r="H74" s="48" t="n">
        <v>100</v>
      </c>
    </row>
    <row r="75" ht="14" customHeight="1">
      <c r="A75" s="15" t="n">
        <v>2017</v>
      </c>
      <c r="B75" s="45">
        <f>(((((C75+D75)+E75)+F75)/G75)*H75)</f>
        <v/>
      </c>
      <c r="C75" s="46" t="n">
        <v>322.463411</v>
      </c>
      <c r="D75" s="46" t="n">
        <v>107.934943</v>
      </c>
      <c r="E75" s="46" t="n">
        <v>312.313129</v>
      </c>
      <c r="F75" s="46" t="n">
        <v>7.236751</v>
      </c>
      <c r="G75" s="46" t="n">
        <v>2954.523595000001</v>
      </c>
      <c r="H75" s="46" t="n">
        <v>100</v>
      </c>
    </row>
    <row r="76" ht="14" customHeight="1">
      <c r="A76" s="22" t="n">
        <v>2018</v>
      </c>
      <c r="B76" s="47">
        <f>(((((C76+D76)+E76)+F76)/G76)*H76)</f>
        <v/>
      </c>
      <c r="C76" s="48" t="n">
        <v>370.234436</v>
      </c>
      <c r="D76" s="48" t="n">
        <v>113.066624</v>
      </c>
      <c r="E76" s="48" t="n">
        <v>320.615898</v>
      </c>
      <c r="F76" s="48" t="n">
        <v>7.134921</v>
      </c>
      <c r="G76" s="48" t="n">
        <v>2938.030121</v>
      </c>
      <c r="H76" s="48" t="n">
        <v>100</v>
      </c>
    </row>
    <row r="77" ht="14" customHeight="1">
      <c r="A77" s="15" t="n">
        <v>2019</v>
      </c>
      <c r="B77" s="45">
        <f>(((((C77+D77)+E77)+F77)/G77)*H77)</f>
        <v/>
      </c>
      <c r="C77" s="46" t="n">
        <v>345.642675</v>
      </c>
      <c r="D77" s="46" t="n">
        <v>123.884579</v>
      </c>
      <c r="E77" s="46" t="n">
        <v>367.117813</v>
      </c>
      <c r="F77" s="46" t="n">
        <v>7.224769999999999</v>
      </c>
      <c r="G77" s="46" t="n">
        <v>2902.370047</v>
      </c>
      <c r="H77" s="46" t="n">
        <v>100</v>
      </c>
    </row>
    <row r="78" ht="14" customHeight="1">
      <c r="A78" s="22" t="n">
        <v>2020</v>
      </c>
      <c r="B78" s="47">
        <f>(((((C78+D78)+E78)+F78)/G78)*H78)</f>
        <v/>
      </c>
      <c r="C78" s="48" t="n">
        <v>375.486539</v>
      </c>
      <c r="D78" s="48" t="n">
        <v>145.116756</v>
      </c>
      <c r="E78" s="48" t="n">
        <v>397.481079</v>
      </c>
      <c r="F78" s="48" t="n">
        <v>7.22602</v>
      </c>
      <c r="G78" s="48" t="n">
        <v>2784.553903</v>
      </c>
      <c r="H78" s="48" t="n">
        <v>100</v>
      </c>
    </row>
    <row r="79" ht="14" customHeight="1">
      <c r="A79" s="15" t="n">
        <v>2021</v>
      </c>
      <c r="B79" s="45">
        <f>(((((C79+D79)+E79)+F79)/G79)*H79)</f>
        <v/>
      </c>
      <c r="C79" s="46" t="n">
        <v>374.849021</v>
      </c>
      <c r="D79" s="46" t="n">
        <v>163.764273</v>
      </c>
      <c r="E79" s="46" t="n">
        <v>386.539564</v>
      </c>
      <c r="F79" s="46" t="n">
        <v>7.041166</v>
      </c>
      <c r="G79" s="46" t="n">
        <v>2906.186482</v>
      </c>
      <c r="H79" s="46" t="n">
        <v>100</v>
      </c>
    </row>
    <row r="80" ht="14" customHeight="1">
      <c r="A80" s="22" t="n">
        <v>2022</v>
      </c>
      <c r="B80" s="47">
        <f>(((((C80+D80)+E80)+F80)/G80)*H80)</f>
        <v/>
      </c>
      <c r="C80" s="48" t="n">
        <v>308.581133</v>
      </c>
      <c r="D80" s="48" t="n">
        <v>209.644287</v>
      </c>
      <c r="E80" s="48" t="n">
        <v>421.26459</v>
      </c>
      <c r="F80" s="48" t="n">
        <v>6.946363</v>
      </c>
      <c r="G80" s="48" t="n">
        <v>2803.796039</v>
      </c>
      <c r="H80" s="48" t="n">
        <v>100</v>
      </c>
    </row>
    <row r="81" ht="14" customHeight="1">
      <c r="A81" s="15" t="n">
        <v>2023</v>
      </c>
      <c r="B81" s="45">
        <f>(((((C81+D81)+E81)+F81)/G81)*H81)</f>
        <v/>
      </c>
      <c r="C81" s="46" t="n">
        <v>330.438319</v>
      </c>
      <c r="D81" s="46" t="n">
        <v>254.459334</v>
      </c>
      <c r="E81" s="46" t="n">
        <v>480.450777</v>
      </c>
      <c r="F81" s="46" t="n">
        <v>6.721399</v>
      </c>
      <c r="G81" s="46" t="n">
        <v>2760.944843</v>
      </c>
      <c r="H81" s="46" t="n">
        <v>100</v>
      </c>
    </row>
    <row r="82" ht="14" customHeight="1">
      <c r="A82" s="22" t="n">
        <v>2024</v>
      </c>
      <c r="B82" s="47">
        <f>(((((C82+D82)+E82)+F82)/G82)*H82)</f>
        <v/>
      </c>
      <c r="C82" s="48" t="n">
        <v>369.659291</v>
      </c>
      <c r="D82" s="48" t="n">
        <v>308.516899</v>
      </c>
      <c r="E82" s="48" t="n">
        <v>490.037497</v>
      </c>
      <c r="F82" s="48" t="n">
        <v>6.681308</v>
      </c>
      <c r="G82" s="48" t="n">
        <v>2828.734401</v>
      </c>
      <c r="H82" s="48" t="n">
        <v>100</v>
      </c>
    </row>
    <row r="85">
      <c r="A85" s="49" t="inlineStr">
        <is>
          <t>E2 (fossil) · Fossil share of EU electricity mix  (%)</t>
        </is>
      </c>
    </row>
    <row r="86" ht="26" customHeight="1">
      <c r="A86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87" ht="22" customHeight="1">
      <c r="A87" s="3" t="inlineStr">
        <is>
          <t>Refreshed for 2023, 2024: Solid fossil fuels, Natural &amp; manufactured gases, Oil products &amp; other fossils, Total</t>
        </is>
      </c>
    </row>
    <row r="88" ht="24" customHeight="1">
      <c r="A88" s="3" t="inlineStr">
        <is>
          <t>Derivation:  Value = (([Solid fossil fuels]+[Natural &amp; manufactured gases]+[Oil products &amp; other fossils]) / [Total]) * [fraction → % (× 100)]</t>
        </is>
      </c>
    </row>
    <row r="89" ht="42" customHeight="1">
      <c r="A89" s="44" t="inlineStr">
        <is>
          <t>Year</t>
        </is>
      </c>
      <c r="B89" s="44" t="inlineStr">
        <is>
          <t>Value</t>
        </is>
      </c>
      <c r="C89" s="44" t="inlineStr">
        <is>
          <t>Solid fossil fuels</t>
        </is>
      </c>
      <c r="D89" s="44" t="inlineStr">
        <is>
          <t>Natural &amp; manufactured gases</t>
        </is>
      </c>
      <c r="E89" s="44" t="inlineStr">
        <is>
          <t>Oil products &amp; other fossils</t>
        </is>
      </c>
      <c r="F89" s="44" t="inlineStr">
        <is>
          <t>Total</t>
        </is>
      </c>
      <c r="G89" s="44" t="inlineStr">
        <is>
          <t>fraction → % (× 100)</t>
        </is>
      </c>
    </row>
    <row r="90" ht="14" customHeight="1">
      <c r="A90" s="15" t="n">
        <v>2005</v>
      </c>
      <c r="B90" s="45">
        <f>((((C90+D90)+E90)/F90)*G90)</f>
        <v/>
      </c>
      <c r="C90" s="46" t="n">
        <v>808.8822210000001</v>
      </c>
      <c r="D90" s="46" t="n">
        <v>548.315303</v>
      </c>
      <c r="E90" s="46" t="n">
        <v>154.208875</v>
      </c>
      <c r="F90" s="46" t="n">
        <v>2916.31008</v>
      </c>
      <c r="G90" s="46" t="n">
        <v>100</v>
      </c>
    </row>
    <row r="91" ht="14" customHeight="1">
      <c r="A91" s="22" t="n">
        <v>2006</v>
      </c>
      <c r="B91" s="47">
        <f>((((C91+D91)+E91)/F91)*G91)</f>
        <v/>
      </c>
      <c r="C91" s="48" t="n">
        <v>816.4990429999999</v>
      </c>
      <c r="D91" s="48" t="n">
        <v>575.616132</v>
      </c>
      <c r="E91" s="48" t="n">
        <v>148.089791</v>
      </c>
      <c r="F91" s="48" t="n">
        <v>2967.633772</v>
      </c>
      <c r="G91" s="48" t="n">
        <v>100</v>
      </c>
    </row>
    <row r="92" ht="14" customHeight="1">
      <c r="A92" s="15" t="n">
        <v>2007</v>
      </c>
      <c r="B92" s="45">
        <f>((((C92+D92)+E92)/F92)*G92)</f>
        <v/>
      </c>
      <c r="C92" s="46" t="n">
        <v>828.805419</v>
      </c>
      <c r="D92" s="46" t="n">
        <v>609.4216759999999</v>
      </c>
      <c r="E92" s="46" t="n">
        <v>130.798327</v>
      </c>
      <c r="F92" s="46" t="n">
        <v>2982.779542999999</v>
      </c>
      <c r="G92" s="46" t="n">
        <v>100</v>
      </c>
    </row>
    <row r="93" ht="14" customHeight="1">
      <c r="A93" s="22" t="n">
        <v>2008</v>
      </c>
      <c r="B93" s="47">
        <f>((((C93+D93)+E93)/F93)*G93)</f>
        <v/>
      </c>
      <c r="C93" s="48" t="n">
        <v>757.053054</v>
      </c>
      <c r="D93" s="48" t="n">
        <v>647.726098</v>
      </c>
      <c r="E93" s="48" t="n">
        <v>119.772171</v>
      </c>
      <c r="F93" s="48" t="n">
        <v>2994.069288</v>
      </c>
      <c r="G93" s="48" t="n">
        <v>100</v>
      </c>
    </row>
    <row r="94" ht="14" customHeight="1">
      <c r="A94" s="15" t="n">
        <v>2009</v>
      </c>
      <c r="B94" s="45">
        <f>((((C94+D94)+E94)/F94)*G94)</f>
        <v/>
      </c>
      <c r="C94" s="46" t="n">
        <v>703.574826</v>
      </c>
      <c r="D94" s="46" t="n">
        <v>590.1233000000001</v>
      </c>
      <c r="E94" s="46" t="n">
        <v>108.367097</v>
      </c>
      <c r="F94" s="46" t="n">
        <v>2842.476761000001</v>
      </c>
      <c r="G94" s="46" t="n">
        <v>100</v>
      </c>
    </row>
    <row r="95" ht="14" customHeight="1">
      <c r="A95" s="22" t="n">
        <v>2010</v>
      </c>
      <c r="B95" s="47">
        <f>((((C95+D95)+E95)/F95)*G95)</f>
        <v/>
      </c>
      <c r="C95" s="48" t="n">
        <v>701.230144</v>
      </c>
      <c r="D95" s="48" t="n">
        <v>622.051201</v>
      </c>
      <c r="E95" s="48" t="n">
        <v>102.466548</v>
      </c>
      <c r="F95" s="48" t="n">
        <v>2979.660478</v>
      </c>
      <c r="G95" s="48" t="n">
        <v>100</v>
      </c>
    </row>
    <row r="96" ht="14" customHeight="1">
      <c r="A96" s="15" t="n">
        <v>2011</v>
      </c>
      <c r="B96" s="45">
        <f>((((C96+D96)+E96)/F96)*G96)</f>
        <v/>
      </c>
      <c r="C96" s="46" t="n">
        <v>724.8267979999999</v>
      </c>
      <c r="D96" s="46" t="n">
        <v>591.3915999999999</v>
      </c>
      <c r="E96" s="46" t="n">
        <v>93.754159</v>
      </c>
      <c r="F96" s="46" t="n">
        <v>2937.062106</v>
      </c>
      <c r="G96" s="46" t="n">
        <v>100</v>
      </c>
    </row>
    <row r="97" ht="14" customHeight="1">
      <c r="A97" s="22" t="n">
        <v>2012</v>
      </c>
      <c r="B97" s="47">
        <f>((((C97+D97)+E97)/F97)*G97)</f>
        <v/>
      </c>
      <c r="C97" s="48" t="n">
        <v>742.7146720000001</v>
      </c>
      <c r="D97" s="48" t="n">
        <v>516.165104</v>
      </c>
      <c r="E97" s="48" t="n">
        <v>88.87544200000001</v>
      </c>
      <c r="F97" s="48" t="n">
        <v>2934.338138</v>
      </c>
      <c r="G97" s="48" t="n">
        <v>100</v>
      </c>
    </row>
    <row r="98" ht="14" customHeight="1">
      <c r="A98" s="15" t="n">
        <v>2013</v>
      </c>
      <c r="B98" s="45">
        <f>((((C98+D98)+E98)/F98)*G98)</f>
        <v/>
      </c>
      <c r="C98" s="46" t="n">
        <v>728.930201</v>
      </c>
      <c r="D98" s="46" t="n">
        <v>446.6026879999999</v>
      </c>
      <c r="E98" s="46" t="n">
        <v>80.468727</v>
      </c>
      <c r="F98" s="46" t="n">
        <v>2916.392271000001</v>
      </c>
      <c r="G98" s="46" t="n">
        <v>100</v>
      </c>
    </row>
    <row r="99" ht="14" customHeight="1">
      <c r="A99" s="22" t="n">
        <v>2014</v>
      </c>
      <c r="B99" s="47">
        <f>((((C99+D99)+E99)/F99)*G99)</f>
        <v/>
      </c>
      <c r="C99" s="48" t="n">
        <v>692.768867</v>
      </c>
      <c r="D99" s="48" t="n">
        <v>388.686239</v>
      </c>
      <c r="E99" s="48" t="n">
        <v>76.98636399999999</v>
      </c>
      <c r="F99" s="48" t="n">
        <v>2856.506539</v>
      </c>
      <c r="G99" s="48" t="n">
        <v>100</v>
      </c>
    </row>
    <row r="100" ht="14" customHeight="1">
      <c r="A100" s="15" t="n">
        <v>2015</v>
      </c>
      <c r="B100" s="45">
        <f>((((C100+D100)+E100)/F100)*G100)</f>
        <v/>
      </c>
      <c r="C100" s="46" t="n">
        <v>705.028993</v>
      </c>
      <c r="D100" s="46" t="n">
        <v>428.5298340000001</v>
      </c>
      <c r="E100" s="46" t="n">
        <v>77.023162</v>
      </c>
      <c r="F100" s="46" t="n">
        <v>2900.551886000001</v>
      </c>
      <c r="G100" s="46" t="n">
        <v>100</v>
      </c>
    </row>
    <row r="101" ht="14" customHeight="1">
      <c r="A101" s="22" t="n">
        <v>2016</v>
      </c>
      <c r="B101" s="47">
        <f>((((C101+D101)+E101)/F101)*G101)</f>
        <v/>
      </c>
      <c r="C101" s="48" t="n">
        <v>659.0611759999999</v>
      </c>
      <c r="D101" s="48" t="n">
        <v>498.1137</v>
      </c>
      <c r="E101" s="48" t="n">
        <v>77.09005499999999</v>
      </c>
      <c r="F101" s="48" t="n">
        <v>2922.01605</v>
      </c>
      <c r="G101" s="48" t="n">
        <v>100</v>
      </c>
    </row>
    <row r="102" ht="14" customHeight="1">
      <c r="A102" s="15" t="n">
        <v>2017</v>
      </c>
      <c r="B102" s="45">
        <f>((((C102+D102)+E102)/F102)*G102)</f>
        <v/>
      </c>
      <c r="C102" s="46" t="n">
        <v>638.838938</v>
      </c>
      <c r="D102" s="46" t="n">
        <v>557.9138810000001</v>
      </c>
      <c r="E102" s="46" t="n">
        <v>73.831413</v>
      </c>
      <c r="F102" s="46" t="n">
        <v>2954.523595000001</v>
      </c>
      <c r="G102" s="46" t="n">
        <v>100</v>
      </c>
    </row>
    <row r="103" ht="14" customHeight="1">
      <c r="A103" s="22" t="n">
        <v>2018</v>
      </c>
      <c r="B103" s="47">
        <f>((((C103+D103)+E103)/F103)*G103)</f>
        <v/>
      </c>
      <c r="C103" s="48" t="n">
        <v>595.5069999999999</v>
      </c>
      <c r="D103" s="48" t="n">
        <v>522.4296000000001</v>
      </c>
      <c r="E103" s="48" t="n">
        <v>69.824422</v>
      </c>
      <c r="F103" s="48" t="n">
        <v>2938.030121</v>
      </c>
      <c r="G103" s="48" t="n">
        <v>100</v>
      </c>
    </row>
    <row r="104" ht="14" customHeight="1">
      <c r="A104" s="15" t="n">
        <v>2019</v>
      </c>
      <c r="B104" s="45">
        <f>((((C104+D104)+E104)/F104)*G104)</f>
        <v/>
      </c>
      <c r="C104" s="46" t="n">
        <v>450.933123</v>
      </c>
      <c r="D104" s="46" t="n">
        <v>599.577544</v>
      </c>
      <c r="E104" s="46" t="n">
        <v>61.430867</v>
      </c>
      <c r="F104" s="46" t="n">
        <v>2902.370047</v>
      </c>
      <c r="G104" s="46" t="n">
        <v>100</v>
      </c>
    </row>
    <row r="105" ht="14" customHeight="1">
      <c r="A105" s="22" t="n">
        <v>2020</v>
      </c>
      <c r="B105" s="47">
        <f>((((C105+D105)+E105)/F105)*G105)</f>
        <v/>
      </c>
      <c r="C105" s="48" t="n">
        <v>352.405128</v>
      </c>
      <c r="D105" s="48" t="n">
        <v>586.4874719999999</v>
      </c>
      <c r="E105" s="48" t="n">
        <v>53.223137</v>
      </c>
      <c r="F105" s="48" t="n">
        <v>2784.553903</v>
      </c>
      <c r="G105" s="48" t="n">
        <v>100</v>
      </c>
    </row>
    <row r="106" ht="14" customHeight="1">
      <c r="A106" s="15" t="n">
        <v>2021</v>
      </c>
      <c r="B106" s="45">
        <f>((((C106+D106)+E106)/F106)*G106)</f>
        <v/>
      </c>
      <c r="C106" s="46" t="n">
        <v>419.003888</v>
      </c>
      <c r="D106" s="46" t="n">
        <v>579.8584930000001</v>
      </c>
      <c r="E106" s="46" t="n">
        <v>52.69121</v>
      </c>
      <c r="F106" s="46" t="n">
        <v>2906.186482</v>
      </c>
      <c r="G106" s="46" t="n">
        <v>100</v>
      </c>
    </row>
    <row r="107" ht="14" customHeight="1">
      <c r="A107" s="22" t="n">
        <v>2022</v>
      </c>
      <c r="B107" s="47">
        <f>((((C107+D107)+E107)/F107)*G107)</f>
        <v/>
      </c>
      <c r="C107" s="48" t="n">
        <v>453.1799990000001</v>
      </c>
      <c r="D107" s="48" t="n">
        <v>571.6867760000001</v>
      </c>
      <c r="E107" s="48" t="n">
        <v>61.78648</v>
      </c>
      <c r="F107" s="48" t="n">
        <v>2803.796039</v>
      </c>
      <c r="G107" s="48" t="n">
        <v>100</v>
      </c>
    </row>
    <row r="108" ht="14" customHeight="1">
      <c r="A108" s="15" t="n">
        <v>2023</v>
      </c>
      <c r="B108" s="45">
        <f>((((C108+D108)+E108)/F108)*G108)</f>
        <v/>
      </c>
      <c r="C108" s="46" t="n">
        <v>322.019936</v>
      </c>
      <c r="D108" s="46" t="n">
        <v>462.535657</v>
      </c>
      <c r="E108" s="46" t="n">
        <v>47.866955</v>
      </c>
      <c r="F108" s="46" t="n">
        <v>2760.944843</v>
      </c>
      <c r="G108" s="46" t="n">
        <v>100</v>
      </c>
    </row>
    <row r="109" ht="14" customHeight="1">
      <c r="A109" s="22" t="n">
        <v>2024</v>
      </c>
      <c r="B109" s="47">
        <f>((((C109+D109)+E109)/F109)*G109)</f>
        <v/>
      </c>
      <c r="C109" s="48" t="n">
        <v>274.190922</v>
      </c>
      <c r="D109" s="48" t="n">
        <v>443.188995</v>
      </c>
      <c r="E109" s="48" t="n">
        <v>45.73424</v>
      </c>
      <c r="F109" s="48" t="n">
        <v>2828.734401</v>
      </c>
      <c r="G109" s="48" t="n">
        <v>100</v>
      </c>
    </row>
    <row r="112">
      <c r="A112" s="49" t="inlineStr">
        <is>
          <t>E3 · Average GHG intensity of EU electricity  (g CO₂eq/kWh)</t>
        </is>
      </c>
    </row>
    <row r="113" ht="26" customHeight="1">
      <c r="A11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4" ht="24" customHeight="1">
      <c r="A114" s="3" t="inlineStr">
        <is>
          <t>Derivation:  Value = IF(A &gt;= 2023, ROUND([Report baseline 2022 (g CO₂eq/kWh)] * ([Numerator · env_air_gge CRF1A1]) / ([Denominator · nrg_bal_peh TOTAL]) / [Live source at 2022 (same basis as the columns left)], 1), [Historical])</t>
        </is>
      </c>
    </row>
    <row r="115" ht="42" customHeight="1">
      <c r="A115" s="44" t="inlineStr">
        <is>
          <t>Year</t>
        </is>
      </c>
      <c r="B115" s="44" t="inlineStr">
        <is>
          <t>Value</t>
        </is>
      </c>
      <c r="C115" s="44" t="inlineStr">
        <is>
          <t>Historical</t>
        </is>
      </c>
      <c r="D115" s="44" t="inlineStr">
        <is>
          <t>Numerator · env_air_gge CRF1A1</t>
        </is>
      </c>
      <c r="E115" s="44" t="inlineStr">
        <is>
          <t>Denominator · nrg_bal_peh TOTAL</t>
        </is>
      </c>
      <c r="F115" s="44" t="inlineStr">
        <is>
          <t>Report baseline 2022 (g CO₂eq/kWh)</t>
        </is>
      </c>
      <c r="G115" s="44" t="inlineStr">
        <is>
          <t>Live source at 2022 (same basis as the columns left)</t>
        </is>
      </c>
    </row>
    <row r="116" ht="14" customHeight="1">
      <c r="A116" s="15" t="n">
        <v>2005</v>
      </c>
      <c r="B116" s="45">
        <f>IF((A116&gt;=2023),ROUND((((F116*D116)/E116)/G116),1),C116)</f>
        <v/>
      </c>
      <c r="C116" s="46" t="n">
        <v>379</v>
      </c>
      <c r="D116" s="46" t="n"/>
      <c r="E116" s="46" t="n"/>
      <c r="F116" s="46" t="n"/>
      <c r="G116" s="46" t="n"/>
    </row>
    <row r="117" ht="14" customHeight="1">
      <c r="A117" s="22" t="n">
        <v>2006</v>
      </c>
      <c r="B117" s="47">
        <f>IF((A117&gt;=2023),ROUND((((F117*D117)/E117)/G117),1),C117)</f>
        <v/>
      </c>
      <c r="C117" s="48" t="n">
        <v>377</v>
      </c>
      <c r="D117" s="48" t="n"/>
      <c r="E117" s="48" t="n"/>
      <c r="F117" s="48" t="n"/>
      <c r="G117" s="48" t="n"/>
    </row>
    <row r="118" ht="14" customHeight="1">
      <c r="A118" s="15" t="n">
        <v>2007</v>
      </c>
      <c r="B118" s="45">
        <f>IF((A118&gt;=2023),ROUND((((F118*D118)/E118)/G118),1),C118)</f>
        <v/>
      </c>
      <c r="C118" s="46" t="n">
        <v>386</v>
      </c>
      <c r="D118" s="46" t="n"/>
      <c r="E118" s="46" t="n"/>
      <c r="F118" s="46" t="n"/>
      <c r="G118" s="46" t="n"/>
    </row>
    <row r="119" ht="14" customHeight="1">
      <c r="A119" s="22" t="n">
        <v>2008</v>
      </c>
      <c r="B119" s="47">
        <f>IF((A119&gt;=2023),ROUND((((F119*D119)/E119)/G119),1),C119)</f>
        <v/>
      </c>
      <c r="C119" s="48" t="n">
        <v>363</v>
      </c>
      <c r="D119" s="48" t="n"/>
      <c r="E119" s="48" t="n"/>
      <c r="F119" s="48" t="n"/>
      <c r="G119" s="48" t="n"/>
    </row>
    <row r="120" ht="14" customHeight="1">
      <c r="A120" s="15" t="n">
        <v>2009</v>
      </c>
      <c r="B120" s="45">
        <f>IF((A120&gt;=2023),ROUND((((F120*D120)/E120)/G120),1),C120)</f>
        <v/>
      </c>
      <c r="C120" s="46" t="n">
        <v>350</v>
      </c>
      <c r="D120" s="46" t="n"/>
      <c r="E120" s="46" t="n"/>
      <c r="F120" s="46" t="n"/>
      <c r="G120" s="46" t="n"/>
    </row>
    <row r="121" ht="14" customHeight="1">
      <c r="A121" s="22" t="n">
        <v>2010</v>
      </c>
      <c r="B121" s="47">
        <f>IF((A121&gt;=2023),ROUND((((F121*D121)/E121)/G121),1),C121)</f>
        <v/>
      </c>
      <c r="C121" s="48" t="n">
        <v>335</v>
      </c>
      <c r="D121" s="48" t="n"/>
      <c r="E121" s="48" t="n"/>
      <c r="F121" s="48" t="n"/>
      <c r="G121" s="48" t="n"/>
    </row>
    <row r="122" ht="14" customHeight="1">
      <c r="A122" s="15" t="n">
        <v>2011</v>
      </c>
      <c r="B122" s="45">
        <f>IF((A122&gt;=2023),ROUND((((F122*D122)/E122)/G122),1),C122)</f>
        <v/>
      </c>
      <c r="C122" s="46" t="n">
        <v>342</v>
      </c>
      <c r="D122" s="46" t="n"/>
      <c r="E122" s="46" t="n"/>
      <c r="F122" s="46" t="n"/>
      <c r="G122" s="46" t="n"/>
    </row>
    <row r="123" ht="14" customHeight="1">
      <c r="A123" s="22" t="n">
        <v>2012</v>
      </c>
      <c r="B123" s="47">
        <f>IF((A123&gt;=2023),ROUND((((F123*D123)/E123)/G123),1),C123)</f>
        <v/>
      </c>
      <c r="C123" s="48" t="n">
        <v>339</v>
      </c>
      <c r="D123" s="48" t="n"/>
      <c r="E123" s="48" t="n"/>
      <c r="F123" s="48" t="n"/>
      <c r="G123" s="48" t="n"/>
    </row>
    <row r="124" ht="14" customHeight="1">
      <c r="A124" s="15" t="n">
        <v>2013</v>
      </c>
      <c r="B124" s="45">
        <f>IF((A124&gt;=2023),ROUND((((F124*D124)/E124)/G124),1),C124)</f>
        <v/>
      </c>
      <c r="C124" s="46" t="n">
        <v>322</v>
      </c>
      <c r="D124" s="46" t="n"/>
      <c r="E124" s="46" t="n"/>
      <c r="F124" s="46" t="n"/>
      <c r="G124" s="46" t="n"/>
    </row>
    <row r="125" ht="14" customHeight="1">
      <c r="A125" s="22" t="n">
        <v>2014</v>
      </c>
      <c r="B125" s="47">
        <f>IF((A125&gt;=2023),ROUND((((F125*D125)/E125)/G125),1),C125)</f>
        <v/>
      </c>
      <c r="C125" s="48" t="n">
        <v>313</v>
      </c>
      <c r="D125" s="48" t="n"/>
      <c r="E125" s="48" t="n"/>
      <c r="F125" s="48" t="n"/>
      <c r="G125" s="48" t="n"/>
    </row>
    <row r="126" ht="14" customHeight="1">
      <c r="A126" s="15" t="n">
        <v>2015</v>
      </c>
      <c r="B126" s="45">
        <f>IF((A126&gt;=2023),ROUND((((F126*D126)/E126)/G126),1),C126)</f>
        <v/>
      </c>
      <c r="C126" s="46" t="n">
        <v>313</v>
      </c>
      <c r="D126" s="46" t="n"/>
      <c r="E126" s="46" t="n"/>
      <c r="F126" s="46" t="n"/>
      <c r="G126" s="46" t="n"/>
    </row>
    <row r="127" ht="14" customHeight="1">
      <c r="A127" s="22" t="n">
        <v>2016</v>
      </c>
      <c r="B127" s="47">
        <f>IF((A127&gt;=2023),ROUND((((F127*D127)/E127)/G127),1),C127)</f>
        <v/>
      </c>
      <c r="C127" s="48" t="n">
        <v>303</v>
      </c>
      <c r="D127" s="48" t="n"/>
      <c r="E127" s="48" t="n"/>
      <c r="F127" s="48" t="n"/>
      <c r="G127" s="48" t="n"/>
    </row>
    <row r="128" ht="14" customHeight="1">
      <c r="A128" s="15" t="n">
        <v>2017</v>
      </c>
      <c r="B128" s="45">
        <f>IF((A128&gt;=2023),ROUND((((F128*D128)/E128)/G128),1),C128)</f>
        <v/>
      </c>
      <c r="C128" s="46" t="n">
        <v>302</v>
      </c>
      <c r="D128" s="46" t="n"/>
      <c r="E128" s="46" t="n"/>
      <c r="F128" s="46" t="n"/>
      <c r="G128" s="46" t="n"/>
    </row>
    <row r="129" ht="14" customHeight="1">
      <c r="A129" s="22" t="n">
        <v>2018</v>
      </c>
      <c r="B129" s="47">
        <f>IF((A129&gt;=2023),ROUND((((F129*D129)/E129)/G129),1),C129)</f>
        <v/>
      </c>
      <c r="C129" s="48" t="n">
        <v>289</v>
      </c>
      <c r="D129" s="48" t="n"/>
      <c r="E129" s="48" t="n"/>
      <c r="F129" s="48" t="n"/>
      <c r="G129" s="48" t="n"/>
    </row>
    <row r="130" ht="14" customHeight="1">
      <c r="A130" s="15" t="n">
        <v>2019</v>
      </c>
      <c r="B130" s="45">
        <f>IF((A130&gt;=2023),ROUND((((F130*D130)/E130)/G130),1),C130)</f>
        <v/>
      </c>
      <c r="C130" s="46" t="n">
        <v>255</v>
      </c>
      <c r="D130" s="46" t="n"/>
      <c r="E130" s="46" t="n"/>
      <c r="F130" s="46" t="n"/>
      <c r="G130" s="46" t="n"/>
    </row>
    <row r="131" ht="14" customHeight="1">
      <c r="A131" s="22" t="n">
        <v>2020</v>
      </c>
      <c r="B131" s="47">
        <f>IF((A131&gt;=2023),ROUND((((F131*D131)/E131)/G131),1),C131)</f>
        <v/>
      </c>
      <c r="C131" s="48" t="n">
        <v>228</v>
      </c>
      <c r="D131" s="48" t="n"/>
      <c r="E131" s="48" t="n"/>
      <c r="F131" s="48" t="n"/>
      <c r="G131" s="48" t="n"/>
    </row>
    <row r="132" ht="14" customHeight="1">
      <c r="A132" s="15" t="n">
        <v>2021</v>
      </c>
      <c r="B132" s="45">
        <f>IF((A132&gt;=2023),ROUND((((F132*D132)/E132)/G132),1),C132)</f>
        <v/>
      </c>
      <c r="C132" s="46" t="n">
        <v>238</v>
      </c>
      <c r="D132" s="46" t="n"/>
      <c r="E132" s="46" t="n"/>
      <c r="F132" s="46" t="n"/>
      <c r="G132" s="46" t="n"/>
    </row>
    <row r="133" ht="14" customHeight="1">
      <c r="A133" s="22" t="n">
        <v>2022</v>
      </c>
      <c r="B133" s="47">
        <f>IF((A133&gt;=2023),ROUND((((F133*D133)/E133)/G133),1),C133)</f>
        <v/>
      </c>
      <c r="C133" s="48" t="n">
        <v>251</v>
      </c>
      <c r="D133" s="48" t="n"/>
      <c r="E133" s="48" t="n"/>
      <c r="F133" s="48" t="n"/>
      <c r="G133" s="48" t="n"/>
    </row>
    <row r="134" ht="14" customHeight="1">
      <c r="A134" s="15" t="n">
        <v>2023</v>
      </c>
      <c r="B134" s="45">
        <f>IF((A134&gt;=2023),ROUND((((F134*D134)/E134)/G134),1),C134)</f>
        <v/>
      </c>
      <c r="C134" s="46" t="n"/>
      <c r="D134" s="46" t="n">
        <v>698.41559</v>
      </c>
      <c r="E134" s="46" t="n">
        <v>2760944.843</v>
      </c>
      <c r="F134" s="46" t="n">
        <v>251</v>
      </c>
      <c r="G134" s="46" t="n">
        <v>0.000304</v>
      </c>
    </row>
    <row r="135" ht="14" customHeight="1">
      <c r="A135" s="22" t="n">
        <v>2024</v>
      </c>
      <c r="B135" s="47">
        <f>IF((A135&gt;=2023),ROUND((((F135*D135)/E135)/G135),1),C135)</f>
        <v/>
      </c>
      <c r="C135" s="48" t="n"/>
      <c r="D135" s="48" t="n">
        <v>642.41481</v>
      </c>
      <c r="E135" s="48" t="n">
        <v>2828734.401</v>
      </c>
      <c r="F135" s="48" t="n">
        <v>251</v>
      </c>
      <c r="G135" s="48" t="n">
        <v>0.000304</v>
      </c>
    </row>
    <row r="138">
      <c r="A138" s="49" t="inlineStr">
        <is>
          <t>E4a · Annual solar PV capacity additions (EU)  (GW/yr)</t>
        </is>
      </c>
    </row>
    <row r="139" ht="26" customHeight="1">
      <c r="A139" s="50" t="inlineStr">
        <is>
          <t>No derivation for the later years — the figure is the publication's own.</t>
        </is>
      </c>
    </row>
    <row r="140" ht="24" customHeight="1">
      <c r="A140" s="3" t="inlineStr">
        <is>
          <t>Derivation:  Value = IF(A &gt;= 2023, [Post-report figure as published], ([Solar PV cumulative capacity (MW)] - [Solar PV cumulative capacity (MW) (previous year)]) / 1000.0)</t>
        </is>
      </c>
    </row>
    <row r="141" ht="42" customHeight="1">
      <c r="A141" s="44" t="inlineStr">
        <is>
          <t>Year</t>
        </is>
      </c>
      <c r="B141" s="44" t="inlineStr">
        <is>
          <t>Value</t>
        </is>
      </c>
      <c r="C141" s="44" t="inlineStr">
        <is>
          <t>Solar PV cumulative capacity (MW)</t>
        </is>
      </c>
      <c r="D141" s="44" t="inlineStr">
        <is>
          <t>Solar PV cumulative capacity (MW) (previous year)</t>
        </is>
      </c>
      <c r="E141" s="44" t="inlineStr">
        <is>
          <t>Post-report figure as published</t>
        </is>
      </c>
    </row>
    <row r="142" ht="14" customHeight="1">
      <c r="A142" s="15" t="n">
        <v>2006</v>
      </c>
      <c r="B142" s="45">
        <f>IF((A142&gt;=2023),E142,((C142-D142)/1000))</f>
        <v/>
      </c>
      <c r="C142" s="46" t="n">
        <v>3213.924</v>
      </c>
      <c r="D142" s="46" t="n">
        <v>2269.187</v>
      </c>
      <c r="E142" s="46" t="n"/>
    </row>
    <row r="143" ht="14" customHeight="1">
      <c r="A143" s="22" t="n">
        <v>2007</v>
      </c>
      <c r="B143" s="47">
        <f>IF((A143&gt;=2023),E143,((C143-D143)/1000))</f>
        <v/>
      </c>
      <c r="C143" s="48" t="n">
        <v>4975.133</v>
      </c>
      <c r="D143" s="48" t="n">
        <v>3213.924</v>
      </c>
      <c r="E143" s="48" t="n"/>
    </row>
    <row r="144" ht="14" customHeight="1">
      <c r="A144" s="15" t="n">
        <v>2008</v>
      </c>
      <c r="B144" s="45">
        <f>IF((A144&gt;=2023),E144,((C144-D144)/1000))</f>
        <v/>
      </c>
      <c r="C144" s="46" t="n">
        <v>10374.182</v>
      </c>
      <c r="D144" s="46" t="n">
        <v>4975.133</v>
      </c>
      <c r="E144" s="46" t="n"/>
    </row>
    <row r="145" ht="14" customHeight="1">
      <c r="A145" s="22" t="n">
        <v>2009</v>
      </c>
      <c r="B145" s="47">
        <f>IF((A145&gt;=2023),E145,((C145-D145)/1000))</f>
        <v/>
      </c>
      <c r="C145" s="48" t="n">
        <v>16715.489</v>
      </c>
      <c r="D145" s="48" t="n">
        <v>10374.182</v>
      </c>
      <c r="E145" s="48" t="n"/>
    </row>
    <row r="146" ht="14" customHeight="1">
      <c r="A146" s="15" t="n">
        <v>2010</v>
      </c>
      <c r="B146" s="45">
        <f>IF((A146&gt;=2023),E146,((C146-D146)/1000))</f>
        <v/>
      </c>
      <c r="C146" s="46" t="n">
        <v>29882.357</v>
      </c>
      <c r="D146" s="46" t="n">
        <v>16715.489</v>
      </c>
      <c r="E146" s="46" t="n"/>
    </row>
    <row r="147" ht="14" customHeight="1">
      <c r="A147" s="22" t="n">
        <v>2011</v>
      </c>
      <c r="B147" s="47">
        <f>IF((A147&gt;=2023),E147,((C147-D147)/1000))</f>
        <v/>
      </c>
      <c r="C147" s="48" t="n">
        <v>52136.109</v>
      </c>
      <c r="D147" s="48" t="n">
        <v>29882.357</v>
      </c>
      <c r="E147" s="48" t="n"/>
    </row>
    <row r="148" ht="14" customHeight="1">
      <c r="A148" s="15" t="n">
        <v>2012</v>
      </c>
      <c r="B148" s="45">
        <f>IF((A148&gt;=2023),E148,((C148-D148)/1000))</f>
        <v/>
      </c>
      <c r="C148" s="46" t="n">
        <v>69039.41800000001</v>
      </c>
      <c r="D148" s="46" t="n">
        <v>52136.109</v>
      </c>
      <c r="E148" s="46" t="n"/>
    </row>
    <row r="149" ht="14" customHeight="1">
      <c r="A149" s="22" t="n">
        <v>2013</v>
      </c>
      <c r="B149" s="47">
        <f>IF((A149&gt;=2023),E149,((C149-D149)/1000))</f>
        <v/>
      </c>
      <c r="C149" s="48" t="n">
        <v>77402.829</v>
      </c>
      <c r="D149" s="48" t="n">
        <v>69039.41800000001</v>
      </c>
      <c r="E149" s="48" t="n"/>
    </row>
    <row r="150" ht="14" customHeight="1">
      <c r="A150" s="15" t="n">
        <v>2014</v>
      </c>
      <c r="B150" s="45">
        <f>IF((A150&gt;=2023),E150,((C150-D150)/1000))</f>
        <v/>
      </c>
      <c r="C150" s="46" t="n">
        <v>81313.29300000001</v>
      </c>
      <c r="D150" s="46" t="n">
        <v>77402.829</v>
      </c>
      <c r="E150" s="46" t="n"/>
    </row>
    <row r="151" ht="14" customHeight="1">
      <c r="A151" s="22" t="n">
        <v>2015</v>
      </c>
      <c r="B151" s="47">
        <f>IF((A151&gt;=2023),E151,((C151-D151)/1000))</f>
        <v/>
      </c>
      <c r="C151" s="48" t="n">
        <v>85379.371</v>
      </c>
      <c r="D151" s="48" t="n">
        <v>81313.29300000001</v>
      </c>
      <c r="E151" s="48" t="n"/>
    </row>
    <row r="152" ht="14" customHeight="1">
      <c r="A152" s="15" t="n">
        <v>2016</v>
      </c>
      <c r="B152" s="45">
        <f>IF((A152&gt;=2023),E152,((C152-D152)/1000))</f>
        <v/>
      </c>
      <c r="C152" s="46" t="n">
        <v>89194.64</v>
      </c>
      <c r="D152" s="46" t="n">
        <v>85379.371</v>
      </c>
      <c r="E152" s="46" t="n"/>
    </row>
    <row r="153" ht="14" customHeight="1">
      <c r="A153" s="22" t="n">
        <v>2017</v>
      </c>
      <c r="B153" s="47">
        <f>IF((A153&gt;=2023),E153,((C153-D153)/1000))</f>
        <v/>
      </c>
      <c r="C153" s="48" t="n">
        <v>93926.95600000001</v>
      </c>
      <c r="D153" s="48" t="n">
        <v>89194.64</v>
      </c>
      <c r="E153" s="48" t="n"/>
    </row>
    <row r="154" ht="14" customHeight="1">
      <c r="A154" s="15" t="n">
        <v>2018</v>
      </c>
      <c r="B154" s="45">
        <f>IF((A154&gt;=2023),E154,((C154-D154)/1000))</f>
        <v/>
      </c>
      <c r="C154" s="46" t="n">
        <v>101752.858</v>
      </c>
      <c r="D154" s="46" t="n">
        <v>93926.95600000001</v>
      </c>
      <c r="E154" s="46" t="n"/>
    </row>
    <row r="155" ht="14" customHeight="1">
      <c r="A155" s="22" t="n">
        <v>2019</v>
      </c>
      <c r="B155" s="47">
        <f>IF((A155&gt;=2023),E155,((C155-D155)/1000))</f>
        <v/>
      </c>
      <c r="C155" s="48" t="n">
        <v>117903.535</v>
      </c>
      <c r="D155" s="48" t="n">
        <v>101752.858</v>
      </c>
      <c r="E155" s="48" t="n"/>
    </row>
    <row r="156" ht="14" customHeight="1">
      <c r="A156" s="15" t="n">
        <v>2020</v>
      </c>
      <c r="B156" s="45">
        <f>IF((A156&gt;=2023),E156,((C156-D156)/1000))</f>
        <v/>
      </c>
      <c r="C156" s="46" t="n">
        <v>136176.363</v>
      </c>
      <c r="D156" s="46" t="n">
        <v>117903.535</v>
      </c>
      <c r="E156" s="46" t="n"/>
    </row>
    <row r="157" ht="14" customHeight="1">
      <c r="A157" s="22" t="n">
        <v>2021</v>
      </c>
      <c r="B157" s="47">
        <f>IF((A157&gt;=2023),E157,((C157-D157)/1000))</f>
        <v/>
      </c>
      <c r="C157" s="48" t="n">
        <v>161879.223</v>
      </c>
      <c r="D157" s="48" t="n">
        <v>136176.363</v>
      </c>
      <c r="E157" s="48" t="n"/>
    </row>
    <row r="158" ht="14" customHeight="1">
      <c r="A158" s="15" t="n">
        <v>2023</v>
      </c>
      <c r="B158" s="45">
        <f>IF((A158&gt;=2023),E158,((C158-D158)/1000))</f>
        <v/>
      </c>
      <c r="C158" s="46" t="n"/>
      <c r="D158" s="46" t="n"/>
      <c r="E158" s="46" t="n">
        <v>56</v>
      </c>
    </row>
    <row r="159" ht="14" customHeight="1">
      <c r="A159" s="22" t="n">
        <v>2024</v>
      </c>
      <c r="B159" s="47">
        <f>IF((A159&gt;=2023),E159,((C159-D159)/1000))</f>
        <v/>
      </c>
      <c r="C159" s="48" t="n"/>
      <c r="D159" s="48" t="n"/>
      <c r="E159" s="48" t="n">
        <v>65.5</v>
      </c>
    </row>
    <row r="160" ht="14" customHeight="1">
      <c r="A160" s="15" t="n">
        <v>2025</v>
      </c>
      <c r="B160" s="45">
        <f>IF((A160&gt;=2023),E160,((C160-D160)/1000))</f>
        <v/>
      </c>
      <c r="C160" s="46" t="n"/>
      <c r="D160" s="46" t="n"/>
      <c r="E160" s="46" t="n">
        <v>65.09999999999999</v>
      </c>
    </row>
    <row r="163">
      <c r="A163" s="49" t="inlineStr">
        <is>
          <t>E4b/c · Annual wind capacity additions (EU)  (GW/yr)</t>
        </is>
      </c>
    </row>
    <row r="164" ht="26" customHeight="1">
      <c r="A164" s="50" t="inlineStr">
        <is>
          <t>No derivation for the later years — the figure is the publication's own.</t>
        </is>
      </c>
    </row>
    <row r="165" ht="24" customHeight="1">
      <c r="A165" s="3" t="inlineStr">
        <is>
          <t>Derivation:  Value = IF(A &gt;= 2023, [Post-report figure as published], ([Onshore wind cumulative capacity (MW)] - [Onshore wind cumulative capacity (MW) (previous year)]) / 1000.0)</t>
        </is>
      </c>
    </row>
    <row r="166" ht="42" customHeight="1">
      <c r="A166" s="44" t="inlineStr">
        <is>
          <t>Year</t>
        </is>
      </c>
      <c r="B166" s="44" t="inlineStr">
        <is>
          <t>Value</t>
        </is>
      </c>
      <c r="C166" s="44" t="inlineStr">
        <is>
          <t>Onshore wind cumulative capacity (MW)</t>
        </is>
      </c>
      <c r="D166" s="44" t="inlineStr">
        <is>
          <t>Onshore wind cumulative capacity (MW) (previous year)</t>
        </is>
      </c>
      <c r="E166" s="44" t="inlineStr">
        <is>
          <t>Post-report figure as published</t>
        </is>
      </c>
    </row>
    <row r="167" ht="14" customHeight="1">
      <c r="A167" s="15" t="n">
        <v>2006</v>
      </c>
      <c r="B167" s="45">
        <f>IF((A167&gt;=2023),E167,((C167-D167)/1000))</f>
        <v/>
      </c>
      <c r="C167" s="46" t="n">
        <v>43350.74</v>
      </c>
      <c r="D167" s="46" t="n">
        <v>37419.13</v>
      </c>
      <c r="E167" s="46" t="n"/>
    </row>
    <row r="168" ht="14" customHeight="1">
      <c r="A168" s="22" t="n">
        <v>2007</v>
      </c>
      <c r="B168" s="47">
        <f>IF((A168&gt;=2023),E168,((C168-D168)/1000))</f>
        <v/>
      </c>
      <c r="C168" s="48" t="n">
        <v>50171.448</v>
      </c>
      <c r="D168" s="48" t="n">
        <v>43350.74</v>
      </c>
      <c r="E168" s="48" t="n"/>
    </row>
    <row r="169" ht="14" customHeight="1">
      <c r="A169" s="15" t="n">
        <v>2008</v>
      </c>
      <c r="B169" s="45">
        <f>IF((A169&gt;=2023),E169,((C169-D169)/1000))</f>
        <v/>
      </c>
      <c r="C169" s="46" t="n">
        <v>55480.934</v>
      </c>
      <c r="D169" s="46" t="n">
        <v>50171.448</v>
      </c>
      <c r="E169" s="46" t="n"/>
    </row>
    <row r="170" ht="14" customHeight="1">
      <c r="A170" s="22" t="n">
        <v>2009</v>
      </c>
      <c r="B170" s="47">
        <f>IF((A170&gt;=2023),E170,((C170-D170)/1000))</f>
        <v/>
      </c>
      <c r="C170" s="48" t="n">
        <v>64803.677</v>
      </c>
      <c r="D170" s="48" t="n">
        <v>55480.934</v>
      </c>
      <c r="E170" s="48" t="n"/>
    </row>
    <row r="171" ht="14" customHeight="1">
      <c r="A171" s="15" t="n">
        <v>2010</v>
      </c>
      <c r="B171" s="45">
        <f>IF((A171&gt;=2023),E171,((C171-D171)/1000))</f>
        <v/>
      </c>
      <c r="C171" s="46" t="n">
        <v>70610.359</v>
      </c>
      <c r="D171" s="46" t="n">
        <v>64803.677</v>
      </c>
      <c r="E171" s="46" t="n"/>
    </row>
    <row r="172" ht="14" customHeight="1">
      <c r="A172" s="22" t="n">
        <v>2011</v>
      </c>
      <c r="B172" s="47">
        <f>IF((A172&gt;=2023),E172,((C172-D172)/1000))</f>
        <v/>
      </c>
      <c r="C172" s="48" t="n">
        <v>84226.42</v>
      </c>
      <c r="D172" s="48" t="n">
        <v>70610.359</v>
      </c>
      <c r="E172" s="48" t="n"/>
    </row>
    <row r="173" ht="14" customHeight="1">
      <c r="A173" s="15" t="n">
        <v>2012</v>
      </c>
      <c r="B173" s="45">
        <f>IF((A173&gt;=2023),E173,((C173-D173)/1000))</f>
        <v/>
      </c>
      <c r="C173" s="46" t="n">
        <v>92679.891</v>
      </c>
      <c r="D173" s="46" t="n">
        <v>84226.42</v>
      </c>
      <c r="E173" s="46" t="n"/>
    </row>
    <row r="174" ht="14" customHeight="1">
      <c r="A174" s="22" t="n">
        <v>2013</v>
      </c>
      <c r="B174" s="47">
        <f>IF((A174&gt;=2023),E174,((C174-D174)/1000))</f>
        <v/>
      </c>
      <c r="C174" s="48" t="n">
        <v>99239.16499999999</v>
      </c>
      <c r="D174" s="48" t="n">
        <v>92679.891</v>
      </c>
      <c r="E174" s="48" t="n"/>
    </row>
    <row r="175" ht="14" customHeight="1">
      <c r="A175" s="15" t="n">
        <v>2014</v>
      </c>
      <c r="B175" s="45">
        <f>IF((A175&gt;=2023),E175,((C175-D175)/1000))</f>
        <v/>
      </c>
      <c r="C175" s="46" t="n">
        <v>108256.141</v>
      </c>
      <c r="D175" s="46" t="n">
        <v>99239.16499999999</v>
      </c>
      <c r="E175" s="46" t="n"/>
    </row>
    <row r="176" ht="14" customHeight="1">
      <c r="A176" s="22" t="n">
        <v>2015</v>
      </c>
      <c r="B176" s="47">
        <f>IF((A176&gt;=2023),E176,((C176-D176)/1000))</f>
        <v/>
      </c>
      <c r="C176" s="48" t="n">
        <v>117502.431</v>
      </c>
      <c r="D176" s="48" t="n">
        <v>108256.141</v>
      </c>
      <c r="E176" s="48" t="n"/>
    </row>
    <row r="177" ht="14" customHeight="1">
      <c r="A177" s="15" t="n">
        <v>2016</v>
      </c>
      <c r="B177" s="45">
        <f>IF((A177&gt;=2023),E177,((C177-D177)/1000))</f>
        <v/>
      </c>
      <c r="C177" s="46" t="n">
        <v>126951.247</v>
      </c>
      <c r="D177" s="46" t="n">
        <v>117502.431</v>
      </c>
      <c r="E177" s="46" t="n"/>
    </row>
    <row r="178" ht="14" customHeight="1">
      <c r="A178" s="22" t="n">
        <v>2017</v>
      </c>
      <c r="B178" s="47">
        <f>IF((A178&gt;=2023),E178,((C178-D178)/1000))</f>
        <v/>
      </c>
      <c r="C178" s="48" t="n">
        <v>140132.585</v>
      </c>
      <c r="D178" s="48" t="n">
        <v>126951.247</v>
      </c>
      <c r="E178" s="48" t="n"/>
    </row>
    <row r="179" ht="14" customHeight="1">
      <c r="A179" s="15" t="n">
        <v>2018</v>
      </c>
      <c r="B179" s="45">
        <f>IF((A179&gt;=2023),E179,((C179-D179)/1000))</f>
        <v/>
      </c>
      <c r="C179" s="46" t="n">
        <v>146699.078</v>
      </c>
      <c r="D179" s="46" t="n">
        <v>140132.585</v>
      </c>
      <c r="E179" s="46" t="n"/>
    </row>
    <row r="180" ht="14" customHeight="1">
      <c r="A180" s="22" t="n">
        <v>2019</v>
      </c>
      <c r="B180" s="47">
        <f>IF((A180&gt;=2023),E180,((C180-D180)/1000))</f>
        <v/>
      </c>
      <c r="C180" s="48" t="n">
        <v>155094.764</v>
      </c>
      <c r="D180" s="48" t="n">
        <v>146699.078</v>
      </c>
      <c r="E180" s="48" t="n"/>
    </row>
    <row r="181" ht="14" customHeight="1">
      <c r="A181" s="15" t="n">
        <v>2020</v>
      </c>
      <c r="B181" s="45">
        <f>IF((A181&gt;=2023),E181,((C181-D181)/1000))</f>
        <v/>
      </c>
      <c r="C181" s="46" t="n">
        <v>162548.749</v>
      </c>
      <c r="D181" s="46" t="n">
        <v>155094.764</v>
      </c>
      <c r="E181" s="46" t="n"/>
    </row>
    <row r="182" ht="14" customHeight="1">
      <c r="A182" s="22" t="n">
        <v>2021</v>
      </c>
      <c r="B182" s="47">
        <f>IF((A182&gt;=2023),E182,((C182-D182)/1000))</f>
        <v/>
      </c>
      <c r="C182" s="48" t="n">
        <v>173265.863</v>
      </c>
      <c r="D182" s="48" t="n">
        <v>162548.749</v>
      </c>
      <c r="E182" s="48" t="n"/>
    </row>
    <row r="183" ht="14" customHeight="1">
      <c r="A183" s="15" t="n">
        <v>2023</v>
      </c>
      <c r="B183" s="45">
        <f>IF((A183&gt;=2023),E183,((C183-D183)/1000))</f>
        <v/>
      </c>
      <c r="C183" s="46" t="n"/>
      <c r="D183" s="46" t="n"/>
      <c r="E183" s="46" t="n">
        <v>16.2</v>
      </c>
    </row>
    <row r="184" ht="14" customHeight="1">
      <c r="A184" s="22" t="n">
        <v>2024</v>
      </c>
      <c r="B184" s="47">
        <f>IF((A184&gt;=2023),E184,((C184-D184)/1000))</f>
        <v/>
      </c>
      <c r="C184" s="48" t="n"/>
      <c r="D184" s="48" t="n"/>
      <c r="E184" s="48" t="n">
        <v>12.9</v>
      </c>
    </row>
    <row r="185" ht="14" customHeight="1">
      <c r="A185" s="15" t="n">
        <v>2025</v>
      </c>
      <c r="B185" s="45">
        <f>IF((A185&gt;=2023),E185,((C185-D185)/1000))</f>
        <v/>
      </c>
      <c r="C185" s="46" t="n"/>
      <c r="D185" s="46" t="n"/>
      <c r="E185" s="46" t="n">
        <v>15.1</v>
      </c>
    </row>
    <row r="188">
      <c r="A188" s="49" t="inlineStr">
        <is>
          <t>E6 · Energy-related methane emissions (EU-27)  (Mt CO₂eq)</t>
        </is>
      </c>
    </row>
    <row r="189" ht="26" customHeight="1">
      <c r="A18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90" ht="24" customHeight="1">
      <c r="A190" s="3" t="inlineStr">
        <is>
          <t>Derivation:  Value = IF(A &gt;= 2022, ROUND([Report baseline 2021 (Mt CO₂eq)] * [env_air_gge CRF1 CH4] / [Live source at 2021 (same basis as the columns left)], 2), ([Fuel combustion]+[Fugitive - solid fuels]+[Fugitive - other]))</t>
        </is>
      </c>
    </row>
    <row r="191" ht="42" customHeight="1">
      <c r="A191" s="44" t="inlineStr">
        <is>
          <t>Year</t>
        </is>
      </c>
      <c r="B191" s="44" t="inlineStr">
        <is>
          <t>Value</t>
        </is>
      </c>
      <c r="C191" s="44" t="inlineStr">
        <is>
          <t>Fuel combustion</t>
        </is>
      </c>
      <c r="D191" s="44" t="inlineStr">
        <is>
          <t>Fugitive - solid fuels</t>
        </is>
      </c>
      <c r="E191" s="44" t="inlineStr">
        <is>
          <t>Fugitive - other</t>
        </is>
      </c>
      <c r="F191" s="44" t="inlineStr">
        <is>
          <t>env_air_gge CRF1 CH4</t>
        </is>
      </c>
      <c r="G191" s="44" t="inlineStr">
        <is>
          <t>Report baseline 2021 (Mt CO₂eq)</t>
        </is>
      </c>
      <c r="H191" s="44" t="inlineStr">
        <is>
          <t>Live source at 2021 (same basis as the columns left)</t>
        </is>
      </c>
    </row>
    <row r="192" ht="14" customHeight="1">
      <c r="A192" s="15" t="n">
        <v>2005</v>
      </c>
      <c r="B192" s="45">
        <f>IF((A192&gt;=2022),ROUND(((G192*F192)/H192),2),((C192+D192)+E192))</f>
        <v/>
      </c>
      <c r="C192" s="46" t="n">
        <v>25.69913121828941</v>
      </c>
      <c r="D192" s="46" t="n">
        <v>52.8315854181241</v>
      </c>
      <c r="E192" s="46" t="n">
        <v>31.6165845699223</v>
      </c>
      <c r="F192" s="46" t="n"/>
      <c r="G192" s="46" t="n"/>
      <c r="H192" s="46" t="n"/>
    </row>
    <row r="193" ht="14" customHeight="1">
      <c r="A193" s="22" t="n">
        <v>2006</v>
      </c>
      <c r="B193" s="47">
        <f>IF((A193&gt;=2022),ROUND(((G193*F193)/H193),2),((C193+D193)+E193))</f>
        <v/>
      </c>
      <c r="C193" s="48" t="n">
        <v>25.88645840097239</v>
      </c>
      <c r="D193" s="48" t="n">
        <v>49.49190640968661</v>
      </c>
      <c r="E193" s="48" t="n">
        <v>30.42661730524428</v>
      </c>
      <c r="F193" s="48" t="n"/>
      <c r="G193" s="48" t="n"/>
      <c r="H193" s="48" t="n"/>
    </row>
    <row r="194" ht="14" customHeight="1">
      <c r="A194" s="15" t="n">
        <v>2007</v>
      </c>
      <c r="B194" s="45">
        <f>IF((A194&gt;=2022),ROUND(((G194*F194)/H194),2),((C194+D194)+E194))</f>
        <v/>
      </c>
      <c r="C194" s="46" t="n">
        <v>26.44340852708844</v>
      </c>
      <c r="D194" s="46" t="n">
        <v>46.35706082534897</v>
      </c>
      <c r="E194" s="46" t="n">
        <v>29.05688421787791</v>
      </c>
      <c r="F194" s="46" t="n"/>
      <c r="G194" s="46" t="n"/>
      <c r="H194" s="46" t="n"/>
    </row>
    <row r="195" ht="14" customHeight="1">
      <c r="A195" s="22" t="n">
        <v>2008</v>
      </c>
      <c r="B195" s="47">
        <f>IF((A195&gt;=2022),ROUND(((G195*F195)/H195),2),((C195+D195)+E195))</f>
        <v/>
      </c>
      <c r="C195" s="48" t="n">
        <v>27.93711041395692</v>
      </c>
      <c r="D195" s="48" t="n">
        <v>45.6097659020955</v>
      </c>
      <c r="E195" s="48" t="n">
        <v>28.52187349951384</v>
      </c>
      <c r="F195" s="48" t="n"/>
      <c r="G195" s="48" t="n"/>
      <c r="H195" s="48" t="n"/>
    </row>
    <row r="196" ht="14" customHeight="1">
      <c r="A196" s="15" t="n">
        <v>2009</v>
      </c>
      <c r="B196" s="45">
        <f>IF((A196&gt;=2022),ROUND(((G196*F196)/H196),2),((C196+D196)+E196))</f>
        <v/>
      </c>
      <c r="C196" s="46" t="n">
        <v>27.64360515860903</v>
      </c>
      <c r="D196" s="46" t="n">
        <v>41.59625229511023</v>
      </c>
      <c r="E196" s="46" t="n">
        <v>27.20921554389038</v>
      </c>
      <c r="F196" s="46" t="n"/>
      <c r="G196" s="46" t="n"/>
      <c r="H196" s="46" t="n"/>
    </row>
    <row r="197" ht="14" customHeight="1">
      <c r="A197" s="22" t="n">
        <v>2010</v>
      </c>
      <c r="B197" s="47">
        <f>IF((A197&gt;=2022),ROUND(((G197*F197)/H197),2),((C197+D197)+E197))</f>
        <v/>
      </c>
      <c r="C197" s="48" t="n">
        <v>29.33178661169264</v>
      </c>
      <c r="D197" s="48" t="n">
        <v>40.16641671519278</v>
      </c>
      <c r="E197" s="48" t="n">
        <v>27.51972070102189</v>
      </c>
      <c r="F197" s="48" t="n"/>
      <c r="G197" s="48" t="n"/>
      <c r="H197" s="48" t="n"/>
    </row>
    <row r="198" ht="14" customHeight="1">
      <c r="A198" s="15" t="n">
        <v>2011</v>
      </c>
      <c r="B198" s="45">
        <f>IF((A198&gt;=2022),ROUND(((G198*F198)/H198),2),((C198+D198)+E198))</f>
        <v/>
      </c>
      <c r="C198" s="46" t="n">
        <v>26.57230662709831</v>
      </c>
      <c r="D198" s="46" t="n">
        <v>39.84312604488972</v>
      </c>
      <c r="E198" s="46" t="n">
        <v>26.65063962254466</v>
      </c>
      <c r="F198" s="46" t="n"/>
      <c r="G198" s="46" t="n"/>
      <c r="H198" s="46" t="n"/>
    </row>
    <row r="199" ht="14" customHeight="1">
      <c r="A199" s="22" t="n">
        <v>2012</v>
      </c>
      <c r="B199" s="47">
        <f>IF((A199&gt;=2022),ROUND(((G199*F199)/H199),2),((C199+D199)+E199))</f>
        <v/>
      </c>
      <c r="C199" s="48" t="n">
        <v>28.15329352862047</v>
      </c>
      <c r="D199" s="48" t="n">
        <v>40.07079647107277</v>
      </c>
      <c r="E199" s="48" t="n">
        <v>25.6343658127353</v>
      </c>
      <c r="F199" s="48" t="n"/>
      <c r="G199" s="48" t="n"/>
      <c r="H199" s="48" t="n"/>
    </row>
    <row r="200" ht="14" customHeight="1">
      <c r="A200" s="15" t="n">
        <v>2013</v>
      </c>
      <c r="B200" s="45">
        <f>IF((A200&gt;=2022),ROUND(((G200*F200)/H200),2),((C200+D200)+E200))</f>
        <v/>
      </c>
      <c r="C200" s="46" t="n">
        <v>28.02216466422844</v>
      </c>
      <c r="D200" s="46" t="n">
        <v>37.68075968792657</v>
      </c>
      <c r="E200" s="46" t="n">
        <v>25.23866328163211</v>
      </c>
      <c r="F200" s="46" t="n"/>
      <c r="G200" s="46" t="n"/>
      <c r="H200" s="46" t="n"/>
    </row>
    <row r="201" ht="14" customHeight="1">
      <c r="A201" s="22" t="n">
        <v>2014</v>
      </c>
      <c r="B201" s="47">
        <f>IF((A201&gt;=2022),ROUND(((G201*F201)/H201),2),((C201+D201)+E201))</f>
        <v/>
      </c>
      <c r="C201" s="48" t="n">
        <v>25.17152560061331</v>
      </c>
      <c r="D201" s="48" t="n">
        <v>36.39667748713047</v>
      </c>
      <c r="E201" s="48" t="n">
        <v>24.25620946708074</v>
      </c>
      <c r="F201" s="48" t="n"/>
      <c r="G201" s="48" t="n"/>
      <c r="H201" s="48" t="n"/>
    </row>
    <row r="202" ht="14" customHeight="1">
      <c r="A202" s="15" t="n">
        <v>2015</v>
      </c>
      <c r="B202" s="45">
        <f>IF((A202&gt;=2022),ROUND(((G202*F202)/H202),2),((C202+D202)+E202))</f>
        <v/>
      </c>
      <c r="C202" s="46" t="n">
        <v>25.86973603354605</v>
      </c>
      <c r="D202" s="46" t="n">
        <v>37.40270435291585</v>
      </c>
      <c r="E202" s="46" t="n">
        <v>23.0256932298698</v>
      </c>
      <c r="F202" s="46" t="n"/>
      <c r="G202" s="46" t="n"/>
      <c r="H202" s="46" t="n"/>
    </row>
    <row r="203" ht="14" customHeight="1">
      <c r="A203" s="22" t="n">
        <v>2016</v>
      </c>
      <c r="B203" s="47">
        <f>IF((A203&gt;=2022),ROUND(((G203*F203)/H203),2),((C203+D203)+E203))</f>
        <v/>
      </c>
      <c r="C203" s="48" t="n">
        <v>25.95711318460804</v>
      </c>
      <c r="D203" s="48" t="n">
        <v>35.33477220579638</v>
      </c>
      <c r="E203" s="48" t="n">
        <v>22.23766194622106</v>
      </c>
      <c r="F203" s="48" t="n"/>
      <c r="G203" s="48" t="n"/>
      <c r="H203" s="48" t="n"/>
    </row>
    <row r="204" ht="14" customHeight="1">
      <c r="A204" s="15" t="n">
        <v>2017</v>
      </c>
      <c r="B204" s="45">
        <f>IF((A204&gt;=2022),ROUND(((G204*F204)/H204),2),((C204+D204)+E204))</f>
        <v/>
      </c>
      <c r="C204" s="46" t="n">
        <v>26.25607488050714</v>
      </c>
      <c r="D204" s="46" t="n">
        <v>34.71967149637995</v>
      </c>
      <c r="E204" s="46" t="n">
        <v>21.72320950375489</v>
      </c>
      <c r="F204" s="46" t="n"/>
      <c r="G204" s="46" t="n"/>
      <c r="H204" s="46" t="n"/>
    </row>
    <row r="205" ht="14" customHeight="1">
      <c r="A205" s="22" t="n">
        <v>2018</v>
      </c>
      <c r="B205" s="47">
        <f>IF((A205&gt;=2022),ROUND(((G205*F205)/H205),2),((C205+D205)+E205))</f>
        <v/>
      </c>
      <c r="C205" s="48" t="n">
        <v>26.58688958737584</v>
      </c>
      <c r="D205" s="48" t="n">
        <v>32.41012205897192</v>
      </c>
      <c r="E205" s="48" t="n">
        <v>20.69434369051864</v>
      </c>
      <c r="F205" s="48" t="n"/>
      <c r="G205" s="48" t="n"/>
      <c r="H205" s="48" t="n"/>
    </row>
    <row r="206" ht="14" customHeight="1">
      <c r="A206" s="15" t="n">
        <v>2019</v>
      </c>
      <c r="B206" s="45">
        <f>IF((A206&gt;=2022),ROUND(((G206*F206)/H206),2),((C206+D206)+E206))</f>
        <v/>
      </c>
      <c r="C206" s="46" t="n">
        <v>25.94378265274558</v>
      </c>
      <c r="D206" s="46" t="n">
        <v>28.01834710880188</v>
      </c>
      <c r="E206" s="46" t="n">
        <v>19.2516119641467</v>
      </c>
      <c r="F206" s="46" t="n"/>
      <c r="G206" s="46" t="n"/>
      <c r="H206" s="46" t="n"/>
    </row>
    <row r="207" ht="14" customHeight="1">
      <c r="A207" s="22" t="n">
        <v>2020</v>
      </c>
      <c r="B207" s="47">
        <f>IF((A207&gt;=2022),ROUND(((G207*F207)/H207),2),((C207+D207)+E207))</f>
        <v/>
      </c>
      <c r="C207" s="48" t="n">
        <v>25.26746562288206</v>
      </c>
      <c r="D207" s="48" t="n">
        <v>26.12143927772557</v>
      </c>
      <c r="E207" s="48" t="n">
        <v>18.23598185588754</v>
      </c>
      <c r="F207" s="48" t="n"/>
      <c r="G207" s="48" t="n"/>
      <c r="H207" s="48" t="n"/>
    </row>
    <row r="208" ht="14" customHeight="1">
      <c r="A208" s="15" t="n">
        <v>2021</v>
      </c>
      <c r="B208" s="45">
        <f>IF((A208&gt;=2022),ROUND(((G208*F208)/H208),2),((C208+D208)+E208))</f>
        <v/>
      </c>
      <c r="C208" s="46" t="n">
        <v>26.52328217715002</v>
      </c>
      <c r="D208" s="46" t="n">
        <v>25.62160457337648</v>
      </c>
      <c r="E208" s="46" t="n">
        <v>17.76021328091393</v>
      </c>
      <c r="F208" s="46" t="n"/>
      <c r="G208" s="46" t="n"/>
      <c r="H208" s="46" t="n"/>
    </row>
    <row r="209" ht="14" customHeight="1">
      <c r="A209" s="22" t="n">
        <v>2022</v>
      </c>
      <c r="B209" s="47">
        <f>IF((A209&gt;=2022),ROUND(((G209*F209)/H209),2),((C209+D209)+E209))</f>
        <v/>
      </c>
      <c r="C209" s="48" t="n"/>
      <c r="D209" s="48" t="n"/>
      <c r="E209" s="48" t="n"/>
      <c r="F209" s="48" t="n">
        <v>2.07953</v>
      </c>
      <c r="G209" s="48" t="n">
        <v>69.91</v>
      </c>
      <c r="H209" s="48" t="n">
        <v>2.2554</v>
      </c>
    </row>
    <row r="210" ht="14" customHeight="1">
      <c r="A210" s="15" t="n">
        <v>2023</v>
      </c>
      <c r="B210" s="45">
        <f>IF((A210&gt;=2022),ROUND(((G210*F210)/H210),2),((C210+D210)+E210))</f>
        <v/>
      </c>
      <c r="C210" s="46" t="n"/>
      <c r="D210" s="46" t="n"/>
      <c r="E210" s="46" t="n"/>
      <c r="F210" s="46" t="n">
        <v>1.93717</v>
      </c>
      <c r="G210" s="46" t="n">
        <v>69.91</v>
      </c>
      <c r="H210" s="46" t="n">
        <v>2.2554</v>
      </c>
    </row>
    <row r="211" ht="14" customHeight="1">
      <c r="A211" s="22" t="n">
        <v>2024</v>
      </c>
      <c r="B211" s="47">
        <f>IF((A211&gt;=2022),ROUND(((G211*F211)/H211),2),((C211+D211)+E211))</f>
        <v/>
      </c>
      <c r="C211" s="48" t="n"/>
      <c r="D211" s="48" t="n"/>
      <c r="E211" s="48" t="n"/>
      <c r="F211" s="48" t="n">
        <v>1.8637</v>
      </c>
      <c r="G211" s="48" t="n">
        <v>69.91</v>
      </c>
      <c r="H211" s="48" t="n">
        <v>2.2554</v>
      </c>
    </row>
    <row r="214">
      <c r="A214" s="51" t="inlineStr">
        <is>
          <t>E5 · Electrification rate of final energy use  (%)</t>
        </is>
      </c>
    </row>
    <row r="215" ht="26" customHeight="1">
      <c r="A215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216" ht="24" customHeight="1">
      <c r="A216" s="3" t="inlineStr">
        <is>
          <t>Derivation:  Value = ([FEC - electricity]/[FEC - total]) * [fraction → % (× 100)]</t>
        </is>
      </c>
    </row>
    <row r="217" ht="42" customHeight="1">
      <c r="A217" s="44" t="inlineStr">
        <is>
          <t>Year</t>
        </is>
      </c>
      <c r="B217" s="44" t="inlineStr">
        <is>
          <t>Value</t>
        </is>
      </c>
      <c r="C217" s="44" t="inlineStr">
        <is>
          <t>FEC - electricity</t>
        </is>
      </c>
      <c r="D217" s="44" t="inlineStr">
        <is>
          <t>FEC - total</t>
        </is>
      </c>
      <c r="E217" s="44" t="inlineStr">
        <is>
          <t>fraction → % (× 100)</t>
        </is>
      </c>
    </row>
    <row r="218" ht="14" customHeight="1">
      <c r="A218" s="15" t="n">
        <v>2005</v>
      </c>
      <c r="B218" s="45">
        <f>((C218/D218)*E218)</f>
        <v/>
      </c>
      <c r="C218" s="46" t="n">
        <v>2435673.703</v>
      </c>
      <c r="D218" s="46" t="n">
        <v>11474916.915</v>
      </c>
      <c r="E218" s="46" t="n">
        <v>100</v>
      </c>
    </row>
    <row r="219" ht="14" customHeight="1">
      <c r="A219" s="22" t="n">
        <v>2006</v>
      </c>
      <c r="B219" s="47">
        <f>((C219/D219)*E219)</f>
        <v/>
      </c>
      <c r="C219" s="48" t="n">
        <v>2487965.274</v>
      </c>
      <c r="D219" s="48" t="n">
        <v>11513134.525</v>
      </c>
      <c r="E219" s="48" t="n">
        <v>100</v>
      </c>
    </row>
    <row r="220" ht="14" customHeight="1">
      <c r="A220" s="15" t="n">
        <v>2007</v>
      </c>
      <c r="B220" s="45">
        <f>((C220/D220)*E220)</f>
        <v/>
      </c>
      <c r="C220" s="46" t="n">
        <v>2507601.539</v>
      </c>
      <c r="D220" s="46" t="n">
        <v>11296437.815</v>
      </c>
      <c r="E220" s="46" t="n">
        <v>100</v>
      </c>
    </row>
    <row r="221" ht="14" customHeight="1">
      <c r="A221" s="22" t="n">
        <v>2008</v>
      </c>
      <c r="B221" s="47">
        <f>((C221/D221)*E221)</f>
        <v/>
      </c>
      <c r="C221" s="48" t="n">
        <v>2521047.666</v>
      </c>
      <c r="D221" s="48" t="n">
        <v>11405137.115</v>
      </c>
      <c r="E221" s="48" t="n">
        <v>100</v>
      </c>
    </row>
    <row r="222" ht="14" customHeight="1">
      <c r="A222" s="15" t="n">
        <v>2009</v>
      </c>
      <c r="B222" s="45">
        <f>((C222/D222)*E222)</f>
        <v/>
      </c>
      <c r="C222" s="46" t="n">
        <v>2392832.602</v>
      </c>
      <c r="D222" s="46" t="n">
        <v>10876339.92</v>
      </c>
      <c r="E222" s="46" t="n">
        <v>100</v>
      </c>
    </row>
    <row r="223" ht="14" customHeight="1">
      <c r="A223" s="22" t="n">
        <v>2010</v>
      </c>
      <c r="B223" s="47">
        <f>((C223/D223)*E223)</f>
        <v/>
      </c>
      <c r="C223" s="48" t="n">
        <v>2510655.33</v>
      </c>
      <c r="D223" s="48" t="n">
        <v>11318762.988</v>
      </c>
      <c r="E223" s="48" t="n">
        <v>100</v>
      </c>
    </row>
    <row r="224" ht="14" customHeight="1">
      <c r="A224" s="15" t="n">
        <v>2011</v>
      </c>
      <c r="B224" s="45">
        <f>((C224/D224)*E224)</f>
        <v/>
      </c>
      <c r="C224" s="46" t="n">
        <v>2475454.023</v>
      </c>
      <c r="D224" s="46" t="n">
        <v>10860092.741</v>
      </c>
      <c r="E224" s="46" t="n">
        <v>100</v>
      </c>
    </row>
    <row r="225" ht="14" customHeight="1">
      <c r="A225" s="22" t="n">
        <v>2012</v>
      </c>
      <c r="B225" s="47">
        <f>((C225/D225)*E225)</f>
        <v/>
      </c>
      <c r="C225" s="48" t="n">
        <v>2484050.673</v>
      </c>
      <c r="D225" s="48" t="n">
        <v>10852755.326</v>
      </c>
      <c r="E225" s="48" t="n">
        <v>100</v>
      </c>
    </row>
    <row r="226" ht="14" customHeight="1">
      <c r="A226" s="15" t="n">
        <v>2013</v>
      </c>
      <c r="B226" s="45">
        <f>((C226/D226)*E226)</f>
        <v/>
      </c>
      <c r="C226" s="46" t="n">
        <v>2461276.146</v>
      </c>
      <c r="D226" s="46" t="n">
        <v>10832088.71</v>
      </c>
      <c r="E226" s="46" t="n">
        <v>100</v>
      </c>
    </row>
    <row r="227" ht="14" customHeight="1">
      <c r="A227" s="22" t="n">
        <v>2014</v>
      </c>
      <c r="B227" s="47">
        <f>((C227/D227)*E227)</f>
        <v/>
      </c>
      <c r="C227" s="48" t="n">
        <v>2409216.082</v>
      </c>
      <c r="D227" s="48" t="n">
        <v>10350977.682</v>
      </c>
      <c r="E227" s="48" t="n">
        <v>100</v>
      </c>
    </row>
    <row r="228" ht="14" customHeight="1">
      <c r="A228" s="15" t="n">
        <v>2015</v>
      </c>
      <c r="B228" s="45">
        <f>((C228/D228)*E228)</f>
        <v/>
      </c>
      <c r="C228" s="46" t="n">
        <v>2449964.432</v>
      </c>
      <c r="D228" s="46" t="n">
        <v>10571485.683</v>
      </c>
      <c r="E228" s="46" t="n">
        <v>100</v>
      </c>
    </row>
    <row r="229" ht="14" customHeight="1">
      <c r="A229" s="22" t="n">
        <v>2016</v>
      </c>
      <c r="B229" s="47">
        <f>((C229/D229)*E229)</f>
        <v/>
      </c>
      <c r="C229" s="48" t="n">
        <v>2481183.966</v>
      </c>
      <c r="D229" s="48" t="n">
        <v>10784102.813</v>
      </c>
      <c r="E229" s="48" t="n">
        <v>100</v>
      </c>
    </row>
    <row r="230" ht="14" customHeight="1">
      <c r="A230" s="15" t="n">
        <v>2017</v>
      </c>
      <c r="B230" s="45">
        <f>((C230/D230)*E230)</f>
        <v/>
      </c>
      <c r="C230" s="46" t="n">
        <v>2505582.737</v>
      </c>
      <c r="D230" s="46" t="n">
        <v>10934153.267</v>
      </c>
      <c r="E230" s="46" t="n">
        <v>100</v>
      </c>
    </row>
    <row r="231" ht="14" customHeight="1">
      <c r="A231" s="22" t="n">
        <v>2018</v>
      </c>
      <c r="B231" s="47">
        <f>((C231/D231)*E231)</f>
        <v/>
      </c>
      <c r="C231" s="48" t="n">
        <v>2505721.003</v>
      </c>
      <c r="D231" s="48" t="n">
        <v>10957545.699</v>
      </c>
      <c r="E231" s="48" t="n">
        <v>100</v>
      </c>
    </row>
    <row r="232" ht="14" customHeight="1">
      <c r="A232" s="15" t="n">
        <v>2019</v>
      </c>
      <c r="B232" s="45">
        <f>((C232/D232)*E232)</f>
        <v/>
      </c>
      <c r="C232" s="46" t="n">
        <v>2478845.571</v>
      </c>
      <c r="D232" s="46" t="n">
        <v>10903199.973</v>
      </c>
      <c r="E232" s="46" t="n">
        <v>100</v>
      </c>
    </row>
    <row r="233" ht="14" customHeight="1">
      <c r="A233" s="22" t="n">
        <v>2020</v>
      </c>
      <c r="B233" s="47">
        <f>((C233/D233)*E233)</f>
        <v/>
      </c>
      <c r="C233" s="48" t="n">
        <v>2384326.183</v>
      </c>
      <c r="D233" s="48" t="n">
        <v>10293548.316</v>
      </c>
      <c r="E233" s="48" t="n">
        <v>100</v>
      </c>
    </row>
    <row r="234" ht="14" customHeight="1">
      <c r="A234" s="15" t="n">
        <v>2021</v>
      </c>
      <c r="B234" s="45">
        <f>((C234/D234)*E234)</f>
        <v/>
      </c>
      <c r="C234" s="46" t="n">
        <v>2487203.789</v>
      </c>
      <c r="D234" s="46" t="n">
        <v>10930884.652</v>
      </c>
      <c r="E234" s="46" t="n">
        <v>100</v>
      </c>
    </row>
    <row r="237">
      <c r="A237" s="51" t="inlineStr">
        <is>
          <t>O2 (FEC) · Final energy consumption (EU-27)  (TWh)</t>
        </is>
      </c>
    </row>
    <row r="238" ht="26" customHeight="1">
      <c r="A23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39" ht="22" customHeight="1">
      <c r="A239" s="3" t="inlineStr">
        <is>
          <t>Refreshed for 2022, 2023, 2024: FEC (Mtoe)</t>
        </is>
      </c>
    </row>
    <row r="240" ht="24" customHeight="1">
      <c r="A240" s="3" t="inlineStr">
        <is>
          <t>Derivation:  Value = [FEC (Mtoe)] * [Mtoe → TWh]</t>
        </is>
      </c>
    </row>
    <row r="241" ht="42" customHeight="1">
      <c r="A241" s="44" t="inlineStr">
        <is>
          <t>Year</t>
        </is>
      </c>
      <c r="B241" s="44" t="inlineStr">
        <is>
          <t>Value</t>
        </is>
      </c>
      <c r="C241" s="44" t="inlineStr">
        <is>
          <t>FEC (Mtoe)</t>
        </is>
      </c>
      <c r="D241" s="44" t="inlineStr">
        <is>
          <t>Mtoe → TWh</t>
        </is>
      </c>
    </row>
    <row r="242" ht="14" customHeight="1">
      <c r="A242" s="15" t="n">
        <v>2005</v>
      </c>
      <c r="B242" s="45">
        <f>(C242*D242)</f>
        <v/>
      </c>
      <c r="C242" s="46" t="n">
        <v>1041.257368</v>
      </c>
      <c r="D242" s="46" t="n">
        <v>11.63</v>
      </c>
    </row>
    <row r="243" ht="14" customHeight="1">
      <c r="A243" s="22" t="n">
        <v>2006</v>
      </c>
      <c r="B243" s="47">
        <f>(C243*D243)</f>
        <v/>
      </c>
      <c r="C243" s="48" t="n">
        <v>1045.846092</v>
      </c>
      <c r="D243" s="48" t="n">
        <v>11.63</v>
      </c>
    </row>
    <row r="244" ht="14" customHeight="1">
      <c r="A244" s="15" t="n">
        <v>2007</v>
      </c>
      <c r="B244" s="45">
        <f>(C244*D244)</f>
        <v/>
      </c>
      <c r="C244" s="46" t="n">
        <v>1028.516726</v>
      </c>
      <c r="D244" s="46" t="n">
        <v>11.63</v>
      </c>
    </row>
    <row r="245" ht="14" customHeight="1">
      <c r="A245" s="22" t="n">
        <v>2008</v>
      </c>
      <c r="B245" s="47">
        <f>(C245*D245)</f>
        <v/>
      </c>
      <c r="C245" s="48" t="n">
        <v>1036.712465</v>
      </c>
      <c r="D245" s="48" t="n">
        <v>11.63</v>
      </c>
    </row>
    <row r="246" ht="14" customHeight="1">
      <c r="A246" s="15" t="n">
        <v>2009</v>
      </c>
      <c r="B246" s="45">
        <f>(C246*D246)</f>
        <v/>
      </c>
      <c r="C246" s="46" t="n">
        <v>980.8299129999999</v>
      </c>
      <c r="D246" s="46" t="n">
        <v>11.63</v>
      </c>
    </row>
    <row r="247" ht="14" customHeight="1">
      <c r="A247" s="22" t="n">
        <v>2010</v>
      </c>
      <c r="B247" s="47">
        <f>(C247*D247)</f>
        <v/>
      </c>
      <c r="C247" s="48" t="n">
        <v>1024.503136</v>
      </c>
      <c r="D247" s="48" t="n">
        <v>11.63</v>
      </c>
    </row>
    <row r="248" ht="14" customHeight="1">
      <c r="A248" s="15" t="n">
        <v>2011</v>
      </c>
      <c r="B248" s="45">
        <f>(C248*D248)</f>
        <v/>
      </c>
      <c r="C248" s="46" t="n">
        <v>984.6013909999999</v>
      </c>
      <c r="D248" s="46" t="n">
        <v>11.63</v>
      </c>
    </row>
    <row r="249" ht="14" customHeight="1">
      <c r="A249" s="22" t="n">
        <v>2012</v>
      </c>
      <c r="B249" s="47">
        <f>(C249*D249)</f>
        <v/>
      </c>
      <c r="C249" s="48" t="n">
        <v>982.5625729999999</v>
      </c>
      <c r="D249" s="48" t="n">
        <v>11.63</v>
      </c>
    </row>
    <row r="250" ht="14" customHeight="1">
      <c r="A250" s="15" t="n">
        <v>2013</v>
      </c>
      <c r="B250" s="45">
        <f>(C250*D250)</f>
        <v/>
      </c>
      <c r="C250" s="46" t="n">
        <v>980.3490159999999</v>
      </c>
      <c r="D250" s="46" t="n">
        <v>11.63</v>
      </c>
    </row>
    <row r="251" ht="14" customHeight="1">
      <c r="A251" s="22" t="n">
        <v>2014</v>
      </c>
      <c r="B251" s="47">
        <f>(C251*D251)</f>
        <v/>
      </c>
      <c r="C251" s="48" t="n">
        <v>938.785753</v>
      </c>
      <c r="D251" s="48" t="n">
        <v>11.63</v>
      </c>
    </row>
    <row r="252" ht="14" customHeight="1">
      <c r="A252" s="15" t="n">
        <v>2015</v>
      </c>
      <c r="B252" s="45">
        <f>(C252*D252)</f>
        <v/>
      </c>
      <c r="C252" s="46" t="n">
        <v>957.870041</v>
      </c>
      <c r="D252" s="46" t="n">
        <v>11.63</v>
      </c>
    </row>
    <row r="253" ht="14" customHeight="1">
      <c r="A253" s="22" t="n">
        <v>2016</v>
      </c>
      <c r="B253" s="47">
        <f>(C253*D253)</f>
        <v/>
      </c>
      <c r="C253" s="48" t="n">
        <v>976.8839250000001</v>
      </c>
      <c r="D253" s="48" t="n">
        <v>11.63</v>
      </c>
    </row>
    <row r="254" ht="14" customHeight="1">
      <c r="A254" s="15" t="n">
        <v>2017</v>
      </c>
      <c r="B254" s="45">
        <f>(C254*D254)</f>
        <v/>
      </c>
      <c r="C254" s="46" t="n">
        <v>989.0002589999999</v>
      </c>
      <c r="D254" s="46" t="n">
        <v>11.63</v>
      </c>
    </row>
    <row r="255" ht="14" customHeight="1">
      <c r="A255" s="22" t="n">
        <v>2018</v>
      </c>
      <c r="B255" s="47">
        <f>(C255*D255)</f>
        <v/>
      </c>
      <c r="C255" s="48" t="n">
        <v>991.5633220000001</v>
      </c>
      <c r="D255" s="48" t="n">
        <v>11.63</v>
      </c>
    </row>
    <row r="256" ht="14" customHeight="1">
      <c r="A256" s="15" t="n">
        <v>2019</v>
      </c>
      <c r="B256" s="45">
        <f>(C256*D256)</f>
        <v/>
      </c>
      <c r="C256" s="46" t="n">
        <v>985.968015</v>
      </c>
      <c r="D256" s="46" t="n">
        <v>11.63</v>
      </c>
    </row>
    <row r="257" ht="14" customHeight="1">
      <c r="A257" s="22" t="n">
        <v>2020</v>
      </c>
      <c r="B257" s="47">
        <f>(C257*D257)</f>
        <v/>
      </c>
      <c r="C257" s="48" t="n">
        <v>906.253179</v>
      </c>
      <c r="D257" s="48" t="n">
        <v>11.63</v>
      </c>
    </row>
    <row r="258" ht="14" customHeight="1">
      <c r="A258" s="15" t="n">
        <v>2021</v>
      </c>
      <c r="B258" s="45">
        <f>(C258*D258)</f>
        <v/>
      </c>
      <c r="C258" s="46" t="n">
        <v>968.426336</v>
      </c>
      <c r="D258" s="46" t="n">
        <v>11.63</v>
      </c>
    </row>
    <row r="259" ht="14" customHeight="1">
      <c r="A259" s="22" t="n">
        <v>2022</v>
      </c>
      <c r="B259" s="47">
        <f>(C259*D259)</f>
        <v/>
      </c>
      <c r="C259" s="48" t="n">
        <v>920.4400000000001</v>
      </c>
      <c r="D259" s="48" t="n">
        <v>11.63</v>
      </c>
    </row>
    <row r="260" ht="14" customHeight="1">
      <c r="A260" s="15" t="n">
        <v>2023</v>
      </c>
      <c r="B260" s="45">
        <f>(C260*D260)</f>
        <v/>
      </c>
      <c r="C260" s="46" t="n">
        <v>893.27</v>
      </c>
      <c r="D260" s="46" t="n">
        <v>11.63</v>
      </c>
    </row>
    <row r="261" ht="14" customHeight="1">
      <c r="A261" s="22" t="n">
        <v>2024</v>
      </c>
      <c r="B261" s="47">
        <f>(C261*D261)</f>
        <v/>
      </c>
      <c r="C261" s="48" t="n">
        <v>900.41</v>
      </c>
      <c r="D261" s="48" t="n">
        <v>11.63</v>
      </c>
    </row>
    <row r="264">
      <c r="A264" s="51" t="inlineStr">
        <is>
          <t>O2 (PEC) · Primary energy consumption (EU-27)  (TWh)</t>
        </is>
      </c>
    </row>
    <row r="265" ht="26" customHeight="1">
      <c r="A265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66" ht="22" customHeight="1">
      <c r="A266" s="3" t="inlineStr">
        <is>
          <t>Refreshed for 2022, 2023, 2024: PEC (Mtoe)</t>
        </is>
      </c>
    </row>
    <row r="267" ht="24" customHeight="1">
      <c r="A267" s="3" t="inlineStr">
        <is>
          <t>Derivation:  Value = [PEC (Mtoe)] * [Mtoe → TWh]</t>
        </is>
      </c>
    </row>
    <row r="268" ht="42" customHeight="1">
      <c r="A268" s="44" t="inlineStr">
        <is>
          <t>Year</t>
        </is>
      </c>
      <c r="B268" s="44" t="inlineStr">
        <is>
          <t>Value</t>
        </is>
      </c>
      <c r="C268" s="44" t="inlineStr">
        <is>
          <t>PEC (Mtoe)</t>
        </is>
      </c>
      <c r="D268" s="44" t="inlineStr">
        <is>
          <t>Mtoe → TWh</t>
        </is>
      </c>
    </row>
    <row r="269" ht="14" customHeight="1">
      <c r="A269" s="15" t="n">
        <v>2005</v>
      </c>
      <c r="B269" s="45">
        <f>(C269*D269)</f>
        <v/>
      </c>
      <c r="C269" s="46" t="n">
        <v>1497.759101</v>
      </c>
      <c r="D269" s="46" t="n">
        <v>11.63</v>
      </c>
    </row>
    <row r="270" ht="14" customHeight="1">
      <c r="A270" s="22" t="n">
        <v>2006</v>
      </c>
      <c r="B270" s="47">
        <f>(C270*D270)</f>
        <v/>
      </c>
      <c r="C270" s="48" t="n">
        <v>1511.018519</v>
      </c>
      <c r="D270" s="48" t="n">
        <v>11.63</v>
      </c>
    </row>
    <row r="271" ht="14" customHeight="1">
      <c r="A271" s="15" t="n">
        <v>2007</v>
      </c>
      <c r="B271" s="45">
        <f>(C271*D271)</f>
        <v/>
      </c>
      <c r="C271" s="46" t="n">
        <v>1490.164968</v>
      </c>
      <c r="D271" s="46" t="n">
        <v>11.63</v>
      </c>
    </row>
    <row r="272" ht="14" customHeight="1">
      <c r="A272" s="22" t="n">
        <v>2008</v>
      </c>
      <c r="B272" s="47">
        <f>(C272*D272)</f>
        <v/>
      </c>
      <c r="C272" s="48" t="n">
        <v>1488.763745</v>
      </c>
      <c r="D272" s="48" t="n">
        <v>11.63</v>
      </c>
    </row>
    <row r="273" ht="14" customHeight="1">
      <c r="A273" s="15" t="n">
        <v>2009</v>
      </c>
      <c r="B273" s="45">
        <f>(C273*D273)</f>
        <v/>
      </c>
      <c r="C273" s="46" t="n">
        <v>1403.207705</v>
      </c>
      <c r="D273" s="46" t="n">
        <v>11.63</v>
      </c>
    </row>
    <row r="274" ht="14" customHeight="1">
      <c r="A274" s="22" t="n">
        <v>2010</v>
      </c>
      <c r="B274" s="47">
        <f>(C274*D274)</f>
        <v/>
      </c>
      <c r="C274" s="48" t="n">
        <v>1457.55401</v>
      </c>
      <c r="D274" s="48" t="n">
        <v>11.63</v>
      </c>
    </row>
    <row r="275" ht="14" customHeight="1">
      <c r="A275" s="15" t="n">
        <v>2011</v>
      </c>
      <c r="B275" s="45">
        <f>(C275*D275)</f>
        <v/>
      </c>
      <c r="C275" s="46" t="n">
        <v>1412.129338</v>
      </c>
      <c r="D275" s="46" t="n">
        <v>11.63</v>
      </c>
    </row>
    <row r="276" ht="14" customHeight="1">
      <c r="A276" s="22" t="n">
        <v>2012</v>
      </c>
      <c r="B276" s="47">
        <f>(C276*D276)</f>
        <v/>
      </c>
      <c r="C276" s="48" t="n">
        <v>1396.182626</v>
      </c>
      <c r="D276" s="48" t="n">
        <v>11.63</v>
      </c>
    </row>
    <row r="277" ht="14" customHeight="1">
      <c r="A277" s="15" t="n">
        <v>2013</v>
      </c>
      <c r="B277" s="45">
        <f>(C277*D277)</f>
        <v/>
      </c>
      <c r="C277" s="46" t="n">
        <v>1384.150057</v>
      </c>
      <c r="D277" s="46" t="n">
        <v>11.63</v>
      </c>
    </row>
    <row r="278" ht="14" customHeight="1">
      <c r="A278" s="22" t="n">
        <v>2014</v>
      </c>
      <c r="B278" s="47">
        <f>(C278*D278)</f>
        <v/>
      </c>
      <c r="C278" s="48" t="n">
        <v>1330.45645</v>
      </c>
      <c r="D278" s="48" t="n">
        <v>11.63</v>
      </c>
    </row>
    <row r="279" ht="14" customHeight="1">
      <c r="A279" s="15" t="n">
        <v>2015</v>
      </c>
      <c r="B279" s="45">
        <f>(C279*D279)</f>
        <v/>
      </c>
      <c r="C279" s="46" t="n">
        <v>1352.70504</v>
      </c>
      <c r="D279" s="46" t="n">
        <v>11.63</v>
      </c>
    </row>
    <row r="280" ht="14" customHeight="1">
      <c r="A280" s="22" t="n">
        <v>2016</v>
      </c>
      <c r="B280" s="47">
        <f>(C280*D280)</f>
        <v/>
      </c>
      <c r="C280" s="48" t="n">
        <v>1364.069118</v>
      </c>
      <c r="D280" s="48" t="n">
        <v>11.63</v>
      </c>
    </row>
    <row r="281" ht="14" customHeight="1">
      <c r="A281" s="15" t="n">
        <v>2017</v>
      </c>
      <c r="B281" s="45">
        <f>(C281*D281)</f>
        <v/>
      </c>
      <c r="C281" s="46" t="n">
        <v>1383.798104</v>
      </c>
      <c r="D281" s="46" t="n">
        <v>11.63</v>
      </c>
    </row>
    <row r="282" ht="14" customHeight="1">
      <c r="A282" s="22" t="n">
        <v>2018</v>
      </c>
      <c r="B282" s="47">
        <f>(C282*D282)</f>
        <v/>
      </c>
      <c r="C282" s="48" t="n">
        <v>1377.339165</v>
      </c>
      <c r="D282" s="48" t="n">
        <v>11.63</v>
      </c>
    </row>
    <row r="283" ht="14" customHeight="1">
      <c r="A283" s="15" t="n">
        <v>2019</v>
      </c>
      <c r="B283" s="45">
        <f>(C283*D283)</f>
        <v/>
      </c>
      <c r="C283" s="46" t="n">
        <v>1354.076044</v>
      </c>
      <c r="D283" s="46" t="n">
        <v>11.63</v>
      </c>
    </row>
    <row r="284" ht="14" customHeight="1">
      <c r="A284" s="22" t="n">
        <v>2020</v>
      </c>
      <c r="B284" s="47">
        <f>(C284*D284)</f>
        <v/>
      </c>
      <c r="C284" s="48" t="n">
        <v>1235.780674</v>
      </c>
      <c r="D284" s="48" t="n">
        <v>11.63</v>
      </c>
    </row>
    <row r="285" ht="14" customHeight="1">
      <c r="A285" s="15" t="n">
        <v>2021</v>
      </c>
      <c r="B285" s="45">
        <f>(C285*D285)</f>
        <v/>
      </c>
      <c r="C285" s="46" t="n">
        <v>1311.113312</v>
      </c>
      <c r="D285" s="46" t="n">
        <v>11.63</v>
      </c>
    </row>
    <row r="286" ht="14" customHeight="1">
      <c r="A286" s="22" t="n">
        <v>2022</v>
      </c>
      <c r="B286" s="47">
        <f>(C286*D286)</f>
        <v/>
      </c>
      <c r="C286" s="48" t="n">
        <v>1259.22</v>
      </c>
      <c r="D286" s="48" t="n">
        <v>11.63</v>
      </c>
    </row>
    <row r="287" ht="14" customHeight="1">
      <c r="A287" s="15" t="n">
        <v>2023</v>
      </c>
      <c r="B287" s="45">
        <f>(C287*D287)</f>
        <v/>
      </c>
      <c r="C287" s="46" t="n">
        <v>1207.67</v>
      </c>
      <c r="D287" s="46" t="n">
        <v>11.63</v>
      </c>
    </row>
    <row r="288" ht="14" customHeight="1">
      <c r="A288" s="22" t="n">
        <v>2024</v>
      </c>
      <c r="B288" s="47">
        <f>(C288*D288)</f>
        <v/>
      </c>
      <c r="C288" s="48" t="n">
        <v>1193.72</v>
      </c>
      <c r="D288" s="48" t="n">
        <v>11.63</v>
      </c>
    </row>
    <row r="291">
      <c r="A291" s="51" t="inlineStr">
        <is>
          <t>O3 · Gross inland energy consumption (EU-27)  (TWh)</t>
        </is>
      </c>
    </row>
    <row r="292" ht="26" customHeight="1">
      <c r="A292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93" ht="22" customHeight="1">
      <c r="A293" s="3" t="inlineStr">
        <is>
          <t>Refreshed for 2022, 2023: Gross inland (ktoe)</t>
        </is>
      </c>
    </row>
    <row r="294" ht="24" customHeight="1">
      <c r="A294" s="3" t="inlineStr">
        <is>
          <t>Derivation:  Value = [Gross inland (ktoe)] * [ktoe → TWh]</t>
        </is>
      </c>
    </row>
    <row r="295" ht="42" customHeight="1">
      <c r="A295" s="44" t="inlineStr">
        <is>
          <t>Year</t>
        </is>
      </c>
      <c r="B295" s="44" t="inlineStr">
        <is>
          <t>Value</t>
        </is>
      </c>
      <c r="C295" s="44" t="inlineStr">
        <is>
          <t>Gross inland (ktoe)</t>
        </is>
      </c>
      <c r="D295" s="44" t="inlineStr">
        <is>
          <t>ktoe → TWh</t>
        </is>
      </c>
    </row>
    <row r="296" ht="14" customHeight="1">
      <c r="A296" s="15" t="n">
        <v>2005</v>
      </c>
      <c r="B296" s="45">
        <f>(C296*D296)</f>
        <v/>
      </c>
      <c r="C296" s="46" t="n">
        <v>1603791.592</v>
      </c>
      <c r="D296" s="46" t="n">
        <v>0.01163</v>
      </c>
    </row>
    <row r="297" ht="14" customHeight="1">
      <c r="A297" s="22" t="n">
        <v>2006</v>
      </c>
      <c r="B297" s="47">
        <f>(C297*D297)</f>
        <v/>
      </c>
      <c r="C297" s="48" t="n">
        <v>1617264.749</v>
      </c>
      <c r="D297" s="48" t="n">
        <v>0.01163</v>
      </c>
    </row>
    <row r="298" ht="14" customHeight="1">
      <c r="A298" s="15" t="n">
        <v>2007</v>
      </c>
      <c r="B298" s="45">
        <f>(C298*D298)</f>
        <v/>
      </c>
      <c r="C298" s="46" t="n">
        <v>1596724.141</v>
      </c>
      <c r="D298" s="46" t="n">
        <v>0.01163</v>
      </c>
    </row>
    <row r="299" ht="14" customHeight="1">
      <c r="A299" s="22" t="n">
        <v>2008</v>
      </c>
      <c r="B299" s="47">
        <f>(C299*D299)</f>
        <v/>
      </c>
      <c r="C299" s="48" t="n">
        <v>1592798.076</v>
      </c>
      <c r="D299" s="48" t="n">
        <v>0.01163</v>
      </c>
    </row>
    <row r="300" ht="14" customHeight="1">
      <c r="A300" s="15" t="n">
        <v>2009</v>
      </c>
      <c r="B300" s="45">
        <f>(C300*D300)</f>
        <v/>
      </c>
      <c r="C300" s="46" t="n">
        <v>1498735.408</v>
      </c>
      <c r="D300" s="46" t="n">
        <v>0.01163</v>
      </c>
    </row>
    <row r="301" ht="14" customHeight="1">
      <c r="A301" s="22" t="n">
        <v>2010</v>
      </c>
      <c r="B301" s="47">
        <f>(C301*D301)</f>
        <v/>
      </c>
      <c r="C301" s="48" t="n">
        <v>1558965.547</v>
      </c>
      <c r="D301" s="48" t="n">
        <v>0.01163</v>
      </c>
    </row>
    <row r="302" ht="14" customHeight="1">
      <c r="A302" s="15" t="n">
        <v>2011</v>
      </c>
      <c r="B302" s="45">
        <f>(C302*D302)</f>
        <v/>
      </c>
      <c r="C302" s="46" t="n">
        <v>1513097.724</v>
      </c>
      <c r="D302" s="46" t="n">
        <v>0.01163</v>
      </c>
    </row>
    <row r="303" ht="14" customHeight="1">
      <c r="A303" s="22" t="n">
        <v>2012</v>
      </c>
      <c r="B303" s="47">
        <f>(C303*D303)</f>
        <v/>
      </c>
      <c r="C303" s="48" t="n">
        <v>1493743.176</v>
      </c>
      <c r="D303" s="48" t="n">
        <v>0.01163</v>
      </c>
    </row>
    <row r="304" ht="14" customHeight="1">
      <c r="A304" s="15" t="n">
        <v>2013</v>
      </c>
      <c r="B304" s="45">
        <f>(C304*D304)</f>
        <v/>
      </c>
      <c r="C304" s="46" t="n">
        <v>1478955.067</v>
      </c>
      <c r="D304" s="46" t="n">
        <v>0.01163</v>
      </c>
    </row>
    <row r="305" ht="14" customHeight="1">
      <c r="A305" s="22" t="n">
        <v>2014</v>
      </c>
      <c r="B305" s="47">
        <f>(C305*D305)</f>
        <v/>
      </c>
      <c r="C305" s="48" t="n">
        <v>1428215.209</v>
      </c>
      <c r="D305" s="48" t="n">
        <v>0.01163</v>
      </c>
    </row>
    <row r="306" ht="14" customHeight="1">
      <c r="A306" s="15" t="n">
        <v>2015</v>
      </c>
      <c r="B306" s="45">
        <f>(C306*D306)</f>
        <v/>
      </c>
      <c r="C306" s="46" t="n">
        <v>1448169.923</v>
      </c>
      <c r="D306" s="46" t="n">
        <v>0.01163</v>
      </c>
    </row>
    <row r="307" ht="14" customHeight="1">
      <c r="A307" s="22" t="n">
        <v>2016</v>
      </c>
      <c r="B307" s="47">
        <f>(C307*D307)</f>
        <v/>
      </c>
      <c r="C307" s="48" t="n">
        <v>1460169.976</v>
      </c>
      <c r="D307" s="48" t="n">
        <v>0.01163</v>
      </c>
    </row>
    <row r="308" ht="14" customHeight="1">
      <c r="A308" s="15" t="n">
        <v>2017</v>
      </c>
      <c r="B308" s="45">
        <f>(C308*D308)</f>
        <v/>
      </c>
      <c r="C308" s="46" t="n">
        <v>1490808.62</v>
      </c>
      <c r="D308" s="46" t="n">
        <v>0.01163</v>
      </c>
    </row>
    <row r="309" ht="14" customHeight="1">
      <c r="A309" s="22" t="n">
        <v>2018</v>
      </c>
      <c r="B309" s="47">
        <f>(C309*D309)</f>
        <v/>
      </c>
      <c r="C309" s="48" t="n">
        <v>1481330.978</v>
      </c>
      <c r="D309" s="48" t="n">
        <v>0.01163</v>
      </c>
    </row>
    <row r="310" ht="14" customHeight="1">
      <c r="A310" s="15" t="n">
        <v>2019</v>
      </c>
      <c r="B310" s="45">
        <f>(C310*D310)</f>
        <v/>
      </c>
      <c r="C310" s="46" t="n">
        <v>1458297.436</v>
      </c>
      <c r="D310" s="46" t="n">
        <v>0.01163</v>
      </c>
    </row>
    <row r="311" ht="14" customHeight="1">
      <c r="A311" s="22" t="n">
        <v>2020</v>
      </c>
      <c r="B311" s="47">
        <f>(C311*D311)</f>
        <v/>
      </c>
      <c r="C311" s="48" t="n">
        <v>1340095.609</v>
      </c>
      <c r="D311" s="48" t="n">
        <v>0.01163</v>
      </c>
    </row>
    <row r="312" ht="14" customHeight="1">
      <c r="A312" s="15" t="n">
        <v>2021</v>
      </c>
      <c r="B312" s="45">
        <f>(C312*D312)</f>
        <v/>
      </c>
      <c r="C312" s="46" t="n">
        <v>1421666.07</v>
      </c>
      <c r="D312" s="46" t="n">
        <v>0.01163</v>
      </c>
    </row>
    <row r="313" ht="14" customHeight="1">
      <c r="A313" s="22" t="n">
        <v>2022</v>
      </c>
      <c r="B313" s="47">
        <f>(C313*D313)</f>
        <v/>
      </c>
      <c r="C313" s="48" t="n">
        <v>1354389.897</v>
      </c>
      <c r="D313" s="48" t="n">
        <v>0.01163</v>
      </c>
    </row>
    <row r="314" ht="14" customHeight="1">
      <c r="A314" s="15" t="n">
        <v>2023</v>
      </c>
      <c r="B314" s="45">
        <f>(C314*D314)</f>
        <v/>
      </c>
      <c r="C314" s="46" t="n">
        <v>1299325.698</v>
      </c>
      <c r="D314" s="46" t="n">
        <v>0.01163</v>
      </c>
    </row>
    <row r="317">
      <c r="A317" s="52" t="inlineStr">
        <is>
          <t>I1 · Industrial GHG emissions  (Mt CO₂eq)</t>
        </is>
      </c>
    </row>
    <row r="318" ht="26" customHeight="1">
      <c r="A31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19" ht="22" customHeight="1">
      <c r="A319" s="3" t="inlineStr">
        <is>
          <t>Refreshed for 2023, 2024: 1.A.2 - Manufacturing Industries and Construction, 2 - Industrial Processes and Product Use</t>
        </is>
      </c>
    </row>
    <row r="320" ht="24" customHeight="1">
      <c r="A320" s="3" t="inlineStr">
        <is>
          <t>Derivation:  Value = ([1.A.2 - Manufacturing Industries and Construction]+[2 - Industrial Processes and Product Use])/1000</t>
        </is>
      </c>
    </row>
    <row r="321" ht="42" customHeight="1">
      <c r="A321" s="44" t="inlineStr">
        <is>
          <t>Year</t>
        </is>
      </c>
      <c r="B321" s="44" t="inlineStr">
        <is>
          <t>Value</t>
        </is>
      </c>
      <c r="C321" s="44" t="inlineStr">
        <is>
          <t>1.A.2 - Manufacturing Industries and Construction</t>
        </is>
      </c>
      <c r="D321" s="44" t="inlineStr">
        <is>
          <t>2 - Industrial Processes and Product Use</t>
        </is>
      </c>
    </row>
    <row r="322" ht="14" customHeight="1">
      <c r="A322" s="15" t="n">
        <v>2005</v>
      </c>
      <c r="B322" s="45">
        <f>((C322+D322)/1000)</f>
        <v/>
      </c>
      <c r="C322" s="46" t="n">
        <v>556523.7994334318</v>
      </c>
      <c r="D322" s="46" t="n">
        <v>424749.9573243055</v>
      </c>
    </row>
    <row r="323" ht="14" customHeight="1">
      <c r="A323" s="22" t="n">
        <v>2006</v>
      </c>
      <c r="B323" s="47">
        <f>((C323+D323)/1000)</f>
        <v/>
      </c>
      <c r="C323" s="48" t="n">
        <v>546025.3443937633</v>
      </c>
      <c r="D323" s="48" t="n">
        <v>427761.119956169</v>
      </c>
    </row>
    <row r="324" ht="14" customHeight="1">
      <c r="A324" s="15" t="n">
        <v>2007</v>
      </c>
      <c r="B324" s="45">
        <f>((C324+D324)/1000)</f>
        <v/>
      </c>
      <c r="C324" s="46" t="n">
        <v>558821.7373136887</v>
      </c>
      <c r="D324" s="46" t="n">
        <v>436796.397234523</v>
      </c>
    </row>
    <row r="325" ht="14" customHeight="1">
      <c r="A325" s="22" t="n">
        <v>2008</v>
      </c>
      <c r="B325" s="47">
        <f>((C325+D325)/1000)</f>
        <v/>
      </c>
      <c r="C325" s="48" t="n">
        <v>539298.5581894323</v>
      </c>
      <c r="D325" s="48" t="n">
        <v>413039.8886742173</v>
      </c>
    </row>
    <row r="326" ht="14" customHeight="1">
      <c r="A326" s="15" t="n">
        <v>2009</v>
      </c>
      <c r="B326" s="45">
        <f>((C326+D326)/1000)</f>
        <v/>
      </c>
      <c r="C326" s="46" t="n">
        <v>447681.1654271635</v>
      </c>
      <c r="D326" s="46" t="n">
        <v>341747.1408288951</v>
      </c>
    </row>
    <row r="327" ht="14" customHeight="1">
      <c r="A327" s="22" t="n">
        <v>2010</v>
      </c>
      <c r="B327" s="47">
        <f>((C327+D327)/1000)</f>
        <v/>
      </c>
      <c r="C327" s="48" t="n">
        <v>480724.9666168753</v>
      </c>
      <c r="D327" s="48" t="n">
        <v>358089.4760762021</v>
      </c>
    </row>
    <row r="328" ht="14" customHeight="1">
      <c r="A328" s="15" t="n">
        <v>2011</v>
      </c>
      <c r="B328" s="45">
        <f>((C328+D328)/1000)</f>
        <v/>
      </c>
      <c r="C328" s="46" t="n">
        <v>468688.8421073754</v>
      </c>
      <c r="D328" s="46" t="n">
        <v>357464.6123107264</v>
      </c>
    </row>
    <row r="329" ht="14" customHeight="1">
      <c r="A329" s="22" t="n">
        <v>2012</v>
      </c>
      <c r="B329" s="47">
        <f>((C329+D329)/1000)</f>
        <v/>
      </c>
      <c r="C329" s="48" t="n">
        <v>450892.5625642318</v>
      </c>
      <c r="D329" s="48" t="n">
        <v>344777.8719775737</v>
      </c>
    </row>
    <row r="330" ht="14" customHeight="1">
      <c r="A330" s="15" t="n">
        <v>2013</v>
      </c>
      <c r="B330" s="45">
        <f>((C330+D330)/1000)</f>
        <v/>
      </c>
      <c r="C330" s="46" t="n">
        <v>432830.4669897874</v>
      </c>
      <c r="D330" s="46" t="n">
        <v>342701.8740429208</v>
      </c>
    </row>
    <row r="331" ht="14" customHeight="1">
      <c r="A331" s="22" t="n">
        <v>2014</v>
      </c>
      <c r="B331" s="47">
        <f>((C331+D331)/1000)</f>
        <v/>
      </c>
      <c r="C331" s="48" t="n">
        <v>419987.1953761611</v>
      </c>
      <c r="D331" s="48" t="n">
        <v>349178.2009048872</v>
      </c>
    </row>
    <row r="332" ht="14" customHeight="1">
      <c r="A332" s="15" t="n">
        <v>2015</v>
      </c>
      <c r="B332" s="45">
        <f>((C332+D332)/1000)</f>
        <v/>
      </c>
      <c r="C332" s="46" t="n">
        <v>428994.7046756293</v>
      </c>
      <c r="D332" s="46" t="n">
        <v>339854.3406348636</v>
      </c>
    </row>
    <row r="333" ht="14" customHeight="1">
      <c r="A333" s="22" t="n">
        <v>2016</v>
      </c>
      <c r="B333" s="47">
        <f>((C333+D333)/1000)</f>
        <v/>
      </c>
      <c r="C333" s="48" t="n">
        <v>434138.4673306638</v>
      </c>
      <c r="D333" s="48" t="n">
        <v>342081.2033069766</v>
      </c>
    </row>
    <row r="334" ht="14" customHeight="1">
      <c r="A334" s="15" t="n">
        <v>2017</v>
      </c>
      <c r="B334" s="45">
        <f>((C334+D334)/1000)</f>
        <v/>
      </c>
      <c r="C334" s="46" t="n">
        <v>441345.5467568766</v>
      </c>
      <c r="D334" s="46" t="n">
        <v>349690.552885406</v>
      </c>
    </row>
    <row r="335" ht="14" customHeight="1">
      <c r="A335" s="22" t="n">
        <v>2018</v>
      </c>
      <c r="B335" s="47">
        <f>((C335+D335)/1000)</f>
        <v/>
      </c>
      <c r="C335" s="48" t="n">
        <v>442369.9182363944</v>
      </c>
      <c r="D335" s="48" t="n">
        <v>342906.689601974</v>
      </c>
    </row>
    <row r="336" ht="14" customHeight="1">
      <c r="A336" s="15" t="n">
        <v>2019</v>
      </c>
      <c r="B336" s="45">
        <f>((C336+D336)/1000)</f>
        <v/>
      </c>
      <c r="C336" s="46" t="n">
        <v>428579.8953015269</v>
      </c>
      <c r="D336" s="46" t="n">
        <v>331548.2341144778</v>
      </c>
    </row>
    <row r="337" ht="14" customHeight="1">
      <c r="A337" s="22" t="n">
        <v>2020</v>
      </c>
      <c r="B337" s="47">
        <f>((C337+D337)/1000)</f>
        <v/>
      </c>
      <c r="C337" s="48" t="n">
        <v>412771.8756989454</v>
      </c>
      <c r="D337" s="48" t="n">
        <v>306828.453320871</v>
      </c>
    </row>
    <row r="338" ht="14" customHeight="1">
      <c r="A338" s="15" t="n">
        <v>2021</v>
      </c>
      <c r="B338" s="45">
        <f>((C338+D338)/1000)</f>
        <v/>
      </c>
      <c r="C338" s="46" t="n">
        <v>439540.132456479</v>
      </c>
      <c r="D338" s="46" t="n">
        <v>317933.961339561</v>
      </c>
    </row>
    <row r="339" ht="14" customHeight="1">
      <c r="A339" s="22" t="n">
        <v>2022</v>
      </c>
      <c r="B339" s="47">
        <f>((C339+D339)/1000)</f>
        <v/>
      </c>
      <c r="C339" s="48" t="n">
        <v>398202.32207</v>
      </c>
      <c r="D339" s="48" t="n">
        <v>293126.49118</v>
      </c>
    </row>
    <row r="340" ht="14" customHeight="1">
      <c r="A340" s="15" t="n">
        <v>2023</v>
      </c>
      <c r="B340" s="45">
        <f>((C340+D340)/1000)</f>
        <v/>
      </c>
      <c r="C340" s="46" t="n">
        <v>358770.37</v>
      </c>
      <c r="D340" s="46" t="n">
        <v>263328.47</v>
      </c>
    </row>
    <row r="341" ht="14" customHeight="1">
      <c r="A341" s="22" t="n">
        <v>2024</v>
      </c>
      <c r="B341" s="47">
        <f>((C341+D341)/1000)</f>
        <v/>
      </c>
      <c r="C341" s="48" t="n">
        <v>351562.16</v>
      </c>
      <c r="D341" s="48" t="n">
        <v>259866.27</v>
      </c>
    </row>
    <row r="344">
      <c r="A344" s="52" t="inlineStr">
        <is>
          <t>I2 (cement, production) · Cement production (EU)  (Mt)</t>
        </is>
      </c>
    </row>
    <row r="345" ht="26" customHeight="1">
      <c r="A34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346" ht="24" customHeight="1">
      <c r="A346" s="3" t="inlineStr">
        <is>
          <t>Derivation:  Value = IF(A &gt;= 2022, ROUND([Report baseline 2021 (Mt)] * [sts_inpr_a C235] / [Live source at 2021 (same basis as the columns left)], 1), [Report figure (2024 report underlying data)])</t>
        </is>
      </c>
    </row>
    <row r="347" ht="42" customHeight="1">
      <c r="A347" s="44" t="inlineStr">
        <is>
          <t>Year</t>
        </is>
      </c>
      <c r="B347" s="44" t="inlineStr">
        <is>
          <t>Value</t>
        </is>
      </c>
      <c r="C347" s="44" t="inlineStr">
        <is>
          <t>Report figure (2024 report underlying data)</t>
        </is>
      </c>
      <c r="D347" s="44" t="inlineStr">
        <is>
          <t>sts_inpr_a C235</t>
        </is>
      </c>
      <c r="E347" s="44" t="inlineStr">
        <is>
          <t>Report baseline 2021 (Mt)</t>
        </is>
      </c>
      <c r="F347" s="44" t="inlineStr">
        <is>
          <t>Live source at 2021 (same basis as the columns left)</t>
        </is>
      </c>
    </row>
    <row r="348" ht="14" customHeight="1">
      <c r="A348" s="15" t="n">
        <v>2005</v>
      </c>
      <c r="B348" s="45">
        <f>IF((A348&gt;=2022),ROUND(((E348*D348)/F348),1),C348)</f>
        <v/>
      </c>
      <c r="C348" s="46" t="n">
        <v>239.5</v>
      </c>
      <c r="D348" s="46" t="n"/>
      <c r="E348" s="46" t="n"/>
      <c r="F348" s="46" t="n"/>
    </row>
    <row r="349" ht="14" customHeight="1">
      <c r="A349" s="22" t="n">
        <v>2006</v>
      </c>
      <c r="B349" s="47">
        <f>IF((A349&gt;=2022),ROUND(((E349*D349)/F349),1),C349)</f>
        <v/>
      </c>
      <c r="C349" s="48" t="n">
        <v>256.2</v>
      </c>
      <c r="D349" s="48" t="n"/>
      <c r="E349" s="48" t="n"/>
      <c r="F349" s="48" t="n"/>
    </row>
    <row r="350" ht="14" customHeight="1">
      <c r="A350" s="15" t="n">
        <v>2007</v>
      </c>
      <c r="B350" s="45">
        <f>IF((A350&gt;=2022),ROUND(((E350*D350)/F350),1),C350)</f>
        <v/>
      </c>
      <c r="C350" s="46" t="n">
        <v>261.8</v>
      </c>
      <c r="D350" s="46" t="n"/>
      <c r="E350" s="46" t="n"/>
      <c r="F350" s="46" t="n"/>
    </row>
    <row r="351" ht="14" customHeight="1">
      <c r="A351" s="22" t="n">
        <v>2008</v>
      </c>
      <c r="B351" s="47">
        <f>IF((A351&gt;=2022),ROUND(((E351*D351)/F351),1),C351)</f>
        <v/>
      </c>
      <c r="C351" s="48" t="n">
        <v>244.4</v>
      </c>
      <c r="D351" s="48" t="n"/>
      <c r="E351" s="48" t="n"/>
      <c r="F351" s="48" t="n"/>
    </row>
    <row r="352" ht="14" customHeight="1">
      <c r="A352" s="15" t="n">
        <v>2009</v>
      </c>
      <c r="B352" s="45">
        <f>IF((A352&gt;=2022),ROUND(((E352*D352)/F352),1),C352)</f>
        <v/>
      </c>
      <c r="C352" s="46" t="n">
        <v>197.9</v>
      </c>
      <c r="D352" s="46" t="n"/>
      <c r="E352" s="46" t="n"/>
      <c r="F352" s="46" t="n"/>
    </row>
    <row r="353" ht="14" customHeight="1">
      <c r="A353" s="22" t="n">
        <v>2010</v>
      </c>
      <c r="B353" s="47">
        <f>IF((A353&gt;=2022),ROUND(((E353*D353)/F353),1),C353)</f>
        <v/>
      </c>
      <c r="C353" s="48" t="n">
        <v>185.6</v>
      </c>
      <c r="D353" s="48" t="n"/>
      <c r="E353" s="48" t="n"/>
      <c r="F353" s="48" t="n"/>
    </row>
    <row r="354" ht="14" customHeight="1">
      <c r="A354" s="15" t="n">
        <v>2011</v>
      </c>
      <c r="B354" s="45">
        <f>IF((A354&gt;=2022),ROUND(((E354*D354)/F354),1),C354)</f>
        <v/>
      </c>
      <c r="C354" s="46" t="n">
        <v>187.2</v>
      </c>
      <c r="D354" s="46" t="n"/>
      <c r="E354" s="46" t="n"/>
      <c r="F354" s="46" t="n"/>
    </row>
    <row r="355" ht="14" customHeight="1">
      <c r="A355" s="22" t="n">
        <v>2012</v>
      </c>
      <c r="B355" s="47">
        <f>IF((A355&gt;=2022),ROUND(((E355*D355)/F355),1),C355)</f>
        <v/>
      </c>
      <c r="C355" s="48" t="n">
        <v>164.7</v>
      </c>
      <c r="D355" s="48" t="n"/>
      <c r="E355" s="48" t="n"/>
      <c r="F355" s="48" t="n"/>
    </row>
    <row r="356" ht="14" customHeight="1">
      <c r="A356" s="15" t="n">
        <v>2013</v>
      </c>
      <c r="B356" s="45">
        <f>IF((A356&gt;=2022),ROUND(((E356*D356)/F356),1),C356)</f>
        <v/>
      </c>
      <c r="C356" s="46" t="n">
        <v>157</v>
      </c>
      <c r="D356" s="46" t="n"/>
      <c r="E356" s="46" t="n"/>
      <c r="F356" s="46" t="n"/>
    </row>
    <row r="357" ht="14" customHeight="1">
      <c r="A357" s="22" t="n">
        <v>2014</v>
      </c>
      <c r="B357" s="47">
        <f>IF((A357&gt;=2022),ROUND(((E357*D357)/F357),1),C357)</f>
        <v/>
      </c>
      <c r="C357" s="48" t="n">
        <v>157.5</v>
      </c>
      <c r="D357" s="48" t="n"/>
      <c r="E357" s="48" t="n"/>
      <c r="F357" s="48" t="n"/>
    </row>
    <row r="358" ht="14" customHeight="1">
      <c r="A358" s="15" t="n">
        <v>2015</v>
      </c>
      <c r="B358" s="45">
        <f>IF((A358&gt;=2022),ROUND(((E358*D358)/F358),1),C358)</f>
        <v/>
      </c>
      <c r="C358" s="46" t="n">
        <v>158.1</v>
      </c>
      <c r="D358" s="46" t="n"/>
      <c r="E358" s="46" t="n"/>
      <c r="F358" s="46" t="n"/>
    </row>
    <row r="359" ht="14" customHeight="1">
      <c r="A359" s="22" t="n">
        <v>2016</v>
      </c>
      <c r="B359" s="47">
        <f>IF((A359&gt;=2022),ROUND(((E359*D359)/F359),1),C359)</f>
        <v/>
      </c>
      <c r="C359" s="48" t="n">
        <v>159.9</v>
      </c>
      <c r="D359" s="48" t="n"/>
      <c r="E359" s="48" t="n"/>
      <c r="F359" s="48" t="n"/>
    </row>
    <row r="360" ht="14" customHeight="1">
      <c r="A360" s="15" t="n">
        <v>2017</v>
      </c>
      <c r="B360" s="45">
        <f>IF((A360&gt;=2022),ROUND(((E360*D360)/F360),1),C360)</f>
        <v/>
      </c>
      <c r="C360" s="46" t="n">
        <v>165.7</v>
      </c>
      <c r="D360" s="46" t="n"/>
      <c r="E360" s="46" t="n"/>
      <c r="F360" s="46" t="n"/>
    </row>
    <row r="361" ht="14" customHeight="1">
      <c r="A361" s="22" t="n">
        <v>2018</v>
      </c>
      <c r="B361" s="47">
        <f>IF((A361&gt;=2022),ROUND(((E361*D361)/F361),1),C361)</f>
        <v/>
      </c>
      <c r="C361" s="48" t="n">
        <v>179.8</v>
      </c>
      <c r="D361" s="48" t="n"/>
      <c r="E361" s="48" t="n"/>
      <c r="F361" s="48" t="n"/>
    </row>
    <row r="362" ht="14" customHeight="1">
      <c r="A362" s="15" t="n">
        <v>2019</v>
      </c>
      <c r="B362" s="45">
        <f>IF((A362&gt;=2022),ROUND(((E362*D362)/F362),1),C362)</f>
        <v/>
      </c>
      <c r="C362" s="46" t="n">
        <v>173.1</v>
      </c>
      <c r="D362" s="46" t="n"/>
      <c r="E362" s="46" t="n"/>
      <c r="F362" s="46" t="n"/>
    </row>
    <row r="363" ht="14" customHeight="1">
      <c r="A363" s="22" t="n">
        <v>2020</v>
      </c>
      <c r="B363" s="47">
        <f>IF((A363&gt;=2022),ROUND(((E363*D363)/F363),1),C363)</f>
        <v/>
      </c>
      <c r="C363" s="48" t="n">
        <v>172.2</v>
      </c>
      <c r="D363" s="48" t="n"/>
      <c r="E363" s="48" t="n"/>
      <c r="F363" s="48" t="n"/>
    </row>
    <row r="364" ht="14" customHeight="1">
      <c r="A364" s="15" t="n">
        <v>2021</v>
      </c>
      <c r="B364" s="45">
        <f>IF((A364&gt;=2022),ROUND(((E364*D364)/F364),1),C364)</f>
        <v/>
      </c>
      <c r="C364" s="46" t="n">
        <v>182.5</v>
      </c>
      <c r="D364" s="46" t="n"/>
      <c r="E364" s="46" t="n"/>
      <c r="F364" s="46" t="n"/>
    </row>
    <row r="365" ht="14" customHeight="1">
      <c r="A365" s="22" t="n">
        <v>2022</v>
      </c>
      <c r="B365" s="47">
        <f>IF((A365&gt;=2022),ROUND(((E365*D365)/F365),1),C365)</f>
        <v/>
      </c>
      <c r="C365" s="48" t="n"/>
      <c r="D365" s="48" t="n">
        <v>95.7</v>
      </c>
      <c r="E365" s="48" t="n">
        <v>182.5</v>
      </c>
      <c r="F365" s="48" t="n">
        <v>100</v>
      </c>
    </row>
    <row r="366" ht="14" customHeight="1">
      <c r="A366" s="15" t="n">
        <v>2023</v>
      </c>
      <c r="B366" s="45">
        <f>IF((A366&gt;=2022),ROUND(((E366*D366)/F366),1),C366)</f>
        <v/>
      </c>
      <c r="C366" s="46" t="n"/>
      <c r="D366" s="46" t="n">
        <v>88.09999999999999</v>
      </c>
      <c r="E366" s="46" t="n">
        <v>182.5</v>
      </c>
      <c r="F366" s="46" t="n">
        <v>100</v>
      </c>
    </row>
    <row r="367" ht="14" customHeight="1">
      <c r="A367" s="22" t="n">
        <v>2024</v>
      </c>
      <c r="B367" s="47">
        <f>IF((A367&gt;=2022),ROUND(((E367*D367)/F367),1),C367)</f>
        <v/>
      </c>
      <c r="C367" s="48" t="n"/>
      <c r="D367" s="48" t="n">
        <v>87.2</v>
      </c>
      <c r="E367" s="48" t="n">
        <v>182.5</v>
      </c>
      <c r="F367" s="48" t="n">
        <v>100</v>
      </c>
    </row>
    <row r="370">
      <c r="A370" s="52" t="inlineStr">
        <is>
          <t>I2 (chemicals, production) · Chemicals production (EU)  (Mt)</t>
        </is>
      </c>
    </row>
    <row r="371" ht="26" customHeight="1">
      <c r="A371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372" ht="24" customHeight="1">
      <c r="A372" s="3" t="inlineStr">
        <is>
          <t>Derivation:  Value = IF(A &gt;= 2022, ROUND([Report baseline 2021 (Mt)] * [sts_inpr_a C201] / [Live source at 2021 (same basis as the columns left)], 2), [Report figure (2024 report underlying data)])</t>
        </is>
      </c>
    </row>
    <row r="373" ht="42" customHeight="1">
      <c r="A373" s="44" t="inlineStr">
        <is>
          <t>Year</t>
        </is>
      </c>
      <c r="B373" s="44" t="inlineStr">
        <is>
          <t>Value</t>
        </is>
      </c>
      <c r="C373" s="44" t="inlineStr">
        <is>
          <t>Report figure (2024 report underlying data)</t>
        </is>
      </c>
      <c r="D373" s="44" t="inlineStr">
        <is>
          <t>sts_inpr_a C201</t>
        </is>
      </c>
      <c r="E373" s="44" t="inlineStr">
        <is>
          <t>Report baseline 2021 (Mt)</t>
        </is>
      </c>
      <c r="F373" s="44" t="inlineStr">
        <is>
          <t>Live source at 2021 (same basis as the columns left)</t>
        </is>
      </c>
    </row>
    <row r="374" ht="14" customHeight="1">
      <c r="A374" s="15" t="n">
        <v>2005</v>
      </c>
      <c r="B374" s="45">
        <f>IF((A374&gt;=2022),ROUND(((E374*D374)/F374),2),C374)</f>
        <v/>
      </c>
      <c r="C374" s="46" t="n">
        <v>33.52</v>
      </c>
      <c r="D374" s="46" t="n"/>
      <c r="E374" s="46" t="n"/>
      <c r="F374" s="46" t="n"/>
    </row>
    <row r="375" ht="14" customHeight="1">
      <c r="A375" s="22" t="n">
        <v>2006</v>
      </c>
      <c r="B375" s="47">
        <f>IF((A375&gt;=2022),ROUND(((E375*D375)/F375),2),C375)</f>
        <v/>
      </c>
      <c r="C375" s="48" t="n">
        <v>36.25</v>
      </c>
      <c r="D375" s="48" t="n"/>
      <c r="E375" s="48" t="n"/>
      <c r="F375" s="48" t="n"/>
    </row>
    <row r="376" ht="14" customHeight="1">
      <c r="A376" s="15" t="n">
        <v>2007</v>
      </c>
      <c r="B376" s="45">
        <f>IF((A376&gt;=2022),ROUND(((E376*D376)/F376),2),C376)</f>
        <v/>
      </c>
      <c r="C376" s="46" t="n">
        <v>31.12</v>
      </c>
      <c r="D376" s="46" t="n"/>
      <c r="E376" s="46" t="n"/>
      <c r="F376" s="46" t="n"/>
    </row>
    <row r="377" ht="14" customHeight="1">
      <c r="A377" s="22" t="n">
        <v>2008</v>
      </c>
      <c r="B377" s="47">
        <f>IF((A377&gt;=2022),ROUND(((E377*D377)/F377),2),C377)</f>
        <v/>
      </c>
      <c r="C377" s="48" t="n">
        <v>28.08</v>
      </c>
      <c r="D377" s="48" t="n"/>
      <c r="E377" s="48" t="n"/>
      <c r="F377" s="48" t="n"/>
    </row>
    <row r="378" ht="14" customHeight="1">
      <c r="A378" s="15" t="n">
        <v>2009</v>
      </c>
      <c r="B378" s="45">
        <f>IF((A378&gt;=2022),ROUND(((E378*D378)/F378),2),C378)</f>
        <v/>
      </c>
      <c r="C378" s="46" t="n">
        <v>30.66</v>
      </c>
      <c r="D378" s="46" t="n"/>
      <c r="E378" s="46" t="n"/>
      <c r="F378" s="46" t="n"/>
    </row>
    <row r="379" ht="14" customHeight="1">
      <c r="A379" s="22" t="n">
        <v>2010</v>
      </c>
      <c r="B379" s="47">
        <f>IF((A379&gt;=2022),ROUND(((E379*D379)/F379),2),C379)</f>
        <v/>
      </c>
      <c r="C379" s="48" t="n">
        <v>32.08</v>
      </c>
      <c r="D379" s="48" t="n"/>
      <c r="E379" s="48" t="n"/>
      <c r="F379" s="48" t="n"/>
    </row>
    <row r="380" ht="14" customHeight="1">
      <c r="A380" s="15" t="n">
        <v>2011</v>
      </c>
      <c r="B380" s="45">
        <f>IF((A380&gt;=2022),ROUND(((E380*D380)/F380),2),C380)</f>
        <v/>
      </c>
      <c r="C380" s="46" t="n">
        <v>31.2</v>
      </c>
      <c r="D380" s="46" t="n"/>
      <c r="E380" s="46" t="n"/>
      <c r="F380" s="46" t="n"/>
    </row>
    <row r="381" ht="14" customHeight="1">
      <c r="A381" s="22" t="n">
        <v>2012</v>
      </c>
      <c r="B381" s="47">
        <f>IF((A381&gt;=2022),ROUND(((E381*D381)/F381),2),C381)</f>
        <v/>
      </c>
      <c r="C381" s="48" t="n">
        <v>29.59</v>
      </c>
      <c r="D381" s="48" t="n"/>
      <c r="E381" s="48" t="n"/>
      <c r="F381" s="48" t="n"/>
    </row>
    <row r="382" ht="14" customHeight="1">
      <c r="A382" s="15" t="n">
        <v>2013</v>
      </c>
      <c r="B382" s="45">
        <f>IF((A382&gt;=2022),ROUND(((E382*D382)/F382),2),C382)</f>
        <v/>
      </c>
      <c r="C382" s="46" t="n">
        <v>30.58</v>
      </c>
      <c r="D382" s="46" t="n"/>
      <c r="E382" s="46" t="n"/>
      <c r="F382" s="46" t="n"/>
    </row>
    <row r="383" ht="14" customHeight="1">
      <c r="A383" s="22" t="n">
        <v>2014</v>
      </c>
      <c r="B383" s="47">
        <f>IF((A383&gt;=2022),ROUND(((E383*D383)/F383),2),C383)</f>
        <v/>
      </c>
      <c r="C383" s="48" t="n">
        <v>30.13</v>
      </c>
      <c r="D383" s="48" t="n"/>
      <c r="E383" s="48" t="n"/>
      <c r="F383" s="48" t="n"/>
    </row>
    <row r="384" ht="14" customHeight="1">
      <c r="A384" s="15" t="n">
        <v>2015</v>
      </c>
      <c r="B384" s="45">
        <f>IF((A384&gt;=2022),ROUND(((E384*D384)/F384),2),C384)</f>
        <v/>
      </c>
      <c r="C384" s="46" t="n">
        <v>30.14</v>
      </c>
      <c r="D384" s="46" t="n"/>
      <c r="E384" s="46" t="n"/>
      <c r="F384" s="46" t="n"/>
    </row>
    <row r="385" ht="14" customHeight="1">
      <c r="A385" s="22" t="n">
        <v>2016</v>
      </c>
      <c r="B385" s="47">
        <f>IF((A385&gt;=2022),ROUND(((E385*D385)/F385),2),C385)</f>
        <v/>
      </c>
      <c r="C385" s="48" t="n">
        <v>31.96</v>
      </c>
      <c r="D385" s="48" t="n"/>
      <c r="E385" s="48" t="n"/>
      <c r="F385" s="48" t="n"/>
    </row>
    <row r="386" ht="14" customHeight="1">
      <c r="A386" s="15" t="n">
        <v>2017</v>
      </c>
      <c r="B386" s="45">
        <f>IF((A386&gt;=2022),ROUND(((E386*D386)/F386),2),C386)</f>
        <v/>
      </c>
      <c r="C386" s="46" t="n">
        <v>29.64</v>
      </c>
      <c r="D386" s="46" t="n"/>
      <c r="E386" s="46" t="n"/>
      <c r="F386" s="46" t="n"/>
    </row>
    <row r="387" ht="14" customHeight="1">
      <c r="A387" s="22" t="n">
        <v>2018</v>
      </c>
      <c r="B387" s="47">
        <f>IF((A387&gt;=2022),ROUND(((E387*D387)/F387),2),C387)</f>
        <v/>
      </c>
      <c r="C387" s="48" t="n">
        <v>28.35</v>
      </c>
      <c r="D387" s="48" t="n"/>
      <c r="E387" s="48" t="n"/>
      <c r="F387" s="48" t="n"/>
    </row>
    <row r="388" ht="14" customHeight="1">
      <c r="A388" s="15" t="n">
        <v>2019</v>
      </c>
      <c r="B388" s="45">
        <f>IF((A388&gt;=2022),ROUND(((E388*D388)/F388),2),C388)</f>
        <v/>
      </c>
      <c r="C388" s="46" t="n">
        <v>28.01</v>
      </c>
      <c r="D388" s="46" t="n"/>
      <c r="E388" s="46" t="n"/>
      <c r="F388" s="46" t="n"/>
    </row>
    <row r="389" ht="14" customHeight="1">
      <c r="A389" s="22" t="n">
        <v>2020</v>
      </c>
      <c r="B389" s="47">
        <f>IF((A389&gt;=2022),ROUND(((E389*D389)/F389),2),C389)</f>
        <v/>
      </c>
      <c r="C389" s="48" t="n">
        <v>28.72</v>
      </c>
      <c r="D389" s="48" t="n"/>
      <c r="E389" s="48" t="n"/>
      <c r="F389" s="48" t="n"/>
    </row>
    <row r="390" ht="14" customHeight="1">
      <c r="A390" s="15" t="n">
        <v>2021</v>
      </c>
      <c r="B390" s="45">
        <f>IF((A390&gt;=2022),ROUND(((E390*D390)/F390),2),C390)</f>
        <v/>
      </c>
      <c r="C390" s="46" t="n">
        <v>26.84</v>
      </c>
      <c r="D390" s="46" t="n"/>
      <c r="E390" s="46" t="n"/>
      <c r="F390" s="46" t="n"/>
    </row>
    <row r="391" ht="14" customHeight="1">
      <c r="A391" s="22" t="n">
        <v>2022</v>
      </c>
      <c r="B391" s="47">
        <f>IF((A391&gt;=2022),ROUND(((E391*D391)/F391),2),C391)</f>
        <v/>
      </c>
      <c r="C391" s="48" t="n"/>
      <c r="D391" s="48" t="n">
        <v>94.5</v>
      </c>
      <c r="E391" s="48" t="n">
        <v>26.84</v>
      </c>
      <c r="F391" s="48" t="n">
        <v>100</v>
      </c>
    </row>
    <row r="392" ht="14" customHeight="1">
      <c r="A392" s="15" t="n">
        <v>2023</v>
      </c>
      <c r="B392" s="45">
        <f>IF((A392&gt;=2022),ROUND(((E392*D392)/F392),2),C392)</f>
        <v/>
      </c>
      <c r="C392" s="46" t="n"/>
      <c r="D392" s="46" t="n">
        <v>79.90000000000001</v>
      </c>
      <c r="E392" s="46" t="n">
        <v>26.84</v>
      </c>
      <c r="F392" s="46" t="n">
        <v>100</v>
      </c>
    </row>
    <row r="393" ht="14" customHeight="1">
      <c r="A393" s="22" t="n">
        <v>2024</v>
      </c>
      <c r="B393" s="47">
        <f>IF((A393&gt;=2022),ROUND(((E393*D393)/F393),2),C393)</f>
        <v/>
      </c>
      <c r="C393" s="48" t="n"/>
      <c r="D393" s="48" t="n">
        <v>74.09999999999999</v>
      </c>
      <c r="E393" s="48" t="n">
        <v>26.84</v>
      </c>
      <c r="F393" s="48" t="n">
        <v>100</v>
      </c>
    </row>
    <row r="394" ht="14" customHeight="1">
      <c r="A394" s="15" t="n">
        <v>2025</v>
      </c>
      <c r="B394" s="45">
        <f>IF((A394&gt;=2022),ROUND(((E394*D394)/F394),2),C394)</f>
        <v/>
      </c>
      <c r="C394" s="46" t="n"/>
      <c r="D394" s="46" t="n">
        <v>69.09999999999999</v>
      </c>
      <c r="E394" s="46" t="n">
        <v>26.84</v>
      </c>
      <c r="F394" s="46" t="n">
        <v>100</v>
      </c>
    </row>
    <row r="397">
      <c r="A397" s="52" t="inlineStr">
        <is>
          <t>I2 (steel, production) · Steel production (EU)  (Mt)</t>
        </is>
      </c>
    </row>
    <row r="398" ht="26" customHeight="1">
      <c r="A39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399" ht="24" customHeight="1">
      <c r="A399" s="3" t="inlineStr">
        <is>
          <t>Derivation:  Value = [Report figure (2024 report underlying data)]</t>
        </is>
      </c>
    </row>
    <row r="400" ht="42" customHeight="1">
      <c r="A400" s="44" t="inlineStr">
        <is>
          <t>Year</t>
        </is>
      </c>
      <c r="B400" s="44" t="inlineStr">
        <is>
          <t>Value</t>
        </is>
      </c>
      <c r="C400" s="44" t="inlineStr">
        <is>
          <t>Report figure (2024 report underlying data)</t>
        </is>
      </c>
    </row>
    <row r="401" ht="14" customHeight="1">
      <c r="A401" s="15" t="n">
        <v>2008</v>
      </c>
      <c r="B401" s="45">
        <f>C401</f>
        <v/>
      </c>
      <c r="C401" s="46" t="n">
        <v>185</v>
      </c>
    </row>
    <row r="402" ht="14" customHeight="1">
      <c r="A402" s="22" t="n">
        <v>2009</v>
      </c>
      <c r="B402" s="47">
        <f>C402</f>
        <v/>
      </c>
      <c r="C402" s="48" t="n">
        <v>129.3</v>
      </c>
    </row>
    <row r="403" ht="14" customHeight="1">
      <c r="A403" s="15" t="n">
        <v>2010</v>
      </c>
      <c r="B403" s="45">
        <f>C403</f>
        <v/>
      </c>
      <c r="C403" s="46" t="n">
        <v>163.1</v>
      </c>
    </row>
    <row r="404" ht="14" customHeight="1">
      <c r="A404" s="22" t="n">
        <v>2011</v>
      </c>
      <c r="B404" s="47">
        <f>C404</f>
        <v/>
      </c>
      <c r="C404" s="48" t="n">
        <v>168.1</v>
      </c>
    </row>
    <row r="405" ht="14" customHeight="1">
      <c r="A405" s="15" t="n">
        <v>2012</v>
      </c>
      <c r="B405" s="45">
        <f>C405</f>
        <v/>
      </c>
      <c r="C405" s="46" t="n">
        <v>159</v>
      </c>
    </row>
    <row r="406" ht="14" customHeight="1">
      <c r="A406" s="22" t="n">
        <v>2013</v>
      </c>
      <c r="B406" s="47">
        <f>C406</f>
        <v/>
      </c>
      <c r="C406" s="48" t="n">
        <v>154.3</v>
      </c>
    </row>
    <row r="407" ht="14" customHeight="1">
      <c r="A407" s="15" t="n">
        <v>2014</v>
      </c>
      <c r="B407" s="45">
        <f>C407</f>
        <v/>
      </c>
      <c r="C407" s="46" t="n">
        <v>157.1</v>
      </c>
    </row>
    <row r="408" ht="14" customHeight="1">
      <c r="A408" s="22" t="n">
        <v>2015</v>
      </c>
      <c r="B408" s="47">
        <f>C408</f>
        <v/>
      </c>
      <c r="C408" s="48" t="n">
        <v>155.1</v>
      </c>
    </row>
    <row r="409" ht="14" customHeight="1">
      <c r="A409" s="15" t="n">
        <v>2016</v>
      </c>
      <c r="B409" s="45">
        <f>C409</f>
        <v/>
      </c>
      <c r="C409" s="46" t="n">
        <v>154.3</v>
      </c>
    </row>
    <row r="410" ht="14" customHeight="1">
      <c r="A410" s="22" t="n">
        <v>2017</v>
      </c>
      <c r="B410" s="47">
        <f>C410</f>
        <v/>
      </c>
      <c r="C410" s="48" t="n">
        <v>160.9</v>
      </c>
    </row>
    <row r="411" ht="14" customHeight="1">
      <c r="A411" s="15" t="n">
        <v>2018</v>
      </c>
      <c r="B411" s="45">
        <f>C411</f>
        <v/>
      </c>
      <c r="C411" s="46" t="n">
        <v>160.1</v>
      </c>
    </row>
    <row r="412" ht="14" customHeight="1">
      <c r="A412" s="22" t="n">
        <v>2019</v>
      </c>
      <c r="B412" s="47">
        <f>C412</f>
        <v/>
      </c>
      <c r="C412" s="48" t="n">
        <v>150.2</v>
      </c>
    </row>
    <row r="413" ht="14" customHeight="1">
      <c r="A413" s="15" t="n">
        <v>2020</v>
      </c>
      <c r="B413" s="45">
        <f>C413</f>
        <v/>
      </c>
      <c r="C413" s="46" t="n">
        <v>132.2</v>
      </c>
    </row>
    <row r="414" ht="14" customHeight="1">
      <c r="A414" s="22" t="n">
        <v>2021</v>
      </c>
      <c r="B414" s="47">
        <f>C414</f>
        <v/>
      </c>
      <c r="C414" s="48" t="n">
        <v>152.8</v>
      </c>
    </row>
    <row r="415" ht="14" customHeight="1">
      <c r="A415" s="15" t="n">
        <v>2022</v>
      </c>
      <c r="B415" s="45">
        <f>C415</f>
        <v/>
      </c>
      <c r="C415" s="46" t="n">
        <v>136.3</v>
      </c>
    </row>
    <row r="416" ht="14" customHeight="1">
      <c r="A416" s="22" t="n">
        <v>2023</v>
      </c>
      <c r="B416" s="47">
        <f>C416</f>
        <v/>
      </c>
      <c r="C416" s="48" t="n">
        <v>125.9</v>
      </c>
    </row>
    <row r="417" ht="14" customHeight="1">
      <c r="A417" s="15" t="n">
        <v>2024</v>
      </c>
      <c r="B417" s="45">
        <f>C417</f>
        <v/>
      </c>
      <c r="C417" s="46" t="n">
        <v>128.8</v>
      </c>
    </row>
    <row r="418" ht="14" customHeight="1">
      <c r="A418" s="22" t="n">
        <v>2025</v>
      </c>
      <c r="B418" s="47">
        <f>C418</f>
        <v/>
      </c>
      <c r="C418" s="48" t="n">
        <v>126.2</v>
      </c>
    </row>
    <row r="421">
      <c r="A421" s="52" t="inlineStr">
        <is>
          <t>I3 · Circular material use rate (EU)  (%)</t>
        </is>
      </c>
    </row>
    <row r="422" ht="26" customHeight="1">
      <c r="A422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423" ht="24" customHeight="1">
      <c r="A423" s="3" t="inlineStr">
        <is>
          <t>Derivation:  Value = IF(A &gt;= 2022, ROUND([cei_srm030 PC], 1), ([Report figure (2024 report underlying data)]) * [fraction → % (× 100)])</t>
        </is>
      </c>
    </row>
    <row r="424" ht="42" customHeight="1">
      <c r="A424" s="44" t="inlineStr">
        <is>
          <t>Year</t>
        </is>
      </c>
      <c r="B424" s="44" t="inlineStr">
        <is>
          <t>Value</t>
        </is>
      </c>
      <c r="C424" s="44" t="inlineStr">
        <is>
          <t>Report figure (2024 report underlying data)</t>
        </is>
      </c>
      <c r="D424" s="44" t="inlineStr">
        <is>
          <t>cei_srm030 PC</t>
        </is>
      </c>
      <c r="E424" s="44" t="inlineStr">
        <is>
          <t>fraction → % (× 100)</t>
        </is>
      </c>
    </row>
    <row r="425" ht="14" customHeight="1">
      <c r="A425" s="15" t="n">
        <v>2010</v>
      </c>
      <c r="B425" s="45">
        <f>IF((A425&gt;=2022),ROUND(D425,1),(C425*E425))</f>
        <v/>
      </c>
      <c r="C425" s="46" t="n">
        <v>0.108</v>
      </c>
      <c r="D425" s="46" t="n"/>
      <c r="E425" s="46" t="n">
        <v>100</v>
      </c>
    </row>
    <row r="426" ht="14" customHeight="1">
      <c r="A426" s="22" t="n">
        <v>2011</v>
      </c>
      <c r="B426" s="47">
        <f>IF((A426&gt;=2022),ROUND(D426,1),(C426*E426))</f>
        <v/>
      </c>
      <c r="C426" s="48" t="n">
        <v>0.103</v>
      </c>
      <c r="D426" s="48" t="n"/>
      <c r="E426" s="48" t="n">
        <v>100</v>
      </c>
    </row>
    <row r="427" ht="14" customHeight="1">
      <c r="A427" s="15" t="n">
        <v>2012</v>
      </c>
      <c r="B427" s="45">
        <f>IF((A427&gt;=2022),ROUND(D427,1),(C427*E427))</f>
        <v/>
      </c>
      <c r="C427" s="46" t="n">
        <v>0.111</v>
      </c>
      <c r="D427" s="46" t="n"/>
      <c r="E427" s="46" t="n">
        <v>100</v>
      </c>
    </row>
    <row r="428" ht="14" customHeight="1">
      <c r="A428" s="22" t="n">
        <v>2013</v>
      </c>
      <c r="B428" s="47">
        <f>IF((A428&gt;=2022),ROUND(D428,1),(C428*E428))</f>
        <v/>
      </c>
      <c r="C428" s="48" t="n">
        <v>0.113</v>
      </c>
      <c r="D428" s="48" t="n"/>
      <c r="E428" s="48" t="n">
        <v>100</v>
      </c>
    </row>
    <row r="429" ht="14" customHeight="1">
      <c r="A429" s="15" t="n">
        <v>2014</v>
      </c>
      <c r="B429" s="45">
        <f>IF((A429&gt;=2022),ROUND(D429,1),(C429*E429))</f>
        <v/>
      </c>
      <c r="C429" s="46" t="n">
        <v>0.112</v>
      </c>
      <c r="D429" s="46" t="n"/>
      <c r="E429" s="46" t="n">
        <v>100</v>
      </c>
    </row>
    <row r="430" ht="14" customHeight="1">
      <c r="A430" s="22" t="n">
        <v>2015</v>
      </c>
      <c r="B430" s="47">
        <f>IF((A430&gt;=2022),ROUND(D430,1),(C430*E430))</f>
        <v/>
      </c>
      <c r="C430" s="48" t="n">
        <v>0.113</v>
      </c>
      <c r="D430" s="48" t="n"/>
      <c r="E430" s="48" t="n">
        <v>100</v>
      </c>
    </row>
    <row r="431" ht="14" customHeight="1">
      <c r="A431" s="15" t="n">
        <v>2016</v>
      </c>
      <c r="B431" s="45">
        <f>IF((A431&gt;=2022),ROUND(D431,1),(C431*E431))</f>
        <v/>
      </c>
      <c r="C431" s="46" t="n">
        <v>0.115</v>
      </c>
      <c r="D431" s="46" t="n"/>
      <c r="E431" s="46" t="n">
        <v>100</v>
      </c>
    </row>
    <row r="432" ht="14" customHeight="1">
      <c r="A432" s="22" t="n">
        <v>2017</v>
      </c>
      <c r="B432" s="47">
        <f>IF((A432&gt;=2022),ROUND(D432,1),(C432*E432))</f>
        <v/>
      </c>
      <c r="C432" s="48" t="n">
        <v>0.115</v>
      </c>
      <c r="D432" s="48" t="n"/>
      <c r="E432" s="48" t="n">
        <v>100</v>
      </c>
    </row>
    <row r="433" ht="14" customHeight="1">
      <c r="A433" s="15" t="n">
        <v>2018</v>
      </c>
      <c r="B433" s="45">
        <f>IF((A433&gt;=2022),ROUND(D433,1),(C433*E433))</f>
        <v/>
      </c>
      <c r="C433" s="46" t="n">
        <v>0.117</v>
      </c>
      <c r="D433" s="46" t="n"/>
      <c r="E433" s="46" t="n">
        <v>100</v>
      </c>
    </row>
    <row r="434" ht="14" customHeight="1">
      <c r="A434" s="22" t="n">
        <v>2019</v>
      </c>
      <c r="B434" s="47">
        <f>IF((A434&gt;=2022),ROUND(D434,1),(C434*E434))</f>
        <v/>
      </c>
      <c r="C434" s="48" t="n">
        <v>0.12</v>
      </c>
      <c r="D434" s="48" t="n"/>
      <c r="E434" s="48" t="n">
        <v>100</v>
      </c>
    </row>
    <row r="435" ht="14" customHeight="1">
      <c r="A435" s="15" t="n">
        <v>2020</v>
      </c>
      <c r="B435" s="45">
        <f>IF((A435&gt;=2022),ROUND(D435,1),(C435*E435))</f>
        <v/>
      </c>
      <c r="C435" s="46" t="n">
        <v>0.117</v>
      </c>
      <c r="D435" s="46" t="n"/>
      <c r="E435" s="46" t="n">
        <v>100</v>
      </c>
    </row>
    <row r="436" ht="14" customHeight="1">
      <c r="A436" s="22" t="n">
        <v>2021</v>
      </c>
      <c r="B436" s="47">
        <f>IF((A436&gt;=2022),ROUND(D436,1),(C436*E436))</f>
        <v/>
      </c>
      <c r="C436" s="48" t="n">
        <v>0.117</v>
      </c>
      <c r="D436" s="48" t="n"/>
      <c r="E436" s="48" t="n">
        <v>100</v>
      </c>
    </row>
    <row r="437" ht="14" customHeight="1">
      <c r="A437" s="15" t="n">
        <v>2022</v>
      </c>
      <c r="B437" s="45">
        <f>IF((A437&gt;=2022),ROUND(D437,1),(C437*E437))</f>
        <v/>
      </c>
      <c r="C437" s="46" t="n"/>
      <c r="D437" s="46" t="n">
        <v>11.4</v>
      </c>
      <c r="E437" s="46" t="n">
        <v>100</v>
      </c>
    </row>
    <row r="438" ht="14" customHeight="1">
      <c r="A438" s="22" t="n">
        <v>2023</v>
      </c>
      <c r="B438" s="47">
        <f>IF((A438&gt;=2022),ROUND(D438,1),(C438*E438))</f>
        <v/>
      </c>
      <c r="C438" s="48" t="n"/>
      <c r="D438" s="48" t="n">
        <v>12.1</v>
      </c>
      <c r="E438" s="48" t="n">
        <v>100</v>
      </c>
    </row>
    <row r="439" ht="14" customHeight="1">
      <c r="A439" s="15" t="n">
        <v>2024</v>
      </c>
      <c r="B439" s="45">
        <f>IF((A439&gt;=2022),ROUND(D439,1),(C439*E439))</f>
        <v/>
      </c>
      <c r="C439" s="46" t="n"/>
      <c r="D439" s="46" t="n">
        <v>12.2</v>
      </c>
      <c r="E439" s="46" t="n">
        <v>100</v>
      </c>
    </row>
    <row r="442">
      <c r="A442" s="52" t="inlineStr">
        <is>
          <t>I4 (cement) · GHG intensity of EU cement production  (t CO₂eq/t)</t>
        </is>
      </c>
    </row>
    <row r="443" ht="26" customHeight="1">
      <c r="A443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444" ht="24" customHeight="1">
      <c r="A444" s="3" t="inlineStr">
        <is>
          <t>Derivation:  Value = [Total emissions (Mt CO2e)] / [Production (Mt)]</t>
        </is>
      </c>
    </row>
    <row r="445" ht="42" customHeight="1">
      <c r="A445" s="44" t="inlineStr">
        <is>
          <t>Year</t>
        </is>
      </c>
      <c r="B445" s="44" t="inlineStr">
        <is>
          <t>Value</t>
        </is>
      </c>
      <c r="C445" s="44" t="inlineStr">
        <is>
          <t>Total emissions (Mt CO2e)</t>
        </is>
      </c>
      <c r="D445" s="44" t="inlineStr">
        <is>
          <t>Production (Mt)</t>
        </is>
      </c>
    </row>
    <row r="446" ht="14" customHeight="1">
      <c r="A446" s="15" t="n">
        <v>2005</v>
      </c>
      <c r="B446" s="45">
        <f>(C446/D446)</f>
        <v/>
      </c>
      <c r="C446" s="46" t="n">
        <v>143.411945</v>
      </c>
      <c r="D446" s="46" t="n">
        <v>239.527</v>
      </c>
    </row>
    <row r="447" ht="14" customHeight="1">
      <c r="A447" s="22" t="n">
        <v>2006</v>
      </c>
      <c r="B447" s="47">
        <f>(C447/D447)</f>
        <v/>
      </c>
      <c r="C447" s="48" t="n">
        <v>147.152606</v>
      </c>
      <c r="D447" s="48" t="n">
        <v>256.169</v>
      </c>
    </row>
    <row r="448" ht="14" customHeight="1">
      <c r="A448" s="15" t="n">
        <v>2007</v>
      </c>
      <c r="B448" s="45">
        <f>(C448/D448)</f>
        <v/>
      </c>
      <c r="C448" s="46" t="n">
        <v>163.114981</v>
      </c>
      <c r="D448" s="46" t="n">
        <v>261.812</v>
      </c>
    </row>
    <row r="449" ht="14" customHeight="1">
      <c r="A449" s="22" t="n">
        <v>2008</v>
      </c>
      <c r="B449" s="47">
        <f>(C449/D449)</f>
        <v/>
      </c>
      <c r="C449" s="48" t="n">
        <v>150.489906</v>
      </c>
      <c r="D449" s="48" t="n">
        <v>244.355</v>
      </c>
    </row>
    <row r="450" ht="14" customHeight="1">
      <c r="A450" s="15" t="n">
        <v>2009</v>
      </c>
      <c r="B450" s="45">
        <f>(C450/D450)</f>
        <v/>
      </c>
      <c r="C450" s="46" t="n">
        <v>121.311887</v>
      </c>
      <c r="D450" s="46" t="n">
        <v>197.892</v>
      </c>
    </row>
    <row r="451" ht="14" customHeight="1">
      <c r="A451" s="22" t="n">
        <v>2010</v>
      </c>
      <c r="B451" s="47">
        <f>(C451/D451)</f>
        <v/>
      </c>
      <c r="C451" s="48" t="n">
        <v>119.341118</v>
      </c>
      <c r="D451" s="48" t="n">
        <v>185.623</v>
      </c>
    </row>
    <row r="452" ht="14" customHeight="1">
      <c r="A452" s="15" t="n">
        <v>2011</v>
      </c>
      <c r="B452" s="45">
        <f>(C452/D452)</f>
        <v/>
      </c>
      <c r="C452" s="46" t="n">
        <v>116.976625</v>
      </c>
      <c r="D452" s="46" t="n">
        <v>187.216</v>
      </c>
    </row>
    <row r="453" ht="14" customHeight="1">
      <c r="A453" s="22" t="n">
        <v>2012</v>
      </c>
      <c r="B453" s="47">
        <f>(C453/D453)</f>
        <v/>
      </c>
      <c r="C453" s="48" t="n">
        <v>109.895055</v>
      </c>
      <c r="D453" s="48" t="n">
        <v>164.687</v>
      </c>
    </row>
    <row r="454" ht="14" customHeight="1">
      <c r="A454" s="15" t="n">
        <v>2013</v>
      </c>
      <c r="B454" s="45">
        <f>(C454/D454)</f>
        <v/>
      </c>
      <c r="C454" s="46" t="n">
        <v>105.817395</v>
      </c>
      <c r="D454" s="46" t="n">
        <v>156.994</v>
      </c>
    </row>
    <row r="455" ht="14" customHeight="1">
      <c r="A455" s="22" t="n">
        <v>2014</v>
      </c>
      <c r="B455" s="47">
        <f>(C455/D455)</f>
        <v/>
      </c>
      <c r="C455" s="48" t="n">
        <v>110.73125</v>
      </c>
      <c r="D455" s="48" t="n">
        <v>157.525</v>
      </c>
    </row>
    <row r="456" ht="14" customHeight="1">
      <c r="A456" s="15" t="n">
        <v>2015</v>
      </c>
      <c r="B456" s="45">
        <f>(C456/D456)</f>
        <v/>
      </c>
      <c r="C456" s="46" t="n">
        <v>109.014028</v>
      </c>
      <c r="D456" s="46" t="n">
        <v>158.108</v>
      </c>
    </row>
    <row r="457" ht="14" customHeight="1">
      <c r="A457" s="22" t="n">
        <v>2016</v>
      </c>
      <c r="B457" s="47">
        <f>(C457/D457)</f>
        <v/>
      </c>
      <c r="C457" s="48" t="n">
        <v>109.109779</v>
      </c>
      <c r="D457" s="48" t="n">
        <v>159.874</v>
      </c>
    </row>
    <row r="458" ht="14" customHeight="1">
      <c r="A458" s="15" t="n">
        <v>2017</v>
      </c>
      <c r="B458" s="45">
        <f>(C458/D458)</f>
        <v/>
      </c>
      <c r="C458" s="46" t="n">
        <v>111.867166</v>
      </c>
      <c r="D458" s="46" t="n">
        <v>165.694</v>
      </c>
    </row>
    <row r="459" ht="14" customHeight="1">
      <c r="A459" s="22" t="n">
        <v>2018</v>
      </c>
      <c r="B459" s="47">
        <f>(C459/D459)</f>
        <v/>
      </c>
      <c r="C459" s="48" t="n">
        <v>113.695574</v>
      </c>
      <c r="D459" s="48" t="n">
        <v>179.792</v>
      </c>
    </row>
    <row r="460" ht="14" customHeight="1">
      <c r="A460" s="15" t="n">
        <v>2019</v>
      </c>
      <c r="B460" s="45">
        <f>(C460/D460)</f>
        <v/>
      </c>
      <c r="C460" s="46" t="n">
        <v>113.098703</v>
      </c>
      <c r="D460" s="46" t="n">
        <v>173.053</v>
      </c>
    </row>
    <row r="461" ht="14" customHeight="1">
      <c r="A461" s="22" t="n">
        <v>2020</v>
      </c>
      <c r="B461" s="47">
        <f>(C461/D461)</f>
        <v/>
      </c>
      <c r="C461" s="48" t="n">
        <v>107.416447</v>
      </c>
      <c r="D461" s="48" t="n">
        <v>172.231</v>
      </c>
    </row>
    <row r="462" ht="14" customHeight="1">
      <c r="A462" s="15" t="n">
        <v>2021</v>
      </c>
      <c r="B462" s="45">
        <f>(C462/D462)</f>
        <v/>
      </c>
      <c r="C462" s="46" t="n">
        <v>110.223272</v>
      </c>
      <c r="D462" s="46" t="n">
        <v>182.549</v>
      </c>
    </row>
    <row r="465">
      <c r="A465" s="52" t="inlineStr">
        <is>
          <t>I4 (chemicals) · GHG intensity of EU base organic chemicals  (t CO₂eq/t)</t>
        </is>
      </c>
    </row>
    <row r="466" ht="26" customHeight="1">
      <c r="A466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467" ht="24" customHeight="1">
      <c r="A467" s="3" t="inlineStr">
        <is>
          <t>Derivation:  Value = [Total emissions (Mt CO2e)]/([Production - ethylene (Mt)]+[Production - propylene (Mt)]+[Production - aromatics (Mt)])</t>
        </is>
      </c>
    </row>
    <row r="468" ht="42" customHeight="1">
      <c r="A468" s="44" t="inlineStr">
        <is>
          <t>Year</t>
        </is>
      </c>
      <c r="B468" s="44" t="inlineStr">
        <is>
          <t>Value</t>
        </is>
      </c>
      <c r="C468" s="44" t="inlineStr">
        <is>
          <t>Production - ethylene (Mt)</t>
        </is>
      </c>
      <c r="D468" s="44" t="inlineStr">
        <is>
          <t>Production - propylene (Mt)</t>
        </is>
      </c>
      <c r="E468" s="44" t="inlineStr">
        <is>
          <t>Production - aromatics (Mt)</t>
        </is>
      </c>
      <c r="F468" s="44" t="inlineStr">
        <is>
          <t>Total emissions (Mt CO2e)</t>
        </is>
      </c>
    </row>
    <row r="469" ht="14" customHeight="1">
      <c r="A469" s="15" t="n">
        <v>2013</v>
      </c>
      <c r="B469" s="45">
        <f>(F469/((C469+D469)+E469))</f>
        <v/>
      </c>
      <c r="C469" s="46" t="n">
        <v>16.096332642</v>
      </c>
      <c r="D469" s="46" t="n">
        <v>12.935620514</v>
      </c>
      <c r="E469" s="46" t="n">
        <v>12.531401634</v>
      </c>
      <c r="F469" s="46" t="n">
        <v>33.431033</v>
      </c>
    </row>
    <row r="470" ht="14" customHeight="1">
      <c r="A470" s="22" t="n">
        <v>2014</v>
      </c>
      <c r="B470" s="47">
        <f>(F470/((C470+D470)+E470))</f>
        <v/>
      </c>
      <c r="C470" s="48" t="n">
        <v>19.039978442</v>
      </c>
      <c r="D470" s="48" t="n">
        <v>13.387043378</v>
      </c>
      <c r="E470" s="48" t="n">
        <v>13.196808848</v>
      </c>
      <c r="F470" s="48" t="n">
        <v>33.366782</v>
      </c>
    </row>
    <row r="471" ht="14" customHeight="1">
      <c r="A471" s="15" t="n">
        <v>2015</v>
      </c>
      <c r="B471" s="45">
        <f>(F471/((C471+D471)+E471))</f>
        <v/>
      </c>
      <c r="C471" s="46" t="n">
        <v>17.404165881</v>
      </c>
      <c r="D471" s="46" t="n">
        <v>12.872032557</v>
      </c>
      <c r="E471" s="46" t="n">
        <v>12.395655828</v>
      </c>
      <c r="F471" s="46" t="n">
        <v>33.600201</v>
      </c>
    </row>
    <row r="472" ht="14" customHeight="1">
      <c r="A472" s="22" t="n">
        <v>2016</v>
      </c>
      <c r="B472" s="47">
        <f>(F472/((C472+D472)+E472))</f>
        <v/>
      </c>
      <c r="C472" s="48" t="n">
        <v>18.037565013</v>
      </c>
      <c r="D472" s="48" t="n">
        <v>12.929713739</v>
      </c>
      <c r="E472" s="48" t="n">
        <v>13.49189806</v>
      </c>
      <c r="F472" s="48" t="n">
        <v>33.407365</v>
      </c>
    </row>
    <row r="473" ht="14" customHeight="1">
      <c r="A473" s="15" t="n">
        <v>2017</v>
      </c>
      <c r="B473" s="45">
        <f>(F473/((C473+D473)+E473))</f>
        <v/>
      </c>
      <c r="C473" s="46" t="n">
        <v>18</v>
      </c>
      <c r="D473" s="46" t="n">
        <v>13.1281964</v>
      </c>
      <c r="E473" s="46" t="n">
        <v>12.520337042</v>
      </c>
      <c r="F473" s="46" t="n">
        <v>34.007494</v>
      </c>
    </row>
    <row r="474" ht="14" customHeight="1">
      <c r="A474" s="22" t="n">
        <v>2018</v>
      </c>
      <c r="B474" s="47">
        <f>(F474/((C474+D474)+E474))</f>
        <v/>
      </c>
      <c r="C474" s="48" t="n">
        <v>17.439047298</v>
      </c>
      <c r="D474" s="48" t="n">
        <v>12.756552859</v>
      </c>
      <c r="E474" s="48" t="n">
        <v>12.625467331</v>
      </c>
      <c r="F474" s="48" t="n">
        <v>33.84863</v>
      </c>
    </row>
    <row r="475" ht="14" customHeight="1">
      <c r="A475" s="15" t="n">
        <v>2019</v>
      </c>
      <c r="B475" s="45">
        <f>(F475/((C475+D475)+E475))</f>
        <v/>
      </c>
      <c r="C475" s="46" t="n">
        <v>16.628416309</v>
      </c>
      <c r="D475" s="46" t="n">
        <v>12.435085625</v>
      </c>
      <c r="E475" s="46" t="n">
        <v>12.585374759</v>
      </c>
      <c r="F475" s="46" t="n">
        <v>31.999661</v>
      </c>
    </row>
    <row r="476" ht="14" customHeight="1">
      <c r="A476" s="22" t="n">
        <v>2020</v>
      </c>
      <c r="B476" s="47">
        <f>(F476/((C476+D476)+E476))</f>
        <v/>
      </c>
      <c r="C476" s="48" t="n">
        <v>16.477749296</v>
      </c>
      <c r="D476" s="48" t="n">
        <v>11.59056535</v>
      </c>
      <c r="E476" s="48" t="n">
        <v>12.373500889</v>
      </c>
      <c r="F476" s="48" t="n">
        <v>31.866199</v>
      </c>
    </row>
    <row r="477" ht="14" customHeight="1">
      <c r="A477" s="15" t="n">
        <v>2021</v>
      </c>
      <c r="B477" s="45">
        <f>(F477/((C477+D477)+E477))</f>
        <v/>
      </c>
      <c r="C477" s="46" t="n">
        <v>15.649568262</v>
      </c>
      <c r="D477" s="46" t="n">
        <v>12.109003905</v>
      </c>
      <c r="E477" s="46" t="n">
        <v>11.427169717</v>
      </c>
      <c r="F477" s="46" t="n">
        <v>33.952083</v>
      </c>
    </row>
    <row r="478" ht="14" customHeight="1">
      <c r="A478" s="22" t="n">
        <v>2022</v>
      </c>
      <c r="B478" s="47">
        <f>(F478/((C478+D478)+E478))</f>
        <v/>
      </c>
      <c r="C478" s="48" t="n">
        <v>13.558041401</v>
      </c>
      <c r="D478" s="48" t="n">
        <v>11.168238016</v>
      </c>
      <c r="E478" s="48" t="n">
        <v>12.77828695</v>
      </c>
      <c r="F478" s="48" t="n">
        <v>28.767537</v>
      </c>
    </row>
    <row r="481">
      <c r="A481" s="52" t="inlineStr">
        <is>
          <t>I4 (steel) · GHG intensity of EU steel production  (t CO₂eq/t)</t>
        </is>
      </c>
    </row>
    <row r="482" ht="26" customHeight="1">
      <c r="A482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483" ht="24" customHeight="1">
      <c r="A483" s="3" t="inlineStr">
        <is>
          <t>Derivation:  Value = [Total emissions (Mt CO2e)] / [Production (Mt)]</t>
        </is>
      </c>
    </row>
    <row r="484" ht="42" customHeight="1">
      <c r="A484" s="44" t="inlineStr">
        <is>
          <t>Year</t>
        </is>
      </c>
      <c r="B484" s="44" t="inlineStr">
        <is>
          <t>Value</t>
        </is>
      </c>
      <c r="C484" s="44" t="inlineStr">
        <is>
          <t>Total emissions (Mt CO2e)</t>
        </is>
      </c>
      <c r="D484" s="44" t="inlineStr">
        <is>
          <t>Production (Mt)</t>
        </is>
      </c>
    </row>
    <row r="485" ht="14" customHeight="1">
      <c r="A485" s="15" t="n">
        <v>2008</v>
      </c>
      <c r="B485" s="45">
        <f>(C485/D485)</f>
        <v/>
      </c>
      <c r="C485" s="46" t="n">
        <v>186.8382758480767</v>
      </c>
      <c r="D485" s="46" t="n">
        <v>185.032243</v>
      </c>
    </row>
    <row r="486" ht="14" customHeight="1">
      <c r="A486" s="22" t="n">
        <v>2009</v>
      </c>
      <c r="B486" s="47">
        <f>(C486/D486)</f>
        <v/>
      </c>
      <c r="C486" s="48" t="n">
        <v>129.5768358417838</v>
      </c>
      <c r="D486" s="48" t="n">
        <v>129.269782</v>
      </c>
    </row>
    <row r="487" ht="14" customHeight="1">
      <c r="A487" s="15" t="n">
        <v>2010</v>
      </c>
      <c r="B487" s="45">
        <f>(C487/D487)</f>
        <v/>
      </c>
      <c r="C487" s="46" t="n">
        <v>162.1331940215793</v>
      </c>
      <c r="D487" s="46" t="n">
        <v>163.076525</v>
      </c>
    </row>
    <row r="488" ht="14" customHeight="1">
      <c r="A488" s="22" t="n">
        <v>2011</v>
      </c>
      <c r="B488" s="47">
        <f>(C488/D488)</f>
        <v/>
      </c>
      <c r="C488" s="48" t="n">
        <v>158.7809530723384</v>
      </c>
      <c r="D488" s="48" t="n">
        <v>168.097821</v>
      </c>
    </row>
    <row r="489" ht="14" customHeight="1">
      <c r="A489" s="15" t="n">
        <v>2012</v>
      </c>
      <c r="B489" s="45">
        <f>(C489/D489)</f>
        <v/>
      </c>
      <c r="C489" s="46" t="n">
        <v>149.0026362865171</v>
      </c>
      <c r="D489" s="46" t="n">
        <v>159.003433</v>
      </c>
    </row>
    <row r="490" ht="14" customHeight="1">
      <c r="A490" s="22" t="n">
        <v>2013</v>
      </c>
      <c r="B490" s="47">
        <f>(C490/D490)</f>
        <v/>
      </c>
      <c r="C490" s="48" t="n">
        <v>146.586416374428</v>
      </c>
      <c r="D490" s="48" t="n">
        <v>154.317674</v>
      </c>
    </row>
    <row r="491" ht="14" customHeight="1">
      <c r="A491" s="15" t="n">
        <v>2014</v>
      </c>
      <c r="B491" s="45">
        <f>(C491/D491)</f>
        <v/>
      </c>
      <c r="C491" s="46" t="n">
        <v>147.2997027575827</v>
      </c>
      <c r="D491" s="46" t="n">
        <v>157.064957</v>
      </c>
    </row>
    <row r="492" ht="14" customHeight="1">
      <c r="A492" s="22" t="n">
        <v>2015</v>
      </c>
      <c r="B492" s="47">
        <f>(C492/D492)</f>
        <v/>
      </c>
      <c r="C492" s="48" t="n">
        <v>153.1271909130792</v>
      </c>
      <c r="D492" s="48" t="n">
        <v>155.128732</v>
      </c>
    </row>
    <row r="493" ht="14" customHeight="1">
      <c r="A493" s="15" t="n">
        <v>2016</v>
      </c>
      <c r="B493" s="45">
        <f>(C493/D493)</f>
        <v/>
      </c>
      <c r="C493" s="46" t="n">
        <v>152.1489918490869</v>
      </c>
      <c r="D493" s="46" t="n">
        <v>154.297811</v>
      </c>
    </row>
    <row r="494" ht="14" customHeight="1">
      <c r="A494" s="22" t="n">
        <v>2017</v>
      </c>
      <c r="B494" s="47">
        <f>(C494/D494)</f>
        <v/>
      </c>
      <c r="C494" s="48" t="n">
        <v>155.3325935740678</v>
      </c>
      <c r="D494" s="48" t="n">
        <v>160.86903</v>
      </c>
    </row>
    <row r="495" ht="14" customHeight="1">
      <c r="A495" s="15" t="n">
        <v>2018</v>
      </c>
      <c r="B495" s="45">
        <f>(C495/D495)</f>
        <v/>
      </c>
      <c r="C495" s="46" t="n">
        <v>152.4799965457901</v>
      </c>
      <c r="D495" s="46" t="n">
        <v>160.065756</v>
      </c>
    </row>
    <row r="496" ht="14" customHeight="1">
      <c r="A496" s="22" t="n">
        <v>2019</v>
      </c>
      <c r="B496" s="47">
        <f>(C496/D496)</f>
        <v/>
      </c>
      <c r="C496" s="48" t="n">
        <v>145.3634162968443</v>
      </c>
      <c r="D496" s="48" t="n">
        <v>150.244445</v>
      </c>
    </row>
    <row r="497" ht="14" customHeight="1">
      <c r="A497" s="15" t="n">
        <v>2020</v>
      </c>
      <c r="B497" s="45">
        <f>(C497/D497)</f>
        <v/>
      </c>
      <c r="C497" s="46" t="n">
        <v>126.9939537901522</v>
      </c>
      <c r="D497" s="46" t="n">
        <v>132.217258</v>
      </c>
    </row>
    <row r="498" ht="14" customHeight="1">
      <c r="A498" s="22" t="n">
        <v>2021</v>
      </c>
      <c r="B498" s="47">
        <f>(C498/D498)</f>
        <v/>
      </c>
      <c r="C498" s="48" t="n">
        <v>147.0148549664122</v>
      </c>
      <c r="D498" s="48" t="n">
        <v>152.782083</v>
      </c>
    </row>
    <row r="501">
      <c r="A501" s="52" t="inlineStr">
        <is>
          <t>I5 · Industrial final energy consumption (EU)  (TWh)</t>
        </is>
      </c>
    </row>
    <row r="502" ht="26" customHeight="1">
      <c r="A502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503" ht="24" customHeight="1">
      <c r="A503" s="3" t="inlineStr">
        <is>
          <t>Derivation:  Value = [Total]*(11.630000000000003)</t>
        </is>
      </c>
    </row>
    <row r="504" ht="42" customHeight="1">
      <c r="A504" s="44" t="inlineStr">
        <is>
          <t>Year</t>
        </is>
      </c>
      <c r="B504" s="44" t="inlineStr">
        <is>
          <t>Value</t>
        </is>
      </c>
      <c r="C504" s="44" t="inlineStr">
        <is>
          <t>Total</t>
        </is>
      </c>
    </row>
    <row r="505" ht="14" customHeight="1">
      <c r="A505" s="15" t="n">
        <v>2005</v>
      </c>
      <c r="B505" s="45">
        <f>(C505*11.630000000000003)</f>
        <v/>
      </c>
      <c r="C505" s="46" t="n">
        <v>275.125254</v>
      </c>
    </row>
    <row r="506" ht="14" customHeight="1">
      <c r="A506" s="22" t="n">
        <v>2006</v>
      </c>
      <c r="B506" s="47">
        <f>(C506*11.630000000000003)</f>
        <v/>
      </c>
      <c r="C506" s="48" t="n">
        <v>269.576383</v>
      </c>
    </row>
    <row r="507" ht="14" customHeight="1">
      <c r="A507" s="15" t="n">
        <v>2007</v>
      </c>
      <c r="B507" s="45">
        <f>(C507*11.630000000000003)</f>
        <v/>
      </c>
      <c r="C507" s="46" t="n">
        <v>274.275846</v>
      </c>
    </row>
    <row r="508" ht="14" customHeight="1">
      <c r="A508" s="22" t="n">
        <v>2008</v>
      </c>
      <c r="B508" s="47">
        <f>(C508*11.630000000000003)</f>
        <v/>
      </c>
      <c r="C508" s="48" t="n">
        <v>265.108074</v>
      </c>
    </row>
    <row r="509" ht="14" customHeight="1">
      <c r="A509" s="15" t="n">
        <v>2009</v>
      </c>
      <c r="B509" s="45">
        <f>(C509*11.630000000000003)</f>
        <v/>
      </c>
      <c r="C509" s="46" t="n">
        <v>229.18046</v>
      </c>
    </row>
    <row r="510" ht="14" customHeight="1">
      <c r="A510" s="22" t="n">
        <v>2010</v>
      </c>
      <c r="B510" s="47">
        <f>(C510*11.630000000000003)</f>
        <v/>
      </c>
      <c r="C510" s="48" t="n">
        <v>243.873111</v>
      </c>
    </row>
    <row r="511" ht="14" customHeight="1">
      <c r="A511" s="15" t="n">
        <v>2011</v>
      </c>
      <c r="B511" s="45">
        <f>(C511*11.630000000000003)</f>
        <v/>
      </c>
      <c r="C511" s="46" t="n">
        <v>244.295556</v>
      </c>
    </row>
    <row r="512" ht="14" customHeight="1">
      <c r="A512" s="22" t="n">
        <v>2012</v>
      </c>
      <c r="B512" s="47">
        <f>(C512*11.630000000000003)</f>
        <v/>
      </c>
      <c r="C512" s="48" t="n">
        <v>239.702695</v>
      </c>
    </row>
    <row r="513" ht="14" customHeight="1">
      <c r="A513" s="15" t="n">
        <v>2013</v>
      </c>
      <c r="B513" s="45">
        <f>(C513*11.630000000000003)</f>
        <v/>
      </c>
      <c r="C513" s="46" t="n">
        <v>236.748516</v>
      </c>
    </row>
    <row r="514" ht="14" customHeight="1">
      <c r="A514" s="22" t="n">
        <v>2014</v>
      </c>
      <c r="B514" s="47">
        <f>(C514*11.630000000000003)</f>
        <v/>
      </c>
      <c r="C514" s="48" t="n">
        <v>233.297767</v>
      </c>
    </row>
    <row r="515" ht="14" customHeight="1">
      <c r="A515" s="15" t="n">
        <v>2015</v>
      </c>
      <c r="B515" s="45">
        <f>(C515*11.630000000000003)</f>
        <v/>
      </c>
      <c r="C515" s="46" t="n">
        <v>233.507663</v>
      </c>
    </row>
    <row r="516" ht="14" customHeight="1">
      <c r="A516" s="22" t="n">
        <v>2016</v>
      </c>
      <c r="B516" s="47">
        <f>(C516*11.630000000000003)</f>
        <v/>
      </c>
      <c r="C516" s="48" t="n">
        <v>237.799203</v>
      </c>
    </row>
    <row r="517" ht="14" customHeight="1">
      <c r="A517" s="15" t="n">
        <v>2017</v>
      </c>
      <c r="B517" s="45">
        <f>(C517*11.630000000000003)</f>
        <v/>
      </c>
      <c r="C517" s="46" t="n">
        <v>240.063508</v>
      </c>
    </row>
    <row r="518" ht="14" customHeight="1">
      <c r="A518" s="22" t="n">
        <v>2018</v>
      </c>
      <c r="B518" s="47">
        <f>(C518*11.630000000000003)</f>
        <v/>
      </c>
      <c r="C518" s="48" t="n">
        <v>242.46632</v>
      </c>
    </row>
    <row r="519" ht="14" customHeight="1">
      <c r="A519" s="15" t="n">
        <v>2019</v>
      </c>
      <c r="B519" s="45">
        <f>(C519*11.630000000000003)</f>
        <v/>
      </c>
      <c r="C519" s="46" t="n">
        <v>239.239595</v>
      </c>
    </row>
    <row r="520" ht="14" customHeight="1">
      <c r="A520" s="22" t="n">
        <v>2020</v>
      </c>
      <c r="B520" s="47">
        <f>(C520*11.630000000000003)</f>
        <v/>
      </c>
      <c r="C520" s="48" t="n">
        <v>230.923308</v>
      </c>
    </row>
    <row r="521" ht="14" customHeight="1">
      <c r="A521" s="15" t="n">
        <v>2021</v>
      </c>
      <c r="B521" s="45">
        <f>(C521*11.630000000000003)</f>
        <v/>
      </c>
      <c r="C521" s="46" t="n">
        <v>240.343849</v>
      </c>
    </row>
    <row r="522" ht="14" customHeight="1">
      <c r="A522" s="22" t="n">
        <v>2022</v>
      </c>
      <c r="B522" s="47">
        <f>(C522*11.630000000000003)</f>
        <v/>
      </c>
      <c r="C522" s="48" t="n">
        <v>225.9501289767842</v>
      </c>
    </row>
    <row r="523" ht="14" customHeight="1">
      <c r="A523" s="15" t="n">
        <v>2023</v>
      </c>
      <c r="B523" s="45">
        <f>(C523*11.630000000000003)</f>
        <v/>
      </c>
      <c r="C523" s="46" t="n">
        <v>214.7205503009458</v>
      </c>
    </row>
    <row r="526">
      <c r="A526" s="52" t="inlineStr">
        <is>
          <t>I6 · Electricity share of industrial final energy use  (%)</t>
        </is>
      </c>
    </row>
    <row r="527" ht="26" customHeight="1">
      <c r="A527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528" ht="22" customHeight="1">
      <c r="A528" s="3" t="inlineStr">
        <is>
          <t>Refreshed for 2022, 2023: Electricity (raw input), Total</t>
        </is>
      </c>
    </row>
    <row r="529" ht="24" customHeight="1">
      <c r="A529" s="3" t="inlineStr">
        <is>
          <t>Derivation:  Value = ([electricity]/[Total energy use]) * [fraction → % (× 100)]</t>
        </is>
      </c>
    </row>
    <row r="530" ht="42" customHeight="1">
      <c r="A530" s="44" t="inlineStr">
        <is>
          <t>Year</t>
        </is>
      </c>
      <c r="B530" s="44" t="inlineStr">
        <is>
          <t>Value</t>
        </is>
      </c>
      <c r="C530" s="44" t="inlineStr">
        <is>
          <t>electricity</t>
        </is>
      </c>
      <c r="D530" s="44" t="inlineStr">
        <is>
          <t>Total energy use</t>
        </is>
      </c>
      <c r="E530" s="44" t="inlineStr">
        <is>
          <t>Electricity (raw input)</t>
        </is>
      </c>
      <c r="F530" s="44" t="inlineStr">
        <is>
          <t>Total</t>
        </is>
      </c>
      <c r="G530" s="44" t="inlineStr">
        <is>
          <t>fraction → % (× 100)</t>
        </is>
      </c>
    </row>
    <row r="531" ht="14" customHeight="1">
      <c r="A531" s="15" t="n">
        <v>2005</v>
      </c>
      <c r="B531" s="45">
        <f>((C531/D531)*G531)</f>
        <v/>
      </c>
      <c r="C531" s="46">
        <f>E531</f>
        <v/>
      </c>
      <c r="D531" s="46">
        <f>F531</f>
        <v/>
      </c>
      <c r="E531" s="46" t="n">
        <v>87.25259</v>
      </c>
      <c r="F531" s="46" t="n">
        <v>275.125254</v>
      </c>
      <c r="G531" s="46" t="n">
        <v>100</v>
      </c>
    </row>
    <row r="532" ht="14" customHeight="1">
      <c r="A532" s="22" t="n">
        <v>2006</v>
      </c>
      <c r="B532" s="47">
        <f>((C532/D532)*G532)</f>
        <v/>
      </c>
      <c r="C532" s="48">
        <f>E532</f>
        <v/>
      </c>
      <c r="D532" s="48">
        <f>F532</f>
        <v/>
      </c>
      <c r="E532" s="48" t="n">
        <v>87.20215300000001</v>
      </c>
      <c r="F532" s="48" t="n">
        <v>269.576383</v>
      </c>
      <c r="G532" s="48" t="n">
        <v>100</v>
      </c>
    </row>
    <row r="533" ht="14" customHeight="1">
      <c r="A533" s="15" t="n">
        <v>2007</v>
      </c>
      <c r="B533" s="45">
        <f>((C533/D533)*G533)</f>
        <v/>
      </c>
      <c r="C533" s="46">
        <f>E533</f>
        <v/>
      </c>
      <c r="D533" s="46">
        <f>F533</f>
        <v/>
      </c>
      <c r="E533" s="46" t="n">
        <v>88.35837600000001</v>
      </c>
      <c r="F533" s="46" t="n">
        <v>274.275846</v>
      </c>
      <c r="G533" s="46" t="n">
        <v>100</v>
      </c>
    </row>
    <row r="534" ht="14" customHeight="1">
      <c r="A534" s="22" t="n">
        <v>2008</v>
      </c>
      <c r="B534" s="47">
        <f>((C534/D534)*G534)</f>
        <v/>
      </c>
      <c r="C534" s="48">
        <f>E534</f>
        <v/>
      </c>
      <c r="D534" s="48">
        <f>F534</f>
        <v/>
      </c>
      <c r="E534" s="48" t="n">
        <v>86.265145</v>
      </c>
      <c r="F534" s="48" t="n">
        <v>265.108074</v>
      </c>
      <c r="G534" s="48" t="n">
        <v>100</v>
      </c>
    </row>
    <row r="535" ht="14" customHeight="1">
      <c r="A535" s="15" t="n">
        <v>2009</v>
      </c>
      <c r="B535" s="45">
        <f>((C535/D535)*G535)</f>
        <v/>
      </c>
      <c r="C535" s="46">
        <f>E535</f>
        <v/>
      </c>
      <c r="D535" s="46">
        <f>F535</f>
        <v/>
      </c>
      <c r="E535" s="46" t="n">
        <v>74.30082399999999</v>
      </c>
      <c r="F535" s="46" t="n">
        <v>229.18046</v>
      </c>
      <c r="G535" s="46" t="n">
        <v>100</v>
      </c>
    </row>
    <row r="536" ht="14" customHeight="1">
      <c r="A536" s="22" t="n">
        <v>2010</v>
      </c>
      <c r="B536" s="47">
        <f>((C536/D536)*G536)</f>
        <v/>
      </c>
      <c r="C536" s="48">
        <f>E536</f>
        <v/>
      </c>
      <c r="D536" s="48">
        <f>F536</f>
        <v/>
      </c>
      <c r="E536" s="48" t="n">
        <v>79.58803</v>
      </c>
      <c r="F536" s="48" t="n">
        <v>243.873111</v>
      </c>
      <c r="G536" s="48" t="n">
        <v>100</v>
      </c>
    </row>
    <row r="537" ht="14" customHeight="1">
      <c r="A537" s="15" t="n">
        <v>2011</v>
      </c>
      <c r="B537" s="45">
        <f>((C537/D537)*G537)</f>
        <v/>
      </c>
      <c r="C537" s="46">
        <f>E537</f>
        <v/>
      </c>
      <c r="D537" s="46">
        <f>F537</f>
        <v/>
      </c>
      <c r="E537" s="46" t="n">
        <v>80.52822</v>
      </c>
      <c r="F537" s="46" t="n">
        <v>244.295556</v>
      </c>
      <c r="G537" s="46" t="n">
        <v>100</v>
      </c>
    </row>
    <row r="538" ht="14" customHeight="1">
      <c r="A538" s="22" t="n">
        <v>2012</v>
      </c>
      <c r="B538" s="47">
        <f>((C538/D538)*G538)</f>
        <v/>
      </c>
      <c r="C538" s="48">
        <f>E538</f>
        <v/>
      </c>
      <c r="D538" s="48">
        <f>F538</f>
        <v/>
      </c>
      <c r="E538" s="48" t="n">
        <v>79.12993700000001</v>
      </c>
      <c r="F538" s="48" t="n">
        <v>239.702695</v>
      </c>
      <c r="G538" s="48" t="n">
        <v>100</v>
      </c>
    </row>
    <row r="539" ht="14" customHeight="1">
      <c r="A539" s="15" t="n">
        <v>2013</v>
      </c>
      <c r="B539" s="45">
        <f>((C539/D539)*G539)</f>
        <v/>
      </c>
      <c r="C539" s="46">
        <f>E539</f>
        <v/>
      </c>
      <c r="D539" s="46">
        <f>F539</f>
        <v/>
      </c>
      <c r="E539" s="46" t="n">
        <v>77.933983</v>
      </c>
      <c r="F539" s="46" t="n">
        <v>236.748516</v>
      </c>
      <c r="G539" s="46" t="n">
        <v>100</v>
      </c>
    </row>
    <row r="540" ht="14" customHeight="1">
      <c r="A540" s="22" t="n">
        <v>2014</v>
      </c>
      <c r="B540" s="47">
        <f>((C540/D540)*G540)</f>
        <v/>
      </c>
      <c r="C540" s="48">
        <f>E540</f>
        <v/>
      </c>
      <c r="D540" s="48">
        <f>F540</f>
        <v/>
      </c>
      <c r="E540" s="48" t="n">
        <v>78.25137699999999</v>
      </c>
      <c r="F540" s="48" t="n">
        <v>233.297767</v>
      </c>
      <c r="G540" s="48" t="n">
        <v>100</v>
      </c>
    </row>
    <row r="541" ht="14" customHeight="1">
      <c r="A541" s="15" t="n">
        <v>2015</v>
      </c>
      <c r="B541" s="45">
        <f>((C541/D541)*G541)</f>
        <v/>
      </c>
      <c r="C541" s="46">
        <f>E541</f>
        <v/>
      </c>
      <c r="D541" s="46">
        <f>F541</f>
        <v/>
      </c>
      <c r="E541" s="46" t="n">
        <v>78.580682</v>
      </c>
      <c r="F541" s="46" t="n">
        <v>233.507663</v>
      </c>
      <c r="G541" s="46" t="n">
        <v>100</v>
      </c>
    </row>
    <row r="542" ht="14" customHeight="1">
      <c r="A542" s="22" t="n">
        <v>2016</v>
      </c>
      <c r="B542" s="47">
        <f>((C542/D542)*G542)</f>
        <v/>
      </c>
      <c r="C542" s="48">
        <f>E542</f>
        <v/>
      </c>
      <c r="D542" s="48">
        <f>F542</f>
        <v/>
      </c>
      <c r="E542" s="48" t="n">
        <v>79.61735499999999</v>
      </c>
      <c r="F542" s="48" t="n">
        <v>237.799203</v>
      </c>
      <c r="G542" s="48" t="n">
        <v>100</v>
      </c>
    </row>
    <row r="543" ht="14" customHeight="1">
      <c r="A543" s="15" t="n">
        <v>2017</v>
      </c>
      <c r="B543" s="45">
        <f>((C543/D543)*G543)</f>
        <v/>
      </c>
      <c r="C543" s="46">
        <f>E543</f>
        <v/>
      </c>
      <c r="D543" s="46">
        <f>F543</f>
        <v/>
      </c>
      <c r="E543" s="46" t="n">
        <v>81.03699499999999</v>
      </c>
      <c r="F543" s="46" t="n">
        <v>240.063508</v>
      </c>
      <c r="G543" s="46" t="n">
        <v>100</v>
      </c>
    </row>
    <row r="544" ht="14" customHeight="1">
      <c r="A544" s="22" t="n">
        <v>2018</v>
      </c>
      <c r="B544" s="47">
        <f>((C544/D544)*G544)</f>
        <v/>
      </c>
      <c r="C544" s="48">
        <f>E544</f>
        <v/>
      </c>
      <c r="D544" s="48">
        <f>F544</f>
        <v/>
      </c>
      <c r="E544" s="48" t="n">
        <v>81.292179</v>
      </c>
      <c r="F544" s="48" t="n">
        <v>242.46632</v>
      </c>
      <c r="G544" s="48" t="n">
        <v>100</v>
      </c>
    </row>
    <row r="545" ht="14" customHeight="1">
      <c r="A545" s="15" t="n">
        <v>2019</v>
      </c>
      <c r="B545" s="45">
        <f>((C545/D545)*G545)</f>
        <v/>
      </c>
      <c r="C545" s="46">
        <f>E545</f>
        <v/>
      </c>
      <c r="D545" s="46">
        <f>F545</f>
        <v/>
      </c>
      <c r="E545" s="46" t="n">
        <v>80.233557</v>
      </c>
      <c r="F545" s="46" t="n">
        <v>239.239595</v>
      </c>
      <c r="G545" s="46" t="n">
        <v>100</v>
      </c>
    </row>
    <row r="546" ht="14" customHeight="1">
      <c r="A546" s="22" t="n">
        <v>2020</v>
      </c>
      <c r="B546" s="47">
        <f>((C546/D546)*G546)</f>
        <v/>
      </c>
      <c r="C546" s="48">
        <f>E546</f>
        <v/>
      </c>
      <c r="D546" s="48">
        <f>F546</f>
        <v/>
      </c>
      <c r="E546" s="48" t="n">
        <v>76.03787699999999</v>
      </c>
      <c r="F546" s="48" t="n">
        <v>230.923308</v>
      </c>
      <c r="G546" s="48" t="n">
        <v>100</v>
      </c>
    </row>
    <row r="547" ht="14" customHeight="1">
      <c r="A547" s="15" t="n">
        <v>2021</v>
      </c>
      <c r="B547" s="45">
        <f>((C547/D547)*G547)</f>
        <v/>
      </c>
      <c r="C547" s="46">
        <f>E547</f>
        <v/>
      </c>
      <c r="D547" s="46">
        <f>F547</f>
        <v/>
      </c>
      <c r="E547" s="46" t="n">
        <v>79.831363</v>
      </c>
      <c r="F547" s="46" t="n">
        <v>240.343849</v>
      </c>
      <c r="G547" s="46" t="n">
        <v>100</v>
      </c>
    </row>
    <row r="548" ht="14" customHeight="1">
      <c r="A548" s="22" t="n">
        <v>2022</v>
      </c>
      <c r="B548" s="47">
        <f>((C548/D548)*G548)</f>
        <v/>
      </c>
      <c r="C548" s="48">
        <f>E548</f>
        <v/>
      </c>
      <c r="D548" s="48">
        <f>F548</f>
        <v/>
      </c>
      <c r="E548" s="48" t="n">
        <v>74.70652699999999</v>
      </c>
      <c r="F548" s="48" t="n">
        <v>226.90747</v>
      </c>
      <c r="G548" s="48" t="n">
        <v>100</v>
      </c>
    </row>
    <row r="549" ht="14" customHeight="1">
      <c r="A549" s="15" t="n">
        <v>2023</v>
      </c>
      <c r="B549" s="45">
        <f>((C549/D549)*G549)</f>
        <v/>
      </c>
      <c r="C549" s="46">
        <f>E549</f>
        <v/>
      </c>
      <c r="D549" s="46">
        <f>F549</f>
        <v/>
      </c>
      <c r="E549" s="46" t="n">
        <v>70.75010899999999</v>
      </c>
      <c r="F549" s="46" t="n">
        <v>215.070029</v>
      </c>
      <c r="G549" s="46" t="n">
        <v>100</v>
      </c>
    </row>
    <row r="552">
      <c r="A552" s="53" t="inlineStr">
        <is>
          <t>T1 · Transport GHG emissions (EU)  (Mt CO₂eq)</t>
        </is>
      </c>
    </row>
    <row r="553" ht="26" customHeight="1">
      <c r="A55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554" ht="24" customHeight="1">
      <c r="A554" s="3" t="inlineStr">
        <is>
          <t>Derivation:  Value = IF(A &gt;= 2022, IF(A &gt;= 2023, ROUND(([env_air_gge CRF1A3] + [env_air_gge CRF1D1A]), 1), [Report figure — row missing from the seeded grid]), [Road - cars and motorcycles]+[Road - HDV and buses]+[Road - Light Duty Trucks]+[- of which Railways, IWW]+[Aviation]+[- of which Other])</t>
        </is>
      </c>
    </row>
    <row r="555" ht="42" customHeight="1">
      <c r="A555" s="44" t="inlineStr">
        <is>
          <t>Year</t>
        </is>
      </c>
      <c r="B555" s="44" t="inlineStr">
        <is>
          <t>Value</t>
        </is>
      </c>
      <c r="C555" s="44" t="inlineStr">
        <is>
          <t>Road - cars and motorcycles</t>
        </is>
      </c>
      <c r="D555" s="44" t="inlineStr">
        <is>
          <t>Road - HDV and buses</t>
        </is>
      </c>
      <c r="E555" s="44" t="inlineStr">
        <is>
          <t>Road - Light Duty Trucks</t>
        </is>
      </c>
      <c r="F555" s="44" t="inlineStr">
        <is>
          <t>- of which Railways, IWW</t>
        </is>
      </c>
      <c r="G555" s="44" t="inlineStr">
        <is>
          <t>Aviation</t>
        </is>
      </c>
      <c r="H555" s="44" t="inlineStr">
        <is>
          <t>- of which Other</t>
        </is>
      </c>
      <c r="I555" s="44" t="inlineStr">
        <is>
          <t>1.A.3.b.i - Cars</t>
        </is>
      </c>
      <c r="J555" s="44" t="inlineStr">
        <is>
          <t>1.A.3.b.iv - Motorcycles</t>
        </is>
      </c>
      <c r="K555" s="44" t="inlineStr">
        <is>
          <t>1.A.3.b.iii - Heavy duty trucks and buses</t>
        </is>
      </c>
      <c r="L555" s="44" t="inlineStr">
        <is>
          <t>1.A.3.b.ii - Light duty trucks</t>
        </is>
      </c>
      <c r="M555" s="44" t="inlineStr">
        <is>
          <t>1.A.3.c - Railways</t>
        </is>
      </c>
      <c r="N555" s="44" t="inlineStr">
        <is>
          <t>1.A.3.d - Domestic Navigation</t>
        </is>
      </c>
      <c r="O555" s="44" t="inlineStr">
        <is>
          <t>- of which domestic</t>
        </is>
      </c>
      <c r="P555" s="44" t="inlineStr">
        <is>
          <t>- of which international</t>
        </is>
      </c>
      <c r="Q555" s="44" t="inlineStr">
        <is>
          <t>1.A.3.b.v - Other Road Transportation</t>
        </is>
      </c>
      <c r="R555" s="44" t="inlineStr">
        <is>
          <t>1.A.3.e - Other Transportation</t>
        </is>
      </c>
      <c r="S555" s="44" t="inlineStr">
        <is>
          <t>1.A.3.a - Domestic Aviation</t>
        </is>
      </c>
      <c r="T555" s="44" t="inlineStr">
        <is>
          <t>1.D.1.a - International Aviation</t>
        </is>
      </c>
      <c r="U555" s="44" t="inlineStr">
        <is>
          <t>Report figure — row missing from the seeded grid</t>
        </is>
      </c>
      <c r="V555" s="44" t="inlineStr">
        <is>
          <t>env_air_gge CRF1A3</t>
        </is>
      </c>
      <c r="W555" s="44" t="inlineStr">
        <is>
          <t>env_air_gge CRF1D1A</t>
        </is>
      </c>
    </row>
    <row r="556" ht="14" customHeight="1">
      <c r="A556" s="15" t="n">
        <v>2005</v>
      </c>
      <c r="B556" s="45">
        <f>IF((A556&gt;=2022),IF((A556&gt;=2023),ROUND((V556+W556),1),U556),(((((C556+D556)+E556)+F556)+G556)+H556))</f>
        <v/>
      </c>
      <c r="C556" s="46">
        <f>((I556+J556)/1000)</f>
        <v/>
      </c>
      <c r="D556" s="46">
        <f>(K556/1000)</f>
        <v/>
      </c>
      <c r="E556" s="46">
        <f>(L556/1000)</f>
        <v/>
      </c>
      <c r="F556" s="46">
        <f>((M556+N556)/1000)</f>
        <v/>
      </c>
      <c r="G556" s="46">
        <f>(O556+P556)</f>
        <v/>
      </c>
      <c r="H556" s="46">
        <f>((Q556+R556)/1000)</f>
        <v/>
      </c>
      <c r="I556" s="46" t="n">
        <v>480541.4195306973</v>
      </c>
      <c r="J556" s="46" t="n">
        <v>11046.9162294182</v>
      </c>
      <c r="K556" s="46" t="n">
        <v>212730.2574256924</v>
      </c>
      <c r="L556" s="46" t="n">
        <v>92042.30337506154</v>
      </c>
      <c r="M556" s="46" t="n">
        <v>6282.695167411506</v>
      </c>
      <c r="N556" s="46" t="n">
        <v>19667.63120979702</v>
      </c>
      <c r="O556" s="46">
        <f>(S556/1000)</f>
        <v/>
      </c>
      <c r="P556" s="46">
        <f>(T556/1000)</f>
        <v/>
      </c>
      <c r="Q556" s="46" t="n">
        <v>180.6838115240363</v>
      </c>
      <c r="R556" s="46" t="n">
        <v>8159.599929271587</v>
      </c>
      <c r="S556" s="46" t="n">
        <v>16734.38838332025</v>
      </c>
      <c r="T556" s="46" t="n">
        <v>96093.5467867558</v>
      </c>
      <c r="U556" s="46" t="n"/>
      <c r="V556" s="46" t="n"/>
      <c r="W556" s="46" t="n"/>
    </row>
    <row r="557" ht="14" customHeight="1">
      <c r="A557" s="22" t="n">
        <v>2006</v>
      </c>
      <c r="B557" s="47">
        <f>IF((A557&gt;=2022),IF((A557&gt;=2023),ROUND((V557+W557),1),U557),(((((C557+D557)+E557)+F557)+G557)+H557))</f>
        <v/>
      </c>
      <c r="C557" s="48">
        <f>((I557+J557)/1000)</f>
        <v/>
      </c>
      <c r="D557" s="48">
        <f>(K557/1000)</f>
        <v/>
      </c>
      <c r="E557" s="48">
        <f>(L557/1000)</f>
        <v/>
      </c>
      <c r="F557" s="48">
        <f>((M557+N557)/1000)</f>
        <v/>
      </c>
      <c r="G557" s="48">
        <f>(O557+P557)</f>
        <v/>
      </c>
      <c r="H557" s="48">
        <f>((Q557+R557)/1000)</f>
        <v/>
      </c>
      <c r="I557" s="48" t="n">
        <v>482224.7537565306</v>
      </c>
      <c r="J557" s="48" t="n">
        <v>10949.38312180254</v>
      </c>
      <c r="K557" s="48" t="n">
        <v>217249.4479288239</v>
      </c>
      <c r="L557" s="48" t="n">
        <v>93929.94691200832</v>
      </c>
      <c r="M557" s="48" t="n">
        <v>6156.417396309589</v>
      </c>
      <c r="N557" s="48" t="n">
        <v>20000.15057251003</v>
      </c>
      <c r="O557" s="48">
        <f>(S557/1000)</f>
        <v/>
      </c>
      <c r="P557" s="48">
        <f>(T557/1000)</f>
        <v/>
      </c>
      <c r="Q557" s="48" t="n">
        <v>157.3326033718289</v>
      </c>
      <c r="R557" s="48" t="n">
        <v>8134.056410529875</v>
      </c>
      <c r="S557" s="48" t="n">
        <v>16692.10988452465</v>
      </c>
      <c r="T557" s="48" t="n">
        <v>101161.5316416803</v>
      </c>
      <c r="U557" s="48" t="n"/>
      <c r="V557" s="48" t="n"/>
      <c r="W557" s="48" t="n"/>
    </row>
    <row r="558" ht="14" customHeight="1">
      <c r="A558" s="15" t="n">
        <v>2007</v>
      </c>
      <c r="B558" s="45">
        <f>IF((A558&gt;=2022),IF((A558&gt;=2023),ROUND((V558+W558),1),U558),(((((C558+D558)+E558)+F558)+G558)+H558))</f>
        <v/>
      </c>
      <c r="C558" s="46">
        <f>((I558+J558)/1000)</f>
        <v/>
      </c>
      <c r="D558" s="46">
        <f>(K558/1000)</f>
        <v/>
      </c>
      <c r="E558" s="46">
        <f>(L558/1000)</f>
        <v/>
      </c>
      <c r="F558" s="46">
        <f>((M558+N558)/1000)</f>
        <v/>
      </c>
      <c r="G558" s="46">
        <f>(O558+P558)</f>
        <v/>
      </c>
      <c r="H558" s="46">
        <f>((Q558+R558)/1000)</f>
        <v/>
      </c>
      <c r="I558" s="46" t="n">
        <v>488774.5431278974</v>
      </c>
      <c r="J558" s="46" t="n">
        <v>10898.22662126159</v>
      </c>
      <c r="K558" s="46" t="n">
        <v>217801.829453462</v>
      </c>
      <c r="L558" s="46" t="n">
        <v>96305.67083674808</v>
      </c>
      <c r="M558" s="46" t="n">
        <v>6401.818138696881</v>
      </c>
      <c r="N558" s="46" t="n">
        <v>19039.84950103229</v>
      </c>
      <c r="O558" s="46">
        <f>(S558/1000)</f>
        <v/>
      </c>
      <c r="P558" s="46">
        <f>(T558/1000)</f>
        <v/>
      </c>
      <c r="Q558" s="46" t="n">
        <v>163.8315653621737</v>
      </c>
      <c r="R558" s="46" t="n">
        <v>7497.60617722514</v>
      </c>
      <c r="S558" s="46" t="n">
        <v>17103.98704857998</v>
      </c>
      <c r="T558" s="46" t="n">
        <v>105830.0665252898</v>
      </c>
      <c r="U558" s="46" t="n"/>
      <c r="V558" s="46" t="n"/>
      <c r="W558" s="46" t="n"/>
    </row>
    <row r="559" ht="14" customHeight="1">
      <c r="A559" s="22" t="n">
        <v>2008</v>
      </c>
      <c r="B559" s="47">
        <f>IF((A559&gt;=2022),IF((A559&gt;=2023),ROUND((V559+W559),1),U559),(((((C559+D559)+E559)+F559)+G559)+H559))</f>
        <v/>
      </c>
      <c r="C559" s="48">
        <f>((I559+J559)/1000)</f>
        <v/>
      </c>
      <c r="D559" s="48">
        <f>(K559/1000)</f>
        <v/>
      </c>
      <c r="E559" s="48">
        <f>(L559/1000)</f>
        <v/>
      </c>
      <c r="F559" s="48">
        <f>((M559+N559)/1000)</f>
        <v/>
      </c>
      <c r="G559" s="48">
        <f>(O559+P559)</f>
        <v/>
      </c>
      <c r="H559" s="48">
        <f>((Q559+R559)/1000)</f>
        <v/>
      </c>
      <c r="I559" s="48" t="n">
        <v>480951.2322424596</v>
      </c>
      <c r="J559" s="48" t="n">
        <v>11369.17784186646</v>
      </c>
      <c r="K559" s="48" t="n">
        <v>211140.0423809844</v>
      </c>
      <c r="L559" s="48" t="n">
        <v>91879.21238634594</v>
      </c>
      <c r="M559" s="48" t="n">
        <v>6161.826653202413</v>
      </c>
      <c r="N559" s="48" t="n">
        <v>18461.00120047764</v>
      </c>
      <c r="O559" s="48">
        <f>(S559/1000)</f>
        <v/>
      </c>
      <c r="P559" s="48">
        <f>(T559/1000)</f>
        <v/>
      </c>
      <c r="Q559" s="48" t="n">
        <v>186.5147739878819</v>
      </c>
      <c r="R559" s="48" t="n">
        <v>8046.77357797751</v>
      </c>
      <c r="S559" s="48" t="n">
        <v>16728.47941104744</v>
      </c>
      <c r="T559" s="48" t="n">
        <v>107394.2293441508</v>
      </c>
      <c r="U559" s="48" t="n"/>
      <c r="V559" s="48" t="n"/>
      <c r="W559" s="48" t="n"/>
    </row>
    <row r="560" ht="14" customHeight="1">
      <c r="A560" s="15" t="n">
        <v>2009</v>
      </c>
      <c r="B560" s="45">
        <f>IF((A560&gt;=2022),IF((A560&gt;=2023),ROUND((V560+W560),1),U560),(((((C560+D560)+E560)+F560)+G560)+H560))</f>
        <v/>
      </c>
      <c r="C560" s="46">
        <f>((I560+J560)/1000)</f>
        <v/>
      </c>
      <c r="D560" s="46">
        <f>(K560/1000)</f>
        <v/>
      </c>
      <c r="E560" s="46">
        <f>(L560/1000)</f>
        <v/>
      </c>
      <c r="F560" s="46">
        <f>((M560+N560)/1000)</f>
        <v/>
      </c>
      <c r="G560" s="46">
        <f>(O560+P560)</f>
        <v/>
      </c>
      <c r="H560" s="46">
        <f>((Q560+R560)/1000)</f>
        <v/>
      </c>
      <c r="I560" s="46" t="n">
        <v>476868.1113292528</v>
      </c>
      <c r="J560" s="46" t="n">
        <v>11052.93697323029</v>
      </c>
      <c r="K560" s="46" t="n">
        <v>199942.5153686436</v>
      </c>
      <c r="L560" s="46" t="n">
        <v>88318.86645627057</v>
      </c>
      <c r="M560" s="46" t="n">
        <v>5442.484407282776</v>
      </c>
      <c r="N560" s="46" t="n">
        <v>18499.95835661965</v>
      </c>
      <c r="O560" s="46">
        <f>(S560/1000)</f>
        <v/>
      </c>
      <c r="P560" s="46">
        <f>(T560/1000)</f>
        <v/>
      </c>
      <c r="Q560" s="46" t="n">
        <v>198.4096436006812</v>
      </c>
      <c r="R560" s="46" t="n">
        <v>6958.351885305405</v>
      </c>
      <c r="S560" s="46" t="n">
        <v>15841.39622316232</v>
      </c>
      <c r="T560" s="46" t="n">
        <v>98727.74136248264</v>
      </c>
      <c r="U560" s="46" t="n"/>
      <c r="V560" s="46" t="n"/>
      <c r="W560" s="46" t="n"/>
    </row>
    <row r="561" ht="14" customHeight="1">
      <c r="A561" s="22" t="n">
        <v>2010</v>
      </c>
      <c r="B561" s="47">
        <f>IF((A561&gt;=2022),IF((A561&gt;=2023),ROUND((V561+W561),1),U561),(((((C561+D561)+E561)+F561)+G561)+H561))</f>
        <v/>
      </c>
      <c r="C561" s="48">
        <f>((I561+J561)/1000)</f>
        <v/>
      </c>
      <c r="D561" s="48">
        <f>(K561/1000)</f>
        <v/>
      </c>
      <c r="E561" s="48">
        <f>(L561/1000)</f>
        <v/>
      </c>
      <c r="F561" s="48">
        <f>((M561+N561)/1000)</f>
        <v/>
      </c>
      <c r="G561" s="48">
        <f>(O561+P561)</f>
        <v/>
      </c>
      <c r="H561" s="48">
        <f>((Q561+R561)/1000)</f>
        <v/>
      </c>
      <c r="I561" s="48" t="n">
        <v>470814.6376809535</v>
      </c>
      <c r="J561" s="48" t="n">
        <v>10876.1538939472</v>
      </c>
      <c r="K561" s="48" t="n">
        <v>201980.2144096809</v>
      </c>
      <c r="L561" s="48" t="n">
        <v>87236.19763399899</v>
      </c>
      <c r="M561" s="48" t="n">
        <v>5426.968491217282</v>
      </c>
      <c r="N561" s="48" t="n">
        <v>18613.81651013615</v>
      </c>
      <c r="O561" s="48">
        <f>(S561/1000)</f>
        <v/>
      </c>
      <c r="P561" s="48">
        <f>(T561/1000)</f>
        <v/>
      </c>
      <c r="Q561" s="48" t="n">
        <v>136.7485342182449</v>
      </c>
      <c r="R561" s="48" t="n">
        <v>6746.827739532908</v>
      </c>
      <c r="S561" s="48" t="n">
        <v>15807.76351830229</v>
      </c>
      <c r="T561" s="48" t="n">
        <v>100367.703168101</v>
      </c>
      <c r="U561" s="48" t="n"/>
      <c r="V561" s="48" t="n"/>
      <c r="W561" s="48" t="n"/>
    </row>
    <row r="562" ht="14" customHeight="1">
      <c r="A562" s="15" t="n">
        <v>2011</v>
      </c>
      <c r="B562" s="45">
        <f>IF((A562&gt;=2022),IF((A562&gt;=2023),ROUND((V562+W562),1),U562),(((((C562+D562)+E562)+F562)+G562)+H562))</f>
        <v/>
      </c>
      <c r="C562" s="46">
        <f>((I562+J562)/1000)</f>
        <v/>
      </c>
      <c r="D562" s="46">
        <f>(K562/1000)</f>
        <v/>
      </c>
      <c r="E562" s="46">
        <f>(L562/1000)</f>
        <v/>
      </c>
      <c r="F562" s="46">
        <f>((M562+N562)/1000)</f>
        <v/>
      </c>
      <c r="G562" s="46">
        <f>(O562+P562)</f>
        <v/>
      </c>
      <c r="H562" s="46">
        <f>((Q562+R562)/1000)</f>
        <v/>
      </c>
      <c r="I562" s="46" t="n">
        <v>464550.594446394</v>
      </c>
      <c r="J562" s="46" t="n">
        <v>10663.06526666333</v>
      </c>
      <c r="K562" s="46" t="n">
        <v>201561.4929994726</v>
      </c>
      <c r="L562" s="46" t="n">
        <v>86850.32675061244</v>
      </c>
      <c r="M562" s="46" t="n">
        <v>5457.213375383851</v>
      </c>
      <c r="N562" s="46" t="n">
        <v>16854.76284116273</v>
      </c>
      <c r="O562" s="46">
        <f>(S562/1000)</f>
        <v/>
      </c>
      <c r="P562" s="46">
        <f>(T562/1000)</f>
        <v/>
      </c>
      <c r="Q562" s="46" t="n">
        <v>136.6343876429492</v>
      </c>
      <c r="R562" s="46" t="n">
        <v>6542.327235843891</v>
      </c>
      <c r="S562" s="46" t="n">
        <v>15624.00824834788</v>
      </c>
      <c r="T562" s="46" t="n">
        <v>102837.0641991336</v>
      </c>
      <c r="U562" s="46" t="n"/>
      <c r="V562" s="46" t="n"/>
      <c r="W562" s="46" t="n"/>
    </row>
    <row r="563" ht="14" customHeight="1">
      <c r="A563" s="22" t="n">
        <v>2012</v>
      </c>
      <c r="B563" s="47">
        <f>IF((A563&gt;=2022),IF((A563&gt;=2023),ROUND((V563+W563),1),U563),(((((C563+D563)+E563)+F563)+G563)+H563))</f>
        <v/>
      </c>
      <c r="C563" s="48">
        <f>((I563+J563)/1000)</f>
        <v/>
      </c>
      <c r="D563" s="48">
        <f>(K563/1000)</f>
        <v/>
      </c>
      <c r="E563" s="48">
        <f>(L563/1000)</f>
        <v/>
      </c>
      <c r="F563" s="48">
        <f>((M563+N563)/1000)</f>
        <v/>
      </c>
      <c r="G563" s="48">
        <f>(O563+P563)</f>
        <v/>
      </c>
      <c r="H563" s="48">
        <f>((Q563+R563)/1000)</f>
        <v/>
      </c>
      <c r="I563" s="48" t="n">
        <v>446069.6603040501</v>
      </c>
      <c r="J563" s="48" t="n">
        <v>10434.27695043798</v>
      </c>
      <c r="K563" s="48" t="n">
        <v>196460.0254851693</v>
      </c>
      <c r="L563" s="48" t="n">
        <v>83852.26061375874</v>
      </c>
      <c r="M563" s="48" t="n">
        <v>5276.009745269003</v>
      </c>
      <c r="N563" s="48" t="n">
        <v>16063.16671642914</v>
      </c>
      <c r="O563" s="48">
        <f>(S563/1000)</f>
        <v/>
      </c>
      <c r="P563" s="48">
        <f>(T563/1000)</f>
        <v/>
      </c>
      <c r="Q563" s="48" t="n">
        <v>127.1093837856459</v>
      </c>
      <c r="R563" s="48" t="n">
        <v>5944.59443163521</v>
      </c>
      <c r="S563" s="48" t="n">
        <v>14479.64604137401</v>
      </c>
      <c r="T563" s="48" t="n">
        <v>101711.2712350216</v>
      </c>
      <c r="U563" s="48" t="n"/>
      <c r="V563" s="48" t="n"/>
      <c r="W563" s="48" t="n"/>
    </row>
    <row r="564" ht="14" customHeight="1">
      <c r="A564" s="15" t="n">
        <v>2013</v>
      </c>
      <c r="B564" s="45">
        <f>IF((A564&gt;=2022),IF((A564&gt;=2023),ROUND((V564+W564),1),U564),(((((C564+D564)+E564)+F564)+G564)+H564))</f>
        <v/>
      </c>
      <c r="C564" s="46">
        <f>((I564+J564)/1000)</f>
        <v/>
      </c>
      <c r="D564" s="46">
        <f>(K564/1000)</f>
        <v/>
      </c>
      <c r="E564" s="46">
        <f>(L564/1000)</f>
        <v/>
      </c>
      <c r="F564" s="46">
        <f>((M564+N564)/1000)</f>
        <v/>
      </c>
      <c r="G564" s="46">
        <f>(O564+P564)</f>
        <v/>
      </c>
      <c r="H564" s="46">
        <f>((Q564+R564)/1000)</f>
        <v/>
      </c>
      <c r="I564" s="46" t="n">
        <v>448657.4457588319</v>
      </c>
      <c r="J564" s="46" t="n">
        <v>10133.1246484716</v>
      </c>
      <c r="K564" s="46" t="n">
        <v>194031.3210427841</v>
      </c>
      <c r="L564" s="46" t="n">
        <v>80353.77327952888</v>
      </c>
      <c r="M564" s="46" t="n">
        <v>4953.910265344102</v>
      </c>
      <c r="N564" s="46" t="n">
        <v>14694.89008832424</v>
      </c>
      <c r="O564" s="46">
        <f>(S564/1000)</f>
        <v/>
      </c>
      <c r="P564" s="46">
        <f>(T564/1000)</f>
        <v/>
      </c>
      <c r="Q564" s="46" t="n">
        <v>114.2692752323638</v>
      </c>
      <c r="R564" s="46" t="n">
        <v>6495.348440844533</v>
      </c>
      <c r="S564" s="46" t="n">
        <v>13279.9270060317</v>
      </c>
      <c r="T564" s="46" t="n">
        <v>102661.527717858</v>
      </c>
      <c r="U564" s="46" t="n"/>
      <c r="V564" s="46" t="n"/>
      <c r="W564" s="46" t="n"/>
    </row>
    <row r="565" ht="14" customHeight="1">
      <c r="A565" s="22" t="n">
        <v>2014</v>
      </c>
      <c r="B565" s="47">
        <f>IF((A565&gt;=2022),IF((A565&gt;=2023),ROUND((V565+W565),1),U565),(((((C565+D565)+E565)+F565)+G565)+H565))</f>
        <v/>
      </c>
      <c r="C565" s="48">
        <f>((I565+J565)/1000)</f>
        <v/>
      </c>
      <c r="D565" s="48">
        <f>(K565/1000)</f>
        <v/>
      </c>
      <c r="E565" s="48">
        <f>(L565/1000)</f>
        <v/>
      </c>
      <c r="F565" s="48">
        <f>((M565+N565)/1000)</f>
        <v/>
      </c>
      <c r="G565" s="48">
        <f>(O565+P565)</f>
        <v/>
      </c>
      <c r="H565" s="48">
        <f>((Q565+R565)/1000)</f>
        <v/>
      </c>
      <c r="I565" s="48" t="n">
        <v>458349.5111173873</v>
      </c>
      <c r="J565" s="48" t="n">
        <v>10417.87077557057</v>
      </c>
      <c r="K565" s="48" t="n">
        <v>191775.9318901639</v>
      </c>
      <c r="L565" s="48" t="n">
        <v>80458.77839013461</v>
      </c>
      <c r="M565" s="48" t="n">
        <v>4537.944268875722</v>
      </c>
      <c r="N565" s="48" t="n">
        <v>13946.77236602893</v>
      </c>
      <c r="O565" s="48">
        <f>(S565/1000)</f>
        <v/>
      </c>
      <c r="P565" s="48">
        <f>(T565/1000)</f>
        <v/>
      </c>
      <c r="Q565" s="48" t="n">
        <v>92.23786169576029</v>
      </c>
      <c r="R565" s="48" t="n">
        <v>5426.008108538639</v>
      </c>
      <c r="S565" s="48" t="n">
        <v>13073.22526108408</v>
      </c>
      <c r="T565" s="48" t="n">
        <v>104670.2515866599</v>
      </c>
      <c r="U565" s="48" t="n"/>
      <c r="V565" s="48" t="n"/>
      <c r="W565" s="48" t="n"/>
    </row>
    <row r="566" ht="14" customHeight="1">
      <c r="A566" s="15" t="n">
        <v>2015</v>
      </c>
      <c r="B566" s="45">
        <f>IF((A566&gt;=2022),IF((A566&gt;=2023),ROUND((V566+W566),1),U566),(((((C566+D566)+E566)+F566)+G566)+H566))</f>
        <v/>
      </c>
      <c r="C566" s="46">
        <f>((I566+J566)/1000)</f>
        <v/>
      </c>
      <c r="D566" s="46">
        <f>(K566/1000)</f>
        <v/>
      </c>
      <c r="E566" s="46">
        <f>(L566/1000)</f>
        <v/>
      </c>
      <c r="F566" s="46">
        <f>((M566+N566)/1000)</f>
        <v/>
      </c>
      <c r="G566" s="46">
        <f>(O566+P566)</f>
        <v/>
      </c>
      <c r="H566" s="46">
        <f>((Q566+R566)/1000)</f>
        <v/>
      </c>
      <c r="I566" s="46" t="n">
        <v>466627.8646851056</v>
      </c>
      <c r="J566" s="46" t="n">
        <v>10389.46464269595</v>
      </c>
      <c r="K566" s="46" t="n">
        <v>196116.1691848404</v>
      </c>
      <c r="L566" s="46" t="n">
        <v>82200.36075816839</v>
      </c>
      <c r="M566" s="46" t="n">
        <v>4540.918845670133</v>
      </c>
      <c r="N566" s="46" t="n">
        <v>14695.95268452451</v>
      </c>
      <c r="O566" s="46">
        <f>(S566/1000)</f>
        <v/>
      </c>
      <c r="P566" s="46">
        <f>(T566/1000)</f>
        <v/>
      </c>
      <c r="Q566" s="46" t="n">
        <v>92.8007694897789</v>
      </c>
      <c r="R566" s="46" t="n">
        <v>5424.7605925366</v>
      </c>
      <c r="S566" s="46" t="n">
        <v>13151.24530535753</v>
      </c>
      <c r="T566" s="46" t="n">
        <v>108530.225575632</v>
      </c>
      <c r="U566" s="46" t="n"/>
      <c r="V566" s="46" t="n"/>
      <c r="W566" s="46" t="n"/>
    </row>
    <row r="567" ht="14" customHeight="1">
      <c r="A567" s="22" t="n">
        <v>2016</v>
      </c>
      <c r="B567" s="47">
        <f>IF((A567&gt;=2022),IF((A567&gt;=2023),ROUND((V567+W567),1),U567),(((((C567+D567)+E567)+F567)+G567)+H567))</f>
        <v/>
      </c>
      <c r="C567" s="48">
        <f>((I567+J567)/1000)</f>
        <v/>
      </c>
      <c r="D567" s="48">
        <f>(K567/1000)</f>
        <v/>
      </c>
      <c r="E567" s="48">
        <f>(L567/1000)</f>
        <v/>
      </c>
      <c r="F567" s="48">
        <f>((M567+N567)/1000)</f>
        <v/>
      </c>
      <c r="G567" s="48">
        <f>(O567+P567)</f>
        <v/>
      </c>
      <c r="H567" s="48">
        <f>((Q567+R567)/1000)</f>
        <v/>
      </c>
      <c r="I567" s="48" t="n">
        <v>477579.9281676082</v>
      </c>
      <c r="J567" s="48" t="n">
        <v>10156.17112805583</v>
      </c>
      <c r="K567" s="48" t="n">
        <v>200624.424101592</v>
      </c>
      <c r="L567" s="48" t="n">
        <v>83344.27680641123</v>
      </c>
      <c r="M567" s="48" t="n">
        <v>4409.64316114178</v>
      </c>
      <c r="N567" s="48" t="n">
        <v>15513.01820303854</v>
      </c>
      <c r="O567" s="48">
        <f>(S567/1000)</f>
        <v/>
      </c>
      <c r="P567" s="48">
        <f>(T567/1000)</f>
        <v/>
      </c>
      <c r="Q567" s="48" t="n">
        <v>103.7253198588534</v>
      </c>
      <c r="R567" s="48" t="n">
        <v>5394.812618473869</v>
      </c>
      <c r="S567" s="48" t="n">
        <v>13623.16711971013</v>
      </c>
      <c r="T567" s="48" t="n">
        <v>115073.9625731744</v>
      </c>
      <c r="U567" s="48" t="n"/>
      <c r="V567" s="48" t="n"/>
      <c r="W567" s="48" t="n"/>
    </row>
    <row r="568" ht="14" customHeight="1">
      <c r="A568" s="15" t="n">
        <v>2017</v>
      </c>
      <c r="B568" s="45">
        <f>IF((A568&gt;=2022),IF((A568&gt;=2023),ROUND((V568+W568),1),U568),(((((C568+D568)+E568)+F568)+G568)+H568))</f>
        <v/>
      </c>
      <c r="C568" s="46">
        <f>((I568+J568)/1000)</f>
        <v/>
      </c>
      <c r="D568" s="46">
        <f>(K568/1000)</f>
        <v/>
      </c>
      <c r="E568" s="46">
        <f>(L568/1000)</f>
        <v/>
      </c>
      <c r="F568" s="46">
        <f>((M568+N568)/1000)</f>
        <v/>
      </c>
      <c r="G568" s="46">
        <f>(O568+P568)</f>
        <v/>
      </c>
      <c r="H568" s="46">
        <f>((Q568+R568)/1000)</f>
        <v/>
      </c>
      <c r="I568" s="46" t="n">
        <v>483452.2724814751</v>
      </c>
      <c r="J568" s="46" t="n">
        <v>10030.51849872875</v>
      </c>
      <c r="K568" s="46" t="n">
        <v>206072.8606619386</v>
      </c>
      <c r="L568" s="46" t="n">
        <v>84587.23581226081</v>
      </c>
      <c r="M568" s="46" t="n">
        <v>4337.338002892178</v>
      </c>
      <c r="N568" s="46" t="n">
        <v>16469.91469824284</v>
      </c>
      <c r="O568" s="46">
        <f>(S568/1000)</f>
        <v/>
      </c>
      <c r="P568" s="46">
        <f>(T568/1000)</f>
        <v/>
      </c>
      <c r="Q568" s="46" t="n">
        <v>110.3166881292349</v>
      </c>
      <c r="R568" s="46" t="n">
        <v>5917.340847083199</v>
      </c>
      <c r="S568" s="46" t="n">
        <v>14002.87329188981</v>
      </c>
      <c r="T568" s="46" t="n">
        <v>124162.2531613785</v>
      </c>
      <c r="U568" s="46" t="n"/>
      <c r="V568" s="46" t="n"/>
      <c r="W568" s="46" t="n"/>
    </row>
    <row r="569" ht="14" customHeight="1">
      <c r="A569" s="22" t="n">
        <v>2018</v>
      </c>
      <c r="B569" s="47">
        <f>IF((A569&gt;=2022),IF((A569&gt;=2023),ROUND((V569+W569),1),U569),(((((C569+D569)+E569)+F569)+G569)+H569))</f>
        <v/>
      </c>
      <c r="C569" s="48">
        <f>((I569+J569)/1000)</f>
        <v/>
      </c>
      <c r="D569" s="48">
        <f>(K569/1000)</f>
        <v/>
      </c>
      <c r="E569" s="48">
        <f>(L569/1000)</f>
        <v/>
      </c>
      <c r="F569" s="48">
        <f>((M569+N569)/1000)</f>
        <v/>
      </c>
      <c r="G569" s="48">
        <f>(O569+P569)</f>
        <v/>
      </c>
      <c r="H569" s="48">
        <f>((Q569+R569)/1000)</f>
        <v/>
      </c>
      <c r="I569" s="48" t="n">
        <v>480336.4333123153</v>
      </c>
      <c r="J569" s="48" t="n">
        <v>9818.065177598211</v>
      </c>
      <c r="K569" s="48" t="n">
        <v>208220.8162255524</v>
      </c>
      <c r="L569" s="48" t="n">
        <v>85923.18140081303</v>
      </c>
      <c r="M569" s="48" t="n">
        <v>4142.605103300223</v>
      </c>
      <c r="N569" s="48" t="n">
        <v>17265.78740677839</v>
      </c>
      <c r="O569" s="48">
        <f>(S569/1000)</f>
        <v/>
      </c>
      <c r="P569" s="48">
        <f>(T569/1000)</f>
        <v/>
      </c>
      <c r="Q569" s="48" t="n">
        <v>108.9928640036318</v>
      </c>
      <c r="R569" s="48" t="n">
        <v>6045.428949767484</v>
      </c>
      <c r="S569" s="48" t="n">
        <v>14621.70565822709</v>
      </c>
      <c r="T569" s="48" t="n">
        <v>130358.3122343503</v>
      </c>
      <c r="U569" s="48" t="n"/>
      <c r="V569" s="48" t="n"/>
      <c r="W569" s="48" t="n"/>
    </row>
    <row r="570" ht="14" customHeight="1">
      <c r="A570" s="15" t="n">
        <v>2019</v>
      </c>
      <c r="B570" s="45">
        <f>IF((A570&gt;=2022),IF((A570&gt;=2023),ROUND((V570+W570),1),U570),(((((C570+D570)+E570)+F570)+G570)+H570))</f>
        <v/>
      </c>
      <c r="C570" s="46">
        <f>((I570+J570)/1000)</f>
        <v/>
      </c>
      <c r="D570" s="46">
        <f>(K570/1000)</f>
        <v/>
      </c>
      <c r="E570" s="46">
        <f>(L570/1000)</f>
        <v/>
      </c>
      <c r="F570" s="46">
        <f>((M570+N570)/1000)</f>
        <v/>
      </c>
      <c r="G570" s="46">
        <f>(O570+P570)</f>
        <v/>
      </c>
      <c r="H570" s="46">
        <f>((Q570+R570)/1000)</f>
        <v/>
      </c>
      <c r="I570" s="46" t="n">
        <v>483220.2505014302</v>
      </c>
      <c r="J570" s="46" t="n">
        <v>10171.73690057964</v>
      </c>
      <c r="K570" s="46" t="n">
        <v>210357.032593334</v>
      </c>
      <c r="L570" s="46" t="n">
        <v>86143.86612410132</v>
      </c>
      <c r="M570" s="46" t="n">
        <v>4107.969264214858</v>
      </c>
      <c r="N570" s="46" t="n">
        <v>17941.24912100423</v>
      </c>
      <c r="O570" s="46">
        <f>(S570/1000)</f>
        <v/>
      </c>
      <c r="P570" s="46">
        <f>(T570/1000)</f>
        <v/>
      </c>
      <c r="Q570" s="46" t="n">
        <v>102.5636790047715</v>
      </c>
      <c r="R570" s="46" t="n">
        <v>5761.91235357339</v>
      </c>
      <c r="S570" s="46" t="n">
        <v>14926.38224293806</v>
      </c>
      <c r="T570" s="46" t="n">
        <v>132976.6899599499</v>
      </c>
      <c r="U570" s="46" t="n"/>
      <c r="V570" s="46" t="n"/>
      <c r="W570" s="46" t="n"/>
    </row>
    <row r="571" ht="14" customHeight="1">
      <c r="A571" s="22" t="n">
        <v>2020</v>
      </c>
      <c r="B571" s="47">
        <f>IF((A571&gt;=2022),IF((A571&gt;=2023),ROUND((V571+W571),1),U571),(((((C571+D571)+E571)+F571)+G571)+H571))</f>
        <v/>
      </c>
      <c r="C571" s="48">
        <f>((I571+J571)/1000)</f>
        <v/>
      </c>
      <c r="D571" s="48">
        <f>(K571/1000)</f>
        <v/>
      </c>
      <c r="E571" s="48">
        <f>(L571/1000)</f>
        <v/>
      </c>
      <c r="F571" s="48">
        <f>((M571+N571)/1000)</f>
        <v/>
      </c>
      <c r="G571" s="48">
        <f>(O571+P571)</f>
        <v/>
      </c>
      <c r="H571" s="48">
        <f>((Q571+R571)/1000)</f>
        <v/>
      </c>
      <c r="I571" s="48" t="n">
        <v>406560.9239682709</v>
      </c>
      <c r="J571" s="48" t="n">
        <v>8991.798144639868</v>
      </c>
      <c r="K571" s="48" t="n">
        <v>194382.6212657854</v>
      </c>
      <c r="L571" s="48" t="n">
        <v>77538.64236736868</v>
      </c>
      <c r="M571" s="48" t="n">
        <v>3660.556040153515</v>
      </c>
      <c r="N571" s="48" t="n">
        <v>16386.00470699061</v>
      </c>
      <c r="O571" s="48">
        <f>(S571/1000)</f>
        <v/>
      </c>
      <c r="P571" s="48">
        <f>(T571/1000)</f>
        <v/>
      </c>
      <c r="Q571" s="48" t="n">
        <v>103.4819511785051</v>
      </c>
      <c r="R571" s="48" t="n">
        <v>4635.344689535795</v>
      </c>
      <c r="S571" s="48" t="n">
        <v>7922.144839822689</v>
      </c>
      <c r="T571" s="48" t="n">
        <v>56110.15386994078</v>
      </c>
      <c r="U571" s="48" t="n"/>
      <c r="V571" s="48" t="n"/>
      <c r="W571" s="48" t="n"/>
    </row>
    <row r="572" ht="14" customHeight="1">
      <c r="A572" s="15" t="n">
        <v>2021</v>
      </c>
      <c r="B572" s="45">
        <f>IF((A572&gt;=2022),IF((A572&gt;=2023),ROUND((V572+W572),1),U572),(((((C572+D572)+E572)+F572)+G572)+H572))</f>
        <v/>
      </c>
      <c r="C572" s="46">
        <f>((I572+J572)/1000)</f>
        <v/>
      </c>
      <c r="D572" s="46">
        <f>(K572/1000)</f>
        <v/>
      </c>
      <c r="E572" s="46">
        <f>(L572/1000)</f>
        <v/>
      </c>
      <c r="F572" s="46">
        <f>((M572+N572)/1000)</f>
        <v/>
      </c>
      <c r="G572" s="46">
        <f>(O572+P572)</f>
        <v/>
      </c>
      <c r="H572" s="46">
        <f>((Q572+R572)/1000)</f>
        <v/>
      </c>
      <c r="I572" s="46" t="n">
        <v>440486.9945554133</v>
      </c>
      <c r="J572" s="46" t="n">
        <v>9766.083034944579</v>
      </c>
      <c r="K572" s="46" t="n">
        <v>209370.6145083884</v>
      </c>
      <c r="L572" s="46" t="n">
        <v>88121.01624361766</v>
      </c>
      <c r="M572" s="46" t="n">
        <v>3751.154061693234</v>
      </c>
      <c r="N572" s="46" t="n">
        <v>15975.46154971628</v>
      </c>
      <c r="O572" s="46">
        <f>(S572/1000)</f>
        <v/>
      </c>
      <c r="P572" s="46">
        <f>(T572/1000)</f>
        <v/>
      </c>
      <c r="Q572" s="46" t="n">
        <v>121.3041059004118</v>
      </c>
      <c r="R572" s="46" t="n">
        <v>4691.600607100246</v>
      </c>
      <c r="S572" s="46" t="n">
        <v>9816.464046063951</v>
      </c>
      <c r="T572" s="46" t="n">
        <v>69754.33288629929</v>
      </c>
      <c r="U572" s="46" t="n"/>
      <c r="V572" s="46" t="n"/>
      <c r="W572" s="46" t="n"/>
    </row>
    <row r="573" ht="14" customHeight="1">
      <c r="A573" s="22" t="n">
        <v>2022</v>
      </c>
      <c r="B573" s="47">
        <f>IF((A573&gt;=2022),IF((A573&gt;=2023),ROUND((V573+W573),1),U573),(((((C573+D573)+E573)+F573)+G573)+H573))</f>
        <v/>
      </c>
      <c r="C573" s="48">
        <f>((I573+J573)/1000)</f>
        <v/>
      </c>
      <c r="D573" s="48">
        <f>(K573/1000)</f>
        <v/>
      </c>
      <c r="E573" s="48">
        <f>(L573/1000)</f>
        <v/>
      </c>
      <c r="F573" s="48">
        <f>((M573+N573)/1000)</f>
        <v/>
      </c>
      <c r="G573" s="48">
        <f>(O573+P573)</f>
        <v/>
      </c>
      <c r="H573" s="48">
        <f>((Q573+R573)/1000)</f>
        <v/>
      </c>
      <c r="I573" s="48" t="n"/>
      <c r="J573" s="48" t="n"/>
      <c r="K573" s="48" t="n"/>
      <c r="L573" s="48" t="n"/>
      <c r="M573" s="48" t="n"/>
      <c r="N573" s="48" t="n"/>
      <c r="O573" s="48">
        <f>(S573/1000)</f>
        <v/>
      </c>
      <c r="P573" s="48">
        <f>(T573/1000)</f>
        <v/>
      </c>
      <c r="Q573" s="48" t="n"/>
      <c r="R573" s="48" t="n"/>
      <c r="S573" s="48" t="n"/>
      <c r="T573" s="48" t="n"/>
      <c r="U573" s="48" t="n">
        <v>906.6</v>
      </c>
      <c r="V573" s="48" t="n"/>
      <c r="W573" s="48" t="n"/>
    </row>
    <row r="574" ht="14" customHeight="1">
      <c r="A574" s="15" t="n">
        <v>2023</v>
      </c>
      <c r="B574" s="45">
        <f>IF((A574&gt;=2022),IF((A574&gt;=2023),ROUND((V574+W574),1),U574),(((((C574+D574)+E574)+F574)+G574)+H574))</f>
        <v/>
      </c>
      <c r="C574" s="46">
        <f>((I574+J574)/1000)</f>
        <v/>
      </c>
      <c r="D574" s="46">
        <f>(K574/1000)</f>
        <v/>
      </c>
      <c r="E574" s="46">
        <f>(L574/1000)</f>
        <v/>
      </c>
      <c r="F574" s="46">
        <f>((M574+N574)/1000)</f>
        <v/>
      </c>
      <c r="G574" s="46">
        <f>(O574+P574)</f>
        <v/>
      </c>
      <c r="H574" s="46">
        <f>((Q574+R574)/1000)</f>
        <v/>
      </c>
      <c r="I574" s="46" t="n"/>
      <c r="J574" s="46" t="n"/>
      <c r="K574" s="46" t="n"/>
      <c r="L574" s="46" t="n"/>
      <c r="M574" s="46" t="n"/>
      <c r="N574" s="46" t="n"/>
      <c r="O574" s="46">
        <f>(S574/1000)</f>
        <v/>
      </c>
      <c r="P574" s="46">
        <f>(T574/1000)</f>
        <v/>
      </c>
      <c r="Q574" s="46" t="n"/>
      <c r="R574" s="46" t="n"/>
      <c r="S574" s="46" t="n"/>
      <c r="T574" s="46" t="n"/>
      <c r="U574" s="46" t="n"/>
      <c r="V574" s="46" t="n">
        <v>795.6403800000001</v>
      </c>
      <c r="W574" s="46" t="n">
        <v>122.75595</v>
      </c>
    </row>
    <row r="575" ht="14" customHeight="1">
      <c r="A575" s="22" t="n">
        <v>2024</v>
      </c>
      <c r="B575" s="47">
        <f>IF((A575&gt;=2022),IF((A575&gt;=2023),ROUND((V575+W575),1),U575),(((((C575+D575)+E575)+F575)+G575)+H575))</f>
        <v/>
      </c>
      <c r="C575" s="48">
        <f>((I575+J575)/1000)</f>
        <v/>
      </c>
      <c r="D575" s="48">
        <f>(K575/1000)</f>
        <v/>
      </c>
      <c r="E575" s="48">
        <f>(L575/1000)</f>
        <v/>
      </c>
      <c r="F575" s="48">
        <f>((M575+N575)/1000)</f>
        <v/>
      </c>
      <c r="G575" s="48">
        <f>(O575+P575)</f>
        <v/>
      </c>
      <c r="H575" s="48">
        <f>((Q575+R575)/1000)</f>
        <v/>
      </c>
      <c r="I575" s="48" t="n"/>
      <c r="J575" s="48" t="n"/>
      <c r="K575" s="48" t="n"/>
      <c r="L575" s="48" t="n"/>
      <c r="M575" s="48" t="n"/>
      <c r="N575" s="48" t="n"/>
      <c r="O575" s="48">
        <f>(S575/1000)</f>
        <v/>
      </c>
      <c r="P575" s="48">
        <f>(T575/1000)</f>
        <v/>
      </c>
      <c r="Q575" s="48" t="n"/>
      <c r="R575" s="48" t="n"/>
      <c r="S575" s="48" t="n"/>
      <c r="T575" s="48" t="n"/>
      <c r="U575" s="48" t="n"/>
      <c r="V575" s="48" t="n">
        <v>804.76405</v>
      </c>
      <c r="W575" s="48" t="n">
        <v>129.98166</v>
      </c>
    </row>
    <row r="578">
      <c r="A578" s="53" t="inlineStr">
        <is>
          <t>T2a · Total passenger transport demand  (Gpkm)</t>
        </is>
      </c>
    </row>
    <row r="579" ht="26" customHeight="1">
      <c r="A579" s="50" t="inlineStr">
        <is>
          <t>No derivation for the later years — the figure is the publication's own.</t>
        </is>
      </c>
    </row>
    <row r="580" ht="24" customHeight="1">
      <c r="A580" s="3" t="inlineStr">
        <is>
          <t>Derivation:  Value = IF(A &gt;= 2022, [Post-report figure as published], [cars and 2-wheels]+[buses and coaches]+[rail]+[aviation])</t>
        </is>
      </c>
    </row>
    <row r="581" ht="42" customHeight="1">
      <c r="A581" s="44" t="inlineStr">
        <is>
          <t>Year</t>
        </is>
      </c>
      <c r="B581" s="44" t="inlineStr">
        <is>
          <t>Value</t>
        </is>
      </c>
      <c r="C581" s="44" t="inlineStr">
        <is>
          <t>cars and 2-wheels</t>
        </is>
      </c>
      <c r="D581" s="44" t="inlineStr">
        <is>
          <t>buses and coaches</t>
        </is>
      </c>
      <c r="E581" s="44" t="inlineStr">
        <is>
          <t>rail</t>
        </is>
      </c>
      <c r="F581" s="44" t="inlineStr">
        <is>
          <t>aviation</t>
        </is>
      </c>
      <c r="G581" s="44" t="inlineStr">
        <is>
          <t>Passenger Cars</t>
        </is>
      </c>
      <c r="H581" s="44" t="inlineStr">
        <is>
          <t>Powered 2-wheelers</t>
        </is>
      </c>
      <c r="I581" s="44" t="inlineStr">
        <is>
          <t>Buses &amp; Coaches</t>
        </is>
      </c>
      <c r="J581" s="44" t="inlineStr">
        <is>
          <t>Railways</t>
        </is>
      </c>
      <c r="K581" s="44" t="inlineStr">
        <is>
          <t>Tram &amp; Metro</t>
        </is>
      </c>
      <c r="L581" s="44" t="inlineStr">
        <is>
          <t>Air</t>
        </is>
      </c>
      <c r="M581" s="44" t="inlineStr">
        <is>
          <t>Post-report figure as published</t>
        </is>
      </c>
    </row>
    <row r="582" ht="14" customHeight="1">
      <c r="A582" s="15" t="n">
        <v>2005</v>
      </c>
      <c r="B582" s="45">
        <f>IF((A582&gt;=2022),M582,(((C582+D582)+E582)+F582))</f>
        <v/>
      </c>
      <c r="C582" s="46">
        <f>(G582+H582)</f>
        <v/>
      </c>
      <c r="D582" s="46">
        <f>I582</f>
        <v/>
      </c>
      <c r="E582" s="46">
        <f>(J582+K582)</f>
        <v/>
      </c>
      <c r="F582" s="46">
        <f>L582</f>
        <v/>
      </c>
      <c r="G582" s="46" t="n">
        <v>3839.2</v>
      </c>
      <c r="H582" s="46" t="n">
        <v>114.6</v>
      </c>
      <c r="I582" s="46" t="n">
        <v>497.8</v>
      </c>
      <c r="J582" s="46" t="n">
        <v>339.8</v>
      </c>
      <c r="K582" s="46" t="n">
        <v>73.2</v>
      </c>
      <c r="L582" s="46" t="n">
        <v>361.3</v>
      </c>
      <c r="M582" s="46" t="n"/>
    </row>
    <row r="583" ht="14" customHeight="1">
      <c r="A583" s="22" t="n">
        <v>2006</v>
      </c>
      <c r="B583" s="47">
        <f>IF((A583&gt;=2022),M583,(((C583+D583)+E583)+F583))</f>
        <v/>
      </c>
      <c r="C583" s="48">
        <f>(G583+H583)</f>
        <v/>
      </c>
      <c r="D583" s="48">
        <f>I583</f>
        <v/>
      </c>
      <c r="E583" s="48">
        <f>(J583+K583)</f>
        <v/>
      </c>
      <c r="F583" s="48">
        <f>L583</f>
        <v/>
      </c>
      <c r="G583" s="48" t="n">
        <v>3875.3</v>
      </c>
      <c r="H583" s="48" t="n">
        <v>113.6</v>
      </c>
      <c r="I583" s="48" t="n">
        <v>497.8</v>
      </c>
      <c r="J583" s="48" t="n">
        <v>349.4</v>
      </c>
      <c r="K583" s="48" t="n">
        <v>74.59999999999999</v>
      </c>
      <c r="L583" s="48" t="n">
        <v>376.4</v>
      </c>
      <c r="M583" s="48" t="n"/>
    </row>
    <row r="584" ht="14" customHeight="1">
      <c r="A584" s="15" t="n">
        <v>2007</v>
      </c>
      <c r="B584" s="45">
        <f>IF((A584&gt;=2022),M584,(((C584+D584)+E584)+F584))</f>
        <v/>
      </c>
      <c r="C584" s="46">
        <f>(G584+H584)</f>
        <v/>
      </c>
      <c r="D584" s="46">
        <f>I584</f>
        <v/>
      </c>
      <c r="E584" s="46">
        <f>(J584+K584)</f>
        <v/>
      </c>
      <c r="F584" s="46">
        <f>L584</f>
        <v/>
      </c>
      <c r="G584" s="46" t="n">
        <v>3921.3</v>
      </c>
      <c r="H584" s="46" t="n">
        <v>109.6</v>
      </c>
      <c r="I584" s="46" t="n">
        <v>507.9</v>
      </c>
      <c r="J584" s="46" t="n">
        <v>353.4</v>
      </c>
      <c r="K584" s="46" t="n">
        <v>76.40000000000001</v>
      </c>
      <c r="L584" s="46" t="n">
        <v>392.2</v>
      </c>
      <c r="M584" s="46" t="n"/>
    </row>
    <row r="585" ht="14" customHeight="1">
      <c r="A585" s="22" t="n">
        <v>2008</v>
      </c>
      <c r="B585" s="47">
        <f>IF((A585&gt;=2022),M585,(((C585+D585)+E585)+F585))</f>
        <v/>
      </c>
      <c r="C585" s="48">
        <f>(G585+H585)</f>
        <v/>
      </c>
      <c r="D585" s="48">
        <f>I585</f>
        <v/>
      </c>
      <c r="E585" s="48">
        <f>(J585+K585)</f>
        <v/>
      </c>
      <c r="F585" s="48">
        <f>L585</f>
        <v/>
      </c>
      <c r="G585" s="48" t="n">
        <v>3931.6</v>
      </c>
      <c r="H585" s="48" t="n">
        <v>114.5</v>
      </c>
      <c r="I585" s="48" t="n">
        <v>514.1</v>
      </c>
      <c r="J585" s="48" t="n">
        <v>366.6</v>
      </c>
      <c r="K585" s="48" t="n">
        <v>79.3</v>
      </c>
      <c r="L585" s="48" t="n">
        <v>383.8</v>
      </c>
      <c r="M585" s="48" t="n"/>
    </row>
    <row r="586" ht="14" customHeight="1">
      <c r="A586" s="15" t="n">
        <v>2009</v>
      </c>
      <c r="B586" s="45">
        <f>IF((A586&gt;=2022),M586,(((C586+D586)+E586)+F586))</f>
        <v/>
      </c>
      <c r="C586" s="46">
        <f>(G586+H586)</f>
        <v/>
      </c>
      <c r="D586" s="46">
        <f>I586</f>
        <v/>
      </c>
      <c r="E586" s="46">
        <f>(J586+K586)</f>
        <v/>
      </c>
      <c r="F586" s="46">
        <f>L586</f>
        <v/>
      </c>
      <c r="G586" s="46" t="n">
        <v>4009.2</v>
      </c>
      <c r="H586" s="46" t="n">
        <v>112</v>
      </c>
      <c r="I586" s="46" t="n">
        <v>489.7</v>
      </c>
      <c r="J586" s="46" t="n">
        <v>359.3</v>
      </c>
      <c r="K586" s="46" t="n">
        <v>78.59999999999999</v>
      </c>
      <c r="L586" s="46" t="n">
        <v>361.8</v>
      </c>
      <c r="M586" s="46" t="n"/>
    </row>
    <row r="587" ht="14" customHeight="1">
      <c r="A587" s="22" t="n">
        <v>2010</v>
      </c>
      <c r="B587" s="47">
        <f>IF((A587&gt;=2022),M587,(((C587+D587)+E587)+F587))</f>
        <v/>
      </c>
      <c r="C587" s="48">
        <f>(G587+H587)</f>
        <v/>
      </c>
      <c r="D587" s="48">
        <f>I587</f>
        <v/>
      </c>
      <c r="E587" s="48">
        <f>(J587+K587)</f>
        <v/>
      </c>
      <c r="F587" s="48">
        <f>L587</f>
        <v/>
      </c>
      <c r="G587" s="48" t="n">
        <v>3975.9</v>
      </c>
      <c r="H587" s="48" t="n">
        <v>113.8</v>
      </c>
      <c r="I587" s="48" t="n">
        <v>482.2</v>
      </c>
      <c r="J587" s="48" t="n">
        <v>358.3</v>
      </c>
      <c r="K587" s="48" t="n">
        <v>80.7</v>
      </c>
      <c r="L587" s="48" t="n">
        <v>377.3</v>
      </c>
      <c r="M587" s="48" t="n"/>
    </row>
    <row r="588" ht="14" customHeight="1">
      <c r="A588" s="15" t="n">
        <v>2011</v>
      </c>
      <c r="B588" s="45">
        <f>IF((A588&gt;=2022),M588,(((C588+D588)+E588)+F588))</f>
        <v/>
      </c>
      <c r="C588" s="46">
        <f>(G588+H588)</f>
        <v/>
      </c>
      <c r="D588" s="46">
        <f>I588</f>
        <v/>
      </c>
      <c r="E588" s="46">
        <f>(J588+K588)</f>
        <v/>
      </c>
      <c r="F588" s="46">
        <f>L588</f>
        <v/>
      </c>
      <c r="G588" s="46" t="n">
        <v>3943.6</v>
      </c>
      <c r="H588" s="46" t="n">
        <v>117.7</v>
      </c>
      <c r="I588" s="46" t="n">
        <v>485.6</v>
      </c>
      <c r="J588" s="46" t="n">
        <v>364.1</v>
      </c>
      <c r="K588" s="46" t="n">
        <v>81.09999999999999</v>
      </c>
      <c r="L588" s="46" t="n">
        <v>408.5</v>
      </c>
      <c r="M588" s="46" t="n"/>
    </row>
    <row r="589" ht="14" customHeight="1">
      <c r="A589" s="22" t="n">
        <v>2012</v>
      </c>
      <c r="B589" s="47">
        <f>IF((A589&gt;=2022),M589,(((C589+D589)+E589)+F589))</f>
        <v/>
      </c>
      <c r="C589" s="48">
        <f>(G589+H589)</f>
        <v/>
      </c>
      <c r="D589" s="48">
        <f>I589</f>
        <v/>
      </c>
      <c r="E589" s="48">
        <f>(J589+K589)</f>
        <v/>
      </c>
      <c r="F589" s="48">
        <f>L589</f>
        <v/>
      </c>
      <c r="G589" s="48" t="n">
        <v>3898.5</v>
      </c>
      <c r="H589" s="48" t="n">
        <v>115.1</v>
      </c>
      <c r="I589" s="48" t="n">
        <v>481.6</v>
      </c>
      <c r="J589" s="48" t="n">
        <v>367.3</v>
      </c>
      <c r="K589" s="48" t="n">
        <v>82.2</v>
      </c>
      <c r="L589" s="48" t="n">
        <v>402.1</v>
      </c>
      <c r="M589" s="48" t="n"/>
    </row>
    <row r="590" ht="14" customHeight="1">
      <c r="A590" s="15" t="n">
        <v>2013</v>
      </c>
      <c r="B590" s="45">
        <f>IF((A590&gt;=2022),M590,(((C590+D590)+E590)+F590))</f>
        <v/>
      </c>
      <c r="C590" s="46">
        <f>(G590+H590)</f>
        <v/>
      </c>
      <c r="D590" s="46">
        <f>I590</f>
        <v/>
      </c>
      <c r="E590" s="46">
        <f>(J590+K590)</f>
        <v/>
      </c>
      <c r="F590" s="46">
        <f>L590</f>
        <v/>
      </c>
      <c r="G590" s="46" t="n">
        <v>3957.2</v>
      </c>
      <c r="H590" s="46" t="n">
        <v>114.7</v>
      </c>
      <c r="I590" s="46" t="n">
        <v>480.5</v>
      </c>
      <c r="J590" s="46" t="n">
        <v>371.8</v>
      </c>
      <c r="K590" s="46" t="n">
        <v>82</v>
      </c>
      <c r="L590" s="46" t="n">
        <v>406</v>
      </c>
      <c r="M590" s="46" t="n"/>
    </row>
    <row r="591" ht="14" customHeight="1">
      <c r="A591" s="22" t="n">
        <v>2014</v>
      </c>
      <c r="B591" s="47">
        <f>IF((A591&gt;=2022),M591,(((C591+D591)+E591)+F591))</f>
        <v/>
      </c>
      <c r="C591" s="48">
        <f>(G591+H591)</f>
        <v/>
      </c>
      <c r="D591" s="48">
        <f>I591</f>
        <v/>
      </c>
      <c r="E591" s="48">
        <f>(J591+K591)</f>
        <v/>
      </c>
      <c r="F591" s="48">
        <f>L591</f>
        <v/>
      </c>
      <c r="G591" s="48" t="n">
        <v>4012.5</v>
      </c>
      <c r="H591" s="48" t="n">
        <v>117.4</v>
      </c>
      <c r="I591" s="48" t="n">
        <v>476.2</v>
      </c>
      <c r="J591" s="48" t="n">
        <v>376.3</v>
      </c>
      <c r="K591" s="48" t="n">
        <v>82.2</v>
      </c>
      <c r="L591" s="48" t="n">
        <v>425.6</v>
      </c>
      <c r="M591" s="48" t="n"/>
    </row>
    <row r="592" ht="14" customHeight="1">
      <c r="A592" s="15" t="n">
        <v>2015</v>
      </c>
      <c r="B592" s="45">
        <f>IF((A592&gt;=2022),M592,(((C592+D592)+E592)+F592))</f>
        <v/>
      </c>
      <c r="C592" s="46">
        <f>(G592+H592)</f>
        <v/>
      </c>
      <c r="D592" s="46">
        <f>I592</f>
        <v/>
      </c>
      <c r="E592" s="46">
        <f>(J592+K592)</f>
        <v/>
      </c>
      <c r="F592" s="46">
        <f>L592</f>
        <v/>
      </c>
      <c r="G592" s="46" t="n">
        <v>4101</v>
      </c>
      <c r="H592" s="46" t="n">
        <v>117.4</v>
      </c>
      <c r="I592" s="46" t="n">
        <v>493.4</v>
      </c>
      <c r="J592" s="46" t="n">
        <v>381.6</v>
      </c>
      <c r="K592" s="46" t="n">
        <v>80.2</v>
      </c>
      <c r="L592" s="46" t="n">
        <v>451.8</v>
      </c>
      <c r="M592" s="46" t="n"/>
    </row>
    <row r="593" ht="14" customHeight="1">
      <c r="A593" s="22" t="n">
        <v>2016</v>
      </c>
      <c r="B593" s="47">
        <f>IF((A593&gt;=2022),M593,(((C593+D593)+E593)+F593))</f>
        <v/>
      </c>
      <c r="C593" s="48">
        <f>(G593+H593)</f>
        <v/>
      </c>
      <c r="D593" s="48">
        <f>I593</f>
        <v/>
      </c>
      <c r="E593" s="48">
        <f>(J593+K593)</f>
        <v/>
      </c>
      <c r="F593" s="48">
        <f>L593</f>
        <v/>
      </c>
      <c r="G593" s="48" t="n">
        <v>4185</v>
      </c>
      <c r="H593" s="48" t="n">
        <v>118.7</v>
      </c>
      <c r="I593" s="48" t="n">
        <v>498.3</v>
      </c>
      <c r="J593" s="48" t="n">
        <v>386.5</v>
      </c>
      <c r="K593" s="48" t="n">
        <v>82.59999999999999</v>
      </c>
      <c r="L593" s="48" t="n">
        <v>492.6</v>
      </c>
      <c r="M593" s="48" t="n"/>
    </row>
    <row r="594" ht="14" customHeight="1">
      <c r="A594" s="15" t="n">
        <v>2017</v>
      </c>
      <c r="B594" s="45">
        <f>IF((A594&gt;=2022),M594,(((C594+D594)+E594)+F594))</f>
        <v/>
      </c>
      <c r="C594" s="46">
        <f>(G594+H594)</f>
        <v/>
      </c>
      <c r="D594" s="46">
        <f>I594</f>
        <v/>
      </c>
      <c r="E594" s="46">
        <f>(J594+K594)</f>
        <v/>
      </c>
      <c r="F594" s="46">
        <f>L594</f>
        <v/>
      </c>
      <c r="G594" s="46" t="n">
        <v>4228.5</v>
      </c>
      <c r="H594" s="46" t="n">
        <v>112.2</v>
      </c>
      <c r="I594" s="46" t="n">
        <v>479</v>
      </c>
      <c r="J594" s="46" t="n">
        <v>400.8</v>
      </c>
      <c r="K594" s="46" t="n">
        <v>84.3</v>
      </c>
      <c r="L594" s="46" t="n">
        <v>538.4</v>
      </c>
      <c r="M594" s="46" t="n"/>
    </row>
    <row r="595" ht="14" customHeight="1">
      <c r="A595" s="22" t="n">
        <v>2018</v>
      </c>
      <c r="B595" s="47">
        <f>IF((A595&gt;=2022),M595,(((C595+D595)+E595)+F595))</f>
        <v/>
      </c>
      <c r="C595" s="48">
        <f>(G595+H595)</f>
        <v/>
      </c>
      <c r="D595" s="48">
        <f>I595</f>
        <v/>
      </c>
      <c r="E595" s="48">
        <f>(J595+K595)</f>
        <v/>
      </c>
      <c r="F595" s="48">
        <f>L595</f>
        <v/>
      </c>
      <c r="G595" s="48" t="n">
        <v>4257</v>
      </c>
      <c r="H595" s="48" t="n">
        <v>106.8</v>
      </c>
      <c r="I595" s="48" t="n">
        <v>484.1</v>
      </c>
      <c r="J595" s="48" t="n">
        <v>407.3</v>
      </c>
      <c r="K595" s="48" t="n">
        <v>86.90000000000001</v>
      </c>
      <c r="L595" s="48" t="n">
        <v>571.8</v>
      </c>
      <c r="M595" s="48" t="n"/>
    </row>
    <row r="596" ht="14" customHeight="1">
      <c r="A596" s="15" t="n">
        <v>2019</v>
      </c>
      <c r="B596" s="45">
        <f>IF((A596&gt;=2022),M596,(((C596+D596)+E596)+F596))</f>
        <v/>
      </c>
      <c r="C596" s="46">
        <f>(G596+H596)</f>
        <v/>
      </c>
      <c r="D596" s="46">
        <f>I596</f>
        <v/>
      </c>
      <c r="E596" s="46">
        <f>(J596+K596)</f>
        <v/>
      </c>
      <c r="F596" s="46">
        <f>L596</f>
        <v/>
      </c>
      <c r="G596" s="46" t="n">
        <v>4299.9</v>
      </c>
      <c r="H596" s="46" t="n">
        <v>111.3</v>
      </c>
      <c r="I596" s="46" t="n">
        <v>487.5</v>
      </c>
      <c r="J596" s="46" t="n">
        <v>420.9</v>
      </c>
      <c r="K596" s="46" t="n">
        <v>87.09999999999999</v>
      </c>
      <c r="L596" s="46" t="n">
        <v>585.5</v>
      </c>
      <c r="M596" s="46" t="n"/>
    </row>
    <row r="597" ht="14" customHeight="1">
      <c r="A597" s="22" t="n">
        <v>2020</v>
      </c>
      <c r="B597" s="47">
        <f>IF((A597&gt;=2022),M597,(((C597+D597)+E597)+F597))</f>
        <v/>
      </c>
      <c r="C597" s="48">
        <f>(G597+H597)</f>
        <v/>
      </c>
      <c r="D597" s="48">
        <f>I597</f>
        <v/>
      </c>
      <c r="E597" s="48">
        <f>(J597+K597)</f>
        <v/>
      </c>
      <c r="F597" s="48">
        <f>L597</f>
        <v/>
      </c>
      <c r="G597" s="48" t="n">
        <v>3583</v>
      </c>
      <c r="H597" s="48" t="n">
        <v>100.1</v>
      </c>
      <c r="I597" s="48" t="n">
        <v>293.6</v>
      </c>
      <c r="J597" s="48" t="n">
        <v>227.3</v>
      </c>
      <c r="K597" s="48" t="n">
        <v>53.9</v>
      </c>
      <c r="L597" s="48" t="n">
        <v>177.9</v>
      </c>
      <c r="M597" s="48" t="n"/>
    </row>
    <row r="598" ht="14" customHeight="1">
      <c r="A598" s="15" t="n">
        <v>2022</v>
      </c>
      <c r="B598" s="45">
        <f>IF((A598&gt;=2022),M598,(((C598+D598)+E598)+F598))</f>
        <v/>
      </c>
      <c r="C598" s="46">
        <f>(G598+H598)</f>
        <v/>
      </c>
      <c r="D598" s="46">
        <f>I598</f>
        <v/>
      </c>
      <c r="E598" s="46">
        <f>(J598+K598)</f>
        <v/>
      </c>
      <c r="F598" s="46">
        <f>L598</f>
        <v/>
      </c>
      <c r="G598" s="46" t="n"/>
      <c r="H598" s="46" t="n"/>
      <c r="I598" s="46" t="n"/>
      <c r="J598" s="46" t="n"/>
      <c r="K598" s="46" t="n"/>
      <c r="L598" s="46" t="n"/>
      <c r="M598" s="46" t="n">
        <v>5617</v>
      </c>
    </row>
    <row r="599" ht="14" customHeight="1">
      <c r="A599" s="22" t="n">
        <v>2023</v>
      </c>
      <c r="B599" s="47">
        <f>IF((A599&gt;=2022),M599,(((C599+D599)+E599)+F599))</f>
        <v/>
      </c>
      <c r="C599" s="48">
        <f>(G599+H599)</f>
        <v/>
      </c>
      <c r="D599" s="48">
        <f>I599</f>
        <v/>
      </c>
      <c r="E599" s="48">
        <f>(J599+K599)</f>
        <v/>
      </c>
      <c r="F599" s="48">
        <f>L599</f>
        <v/>
      </c>
      <c r="G599" s="48" t="n"/>
      <c r="H599" s="48" t="n"/>
      <c r="I599" s="48" t="n"/>
      <c r="J599" s="48" t="n"/>
      <c r="K599" s="48" t="n"/>
      <c r="L599" s="48" t="n"/>
      <c r="M599" s="48" t="n">
        <v>5932</v>
      </c>
    </row>
    <row r="602">
      <c r="A602" s="53" t="inlineStr">
        <is>
          <t>T2b · Total freight transport demand  (Gtkm)</t>
        </is>
      </c>
    </row>
    <row r="603" ht="26" customHeight="1">
      <c r="A603" s="50" t="inlineStr">
        <is>
          <t>No derivation for the later years — the figure is the publication's own.</t>
        </is>
      </c>
    </row>
    <row r="604" ht="24" customHeight="1">
      <c r="A604" s="3" t="inlineStr">
        <is>
          <t>Derivation:  Value = IF(A &gt;= 2023, [Post-report figure as published], [Road]+[Rail]+[IWW])</t>
        </is>
      </c>
    </row>
    <row r="605" ht="42" customHeight="1">
      <c r="A605" s="44" t="inlineStr">
        <is>
          <t>Year</t>
        </is>
      </c>
      <c r="B605" s="44" t="inlineStr">
        <is>
          <t>Value</t>
        </is>
      </c>
      <c r="C605" s="44" t="inlineStr">
        <is>
          <t>Road</t>
        </is>
      </c>
      <c r="D605" s="44" t="inlineStr">
        <is>
          <t>Rail</t>
        </is>
      </c>
      <c r="E605" s="44" t="inlineStr">
        <is>
          <t>IWW</t>
        </is>
      </c>
      <c r="F605" s="44" t="inlineStr">
        <is>
          <t>Road (2)</t>
        </is>
      </c>
      <c r="G605" s="44" t="inlineStr">
        <is>
          <t>Rail (2)</t>
        </is>
      </c>
      <c r="H605" s="44" t="inlineStr">
        <is>
          <t>Inland Waterway</t>
        </is>
      </c>
      <c r="I605" s="44" t="inlineStr">
        <is>
          <t>Post-report figure as published</t>
        </is>
      </c>
    </row>
    <row r="606" ht="14" customHeight="1">
      <c r="A606" s="15" t="n">
        <v>2005</v>
      </c>
      <c r="B606" s="45">
        <f>IF((A606&gt;=2023),I606,((C606+D606)+E606))</f>
        <v/>
      </c>
      <c r="C606" s="46">
        <f>F606</f>
        <v/>
      </c>
      <c r="D606" s="46">
        <f>G606</f>
        <v/>
      </c>
      <c r="E606" s="46">
        <f>H606</f>
        <v/>
      </c>
      <c r="F606" s="46" t="n">
        <v>1588.154065574329</v>
      </c>
      <c r="G606" s="46" t="n">
        <v>394.597</v>
      </c>
      <c r="H606" s="46" t="n">
        <v>138.6109744</v>
      </c>
      <c r="I606" s="46" t="n"/>
    </row>
    <row r="607" ht="14" customHeight="1">
      <c r="A607" s="22" t="n">
        <v>2006</v>
      </c>
      <c r="B607" s="47">
        <f>IF((A607&gt;=2023),I607,((C607+D607)+E607))</f>
        <v/>
      </c>
      <c r="C607" s="48">
        <f>F607</f>
        <v/>
      </c>
      <c r="D607" s="48">
        <f>G607</f>
        <v/>
      </c>
      <c r="E607" s="48">
        <f>H607</f>
        <v/>
      </c>
      <c r="F607" s="48" t="n">
        <v>1638.794582238671</v>
      </c>
      <c r="G607" s="48" t="n">
        <v>416.246</v>
      </c>
      <c r="H607" s="48" t="n">
        <v>138.4169691</v>
      </c>
      <c r="I607" s="48" t="n"/>
    </row>
    <row r="608" ht="14" customHeight="1">
      <c r="A608" s="15" t="n">
        <v>2007</v>
      </c>
      <c r="B608" s="45">
        <f>IF((A608&gt;=2023),I608,((C608+D608)+E608))</f>
        <v/>
      </c>
      <c r="C608" s="46">
        <f>F608</f>
        <v/>
      </c>
      <c r="D608" s="46">
        <f>G608</f>
        <v/>
      </c>
      <c r="E608" s="46">
        <f>H608</f>
        <v/>
      </c>
      <c r="F608" s="46" t="n">
        <v>1697.644038975535</v>
      </c>
      <c r="G608" s="46" t="n">
        <v>430.724</v>
      </c>
      <c r="H608" s="46" t="n">
        <v>145.402</v>
      </c>
      <c r="I608" s="46" t="n"/>
    </row>
    <row r="609" ht="14" customHeight="1">
      <c r="A609" s="22" t="n">
        <v>2008</v>
      </c>
      <c r="B609" s="47">
        <f>IF((A609&gt;=2023),I609,((C609+D609)+E609))</f>
        <v/>
      </c>
      <c r="C609" s="48">
        <f>F609</f>
        <v/>
      </c>
      <c r="D609" s="48">
        <f>G609</f>
        <v/>
      </c>
      <c r="E609" s="48">
        <f>H609</f>
        <v/>
      </c>
      <c r="F609" s="48" t="n">
        <v>1676.461640882639</v>
      </c>
      <c r="G609" s="48" t="n">
        <v>421.6859999999999</v>
      </c>
      <c r="H609" s="48" t="n">
        <v>146.903</v>
      </c>
      <c r="I609" s="48" t="n"/>
    </row>
    <row r="610" ht="14" customHeight="1">
      <c r="A610" s="15" t="n">
        <v>2009</v>
      </c>
      <c r="B610" s="45">
        <f>IF((A610&gt;=2023),I610,((C610+D610)+E610))</f>
        <v/>
      </c>
      <c r="C610" s="46">
        <f>F610</f>
        <v/>
      </c>
      <c r="D610" s="46">
        <f>G610</f>
        <v/>
      </c>
      <c r="E610" s="46">
        <f>H610</f>
        <v/>
      </c>
      <c r="F610" s="46" t="n">
        <v>1515.316586063559</v>
      </c>
      <c r="G610" s="46" t="n">
        <v>344.369</v>
      </c>
      <c r="H610" s="46" t="n">
        <v>132.606</v>
      </c>
      <c r="I610" s="46" t="n"/>
    </row>
    <row r="611" ht="14" customHeight="1">
      <c r="A611" s="22" t="n">
        <v>2010</v>
      </c>
      <c r="B611" s="47">
        <f>IF((A611&gt;=2023),I611,((C611+D611)+E611))</f>
        <v/>
      </c>
      <c r="C611" s="48">
        <f>F611</f>
        <v/>
      </c>
      <c r="D611" s="48">
        <f>G611</f>
        <v/>
      </c>
      <c r="E611" s="48">
        <f>H611</f>
        <v/>
      </c>
      <c r="F611" s="48" t="n">
        <v>1558.292534426257</v>
      </c>
      <c r="G611" s="48" t="n">
        <v>374.955</v>
      </c>
      <c r="H611" s="48" t="n">
        <v>155.365</v>
      </c>
      <c r="I611" s="48" t="n"/>
    </row>
    <row r="612" ht="14" customHeight="1">
      <c r="A612" s="15" t="n">
        <v>2011</v>
      </c>
      <c r="B612" s="45">
        <f>IF((A612&gt;=2023),I612,((C612+D612)+E612))</f>
        <v/>
      </c>
      <c r="C612" s="46">
        <f>F612</f>
        <v/>
      </c>
      <c r="D612" s="46">
        <f>G612</f>
        <v/>
      </c>
      <c r="E612" s="46">
        <f>H612</f>
        <v/>
      </c>
      <c r="F612" s="46" t="n">
        <v>1541.631199373764</v>
      </c>
      <c r="G612" s="46" t="n">
        <v>401.1219999999998</v>
      </c>
      <c r="H612" s="46" t="n">
        <v>141.825</v>
      </c>
      <c r="I612" s="46" t="n"/>
    </row>
    <row r="613" ht="14" customHeight="1">
      <c r="A613" s="22" t="n">
        <v>2012</v>
      </c>
      <c r="B613" s="47">
        <f>IF((A613&gt;=2023),I613,((C613+D613)+E613))</f>
        <v/>
      </c>
      <c r="C613" s="48">
        <f>F613</f>
        <v/>
      </c>
      <c r="D613" s="48">
        <f>G613</f>
        <v/>
      </c>
      <c r="E613" s="48">
        <f>H613</f>
        <v/>
      </c>
      <c r="F613" s="48" t="n">
        <v>1481.690412046742</v>
      </c>
      <c r="G613" s="48" t="n">
        <v>385.189</v>
      </c>
      <c r="H613" s="48" t="n">
        <v>149.822</v>
      </c>
      <c r="I613" s="48" t="n"/>
    </row>
    <row r="614" ht="14" customHeight="1">
      <c r="A614" s="15" t="n">
        <v>2013</v>
      </c>
      <c r="B614" s="45">
        <f>IF((A614&gt;=2023),I614,((C614+D614)+E614))</f>
        <v/>
      </c>
      <c r="C614" s="46">
        <f>F614</f>
        <v/>
      </c>
      <c r="D614" s="46">
        <f>G614</f>
        <v/>
      </c>
      <c r="E614" s="46">
        <f>H614</f>
        <v/>
      </c>
      <c r="F614" s="46" t="n">
        <v>1516.36403982845</v>
      </c>
      <c r="G614" s="46" t="n">
        <v>384.3190000000001</v>
      </c>
      <c r="H614" s="46" t="n">
        <v>152.584</v>
      </c>
      <c r="I614" s="46" t="n"/>
    </row>
    <row r="615" ht="14" customHeight="1">
      <c r="A615" s="22" t="n">
        <v>2014</v>
      </c>
      <c r="B615" s="47">
        <f>IF((A615&gt;=2023),I615,((C615+D615)+E615))</f>
        <v/>
      </c>
      <c r="C615" s="48">
        <f>F615</f>
        <v/>
      </c>
      <c r="D615" s="48">
        <f>G615</f>
        <v/>
      </c>
      <c r="E615" s="48">
        <f>H615</f>
        <v/>
      </c>
      <c r="F615" s="48" t="n">
        <v>1527.434623579993</v>
      </c>
      <c r="G615" s="48" t="n">
        <v>388.932</v>
      </c>
      <c r="H615" s="48" t="n">
        <v>150.707</v>
      </c>
      <c r="I615" s="48" t="n"/>
    </row>
    <row r="616" ht="14" customHeight="1">
      <c r="A616" s="15" t="n">
        <v>2015</v>
      </c>
      <c r="B616" s="45">
        <f>IF((A616&gt;=2023),I616,((C616+D616)+E616))</f>
        <v/>
      </c>
      <c r="C616" s="46">
        <f>F616</f>
        <v/>
      </c>
      <c r="D616" s="46">
        <f>G616</f>
        <v/>
      </c>
      <c r="E616" s="46">
        <f>H616</f>
        <v/>
      </c>
      <c r="F616" s="46" t="n">
        <v>1561.987682770911</v>
      </c>
      <c r="G616" s="46" t="n">
        <v>398.5170000000001</v>
      </c>
      <c r="H616" s="46" t="n">
        <v>147.351</v>
      </c>
      <c r="I616" s="46" t="n"/>
    </row>
    <row r="617" ht="14" customHeight="1">
      <c r="A617" s="22" t="n">
        <v>2016</v>
      </c>
      <c r="B617" s="47">
        <f>IF((A617&gt;=2023),I617,((C617+D617)+E617))</f>
        <v/>
      </c>
      <c r="C617" s="48">
        <f>F617</f>
        <v/>
      </c>
      <c r="D617" s="48">
        <f>G617</f>
        <v/>
      </c>
      <c r="E617" s="48">
        <f>H617</f>
        <v/>
      </c>
      <c r="F617" s="48" t="n">
        <v>1619.747730095177</v>
      </c>
      <c r="G617" s="48" t="n">
        <v>407.4580000000001</v>
      </c>
      <c r="H617" s="48" t="n">
        <v>146.609</v>
      </c>
      <c r="I617" s="48" t="n"/>
    </row>
    <row r="618" ht="14" customHeight="1">
      <c r="A618" s="15" t="n">
        <v>2017</v>
      </c>
      <c r="B618" s="45">
        <f>IF((A618&gt;=2023),I618,((C618+D618)+E618))</f>
        <v/>
      </c>
      <c r="C618" s="46">
        <f>F618</f>
        <v/>
      </c>
      <c r="D618" s="46">
        <f>G618</f>
        <v/>
      </c>
      <c r="E618" s="46">
        <f>H618</f>
        <v/>
      </c>
      <c r="F618" s="46" t="n">
        <v>1707.313863416839</v>
      </c>
      <c r="G618" s="46" t="n">
        <v>411.278</v>
      </c>
      <c r="H618" s="46" t="n">
        <v>147.2233333333333</v>
      </c>
      <c r="I618" s="46" t="n"/>
    </row>
    <row r="619" ht="14" customHeight="1">
      <c r="A619" s="22" t="n">
        <v>2018</v>
      </c>
      <c r="B619" s="47">
        <f>IF((A619&gt;=2023),I619,((C619+D619)+E619))</f>
        <v/>
      </c>
      <c r="C619" s="48">
        <f>F619</f>
        <v/>
      </c>
      <c r="D619" s="48">
        <f>G619</f>
        <v/>
      </c>
      <c r="E619" s="48">
        <f>H619</f>
        <v/>
      </c>
      <c r="F619" s="48" t="n">
        <v>1707.496</v>
      </c>
      <c r="G619" s="48" t="n">
        <v>418.314</v>
      </c>
      <c r="H619" s="48" t="n">
        <v>131.3027777777778</v>
      </c>
      <c r="I619" s="48" t="n"/>
    </row>
    <row r="620" ht="14" customHeight="1">
      <c r="A620" s="15" t="n">
        <v>2019</v>
      </c>
      <c r="B620" s="45">
        <f>IF((A620&gt;=2023),I620,((C620+D620)+E620))</f>
        <v/>
      </c>
      <c r="C620" s="46">
        <f>F620</f>
        <v/>
      </c>
      <c r="D620" s="46">
        <f>G620</f>
        <v/>
      </c>
      <c r="E620" s="46">
        <f>H620</f>
        <v/>
      </c>
      <c r="F620" s="46" t="n">
        <v>1764.787</v>
      </c>
      <c r="G620" s="46" t="n">
        <v>407.921</v>
      </c>
      <c r="H620" s="46" t="n">
        <v>139.697</v>
      </c>
      <c r="I620" s="46" t="n"/>
    </row>
    <row r="621" ht="14" customHeight="1">
      <c r="A621" s="22" t="n">
        <v>2020</v>
      </c>
      <c r="B621" s="47">
        <f>IF((A621&gt;=2023),I621,((C621+D621)+E621))</f>
        <v/>
      </c>
      <c r="C621" s="48">
        <f>F621</f>
        <v/>
      </c>
      <c r="D621" s="48">
        <f>G621</f>
        <v/>
      </c>
      <c r="E621" s="48">
        <f>H621</f>
        <v/>
      </c>
      <c r="F621" s="48" t="n">
        <v>1744.986</v>
      </c>
      <c r="G621" s="48" t="n">
        <v>377.3070000000001</v>
      </c>
      <c r="H621" s="48" t="n">
        <v>131.741</v>
      </c>
      <c r="I621" s="48" t="n"/>
    </row>
    <row r="622" ht="14" customHeight="1">
      <c r="A622" s="15" t="n">
        <v>2023</v>
      </c>
      <c r="B622" s="45">
        <f>IF((A622&gt;=2023),I622,((C622+D622)+E622))</f>
        <v/>
      </c>
      <c r="C622" s="46">
        <f>F622</f>
        <v/>
      </c>
      <c r="D622" s="46">
        <f>G622</f>
        <v/>
      </c>
      <c r="E622" s="46">
        <f>H622</f>
        <v/>
      </c>
      <c r="F622" s="46" t="n"/>
      <c r="G622" s="46" t="n"/>
      <c r="H622" s="46" t="n"/>
      <c r="I622" s="46" t="n">
        <v>2319</v>
      </c>
    </row>
    <row r="625">
      <c r="A625" s="53" t="inlineStr">
        <is>
          <t>T3a · Road share of motorised inland passenger transport  (%)</t>
        </is>
      </c>
    </row>
    <row r="626" ht="26" customHeight="1">
      <c r="A626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627" ht="24" customHeight="1">
      <c r="A627" s="3" t="inlineStr">
        <is>
          <t>Derivation:  Value = (([Passenger Cars]+[Powered 2-wheelers])/([Passenger Cars]+[Powered 2-wheelers]+[Buses &amp; Coaches]+[Railways]+[Tram &amp; Metro])) * [fraction → % (× 100)]</t>
        </is>
      </c>
    </row>
    <row r="628" ht="42" customHeight="1">
      <c r="A628" s="44" t="inlineStr">
        <is>
          <t>Year</t>
        </is>
      </c>
      <c r="B628" s="44" t="inlineStr">
        <is>
          <t>Value</t>
        </is>
      </c>
      <c r="C628" s="44" t="inlineStr">
        <is>
          <t>Passenger Cars</t>
        </is>
      </c>
      <c r="D628" s="44" t="inlineStr">
        <is>
          <t>Powered 2-wheelers</t>
        </is>
      </c>
      <c r="E628" s="44" t="inlineStr">
        <is>
          <t>Buses &amp; Coaches</t>
        </is>
      </c>
      <c r="F628" s="44" t="inlineStr">
        <is>
          <t>Railways</t>
        </is>
      </c>
      <c r="G628" s="44" t="inlineStr">
        <is>
          <t>Tram &amp; Metro</t>
        </is>
      </c>
      <c r="H628" s="44" t="inlineStr">
        <is>
          <t>fraction → % (× 100)</t>
        </is>
      </c>
    </row>
    <row r="629" ht="14" customHeight="1">
      <c r="A629" s="15" t="n">
        <v>2005</v>
      </c>
      <c r="B629" s="45">
        <f>(((C629+D629)/((((C629+D629)+E629)+F629)+G629))*H629)</f>
        <v/>
      </c>
      <c r="C629" s="46" t="n">
        <v>3839.2</v>
      </c>
      <c r="D629" s="46" t="n">
        <v>114.6</v>
      </c>
      <c r="E629" s="46" t="n">
        <v>497.8</v>
      </c>
      <c r="F629" s="46" t="n">
        <v>339.8</v>
      </c>
      <c r="G629" s="46" t="n">
        <v>73.2</v>
      </c>
      <c r="H629" s="46" t="n">
        <v>100</v>
      </c>
    </row>
    <row r="630" ht="14" customHeight="1">
      <c r="A630" s="22" t="n">
        <v>2006</v>
      </c>
      <c r="B630" s="47">
        <f>(((C630+D630)/((((C630+D630)+E630)+F630)+G630))*H630)</f>
        <v/>
      </c>
      <c r="C630" s="48" t="n">
        <v>3875.3</v>
      </c>
      <c r="D630" s="48" t="n">
        <v>113.6</v>
      </c>
      <c r="E630" s="48" t="n">
        <v>497.8</v>
      </c>
      <c r="F630" s="48" t="n">
        <v>349.4</v>
      </c>
      <c r="G630" s="48" t="n">
        <v>74.59999999999999</v>
      </c>
      <c r="H630" s="48" t="n">
        <v>100</v>
      </c>
    </row>
    <row r="631" ht="14" customHeight="1">
      <c r="A631" s="15" t="n">
        <v>2007</v>
      </c>
      <c r="B631" s="45">
        <f>(((C631+D631)/((((C631+D631)+E631)+F631)+G631))*H631)</f>
        <v/>
      </c>
      <c r="C631" s="46" t="n">
        <v>3921.3</v>
      </c>
      <c r="D631" s="46" t="n">
        <v>109.6</v>
      </c>
      <c r="E631" s="46" t="n">
        <v>507.9</v>
      </c>
      <c r="F631" s="46" t="n">
        <v>353.4</v>
      </c>
      <c r="G631" s="46" t="n">
        <v>76.40000000000001</v>
      </c>
      <c r="H631" s="46" t="n">
        <v>100</v>
      </c>
    </row>
    <row r="632" ht="14" customHeight="1">
      <c r="A632" s="22" t="n">
        <v>2008</v>
      </c>
      <c r="B632" s="47">
        <f>(((C632+D632)/((((C632+D632)+E632)+F632)+G632))*H632)</f>
        <v/>
      </c>
      <c r="C632" s="48" t="n">
        <v>3931.6</v>
      </c>
      <c r="D632" s="48" t="n">
        <v>114.5</v>
      </c>
      <c r="E632" s="48" t="n">
        <v>514.1</v>
      </c>
      <c r="F632" s="48" t="n">
        <v>366.6</v>
      </c>
      <c r="G632" s="48" t="n">
        <v>79.3</v>
      </c>
      <c r="H632" s="48" t="n">
        <v>100</v>
      </c>
    </row>
    <row r="633" ht="14" customHeight="1">
      <c r="A633" s="15" t="n">
        <v>2009</v>
      </c>
      <c r="B633" s="45">
        <f>(((C633+D633)/((((C633+D633)+E633)+F633)+G633))*H633)</f>
        <v/>
      </c>
      <c r="C633" s="46" t="n">
        <v>4009.2</v>
      </c>
      <c r="D633" s="46" t="n">
        <v>112</v>
      </c>
      <c r="E633" s="46" t="n">
        <v>489.7</v>
      </c>
      <c r="F633" s="46" t="n">
        <v>359.3</v>
      </c>
      <c r="G633" s="46" t="n">
        <v>78.59999999999999</v>
      </c>
      <c r="H633" s="46" t="n">
        <v>100</v>
      </c>
    </row>
    <row r="634" ht="14" customHeight="1">
      <c r="A634" s="22" t="n">
        <v>2010</v>
      </c>
      <c r="B634" s="47">
        <f>(((C634+D634)/((((C634+D634)+E634)+F634)+G634))*H634)</f>
        <v/>
      </c>
      <c r="C634" s="48" t="n">
        <v>3975.9</v>
      </c>
      <c r="D634" s="48" t="n">
        <v>113.8</v>
      </c>
      <c r="E634" s="48" t="n">
        <v>482.2</v>
      </c>
      <c r="F634" s="48" t="n">
        <v>358.3</v>
      </c>
      <c r="G634" s="48" t="n">
        <v>80.7</v>
      </c>
      <c r="H634" s="48" t="n">
        <v>100</v>
      </c>
    </row>
    <row r="635" ht="14" customHeight="1">
      <c r="A635" s="15" t="n">
        <v>2011</v>
      </c>
      <c r="B635" s="45">
        <f>(((C635+D635)/((((C635+D635)+E635)+F635)+G635))*H635)</f>
        <v/>
      </c>
      <c r="C635" s="46" t="n">
        <v>3943.6</v>
      </c>
      <c r="D635" s="46" t="n">
        <v>117.7</v>
      </c>
      <c r="E635" s="46" t="n">
        <v>485.6</v>
      </c>
      <c r="F635" s="46" t="n">
        <v>364.1</v>
      </c>
      <c r="G635" s="46" t="n">
        <v>81.09999999999999</v>
      </c>
      <c r="H635" s="46" t="n">
        <v>100</v>
      </c>
    </row>
    <row r="636" ht="14" customHeight="1">
      <c r="A636" s="22" t="n">
        <v>2012</v>
      </c>
      <c r="B636" s="47">
        <f>(((C636+D636)/((((C636+D636)+E636)+F636)+G636))*H636)</f>
        <v/>
      </c>
      <c r="C636" s="48" t="n">
        <v>3898.5</v>
      </c>
      <c r="D636" s="48" t="n">
        <v>115.1</v>
      </c>
      <c r="E636" s="48" t="n">
        <v>481.6</v>
      </c>
      <c r="F636" s="48" t="n">
        <v>367.3</v>
      </c>
      <c r="G636" s="48" t="n">
        <v>82.2</v>
      </c>
      <c r="H636" s="48" t="n">
        <v>100</v>
      </c>
    </row>
    <row r="637" ht="14" customHeight="1">
      <c r="A637" s="15" t="n">
        <v>2013</v>
      </c>
      <c r="B637" s="45">
        <f>(((C637+D637)/((((C637+D637)+E637)+F637)+G637))*H637)</f>
        <v/>
      </c>
      <c r="C637" s="46" t="n">
        <v>3957.2</v>
      </c>
      <c r="D637" s="46" t="n">
        <v>114.7</v>
      </c>
      <c r="E637" s="46" t="n">
        <v>480.5</v>
      </c>
      <c r="F637" s="46" t="n">
        <v>371.8</v>
      </c>
      <c r="G637" s="46" t="n">
        <v>82</v>
      </c>
      <c r="H637" s="46" t="n">
        <v>100</v>
      </c>
    </row>
    <row r="638" ht="14" customHeight="1">
      <c r="A638" s="22" t="n">
        <v>2014</v>
      </c>
      <c r="B638" s="47">
        <f>(((C638+D638)/((((C638+D638)+E638)+F638)+G638))*H638)</f>
        <v/>
      </c>
      <c r="C638" s="48" t="n">
        <v>4012.5</v>
      </c>
      <c r="D638" s="48" t="n">
        <v>117.4</v>
      </c>
      <c r="E638" s="48" t="n">
        <v>476.2</v>
      </c>
      <c r="F638" s="48" t="n">
        <v>376.3</v>
      </c>
      <c r="G638" s="48" t="n">
        <v>82.2</v>
      </c>
      <c r="H638" s="48" t="n">
        <v>100</v>
      </c>
    </row>
    <row r="639" ht="14" customHeight="1">
      <c r="A639" s="15" t="n">
        <v>2015</v>
      </c>
      <c r="B639" s="45">
        <f>(((C639+D639)/((((C639+D639)+E639)+F639)+G639))*H639)</f>
        <v/>
      </c>
      <c r="C639" s="46" t="n">
        <v>4101</v>
      </c>
      <c r="D639" s="46" t="n">
        <v>117.4</v>
      </c>
      <c r="E639" s="46" t="n">
        <v>493.4</v>
      </c>
      <c r="F639" s="46" t="n">
        <v>381.6</v>
      </c>
      <c r="G639" s="46" t="n">
        <v>80.2</v>
      </c>
      <c r="H639" s="46" t="n">
        <v>100</v>
      </c>
    </row>
    <row r="640" ht="14" customHeight="1">
      <c r="A640" s="22" t="n">
        <v>2016</v>
      </c>
      <c r="B640" s="47">
        <f>(((C640+D640)/((((C640+D640)+E640)+F640)+G640))*H640)</f>
        <v/>
      </c>
      <c r="C640" s="48" t="n">
        <v>4185</v>
      </c>
      <c r="D640" s="48" t="n">
        <v>118.7</v>
      </c>
      <c r="E640" s="48" t="n">
        <v>498.3</v>
      </c>
      <c r="F640" s="48" t="n">
        <v>386.5</v>
      </c>
      <c r="G640" s="48" t="n">
        <v>82.59999999999999</v>
      </c>
      <c r="H640" s="48" t="n">
        <v>100</v>
      </c>
    </row>
    <row r="641" ht="14" customHeight="1">
      <c r="A641" s="15" t="n">
        <v>2017</v>
      </c>
      <c r="B641" s="45">
        <f>(((C641+D641)/((((C641+D641)+E641)+F641)+G641))*H641)</f>
        <v/>
      </c>
      <c r="C641" s="46" t="n">
        <v>4228.5</v>
      </c>
      <c r="D641" s="46" t="n">
        <v>112.2</v>
      </c>
      <c r="E641" s="46" t="n">
        <v>479</v>
      </c>
      <c r="F641" s="46" t="n">
        <v>400.8</v>
      </c>
      <c r="G641" s="46" t="n">
        <v>84.3</v>
      </c>
      <c r="H641" s="46" t="n">
        <v>100</v>
      </c>
    </row>
    <row r="642" ht="14" customHeight="1">
      <c r="A642" s="22" t="n">
        <v>2018</v>
      </c>
      <c r="B642" s="47">
        <f>(((C642+D642)/((((C642+D642)+E642)+F642)+G642))*H642)</f>
        <v/>
      </c>
      <c r="C642" s="48" t="n">
        <v>4257</v>
      </c>
      <c r="D642" s="48" t="n">
        <v>106.8</v>
      </c>
      <c r="E642" s="48" t="n">
        <v>484.1</v>
      </c>
      <c r="F642" s="48" t="n">
        <v>407.3</v>
      </c>
      <c r="G642" s="48" t="n">
        <v>86.90000000000001</v>
      </c>
      <c r="H642" s="48" t="n">
        <v>100</v>
      </c>
    </row>
    <row r="643" ht="14" customHeight="1">
      <c r="A643" s="15" t="n">
        <v>2019</v>
      </c>
      <c r="B643" s="45">
        <f>(((C643+D643)/((((C643+D643)+E643)+F643)+G643))*H643)</f>
        <v/>
      </c>
      <c r="C643" s="46" t="n">
        <v>4299.9</v>
      </c>
      <c r="D643" s="46" t="n">
        <v>111.3</v>
      </c>
      <c r="E643" s="46" t="n">
        <v>487.5</v>
      </c>
      <c r="F643" s="46" t="n">
        <v>420.9</v>
      </c>
      <c r="G643" s="46" t="n">
        <v>87.09999999999999</v>
      </c>
      <c r="H643" s="46" t="n">
        <v>100</v>
      </c>
    </row>
    <row r="644" ht="14" customHeight="1">
      <c r="A644" s="22" t="n">
        <v>2020</v>
      </c>
      <c r="B644" s="47">
        <f>(((C644+D644)/((((C644+D644)+E644)+F644)+G644))*H644)</f>
        <v/>
      </c>
      <c r="C644" s="48" t="n">
        <v>3583</v>
      </c>
      <c r="D644" s="48" t="n">
        <v>100.1</v>
      </c>
      <c r="E644" s="48" t="n">
        <v>293.6</v>
      </c>
      <c r="F644" s="48" t="n">
        <v>227.3</v>
      </c>
      <c r="G644" s="48" t="n">
        <v>53.9</v>
      </c>
      <c r="H644" s="48" t="n">
        <v>100</v>
      </c>
    </row>
    <row r="647">
      <c r="A647" s="53" t="inlineStr">
        <is>
          <t>T3b · Intra-EU air passenger transport  (Gpkm)</t>
        </is>
      </c>
    </row>
    <row r="648" ht="26" customHeight="1">
      <c r="A64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649" ht="24" customHeight="1">
      <c r="A649" s="3" t="inlineStr">
        <is>
          <t>Derivation:  Value = [Air passenger demand (Gpkm)]</t>
        </is>
      </c>
    </row>
    <row r="650" ht="42" customHeight="1">
      <c r="A650" s="44" t="inlineStr">
        <is>
          <t>Year</t>
        </is>
      </c>
      <c r="B650" s="44" t="inlineStr">
        <is>
          <t>Value</t>
        </is>
      </c>
      <c r="C650" s="44" t="inlineStr">
        <is>
          <t>Air passenger demand (Gpkm)</t>
        </is>
      </c>
    </row>
    <row r="651" ht="14" customHeight="1">
      <c r="A651" s="15" t="n">
        <v>2005</v>
      </c>
      <c r="B651" s="45">
        <f>C651</f>
        <v/>
      </c>
      <c r="C651" s="46" t="n">
        <v>361.3</v>
      </c>
    </row>
    <row r="652" ht="14" customHeight="1">
      <c r="A652" s="22" t="n">
        <v>2006</v>
      </c>
      <c r="B652" s="47">
        <f>C652</f>
        <v/>
      </c>
      <c r="C652" s="48" t="n">
        <v>376.4</v>
      </c>
    </row>
    <row r="653" ht="14" customHeight="1">
      <c r="A653" s="15" t="n">
        <v>2007</v>
      </c>
      <c r="B653" s="45">
        <f>C653</f>
        <v/>
      </c>
      <c r="C653" s="46" t="n">
        <v>392.2</v>
      </c>
    </row>
    <row r="654" ht="14" customHeight="1">
      <c r="A654" s="22" t="n">
        <v>2008</v>
      </c>
      <c r="B654" s="47">
        <f>C654</f>
        <v/>
      </c>
      <c r="C654" s="48" t="n">
        <v>383.8</v>
      </c>
    </row>
    <row r="655" ht="14" customHeight="1">
      <c r="A655" s="15" t="n">
        <v>2009</v>
      </c>
      <c r="B655" s="45">
        <f>C655</f>
        <v/>
      </c>
      <c r="C655" s="46" t="n">
        <v>361.8</v>
      </c>
    </row>
    <row r="656" ht="14" customHeight="1">
      <c r="A656" s="22" t="n">
        <v>2010</v>
      </c>
      <c r="B656" s="47">
        <f>C656</f>
        <v/>
      </c>
      <c r="C656" s="48" t="n">
        <v>377.3</v>
      </c>
    </row>
    <row r="657" ht="14" customHeight="1">
      <c r="A657" s="15" t="n">
        <v>2011</v>
      </c>
      <c r="B657" s="45">
        <f>C657</f>
        <v/>
      </c>
      <c r="C657" s="46" t="n">
        <v>408.5</v>
      </c>
    </row>
    <row r="658" ht="14" customHeight="1">
      <c r="A658" s="22" t="n">
        <v>2012</v>
      </c>
      <c r="B658" s="47">
        <f>C658</f>
        <v/>
      </c>
      <c r="C658" s="48" t="n">
        <v>402.1</v>
      </c>
    </row>
    <row r="659" ht="14" customHeight="1">
      <c r="A659" s="15" t="n">
        <v>2013</v>
      </c>
      <c r="B659" s="45">
        <f>C659</f>
        <v/>
      </c>
      <c r="C659" s="46" t="n">
        <v>406</v>
      </c>
    </row>
    <row r="660" ht="14" customHeight="1">
      <c r="A660" s="22" t="n">
        <v>2014</v>
      </c>
      <c r="B660" s="47">
        <f>C660</f>
        <v/>
      </c>
      <c r="C660" s="48" t="n">
        <v>425.6</v>
      </c>
    </row>
    <row r="661" ht="14" customHeight="1">
      <c r="A661" s="15" t="n">
        <v>2015</v>
      </c>
      <c r="B661" s="45">
        <f>C661</f>
        <v/>
      </c>
      <c r="C661" s="46" t="n">
        <v>451.8</v>
      </c>
    </row>
    <row r="662" ht="14" customHeight="1">
      <c r="A662" s="22" t="n">
        <v>2016</v>
      </c>
      <c r="B662" s="47">
        <f>C662</f>
        <v/>
      </c>
      <c r="C662" s="48" t="n">
        <v>492.6</v>
      </c>
    </row>
    <row r="663" ht="14" customHeight="1">
      <c r="A663" s="15" t="n">
        <v>2017</v>
      </c>
      <c r="B663" s="45">
        <f>C663</f>
        <v/>
      </c>
      <c r="C663" s="46" t="n">
        <v>538.4</v>
      </c>
    </row>
    <row r="664" ht="14" customHeight="1">
      <c r="A664" s="22" t="n">
        <v>2018</v>
      </c>
      <c r="B664" s="47">
        <f>C664</f>
        <v/>
      </c>
      <c r="C664" s="48" t="n">
        <v>571.8</v>
      </c>
    </row>
    <row r="665" ht="14" customHeight="1">
      <c r="A665" s="15" t="n">
        <v>2019</v>
      </c>
      <c r="B665" s="45">
        <f>C665</f>
        <v/>
      </c>
      <c r="C665" s="46" t="n">
        <v>585.5</v>
      </c>
    </row>
    <row r="666" ht="14" customHeight="1">
      <c r="A666" s="22" t="n">
        <v>2020</v>
      </c>
      <c r="B666" s="47">
        <f>C666</f>
        <v/>
      </c>
      <c r="C666" s="48" t="n">
        <v>177.9</v>
      </c>
    </row>
    <row r="667" ht="14" customHeight="1">
      <c r="A667" s="15" t="n">
        <v>2022</v>
      </c>
      <c r="B667" s="45">
        <f>C667</f>
        <v/>
      </c>
      <c r="C667" s="46" t="n">
        <v>512</v>
      </c>
    </row>
    <row r="668" ht="14" customHeight="1">
      <c r="A668" s="22" t="n">
        <v>2023</v>
      </c>
      <c r="B668" s="47">
        <f>C668</f>
        <v/>
      </c>
      <c r="C668" s="48" t="n">
        <v>582</v>
      </c>
    </row>
    <row r="671">
      <c r="A671" s="53" t="inlineStr">
        <is>
          <t>T4 · Average CO₂ intensity of new passenger cars (WLTP)  (g CO₂/km)</t>
        </is>
      </c>
    </row>
    <row r="672" ht="26" customHeight="1">
      <c r="A672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673" ht="24" customHeight="1">
      <c r="A673" s="3" t="inlineStr">
        <is>
          <t>Derivation:  Value = [New-car CO2 intensity WLTP (gCO2/km)]</t>
        </is>
      </c>
    </row>
    <row r="674" ht="42" customHeight="1">
      <c r="A674" s="44" t="inlineStr">
        <is>
          <t>Year</t>
        </is>
      </c>
      <c r="B674" s="44" t="inlineStr">
        <is>
          <t>Value</t>
        </is>
      </c>
      <c r="C674" s="44" t="inlineStr">
        <is>
          <t>New-car CO2 intensity WLTP (gCO2/km)</t>
        </is>
      </c>
    </row>
    <row r="675" ht="14" customHeight="1">
      <c r="A675" s="15" t="n">
        <v>2020</v>
      </c>
      <c r="B675" s="45">
        <f>C675</f>
        <v/>
      </c>
      <c r="C675" s="46" t="n">
        <v>130.3</v>
      </c>
    </row>
    <row r="676" ht="14" customHeight="1">
      <c r="A676" s="22" t="n">
        <v>2021</v>
      </c>
      <c r="B676" s="47">
        <f>C676</f>
        <v/>
      </c>
      <c r="C676" s="48" t="n">
        <v>114.1</v>
      </c>
    </row>
    <row r="677" ht="14" customHeight="1">
      <c r="A677" s="15" t="n">
        <v>2022</v>
      </c>
      <c r="B677" s="45">
        <f>C677</f>
        <v/>
      </c>
      <c r="C677" s="46" t="n">
        <v>108.2</v>
      </c>
    </row>
    <row r="678" ht="14" customHeight="1">
      <c r="A678" s="22" t="n">
        <v>2023</v>
      </c>
      <c r="B678" s="47">
        <f>C678</f>
        <v/>
      </c>
      <c r="C678" s="48" t="n">
        <v>106.4</v>
      </c>
    </row>
    <row r="679" ht="14" customHeight="1">
      <c r="A679" s="15" t="n">
        <v>2024</v>
      </c>
      <c r="B679" s="45">
        <f>C679</f>
        <v/>
      </c>
      <c r="C679" s="46" t="n">
        <v>106.8</v>
      </c>
    </row>
    <row r="680" ht="14" customHeight="1">
      <c r="A680" s="22" t="n">
        <v>2025</v>
      </c>
      <c r="B680" s="47">
        <f>C680</f>
        <v/>
      </c>
      <c r="C680" s="48" t="n">
        <v>96.7</v>
      </c>
    </row>
    <row r="683">
      <c r="A683" s="53" t="inlineStr">
        <is>
          <t>T5a · ZEV share of new passenger car registrations  (%)</t>
        </is>
      </c>
    </row>
    <row r="684" ht="26" customHeight="1">
      <c r="A684" s="50" t="inlineStr">
        <is>
          <t>No derivation for the later years — the figure is the publication's own.</t>
        </is>
      </c>
    </row>
    <row r="685" ht="24" customHeight="1">
      <c r="A685" s="3" t="inlineStr">
        <is>
          <t>Derivation:  Value = IF(A &gt;= 2023, [Post-report figure as published], ([ZEV]) * [fraction → % (× 100)])</t>
        </is>
      </c>
    </row>
    <row r="686" ht="42" customHeight="1">
      <c r="A686" s="44" t="inlineStr">
        <is>
          <t>Year</t>
        </is>
      </c>
      <c r="B686" s="44" t="inlineStr">
        <is>
          <t>Value</t>
        </is>
      </c>
      <c r="C686" s="44" t="inlineStr">
        <is>
          <t>ZEV</t>
        </is>
      </c>
      <c r="D686" s="44" t="inlineStr">
        <is>
          <t>BEV</t>
        </is>
      </c>
      <c r="E686" s="44" t="inlineStr">
        <is>
          <t>H2</t>
        </is>
      </c>
      <c r="F686" s="44" t="inlineStr">
        <is>
          <t>Post-report figure as published</t>
        </is>
      </c>
      <c r="G686" s="44" t="inlineStr">
        <is>
          <t>fraction → % (× 100)</t>
        </is>
      </c>
    </row>
    <row r="687" ht="14" customHeight="1">
      <c r="A687" s="15" t="n">
        <v>2010</v>
      </c>
      <c r="B687" s="45">
        <f>IF((A687&gt;=2023),F687,(C687*G687))</f>
        <v/>
      </c>
      <c r="C687" s="46">
        <f>(D687+E687)</f>
        <v/>
      </c>
      <c r="D687" s="46" t="n">
        <v>0.0001</v>
      </c>
      <c r="E687" s="46" t="n">
        <v>0</v>
      </c>
      <c r="F687" s="46" t="n"/>
      <c r="G687" s="46" t="n">
        <v>100</v>
      </c>
    </row>
    <row r="688" ht="14" customHeight="1">
      <c r="A688" s="22" t="n">
        <v>2011</v>
      </c>
      <c r="B688" s="47">
        <f>IF((A688&gt;=2023),F688,(C688*G688))</f>
        <v/>
      </c>
      <c r="C688" s="48">
        <f>(D688+E688)</f>
        <v/>
      </c>
      <c r="D688" s="48" t="n">
        <v>0.0007000000000000001</v>
      </c>
      <c r="E688" s="48" t="n">
        <v>0</v>
      </c>
      <c r="F688" s="48" t="n"/>
      <c r="G688" s="48" t="n">
        <v>100</v>
      </c>
    </row>
    <row r="689" ht="14" customHeight="1">
      <c r="A689" s="15" t="n">
        <v>2012</v>
      </c>
      <c r="B689" s="45">
        <f>IF((A689&gt;=2023),F689,(C689*G689))</f>
        <v/>
      </c>
      <c r="C689" s="46">
        <f>(D689+E689)</f>
        <v/>
      </c>
      <c r="D689" s="46" t="n">
        <v>0.0013</v>
      </c>
      <c r="E689" s="46" t="n">
        <v>0</v>
      </c>
      <c r="F689" s="46" t="n"/>
      <c r="G689" s="46" t="n">
        <v>100</v>
      </c>
    </row>
    <row r="690" ht="14" customHeight="1">
      <c r="A690" s="22" t="n">
        <v>2013</v>
      </c>
      <c r="B690" s="47">
        <f>IF((A690&gt;=2023),F690,(C690*G690))</f>
        <v/>
      </c>
      <c r="C690" s="48">
        <f>(D690+E690)</f>
        <v/>
      </c>
      <c r="D690" s="48" t="n">
        <v>0.0022</v>
      </c>
      <c r="E690" s="48" t="n">
        <v>0</v>
      </c>
      <c r="F690" s="48" t="n"/>
      <c r="G690" s="48" t="n">
        <v>100</v>
      </c>
    </row>
    <row r="691" ht="14" customHeight="1">
      <c r="A691" s="15" t="n">
        <v>2014</v>
      </c>
      <c r="B691" s="45">
        <f>IF((A691&gt;=2023),F691,(C691*G691))</f>
        <v/>
      </c>
      <c r="C691" s="46">
        <f>(D691+E691)</f>
        <v/>
      </c>
      <c r="D691" s="46" t="n">
        <v>0.0033</v>
      </c>
      <c r="E691" s="46" t="n">
        <v>0</v>
      </c>
      <c r="F691" s="46" t="n"/>
      <c r="G691" s="46" t="n">
        <v>100</v>
      </c>
    </row>
    <row r="692" ht="14" customHeight="1">
      <c r="A692" s="22" t="n">
        <v>2015</v>
      </c>
      <c r="B692" s="47">
        <f>IF((A692&gt;=2023),F692,(C692*G692))</f>
        <v/>
      </c>
      <c r="C692" s="48">
        <f>(D692+E692)</f>
        <v/>
      </c>
      <c r="D692" s="48" t="n">
        <v>0.0046</v>
      </c>
      <c r="E692" s="48" t="n">
        <v>0</v>
      </c>
      <c r="F692" s="48" t="n"/>
      <c r="G692" s="48" t="n">
        <v>100</v>
      </c>
    </row>
    <row r="693" ht="14" customHeight="1">
      <c r="A693" s="15" t="n">
        <v>2016</v>
      </c>
      <c r="B693" s="45">
        <f>IF((A693&gt;=2023),F693,(C693*G693))</f>
        <v/>
      </c>
      <c r="C693" s="46">
        <f>(D693+E693)</f>
        <v/>
      </c>
      <c r="D693" s="46" t="n">
        <v>0.004699999999999999</v>
      </c>
      <c r="E693" s="46" t="n">
        <v>0</v>
      </c>
      <c r="F693" s="46" t="n"/>
      <c r="G693" s="46" t="n">
        <v>100</v>
      </c>
    </row>
    <row r="694" ht="14" customHeight="1">
      <c r="A694" s="22" t="n">
        <v>2017</v>
      </c>
      <c r="B694" s="47">
        <f>IF((A694&gt;=2023),F694,(C694*G694))</f>
        <v/>
      </c>
      <c r="C694" s="48">
        <f>(D694+E694)</f>
        <v/>
      </c>
      <c r="D694" s="48" t="n">
        <v>0.0068</v>
      </c>
      <c r="E694" s="48" t="n">
        <v>0</v>
      </c>
      <c r="F694" s="48" t="n"/>
      <c r="G694" s="48" t="n">
        <v>100</v>
      </c>
    </row>
    <row r="695" ht="14" customHeight="1">
      <c r="A695" s="15" t="n">
        <v>2018</v>
      </c>
      <c r="B695" s="45">
        <f>IF((A695&gt;=2023),F695,(C695*G695))</f>
        <v/>
      </c>
      <c r="C695" s="46">
        <f>(D695+E695)</f>
        <v/>
      </c>
      <c r="D695" s="46" t="n">
        <v>0.0106</v>
      </c>
      <c r="E695" s="46" t="n">
        <v>0</v>
      </c>
      <c r="F695" s="46" t="n"/>
      <c r="G695" s="46" t="n">
        <v>100</v>
      </c>
    </row>
    <row r="696" ht="14" customHeight="1">
      <c r="A696" s="22" t="n">
        <v>2019</v>
      </c>
      <c r="B696" s="47">
        <f>IF((A696&gt;=2023),F696,(C696*G696))</f>
        <v/>
      </c>
      <c r="C696" s="48">
        <f>(D696+E696)</f>
        <v/>
      </c>
      <c r="D696" s="48" t="n">
        <v>0.019</v>
      </c>
      <c r="E696" s="48" t="n">
        <v>0</v>
      </c>
      <c r="F696" s="48" t="n"/>
      <c r="G696" s="48" t="n">
        <v>100</v>
      </c>
    </row>
    <row r="697" ht="14" customHeight="1">
      <c r="A697" s="15" t="n">
        <v>2020</v>
      </c>
      <c r="B697" s="45">
        <f>IF((A697&gt;=2023),F697,(C697*G697))</f>
        <v/>
      </c>
      <c r="C697" s="46">
        <f>(D697+E697)</f>
        <v/>
      </c>
      <c r="D697" s="46" t="n">
        <v>0.0538</v>
      </c>
      <c r="E697" s="46" t="n">
        <v>0.0001</v>
      </c>
      <c r="F697" s="46" t="n"/>
      <c r="G697" s="46" t="n">
        <v>100</v>
      </c>
    </row>
    <row r="698" ht="14" customHeight="1">
      <c r="A698" s="22" t="n">
        <v>2021</v>
      </c>
      <c r="B698" s="47">
        <f>IF((A698&gt;=2023),F698,(C698*G698))</f>
        <v/>
      </c>
      <c r="C698" s="48">
        <f>(D698+E698)</f>
        <v/>
      </c>
      <c r="D698" s="48" t="n">
        <v>0.0886</v>
      </c>
      <c r="E698" s="48" t="n">
        <v>0.0001</v>
      </c>
      <c r="F698" s="48" t="n"/>
      <c r="G698" s="48" t="n">
        <v>100</v>
      </c>
    </row>
    <row r="699" ht="14" customHeight="1">
      <c r="A699" s="15" t="n">
        <v>2022</v>
      </c>
      <c r="B699" s="45">
        <f>IF((A699&gt;=2023),F699,(C699*G699))</f>
        <v/>
      </c>
      <c r="C699" s="46">
        <f>(D699+E699)</f>
        <v/>
      </c>
      <c r="D699" s="46" t="n">
        <v>0.134</v>
      </c>
      <c r="E699" s="46" t="n">
        <v>0.0001</v>
      </c>
      <c r="F699" s="46" t="n"/>
      <c r="G699" s="46" t="n">
        <v>100</v>
      </c>
    </row>
    <row r="700" ht="14" customHeight="1">
      <c r="A700" s="22" t="n">
        <v>2023</v>
      </c>
      <c r="B700" s="47">
        <f>IF((A700&gt;=2023),F700,(C700*G700))</f>
        <v/>
      </c>
      <c r="C700" s="48">
        <f>(D700+E700)</f>
        <v/>
      </c>
      <c r="D700" s="48" t="n"/>
      <c r="E700" s="48" t="n"/>
      <c r="F700" s="48" t="n">
        <v>14.6</v>
      </c>
      <c r="G700" s="48" t="n">
        <v>100</v>
      </c>
    </row>
    <row r="701" ht="14" customHeight="1">
      <c r="A701" s="15" t="n">
        <v>2024</v>
      </c>
      <c r="B701" s="45">
        <f>IF((A701&gt;=2023),F701,(C701*G701))</f>
        <v/>
      </c>
      <c r="C701" s="46">
        <f>(D701+E701)</f>
        <v/>
      </c>
      <c r="D701" s="46" t="n"/>
      <c r="E701" s="46" t="n"/>
      <c r="F701" s="46" t="n">
        <v>13.6</v>
      </c>
      <c r="G701" s="46" t="n">
        <v>100</v>
      </c>
    </row>
    <row r="702" ht="14" customHeight="1">
      <c r="A702" s="22" t="n">
        <v>2025</v>
      </c>
      <c r="B702" s="47">
        <f>IF((A702&gt;=2023),F702,(C702*G702))</f>
        <v/>
      </c>
      <c r="C702" s="48">
        <f>(D702+E702)</f>
        <v/>
      </c>
      <c r="D702" s="48" t="n"/>
      <c r="E702" s="48" t="n"/>
      <c r="F702" s="48" t="n">
        <v>17.4</v>
      </c>
      <c r="G702" s="48" t="n">
        <v>100</v>
      </c>
    </row>
    <row r="705">
      <c r="A705" s="53" t="inlineStr">
        <is>
          <t>T5b · Zero-emission lorries in the EU fleet  (vehicles)</t>
        </is>
      </c>
    </row>
    <row r="706" ht="26" customHeight="1">
      <c r="A706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707" ht="24" customHeight="1">
      <c r="A707" s="3" t="inlineStr">
        <is>
          <t>Derivation:  Value = [ZEV]</t>
        </is>
      </c>
    </row>
    <row r="708" ht="42" customHeight="1">
      <c r="A708" s="44" t="inlineStr">
        <is>
          <t>Year</t>
        </is>
      </c>
      <c r="B708" s="44" t="inlineStr">
        <is>
          <t>Value</t>
        </is>
      </c>
      <c r="C708" s="44" t="inlineStr">
        <is>
          <t>ZEV</t>
        </is>
      </c>
      <c r="D708" s="44" t="inlineStr">
        <is>
          <t>BEV</t>
        </is>
      </c>
      <c r="E708" s="44" t="inlineStr">
        <is>
          <t>H2</t>
        </is>
      </c>
    </row>
    <row r="709" ht="14" customHeight="1">
      <c r="A709" s="15" t="n">
        <v>2015</v>
      </c>
      <c r="B709" s="45">
        <f>C709</f>
        <v/>
      </c>
      <c r="C709" s="46">
        <f>(D709+E709)</f>
        <v/>
      </c>
      <c r="D709" s="46" t="n">
        <v>71</v>
      </c>
      <c r="E709" s="46" t="n">
        <v>0</v>
      </c>
    </row>
    <row r="710" ht="14" customHeight="1">
      <c r="A710" s="22" t="n">
        <v>2016</v>
      </c>
      <c r="B710" s="47">
        <f>C710</f>
        <v/>
      </c>
      <c r="C710" s="48">
        <f>(D710+E710)</f>
        <v/>
      </c>
      <c r="D710" s="48" t="n">
        <v>113</v>
      </c>
      <c r="E710" s="48" t="n">
        <v>4</v>
      </c>
    </row>
    <row r="711" ht="14" customHeight="1">
      <c r="A711" s="15" t="n">
        <v>2017</v>
      </c>
      <c r="B711" s="45">
        <f>C711</f>
        <v/>
      </c>
      <c r="C711" s="46">
        <f>(D711+E711)</f>
        <v/>
      </c>
      <c r="D711" s="46" t="n">
        <v>145</v>
      </c>
      <c r="E711" s="46" t="n">
        <v>6</v>
      </c>
    </row>
    <row r="712" ht="14" customHeight="1">
      <c r="A712" s="22" t="n">
        <v>2018</v>
      </c>
      <c r="B712" s="47">
        <f>C712</f>
        <v/>
      </c>
      <c r="C712" s="48">
        <f>(D712+E712)</f>
        <v/>
      </c>
      <c r="D712" s="48" t="n">
        <v>222</v>
      </c>
      <c r="E712" s="48" t="n">
        <v>5</v>
      </c>
    </row>
    <row r="713" ht="14" customHeight="1">
      <c r="A713" s="15" t="n">
        <v>2019</v>
      </c>
      <c r="B713" s="45">
        <f>C713</f>
        <v/>
      </c>
      <c r="C713" s="46">
        <f>(D713+E713)</f>
        <v/>
      </c>
      <c r="D713" s="46" t="n">
        <v>594</v>
      </c>
      <c r="E713" s="46" t="n">
        <v>7</v>
      </c>
    </row>
    <row r="714" ht="14" customHeight="1">
      <c r="A714" s="22" t="n">
        <v>2020</v>
      </c>
      <c r="B714" s="47">
        <f>C714</f>
        <v/>
      </c>
      <c r="C714" s="48">
        <f>(D714+E714)</f>
        <v/>
      </c>
      <c r="D714" s="48" t="n">
        <v>955</v>
      </c>
      <c r="E714" s="48" t="n">
        <v>9</v>
      </c>
    </row>
    <row r="715" ht="14" customHeight="1">
      <c r="A715" s="15" t="n">
        <v>2021</v>
      </c>
      <c r="B715" s="45">
        <f>C715</f>
        <v/>
      </c>
      <c r="C715" s="46">
        <f>(D715+E715)</f>
        <v/>
      </c>
      <c r="D715" s="46" t="n">
        <v>2136</v>
      </c>
      <c r="E715" s="46" t="n">
        <v>14</v>
      </c>
    </row>
    <row r="716" ht="14" customHeight="1">
      <c r="A716" s="22" t="n">
        <v>2022</v>
      </c>
      <c r="B716" s="47">
        <f>C716</f>
        <v/>
      </c>
      <c r="C716" s="48">
        <f>(D716+E716)</f>
        <v/>
      </c>
      <c r="D716" s="48" t="n">
        <v>3739</v>
      </c>
      <c r="E716" s="48" t="n">
        <v>55</v>
      </c>
    </row>
    <row r="719">
      <c r="A719" s="53" t="inlineStr">
        <is>
          <t>T6a · Fossil share of transport energy use  (%)</t>
        </is>
      </c>
    </row>
    <row r="720" ht="26" customHeight="1">
      <c r="A720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721" ht="24" customHeight="1">
      <c r="A721" s="3" t="inlineStr">
        <is>
          <t>Derivation:  Value = IF(A &gt;= 2022, ROUND([Report baseline 2021 (%)] * ([Numerator · nrg_bal_s O4000XBIO] + [Numerator · nrg_bal_s G3000] + [Numerator · nrg_bal_s C0000X0350-0370]) / ([Denominator · nrg_bal_s TOTAL]) / [Live source at 2021 (same basis as the columns left)], 2), ([% fossil]) * [fraction → % (× 100)])</t>
        </is>
      </c>
    </row>
    <row r="722" ht="42" customHeight="1">
      <c r="A722" s="44" t="inlineStr">
        <is>
          <t>Year</t>
        </is>
      </c>
      <c r="B722" s="44" t="inlineStr">
        <is>
          <t>Value</t>
        </is>
      </c>
      <c r="C722" s="44" t="inlineStr">
        <is>
          <t>% fossil</t>
        </is>
      </c>
      <c r="D722" s="44" t="inlineStr">
        <is>
          <t>Solid fossil fuels</t>
        </is>
      </c>
      <c r="E722" s="44" t="inlineStr">
        <is>
          <t>Manufactured gases</t>
        </is>
      </c>
      <c r="F722" s="44" t="inlineStr">
        <is>
          <t>Peat and peat products</t>
        </is>
      </c>
      <c r="G722" s="44" t="inlineStr">
        <is>
          <t>Natural gas</t>
        </is>
      </c>
      <c r="H722" s="44" t="inlineStr">
        <is>
          <t>Oil and petroleum products (excluding biofuel portion)</t>
        </is>
      </c>
      <c r="I722" s="44" t="inlineStr">
        <is>
          <t>Solid fossil fuels (2)</t>
        </is>
      </c>
      <c r="J722" s="44" t="inlineStr">
        <is>
          <t>Manufactured gases (2)</t>
        </is>
      </c>
      <c r="K722" s="44" t="inlineStr">
        <is>
          <t>Peat and peat products (2)</t>
        </is>
      </c>
      <c r="L722" s="44" t="inlineStr">
        <is>
          <t>Natural gas (2)</t>
        </is>
      </c>
      <c r="M722" s="44" t="inlineStr">
        <is>
          <t>Oil and petroleum products (excluding biofuel portion) (2)</t>
        </is>
      </c>
      <c r="N722" s="44" t="inlineStr">
        <is>
          <t>Solid fossil fuels (3)</t>
        </is>
      </c>
      <c r="O722" s="44" t="inlineStr">
        <is>
          <t>Manufactured gases (3)</t>
        </is>
      </c>
      <c r="P722" s="44" t="inlineStr">
        <is>
          <t>Peat and peat products (3)</t>
        </is>
      </c>
      <c r="Q722" s="44" t="inlineStr">
        <is>
          <t>Natural gas (3)</t>
        </is>
      </c>
      <c r="R722" s="44" t="inlineStr">
        <is>
          <t>Oil and petroleum products (excluding biofuel portion) (3)</t>
        </is>
      </c>
      <c r="S722" s="44" t="inlineStr">
        <is>
          <t>Total</t>
        </is>
      </c>
      <c r="T722" s="44" t="inlineStr">
        <is>
          <t>Total (2)</t>
        </is>
      </c>
      <c r="U722" s="44" t="inlineStr">
        <is>
          <t>Total (3)</t>
        </is>
      </c>
      <c r="V722" s="44" t="inlineStr">
        <is>
          <t>Numerator · nrg_bal_s O4000XBIO</t>
        </is>
      </c>
      <c r="W722" s="44" t="inlineStr">
        <is>
          <t>Numerator · nrg_bal_s G3000</t>
        </is>
      </c>
      <c r="X722" s="44" t="inlineStr">
        <is>
          <t>Numerator · nrg_bal_s C0000X0350-0370</t>
        </is>
      </c>
      <c r="Y722" s="44" t="inlineStr">
        <is>
          <t>Denominator · nrg_bal_s TOTAL</t>
        </is>
      </c>
      <c r="Z722" s="44" t="inlineStr">
        <is>
          <t>Report baseline 2021 (%)</t>
        </is>
      </c>
      <c r="AA722" s="44" t="inlineStr">
        <is>
          <t>Live source at 2021 (same basis as the columns left)</t>
        </is>
      </c>
      <c r="AB722" s="44" t="inlineStr">
        <is>
          <t>fraction → % (× 100)</t>
        </is>
      </c>
    </row>
    <row r="723" ht="14" customHeight="1">
      <c r="A723" s="15" t="n">
        <v>2005</v>
      </c>
      <c r="B723" s="45">
        <f>IF((A723&gt;=2022),ROUND((((Z723*((V723+W723)+X723))/Y723)/AA723),2),(C723*AB723))</f>
        <v/>
      </c>
      <c r="C723" s="46">
        <f>(((((((((((((((D723+E723)+F723)+G723)+H723)+I723)+J723)+K723)+L723)+M723)+N723)+O723)+P723)+Q723)+R723)/((S723+T723)+U723))</f>
        <v/>
      </c>
      <c r="D723" s="46" t="n">
        <v>5.489</v>
      </c>
      <c r="E723" s="46" t="n">
        <v>0</v>
      </c>
      <c r="F723" s="46" t="n">
        <v>0</v>
      </c>
      <c r="G723" s="46" t="n">
        <v>2787.873</v>
      </c>
      <c r="H723" s="46" t="n">
        <v>270483.07</v>
      </c>
      <c r="I723" s="46" t="n">
        <v>0</v>
      </c>
      <c r="J723" s="46" t="n">
        <v>0</v>
      </c>
      <c r="K723" s="46" t="n">
        <v>0</v>
      </c>
      <c r="L723" s="46" t="n">
        <v>0</v>
      </c>
      <c r="M723" s="46" t="n">
        <v>47197.778</v>
      </c>
      <c r="N723" s="46" t="n">
        <v>0</v>
      </c>
      <c r="O723" s="46" t="n">
        <v>0</v>
      </c>
      <c r="P723" s="46" t="n">
        <v>0</v>
      </c>
      <c r="Q723" s="46" t="n">
        <v>0</v>
      </c>
      <c r="R723" s="46" t="n">
        <v>31148.203</v>
      </c>
      <c r="S723" s="46" t="n">
        <v>281578.768</v>
      </c>
      <c r="T723" s="46" t="n">
        <v>47197.778</v>
      </c>
      <c r="U723" s="46" t="n">
        <v>31148.203</v>
      </c>
      <c r="V723" s="46" t="n"/>
      <c r="W723" s="46" t="n"/>
      <c r="X723" s="46" t="n"/>
      <c r="Y723" s="46" t="n"/>
      <c r="Z723" s="46" t="n"/>
      <c r="AA723" s="46" t="n"/>
      <c r="AB723" s="46" t="n">
        <v>100</v>
      </c>
    </row>
    <row r="724" ht="14" customHeight="1">
      <c r="A724" s="22" t="n">
        <v>2006</v>
      </c>
      <c r="B724" s="47">
        <f>IF((A724&gt;=2022),ROUND((((Z724*((V724+W724)+X724))/Y724)/AA724),2),(C724*AB724))</f>
        <v/>
      </c>
      <c r="C724" s="48">
        <f>(((((((((((((((D724+E724)+F724)+G724)+H724)+I724)+J724)+K724)+L724)+M724)+N724)+O724)+P724)+Q724)+R724)/((S724+T724)+U724))</f>
        <v/>
      </c>
      <c r="D724" s="48" t="n">
        <v>1.116</v>
      </c>
      <c r="E724" s="48" t="n">
        <v>0</v>
      </c>
      <c r="F724" s="48" t="n">
        <v>0</v>
      </c>
      <c r="G724" s="48" t="n">
        <v>2679.47</v>
      </c>
      <c r="H724" s="48" t="n">
        <v>274348.895</v>
      </c>
      <c r="I724" s="48" t="n">
        <v>0</v>
      </c>
      <c r="J724" s="48" t="n">
        <v>0</v>
      </c>
      <c r="K724" s="48" t="n">
        <v>0</v>
      </c>
      <c r="L724" s="48" t="n">
        <v>0</v>
      </c>
      <c r="M724" s="48" t="n">
        <v>50311.868</v>
      </c>
      <c r="N724" s="48" t="n">
        <v>0</v>
      </c>
      <c r="O724" s="48" t="n">
        <v>0</v>
      </c>
      <c r="P724" s="48" t="n">
        <v>0</v>
      </c>
      <c r="Q724" s="48" t="n">
        <v>0</v>
      </c>
      <c r="R724" s="48" t="n">
        <v>32737.146</v>
      </c>
      <c r="S724" s="48" t="n">
        <v>287221.113</v>
      </c>
      <c r="T724" s="48" t="n">
        <v>50311.868</v>
      </c>
      <c r="U724" s="48" t="n">
        <v>32737.146</v>
      </c>
      <c r="V724" s="48" t="n"/>
      <c r="W724" s="48" t="n"/>
      <c r="X724" s="48" t="n"/>
      <c r="Y724" s="48" t="n"/>
      <c r="Z724" s="48" t="n"/>
      <c r="AA724" s="48" t="n"/>
      <c r="AB724" s="48" t="n">
        <v>100</v>
      </c>
    </row>
    <row r="725" ht="14" customHeight="1">
      <c r="A725" s="15" t="n">
        <v>2007</v>
      </c>
      <c r="B725" s="45">
        <f>IF((A725&gt;=2022),ROUND((((Z725*((V725+W725)+X725))/Y725)/AA725),2),(C725*AB725))</f>
        <v/>
      </c>
      <c r="C725" s="46">
        <f>(((((((((((((((D725+E725)+F725)+G725)+H725)+I725)+J725)+K725)+L725)+M725)+N725)+O725)+P725)+Q725)+R725)/((S725+T725)+U725))</f>
        <v/>
      </c>
      <c r="D725" s="46" t="n">
        <v>0.993</v>
      </c>
      <c r="E725" s="46" t="n">
        <v>0</v>
      </c>
      <c r="F725" s="46" t="n">
        <v>0</v>
      </c>
      <c r="G725" s="46" t="n">
        <v>2770.754</v>
      </c>
      <c r="H725" s="46" t="n">
        <v>276889.839</v>
      </c>
      <c r="I725" s="46" t="n">
        <v>0</v>
      </c>
      <c r="J725" s="46" t="n">
        <v>0</v>
      </c>
      <c r="K725" s="46" t="n">
        <v>0</v>
      </c>
      <c r="L725" s="46" t="n">
        <v>0</v>
      </c>
      <c r="M725" s="46" t="n">
        <v>52464.315</v>
      </c>
      <c r="N725" s="46" t="n">
        <v>0</v>
      </c>
      <c r="O725" s="46" t="n">
        <v>0</v>
      </c>
      <c r="P725" s="46" t="n">
        <v>0</v>
      </c>
      <c r="Q725" s="46" t="n">
        <v>0</v>
      </c>
      <c r="R725" s="46" t="n">
        <v>34156.138</v>
      </c>
      <c r="S725" s="46" t="n">
        <v>291835.11</v>
      </c>
      <c r="T725" s="46" t="n">
        <v>52464.315</v>
      </c>
      <c r="U725" s="46" t="n">
        <v>34156.138</v>
      </c>
      <c r="V725" s="46" t="n"/>
      <c r="W725" s="46" t="n"/>
      <c r="X725" s="46" t="n"/>
      <c r="Y725" s="46" t="n"/>
      <c r="Z725" s="46" t="n"/>
      <c r="AA725" s="46" t="n"/>
      <c r="AB725" s="46" t="n">
        <v>100</v>
      </c>
    </row>
    <row r="726" ht="14" customHeight="1">
      <c r="A726" s="22" t="n">
        <v>2008</v>
      </c>
      <c r="B726" s="47">
        <f>IF((A726&gt;=2022),ROUND((((Z726*((V726+W726)+X726))/Y726)/AA726),2),(C726*AB726))</f>
        <v/>
      </c>
      <c r="C726" s="48">
        <f>(((((((((((((((D726+E726)+F726)+G726)+H726)+I726)+J726)+K726)+L726)+M726)+N726)+O726)+P726)+Q726)+R726)/((S726+T726)+U726))</f>
        <v/>
      </c>
      <c r="D726" s="48" t="n">
        <v>1.021</v>
      </c>
      <c r="E726" s="48" t="n">
        <v>0</v>
      </c>
      <c r="F726" s="48" t="n">
        <v>0</v>
      </c>
      <c r="G726" s="48" t="n">
        <v>2895.259</v>
      </c>
      <c r="H726" s="48" t="n">
        <v>271182.008</v>
      </c>
      <c r="I726" s="48" t="n">
        <v>0</v>
      </c>
      <c r="J726" s="48" t="n">
        <v>0</v>
      </c>
      <c r="K726" s="48" t="n">
        <v>0</v>
      </c>
      <c r="L726" s="48" t="n">
        <v>0</v>
      </c>
      <c r="M726" s="48" t="n">
        <v>51884.183</v>
      </c>
      <c r="N726" s="48" t="n">
        <v>0</v>
      </c>
      <c r="O726" s="48" t="n">
        <v>0</v>
      </c>
      <c r="P726" s="48" t="n">
        <v>0</v>
      </c>
      <c r="Q726" s="48" t="n">
        <v>0</v>
      </c>
      <c r="R726" s="48" t="n">
        <v>34790.878</v>
      </c>
      <c r="S726" s="48" t="n">
        <v>287886.204</v>
      </c>
      <c r="T726" s="48" t="n">
        <v>51884.183</v>
      </c>
      <c r="U726" s="48" t="n">
        <v>34790.878</v>
      </c>
      <c r="V726" s="48" t="n"/>
      <c r="W726" s="48" t="n"/>
      <c r="X726" s="48" t="n"/>
      <c r="Y726" s="48" t="n"/>
      <c r="Z726" s="48" t="n"/>
      <c r="AA726" s="48" t="n"/>
      <c r="AB726" s="48" t="n">
        <v>100</v>
      </c>
    </row>
    <row r="727" ht="14" customHeight="1">
      <c r="A727" s="15" t="n">
        <v>2009</v>
      </c>
      <c r="B727" s="45">
        <f>IF((A727&gt;=2022),ROUND((((Z727*((V727+W727)+X727))/Y727)/AA727),2),(C727*AB727))</f>
        <v/>
      </c>
      <c r="C727" s="46">
        <f>(((((((((((((((D727+E727)+F727)+G727)+H727)+I727)+J727)+K727)+L727)+M727)+N727)+O727)+P727)+Q727)+R727)/((S727+T727)+U727))</f>
        <v/>
      </c>
      <c r="D727" s="46" t="n">
        <v>0.483</v>
      </c>
      <c r="E727" s="46" t="n">
        <v>0</v>
      </c>
      <c r="F727" s="46" t="n">
        <v>0</v>
      </c>
      <c r="G727" s="46" t="n">
        <v>2537.443</v>
      </c>
      <c r="H727" s="46" t="n">
        <v>262752.135</v>
      </c>
      <c r="I727" s="46" t="n">
        <v>0</v>
      </c>
      <c r="J727" s="46" t="n">
        <v>0</v>
      </c>
      <c r="K727" s="46" t="n">
        <v>0</v>
      </c>
      <c r="L727" s="46" t="n">
        <v>0</v>
      </c>
      <c r="M727" s="46" t="n">
        <v>46334.866</v>
      </c>
      <c r="N727" s="46" t="n">
        <v>0</v>
      </c>
      <c r="O727" s="46" t="n">
        <v>0</v>
      </c>
      <c r="P727" s="46" t="n">
        <v>0</v>
      </c>
      <c r="Q727" s="46" t="n">
        <v>0</v>
      </c>
      <c r="R727" s="46" t="n">
        <v>31853.638</v>
      </c>
      <c r="S727" s="46" t="n">
        <v>280641.743</v>
      </c>
      <c r="T727" s="46" t="n">
        <v>46334.866</v>
      </c>
      <c r="U727" s="46" t="n">
        <v>31853.638</v>
      </c>
      <c r="V727" s="46" t="n"/>
      <c r="W727" s="46" t="n"/>
      <c r="X727" s="46" t="n"/>
      <c r="Y727" s="46" t="n"/>
      <c r="Z727" s="46" t="n"/>
      <c r="AA727" s="46" t="n"/>
      <c r="AB727" s="46" t="n">
        <v>100</v>
      </c>
    </row>
    <row r="728" ht="14" customHeight="1">
      <c r="A728" s="22" t="n">
        <v>2010</v>
      </c>
      <c r="B728" s="47">
        <f>IF((A728&gt;=2022),ROUND((((Z728*((V728+W728)+X728))/Y728)/AA728),2),(C728*AB728))</f>
        <v/>
      </c>
      <c r="C728" s="48">
        <f>(((((((((((((((D728+E728)+F728)+G728)+H728)+I728)+J728)+K728)+L728)+M728)+N728)+O728)+P728)+Q728)+R728)/((S728+T728)+U728))</f>
        <v/>
      </c>
      <c r="D728" s="48" t="n">
        <v>0.476</v>
      </c>
      <c r="E728" s="48" t="n">
        <v>0</v>
      </c>
      <c r="F728" s="48" t="n">
        <v>0</v>
      </c>
      <c r="G728" s="48" t="n">
        <v>2660.352</v>
      </c>
      <c r="H728" s="48" t="n">
        <v>260489.882</v>
      </c>
      <c r="I728" s="48" t="n">
        <v>0</v>
      </c>
      <c r="J728" s="48" t="n">
        <v>0</v>
      </c>
      <c r="K728" s="48" t="n">
        <v>0</v>
      </c>
      <c r="L728" s="48" t="n">
        <v>0</v>
      </c>
      <c r="M728" s="48" t="n">
        <v>46700.957</v>
      </c>
      <c r="N728" s="48" t="n">
        <v>0</v>
      </c>
      <c r="O728" s="48" t="n">
        <v>0</v>
      </c>
      <c r="P728" s="48" t="n">
        <v>0</v>
      </c>
      <c r="Q728" s="48" t="n">
        <v>0</v>
      </c>
      <c r="R728" s="48" t="n">
        <v>32120.035</v>
      </c>
      <c r="S728" s="48" t="n">
        <v>279992.442</v>
      </c>
      <c r="T728" s="48" t="n">
        <v>46700.957</v>
      </c>
      <c r="U728" s="48" t="n">
        <v>32120.035</v>
      </c>
      <c r="V728" s="48" t="n"/>
      <c r="W728" s="48" t="n"/>
      <c r="X728" s="48" t="n"/>
      <c r="Y728" s="48" t="n"/>
      <c r="Z728" s="48" t="n"/>
      <c r="AA728" s="48" t="n"/>
      <c r="AB728" s="48" t="n">
        <v>100</v>
      </c>
    </row>
    <row r="729" ht="14" customHeight="1">
      <c r="A729" s="15" t="n">
        <v>2011</v>
      </c>
      <c r="B729" s="45">
        <f>IF((A729&gt;=2022),ROUND((((Z729*((V729+W729)+X729))/Y729)/AA729),2),(C729*AB729))</f>
        <v/>
      </c>
      <c r="C729" s="46">
        <f>(((((((((((((((D729+E729)+F729)+G729)+H729)+I729)+J729)+K729)+L729)+M729)+N729)+O729)+P729)+Q729)+R729)/((S729+T729)+U729))</f>
        <v/>
      </c>
      <c r="D729" s="46" t="n">
        <v>0.469</v>
      </c>
      <c r="E729" s="46" t="n">
        <v>0</v>
      </c>
      <c r="F729" s="46" t="n">
        <v>0</v>
      </c>
      <c r="G729" s="46" t="n">
        <v>3032.095</v>
      </c>
      <c r="H729" s="46" t="n">
        <v>258278.301</v>
      </c>
      <c r="I729" s="46" t="n">
        <v>0</v>
      </c>
      <c r="J729" s="46" t="n">
        <v>0</v>
      </c>
      <c r="K729" s="46" t="n">
        <v>0</v>
      </c>
      <c r="L729" s="46" t="n">
        <v>0</v>
      </c>
      <c r="M729" s="46" t="n">
        <v>46535.697</v>
      </c>
      <c r="N729" s="46" t="n">
        <v>0</v>
      </c>
      <c r="O729" s="46" t="n">
        <v>0</v>
      </c>
      <c r="P729" s="46" t="n">
        <v>0</v>
      </c>
      <c r="Q729" s="46" t="n">
        <v>0</v>
      </c>
      <c r="R729" s="46" t="n">
        <v>33070.273</v>
      </c>
      <c r="S729" s="46" t="n">
        <v>278951.01</v>
      </c>
      <c r="T729" s="46" t="n">
        <v>46535.697</v>
      </c>
      <c r="U729" s="46" t="n">
        <v>33070.273</v>
      </c>
      <c r="V729" s="46" t="n"/>
      <c r="W729" s="46" t="n"/>
      <c r="X729" s="46" t="n"/>
      <c r="Y729" s="46" t="n"/>
      <c r="Z729" s="46" t="n"/>
      <c r="AA729" s="46" t="n"/>
      <c r="AB729" s="46" t="n">
        <v>100</v>
      </c>
    </row>
    <row r="730" ht="14" customHeight="1">
      <c r="A730" s="22" t="n">
        <v>2012</v>
      </c>
      <c r="B730" s="47">
        <f>IF((A730&gt;=2022),ROUND((((Z730*((V730+W730)+X730))/Y730)/AA730),2),(C730*AB730))</f>
        <v/>
      </c>
      <c r="C730" s="48">
        <f>(((((((((((((((D730+E730)+F730)+G730)+H730)+I730)+J730)+K730)+L730)+M730)+N730)+O730)+P730)+Q730)+R730)/((S730+T730)+U730))</f>
        <v/>
      </c>
      <c r="D730" s="48" t="n">
        <v>0.477</v>
      </c>
      <c r="E730" s="48" t="n">
        <v>0</v>
      </c>
      <c r="F730" s="48" t="n">
        <v>0</v>
      </c>
      <c r="G730" s="48" t="n">
        <v>2833.788</v>
      </c>
      <c r="H730" s="48" t="n">
        <v>247925.899</v>
      </c>
      <c r="I730" s="48" t="n">
        <v>0</v>
      </c>
      <c r="J730" s="48" t="n">
        <v>0</v>
      </c>
      <c r="K730" s="48" t="n">
        <v>0</v>
      </c>
      <c r="L730" s="48" t="n">
        <v>0</v>
      </c>
      <c r="M730" s="48" t="n">
        <v>43487.329</v>
      </c>
      <c r="N730" s="48" t="n">
        <v>0</v>
      </c>
      <c r="O730" s="48" t="n">
        <v>0</v>
      </c>
      <c r="P730" s="48" t="n">
        <v>0</v>
      </c>
      <c r="Q730" s="48" t="n">
        <v>0</v>
      </c>
      <c r="R730" s="48" t="n">
        <v>32613.426</v>
      </c>
      <c r="S730" s="48" t="n">
        <v>269187.624</v>
      </c>
      <c r="T730" s="48" t="n">
        <v>43487.329</v>
      </c>
      <c r="U730" s="48" t="n">
        <v>32613.426</v>
      </c>
      <c r="V730" s="48" t="n"/>
      <c r="W730" s="48" t="n"/>
      <c r="X730" s="48" t="n"/>
      <c r="Y730" s="48" t="n"/>
      <c r="Z730" s="48" t="n"/>
      <c r="AA730" s="48" t="n"/>
      <c r="AB730" s="48" t="n">
        <v>100</v>
      </c>
    </row>
    <row r="731" ht="14" customHeight="1">
      <c r="A731" s="15" t="n">
        <v>2013</v>
      </c>
      <c r="B731" s="45">
        <f>IF((A731&gt;=2022),ROUND((((Z731*((V731+W731)+X731))/Y731)/AA731),2),(C731*AB731))</f>
        <v/>
      </c>
      <c r="C731" s="46">
        <f>(((((((((((((((D731+E731)+F731)+G731)+H731)+I731)+J731)+K731)+L731)+M731)+N731)+O731)+P731)+Q731)+R731)/((S731+T731)+U731))</f>
        <v/>
      </c>
      <c r="D731" s="46" t="n">
        <v>0.488</v>
      </c>
      <c r="E731" s="46" t="n">
        <v>0</v>
      </c>
      <c r="F731" s="46" t="n">
        <v>0</v>
      </c>
      <c r="G731" s="46" t="n">
        <v>3119.998</v>
      </c>
      <c r="H731" s="46" t="n">
        <v>245368.584</v>
      </c>
      <c r="I731" s="46" t="n">
        <v>0</v>
      </c>
      <c r="J731" s="46" t="n">
        <v>0</v>
      </c>
      <c r="K731" s="46" t="n">
        <v>0</v>
      </c>
      <c r="L731" s="46" t="n">
        <v>0.315</v>
      </c>
      <c r="M731" s="46" t="n">
        <v>41030.449</v>
      </c>
      <c r="N731" s="46" t="n">
        <v>0</v>
      </c>
      <c r="O731" s="46" t="n">
        <v>0</v>
      </c>
      <c r="P731" s="46" t="n">
        <v>0</v>
      </c>
      <c r="Q731" s="46" t="n">
        <v>0</v>
      </c>
      <c r="R731" s="46" t="n">
        <v>32756.397</v>
      </c>
      <c r="S731" s="46" t="n">
        <v>265449.955</v>
      </c>
      <c r="T731" s="46" t="n">
        <v>41030.763</v>
      </c>
      <c r="U731" s="46" t="n">
        <v>32756.397</v>
      </c>
      <c r="V731" s="46" t="n"/>
      <c r="W731" s="46" t="n"/>
      <c r="X731" s="46" t="n"/>
      <c r="Y731" s="46" t="n"/>
      <c r="Z731" s="46" t="n"/>
      <c r="AA731" s="46" t="n"/>
      <c r="AB731" s="46" t="n">
        <v>100</v>
      </c>
    </row>
    <row r="732" ht="14" customHeight="1">
      <c r="A732" s="22" t="n">
        <v>2014</v>
      </c>
      <c r="B732" s="47">
        <f>IF((A732&gt;=2022),ROUND((((Z732*((V732+W732)+X732))/Y732)/AA732),2),(C732*AB732))</f>
        <v/>
      </c>
      <c r="C732" s="48">
        <f>(((((((((((((((D732+E732)+F732)+G732)+H732)+I732)+J732)+K732)+L732)+M732)+N732)+O732)+P732)+Q732)+R732)/((S732+T732)+U732))</f>
        <v/>
      </c>
      <c r="D732" s="48" t="n">
        <v>1.154</v>
      </c>
      <c r="E732" s="48" t="n">
        <v>0</v>
      </c>
      <c r="F732" s="48" t="n">
        <v>0</v>
      </c>
      <c r="G732" s="48" t="n">
        <v>2993.783</v>
      </c>
      <c r="H732" s="48" t="n">
        <v>248039.318</v>
      </c>
      <c r="I732" s="48" t="n">
        <v>0</v>
      </c>
      <c r="J732" s="48" t="n">
        <v>0</v>
      </c>
      <c r="K732" s="48" t="n">
        <v>0</v>
      </c>
      <c r="L732" s="48" t="n">
        <v>0.523</v>
      </c>
      <c r="M732" s="48" t="n">
        <v>39835.806</v>
      </c>
      <c r="N732" s="48" t="n">
        <v>0</v>
      </c>
      <c r="O732" s="48" t="n">
        <v>0</v>
      </c>
      <c r="P732" s="48" t="n">
        <v>0</v>
      </c>
      <c r="Q732" s="48" t="n">
        <v>0</v>
      </c>
      <c r="R732" s="48" t="n">
        <v>33171.779</v>
      </c>
      <c r="S732" s="48" t="n">
        <v>268808.993</v>
      </c>
      <c r="T732" s="48" t="n">
        <v>39836.329</v>
      </c>
      <c r="U732" s="48" t="n">
        <v>33171.779</v>
      </c>
      <c r="V732" s="48" t="n"/>
      <c r="W732" s="48" t="n"/>
      <c r="X732" s="48" t="n"/>
      <c r="Y732" s="48" t="n"/>
      <c r="Z732" s="48" t="n"/>
      <c r="AA732" s="48" t="n"/>
      <c r="AB732" s="48" t="n">
        <v>100</v>
      </c>
    </row>
    <row r="733" ht="14" customHeight="1">
      <c r="A733" s="15" t="n">
        <v>2015</v>
      </c>
      <c r="B733" s="45">
        <f>IF((A733&gt;=2022),ROUND((((Z733*((V733+W733)+X733))/Y733)/AA733),2),(C733*AB733))</f>
        <v/>
      </c>
      <c r="C733" s="46">
        <f>(((((((((((((((D733+E733)+F733)+G733)+H733)+I733)+J733)+K733)+L733)+M733)+N733)+O733)+P733)+Q733)+R733)/((S733+T733)+U733))</f>
        <v/>
      </c>
      <c r="D733" s="46" t="n">
        <v>1.192</v>
      </c>
      <c r="E733" s="46" t="n">
        <v>0</v>
      </c>
      <c r="F733" s="46" t="n">
        <v>0</v>
      </c>
      <c r="G733" s="46" t="n">
        <v>3031.348</v>
      </c>
      <c r="H733" s="46" t="n">
        <v>251580.015</v>
      </c>
      <c r="I733" s="46" t="n">
        <v>0</v>
      </c>
      <c r="J733" s="46" t="n">
        <v>0</v>
      </c>
      <c r="K733" s="46" t="n">
        <v>0</v>
      </c>
      <c r="L733" s="46" t="n">
        <v>5.384</v>
      </c>
      <c r="M733" s="46" t="n">
        <v>40306.194</v>
      </c>
      <c r="N733" s="46" t="n">
        <v>0</v>
      </c>
      <c r="O733" s="46" t="n">
        <v>0</v>
      </c>
      <c r="P733" s="46" t="n">
        <v>0</v>
      </c>
      <c r="Q733" s="46" t="n">
        <v>0</v>
      </c>
      <c r="R733" s="46" t="n">
        <v>34568.166</v>
      </c>
      <c r="S733" s="46" t="n">
        <v>272463.417</v>
      </c>
      <c r="T733" s="46" t="n">
        <v>40311.578</v>
      </c>
      <c r="U733" s="46" t="n">
        <v>34568.166</v>
      </c>
      <c r="V733" s="46" t="n"/>
      <c r="W733" s="46" t="n"/>
      <c r="X733" s="46" t="n"/>
      <c r="Y733" s="46" t="n"/>
      <c r="Z733" s="46" t="n"/>
      <c r="AA733" s="46" t="n"/>
      <c r="AB733" s="46" t="n">
        <v>100</v>
      </c>
    </row>
    <row r="734" ht="14" customHeight="1">
      <c r="A734" s="22" t="n">
        <v>2016</v>
      </c>
      <c r="B734" s="47">
        <f>IF((A734&gt;=2022),ROUND((((Z734*((V734+W734)+X734))/Y734)/AA734),2),(C734*AB734))</f>
        <v/>
      </c>
      <c r="C734" s="48">
        <f>(((((((((((((((D734+E734)+F734)+G734)+H734)+I734)+J734)+K734)+L734)+M734)+N734)+O734)+P734)+Q734)+R734)/((S734+T734)+U734))</f>
        <v/>
      </c>
      <c r="D734" s="48" t="n">
        <v>1.159</v>
      </c>
      <c r="E734" s="48" t="n">
        <v>0</v>
      </c>
      <c r="F734" s="48" t="n">
        <v>0</v>
      </c>
      <c r="G734" s="48" t="n">
        <v>3198.345</v>
      </c>
      <c r="H734" s="48" t="n">
        <v>257911.861</v>
      </c>
      <c r="I734" s="48" t="n">
        <v>0</v>
      </c>
      <c r="J734" s="48" t="n">
        <v>0</v>
      </c>
      <c r="K734" s="48" t="n">
        <v>0</v>
      </c>
      <c r="L734" s="48" t="n">
        <v>1.771</v>
      </c>
      <c r="M734" s="48" t="n">
        <v>41538.432</v>
      </c>
      <c r="N734" s="48" t="n">
        <v>0</v>
      </c>
      <c r="O734" s="48" t="n">
        <v>0</v>
      </c>
      <c r="P734" s="48" t="n">
        <v>0</v>
      </c>
      <c r="Q734" s="48" t="n">
        <v>0</v>
      </c>
      <c r="R734" s="48" t="n">
        <v>36227.853</v>
      </c>
      <c r="S734" s="48" t="n">
        <v>278736.337</v>
      </c>
      <c r="T734" s="48" t="n">
        <v>41540.203</v>
      </c>
      <c r="U734" s="48" t="n">
        <v>36227.853</v>
      </c>
      <c r="V734" s="48" t="n"/>
      <c r="W734" s="48" t="n"/>
      <c r="X734" s="48" t="n"/>
      <c r="Y734" s="48" t="n"/>
      <c r="Z734" s="48" t="n"/>
      <c r="AA734" s="48" t="n"/>
      <c r="AB734" s="48" t="n">
        <v>100</v>
      </c>
    </row>
    <row r="735" ht="14" customHeight="1">
      <c r="A735" s="15" t="n">
        <v>2017</v>
      </c>
      <c r="B735" s="45">
        <f>IF((A735&gt;=2022),ROUND((((Z735*((V735+W735)+X735))/Y735)/AA735),2),(C735*AB735))</f>
        <v/>
      </c>
      <c r="C735" s="46">
        <f>(((((((((((((((D735+E735)+F735)+G735)+H735)+I735)+J735)+K735)+L735)+M735)+N735)+O735)+P735)+Q735)+R735)/((S735+T735)+U735))</f>
        <v/>
      </c>
      <c r="D735" s="46" t="n">
        <v>1.357</v>
      </c>
      <c r="E735" s="46" t="n">
        <v>0</v>
      </c>
      <c r="F735" s="46" t="n">
        <v>0</v>
      </c>
      <c r="G735" s="46" t="n">
        <v>3304.196</v>
      </c>
      <c r="H735" s="46" t="n">
        <v>262345.946</v>
      </c>
      <c r="I735" s="46" t="n">
        <v>0</v>
      </c>
      <c r="J735" s="46" t="n">
        <v>0</v>
      </c>
      <c r="K735" s="46" t="n">
        <v>0</v>
      </c>
      <c r="L735" s="46" t="n">
        <v>49.946</v>
      </c>
      <c r="M735" s="46" t="n">
        <v>42128.09</v>
      </c>
      <c r="N735" s="46" t="n">
        <v>0</v>
      </c>
      <c r="O735" s="46" t="n">
        <v>0</v>
      </c>
      <c r="P735" s="46" t="n">
        <v>0</v>
      </c>
      <c r="Q735" s="46" t="n">
        <v>0</v>
      </c>
      <c r="R735" s="46" t="n">
        <v>38957.262</v>
      </c>
      <c r="S735" s="46" t="n">
        <v>284509.207</v>
      </c>
      <c r="T735" s="46" t="n">
        <v>42178.037</v>
      </c>
      <c r="U735" s="46" t="n">
        <v>38957.262</v>
      </c>
      <c r="V735" s="46" t="n"/>
      <c r="W735" s="46" t="n"/>
      <c r="X735" s="46" t="n"/>
      <c r="Y735" s="46" t="n"/>
      <c r="Z735" s="46" t="n"/>
      <c r="AA735" s="46" t="n"/>
      <c r="AB735" s="46" t="n">
        <v>100</v>
      </c>
    </row>
    <row r="736" ht="14" customHeight="1">
      <c r="A736" s="22" t="n">
        <v>2018</v>
      </c>
      <c r="B736" s="47">
        <f>IF((A736&gt;=2022),ROUND((((Z736*((V736+W736)+X736))/Y736)/AA736),2),(C736*AB736))</f>
        <v/>
      </c>
      <c r="C736" s="48">
        <f>(((((((((((((((D736+E736)+F736)+G736)+H736)+I736)+J736)+K736)+L736)+M736)+N736)+O736)+P736)+Q736)+R736)/((S736+T736)+U736))</f>
        <v/>
      </c>
      <c r="D736" s="48" t="n">
        <v>1</v>
      </c>
      <c r="E736" s="48" t="n">
        <v>0</v>
      </c>
      <c r="F736" s="48" t="n">
        <v>0</v>
      </c>
      <c r="G736" s="48" t="n">
        <v>3488.227</v>
      </c>
      <c r="H736" s="48" t="n">
        <v>262127.378</v>
      </c>
      <c r="I736" s="48" t="n">
        <v>0</v>
      </c>
      <c r="J736" s="48" t="n">
        <v>0</v>
      </c>
      <c r="K736" s="48" t="n">
        <v>0</v>
      </c>
      <c r="L736" s="48" t="n">
        <v>62.757</v>
      </c>
      <c r="M736" s="48" t="n">
        <v>43336.539</v>
      </c>
      <c r="N736" s="48" t="n">
        <v>0</v>
      </c>
      <c r="O736" s="48" t="n">
        <v>0</v>
      </c>
      <c r="P736" s="48" t="n">
        <v>0</v>
      </c>
      <c r="Q736" s="48" t="n">
        <v>0</v>
      </c>
      <c r="R736" s="48" t="n">
        <v>41014.912</v>
      </c>
      <c r="S736" s="48" t="n">
        <v>285944.665</v>
      </c>
      <c r="T736" s="48" t="n">
        <v>43415.986</v>
      </c>
      <c r="U736" s="48" t="n">
        <v>41014.917</v>
      </c>
      <c r="V736" s="48" t="n"/>
      <c r="W736" s="48" t="n"/>
      <c r="X736" s="48" t="n"/>
      <c r="Y736" s="48" t="n"/>
      <c r="Z736" s="48" t="n"/>
      <c r="AA736" s="48" t="n"/>
      <c r="AB736" s="48" t="n">
        <v>100</v>
      </c>
    </row>
    <row r="737" ht="14" customHeight="1">
      <c r="A737" s="15" t="n">
        <v>2019</v>
      </c>
      <c r="B737" s="45">
        <f>IF((A737&gt;=2022),ROUND((((Z737*((V737+W737)+X737))/Y737)/AA737),2),(C737*AB737))</f>
        <v/>
      </c>
      <c r="C737" s="46">
        <f>(((((((((((((((D737+E737)+F737)+G737)+H737)+I737)+J737)+K737)+L737)+M737)+N737)+O737)+P737)+Q737)+R737)/((S737+T737)+U737))</f>
        <v/>
      </c>
      <c r="D737" s="46" t="n">
        <v>0.581</v>
      </c>
      <c r="E737" s="46" t="n">
        <v>0</v>
      </c>
      <c r="F737" s="46" t="n">
        <v>0</v>
      </c>
      <c r="G737" s="46" t="n">
        <v>3705.199</v>
      </c>
      <c r="H737" s="46" t="n">
        <v>264124.082</v>
      </c>
      <c r="I737" s="46" t="n">
        <v>0</v>
      </c>
      <c r="J737" s="46" t="n">
        <v>0</v>
      </c>
      <c r="K737" s="46" t="n">
        <v>0</v>
      </c>
      <c r="L737" s="46" t="n">
        <v>142.47</v>
      </c>
      <c r="M737" s="46" t="n">
        <v>42915.162</v>
      </c>
      <c r="N737" s="46" t="n">
        <v>0</v>
      </c>
      <c r="O737" s="46" t="n">
        <v>0</v>
      </c>
      <c r="P737" s="46" t="n">
        <v>0</v>
      </c>
      <c r="Q737" s="46" t="n">
        <v>0</v>
      </c>
      <c r="R737" s="46" t="n">
        <v>41791.909</v>
      </c>
      <c r="S737" s="46" t="n">
        <v>288722.807</v>
      </c>
      <c r="T737" s="46" t="n">
        <v>43105.004</v>
      </c>
      <c r="U737" s="46" t="n">
        <v>41791.909</v>
      </c>
      <c r="V737" s="46" t="n"/>
      <c r="W737" s="46" t="n"/>
      <c r="X737" s="46" t="n"/>
      <c r="Y737" s="46" t="n"/>
      <c r="Z737" s="46" t="n"/>
      <c r="AA737" s="46" t="n"/>
      <c r="AB737" s="46" t="n">
        <v>100</v>
      </c>
    </row>
    <row r="738" ht="14" customHeight="1">
      <c r="A738" s="22" t="n">
        <v>2020</v>
      </c>
      <c r="B738" s="47">
        <f>IF((A738&gt;=2022),ROUND((((Z738*((V738+W738)+X738))/Y738)/AA738),2),(C738*AB738))</f>
        <v/>
      </c>
      <c r="C738" s="48">
        <f>(((((((((((((((D738+E738)+F738)+G738)+H738)+I738)+J738)+K738)+L738)+M738)+N738)+O738)+P738)+Q738)+R738)/((S738+T738)+U738))</f>
        <v/>
      </c>
      <c r="D738" s="48" t="n">
        <v>0.351</v>
      </c>
      <c r="E738" s="48" t="n">
        <v>0</v>
      </c>
      <c r="F738" s="48" t="n">
        <v>0</v>
      </c>
      <c r="G738" s="48" t="n">
        <v>3066.1</v>
      </c>
      <c r="H738" s="48" t="n">
        <v>227702.745</v>
      </c>
      <c r="I738" s="48" t="n">
        <v>0</v>
      </c>
      <c r="J738" s="48" t="n">
        <v>0</v>
      </c>
      <c r="K738" s="48" t="n">
        <v>0</v>
      </c>
      <c r="L738" s="48" t="n">
        <v>180.764</v>
      </c>
      <c r="M738" s="48" t="n">
        <v>38583.15</v>
      </c>
      <c r="N738" s="48" t="n">
        <v>0</v>
      </c>
      <c r="O738" s="48" t="n">
        <v>0</v>
      </c>
      <c r="P738" s="48" t="n">
        <v>0</v>
      </c>
      <c r="Q738" s="48" t="n">
        <v>0</v>
      </c>
      <c r="R738" s="48" t="n">
        <v>18041.534</v>
      </c>
      <c r="S738" s="48" t="n">
        <v>251439.587</v>
      </c>
      <c r="T738" s="48" t="n">
        <v>39000.265</v>
      </c>
      <c r="U738" s="48" t="n">
        <v>18041.534</v>
      </c>
      <c r="V738" s="48" t="n"/>
      <c r="W738" s="48" t="n"/>
      <c r="X738" s="48" t="n"/>
      <c r="Y738" s="48" t="n"/>
      <c r="Z738" s="48" t="n"/>
      <c r="AA738" s="48" t="n"/>
      <c r="AB738" s="48" t="n">
        <v>100</v>
      </c>
    </row>
    <row r="739" ht="14" customHeight="1">
      <c r="A739" s="15" t="n">
        <v>2021</v>
      </c>
      <c r="B739" s="45">
        <f>IF((A739&gt;=2022),ROUND((((Z739*((V739+W739)+X739))/Y739)/AA739),2),(C739*AB739))</f>
        <v/>
      </c>
      <c r="C739" s="46">
        <f>(((((((((((((((D739+E739)+F739)+G739)+H739)+I739)+J739)+K739)+L739)+M739)+N739)+O739)+P739)+Q739)+R739)/((S739+T739)+U739))</f>
        <v/>
      </c>
      <c r="D739" s="46" t="n">
        <v>0.412</v>
      </c>
      <c r="E739" s="46" t="n">
        <v>0</v>
      </c>
      <c r="F739" s="46" t="n">
        <v>0</v>
      </c>
      <c r="G739" s="46" t="n">
        <v>3718.087</v>
      </c>
      <c r="H739" s="46" t="n">
        <v>249154.434</v>
      </c>
      <c r="I739" s="46" t="n">
        <v>0</v>
      </c>
      <c r="J739" s="46" t="n">
        <v>0</v>
      </c>
      <c r="K739" s="46" t="n">
        <v>0</v>
      </c>
      <c r="L739" s="46" t="n">
        <v>264.047</v>
      </c>
      <c r="M739" s="46" t="n">
        <v>40330.599</v>
      </c>
      <c r="N739" s="46" t="n">
        <v>0</v>
      </c>
      <c r="O739" s="46" t="n">
        <v>0</v>
      </c>
      <c r="P739" s="46" t="n">
        <v>0</v>
      </c>
      <c r="Q739" s="46" t="n">
        <v>0</v>
      </c>
      <c r="R739" s="46" t="n">
        <v>21496.071</v>
      </c>
      <c r="S739" s="46" t="n">
        <v>274834.948</v>
      </c>
      <c r="T739" s="46" t="n">
        <v>40760.758</v>
      </c>
      <c r="U739" s="46" t="n">
        <v>21496.071</v>
      </c>
      <c r="V739" s="46" t="n"/>
      <c r="W739" s="46" t="n"/>
      <c r="X739" s="46" t="n"/>
      <c r="Y739" s="46" t="n"/>
      <c r="Z739" s="46" t="n"/>
      <c r="AA739" s="46" t="n"/>
      <c r="AB739" s="46" t="n">
        <v>100</v>
      </c>
    </row>
    <row r="740" ht="14" customHeight="1">
      <c r="A740" s="22" t="n">
        <v>2022</v>
      </c>
      <c r="B740" s="47">
        <f>IF((A740&gt;=2022),ROUND((((Z740*((V740+W740)+X740))/Y740)/AA740),2),(C740*AB740))</f>
        <v/>
      </c>
      <c r="C740" s="48">
        <f>(((((((((((((((D740+E740)+F740)+G740)+H740)+I740)+J740)+K740)+L740)+M740)+N740)+O740)+P740)+Q740)+R740)/((S740+T740)+U740))</f>
        <v/>
      </c>
      <c r="D740" s="48" t="n"/>
      <c r="E740" s="48" t="n"/>
      <c r="F740" s="48" t="n"/>
      <c r="G740" s="48" t="n"/>
      <c r="H740" s="48" t="n"/>
      <c r="I740" s="48" t="n"/>
      <c r="J740" s="48" t="n"/>
      <c r="K740" s="48" t="n"/>
      <c r="L740" s="48" t="n"/>
      <c r="M740" s="48" t="n"/>
      <c r="N740" s="48" t="n"/>
      <c r="O740" s="48" t="n"/>
      <c r="P740" s="48" t="n"/>
      <c r="Q740" s="48" t="n"/>
      <c r="R740" s="48" t="n"/>
      <c r="S740" s="48" t="n"/>
      <c r="T740" s="48" t="n"/>
      <c r="U740" s="48" t="n"/>
      <c r="V740" s="48" t="n">
        <v>2963833.369</v>
      </c>
      <c r="W740" s="48" t="n">
        <v>38675.108</v>
      </c>
      <c r="X740" s="48" t="n">
        <v>5.322</v>
      </c>
      <c r="Y740" s="48" t="n">
        <v>3262504.29</v>
      </c>
      <c r="Z740" s="48" t="n">
        <v>93.44</v>
      </c>
      <c r="AA740" s="48" t="n">
        <v>0.920608</v>
      </c>
      <c r="AB740" s="48" t="n">
        <v>100</v>
      </c>
    </row>
    <row r="741" ht="14" customHeight="1">
      <c r="A741" s="15" t="n">
        <v>2023</v>
      </c>
      <c r="B741" s="45">
        <f>IF((A741&gt;=2022),ROUND((((Z741*((V741+W741)+X741))/Y741)/AA741),2),(C741*AB741))</f>
        <v/>
      </c>
      <c r="C741" s="46">
        <f>(((((((((((((((D741+E741)+F741)+G741)+H741)+I741)+J741)+K741)+L741)+M741)+N741)+O741)+P741)+Q741)+R741)/((S741+T741)+U741))</f>
        <v/>
      </c>
      <c r="D741" s="46" t="n"/>
      <c r="E741" s="46" t="n"/>
      <c r="F741" s="46" t="n"/>
      <c r="G741" s="46" t="n"/>
      <c r="H741" s="46" t="n"/>
      <c r="I741" s="46" t="n"/>
      <c r="J741" s="46" t="n"/>
      <c r="K741" s="46" t="n"/>
      <c r="L741" s="46" t="n"/>
      <c r="M741" s="46" t="n"/>
      <c r="N741" s="46" t="n"/>
      <c r="O741" s="46" t="n"/>
      <c r="P741" s="46" t="n"/>
      <c r="Q741" s="46" t="n"/>
      <c r="R741" s="46" t="n"/>
      <c r="S741" s="46" t="n"/>
      <c r="T741" s="46" t="n"/>
      <c r="U741" s="46" t="n"/>
      <c r="V741" s="46" t="n">
        <v>2942574.626</v>
      </c>
      <c r="W741" s="46" t="n">
        <v>37106.605</v>
      </c>
      <c r="X741" s="46" t="n">
        <v>4.452</v>
      </c>
      <c r="Y741" s="46" t="n">
        <v>3254970.995</v>
      </c>
      <c r="Z741" s="46" t="n">
        <v>93.44</v>
      </c>
      <c r="AA741" s="46" t="n">
        <v>0.920608</v>
      </c>
      <c r="AB741" s="46" t="n">
        <v>100</v>
      </c>
    </row>
    <row r="742" ht="14" customHeight="1">
      <c r="A742" s="22" t="n">
        <v>2024</v>
      </c>
      <c r="B742" s="47">
        <f>IF((A742&gt;=2022),ROUND((((Z742*((V742+W742)+X742))/Y742)/AA742),2),(C742*AB742))</f>
        <v/>
      </c>
      <c r="C742" s="48">
        <f>(((((((((((((((D742+E742)+F742)+G742)+H742)+I742)+J742)+K742)+L742)+M742)+N742)+O742)+P742)+Q742)+R742)/((S742+T742)+U742))</f>
        <v/>
      </c>
      <c r="D742" s="48" t="n"/>
      <c r="E742" s="48" t="n"/>
      <c r="F742" s="48" t="n"/>
      <c r="G742" s="48" t="n"/>
      <c r="H742" s="48" t="n"/>
      <c r="I742" s="48" t="n"/>
      <c r="J742" s="48" t="n"/>
      <c r="K742" s="48" t="n"/>
      <c r="L742" s="48" t="n"/>
      <c r="M742" s="48" t="n"/>
      <c r="N742" s="48" t="n"/>
      <c r="O742" s="48" t="n"/>
      <c r="P742" s="48" t="n"/>
      <c r="Q742" s="48" t="n"/>
      <c r="R742" s="48" t="n"/>
      <c r="S742" s="48" t="n"/>
      <c r="T742" s="48" t="n"/>
      <c r="U742" s="48" t="n"/>
      <c r="V742" s="48" t="n">
        <v>2991857.74</v>
      </c>
      <c r="W742" s="48" t="n">
        <v>37201.655</v>
      </c>
      <c r="X742" s="48" t="n">
        <v>5.083</v>
      </c>
      <c r="Y742" s="48" t="n">
        <v>3299731.965</v>
      </c>
      <c r="Z742" s="48" t="n">
        <v>93.44</v>
      </c>
      <c r="AA742" s="48" t="n">
        <v>0.920608</v>
      </c>
      <c r="AB742" s="48" t="n">
        <v>100</v>
      </c>
    </row>
    <row r="745">
      <c r="A745" s="53" t="inlineStr">
        <is>
          <t>T6b · Use of first-generation (food-crop) biofuels in transport  (TWh)</t>
        </is>
      </c>
    </row>
    <row r="746" ht="26" customHeight="1">
      <c r="A746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747" ht="24" customHeight="1">
      <c r="A747" s="3" t="inlineStr">
        <is>
          <t>Derivation:  Value = [Biofuels from food crops (Mtoe)] * [Mtoe → TWh]</t>
        </is>
      </c>
    </row>
    <row r="748" ht="42" customHeight="1">
      <c r="A748" s="44" t="inlineStr">
        <is>
          <t>Year</t>
        </is>
      </c>
      <c r="B748" s="44" t="inlineStr">
        <is>
          <t>Value</t>
        </is>
      </c>
      <c r="C748" s="44" t="inlineStr">
        <is>
          <t>Biofuels from food crops (Mtoe)</t>
        </is>
      </c>
      <c r="D748" s="44" t="inlineStr">
        <is>
          <t>Mtoe → TWh</t>
        </is>
      </c>
    </row>
    <row r="749" ht="14" customHeight="1">
      <c r="A749" s="15" t="n">
        <v>2005</v>
      </c>
      <c r="B749" s="45">
        <f>(C749*D749)</f>
        <v/>
      </c>
      <c r="C749" s="46" t="n">
        <v>6.909899999999999</v>
      </c>
      <c r="D749" s="46" t="n">
        <v>11.63</v>
      </c>
    </row>
    <row r="750" ht="14" customHeight="1">
      <c r="A750" s="22" t="n">
        <v>2006</v>
      </c>
      <c r="B750" s="47">
        <f>(C750*D750)</f>
        <v/>
      </c>
      <c r="C750" s="48" t="n">
        <v>9.2096</v>
      </c>
      <c r="D750" s="48" t="n">
        <v>11.63</v>
      </c>
    </row>
    <row r="751" ht="14" customHeight="1">
      <c r="A751" s="15" t="n">
        <v>2007</v>
      </c>
      <c r="B751" s="45">
        <f>(C751*D751)</f>
        <v/>
      </c>
      <c r="C751" s="46" t="n">
        <v>9.0131</v>
      </c>
      <c r="D751" s="46" t="n">
        <v>11.63</v>
      </c>
    </row>
    <row r="752" ht="14" customHeight="1">
      <c r="A752" s="22" t="n">
        <v>2008</v>
      </c>
      <c r="B752" s="47">
        <f>(C752*D752)</f>
        <v/>
      </c>
      <c r="C752" s="48" t="n">
        <v>9.566600000000001</v>
      </c>
      <c r="D752" s="48" t="n">
        <v>11.63</v>
      </c>
    </row>
    <row r="753" ht="14" customHeight="1">
      <c r="A753" s="15" t="n">
        <v>2009</v>
      </c>
      <c r="B753" s="45">
        <f>(C753*D753)</f>
        <v/>
      </c>
      <c r="C753" s="46" t="n">
        <v>9.433200000000001</v>
      </c>
      <c r="D753" s="46" t="n">
        <v>11.63</v>
      </c>
    </row>
    <row r="754" ht="14" customHeight="1">
      <c r="A754" s="22" t="n">
        <v>2010</v>
      </c>
      <c r="B754" s="47">
        <f>(C754*D754)</f>
        <v/>
      </c>
      <c r="C754" s="48" t="n">
        <v>9.518799999999999</v>
      </c>
      <c r="D754" s="48" t="n">
        <v>11.63</v>
      </c>
    </row>
    <row r="755" ht="14" customHeight="1">
      <c r="A755" s="15" t="n">
        <v>2011</v>
      </c>
      <c r="B755" s="45">
        <f>(C755*D755)</f>
        <v/>
      </c>
      <c r="C755" s="46" t="n">
        <v>10.0395</v>
      </c>
      <c r="D755" s="46" t="n">
        <v>11.63</v>
      </c>
    </row>
    <row r="756" ht="14" customHeight="1">
      <c r="A756" s="22" t="n">
        <v>2012</v>
      </c>
      <c r="B756" s="47">
        <f>(C756*D756)</f>
        <v/>
      </c>
      <c r="C756" s="48" t="n">
        <v>10.7365</v>
      </c>
      <c r="D756" s="48" t="n">
        <v>11.63</v>
      </c>
    </row>
    <row r="757" ht="14" customHeight="1">
      <c r="A757" s="15" t="n">
        <v>2013</v>
      </c>
      <c r="B757" s="45">
        <f>(C757*D757)</f>
        <v/>
      </c>
      <c r="C757" s="46" t="n">
        <v>11.0285</v>
      </c>
      <c r="D757" s="46" t="n">
        <v>11.63</v>
      </c>
    </row>
    <row r="758" ht="14" customHeight="1">
      <c r="A758" s="22" t="n">
        <v>2014</v>
      </c>
      <c r="B758" s="47">
        <f>(C758*D758)</f>
        <v/>
      </c>
      <c r="C758" s="48" t="n">
        <v>10.5653</v>
      </c>
      <c r="D758" s="48" t="n">
        <v>11.63</v>
      </c>
    </row>
    <row r="759" ht="14" customHeight="1">
      <c r="A759" s="15" t="n">
        <v>2015</v>
      </c>
      <c r="B759" s="45">
        <f>(C759*D759)</f>
        <v/>
      </c>
      <c r="C759" s="46" t="n">
        <v>10.1542</v>
      </c>
      <c r="D759" s="46" t="n">
        <v>11.63</v>
      </c>
    </row>
    <row r="762">
      <c r="A762" s="54" t="inlineStr">
        <is>
          <t>B1 · Residential + tertiary building GHG emissions  (Mt CO₂eq)</t>
        </is>
      </c>
    </row>
    <row r="763" ht="26" customHeight="1">
      <c r="A763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764" ht="22" customHeight="1">
      <c r="A764" s="3" t="inlineStr">
        <is>
          <t>Refreshed for 2022, 2023, 2024: Residential (CRF 1.A.4.b), Tertiary (CRF 1.A.4.a), Agriculture &amp; fisheries energy (CRF 1.A.4.c)</t>
        </is>
      </c>
    </row>
    <row r="765" ht="24" customHeight="1">
      <c r="A765" s="3" t="inlineStr">
        <is>
          <t>Derivation:  Value = [Residential (CRF 1.A.4.b)]+[Tertiary (CRF 1.A.4.a)]+[Agriculture &amp; fisheries energy (CRF 1.A.4.c)]</t>
        </is>
      </c>
    </row>
    <row r="766" ht="42" customHeight="1">
      <c r="A766" s="44" t="inlineStr">
        <is>
          <t>Year</t>
        </is>
      </c>
      <c r="B766" s="44" t="inlineStr">
        <is>
          <t>Value</t>
        </is>
      </c>
      <c r="C766" s="44" t="inlineStr">
        <is>
          <t>Residential (CRF 1.A.4.b)</t>
        </is>
      </c>
      <c r="D766" s="44" t="inlineStr">
        <is>
          <t>Tertiary (CRF 1.A.4.a)</t>
        </is>
      </c>
      <c r="E766" s="44" t="inlineStr">
        <is>
          <t>Agriculture &amp; fisheries energy (CRF 1.A.4.c)</t>
        </is>
      </c>
    </row>
    <row r="767" ht="14" customHeight="1">
      <c r="A767" s="15" t="n">
        <v>2005</v>
      </c>
      <c r="B767" s="45">
        <f>((C767+D767)+E767)</f>
        <v/>
      </c>
      <c r="C767" s="46" t="n">
        <v>426.8048486219644</v>
      </c>
      <c r="D767" s="46" t="n">
        <v>154.3626039143487</v>
      </c>
      <c r="E767" s="46" t="n">
        <v>83.87178846132228</v>
      </c>
    </row>
    <row r="768" ht="14" customHeight="1">
      <c r="A768" s="22" t="n">
        <v>2006</v>
      </c>
      <c r="B768" s="47">
        <f>((C768+D768)+E768)</f>
        <v/>
      </c>
      <c r="C768" s="48" t="n">
        <v>420.478847350464</v>
      </c>
      <c r="D768" s="48" t="n">
        <v>162.0164488697727</v>
      </c>
      <c r="E768" s="48" t="n">
        <v>80.95253645933205</v>
      </c>
    </row>
    <row r="769" ht="14" customHeight="1">
      <c r="A769" s="15" t="n">
        <v>2007</v>
      </c>
      <c r="B769" s="45">
        <f>((C769+D769)+E769)</f>
        <v/>
      </c>
      <c r="C769" s="46" t="n">
        <v>368.5614683549124</v>
      </c>
      <c r="D769" s="46" t="n">
        <v>142.7845651177743</v>
      </c>
      <c r="E769" s="46" t="n">
        <v>78.14862778170493</v>
      </c>
    </row>
    <row r="770" ht="14" customHeight="1">
      <c r="A770" s="22" t="n">
        <v>2008</v>
      </c>
      <c r="B770" s="47">
        <f>((C770+D770)+E770)</f>
        <v/>
      </c>
      <c r="C770" s="48" t="n">
        <v>399.005212707691</v>
      </c>
      <c r="D770" s="48" t="n">
        <v>157.0020964387047</v>
      </c>
      <c r="E770" s="48" t="n">
        <v>79.06271212250992</v>
      </c>
    </row>
    <row r="771" ht="14" customHeight="1">
      <c r="A771" s="15" t="n">
        <v>2009</v>
      </c>
      <c r="B771" s="45">
        <f>((C771+D771)+E771)</f>
        <v/>
      </c>
      <c r="C771" s="46" t="n">
        <v>389.5100356724113</v>
      </c>
      <c r="D771" s="46" t="n">
        <v>154.306085680938</v>
      </c>
      <c r="E771" s="46" t="n">
        <v>77.57093120676474</v>
      </c>
    </row>
    <row r="772" ht="14" customHeight="1">
      <c r="A772" s="22" t="n">
        <v>2010</v>
      </c>
      <c r="B772" s="47">
        <f>((C772+D772)+E772)</f>
        <v/>
      </c>
      <c r="C772" s="48" t="n">
        <v>412.9524927561005</v>
      </c>
      <c r="D772" s="48" t="n">
        <v>163.297379133882</v>
      </c>
      <c r="E772" s="48" t="n">
        <v>79.84155483279135</v>
      </c>
    </row>
    <row r="773" ht="14" customHeight="1">
      <c r="A773" s="15" t="n">
        <v>2011</v>
      </c>
      <c r="B773" s="45">
        <f>((C773+D773)+E773)</f>
        <v/>
      </c>
      <c r="C773" s="46" t="n">
        <v>362.0069820055989</v>
      </c>
      <c r="D773" s="46" t="n">
        <v>140.5700923362301</v>
      </c>
      <c r="E773" s="46" t="n">
        <v>78.9140848169699</v>
      </c>
    </row>
    <row r="774" ht="14" customHeight="1">
      <c r="A774" s="22" t="n">
        <v>2012</v>
      </c>
      <c r="B774" s="47">
        <f>((C774+D774)+E774)</f>
        <v/>
      </c>
      <c r="C774" s="48" t="n">
        <v>372.5484894975496</v>
      </c>
      <c r="D774" s="48" t="n">
        <v>140.7154890030444</v>
      </c>
      <c r="E774" s="48" t="n">
        <v>76.30698392996658</v>
      </c>
    </row>
    <row r="775" ht="14" customHeight="1">
      <c r="A775" s="15" t="n">
        <v>2013</v>
      </c>
      <c r="B775" s="45">
        <f>((C775+D775)+E775)</f>
        <v/>
      </c>
      <c r="C775" s="46" t="n">
        <v>375.1238761026113</v>
      </c>
      <c r="D775" s="46" t="n">
        <v>142.4791693585502</v>
      </c>
      <c r="E775" s="46" t="n">
        <v>76.29550240602613</v>
      </c>
    </row>
    <row r="776" ht="14" customHeight="1">
      <c r="A776" s="22" t="n">
        <v>2014</v>
      </c>
      <c r="B776" s="47">
        <f>((C776+D776)+E776)</f>
        <v/>
      </c>
      <c r="C776" s="48" t="n">
        <v>316.9145959151957</v>
      </c>
      <c r="D776" s="48" t="n">
        <v>124.8706464175849</v>
      </c>
      <c r="E776" s="48" t="n">
        <v>75.98940582739368</v>
      </c>
    </row>
    <row r="777" ht="14" customHeight="1">
      <c r="A777" s="15" t="n">
        <v>2015</v>
      </c>
      <c r="B777" s="45">
        <f>((C777+D777)+E777)</f>
        <v/>
      </c>
      <c r="C777" s="46" t="n">
        <v>335.1602553423199</v>
      </c>
      <c r="D777" s="46" t="n">
        <v>130.4853067684094</v>
      </c>
      <c r="E777" s="46" t="n">
        <v>75.35525698160882</v>
      </c>
    </row>
    <row r="778" ht="14" customHeight="1">
      <c r="A778" s="22" t="n">
        <v>2016</v>
      </c>
      <c r="B778" s="47">
        <f>((C778+D778)+E778)</f>
        <v/>
      </c>
      <c r="C778" s="48" t="n">
        <v>341.3184800347113</v>
      </c>
      <c r="D778" s="48" t="n">
        <v>130.8935711253598</v>
      </c>
      <c r="E778" s="48" t="n">
        <v>75.52257029529639</v>
      </c>
    </row>
    <row r="779" ht="14" customHeight="1">
      <c r="A779" s="15" t="n">
        <v>2017</v>
      </c>
      <c r="B779" s="45">
        <f>((C779+D779)+E779)</f>
        <v/>
      </c>
      <c r="C779" s="46" t="n">
        <v>338.5408877789356</v>
      </c>
      <c r="D779" s="46" t="n">
        <v>131.2843559092179</v>
      </c>
      <c r="E779" s="46" t="n">
        <v>75.90306578790768</v>
      </c>
    </row>
    <row r="780" ht="14" customHeight="1">
      <c r="A780" s="22" t="n">
        <v>2018</v>
      </c>
      <c r="B780" s="47">
        <f>((C780+D780)+E780)</f>
        <v/>
      </c>
      <c r="C780" s="48" t="n">
        <v>328.3919622628258</v>
      </c>
      <c r="D780" s="48" t="n">
        <v>127.5894355856332</v>
      </c>
      <c r="E780" s="48" t="n">
        <v>76.95089786571549</v>
      </c>
    </row>
    <row r="781" ht="14" customHeight="1">
      <c r="A781" s="15" t="n">
        <v>2019</v>
      </c>
      <c r="B781" s="45">
        <f>((C781+D781)+E781)</f>
        <v/>
      </c>
      <c r="C781" s="46" t="n">
        <v>321.1751820670957</v>
      </c>
      <c r="D781" s="46" t="n">
        <v>125.150353485651</v>
      </c>
      <c r="E781" s="46" t="n">
        <v>76.49754268952675</v>
      </c>
    </row>
    <row r="782" ht="14" customHeight="1">
      <c r="A782" s="22" t="n">
        <v>2020</v>
      </c>
      <c r="B782" s="47">
        <f>((C782+D782)+E782)</f>
        <v/>
      </c>
      <c r="C782" s="48" t="n">
        <v>319.384213034966</v>
      </c>
      <c r="D782" s="48" t="n">
        <v>122.105883957125</v>
      </c>
      <c r="E782" s="48" t="n">
        <v>78.223576624157</v>
      </c>
    </row>
    <row r="783" ht="14" customHeight="1">
      <c r="A783" s="15" t="n">
        <v>2021</v>
      </c>
      <c r="B783" s="45">
        <f>((C783+D783)+E783)</f>
        <v/>
      </c>
      <c r="C783" s="46" t="n">
        <v>324.7367614058028</v>
      </c>
      <c r="D783" s="46" t="n">
        <v>129.9027976967366</v>
      </c>
      <c r="E783" s="46" t="n">
        <v>77.89432799013916</v>
      </c>
    </row>
    <row r="784" ht="14" customHeight="1">
      <c r="A784" s="22" t="n">
        <v>2022</v>
      </c>
      <c r="B784" s="47">
        <f>((C784+D784)+E784)</f>
        <v/>
      </c>
      <c r="C784" s="48" t="n">
        <v>294.29886</v>
      </c>
      <c r="D784" s="48" t="n">
        <v>101.83575</v>
      </c>
      <c r="E784" s="48" t="n">
        <v>72.38525</v>
      </c>
    </row>
    <row r="785" ht="14" customHeight="1">
      <c r="A785" s="15" t="n">
        <v>2023</v>
      </c>
      <c r="B785" s="45">
        <f>((C785+D785)+E785)</f>
        <v/>
      </c>
      <c r="C785" s="46" t="n">
        <v>268.82398</v>
      </c>
      <c r="D785" s="46" t="n">
        <v>96.49506</v>
      </c>
      <c r="E785" s="46" t="n">
        <v>72.01813</v>
      </c>
    </row>
    <row r="786" ht="14" customHeight="1">
      <c r="A786" s="22" t="n">
        <v>2024</v>
      </c>
      <c r="B786" s="47">
        <f>((C786+D786)+E786)</f>
        <v/>
      </c>
      <c r="C786" s="48" t="n">
        <v>263.39558</v>
      </c>
      <c r="D786" s="48" t="n">
        <v>96.43300000000001</v>
      </c>
      <c r="E786" s="48" t="n">
        <v>70.87742</v>
      </c>
    </row>
    <row r="789">
      <c r="A789" s="54" t="inlineStr">
        <is>
          <t>B2 · Final energy consumption in buildings  (TWh)</t>
        </is>
      </c>
    </row>
    <row r="790" ht="26" customHeight="1">
      <c r="A790" s="50" t="inlineStr">
        <is>
          <t>No derivation for the later years — the figure is the publication's own.</t>
        </is>
      </c>
    </row>
    <row r="791" ht="24" customHeight="1">
      <c r="A791" s="3" t="inlineStr">
        <is>
          <t>Derivation:  Value = IF(A &gt;= 2022, [Post-report figure as published], ([Residential households (TJ)]+[Tertiary commercial &amp; public services (TJ)]+[Agriculture &amp; forestry (TJ)]) * [TJ → TWh (EJ2TWh/1e6)])</t>
        </is>
      </c>
    </row>
    <row r="792" ht="42" customHeight="1">
      <c r="A792" s="44" t="inlineStr">
        <is>
          <t>Year</t>
        </is>
      </c>
      <c r="B792" s="44" t="inlineStr">
        <is>
          <t>Value</t>
        </is>
      </c>
      <c r="C792" s="44" t="inlineStr">
        <is>
          <t>Tertiary commercial &amp; public services (TJ)</t>
        </is>
      </c>
      <c r="D792" s="44" t="inlineStr">
        <is>
          <t>Residential households (TJ)</t>
        </is>
      </c>
      <c r="E792" s="44" t="inlineStr">
        <is>
          <t>Agriculture &amp; forestry (TJ)</t>
        </is>
      </c>
      <c r="F792" s="44" t="inlineStr">
        <is>
          <t>TJ → TWh (EJ2TWh/1e6)</t>
        </is>
      </c>
      <c r="G792" s="44" t="inlineStr">
        <is>
          <t>Post-report figure as published</t>
        </is>
      </c>
    </row>
    <row r="793" ht="14" customHeight="1">
      <c r="A793" s="15" t="n">
        <v>2005</v>
      </c>
      <c r="B793" s="45">
        <f>IF((A793&gt;=2022),G793,(((D793+C793)+E793)*F793))</f>
        <v/>
      </c>
      <c r="C793" s="46" t="n">
        <v>5358277.234</v>
      </c>
      <c r="D793" s="46" t="n">
        <v>11150492.886</v>
      </c>
      <c r="E793" s="46" t="n">
        <v>1129993.538</v>
      </c>
      <c r="F793" s="46" t="n">
        <v>0.00027778</v>
      </c>
      <c r="G793" s="46" t="n"/>
    </row>
    <row r="794" ht="14" customHeight="1">
      <c r="A794" s="22" t="n">
        <v>2006</v>
      </c>
      <c r="B794" s="47">
        <f>IF((A794&gt;=2022),G794,(((D794+C794)+E794)*F794))</f>
        <v/>
      </c>
      <c r="C794" s="48" t="n">
        <v>5568843.689</v>
      </c>
      <c r="D794" s="48" t="n">
        <v>11111542.839</v>
      </c>
      <c r="E794" s="48" t="n">
        <v>1061267.68</v>
      </c>
      <c r="F794" s="48" t="n">
        <v>0.00027778</v>
      </c>
      <c r="G794" s="48" t="n"/>
    </row>
    <row r="795" ht="14" customHeight="1">
      <c r="A795" s="15" t="n">
        <v>2007</v>
      </c>
      <c r="B795" s="45">
        <f>IF((A795&gt;=2022),G795,(((D795+C795)+E795)*F795))</f>
        <v/>
      </c>
      <c r="C795" s="46" t="n">
        <v>5287873.17</v>
      </c>
      <c r="D795" s="46" t="n">
        <v>10435067.658</v>
      </c>
      <c r="E795" s="46" t="n">
        <v>1040200.112</v>
      </c>
      <c r="F795" s="46" t="n">
        <v>0.00027778</v>
      </c>
      <c r="G795" s="46" t="n"/>
    </row>
    <row r="796" ht="14" customHeight="1">
      <c r="A796" s="22" t="n">
        <v>2008</v>
      </c>
      <c r="B796" s="47">
        <f>IF((A796&gt;=2022),G796,(((D796+C796)+E796)*F796))</f>
        <v/>
      </c>
      <c r="C796" s="48" t="n">
        <v>5617879.957</v>
      </c>
      <c r="D796" s="48" t="n">
        <v>11064263.457</v>
      </c>
      <c r="E796" s="48" t="n">
        <v>1034996.489</v>
      </c>
      <c r="F796" s="48" t="n">
        <v>0.00027778</v>
      </c>
      <c r="G796" s="48" t="n"/>
    </row>
    <row r="797" ht="14" customHeight="1">
      <c r="A797" s="15" t="n">
        <v>2009</v>
      </c>
      <c r="B797" s="45">
        <f>IF((A797&gt;=2022),G797,(((D797+C797)+E797)*F797))</f>
        <v/>
      </c>
      <c r="C797" s="46" t="n">
        <v>5624745.467</v>
      </c>
      <c r="D797" s="46" t="n">
        <v>10985678.508</v>
      </c>
      <c r="E797" s="46" t="n">
        <v>1009232.24</v>
      </c>
      <c r="F797" s="46" t="n">
        <v>0.00027778</v>
      </c>
      <c r="G797" s="46" t="n"/>
    </row>
    <row r="798" ht="14" customHeight="1">
      <c r="A798" s="22" t="n">
        <v>2010</v>
      </c>
      <c r="B798" s="47">
        <f>IF((A798&gt;=2022),G798,(((D798+C798)+E798)*F798))</f>
        <v/>
      </c>
      <c r="C798" s="48" t="n">
        <v>5860782.63</v>
      </c>
      <c r="D798" s="48" t="n">
        <v>11678549.973</v>
      </c>
      <c r="E798" s="48" t="n">
        <v>1067822.521</v>
      </c>
      <c r="F798" s="48" t="n">
        <v>0.00027778</v>
      </c>
      <c r="G798" s="48" t="n"/>
    </row>
    <row r="799" ht="14" customHeight="1">
      <c r="A799" s="15" t="n">
        <v>2011</v>
      </c>
      <c r="B799" s="45">
        <f>IF((A799&gt;=2022),G799,(((D799+C799)+E799)*F799))</f>
        <v/>
      </c>
      <c r="C799" s="46" t="n">
        <v>5371888.051</v>
      </c>
      <c r="D799" s="46" t="n">
        <v>10546610.545</v>
      </c>
      <c r="E799" s="46" t="n">
        <v>1044721.374</v>
      </c>
      <c r="F799" s="46" t="n">
        <v>0.00027778</v>
      </c>
      <c r="G799" s="46" t="n"/>
    </row>
    <row r="800" ht="14" customHeight="1">
      <c r="A800" s="22" t="n">
        <v>2012</v>
      </c>
      <c r="B800" s="47">
        <f>IF((A800&gt;=2022),G800,(((D800+C800)+E800)*F800))</f>
        <v/>
      </c>
      <c r="C800" s="48" t="n">
        <v>5490871.928</v>
      </c>
      <c r="D800" s="48" t="n">
        <v>11012084.043</v>
      </c>
      <c r="E800" s="48" t="n">
        <v>1033812.946</v>
      </c>
      <c r="F800" s="48" t="n">
        <v>0.00027778</v>
      </c>
      <c r="G800" s="48" t="n"/>
    </row>
    <row r="801" ht="14" customHeight="1">
      <c r="A801" s="15" t="n">
        <v>2013</v>
      </c>
      <c r="B801" s="45">
        <f>IF((A801&gt;=2022),G801,(((D801+C801)+E801)*F801))</f>
        <v/>
      </c>
      <c r="C801" s="46" t="n">
        <v>5556912.212</v>
      </c>
      <c r="D801" s="46" t="n">
        <v>11141041.576</v>
      </c>
      <c r="E801" s="46" t="n">
        <v>1049292.596</v>
      </c>
      <c r="F801" s="46" t="n">
        <v>0.00027778</v>
      </c>
      <c r="G801" s="46" t="n"/>
    </row>
    <row r="802" ht="14" customHeight="1">
      <c r="A802" s="22" t="n">
        <v>2014</v>
      </c>
      <c r="B802" s="47">
        <f>IF((A802&gt;=2022),G802,(((D802+C802)+E802)*F802))</f>
        <v/>
      </c>
      <c r="C802" s="48" t="n">
        <v>5167985.017</v>
      </c>
      <c r="D802" s="48" t="n">
        <v>9824051.512</v>
      </c>
      <c r="E802" s="48" t="n">
        <v>1026576.209</v>
      </c>
      <c r="F802" s="48" t="n">
        <v>0.00027778</v>
      </c>
      <c r="G802" s="48" t="n"/>
    </row>
    <row r="803" ht="14" customHeight="1">
      <c r="A803" s="15" t="n">
        <v>2015</v>
      </c>
      <c r="B803" s="45">
        <f>IF((A803&gt;=2022),G803,(((D803+C803)+E803)*F803))</f>
        <v/>
      </c>
      <c r="C803" s="46" t="n">
        <v>5380841.638</v>
      </c>
      <c r="D803" s="46" t="n">
        <v>10259138.645</v>
      </c>
      <c r="E803" s="46" t="n">
        <v>1027088.119</v>
      </c>
      <c r="F803" s="46" t="n">
        <v>0.00027778</v>
      </c>
      <c r="G803" s="46" t="n"/>
    </row>
    <row r="804" ht="14" customHeight="1">
      <c r="A804" s="22" t="n">
        <v>2016</v>
      </c>
      <c r="B804" s="47">
        <f>IF((A804&gt;=2022),G804,(((D804+C804)+E804)*F804))</f>
        <v/>
      </c>
      <c r="C804" s="48" t="n">
        <v>5450012.051</v>
      </c>
      <c r="D804" s="48" t="n">
        <v>10503570.81</v>
      </c>
      <c r="E804" s="48" t="n">
        <v>1045031.442</v>
      </c>
      <c r="F804" s="48" t="n">
        <v>0.00027778</v>
      </c>
      <c r="G804" s="48" t="n"/>
    </row>
    <row r="805" ht="14" customHeight="1">
      <c r="A805" s="15" t="n">
        <v>2017</v>
      </c>
      <c r="B805" s="45">
        <f>IF((A805&gt;=2022),G805,(((D805+C805)+E805)*F805))</f>
        <v/>
      </c>
      <c r="C805" s="46" t="n">
        <v>5605356.875</v>
      </c>
      <c r="D805" s="46" t="n">
        <v>10538533.582</v>
      </c>
      <c r="E805" s="46" t="n">
        <v>1057853.894</v>
      </c>
      <c r="F805" s="46" t="n">
        <v>0.00027778</v>
      </c>
      <c r="G805" s="46" t="n"/>
    </row>
    <row r="806" ht="14" customHeight="1">
      <c r="A806" s="22" t="n">
        <v>2018</v>
      </c>
      <c r="B806" s="47">
        <f>IF((A806&gt;=2022),G806,(((D806+C806)+E806)*F806))</f>
        <v/>
      </c>
      <c r="C806" s="48" t="n">
        <v>5512433.223</v>
      </c>
      <c r="D806" s="48" t="n">
        <v>10456263.458</v>
      </c>
      <c r="E806" s="48" t="n">
        <v>1156192.751</v>
      </c>
      <c r="F806" s="48" t="n">
        <v>0.00027778</v>
      </c>
      <c r="G806" s="48" t="n"/>
    </row>
    <row r="807" ht="14" customHeight="1">
      <c r="A807" s="15" t="n">
        <v>2019</v>
      </c>
      <c r="B807" s="45">
        <f>IF((A807&gt;=2022),G807,(((D807+C807)+E807)*F807))</f>
        <v/>
      </c>
      <c r="C807" s="46" t="n">
        <v>5382855.9</v>
      </c>
      <c r="D807" s="46" t="n">
        <v>10390886.484</v>
      </c>
      <c r="E807" s="46" t="n">
        <v>1173620.877</v>
      </c>
      <c r="F807" s="46" t="n">
        <v>0.00027778</v>
      </c>
      <c r="G807" s="46" t="n"/>
    </row>
    <row r="808" ht="14" customHeight="1">
      <c r="A808" s="22" t="n">
        <v>2020</v>
      </c>
      <c r="B808" s="47">
        <f>IF((A808&gt;=2022),G808,(((D808+C808)+E808)*F808))</f>
        <v/>
      </c>
      <c r="C808" s="48" t="n">
        <v>5074802.382</v>
      </c>
      <c r="D808" s="48" t="n">
        <v>10388387.813</v>
      </c>
      <c r="E808" s="48" t="n">
        <v>1189811.129</v>
      </c>
      <c r="F808" s="48" t="n">
        <v>0.00027778</v>
      </c>
      <c r="G808" s="48" t="n"/>
    </row>
    <row r="809" ht="14" customHeight="1">
      <c r="A809" s="15" t="n">
        <v>2021</v>
      </c>
      <c r="B809" s="45">
        <f>IF((A809&gt;=2022),G809,(((D809+C809)+E809)*F809))</f>
        <v/>
      </c>
      <c r="C809" s="46" t="n">
        <v>5416746.214</v>
      </c>
      <c r="D809" s="46" t="n">
        <v>10959828.581</v>
      </c>
      <c r="E809" s="46" t="n">
        <v>1186691.457</v>
      </c>
      <c r="F809" s="46" t="n">
        <v>0.00027778</v>
      </c>
      <c r="G809" s="46" t="n"/>
    </row>
    <row r="810" ht="14" customHeight="1">
      <c r="A810" s="22" t="n">
        <v>2022</v>
      </c>
      <c r="B810" s="47">
        <f>IF((A810&gt;=2022),G810,(((D810+C810)+E810)*F810))</f>
        <v/>
      </c>
      <c r="C810" s="48" t="n"/>
      <c r="D810" s="48" t="n"/>
      <c r="E810" s="48" t="n"/>
      <c r="F810" s="48" t="n"/>
      <c r="G810" s="48" t="n">
        <v>4213.6</v>
      </c>
    </row>
    <row r="811" ht="14" customHeight="1">
      <c r="A811" s="15" t="n">
        <v>2023</v>
      </c>
      <c r="B811" s="45">
        <f>IF((A811&gt;=2022),G811,(((D811+C811)+E811)*F811))</f>
        <v/>
      </c>
      <c r="C811" s="46" t="n"/>
      <c r="D811" s="46" t="n"/>
      <c r="E811" s="46" t="n"/>
      <c r="F811" s="46" t="n"/>
      <c r="G811" s="46" t="n">
        <v>4037.9</v>
      </c>
    </row>
    <row r="814">
      <c r="A814" s="54" t="inlineStr">
        <is>
          <t>B4 (population) · EU population (index, 2005 = 1.0)  (index (2005 = 1.0))</t>
        </is>
      </c>
    </row>
    <row r="815" ht="26" customHeight="1">
      <c r="A81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16" ht="24" customHeight="1">
      <c r="A816" s="3" t="inlineStr">
        <is>
          <t>Derivation:  Value = IF(A &gt;= 2021, ROUND([Report baseline 2020 (index (2005 = 1.0))] * [demo_gind AVG] / [Live source at 2020 (same basis as the columns left)], 3), [Report figure (2024 report underlying data)])</t>
        </is>
      </c>
    </row>
    <row r="817" ht="42" customHeight="1">
      <c r="A817" s="44" t="inlineStr">
        <is>
          <t>Year</t>
        </is>
      </c>
      <c r="B817" s="44" t="inlineStr">
        <is>
          <t>Value</t>
        </is>
      </c>
      <c r="C817" s="44" t="inlineStr">
        <is>
          <t>Report figure (2024 report underlying data)</t>
        </is>
      </c>
      <c r="D817" s="44" t="inlineStr">
        <is>
          <t>demo_gind AVG</t>
        </is>
      </c>
      <c r="E817" s="44" t="inlineStr">
        <is>
          <t>Report baseline 2020 (index (2005 = 1.0))</t>
        </is>
      </c>
      <c r="F817" s="44" t="inlineStr">
        <is>
          <t>Live source at 2020 (same basis as the columns left)</t>
        </is>
      </c>
    </row>
    <row r="818" ht="14" customHeight="1">
      <c r="A818" s="15" t="n">
        <v>2005</v>
      </c>
      <c r="B818" s="45">
        <f>IF((A818&gt;=2021),ROUND(((E818*D818)/F818),3),C818)</f>
        <v/>
      </c>
      <c r="C818" s="46" t="n">
        <v>1</v>
      </c>
      <c r="D818" s="46" t="n"/>
      <c r="E818" s="46" t="n"/>
      <c r="F818" s="46" t="n"/>
    </row>
    <row r="819" ht="14" customHeight="1">
      <c r="A819" s="22" t="n">
        <v>2006</v>
      </c>
      <c r="B819" s="47">
        <f>IF((A819&gt;=2021),ROUND(((E819*D819)/F819),3),C819)</f>
        <v/>
      </c>
      <c r="C819" s="48" t="n">
        <v>1.003</v>
      </c>
      <c r="D819" s="48" t="n"/>
      <c r="E819" s="48" t="n"/>
      <c r="F819" s="48" t="n"/>
    </row>
    <row r="820" ht="14" customHeight="1">
      <c r="A820" s="15" t="n">
        <v>2007</v>
      </c>
      <c r="B820" s="45">
        <f>IF((A820&gt;=2021),ROUND(((E820*D820)/F820),3),C820)</f>
        <v/>
      </c>
      <c r="C820" s="46" t="n">
        <v>1.007</v>
      </c>
      <c r="D820" s="46" t="n"/>
      <c r="E820" s="46" t="n"/>
      <c r="F820" s="46" t="n"/>
    </row>
    <row r="821" ht="14" customHeight="1">
      <c r="A821" s="22" t="n">
        <v>2008</v>
      </c>
      <c r="B821" s="47">
        <f>IF((A821&gt;=2021),ROUND(((E821*D821)/F821),3),C821)</f>
        <v/>
      </c>
      <c r="C821" s="48" t="n">
        <v>1.01</v>
      </c>
      <c r="D821" s="48" t="n"/>
      <c r="E821" s="48" t="n"/>
      <c r="F821" s="48" t="n"/>
    </row>
    <row r="822" ht="14" customHeight="1">
      <c r="A822" s="15" t="n">
        <v>2009</v>
      </c>
      <c r="B822" s="45">
        <f>IF((A822&gt;=2021),ROUND(((E822*D822)/F822),3),C822)</f>
        <v/>
      </c>
      <c r="C822" s="46" t="n">
        <v>1.012</v>
      </c>
      <c r="D822" s="46" t="n"/>
      <c r="E822" s="46" t="n"/>
      <c r="F822" s="46" t="n"/>
    </row>
    <row r="823" ht="14" customHeight="1">
      <c r="A823" s="22" t="n">
        <v>2010</v>
      </c>
      <c r="B823" s="47">
        <f>IF((A823&gt;=2021),ROUND(((E823*D823)/F823),3),C823)</f>
        <v/>
      </c>
      <c r="C823" s="48" t="n">
        <v>1.014</v>
      </c>
      <c r="D823" s="48" t="n"/>
      <c r="E823" s="48" t="n"/>
      <c r="F823" s="48" t="n"/>
    </row>
    <row r="824" ht="14" customHeight="1">
      <c r="A824" s="15" t="n">
        <v>2011</v>
      </c>
      <c r="B824" s="45">
        <f>IF((A824&gt;=2021),ROUND(((E824*D824)/F824),3),C824)</f>
        <v/>
      </c>
      <c r="C824" s="46" t="n">
        <v>1.012</v>
      </c>
      <c r="D824" s="46" t="n"/>
      <c r="E824" s="46" t="n"/>
      <c r="F824" s="46" t="n"/>
    </row>
    <row r="825" ht="14" customHeight="1">
      <c r="A825" s="22" t="n">
        <v>2012</v>
      </c>
      <c r="B825" s="47">
        <f>IF((A825&gt;=2021),ROUND(((E825*D825)/F825),3),C825)</f>
        <v/>
      </c>
      <c r="C825" s="48" t="n">
        <v>1.013</v>
      </c>
      <c r="D825" s="48" t="n"/>
      <c r="E825" s="48" t="n"/>
      <c r="F825" s="48" t="n"/>
    </row>
    <row r="826" ht="14" customHeight="1">
      <c r="A826" s="15" t="n">
        <v>2013</v>
      </c>
      <c r="B826" s="45">
        <f>IF((A826&gt;=2021),ROUND(((E826*D826)/F826),3),C826)</f>
        <v/>
      </c>
      <c r="C826" s="46" t="n">
        <v>1.016</v>
      </c>
      <c r="D826" s="46" t="n"/>
      <c r="E826" s="46" t="n"/>
      <c r="F826" s="46" t="n"/>
    </row>
    <row r="827" ht="14" customHeight="1">
      <c r="A827" s="22" t="n">
        <v>2014</v>
      </c>
      <c r="B827" s="47">
        <f>IF((A827&gt;=2021),ROUND(((E827*D827)/F827),3),C827)</f>
        <v/>
      </c>
      <c r="C827" s="48" t="n">
        <v>1.019</v>
      </c>
      <c r="D827" s="48" t="n"/>
      <c r="E827" s="48" t="n"/>
      <c r="F827" s="48" t="n"/>
    </row>
    <row r="828" ht="14" customHeight="1">
      <c r="A828" s="15" t="n">
        <v>2015</v>
      </c>
      <c r="B828" s="45">
        <f>IF((A828&gt;=2021),ROUND(((E828*D828)/F828),3),C828)</f>
        <v/>
      </c>
      <c r="C828" s="46" t="n">
        <v>1.021</v>
      </c>
      <c r="D828" s="46" t="n"/>
      <c r="E828" s="46" t="n"/>
      <c r="F828" s="46" t="n"/>
    </row>
    <row r="829" ht="14" customHeight="1">
      <c r="A829" s="22" t="n">
        <v>2016</v>
      </c>
      <c r="B829" s="47">
        <f>IF((A829&gt;=2021),ROUND(((E829*D829)/F829),3),C829)</f>
        <v/>
      </c>
      <c r="C829" s="48" t="n">
        <v>1.023</v>
      </c>
      <c r="D829" s="48" t="n"/>
      <c r="E829" s="48" t="n"/>
      <c r="F829" s="48" t="n"/>
    </row>
    <row r="830" ht="14" customHeight="1">
      <c r="A830" s="15" t="n">
        <v>2017</v>
      </c>
      <c r="B830" s="45">
        <f>IF((A830&gt;=2021),ROUND(((E830*D830)/F830),3),C830)</f>
        <v/>
      </c>
      <c r="C830" s="46" t="n">
        <v>1.025</v>
      </c>
      <c r="D830" s="46" t="n"/>
      <c r="E830" s="46" t="n"/>
      <c r="F830" s="46" t="n"/>
    </row>
    <row r="831" ht="14" customHeight="1">
      <c r="A831" s="22" t="n">
        <v>2018</v>
      </c>
      <c r="B831" s="47">
        <f>IF((A831&gt;=2021),ROUND(((E831*D831)/F831),3),C831)</f>
        <v/>
      </c>
      <c r="C831" s="48" t="n">
        <v>1.027</v>
      </c>
      <c r="D831" s="48" t="n"/>
      <c r="E831" s="48" t="n"/>
      <c r="F831" s="48" t="n"/>
    </row>
    <row r="832" ht="14" customHeight="1">
      <c r="A832" s="15" t="n">
        <v>2019</v>
      </c>
      <c r="B832" s="45">
        <f>IF((A832&gt;=2021),ROUND(((E832*D832)/F832),3),C832)</f>
        <v/>
      </c>
      <c r="C832" s="46" t="n">
        <v>1.027</v>
      </c>
      <c r="D832" s="46" t="n"/>
      <c r="E832" s="46" t="n"/>
      <c r="F832" s="46" t="n"/>
    </row>
    <row r="833" ht="14" customHeight="1">
      <c r="A833" s="22" t="n">
        <v>2020</v>
      </c>
      <c r="B833" s="47">
        <f>IF((A833&gt;=2021),ROUND(((E833*D833)/F833),3),C833)</f>
        <v/>
      </c>
      <c r="C833" s="48" t="n">
        <v>1.028</v>
      </c>
      <c r="D833" s="48" t="n"/>
      <c r="E833" s="48" t="n"/>
      <c r="F833" s="48" t="n"/>
    </row>
    <row r="834" ht="14" customHeight="1">
      <c r="A834" s="15" t="n">
        <v>2021</v>
      </c>
      <c r="B834" s="45">
        <f>IF((A834&gt;=2021),ROUND(((E834*D834)/F834),3),C834)</f>
        <v/>
      </c>
      <c r="C834" s="46" t="n"/>
      <c r="D834" s="46" t="n">
        <v>445883647</v>
      </c>
      <c r="E834" s="46" t="n">
        <v>1.028</v>
      </c>
      <c r="F834" s="46" t="n">
        <v>446437975</v>
      </c>
    </row>
    <row r="835" ht="14" customHeight="1">
      <c r="A835" s="22" t="n">
        <v>2022</v>
      </c>
      <c r="B835" s="47">
        <f>IF((A835&gt;=2021),ROUND(((E835*D835)/F835),3),C835)</f>
        <v/>
      </c>
      <c r="C835" s="48" t="n"/>
      <c r="D835" s="48" t="n">
        <v>446940424</v>
      </c>
      <c r="E835" s="48" t="n">
        <v>1.028</v>
      </c>
      <c r="F835" s="48" t="n">
        <v>446437975</v>
      </c>
    </row>
    <row r="836" ht="14" customHeight="1">
      <c r="A836" s="15" t="n">
        <v>2023</v>
      </c>
      <c r="B836" s="45">
        <f>IF((A836&gt;=2021),ROUND(((E836*D836)/F836),3),C836)</f>
        <v/>
      </c>
      <c r="C836" s="46" t="n"/>
      <c r="D836" s="46" t="n">
        <v>448647774</v>
      </c>
      <c r="E836" s="46" t="n">
        <v>1.028</v>
      </c>
      <c r="F836" s="46" t="n">
        <v>446437975</v>
      </c>
    </row>
    <row r="837" ht="14" customHeight="1">
      <c r="A837" s="22" t="n">
        <v>2024</v>
      </c>
      <c r="B837" s="47">
        <f>IF((A837&gt;=2021),ROUND(((E837*D837)/F837),3),C837)</f>
        <v/>
      </c>
      <c r="C837" s="48" t="n"/>
      <c r="D837" s="48" t="n">
        <v>450068417</v>
      </c>
      <c r="E837" s="48" t="n">
        <v>1.028</v>
      </c>
      <c r="F837" s="48" t="n">
        <v>446437975</v>
      </c>
    </row>
    <row r="838" ht="14" customHeight="1">
      <c r="A838" s="15" t="n">
        <v>2025</v>
      </c>
      <c r="B838" s="45">
        <f>IF((A838&gt;=2021),ROUND(((E838*D838)/F838),3),C838)</f>
        <v/>
      </c>
      <c r="C838" s="46" t="n"/>
      <c r="D838" s="46" t="n">
        <v>451637436</v>
      </c>
      <c r="E838" s="46" t="n">
        <v>1.028</v>
      </c>
      <c r="F838" s="46" t="n">
        <v>446437975</v>
      </c>
    </row>
    <row r="841">
      <c r="A841" s="54" t="inlineStr">
        <is>
          <t>B5a · Fossil share of residential energy mix  (%)</t>
        </is>
      </c>
    </row>
    <row r="842" ht="26" customHeight="1">
      <c r="A842" s="50" t="inlineStr">
        <is>
          <t>No derivation for the later years — the figure is the publication's own.</t>
        </is>
      </c>
    </row>
    <row r="843" ht="24" customHeight="1">
      <c r="A843" s="3" t="inlineStr">
        <is>
          <t>Derivation:  Value = IF(A &gt;= 2023, [Post-report figure as published], (([Other fossils (solids, …)]+[Liquid fossils]+[Natural gas])/[Total]) * [fraction → % (× 100)])</t>
        </is>
      </c>
    </row>
    <row r="844" ht="42" customHeight="1">
      <c r="A844" s="44" t="inlineStr">
        <is>
          <t>Year</t>
        </is>
      </c>
      <c r="B844" s="44" t="inlineStr">
        <is>
          <t>Value</t>
        </is>
      </c>
      <c r="C844" s="44" t="inlineStr">
        <is>
          <t>Other fossils (solids, …)</t>
        </is>
      </c>
      <c r="D844" s="44" t="inlineStr">
        <is>
          <t>Liquid fossils</t>
        </is>
      </c>
      <c r="E844" s="44" t="inlineStr">
        <is>
          <t>Natural gas</t>
        </is>
      </c>
      <c r="F844" s="44" t="inlineStr">
        <is>
          <t>Total</t>
        </is>
      </c>
      <c r="G844" s="44" t="inlineStr">
        <is>
          <t>Electricity</t>
        </is>
      </c>
      <c r="H844" s="44" t="inlineStr">
        <is>
          <t>District heating</t>
        </is>
      </c>
      <c r="I844" s="44" t="inlineStr">
        <is>
          <t>Renewables - bio</t>
        </is>
      </c>
      <c r="J844" s="44" t="inlineStr">
        <is>
          <t>Renewables - other</t>
        </is>
      </c>
      <c r="K844" s="44" t="inlineStr">
        <is>
          <t>Post-report figure as published</t>
        </is>
      </c>
      <c r="L844" s="44" t="inlineStr">
        <is>
          <t>fraction → % (× 100)</t>
        </is>
      </c>
    </row>
    <row r="845" ht="14" customHeight="1">
      <c r="A845" s="15" t="n">
        <v>2005</v>
      </c>
      <c r="B845" s="45">
        <f>IF((A845&gt;=2023),K845,((((C845+D845)+E845)/F845)*L845))</f>
        <v/>
      </c>
      <c r="C845" s="46" t="n">
        <v>9237.906000000001</v>
      </c>
      <c r="D845" s="46" t="n">
        <v>52606.552</v>
      </c>
      <c r="E845" s="46" t="n">
        <v>88923.519</v>
      </c>
      <c r="F845" s="46">
        <f>((((((C845+D845)+E845)+G845)+H845)+I845)+J845)</f>
        <v/>
      </c>
      <c r="G845" s="46" t="n">
        <v>57535.929</v>
      </c>
      <c r="H845" s="46" t="n">
        <v>22254.138</v>
      </c>
      <c r="I845" s="46" t="n">
        <v>34654.51499999999</v>
      </c>
      <c r="J845" s="46" t="n">
        <v>1103.851</v>
      </c>
      <c r="K845" s="46" t="n"/>
      <c r="L845" s="46" t="n">
        <v>100</v>
      </c>
    </row>
    <row r="846" ht="14" customHeight="1">
      <c r="A846" s="22" t="n">
        <v>2006</v>
      </c>
      <c r="B846" s="47">
        <f>IF((A846&gt;=2023),K846,((((C846+D846)+E846)/F846)*L846))</f>
        <v/>
      </c>
      <c r="C846" s="48" t="n">
        <v>10214.345</v>
      </c>
      <c r="D846" s="48" t="n">
        <v>50544.129</v>
      </c>
      <c r="E846" s="48" t="n">
        <v>87134.815</v>
      </c>
      <c r="F846" s="48">
        <f>((((((C846+D846)+E846)+G846)+H846)+I846)+J846)</f>
        <v/>
      </c>
      <c r="G846" s="48" t="n">
        <v>58934.424</v>
      </c>
      <c r="H846" s="48" t="n">
        <v>21313.442</v>
      </c>
      <c r="I846" s="48" t="n">
        <v>35862.283</v>
      </c>
      <c r="J846" s="48" t="n">
        <v>1388.608</v>
      </c>
      <c r="K846" s="48" t="n"/>
      <c r="L846" s="48" t="n">
        <v>100</v>
      </c>
    </row>
    <row r="847" ht="14" customHeight="1">
      <c r="A847" s="15" t="n">
        <v>2007</v>
      </c>
      <c r="B847" s="45">
        <f>IF((A847&gt;=2023),K847,((((C847+D847)+E847)/F847)*L847))</f>
        <v/>
      </c>
      <c r="C847" s="46" t="n">
        <v>9163.504999999999</v>
      </c>
      <c r="D847" s="46" t="n">
        <v>39674.239</v>
      </c>
      <c r="E847" s="46" t="n">
        <v>80121.40700000001</v>
      </c>
      <c r="F847" s="46">
        <f>((((((C847+D847)+E847)+G847)+H847)+I847)+J847)</f>
        <v/>
      </c>
      <c r="G847" s="46" t="n">
        <v>58535.992</v>
      </c>
      <c r="H847" s="46" t="n">
        <v>21659.582</v>
      </c>
      <c r="I847" s="46" t="n">
        <v>38347.466</v>
      </c>
      <c r="J847" s="46" t="n">
        <v>1730.66</v>
      </c>
      <c r="K847" s="46" t="n"/>
      <c r="L847" s="46" t="n">
        <v>100</v>
      </c>
    </row>
    <row r="848" ht="14" customHeight="1">
      <c r="A848" s="22" t="n">
        <v>2008</v>
      </c>
      <c r="B848" s="47">
        <f>IF((A848&gt;=2023),K848,((((C848+D848)+E848)/F848)*L848))</f>
        <v/>
      </c>
      <c r="C848" s="48" t="n">
        <v>9724.203</v>
      </c>
      <c r="D848" s="48" t="n">
        <v>45449.054</v>
      </c>
      <c r="E848" s="48" t="n">
        <v>83938.626</v>
      </c>
      <c r="F848" s="48">
        <f>((((((C848+D848)+E848)+G848)+H848)+I848)+J848)</f>
        <v/>
      </c>
      <c r="G848" s="48" t="n">
        <v>59852.566</v>
      </c>
      <c r="H848" s="48" t="n">
        <v>21413.184</v>
      </c>
      <c r="I848" s="48" t="n">
        <v>41687.748</v>
      </c>
      <c r="J848" s="48" t="n">
        <v>2195.509</v>
      </c>
      <c r="K848" s="48" t="n"/>
      <c r="L848" s="48" t="n">
        <v>100</v>
      </c>
    </row>
    <row r="849" ht="14" customHeight="1">
      <c r="A849" s="15" t="n">
        <v>2009</v>
      </c>
      <c r="B849" s="45">
        <f>IF((A849&gt;=2023),K849,((((C849+D849)+E849)/F849)*L849))</f>
        <v/>
      </c>
      <c r="C849" s="46" t="n">
        <v>9878.538999999999</v>
      </c>
      <c r="D849" s="46" t="n">
        <v>41516.874</v>
      </c>
      <c r="E849" s="46" t="n">
        <v>84730.833</v>
      </c>
      <c r="F849" s="46">
        <f>((((((C849+D849)+E849)+G849)+H849)+I849)+J849)</f>
        <v/>
      </c>
      <c r="G849" s="46" t="n">
        <v>60152.637</v>
      </c>
      <c r="H849" s="46" t="n">
        <v>21360.257</v>
      </c>
      <c r="I849" s="46" t="n">
        <v>42011.50599999999</v>
      </c>
      <c r="J849" s="46" t="n">
        <v>2730.558</v>
      </c>
      <c r="K849" s="46" t="n"/>
      <c r="L849" s="46" t="n">
        <v>100</v>
      </c>
    </row>
    <row r="850" ht="14" customHeight="1">
      <c r="A850" s="22" t="n">
        <v>2010</v>
      </c>
      <c r="B850" s="47">
        <f>IF((A850&gt;=2023),K850,((((C850+D850)+E850)/F850)*L850))</f>
        <v/>
      </c>
      <c r="C850" s="48" t="n">
        <v>11416.98</v>
      </c>
      <c r="D850" s="48" t="n">
        <v>41083.057</v>
      </c>
      <c r="E850" s="48" t="n">
        <v>92180.353</v>
      </c>
      <c r="F850" s="48">
        <f>((((((C850+D850)+E850)+G850)+H850)+I850)+J850)</f>
        <v/>
      </c>
      <c r="G850" s="48" t="n">
        <v>62776.295</v>
      </c>
      <c r="H850" s="48" t="n">
        <v>23677.195</v>
      </c>
      <c r="I850" s="48" t="n">
        <v>44508.72300000001</v>
      </c>
      <c r="J850" s="48" t="n">
        <v>3286.879</v>
      </c>
      <c r="K850" s="48" t="n"/>
      <c r="L850" s="48" t="n">
        <v>100</v>
      </c>
    </row>
    <row r="851" ht="14" customHeight="1">
      <c r="A851" s="15" t="n">
        <v>2011</v>
      </c>
      <c r="B851" s="45">
        <f>IF((A851&gt;=2023),K851,((((C851+D851)+E851)/F851)*L851))</f>
        <v/>
      </c>
      <c r="C851" s="46" t="n">
        <v>9900.838000000002</v>
      </c>
      <c r="D851" s="46" t="n">
        <v>36193.663</v>
      </c>
      <c r="E851" s="46" t="n">
        <v>80771.228</v>
      </c>
      <c r="F851" s="46">
        <f>((((((C851+D851)+E851)+G851)+H851)+I851)+J851)</f>
        <v/>
      </c>
      <c r="G851" s="46" t="n">
        <v>60526.228</v>
      </c>
      <c r="H851" s="46" t="n">
        <v>21267.579</v>
      </c>
      <c r="I851" s="46" t="n">
        <v>39968.785</v>
      </c>
      <c r="J851" s="46" t="n">
        <v>3266.111</v>
      </c>
      <c r="K851" s="46" t="n"/>
      <c r="L851" s="46" t="n">
        <v>100</v>
      </c>
    </row>
    <row r="852" ht="14" customHeight="1">
      <c r="A852" s="22" t="n">
        <v>2012</v>
      </c>
      <c r="B852" s="47">
        <f>IF((A852&gt;=2023),K852,((((C852+D852)+E852)/F852)*L852))</f>
        <v/>
      </c>
      <c r="C852" s="48" t="n">
        <v>10161.539</v>
      </c>
      <c r="D852" s="48" t="n">
        <v>35601.929</v>
      </c>
      <c r="E852" s="48" t="n">
        <v>85062.74000000001</v>
      </c>
      <c r="F852" s="48">
        <f>((((((C852+D852)+E852)+G852)+H852)+I852)+J852)</f>
        <v/>
      </c>
      <c r="G852" s="48" t="n">
        <v>61813.091</v>
      </c>
      <c r="H852" s="48" t="n">
        <v>21519.539</v>
      </c>
      <c r="I852" s="48" t="n">
        <v>45132.963</v>
      </c>
      <c r="J852" s="48" t="n">
        <v>3720.348</v>
      </c>
      <c r="K852" s="48" t="n"/>
      <c r="L852" s="48" t="n">
        <v>100</v>
      </c>
    </row>
    <row r="853" ht="14" customHeight="1">
      <c r="A853" s="15" t="n">
        <v>2013</v>
      </c>
      <c r="B853" s="45">
        <f>IF((A853&gt;=2023),K853,((((C853+D853)+E853)/F853)*L853))</f>
        <v/>
      </c>
      <c r="C853" s="46" t="n">
        <v>9821.436</v>
      </c>
      <c r="D853" s="46" t="n">
        <v>35792.314</v>
      </c>
      <c r="E853" s="46" t="n">
        <v>86508.378</v>
      </c>
      <c r="F853" s="46">
        <f>((((((C853+D853)+E853)+G853)+H853)+I853)+J853)</f>
        <v/>
      </c>
      <c r="G853" s="46" t="n">
        <v>61544.727</v>
      </c>
      <c r="H853" s="46" t="n">
        <v>22623.038</v>
      </c>
      <c r="I853" s="46" t="n">
        <v>45665.02499999999</v>
      </c>
      <c r="J853" s="46" t="n">
        <v>4136.387</v>
      </c>
      <c r="K853" s="46" t="n"/>
      <c r="L853" s="46" t="n">
        <v>100</v>
      </c>
    </row>
    <row r="854" ht="14" customHeight="1">
      <c r="A854" s="22" t="n">
        <v>2014</v>
      </c>
      <c r="B854" s="47">
        <f>IF((A854&gt;=2023),K854,((((C854+D854)+E854)/F854)*L854))</f>
        <v/>
      </c>
      <c r="C854" s="48" t="n">
        <v>8804.607</v>
      </c>
      <c r="D854" s="48" t="n">
        <v>31221.26</v>
      </c>
      <c r="E854" s="48" t="n">
        <v>70920.886</v>
      </c>
      <c r="F854" s="48">
        <f>((((((C854+D854)+E854)+G854)+H854)+I854)+J854)</f>
        <v/>
      </c>
      <c r="G854" s="48" t="n">
        <v>58618.234</v>
      </c>
      <c r="H854" s="48" t="n">
        <v>20186.481</v>
      </c>
      <c r="I854" s="48" t="n">
        <v>40391.96399999999</v>
      </c>
      <c r="J854" s="48" t="n">
        <v>4493.715</v>
      </c>
      <c r="K854" s="48" t="n"/>
      <c r="L854" s="48" t="n">
        <v>100</v>
      </c>
    </row>
    <row r="855" ht="14" customHeight="1">
      <c r="A855" s="15" t="n">
        <v>2015</v>
      </c>
      <c r="B855" s="45">
        <f>IF((A855&gt;=2023),K855,((((C855+D855)+E855)/F855)*L855))</f>
        <v/>
      </c>
      <c r="C855" s="46" t="n">
        <v>8701.244999999999</v>
      </c>
      <c r="D855" s="46" t="n">
        <v>32054.46</v>
      </c>
      <c r="E855" s="46" t="n">
        <v>76833.89599999999</v>
      </c>
      <c r="F855" s="46">
        <f>((((((C855+D855)+E855)+G855)+H855)+I855)+J855)</f>
        <v/>
      </c>
      <c r="G855" s="46" t="n">
        <v>59488.019</v>
      </c>
      <c r="H855" s="46" t="n">
        <v>21084.388</v>
      </c>
      <c r="I855" s="46" t="n">
        <v>41850.10600000001</v>
      </c>
      <c r="J855" s="46" t="n">
        <v>5015.878000000001</v>
      </c>
      <c r="K855" s="46" t="n"/>
      <c r="L855" s="46" t="n">
        <v>100</v>
      </c>
    </row>
    <row r="856" ht="14" customHeight="1">
      <c r="A856" s="22" t="n">
        <v>2016</v>
      </c>
      <c r="B856" s="47">
        <f>IF((A856&gt;=2023),K856,((((C856+D856)+E856)/F856)*L856))</f>
        <v/>
      </c>
      <c r="C856" s="48" t="n">
        <v>9006.828</v>
      </c>
      <c r="D856" s="48" t="n">
        <v>30787.212</v>
      </c>
      <c r="E856" s="48" t="n">
        <v>81737.671</v>
      </c>
      <c r="F856" s="48">
        <f>((((((C856+D856)+E856)+G856)+H856)+I856)+J856)</f>
        <v/>
      </c>
      <c r="G856" s="48" t="n">
        <v>60514.434</v>
      </c>
      <c r="H856" s="48" t="n">
        <v>22096.583</v>
      </c>
      <c r="I856" s="48" t="n">
        <v>41199.444</v>
      </c>
      <c r="J856" s="48" t="n">
        <v>5534.556</v>
      </c>
      <c r="K856" s="48" t="n"/>
      <c r="L856" s="48" t="n">
        <v>100</v>
      </c>
    </row>
    <row r="857" ht="14" customHeight="1">
      <c r="A857" s="15" t="n">
        <v>2017</v>
      </c>
      <c r="B857" s="45">
        <f>IF((A857&gt;=2023),K857,((((C857+D857)+E857)/F857)*L857))</f>
        <v/>
      </c>
      <c r="C857" s="46" t="n">
        <v>8917.467000000001</v>
      </c>
      <c r="D857" s="46" t="n">
        <v>30221.252</v>
      </c>
      <c r="E857" s="46" t="n">
        <v>81410.204</v>
      </c>
      <c r="F857" s="46">
        <f>((((((C857+D857)+E857)+G857)+H857)+I857)+J857)</f>
        <v/>
      </c>
      <c r="G857" s="46" t="n">
        <v>60921.992</v>
      </c>
      <c r="H857" s="46" t="n">
        <v>22151.031</v>
      </c>
      <c r="I857" s="46" t="n">
        <v>41537.78</v>
      </c>
      <c r="J857" s="46" t="n">
        <v>6553.349</v>
      </c>
      <c r="K857" s="46" t="n"/>
      <c r="L857" s="46" t="n">
        <v>100</v>
      </c>
    </row>
    <row r="858" ht="14" customHeight="1">
      <c r="A858" s="22" t="n">
        <v>2018</v>
      </c>
      <c r="B858" s="47">
        <f>IF((A858&gt;=2023),K858,((((C858+D858)+E858)/F858)*L858))</f>
        <v/>
      </c>
      <c r="C858" s="48" t="n">
        <v>8344.016</v>
      </c>
      <c r="D858" s="48" t="n">
        <v>28508.875</v>
      </c>
      <c r="E858" s="48" t="n">
        <v>80473.87300000001</v>
      </c>
      <c r="F858" s="48">
        <f>((((((C858+D858)+E858)+G858)+H858)+I858)+J858)</f>
        <v/>
      </c>
      <c r="G858" s="48" t="n">
        <v>60699.591</v>
      </c>
      <c r="H858" s="48" t="n">
        <v>21103.143</v>
      </c>
      <c r="I858" s="48" t="n">
        <v>43508.32</v>
      </c>
      <c r="J858" s="48" t="n">
        <v>7109.3</v>
      </c>
      <c r="K858" s="48" t="n"/>
      <c r="L858" s="48" t="n">
        <v>100</v>
      </c>
    </row>
    <row r="859" ht="14" customHeight="1">
      <c r="A859" s="15" t="n">
        <v>2019</v>
      </c>
      <c r="B859" s="45">
        <f>IF((A859&gt;=2023),K859,((((C859+D859)+E859)/F859)*L859))</f>
        <v/>
      </c>
      <c r="C859" s="46" t="n">
        <v>6776.026</v>
      </c>
      <c r="D859" s="46" t="n">
        <v>29071.42</v>
      </c>
      <c r="E859" s="46" t="n">
        <v>79623.462</v>
      </c>
      <c r="F859" s="46">
        <f>((((((C859+D859)+E859)+G859)+H859)+I859)+J859)</f>
        <v/>
      </c>
      <c r="G859" s="46" t="n">
        <v>60522.618</v>
      </c>
      <c r="H859" s="46" t="n">
        <v>20857.857</v>
      </c>
      <c r="I859" s="46" t="n">
        <v>43573.318</v>
      </c>
      <c r="J859" s="46" t="n">
        <v>7764.447</v>
      </c>
      <c r="K859" s="46" t="n"/>
      <c r="L859" s="46" t="n">
        <v>100</v>
      </c>
    </row>
    <row r="860" ht="14" customHeight="1">
      <c r="A860" s="22" t="n">
        <v>2020</v>
      </c>
      <c r="B860" s="47">
        <f>IF((A860&gt;=2023),K860,((((C860+D860)+E860)/F860)*L860))</f>
        <v/>
      </c>
      <c r="C860" s="48" t="n">
        <v>6925.547</v>
      </c>
      <c r="D860" s="48" t="n">
        <v>30460.023</v>
      </c>
      <c r="E860" s="48" t="n">
        <v>78599.93399999999</v>
      </c>
      <c r="F860" s="48">
        <f>((((((C860+D860)+E860)+G860)+H860)+I860)+J860)</f>
        <v/>
      </c>
      <c r="G860" s="48" t="n">
        <v>61271.582</v>
      </c>
      <c r="H860" s="48" t="n">
        <v>20414.4</v>
      </c>
      <c r="I860" s="48" t="n">
        <v>42105.459</v>
      </c>
      <c r="J860" s="48" t="n">
        <v>8350.866</v>
      </c>
      <c r="K860" s="48" t="n"/>
      <c r="L860" s="48" t="n">
        <v>100</v>
      </c>
    </row>
    <row r="861" ht="14" customHeight="1">
      <c r="A861" s="15" t="n">
        <v>2021</v>
      </c>
      <c r="B861" s="45">
        <f>IF((A861&gt;=2023),K861,((((C861+D861)+E861)/F861)*L861))</f>
        <v/>
      </c>
      <c r="C861" s="46" t="n">
        <v>6630.588</v>
      </c>
      <c r="D861" s="46" t="n">
        <v>24998.342</v>
      </c>
      <c r="E861" s="46" t="n">
        <v>87709.745</v>
      </c>
      <c r="F861" s="46">
        <f>((((((C861+D861)+E861)+G861)+H861)+I861)+J861)</f>
        <v/>
      </c>
      <c r="G861" s="46" t="n">
        <v>64265.362</v>
      </c>
      <c r="H861" s="46" t="n">
        <v>22600.253</v>
      </c>
      <c r="I861" s="46" t="n">
        <v>45777.601</v>
      </c>
      <c r="J861" s="46" t="n">
        <v>9830.799999999999</v>
      </c>
      <c r="K861" s="46" t="n"/>
      <c r="L861" s="46" t="n">
        <v>100</v>
      </c>
    </row>
    <row r="862" ht="14" customHeight="1">
      <c r="A862" s="22" t="n">
        <v>2023</v>
      </c>
      <c r="B862" s="47">
        <f>IF((A862&gt;=2023),K862,((((C862+D862)+E862)/F862)*L862))</f>
        <v/>
      </c>
      <c r="C862" s="48" t="n"/>
      <c r="D862" s="48" t="n"/>
      <c r="E862" s="48" t="n"/>
      <c r="F862" s="48">
        <f>((((((C862+D862)+E862)+G862)+H862)+I862)+J862)</f>
        <v/>
      </c>
      <c r="G862" s="48" t="n"/>
      <c r="H862" s="48" t="n"/>
      <c r="I862" s="48" t="n"/>
      <c r="J862" s="48" t="n"/>
      <c r="K862" s="48" t="n">
        <v>42</v>
      </c>
      <c r="L862" s="48" t="n">
        <v>100</v>
      </c>
    </row>
    <row r="865">
      <c r="A865" s="54" t="inlineStr">
        <is>
          <t>B5b · Fossil share of tertiary energy mix  (%)</t>
        </is>
      </c>
    </row>
    <row r="866" ht="26" customHeight="1">
      <c r="A866" s="50" t="inlineStr">
        <is>
          <t>No derivation for the later years — the figure is the publication's own.</t>
        </is>
      </c>
    </row>
    <row r="867" ht="24" customHeight="1">
      <c r="A867" s="3" t="inlineStr">
        <is>
          <t>Derivation:  Value = IF(A &gt;= 2023, [Post-report figure as published], (([Other fossils (solids/liquid) (tertiary, ktoe)]+[Liquid fossils (tertiary, ktoe)]+[Natural gas (tertiary, ktoe)]) / ([Other fossils (solids/liquid) (tertiary, ktoe)]+[Liquid fossils (tertiary, ktoe)]+[Natural gas (tertiary, ktoe)]+[Electricity (tertiary, ktoe)]+[District heating (tertiary, ktoe)]+[Renewables - bio (tertiary, ktoe)]+[Renewables - other (tertiary, ktoe)])) * [fraction → % (× 100)])</t>
        </is>
      </c>
    </row>
    <row r="868" ht="42" customHeight="1">
      <c r="A868" s="44" t="inlineStr">
        <is>
          <t>Year</t>
        </is>
      </c>
      <c r="B868" s="44" t="inlineStr">
        <is>
          <t>Value</t>
        </is>
      </c>
      <c r="C868" s="44" t="inlineStr">
        <is>
          <t>Other fossils (solids/liquid) (tertiary, ktoe)</t>
        </is>
      </c>
      <c r="D868" s="44" t="inlineStr">
        <is>
          <t>Liquid fossils (tertiary, ktoe)</t>
        </is>
      </c>
      <c r="E868" s="44" t="inlineStr">
        <is>
          <t>Natural gas (tertiary, ktoe)</t>
        </is>
      </c>
      <c r="F868" s="44" t="inlineStr">
        <is>
          <t>Electricity (tertiary, ktoe)</t>
        </is>
      </c>
      <c r="G868" s="44" t="inlineStr">
        <is>
          <t>District heating (tertiary, ktoe)</t>
        </is>
      </c>
      <c r="H868" s="44" t="inlineStr">
        <is>
          <t>Renewables - bio (tertiary, ktoe)</t>
        </is>
      </c>
      <c r="I868" s="44" t="inlineStr">
        <is>
          <t>Renewables - other (tertiary, ktoe)</t>
        </is>
      </c>
      <c r="J868" s="44" t="inlineStr">
        <is>
          <t>Post-report figure as published</t>
        </is>
      </c>
      <c r="K868" s="44" t="inlineStr">
        <is>
          <t>fraction → % (× 100)</t>
        </is>
      </c>
    </row>
    <row r="869" ht="14" customHeight="1">
      <c r="A869" s="15" t="n">
        <v>2005</v>
      </c>
      <c r="B869" s="45">
        <f>IF((A869&gt;=2023),J869,((((C869+D869)+E869)/((((((C869+D869)+E869)+F869)+G869)+H869)+I869))*K869))</f>
        <v/>
      </c>
      <c r="C869" s="46" t="n">
        <v>1365.466</v>
      </c>
      <c r="D869" s="46" t="n">
        <v>22059.443</v>
      </c>
      <c r="E869" s="46" t="n">
        <v>36697.19</v>
      </c>
      <c r="F869" s="46" t="n">
        <v>55783.099</v>
      </c>
      <c r="G869" s="46" t="n">
        <v>9443.121999999999</v>
      </c>
      <c r="H869" s="46" t="n">
        <v>2077.313</v>
      </c>
      <c r="I869" s="46" t="n">
        <v>554.9050000000002</v>
      </c>
      <c r="J869" s="46" t="n"/>
      <c r="K869" s="46" t="n">
        <v>100</v>
      </c>
    </row>
    <row r="870" ht="14" customHeight="1">
      <c r="A870" s="22" t="n">
        <v>2006</v>
      </c>
      <c r="B870" s="47">
        <f>IF((A870&gt;=2023),J870,((((C870+D870)+E870)/((((((C870+D870)+E870)+F870)+G870)+H870)+I870))*K870))</f>
        <v/>
      </c>
      <c r="C870" s="48" t="n">
        <v>1615.042</v>
      </c>
      <c r="D870" s="48" t="n">
        <v>21220.915</v>
      </c>
      <c r="E870" s="48" t="n">
        <v>39219.694</v>
      </c>
      <c r="F870" s="48" t="n">
        <v>58875.454</v>
      </c>
      <c r="G870" s="48" t="n">
        <v>9269.039000000001</v>
      </c>
      <c r="H870" s="48" t="n">
        <v>2218.231</v>
      </c>
      <c r="I870" s="48" t="n">
        <v>591.556</v>
      </c>
      <c r="J870" s="48" t="n"/>
      <c r="K870" s="48" t="n">
        <v>100</v>
      </c>
    </row>
    <row r="871" ht="14" customHeight="1">
      <c r="A871" s="15" t="n">
        <v>2007</v>
      </c>
      <c r="B871" s="45">
        <f>IF((A871&gt;=2023),J871,((((C871+D871)+E871)/((((((C871+D871)+E871)+F871)+G871)+H871)+I871))*K871))</f>
        <v/>
      </c>
      <c r="C871" s="46" t="n">
        <v>1588.832</v>
      </c>
      <c r="D871" s="46" t="n">
        <v>17277.784</v>
      </c>
      <c r="E871" s="46" t="n">
        <v>35257.868</v>
      </c>
      <c r="F871" s="46" t="n">
        <v>59786.689</v>
      </c>
      <c r="G871" s="46" t="n">
        <v>9313.546</v>
      </c>
      <c r="H871" s="46" t="n">
        <v>2435.158</v>
      </c>
      <c r="I871" s="46" t="n">
        <v>639.1439999999998</v>
      </c>
      <c r="J871" s="46" t="n"/>
      <c r="K871" s="46" t="n">
        <v>100</v>
      </c>
    </row>
    <row r="872" ht="14" customHeight="1">
      <c r="A872" s="22" t="n">
        <v>2008</v>
      </c>
      <c r="B872" s="47">
        <f>IF((A872&gt;=2023),J872,((((C872+D872)+E872)/((((((C872+D872)+E872)+F872)+G872)+H872)+I872))*K872))</f>
        <v/>
      </c>
      <c r="C872" s="48" t="n">
        <v>1689.481</v>
      </c>
      <c r="D872" s="48" t="n">
        <v>19699.341</v>
      </c>
      <c r="E872" s="48" t="n">
        <v>37508.152</v>
      </c>
      <c r="F872" s="48" t="n">
        <v>61733.909</v>
      </c>
      <c r="G872" s="48" t="n">
        <v>10028.203</v>
      </c>
      <c r="H872" s="48" t="n">
        <v>2786.481</v>
      </c>
      <c r="I872" s="48" t="n">
        <v>734.8850000000002</v>
      </c>
      <c r="J872" s="48" t="n"/>
      <c r="K872" s="48" t="n">
        <v>100</v>
      </c>
    </row>
    <row r="873" ht="14" customHeight="1">
      <c r="A873" s="15" t="n">
        <v>2009</v>
      </c>
      <c r="B873" s="45">
        <f>IF((A873&gt;=2023),J873,((((C873+D873)+E873)/((((((C873+D873)+E873)+F873)+G873)+H873)+I873))*K873))</f>
        <v/>
      </c>
      <c r="C873" s="46" t="n">
        <v>1920.997</v>
      </c>
      <c r="D873" s="46" t="n">
        <v>18082.639</v>
      </c>
      <c r="E873" s="46" t="n">
        <v>38108.172</v>
      </c>
      <c r="F873" s="46" t="n">
        <v>62379.792</v>
      </c>
      <c r="G873" s="46" t="n">
        <v>10075.193</v>
      </c>
      <c r="H873" s="46" t="n">
        <v>2999.496000000001</v>
      </c>
      <c r="I873" s="46" t="n">
        <v>777.2789999999995</v>
      </c>
      <c r="J873" s="46" t="n"/>
      <c r="K873" s="46" t="n">
        <v>100</v>
      </c>
    </row>
    <row r="874" ht="14" customHeight="1">
      <c r="A874" s="22" t="n">
        <v>2010</v>
      </c>
      <c r="B874" s="47">
        <f>IF((A874&gt;=2023),J874,((((C874+D874)+E874)/((((((C874+D874)+E874)+F874)+G874)+H874)+I874))*K874))</f>
        <v/>
      </c>
      <c r="C874" s="48" t="n">
        <v>1842.405</v>
      </c>
      <c r="D874" s="48" t="n">
        <v>17761.063</v>
      </c>
      <c r="E874" s="48" t="n">
        <v>40361.891</v>
      </c>
      <c r="F874" s="48" t="n">
        <v>63959.279</v>
      </c>
      <c r="G874" s="48" t="n">
        <v>11765.404</v>
      </c>
      <c r="H874" s="48" t="n">
        <v>3452.172</v>
      </c>
      <c r="I874" s="48" t="n">
        <v>840.8110000000006</v>
      </c>
      <c r="J874" s="48" t="n"/>
      <c r="K874" s="48" t="n">
        <v>100</v>
      </c>
    </row>
    <row r="875" ht="14" customHeight="1">
      <c r="A875" s="15" t="n">
        <v>2011</v>
      </c>
      <c r="B875" s="45">
        <f>IF((A875&gt;=2023),J875,((((C875+D875)+E875)/((((((C875+D875)+E875)+F875)+G875)+H875)+I875))*K875))</f>
        <v/>
      </c>
      <c r="C875" s="46" t="n">
        <v>1564.914</v>
      </c>
      <c r="D875" s="46" t="n">
        <v>15799.021</v>
      </c>
      <c r="E875" s="46" t="n">
        <v>34980.884</v>
      </c>
      <c r="F875" s="46" t="n">
        <v>62312.395</v>
      </c>
      <c r="G875" s="46" t="n">
        <v>9739.004000000001</v>
      </c>
      <c r="H875" s="46" t="n">
        <v>2889.965</v>
      </c>
      <c r="I875" s="46" t="n">
        <v>1020.196</v>
      </c>
      <c r="J875" s="46" t="n"/>
      <c r="K875" s="46" t="n">
        <v>100</v>
      </c>
    </row>
    <row r="876" ht="14" customHeight="1">
      <c r="A876" s="22" t="n">
        <v>2012</v>
      </c>
      <c r="B876" s="47">
        <f>IF((A876&gt;=2023),J876,((((C876+D876)+E876)/((((((C876+D876)+E876)+F876)+G876)+H876)+I876))*K876))</f>
        <v/>
      </c>
      <c r="C876" s="48" t="n">
        <v>1322.272</v>
      </c>
      <c r="D876" s="48" t="n">
        <v>15811.523</v>
      </c>
      <c r="E876" s="48" t="n">
        <v>36505.94</v>
      </c>
      <c r="F876" s="48" t="n">
        <v>63101.616</v>
      </c>
      <c r="G876" s="48" t="n">
        <v>10016.038</v>
      </c>
      <c r="H876" s="48" t="n">
        <v>3259.626000000001</v>
      </c>
      <c r="I876" s="48" t="n">
        <v>1131.107999999999</v>
      </c>
      <c r="J876" s="48" t="n"/>
      <c r="K876" s="48" t="n">
        <v>100</v>
      </c>
    </row>
    <row r="877" ht="14" customHeight="1">
      <c r="A877" s="15" t="n">
        <v>2013</v>
      </c>
      <c r="B877" s="45">
        <f>IF((A877&gt;=2023),J877,((((C877+D877)+E877)/((((((C877+D877)+E877)+F877)+G877)+H877)+I877))*K877))</f>
        <v/>
      </c>
      <c r="C877" s="46" t="n">
        <v>1342.061</v>
      </c>
      <c r="D877" s="46" t="n">
        <v>16352.81</v>
      </c>
      <c r="E877" s="46" t="n">
        <v>38608.582</v>
      </c>
      <c r="F877" s="46" t="n">
        <v>62667.405</v>
      </c>
      <c r="G877" s="46" t="n">
        <v>9072.083000000001</v>
      </c>
      <c r="H877" s="46" t="n">
        <v>3441.186999999999</v>
      </c>
      <c r="I877" s="46" t="n">
        <v>1241.308</v>
      </c>
      <c r="J877" s="46" t="n"/>
      <c r="K877" s="46" t="n">
        <v>100</v>
      </c>
    </row>
    <row r="878" ht="14" customHeight="1">
      <c r="A878" s="22" t="n">
        <v>2014</v>
      </c>
      <c r="B878" s="47">
        <f>IF((A878&gt;=2023),J878,((((C878+D878)+E878)/((((((C878+D878)+E878)+F878)+G878)+H878)+I878))*K878))</f>
        <v/>
      </c>
      <c r="C878" s="48" t="n">
        <v>1176.151</v>
      </c>
      <c r="D878" s="48" t="n">
        <v>14633.463</v>
      </c>
      <c r="E878" s="48" t="n">
        <v>33536.068</v>
      </c>
      <c r="F878" s="48" t="n">
        <v>60735.267</v>
      </c>
      <c r="G878" s="48" t="n">
        <v>8517.166999999999</v>
      </c>
      <c r="H878" s="48" t="n">
        <v>3135.737</v>
      </c>
      <c r="I878" s="48" t="n">
        <v>1702.07</v>
      </c>
      <c r="J878" s="48" t="n"/>
      <c r="K878" s="48" t="n">
        <v>100</v>
      </c>
    </row>
    <row r="879" ht="14" customHeight="1">
      <c r="A879" s="15" t="n">
        <v>2015</v>
      </c>
      <c r="B879" s="45">
        <f>IF((A879&gt;=2023),J879,((((C879+D879)+E879)/((((((C879+D879)+E879)+F879)+G879)+H879)+I879))*K879))</f>
        <v/>
      </c>
      <c r="C879" s="46" t="n">
        <v>1213.214</v>
      </c>
      <c r="D879" s="46" t="n">
        <v>14666.912</v>
      </c>
      <c r="E879" s="46" t="n">
        <v>35996.272</v>
      </c>
      <c r="F879" s="46" t="n">
        <v>63039.824</v>
      </c>
      <c r="G879" s="46" t="n">
        <v>8460.624</v>
      </c>
      <c r="H879" s="46" t="n">
        <v>3336.378</v>
      </c>
      <c r="I879" s="46" t="n">
        <v>1806.172</v>
      </c>
      <c r="J879" s="46" t="n"/>
      <c r="K879" s="46" t="n">
        <v>100</v>
      </c>
    </row>
    <row r="880" ht="14" customHeight="1">
      <c r="A880" s="22" t="n">
        <v>2016</v>
      </c>
      <c r="B880" s="47">
        <f>IF((A880&gt;=2023),J880,((((C880+D880)+E880)/((((((C880+D880)+E880)+F880)+G880)+H880)+I880))*K880))</f>
        <v/>
      </c>
      <c r="C880" s="48" t="n">
        <v>1079.346</v>
      </c>
      <c r="D880" s="48" t="n">
        <v>14633.104</v>
      </c>
      <c r="E880" s="48" t="n">
        <v>36530.9</v>
      </c>
      <c r="F880" s="48" t="n">
        <v>63580.814</v>
      </c>
      <c r="G880" s="48" t="n">
        <v>8854.486999999999</v>
      </c>
      <c r="H880" s="48" t="n">
        <v>3525.547</v>
      </c>
      <c r="I880" s="48" t="n">
        <v>1967.197</v>
      </c>
      <c r="J880" s="48" t="n"/>
      <c r="K880" s="48" t="n">
        <v>100</v>
      </c>
    </row>
    <row r="881" ht="14" customHeight="1">
      <c r="A881" s="15" t="n">
        <v>2017</v>
      </c>
      <c r="B881" s="45">
        <f>IF((A881&gt;=2023),J881,((((C881+D881)+E881)/((((((C881+D881)+E881)+F881)+G881)+H881)+I881))*K881))</f>
        <v/>
      </c>
      <c r="C881" s="46" t="n">
        <v>1093.064</v>
      </c>
      <c r="D881" s="46" t="n">
        <v>14667.041</v>
      </c>
      <c r="E881" s="46" t="n">
        <v>36409.67</v>
      </c>
      <c r="F881" s="46" t="n">
        <v>63711.05</v>
      </c>
      <c r="G881" s="46" t="n">
        <v>9236.059999999999</v>
      </c>
      <c r="H881" s="46" t="n">
        <v>3795.445</v>
      </c>
      <c r="I881" s="46" t="n">
        <v>4969.719000000001</v>
      </c>
      <c r="J881" s="46" t="n"/>
      <c r="K881" s="46" t="n">
        <v>100</v>
      </c>
    </row>
    <row r="882" ht="14" customHeight="1">
      <c r="A882" s="22" t="n">
        <v>2018</v>
      </c>
      <c r="B882" s="47">
        <f>IF((A882&gt;=2023),J882,((((C882+D882)+E882)/((((((C882+D882)+E882)+F882)+G882)+H882)+I882))*K882))</f>
        <v/>
      </c>
      <c r="C882" s="48" t="n">
        <v>1016.742</v>
      </c>
      <c r="D882" s="48" t="n">
        <v>10804.322</v>
      </c>
      <c r="E882" s="48" t="n">
        <v>37823.474</v>
      </c>
      <c r="F882" s="48" t="n">
        <v>63646.466</v>
      </c>
      <c r="G882" s="48" t="n">
        <v>9247.382</v>
      </c>
      <c r="H882" s="48" t="n">
        <v>3986.427</v>
      </c>
      <c r="I882" s="48" t="n">
        <v>5137.679</v>
      </c>
      <c r="J882" s="48" t="n"/>
      <c r="K882" s="48" t="n">
        <v>100</v>
      </c>
    </row>
    <row r="883" ht="14" customHeight="1">
      <c r="A883" s="15" t="n">
        <v>2019</v>
      </c>
      <c r="B883" s="45">
        <f>IF((A883&gt;=2023),J883,((((C883+D883)+E883)/((((((C883+D883)+E883)+F883)+G883)+H883)+I883))*K883))</f>
        <v/>
      </c>
      <c r="C883" s="46" t="n">
        <v>927.1109999999999</v>
      </c>
      <c r="D883" s="46" t="n">
        <v>10633.18</v>
      </c>
      <c r="E883" s="46" t="n">
        <v>36170.811</v>
      </c>
      <c r="F883" s="46" t="n">
        <v>62403.236</v>
      </c>
      <c r="G883" s="46" t="n">
        <v>9116.665999999999</v>
      </c>
      <c r="H883" s="46" t="n">
        <v>4037.052000000001</v>
      </c>
      <c r="I883" s="46" t="n">
        <v>5279.806</v>
      </c>
      <c r="J883" s="46" t="n"/>
      <c r="K883" s="46" t="n">
        <v>100</v>
      </c>
    </row>
    <row r="884" ht="14" customHeight="1">
      <c r="A884" s="22" t="n">
        <v>2020</v>
      </c>
      <c r="B884" s="47">
        <f>IF((A884&gt;=2023),J884,((((C884+D884)+E884)/((((((C884+D884)+E884)+F884)+G884)+H884)+I884))*K884))</f>
        <v/>
      </c>
      <c r="C884" s="48" t="n">
        <v>897.6719999999999</v>
      </c>
      <c r="D884" s="48" t="n">
        <v>9736.805</v>
      </c>
      <c r="E884" s="48" t="n">
        <v>34561.708</v>
      </c>
      <c r="F884" s="48" t="n">
        <v>58248.449</v>
      </c>
      <c r="G884" s="48" t="n">
        <v>8468.085999999999</v>
      </c>
      <c r="H884" s="48" t="n">
        <v>3966.825</v>
      </c>
      <c r="I884" s="48" t="n">
        <v>5344.861999999999</v>
      </c>
      <c r="J884" s="48" t="n"/>
      <c r="K884" s="48" t="n">
        <v>100</v>
      </c>
    </row>
    <row r="885" ht="14" customHeight="1">
      <c r="A885" s="15" t="n">
        <v>2021</v>
      </c>
      <c r="B885" s="45">
        <f>IF((A885&gt;=2023),J885,((((C885+D885)+E885)/((((((C885+D885)+E885)+F885)+G885)+H885)+I885))*K885))</f>
        <v/>
      </c>
      <c r="C885" s="46" t="n">
        <v>1067.861</v>
      </c>
      <c r="D885" s="46" t="n">
        <v>10844.84</v>
      </c>
      <c r="E885" s="46" t="n">
        <v>38176.16</v>
      </c>
      <c r="F885" s="46" t="n">
        <v>59875.546</v>
      </c>
      <c r="G885" s="46" t="n">
        <v>9396.939</v>
      </c>
      <c r="H885" s="46" t="n">
        <v>4288.104</v>
      </c>
      <c r="I885" s="46" t="n">
        <v>5657.164</v>
      </c>
      <c r="J885" s="46" t="n"/>
      <c r="K885" s="46" t="n">
        <v>100</v>
      </c>
    </row>
    <row r="886" ht="14" customHeight="1">
      <c r="A886" s="22" t="n">
        <v>2023</v>
      </c>
      <c r="B886" s="47">
        <f>IF((A886&gt;=2023),J886,((((C886+D886)+E886)/((((((C886+D886)+E886)+F886)+G886)+H886)+I886))*K886))</f>
        <v/>
      </c>
      <c r="C886" s="48" t="n"/>
      <c r="D886" s="48" t="n"/>
      <c r="E886" s="48" t="n"/>
      <c r="F886" s="48" t="n"/>
      <c r="G886" s="48" t="n"/>
      <c r="H886" s="48" t="n"/>
      <c r="I886" s="48" t="n"/>
      <c r="J886" s="48" t="n">
        <v>32.2</v>
      </c>
      <c r="K886" s="48" t="n">
        <v>100</v>
      </c>
    </row>
    <row r="889">
      <c r="A889" s="54" t="inlineStr">
        <is>
          <t>B6 · EU stock of installed heat pumps  (million units)</t>
        </is>
      </c>
    </row>
    <row r="890" ht="26" customHeight="1">
      <c r="A890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891" ht="24" customHeight="1">
      <c r="A891" s="3" t="inlineStr">
        <is>
          <t>Derivation:  Value = [Total heat-pump stock (thousand units)] * [thousand → million (/1000)]</t>
        </is>
      </c>
    </row>
    <row r="892" ht="42" customHeight="1">
      <c r="A892" s="44" t="inlineStr">
        <is>
          <t>Year</t>
        </is>
      </c>
      <c r="B892" s="44" t="inlineStr">
        <is>
          <t>Value</t>
        </is>
      </c>
      <c r="C892" s="44" t="inlineStr">
        <is>
          <t>Total heat-pump stock (thousand units)</t>
        </is>
      </c>
      <c r="D892" s="44" t="inlineStr">
        <is>
          <t>thousand → million (/1000)</t>
        </is>
      </c>
    </row>
    <row r="893" ht="14" customHeight="1">
      <c r="A893" s="15" t="n">
        <v>2005</v>
      </c>
      <c r="B893" s="45">
        <f>(C893*D893)</f>
        <v/>
      </c>
      <c r="C893" s="46" t="n">
        <v>1100</v>
      </c>
      <c r="D893" s="46" t="n">
        <v>0.001</v>
      </c>
    </row>
    <row r="894" ht="14" customHeight="1">
      <c r="A894" s="22" t="n">
        <v>2006</v>
      </c>
      <c r="B894" s="47">
        <f>(C894*D894)</f>
        <v/>
      </c>
      <c r="C894" s="48" t="n">
        <v>1600</v>
      </c>
      <c r="D894" s="48" t="n">
        <v>0.001</v>
      </c>
    </row>
    <row r="895" ht="14" customHeight="1">
      <c r="A895" s="15" t="n">
        <v>2007</v>
      </c>
      <c r="B895" s="45">
        <f>(C895*D895)</f>
        <v/>
      </c>
      <c r="C895" s="46" t="n">
        <v>2170</v>
      </c>
      <c r="D895" s="46" t="n">
        <v>0.001</v>
      </c>
    </row>
    <row r="896" ht="14" customHeight="1">
      <c r="A896" s="22" t="n">
        <v>2008</v>
      </c>
      <c r="B896" s="47">
        <f>(C896*D896)</f>
        <v/>
      </c>
      <c r="C896" s="48" t="n">
        <v>2980</v>
      </c>
      <c r="D896" s="48" t="n">
        <v>0.001</v>
      </c>
    </row>
    <row r="897" ht="14" customHeight="1">
      <c r="A897" s="15" t="n">
        <v>2009</v>
      </c>
      <c r="B897" s="45">
        <f>(C897*D897)</f>
        <v/>
      </c>
      <c r="C897" s="46" t="n">
        <v>3710</v>
      </c>
      <c r="D897" s="46" t="n">
        <v>0.001</v>
      </c>
    </row>
    <row r="898" ht="14" customHeight="1">
      <c r="A898" s="22" t="n">
        <v>2010</v>
      </c>
      <c r="B898" s="47">
        <f>(C898*D898)</f>
        <v/>
      </c>
      <c r="C898" s="48" t="n">
        <v>4500</v>
      </c>
      <c r="D898" s="48" t="n">
        <v>0.001</v>
      </c>
    </row>
    <row r="899" ht="14" customHeight="1">
      <c r="A899" s="15" t="n">
        <v>2011</v>
      </c>
      <c r="B899" s="45">
        <f>(C899*D899)</f>
        <v/>
      </c>
      <c r="C899" s="46" t="n">
        <v>5300</v>
      </c>
      <c r="D899" s="46" t="n">
        <v>0.001</v>
      </c>
    </row>
    <row r="900" ht="14" customHeight="1">
      <c r="A900" s="22" t="n">
        <v>2012</v>
      </c>
      <c r="B900" s="47">
        <f>(C900*D900)</f>
        <v/>
      </c>
      <c r="C900" s="48" t="n">
        <v>6030</v>
      </c>
      <c r="D900" s="48" t="n">
        <v>0.001</v>
      </c>
    </row>
    <row r="901" ht="14" customHeight="1">
      <c r="A901" s="15" t="n">
        <v>2013</v>
      </c>
      <c r="B901" s="45">
        <f>(C901*D901)</f>
        <v/>
      </c>
      <c r="C901" s="46" t="n">
        <v>6780</v>
      </c>
      <c r="D901" s="46" t="n">
        <v>0.001</v>
      </c>
    </row>
    <row r="902" ht="14" customHeight="1">
      <c r="A902" s="22" t="n">
        <v>2014</v>
      </c>
      <c r="B902" s="47">
        <f>(C902*D902)</f>
        <v/>
      </c>
      <c r="C902" s="48" t="n">
        <v>7550</v>
      </c>
      <c r="D902" s="48" t="n">
        <v>0.001</v>
      </c>
    </row>
    <row r="903" ht="14" customHeight="1">
      <c r="A903" s="15" t="n">
        <v>2015</v>
      </c>
      <c r="B903" s="45">
        <f>(C903*D903)</f>
        <v/>
      </c>
      <c r="C903" s="46" t="n">
        <v>8430</v>
      </c>
      <c r="D903" s="46" t="n">
        <v>0.001</v>
      </c>
    </row>
    <row r="904" ht="14" customHeight="1">
      <c r="A904" s="22" t="n">
        <v>2016</v>
      </c>
      <c r="B904" s="47">
        <f>(C904*D904)</f>
        <v/>
      </c>
      <c r="C904" s="48" t="n">
        <v>9410</v>
      </c>
      <c r="D904" s="48" t="n">
        <v>0.001</v>
      </c>
    </row>
    <row r="905" ht="14" customHeight="1">
      <c r="A905" s="15" t="n">
        <v>2017</v>
      </c>
      <c r="B905" s="45">
        <f>(C905*D905)</f>
        <v/>
      </c>
      <c r="C905" s="46" t="n">
        <v>10500</v>
      </c>
      <c r="D905" s="46" t="n">
        <v>0.001</v>
      </c>
    </row>
    <row r="906" ht="14" customHeight="1">
      <c r="A906" s="22" t="n">
        <v>2018</v>
      </c>
      <c r="B906" s="47">
        <f>(C906*D906)</f>
        <v/>
      </c>
      <c r="C906" s="48" t="n">
        <v>11780</v>
      </c>
      <c r="D906" s="48" t="n">
        <v>0.001</v>
      </c>
    </row>
    <row r="907" ht="14" customHeight="1">
      <c r="A907" s="15" t="n">
        <v>2019</v>
      </c>
      <c r="B907" s="45">
        <f>(C907*D907)</f>
        <v/>
      </c>
      <c r="C907" s="46" t="n">
        <v>13210</v>
      </c>
      <c r="D907" s="46" t="n">
        <v>0.001</v>
      </c>
    </row>
    <row r="908" ht="14" customHeight="1">
      <c r="A908" s="22" t="n">
        <v>2020</v>
      </c>
      <c r="B908" s="47">
        <f>(C908*D908)</f>
        <v/>
      </c>
      <c r="C908" s="48" t="n">
        <v>14770</v>
      </c>
      <c r="D908" s="48" t="n">
        <v>0.001</v>
      </c>
    </row>
    <row r="909" ht="14" customHeight="1">
      <c r="A909" s="15" t="n">
        <v>2021</v>
      </c>
      <c r="B909" s="45">
        <f>(C909*D909)</f>
        <v/>
      </c>
      <c r="C909" s="46" t="n">
        <v>16870</v>
      </c>
      <c r="D909" s="46" t="n">
        <v>0.001</v>
      </c>
    </row>
    <row r="910" ht="14" customHeight="1">
      <c r="A910" s="22" t="n">
        <v>2022</v>
      </c>
      <c r="B910" s="47">
        <f>(C910*D910)</f>
        <v/>
      </c>
      <c r="C910" s="48" t="n">
        <v>19790</v>
      </c>
      <c r="D910" s="48" t="n">
        <v>0.001</v>
      </c>
    </row>
    <row r="911" ht="14" customHeight="1">
      <c r="A911" s="15" t="n">
        <v>2023</v>
      </c>
      <c r="B911" s="45">
        <f>(C911*D911)</f>
        <v/>
      </c>
      <c r="C911" s="46" t="n">
        <v>23960</v>
      </c>
      <c r="D911" s="46" t="n">
        <v>0.001</v>
      </c>
    </row>
    <row r="912" ht="14" customHeight="1">
      <c r="A912" s="22" t="n">
        <v>2024</v>
      </c>
      <c r="B912" s="47">
        <f>(C912*D912)</f>
        <v/>
      </c>
      <c r="C912" s="48" t="n">
        <v>25500</v>
      </c>
      <c r="D912" s="48" t="n">
        <v>0.001</v>
      </c>
    </row>
    <row r="915">
      <c r="A915" s="55" t="inlineStr">
        <is>
          <t>A1 · Agricultural non-CO₂ emissions  (Mt CO₂eq)</t>
        </is>
      </c>
    </row>
    <row r="916" ht="26" customHeight="1">
      <c r="A916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17" ht="24" customHeight="1">
      <c r="A917" s="3" t="inlineStr">
        <is>
          <t>Derivation:  Value = IF(A &gt;= 2022, IF(A &gt;= 2023, ROUND([Report baseline 2022 (Mt CO₂eq)] * ([env_air_gge CRF3 CH4] * 28 + [env_air_gge CRF3 N2O] * 265) / [Live source at 2022 (same basis as the columns left)], 1), [Report figure — row missing from the seeded grid]), [Enteric fermentation]+[Manure management]+[Fertilizer use]+[Other])</t>
        </is>
      </c>
    </row>
    <row r="918" ht="42" customHeight="1">
      <c r="A918" s="44" t="inlineStr">
        <is>
          <t>Year</t>
        </is>
      </c>
      <c r="B918" s="44" t="inlineStr">
        <is>
          <t>Value</t>
        </is>
      </c>
      <c r="C918" s="44" t="inlineStr">
        <is>
          <t>Enteric fermentation</t>
        </is>
      </c>
      <c r="D918" s="44" t="inlineStr">
        <is>
          <t>Manure management</t>
        </is>
      </c>
      <c r="E918" s="44" t="inlineStr">
        <is>
          <t>Fertilizer use</t>
        </is>
      </c>
      <c r="F918" s="44" t="inlineStr">
        <is>
          <t>Other</t>
        </is>
      </c>
      <c r="G918" s="44" t="inlineStr">
        <is>
          <t>Report figure — row missing from the seeded grid</t>
        </is>
      </c>
      <c r="H918" s="44" t="inlineStr">
        <is>
          <t>env_air_gge CRF3 CH4</t>
        </is>
      </c>
      <c r="I918" s="44" t="inlineStr">
        <is>
          <t>env_air_gge CRF3 N2O</t>
        </is>
      </c>
      <c r="J918" s="44" t="inlineStr">
        <is>
          <t>Report baseline 2022 (Mt CO₂eq)</t>
        </is>
      </c>
      <c r="K918" s="44" t="inlineStr">
        <is>
          <t>Live source at 2022 (same basis as the columns left)</t>
        </is>
      </c>
    </row>
    <row r="919" ht="14" customHeight="1">
      <c r="A919" s="15" t="n">
        <v>2005</v>
      </c>
      <c r="B919" s="45">
        <f>IF((A919&gt;=2022),IF((A919&gt;=2023),ROUND(((J919*((H919*28)+(I919*265)))/K919),1),G919),(((C919+D919)+E919)+F919))</f>
        <v/>
      </c>
      <c r="C919" s="46" t="n">
        <v>189.0104274914156</v>
      </c>
      <c r="D919" s="46" t="n">
        <v>69.08823467669878</v>
      </c>
      <c r="E919" s="46" t="n">
        <v>117.6797244894114</v>
      </c>
      <c r="F919" s="46" t="n">
        <v>4.277784065454455</v>
      </c>
      <c r="G919" s="46" t="n"/>
      <c r="H919" s="46" t="n"/>
      <c r="I919" s="46" t="n"/>
      <c r="J919" s="46" t="n"/>
      <c r="K919" s="46" t="n"/>
    </row>
    <row r="920" ht="14" customHeight="1">
      <c r="A920" s="22" t="n">
        <v>2006</v>
      </c>
      <c r="B920" s="47">
        <f>IF((A920&gt;=2022),IF((A920&gt;=2023),ROUND(((J920*((H920*28)+(I920*265)))/K920),1),G920),(((C920+D920)+E920)+F920))</f>
        <v/>
      </c>
      <c r="C920" s="48" t="n">
        <v>187.9827115136918</v>
      </c>
      <c r="D920" s="48" t="n">
        <v>68.59881916912724</v>
      </c>
      <c r="E920" s="48" t="n">
        <v>116.3645705357525</v>
      </c>
      <c r="F920" s="48" t="n">
        <v>4.348400847231289</v>
      </c>
      <c r="G920" s="48" t="n"/>
      <c r="H920" s="48" t="n"/>
      <c r="I920" s="48" t="n"/>
      <c r="J920" s="48" t="n"/>
      <c r="K920" s="48" t="n"/>
    </row>
    <row r="921" ht="14" customHeight="1">
      <c r="A921" s="15" t="n">
        <v>2007</v>
      </c>
      <c r="B921" s="45">
        <f>IF((A921&gt;=2022),IF((A921&gt;=2023),ROUND(((J921*((H921*28)+(I921*265)))/K921),1),G921),(((C921+D921)+E921)+F921))</f>
        <v/>
      </c>
      <c r="C921" s="46" t="n">
        <v>188.920788936153</v>
      </c>
      <c r="D921" s="46" t="n">
        <v>68.89885160712971</v>
      </c>
      <c r="E921" s="46" t="n">
        <v>117.1594485150589</v>
      </c>
      <c r="F921" s="46" t="n">
        <v>5.233100482022394</v>
      </c>
      <c r="G921" s="46" t="n"/>
      <c r="H921" s="46" t="n"/>
      <c r="I921" s="46" t="n"/>
      <c r="J921" s="46" t="n"/>
      <c r="K921" s="46" t="n"/>
    </row>
    <row r="922" ht="14" customHeight="1">
      <c r="A922" s="22" t="n">
        <v>2008</v>
      </c>
      <c r="B922" s="47">
        <f>IF((A922&gt;=2022),IF((A922&gt;=2023),ROUND(((J922*((H922*28)+(I922*265)))/K922),1),G922),(((C922+D922)+E922)+F922))</f>
        <v/>
      </c>
      <c r="C922" s="48" t="n">
        <v>188.1232118479337</v>
      </c>
      <c r="D922" s="48" t="n">
        <v>67.31439187545898</v>
      </c>
      <c r="E922" s="48" t="n">
        <v>117.8719523230649</v>
      </c>
      <c r="F922" s="48" t="n">
        <v>4.451932104627133</v>
      </c>
      <c r="G922" s="48" t="n"/>
      <c r="H922" s="48" t="n"/>
      <c r="I922" s="48" t="n"/>
      <c r="J922" s="48" t="n"/>
      <c r="K922" s="48" t="n"/>
    </row>
    <row r="923" ht="14" customHeight="1">
      <c r="A923" s="15" t="n">
        <v>2009</v>
      </c>
      <c r="B923" s="45">
        <f>IF((A923&gt;=2022),IF((A923&gt;=2023),ROUND(((J923*((H923*28)+(I923*265)))/K923),1),G923),(((C923+D923)+E923)+F923))</f>
        <v/>
      </c>
      <c r="C923" s="46" t="n">
        <v>186.4029792560558</v>
      </c>
      <c r="D923" s="46" t="n">
        <v>66.94339492744402</v>
      </c>
      <c r="E923" s="46" t="n">
        <v>114.334742527751</v>
      </c>
      <c r="F923" s="46" t="n">
        <v>5.064266110154932</v>
      </c>
      <c r="G923" s="46" t="n"/>
      <c r="H923" s="46" t="n"/>
      <c r="I923" s="46" t="n"/>
      <c r="J923" s="46" t="n"/>
      <c r="K923" s="46" t="n"/>
    </row>
    <row r="924" ht="14" customHeight="1">
      <c r="A924" s="22" t="n">
        <v>2010</v>
      </c>
      <c r="B924" s="47">
        <f>IF((A924&gt;=2022),IF((A924&gt;=2023),ROUND(((J924*((H924*28)+(I924*265)))/K924),1),G924),(((C924+D924)+E924)+F924))</f>
        <v/>
      </c>
      <c r="C924" s="48" t="n">
        <v>184.3182547366107</v>
      </c>
      <c r="D924" s="48" t="n">
        <v>64.59833355888863</v>
      </c>
      <c r="E924" s="48" t="n">
        <v>113.4443415161126</v>
      </c>
      <c r="F924" s="48" t="n">
        <v>5.122191446205193</v>
      </c>
      <c r="G924" s="48" t="n"/>
      <c r="H924" s="48" t="n"/>
      <c r="I924" s="48" t="n"/>
      <c r="J924" s="48" t="n"/>
      <c r="K924" s="48" t="n"/>
    </row>
    <row r="925" ht="14" customHeight="1">
      <c r="A925" s="15" t="n">
        <v>2011</v>
      </c>
      <c r="B925" s="45">
        <f>IF((A925&gt;=2022),IF((A925&gt;=2023),ROUND(((J925*((H925*28)+(I925*265)))/K925),1),G925),(((C925+D925)+E925)+F925))</f>
        <v/>
      </c>
      <c r="C925" s="46" t="n">
        <v>182.1059946206142</v>
      </c>
      <c r="D925" s="46" t="n">
        <v>64.68538725850802</v>
      </c>
      <c r="E925" s="46" t="n">
        <v>114.5572651084525</v>
      </c>
      <c r="F925" s="46" t="n">
        <v>5.378086020221744</v>
      </c>
      <c r="G925" s="46" t="n"/>
      <c r="H925" s="46" t="n"/>
      <c r="I925" s="46" t="n"/>
      <c r="J925" s="46" t="n"/>
      <c r="K925" s="46" t="n"/>
    </row>
    <row r="926" ht="14" customHeight="1">
      <c r="A926" s="22" t="n">
        <v>2012</v>
      </c>
      <c r="B926" s="47">
        <f>IF((A926&gt;=2022),IF((A926&gt;=2023),ROUND(((J926*((H926*28)+(I926*265)))/K926),1),G926),(((C926+D926)+E926)+F926))</f>
        <v/>
      </c>
      <c r="C926" s="48" t="n">
        <v>182.0959930222771</v>
      </c>
      <c r="D926" s="48" t="n">
        <v>63.78344635322895</v>
      </c>
      <c r="E926" s="48" t="n">
        <v>114.6218369449119</v>
      </c>
      <c r="F926" s="48" t="n">
        <v>5.773434257803146</v>
      </c>
      <c r="G926" s="48" t="n"/>
      <c r="H926" s="48" t="n"/>
      <c r="I926" s="48" t="n"/>
      <c r="J926" s="48" t="n"/>
      <c r="K926" s="48" t="n"/>
    </row>
    <row r="927" ht="14" customHeight="1">
      <c r="A927" s="15" t="n">
        <v>2013</v>
      </c>
      <c r="B927" s="45">
        <f>IF((A927&gt;=2022),IF((A927&gt;=2023),ROUND(((J927*((H927*28)+(I927*265)))/K927),1),G927),(((C927+D927)+E927)+F927))</f>
        <v/>
      </c>
      <c r="C927" s="46" t="n">
        <v>182.8748767022805</v>
      </c>
      <c r="D927" s="46" t="n">
        <v>63.01164458656165</v>
      </c>
      <c r="E927" s="46" t="n">
        <v>116.6233638797818</v>
      </c>
      <c r="F927" s="46" t="n">
        <v>5.393396404100073</v>
      </c>
      <c r="G927" s="46" t="n"/>
      <c r="H927" s="46" t="n"/>
      <c r="I927" s="46" t="n"/>
      <c r="J927" s="46" t="n"/>
      <c r="K927" s="46" t="n"/>
    </row>
    <row r="928" ht="14" customHeight="1">
      <c r="A928" s="22" t="n">
        <v>2014</v>
      </c>
      <c r="B928" s="47">
        <f>IF((A928&gt;=2022),IF((A928&gt;=2023),ROUND(((J928*((H928*28)+(I928*265)))/K928),1),G928),(((C928+D928)+E928)+F928))</f>
        <v/>
      </c>
      <c r="C928" s="48" t="n">
        <v>184.1684888516399</v>
      </c>
      <c r="D928" s="48" t="n">
        <v>63.61213189740968</v>
      </c>
      <c r="E928" s="48" t="n">
        <v>119.7377682240044</v>
      </c>
      <c r="F928" s="48" t="n">
        <v>5.345964152657757</v>
      </c>
      <c r="G928" s="48" t="n"/>
      <c r="H928" s="48" t="n"/>
      <c r="I928" s="48" t="n"/>
      <c r="J928" s="48" t="n"/>
      <c r="K928" s="48" t="n"/>
    </row>
    <row r="929" ht="14" customHeight="1">
      <c r="A929" s="15" t="n">
        <v>2015</v>
      </c>
      <c r="B929" s="45">
        <f>IF((A929&gt;=2022),IF((A929&gt;=2023),ROUND(((J929*((H929*28)+(I929*265)))/K929),1),G929),(((C929+D929)+E929)+F929))</f>
        <v/>
      </c>
      <c r="C929" s="46" t="n">
        <v>185.8812770994882</v>
      </c>
      <c r="D929" s="46" t="n">
        <v>64.25818752651736</v>
      </c>
      <c r="E929" s="46" t="n">
        <v>118.7361371573253</v>
      </c>
      <c r="F929" s="46" t="n">
        <v>5.605471507217175</v>
      </c>
      <c r="G929" s="46" t="n"/>
      <c r="H929" s="46" t="n"/>
      <c r="I929" s="46" t="n"/>
      <c r="J929" s="46" t="n"/>
      <c r="K929" s="46" t="n"/>
    </row>
    <row r="930" ht="14" customHeight="1">
      <c r="A930" s="22" t="n">
        <v>2016</v>
      </c>
      <c r="B930" s="47">
        <f>IF((A930&gt;=2022),IF((A930&gt;=2023),ROUND(((J930*((H930*28)+(I930*265)))/K930),1),G930),(((C930+D930)+E930)+F930))</f>
        <v/>
      </c>
      <c r="C930" s="48" t="n">
        <v>186.477187072414</v>
      </c>
      <c r="D930" s="48" t="n">
        <v>64.24736803751625</v>
      </c>
      <c r="E930" s="48" t="n">
        <v>119.6150193989715</v>
      </c>
      <c r="F930" s="48" t="n">
        <v>5.585625728374154</v>
      </c>
      <c r="G930" s="48" t="n"/>
      <c r="H930" s="48" t="n"/>
      <c r="I930" s="48" t="n"/>
      <c r="J930" s="48" t="n"/>
      <c r="K930" s="48" t="n"/>
    </row>
    <row r="931" ht="14" customHeight="1">
      <c r="A931" s="15" t="n">
        <v>2017</v>
      </c>
      <c r="B931" s="45">
        <f>IF((A931&gt;=2022),IF((A931&gt;=2023),ROUND(((J931*((H931*28)+(I931*265)))/K931),1),G931),(((C931+D931)+E931)+F931))</f>
        <v/>
      </c>
      <c r="C931" s="46" t="n">
        <v>186.645793745861</v>
      </c>
      <c r="D931" s="46" t="n">
        <v>64.51316552423758</v>
      </c>
      <c r="E931" s="46" t="n">
        <v>121.7385748473323</v>
      </c>
      <c r="F931" s="46" t="n">
        <v>5.258822740697056</v>
      </c>
      <c r="G931" s="46" t="n"/>
      <c r="H931" s="46" t="n"/>
      <c r="I931" s="46" t="n"/>
      <c r="J931" s="46" t="n"/>
      <c r="K931" s="46" t="n"/>
    </row>
    <row r="932" ht="14" customHeight="1">
      <c r="A932" s="22" t="n">
        <v>2018</v>
      </c>
      <c r="B932" s="47">
        <f>IF((A932&gt;=2022),IF((A932&gt;=2023),ROUND(((J932*((H932*28)+(I932*265)))/K932),1),G932),(((C932+D932)+E932)+F932))</f>
        <v/>
      </c>
      <c r="C932" s="48" t="n">
        <v>185.6382219273156</v>
      </c>
      <c r="D932" s="48" t="n">
        <v>64.26715709564823</v>
      </c>
      <c r="E932" s="48" t="n">
        <v>119.9945432157956</v>
      </c>
      <c r="F932" s="48" t="n">
        <v>5.089209956103801</v>
      </c>
      <c r="G932" s="48" t="n"/>
      <c r="H932" s="48" t="n"/>
      <c r="I932" s="48" t="n"/>
      <c r="J932" s="48" t="n"/>
      <c r="K932" s="48" t="n"/>
    </row>
    <row r="933" ht="14" customHeight="1">
      <c r="A933" s="15" t="n">
        <v>2019</v>
      </c>
      <c r="B933" s="45">
        <f>IF((A933&gt;=2022),IF((A933&gt;=2023),ROUND(((J933*((H933*28)+(I933*265)))/K933),1),G933),(((C933+D933)+E933)+F933))</f>
        <v/>
      </c>
      <c r="C933" s="46" t="n">
        <v>183.8156398954151</v>
      </c>
      <c r="D933" s="46" t="n">
        <v>63.77767373217581</v>
      </c>
      <c r="E933" s="46" t="n">
        <v>118.1370322990841</v>
      </c>
      <c r="F933" s="46" t="n">
        <v>5.138738660767601</v>
      </c>
      <c r="G933" s="46" t="n"/>
      <c r="H933" s="46" t="n"/>
      <c r="I933" s="46" t="n"/>
      <c r="J933" s="46" t="n"/>
      <c r="K933" s="46" t="n"/>
    </row>
    <row r="934" ht="14" customHeight="1">
      <c r="A934" s="22" t="n">
        <v>2020</v>
      </c>
      <c r="B934" s="47">
        <f>IF((A934&gt;=2022),IF((A934&gt;=2023),ROUND(((J934*((H934*28)+(I934*265)))/K934),1),G934),(((C934+D934)+E934)+F934))</f>
        <v/>
      </c>
      <c r="C934" s="48" t="n">
        <v>183.7484125647313</v>
      </c>
      <c r="D934" s="48" t="n">
        <v>64.09086899450296</v>
      </c>
      <c r="E934" s="48" t="n">
        <v>118.629474528699</v>
      </c>
      <c r="F934" s="48" t="n">
        <v>5.431864621189746</v>
      </c>
      <c r="G934" s="48" t="n"/>
      <c r="H934" s="48" t="n"/>
      <c r="I934" s="48" t="n"/>
      <c r="J934" s="48" t="n"/>
      <c r="K934" s="48" t="n"/>
    </row>
    <row r="935" ht="14" customHeight="1">
      <c r="A935" s="15" t="n">
        <v>2021</v>
      </c>
      <c r="B935" s="45">
        <f>IF((A935&gt;=2022),IF((A935&gt;=2023),ROUND(((J935*((H935*28)+(I935*265)))/K935),1),G935),(((C935+D935)+E935)+F935))</f>
        <v/>
      </c>
      <c r="C935" s="46" t="n">
        <v>182.5454973719479</v>
      </c>
      <c r="D935" s="46" t="n">
        <v>62.90260958350251</v>
      </c>
      <c r="E935" s="46" t="n">
        <v>117.9941278462921</v>
      </c>
      <c r="F935" s="46" t="n">
        <v>5.16966544042242</v>
      </c>
      <c r="G935" s="46" t="n"/>
      <c r="H935" s="46" t="n"/>
      <c r="I935" s="46" t="n"/>
      <c r="J935" s="46" t="n"/>
      <c r="K935" s="46" t="n"/>
    </row>
    <row r="936" ht="14" customHeight="1">
      <c r="A936" s="22" t="n">
        <v>2022</v>
      </c>
      <c r="B936" s="47">
        <f>IF((A936&gt;=2022),IF((A936&gt;=2023),ROUND(((J936*((H936*28)+(I936*265)))/K936),1),G936),(((C936+D936)+E936)+F936))</f>
        <v/>
      </c>
      <c r="C936" s="48" t="n"/>
      <c r="D936" s="48" t="n"/>
      <c r="E936" s="48" t="n"/>
      <c r="F936" s="48" t="n"/>
      <c r="G936" s="48" t="n">
        <v>360.9</v>
      </c>
      <c r="H936" s="48" t="n"/>
      <c r="I936" s="48" t="n"/>
      <c r="J936" s="48" t="n"/>
      <c r="K936" s="48" t="n"/>
    </row>
    <row r="937" ht="14" customHeight="1">
      <c r="A937" s="15" t="n">
        <v>2023</v>
      </c>
      <c r="B937" s="45">
        <f>IF((A937&gt;=2022),IF((A937&gt;=2023),ROUND(((J937*((H937*28)+(I937*265)))/K937),1),G937),(((C937+D937)+E937)+F937))</f>
        <v/>
      </c>
      <c r="C937" s="46" t="n"/>
      <c r="D937" s="46" t="n"/>
      <c r="E937" s="46" t="n"/>
      <c r="F937" s="46" t="n"/>
      <c r="G937" s="46" t="n"/>
      <c r="H937" s="46" t="n">
        <v>8.172219999999999</v>
      </c>
      <c r="I937" s="46" t="n">
        <v>0.47204</v>
      </c>
      <c r="J937" s="46" t="n">
        <v>360.9</v>
      </c>
      <c r="K937" s="46" t="n">
        <v>354.85225</v>
      </c>
    </row>
    <row r="938" ht="14" customHeight="1">
      <c r="A938" s="22" t="n">
        <v>2024</v>
      </c>
      <c r="B938" s="47">
        <f>IF((A938&gt;=2022),IF((A938&gt;=2023),ROUND(((J938*((H938*28)+(I938*265)))/K938),1),G938),(((C938+D938)+E938)+F938))</f>
        <v/>
      </c>
      <c r="C938" s="48" t="n"/>
      <c r="D938" s="48" t="n"/>
      <c r="E938" s="48" t="n"/>
      <c r="F938" s="48" t="n"/>
      <c r="G938" s="48" t="n"/>
      <c r="H938" s="48" t="n">
        <v>8.071619999999999</v>
      </c>
      <c r="I938" s="48" t="n">
        <v>0.46684</v>
      </c>
      <c r="J938" s="48" t="n">
        <v>360.9</v>
      </c>
      <c r="K938" s="48" t="n">
        <v>354.85225</v>
      </c>
    </row>
    <row r="941">
      <c r="A941" s="55" t="inlineStr">
        <is>
          <t>A2 (bovine, production) · Bovine meat: production (EU)  (Mt)</t>
        </is>
      </c>
    </row>
    <row r="942" ht="26" customHeight="1">
      <c r="A942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43" ht="24" customHeight="1">
      <c r="A943" s="3" t="inlineStr">
        <is>
          <t>Derivation:  Value = IF(A &gt;= 2021, ROUND([apro_mt_pann B1000] * [Unit conversion (× 0.001)], 3), [Report figure (2024 report underlying data)])</t>
        </is>
      </c>
    </row>
    <row r="944" ht="42" customHeight="1">
      <c r="A944" s="44" t="inlineStr">
        <is>
          <t>Year</t>
        </is>
      </c>
      <c r="B944" s="44" t="inlineStr">
        <is>
          <t>Value</t>
        </is>
      </c>
      <c r="C944" s="44" t="inlineStr">
        <is>
          <t>Report figure (2024 report underlying data)</t>
        </is>
      </c>
      <c r="D944" s="44" t="inlineStr">
        <is>
          <t>apro_mt_pann B1000</t>
        </is>
      </c>
      <c r="E944" s="44" t="inlineStr">
        <is>
          <t>Unit conversion (× 0.001)</t>
        </is>
      </c>
    </row>
    <row r="945" ht="14" customHeight="1">
      <c r="A945" s="15" t="n">
        <v>2010</v>
      </c>
      <c r="B945" s="45">
        <f>IF((A945&gt;=2021),ROUND((D945*E945),3),C945)</f>
        <v/>
      </c>
      <c r="C945" s="46" t="n">
        <v>7.257</v>
      </c>
      <c r="D945" s="46" t="n"/>
      <c r="E945" s="46" t="n"/>
    </row>
    <row r="946" ht="14" customHeight="1">
      <c r="A946" s="22" t="n">
        <v>2011</v>
      </c>
      <c r="B946" s="47">
        <f>IF((A946&gt;=2021),ROUND((D946*E946),3),C946)</f>
        <v/>
      </c>
      <c r="C946" s="48" t="n">
        <v>7.126</v>
      </c>
      <c r="D946" s="48" t="n"/>
      <c r="E946" s="48" t="n"/>
    </row>
    <row r="947" ht="14" customHeight="1">
      <c r="A947" s="15" t="n">
        <v>2012</v>
      </c>
      <c r="B947" s="45">
        <f>IF((A947&gt;=2021),ROUND((D947*E947),3),C947)</f>
        <v/>
      </c>
      <c r="C947" s="46" t="n">
        <v>6.857</v>
      </c>
      <c r="D947" s="46" t="n"/>
      <c r="E947" s="46" t="n"/>
    </row>
    <row r="948" ht="14" customHeight="1">
      <c r="A948" s="22" t="n">
        <v>2013</v>
      </c>
      <c r="B948" s="47">
        <f>IF((A948&gt;=2021),ROUND((D948*E948),3),C948)</f>
        <v/>
      </c>
      <c r="C948" s="48" t="n">
        <v>6.567</v>
      </c>
      <c r="D948" s="48" t="n"/>
      <c r="E948" s="48" t="n"/>
    </row>
    <row r="949" ht="14" customHeight="1">
      <c r="A949" s="15" t="n">
        <v>2014</v>
      </c>
      <c r="B949" s="45">
        <f>IF((A949&gt;=2021),ROUND((D949*E949),3),C949)</f>
        <v/>
      </c>
      <c r="C949" s="46" t="n">
        <v>6.597</v>
      </c>
      <c r="D949" s="46" t="n"/>
      <c r="E949" s="46" t="n"/>
    </row>
    <row r="950" ht="14" customHeight="1">
      <c r="A950" s="22" t="n">
        <v>2015</v>
      </c>
      <c r="B950" s="47">
        <f>IF((A950&gt;=2021),ROUND((D950*E950),3),C950)</f>
        <v/>
      </c>
      <c r="C950" s="48" t="n">
        <v>6.827</v>
      </c>
      <c r="D950" s="48" t="n"/>
      <c r="E950" s="48" t="n"/>
    </row>
    <row r="951" ht="14" customHeight="1">
      <c r="A951" s="15" t="n">
        <v>2016</v>
      </c>
      <c r="B951" s="45">
        <f>IF((A951&gt;=2021),ROUND((D951*E951),3),C951)</f>
        <v/>
      </c>
      <c r="C951" s="46" t="n">
        <v>6.999</v>
      </c>
      <c r="D951" s="46" t="n"/>
      <c r="E951" s="46" t="n"/>
    </row>
    <row r="952" ht="14" customHeight="1">
      <c r="A952" s="22" t="n">
        <v>2017</v>
      </c>
      <c r="B952" s="47">
        <f>IF((A952&gt;=2021),ROUND((D952*E952),3),C952)</f>
        <v/>
      </c>
      <c r="C952" s="48" t="n">
        <v>6.993</v>
      </c>
      <c r="D952" s="48" t="n"/>
      <c r="E952" s="48" t="n"/>
    </row>
    <row r="953" ht="14" customHeight="1">
      <c r="A953" s="15" t="n">
        <v>2018</v>
      </c>
      <c r="B953" s="45">
        <f>IF((A953&gt;=2021),ROUND((D953*E953),3),C953)</f>
        <v/>
      </c>
      <c r="C953" s="46" t="n">
        <v>7.112</v>
      </c>
      <c r="D953" s="46" t="n"/>
      <c r="E953" s="46" t="n"/>
    </row>
    <row r="954" ht="14" customHeight="1">
      <c r="A954" s="22" t="n">
        <v>2019</v>
      </c>
      <c r="B954" s="47">
        <f>IF((A954&gt;=2021),ROUND((D954*E954),3),C954)</f>
        <v/>
      </c>
      <c r="C954" s="48" t="n">
        <v>6.999</v>
      </c>
      <c r="D954" s="48" t="n"/>
      <c r="E954" s="48" t="n"/>
    </row>
    <row r="955" ht="14" customHeight="1">
      <c r="A955" s="15" t="n">
        <v>2020</v>
      </c>
      <c r="B955" s="45">
        <f>IF((A955&gt;=2021),ROUND((D955*E955),3),C955)</f>
        <v/>
      </c>
      <c r="C955" s="46" t="n">
        <v>6.936</v>
      </c>
      <c r="D955" s="46" t="n"/>
      <c r="E955" s="46" t="n"/>
    </row>
    <row r="956" ht="14" customHeight="1">
      <c r="A956" s="22" t="n">
        <v>2021</v>
      </c>
      <c r="B956" s="47">
        <f>IF((A956&gt;=2021),ROUND((D956*E956),3),C956)</f>
        <v/>
      </c>
      <c r="C956" s="48" t="n"/>
      <c r="D956" s="48" t="n">
        <v>6801.91</v>
      </c>
      <c r="E956" s="48" t="n">
        <v>0.001</v>
      </c>
    </row>
    <row r="957" ht="14" customHeight="1">
      <c r="A957" s="15" t="n">
        <v>2022</v>
      </c>
      <c r="B957" s="45">
        <f>IF((A957&gt;=2021),ROUND((D957*E957),3),C957)</f>
        <v/>
      </c>
      <c r="C957" s="46" t="n"/>
      <c r="D957" s="46" t="n">
        <v>6640.26</v>
      </c>
      <c r="E957" s="46" t="n">
        <v>0.001</v>
      </c>
    </row>
    <row r="958" ht="14" customHeight="1">
      <c r="A958" s="22" t="n">
        <v>2023</v>
      </c>
      <c r="B958" s="47">
        <f>IF((A958&gt;=2021),ROUND((D958*E958),3),C958)</f>
        <v/>
      </c>
      <c r="C958" s="48" t="n"/>
      <c r="D958" s="48" t="n">
        <v>6384.77</v>
      </c>
      <c r="E958" s="48" t="n">
        <v>0.001</v>
      </c>
    </row>
    <row r="959" ht="14" customHeight="1">
      <c r="A959" s="15" t="n">
        <v>2024</v>
      </c>
      <c r="B959" s="45">
        <f>IF((A959&gt;=2021),ROUND((D959*E959),3),C959)</f>
        <v/>
      </c>
      <c r="C959" s="46" t="n"/>
      <c r="D959" s="46" t="n">
        <v>6584.01</v>
      </c>
      <c r="E959" s="46" t="n">
        <v>0.001</v>
      </c>
    </row>
    <row r="960" ht="14" customHeight="1">
      <c r="A960" s="22" t="n">
        <v>2025</v>
      </c>
      <c r="B960" s="47">
        <f>IF((A960&gt;=2021),ROUND((D960*E960),3),C960)</f>
        <v/>
      </c>
      <c r="C960" s="48" t="n"/>
      <c r="D960" s="48" t="n">
        <v>6319.82</v>
      </c>
      <c r="E960" s="48" t="n">
        <v>0.001</v>
      </c>
    </row>
    <row r="963">
      <c r="A963" s="55" t="inlineStr">
        <is>
          <t>A2 (dairy, production) · Dairy products: production (EU)  (Mt)</t>
        </is>
      </c>
    </row>
    <row r="964" ht="26" customHeight="1">
      <c r="A964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65" ht="24" customHeight="1">
      <c r="A965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966" ht="42" customHeight="1">
      <c r="A966" s="44" t="inlineStr">
        <is>
          <t>Year</t>
        </is>
      </c>
      <c r="B966" s="44" t="inlineStr">
        <is>
          <t>Value</t>
        </is>
      </c>
      <c r="C966" s="44" t="inlineStr">
        <is>
          <t>Report figure (2024 report underlying data)</t>
        </is>
      </c>
      <c r="D966" s="44" t="inlineStr">
        <is>
          <t>apro_mk_farm D1100A</t>
        </is>
      </c>
      <c r="E966" s="44" t="inlineStr">
        <is>
          <t>Report baseline 2020 (Mt)</t>
        </is>
      </c>
      <c r="F966" s="44" t="inlineStr">
        <is>
          <t>Live source at 2020 (same basis as the columns left)</t>
        </is>
      </c>
    </row>
    <row r="967" ht="14" customHeight="1">
      <c r="A967" s="15" t="n">
        <v>2010</v>
      </c>
      <c r="B967" s="45">
        <f>IF((A967&gt;=2021),ROUND(((E967*D967)/F967),1),C967)</f>
        <v/>
      </c>
      <c r="C967" s="46" t="n">
        <v>141.1</v>
      </c>
      <c r="D967" s="46" t="n"/>
      <c r="E967" s="46" t="n"/>
      <c r="F967" s="46" t="n"/>
    </row>
    <row r="968" ht="14" customHeight="1">
      <c r="A968" s="22" t="n">
        <v>2011</v>
      </c>
      <c r="B968" s="47">
        <f>IF((A968&gt;=2021),ROUND(((E968*D968)/F968),1),C968)</f>
        <v/>
      </c>
      <c r="C968" s="48" t="n">
        <v>143.4</v>
      </c>
      <c r="D968" s="48" t="n"/>
      <c r="E968" s="48" t="n"/>
      <c r="F968" s="48" t="n"/>
    </row>
    <row r="969" ht="14" customHeight="1">
      <c r="A969" s="15" t="n">
        <v>2012</v>
      </c>
      <c r="B969" s="45">
        <f>IF((A969&gt;=2021),ROUND(((E969*D969)/F969),1),C969)</f>
        <v/>
      </c>
      <c r="C969" s="46" t="n">
        <v>143.8</v>
      </c>
      <c r="D969" s="46" t="n"/>
      <c r="E969" s="46" t="n"/>
      <c r="F969" s="46" t="n"/>
    </row>
    <row r="970" ht="14" customHeight="1">
      <c r="A970" s="22" t="n">
        <v>2013</v>
      </c>
      <c r="B970" s="47">
        <f>IF((A970&gt;=2021),ROUND(((E970*D970)/F970),1),C970)</f>
        <v/>
      </c>
      <c r="C970" s="48" t="n">
        <v>145.3</v>
      </c>
      <c r="D970" s="48" t="n"/>
      <c r="E970" s="48" t="n"/>
      <c r="F970" s="48" t="n"/>
    </row>
    <row r="971" ht="14" customHeight="1">
      <c r="A971" s="15" t="n">
        <v>2014</v>
      </c>
      <c r="B971" s="45">
        <f>IF((A971&gt;=2021),ROUND(((E971*D971)/F971),1),C971)</f>
        <v/>
      </c>
      <c r="C971" s="46" t="n">
        <v>150.1</v>
      </c>
      <c r="D971" s="46" t="n"/>
      <c r="E971" s="46" t="n"/>
      <c r="F971" s="46" t="n"/>
    </row>
    <row r="972" ht="14" customHeight="1">
      <c r="A972" s="22" t="n">
        <v>2015</v>
      </c>
      <c r="B972" s="47">
        <f>IF((A972&gt;=2021),ROUND(((E972*D972)/F972),1),C972)</f>
        <v/>
      </c>
      <c r="C972" s="48" t="n">
        <v>153.2</v>
      </c>
      <c r="D972" s="48" t="n"/>
      <c r="E972" s="48" t="n"/>
      <c r="F972" s="48" t="n"/>
    </row>
    <row r="973" ht="14" customHeight="1">
      <c r="A973" s="15" t="n">
        <v>2016</v>
      </c>
      <c r="B973" s="45">
        <f>IF((A973&gt;=2021),ROUND(((E973*D973)/F973),1),C973)</f>
        <v/>
      </c>
      <c r="C973" s="46" t="n">
        <v>154.8</v>
      </c>
      <c r="D973" s="46" t="n"/>
      <c r="E973" s="46" t="n"/>
      <c r="F973" s="46" t="n"/>
    </row>
    <row r="974" ht="14" customHeight="1">
      <c r="A974" s="22" t="n">
        <v>2017</v>
      </c>
      <c r="B974" s="47">
        <f>IF((A974&gt;=2021),ROUND(((E974*D974)/F974),1),C974)</f>
        <v/>
      </c>
      <c r="C974" s="48" t="n">
        <v>156</v>
      </c>
      <c r="D974" s="48" t="n"/>
      <c r="E974" s="48" t="n"/>
      <c r="F974" s="48" t="n"/>
    </row>
    <row r="975" ht="14" customHeight="1">
      <c r="A975" s="15" t="n">
        <v>2018</v>
      </c>
      <c r="B975" s="45">
        <f>IF((A975&gt;=2021),ROUND(((E975*D975)/F975),1),C975)</f>
        <v/>
      </c>
      <c r="C975" s="46" t="n">
        <v>158.3</v>
      </c>
      <c r="D975" s="46" t="n"/>
      <c r="E975" s="46" t="n"/>
      <c r="F975" s="46" t="n"/>
    </row>
    <row r="976" ht="14" customHeight="1">
      <c r="A976" s="22" t="n">
        <v>2019</v>
      </c>
      <c r="B976" s="47">
        <f>IF((A976&gt;=2021),ROUND(((E976*D976)/F976),1),C976)</f>
        <v/>
      </c>
      <c r="C976" s="48" t="n">
        <v>161.2</v>
      </c>
      <c r="D976" s="48" t="n"/>
      <c r="E976" s="48" t="n"/>
      <c r="F976" s="48" t="n"/>
    </row>
    <row r="977" ht="14" customHeight="1">
      <c r="A977" s="15" t="n">
        <v>2020</v>
      </c>
      <c r="B977" s="45">
        <f>IF((A977&gt;=2021),ROUND(((E977*D977)/F977),1),C977)</f>
        <v/>
      </c>
      <c r="C977" s="46" t="n">
        <v>163.1</v>
      </c>
      <c r="D977" s="46" t="n"/>
      <c r="E977" s="46" t="n"/>
      <c r="F977" s="46" t="n"/>
    </row>
    <row r="978" ht="14" customHeight="1">
      <c r="A978" s="22" t="n">
        <v>2021</v>
      </c>
      <c r="B978" s="47">
        <f>IF((A978&gt;=2021),ROUND(((E978*D978)/F978),1),C978)</f>
        <v/>
      </c>
      <c r="C978" s="48" t="n"/>
      <c r="D978" s="48" t="n">
        <v>159772.68</v>
      </c>
      <c r="E978" s="48" t="n">
        <v>163.1</v>
      </c>
      <c r="F978" s="48" t="n">
        <v>160281.96</v>
      </c>
    </row>
    <row r="979" ht="14" customHeight="1">
      <c r="A979" s="15" t="n">
        <v>2022</v>
      </c>
      <c r="B979" s="45">
        <f>IF((A979&gt;=2021),ROUND(((E979*D979)/F979),1),C979)</f>
        <v/>
      </c>
      <c r="C979" s="46" t="n"/>
      <c r="D979" s="46" t="n">
        <v>159996.09</v>
      </c>
      <c r="E979" s="46" t="n">
        <v>163.1</v>
      </c>
      <c r="F979" s="46" t="n">
        <v>160281.96</v>
      </c>
    </row>
    <row r="980" ht="14" customHeight="1">
      <c r="A980" s="22" t="n">
        <v>2023</v>
      </c>
      <c r="B980" s="47">
        <f>IF((A980&gt;=2021),ROUND(((E980*D980)/F980),1),C980)</f>
        <v/>
      </c>
      <c r="C980" s="48" t="n"/>
      <c r="D980" s="48" t="n">
        <v>160887.23</v>
      </c>
      <c r="E980" s="48" t="n">
        <v>163.1</v>
      </c>
      <c r="F980" s="48" t="n">
        <v>160281.96</v>
      </c>
    </row>
    <row r="981" ht="14" customHeight="1">
      <c r="A981" s="15" t="n">
        <v>2024</v>
      </c>
      <c r="B981" s="45">
        <f>IF((A981&gt;=2021),ROUND(((E981*D981)/F981),1),C981)</f>
        <v/>
      </c>
      <c r="C981" s="46" t="n"/>
      <c r="D981" s="46" t="n">
        <v>161798.04</v>
      </c>
      <c r="E981" s="46" t="n">
        <v>163.1</v>
      </c>
      <c r="F981" s="46" t="n">
        <v>160281.96</v>
      </c>
    </row>
    <row r="984">
      <c r="A984" s="55" t="inlineStr">
        <is>
          <t>A2 (pig, GHG) · Pig meat: GHG emissions (EU)  (Mt CO₂eq)</t>
        </is>
      </c>
    </row>
    <row r="985" ht="26" customHeight="1">
      <c r="A98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86" ht="24" customHeight="1">
      <c r="A986" s="3" t="inlineStr">
        <is>
          <t>Derivation:  Value = IF(A &gt;= 2022, ROUND([Report baseline 2021 (Mt CO₂eq)] * ([env_air_gge CRF3A3] + [env_air_gge CRF3B3]) / [Live source at 2021 (same basis as the columns left)], 2), [Report figure (2024 report underlying data)])</t>
        </is>
      </c>
    </row>
    <row r="987" ht="42" customHeight="1">
      <c r="A987" s="44" t="inlineStr">
        <is>
          <t>Year</t>
        </is>
      </c>
      <c r="B987" s="44" t="inlineStr">
        <is>
          <t>Value</t>
        </is>
      </c>
      <c r="C987" s="44" t="inlineStr">
        <is>
          <t>Report figure (2024 report underlying data)</t>
        </is>
      </c>
      <c r="D987" s="44" t="inlineStr">
        <is>
          <t>env_air_gge CRF3A3</t>
        </is>
      </c>
      <c r="E987" s="44" t="inlineStr">
        <is>
          <t>env_air_gge CRF3B3</t>
        </is>
      </c>
      <c r="F987" s="44" t="inlineStr">
        <is>
          <t>Report baseline 2021 (Mt CO₂eq)</t>
        </is>
      </c>
      <c r="G987" s="44" t="inlineStr">
        <is>
          <t>Live source at 2021 (same basis as the columns left)</t>
        </is>
      </c>
    </row>
    <row r="988" ht="14" customHeight="1">
      <c r="A988" s="15" t="n">
        <v>2010</v>
      </c>
      <c r="B988" s="45">
        <f>IF((A988&gt;=2022),ROUND(((F988*(D988+E988))/G988),2),C988)</f>
        <v/>
      </c>
      <c r="C988" s="46" t="n">
        <v>30.02</v>
      </c>
      <c r="D988" s="46" t="n"/>
      <c r="E988" s="46" t="n"/>
      <c r="F988" s="46" t="n"/>
      <c r="G988" s="46" t="n"/>
    </row>
    <row r="989" ht="14" customHeight="1">
      <c r="A989" s="22" t="n">
        <v>2011</v>
      </c>
      <c r="B989" s="47">
        <f>IF((A989&gt;=2022),ROUND(((F989*(D989+E989))/G989),2),C989)</f>
        <v/>
      </c>
      <c r="C989" s="48" t="n">
        <v>30.07</v>
      </c>
      <c r="D989" s="48" t="n"/>
      <c r="E989" s="48" t="n"/>
      <c r="F989" s="48" t="n"/>
      <c r="G989" s="48" t="n"/>
    </row>
    <row r="990" ht="14" customHeight="1">
      <c r="A990" s="15" t="n">
        <v>2012</v>
      </c>
      <c r="B990" s="45">
        <f>IF((A990&gt;=2022),ROUND(((F990*(D990+E990))/G990),2),C990)</f>
        <v/>
      </c>
      <c r="C990" s="46" t="n">
        <v>29.05</v>
      </c>
      <c r="D990" s="46" t="n"/>
      <c r="E990" s="46" t="n"/>
      <c r="F990" s="46" t="n"/>
      <c r="G990" s="46" t="n"/>
    </row>
    <row r="991" ht="14" customHeight="1">
      <c r="A991" s="22" t="n">
        <v>2013</v>
      </c>
      <c r="B991" s="47">
        <f>IF((A991&gt;=2022),ROUND(((F991*(D991+E991))/G991),2),C991)</f>
        <v/>
      </c>
      <c r="C991" s="48" t="n">
        <v>28.24</v>
      </c>
      <c r="D991" s="48" t="n"/>
      <c r="E991" s="48" t="n"/>
      <c r="F991" s="48" t="n"/>
      <c r="G991" s="48" t="n"/>
    </row>
    <row r="992" ht="14" customHeight="1">
      <c r="A992" s="15" t="n">
        <v>2014</v>
      </c>
      <c r="B992" s="45">
        <f>IF((A992&gt;=2022),ROUND(((F992*(D992+E992))/G992),2),C992)</f>
        <v/>
      </c>
      <c r="C992" s="46" t="n">
        <v>28.73</v>
      </c>
      <c r="D992" s="46" t="n"/>
      <c r="E992" s="46" t="n"/>
      <c r="F992" s="46" t="n"/>
      <c r="G992" s="46" t="n"/>
    </row>
    <row r="993" ht="14" customHeight="1">
      <c r="A993" s="22" t="n">
        <v>2015</v>
      </c>
      <c r="B993" s="47">
        <f>IF((A993&gt;=2022),ROUND(((F993*(D993+E993))/G993),2),C993)</f>
        <v/>
      </c>
      <c r="C993" s="48" t="n">
        <v>29</v>
      </c>
      <c r="D993" s="48" t="n"/>
      <c r="E993" s="48" t="n"/>
      <c r="F993" s="48" t="n"/>
      <c r="G993" s="48" t="n"/>
    </row>
    <row r="994" ht="14" customHeight="1">
      <c r="A994" s="15" t="n">
        <v>2016</v>
      </c>
      <c r="B994" s="45">
        <f>IF((A994&gt;=2022),ROUND(((F994*(D994+E994))/G994),2),C994)</f>
        <v/>
      </c>
      <c r="C994" s="46" t="n">
        <v>28.76</v>
      </c>
      <c r="D994" s="46" t="n"/>
      <c r="E994" s="46" t="n"/>
      <c r="F994" s="46" t="n"/>
      <c r="G994" s="46" t="n"/>
    </row>
    <row r="995" ht="14" customHeight="1">
      <c r="A995" s="22" t="n">
        <v>2017</v>
      </c>
      <c r="B995" s="47">
        <f>IF((A995&gt;=2022),ROUND(((F995*(D995+E995))/G995),2),C995)</f>
        <v/>
      </c>
      <c r="C995" s="48" t="n">
        <v>29.03</v>
      </c>
      <c r="D995" s="48" t="n"/>
      <c r="E995" s="48" t="n"/>
      <c r="F995" s="48" t="n"/>
      <c r="G995" s="48" t="n"/>
    </row>
    <row r="996" ht="14" customHeight="1">
      <c r="A996" s="15" t="n">
        <v>2018</v>
      </c>
      <c r="B996" s="45">
        <f>IF((A996&gt;=2022),ROUND(((F996*(D996+E996))/G996),2),C996)</f>
        <v/>
      </c>
      <c r="C996" s="46" t="n">
        <v>28.99</v>
      </c>
      <c r="D996" s="46" t="n"/>
      <c r="E996" s="46" t="n"/>
      <c r="F996" s="46" t="n"/>
      <c r="G996" s="46" t="n"/>
    </row>
    <row r="997" ht="14" customHeight="1">
      <c r="A997" s="22" t="n">
        <v>2019</v>
      </c>
      <c r="B997" s="47">
        <f>IF((A997&gt;=2022),ROUND(((F997*(D997+E997))/G997),2),C997)</f>
        <v/>
      </c>
      <c r="C997" s="48" t="n">
        <v>28.78</v>
      </c>
      <c r="D997" s="48" t="n"/>
      <c r="E997" s="48" t="n"/>
      <c r="F997" s="48" t="n"/>
      <c r="G997" s="48" t="n"/>
    </row>
    <row r="998" ht="14" customHeight="1">
      <c r="A998" s="15" t="n">
        <v>2020</v>
      </c>
      <c r="B998" s="45">
        <f>IF((A998&gt;=2022),ROUND(((F998*(D998+E998))/G998),2),C998)</f>
        <v/>
      </c>
      <c r="C998" s="46" t="n">
        <v>29.34</v>
      </c>
      <c r="D998" s="46" t="n"/>
      <c r="E998" s="46" t="n"/>
      <c r="F998" s="46" t="n"/>
      <c r="G998" s="46" t="n"/>
    </row>
    <row r="999" ht="14" customHeight="1">
      <c r="A999" s="22" t="n">
        <v>2021</v>
      </c>
      <c r="B999" s="47">
        <f>IF((A999&gt;=2022),ROUND(((F999*(D999+E999))/G999),2),C999)</f>
        <v/>
      </c>
      <c r="C999" s="48" t="n">
        <v>28.58</v>
      </c>
      <c r="D999" s="48" t="n"/>
      <c r="E999" s="48" t="n"/>
      <c r="F999" s="48" t="n"/>
      <c r="G999" s="48" t="n"/>
    </row>
    <row r="1000" ht="14" customHeight="1">
      <c r="A1000" s="15" t="n">
        <v>2022</v>
      </c>
      <c r="B1000" s="45">
        <f>IF((A1000&gt;=2022),ROUND(((F1000*(D1000+E1000))/G1000),2),C1000)</f>
        <v/>
      </c>
      <c r="C1000" s="46" t="n"/>
      <c r="D1000" s="46" t="n">
        <v>4.06167</v>
      </c>
      <c r="E1000" s="46" t="n">
        <v>21.96053</v>
      </c>
      <c r="F1000" s="46" t="n">
        <v>28.58</v>
      </c>
      <c r="G1000" s="46" t="n">
        <v>26.55012</v>
      </c>
    </row>
    <row r="1001" ht="14" customHeight="1">
      <c r="A1001" s="22" t="n">
        <v>2023</v>
      </c>
      <c r="B1001" s="47">
        <f>IF((A1001&gt;=2022),ROUND(((F1001*(D1001+E1001))/G1001),2),C1001)</f>
        <v/>
      </c>
      <c r="C1001" s="48" t="n"/>
      <c r="D1001" s="48" t="n">
        <v>3.97275</v>
      </c>
      <c r="E1001" s="48" t="n">
        <v>20.93875</v>
      </c>
      <c r="F1001" s="48" t="n">
        <v>28.58</v>
      </c>
      <c r="G1001" s="48" t="n">
        <v>26.55012</v>
      </c>
    </row>
    <row r="1002" ht="14" customHeight="1">
      <c r="A1002" s="15" t="n">
        <v>2024</v>
      </c>
      <c r="B1002" s="45">
        <f>IF((A1002&gt;=2022),ROUND(((F1002*(D1002+E1002))/G1002),2),C1002)</f>
        <v/>
      </c>
      <c r="C1002" s="46" t="n"/>
      <c r="D1002" s="46" t="n">
        <v>3.90006</v>
      </c>
      <c r="E1002" s="46" t="n">
        <v>20.42516</v>
      </c>
      <c r="F1002" s="46" t="n">
        <v>28.58</v>
      </c>
      <c r="G1002" s="46" t="n">
        <v>26.55012</v>
      </c>
    </row>
    <row r="1005">
      <c r="A1005" s="55" t="inlineStr">
        <is>
          <t>A2 (pig, intensity) · Pig meat: GHG intensity (EU)  (t CO₂eq/t)</t>
        </is>
      </c>
    </row>
    <row r="1006" ht="26" customHeight="1">
      <c r="A1006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07" ht="24" customHeight="1">
      <c r="A1007" s="3" t="inlineStr">
        <is>
          <t>Derivation:  Value = IF(A &gt;= 2021, ROUND([Report baseline 2020 (t CO₂eq/t)] * ([Numerator · env_air_gge CRF3A3] + [Numerator · env_air_gge CRF3B3]) / ([Denominator · apro_mt_pann B3100]) / [Live source at 2020 (same basis as the columns left)], 3), [Report figure (2024 report underlying data)])</t>
        </is>
      </c>
    </row>
    <row r="1008" ht="42" customHeight="1">
      <c r="A1008" s="44" t="inlineStr">
        <is>
          <t>Year</t>
        </is>
      </c>
      <c r="B1008" s="44" t="inlineStr">
        <is>
          <t>Value</t>
        </is>
      </c>
      <c r="C1008" s="44" t="inlineStr">
        <is>
          <t>Report figure (2024 report underlying data)</t>
        </is>
      </c>
      <c r="D1008" s="44" t="inlineStr">
        <is>
          <t>Numerator · env_air_gge CRF3A3</t>
        </is>
      </c>
      <c r="E1008" s="44" t="inlineStr">
        <is>
          <t>Numerator · env_air_gge CRF3B3</t>
        </is>
      </c>
      <c r="F1008" s="44" t="inlineStr">
        <is>
          <t>Denominator · apro_mt_pann B3100</t>
        </is>
      </c>
      <c r="G1008" s="44" t="inlineStr">
        <is>
          <t>Report baseline 2020 (t CO₂eq/t)</t>
        </is>
      </c>
      <c r="H1008" s="44" t="inlineStr">
        <is>
          <t>Live source at 2020 (same basis as the columns left)</t>
        </is>
      </c>
    </row>
    <row r="1009" ht="14" customHeight="1">
      <c r="A1009" s="15" t="n">
        <v>2010</v>
      </c>
      <c r="B1009" s="45">
        <f>IF((A1009&gt;=2021),ROUND((((G1009*(D1009+E1009))/F1009)/H1009),3),C1009)</f>
        <v/>
      </c>
      <c r="C1009" s="46" t="n">
        <v>1.351</v>
      </c>
      <c r="D1009" s="46" t="n"/>
      <c r="E1009" s="46" t="n"/>
      <c r="F1009" s="46" t="n"/>
      <c r="G1009" s="46" t="n"/>
      <c r="H1009" s="46" t="n"/>
    </row>
    <row r="1010" ht="14" customHeight="1">
      <c r="A1010" s="22" t="n">
        <v>2011</v>
      </c>
      <c r="B1010" s="47">
        <f>IF((A1010&gt;=2021),ROUND((((G1010*(D1010+E1010))/F1010)/H1010),3),C1010)</f>
        <v/>
      </c>
      <c r="C1010" s="48" t="n">
        <v>1.339</v>
      </c>
      <c r="D1010" s="48" t="n"/>
      <c r="E1010" s="48" t="n"/>
      <c r="F1010" s="48" t="n"/>
      <c r="G1010" s="48" t="n"/>
      <c r="H1010" s="48" t="n"/>
    </row>
    <row r="1011" ht="14" customHeight="1">
      <c r="A1011" s="15" t="n">
        <v>2012</v>
      </c>
      <c r="B1011" s="45">
        <f>IF((A1011&gt;=2021),ROUND((((G1011*(D1011+E1011))/F1011)/H1011),3),C1011)</f>
        <v/>
      </c>
      <c r="C1011" s="46" t="n">
        <v>1.32</v>
      </c>
      <c r="D1011" s="46" t="n"/>
      <c r="E1011" s="46" t="n"/>
      <c r="F1011" s="46" t="n"/>
      <c r="G1011" s="46" t="n"/>
      <c r="H1011" s="46" t="n"/>
    </row>
    <row r="1012" ht="14" customHeight="1">
      <c r="A1012" s="22" t="n">
        <v>2013</v>
      </c>
      <c r="B1012" s="47">
        <f>IF((A1012&gt;=2021),ROUND((((G1012*(D1012+E1012))/F1012)/H1012),3),C1012)</f>
        <v/>
      </c>
      <c r="C1012" s="48" t="n">
        <v>1.302</v>
      </c>
      <c r="D1012" s="48" t="n"/>
      <c r="E1012" s="48" t="n"/>
      <c r="F1012" s="48" t="n"/>
      <c r="G1012" s="48" t="n"/>
      <c r="H1012" s="48" t="n"/>
    </row>
    <row r="1013" ht="14" customHeight="1">
      <c r="A1013" s="15" t="n">
        <v>2014</v>
      </c>
      <c r="B1013" s="45">
        <f>IF((A1013&gt;=2021),ROUND((((G1013*(D1013+E1013))/F1013)/H1013),3),C1013)</f>
        <v/>
      </c>
      <c r="C1013" s="46" t="n">
        <v>1.321</v>
      </c>
      <c r="D1013" s="46" t="n"/>
      <c r="E1013" s="46" t="n"/>
      <c r="F1013" s="46" t="n"/>
      <c r="G1013" s="46" t="n"/>
      <c r="H1013" s="46" t="n"/>
    </row>
    <row r="1014" ht="14" customHeight="1">
      <c r="A1014" s="22" t="n">
        <v>2015</v>
      </c>
      <c r="B1014" s="47">
        <f>IF((A1014&gt;=2021),ROUND((((G1014*(D1014+E1014))/F1014)/H1014),3),C1014)</f>
        <v/>
      </c>
      <c r="C1014" s="48" t="n">
        <v>1.285</v>
      </c>
      <c r="D1014" s="48" t="n"/>
      <c r="E1014" s="48" t="n"/>
      <c r="F1014" s="48" t="n"/>
      <c r="G1014" s="48" t="n"/>
      <c r="H1014" s="48" t="n"/>
    </row>
    <row r="1015" ht="14" customHeight="1">
      <c r="A1015" s="15" t="n">
        <v>2016</v>
      </c>
      <c r="B1015" s="45">
        <f>IF((A1015&gt;=2021),ROUND((((G1015*(D1015+E1015))/F1015)/H1015),3),C1015)</f>
        <v/>
      </c>
      <c r="C1015" s="46" t="n">
        <v>1.253</v>
      </c>
      <c r="D1015" s="46" t="n"/>
      <c r="E1015" s="46" t="n"/>
      <c r="F1015" s="46" t="n"/>
      <c r="G1015" s="46" t="n"/>
      <c r="H1015" s="46" t="n"/>
    </row>
    <row r="1016" ht="14" customHeight="1">
      <c r="A1016" s="22" t="n">
        <v>2017</v>
      </c>
      <c r="B1016" s="47">
        <f>IF((A1016&gt;=2021),ROUND((((G1016*(D1016+E1016))/F1016)/H1016),3),C1016)</f>
        <v/>
      </c>
      <c r="C1016" s="48" t="n">
        <v>1.272</v>
      </c>
      <c r="D1016" s="48" t="n"/>
      <c r="E1016" s="48" t="n"/>
      <c r="F1016" s="48" t="n"/>
      <c r="G1016" s="48" t="n"/>
      <c r="H1016" s="48" t="n"/>
    </row>
    <row r="1017" ht="14" customHeight="1">
      <c r="A1017" s="15" t="n">
        <v>2018</v>
      </c>
      <c r="B1017" s="45">
        <f>IF((A1017&gt;=2021),ROUND((((G1017*(D1017+E1017))/F1017)/H1017),3),C1017)</f>
        <v/>
      </c>
      <c r="C1017" s="46" t="n">
        <v>1.248</v>
      </c>
      <c r="D1017" s="46" t="n"/>
      <c r="E1017" s="46" t="n"/>
      <c r="F1017" s="46" t="n"/>
      <c r="G1017" s="46" t="n"/>
      <c r="H1017" s="46" t="n"/>
    </row>
    <row r="1018" ht="14" customHeight="1">
      <c r="A1018" s="22" t="n">
        <v>2019</v>
      </c>
      <c r="B1018" s="47">
        <f>IF((A1018&gt;=2021),ROUND((((G1018*(D1018+E1018))/F1018)/H1018),3),C1018)</f>
        <v/>
      </c>
      <c r="C1018" s="48" t="n">
        <v>1.251</v>
      </c>
      <c r="D1018" s="48" t="n"/>
      <c r="E1018" s="48" t="n"/>
      <c r="F1018" s="48" t="n"/>
      <c r="G1018" s="48" t="n"/>
      <c r="H1018" s="48" t="n"/>
    </row>
    <row r="1019" ht="14" customHeight="1">
      <c r="A1019" s="15" t="n">
        <v>2020</v>
      </c>
      <c r="B1019" s="45">
        <f>IF((A1019&gt;=2021),ROUND((((G1019*(D1019+E1019))/F1019)/H1019),3),C1019)</f>
        <v/>
      </c>
      <c r="C1019" s="46" t="n">
        <v>1.264</v>
      </c>
      <c r="D1019" s="46" t="n"/>
      <c r="E1019" s="46" t="n"/>
      <c r="F1019" s="46" t="n"/>
      <c r="G1019" s="46" t="n"/>
      <c r="H1019" s="46" t="n"/>
    </row>
    <row r="1020" ht="14" customHeight="1">
      <c r="A1020" s="22" t="n">
        <v>2021</v>
      </c>
      <c r="B1020" s="47">
        <f>IF((A1020&gt;=2021),ROUND((((G1020*(D1020+E1020))/F1020)/H1020),3),C1020)</f>
        <v/>
      </c>
      <c r="C1020" s="48" t="n"/>
      <c r="D1020" s="48" t="n">
        <v>4.28352</v>
      </c>
      <c r="E1020" s="48" t="n">
        <v>22.2666</v>
      </c>
      <c r="F1020" s="48" t="n">
        <v>23393.67</v>
      </c>
      <c r="G1020" s="48" t="n">
        <v>1.264</v>
      </c>
      <c r="H1020" s="48" t="n">
        <v>0.001177</v>
      </c>
    </row>
    <row r="1021" ht="14" customHeight="1">
      <c r="A1021" s="15" t="n">
        <v>2022</v>
      </c>
      <c r="B1021" s="45">
        <f>IF((A1021&gt;=2021),ROUND((((G1021*(D1021+E1021))/F1021)/H1021),3),C1021)</f>
        <v/>
      </c>
      <c r="C1021" s="46" t="n"/>
      <c r="D1021" s="46" t="n">
        <v>4.06167</v>
      </c>
      <c r="E1021" s="46" t="n">
        <v>21.96053</v>
      </c>
      <c r="F1021" s="46" t="n">
        <v>22065.92</v>
      </c>
      <c r="G1021" s="46" t="n">
        <v>1.264</v>
      </c>
      <c r="H1021" s="46" t="n">
        <v>0.001177</v>
      </c>
    </row>
    <row r="1022" ht="14" customHeight="1">
      <c r="A1022" s="22" t="n">
        <v>2023</v>
      </c>
      <c r="B1022" s="47">
        <f>IF((A1022&gt;=2021),ROUND((((G1022*(D1022+E1022))/F1022)/H1022),3),C1022)</f>
        <v/>
      </c>
      <c r="C1022" s="48" t="n"/>
      <c r="D1022" s="48" t="n">
        <v>3.97275</v>
      </c>
      <c r="E1022" s="48" t="n">
        <v>20.93875</v>
      </c>
      <c r="F1022" s="48" t="n">
        <v>20641.09</v>
      </c>
      <c r="G1022" s="48" t="n">
        <v>1.264</v>
      </c>
      <c r="H1022" s="48" t="n">
        <v>0.001177</v>
      </c>
    </row>
    <row r="1023" ht="14" customHeight="1">
      <c r="A1023" s="15" t="n">
        <v>2024</v>
      </c>
      <c r="B1023" s="45">
        <f>IF((A1023&gt;=2021),ROUND((((G1023*(D1023+E1023))/F1023)/H1023),3),C1023)</f>
        <v/>
      </c>
      <c r="C1023" s="46" t="n"/>
      <c r="D1023" s="46" t="n">
        <v>3.90006</v>
      </c>
      <c r="E1023" s="46" t="n">
        <v>20.42516</v>
      </c>
      <c r="F1023" s="46" t="n">
        <v>21091.62</v>
      </c>
      <c r="G1023" s="46" t="n">
        <v>1.264</v>
      </c>
      <c r="H1023" s="46" t="n">
        <v>0.001177</v>
      </c>
    </row>
    <row r="1026">
      <c r="A1026" s="55" t="inlineStr">
        <is>
          <t>A2 (pig, production) · Pig meat: production (EU)  (Mt)</t>
        </is>
      </c>
    </row>
    <row r="1027" ht="26" customHeight="1">
      <c r="A1027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28" ht="24" customHeight="1">
      <c r="A1028" s="3" t="inlineStr">
        <is>
          <t>Derivation:  Value = IF(A &gt;= 2021, ROUND([apro_mt_pann B3100] * [Unit conversion (× 0.001)], 2), [Report figure (2024 report underlying data)])</t>
        </is>
      </c>
    </row>
    <row r="1029" ht="42" customHeight="1">
      <c r="A1029" s="44" t="inlineStr">
        <is>
          <t>Year</t>
        </is>
      </c>
      <c r="B1029" s="44" t="inlineStr">
        <is>
          <t>Value</t>
        </is>
      </c>
      <c r="C1029" s="44" t="inlineStr">
        <is>
          <t>Report figure (2024 report underlying data)</t>
        </is>
      </c>
      <c r="D1029" s="44" t="inlineStr">
        <is>
          <t>apro_mt_pann B3100</t>
        </is>
      </c>
      <c r="E1029" s="44" t="inlineStr">
        <is>
          <t>Unit conversion (× 0.001)</t>
        </is>
      </c>
    </row>
    <row r="1030" ht="14" customHeight="1">
      <c r="A1030" s="15" t="n">
        <v>2010</v>
      </c>
      <c r="B1030" s="45">
        <f>IF((A1030&gt;=2021),ROUND((D1030*E1030),2),C1030)</f>
        <v/>
      </c>
      <c r="C1030" s="46" t="n">
        <v>22.22</v>
      </c>
      <c r="D1030" s="46" t="n"/>
      <c r="E1030" s="46" t="n"/>
    </row>
    <row r="1031" ht="14" customHeight="1">
      <c r="A1031" s="22" t="n">
        <v>2011</v>
      </c>
      <c r="B1031" s="47">
        <f>IF((A1031&gt;=2021),ROUND((D1031*E1031),2),C1031)</f>
        <v/>
      </c>
      <c r="C1031" s="48" t="n">
        <v>22.46</v>
      </c>
      <c r="D1031" s="48" t="n"/>
      <c r="E1031" s="48" t="n"/>
    </row>
    <row r="1032" ht="14" customHeight="1">
      <c r="A1032" s="15" t="n">
        <v>2012</v>
      </c>
      <c r="B1032" s="45">
        <f>IF((A1032&gt;=2021),ROUND((D1032*E1032),2),C1032)</f>
        <v/>
      </c>
      <c r="C1032" s="46" t="n">
        <v>22</v>
      </c>
      <c r="D1032" s="46" t="n"/>
      <c r="E1032" s="46" t="n"/>
    </row>
    <row r="1033" ht="14" customHeight="1">
      <c r="A1033" s="22" t="n">
        <v>2013</v>
      </c>
      <c r="B1033" s="47">
        <f>IF((A1033&gt;=2021),ROUND((D1033*E1033),2),C1033)</f>
        <v/>
      </c>
      <c r="C1033" s="48" t="n">
        <v>21.69</v>
      </c>
      <c r="D1033" s="48" t="n"/>
      <c r="E1033" s="48" t="n"/>
    </row>
    <row r="1034" ht="14" customHeight="1">
      <c r="A1034" s="15" t="n">
        <v>2014</v>
      </c>
      <c r="B1034" s="45">
        <f>IF((A1034&gt;=2021),ROUND((D1034*E1034),2),C1034)</f>
        <v/>
      </c>
      <c r="C1034" s="46" t="n">
        <v>21.75</v>
      </c>
      <c r="D1034" s="46" t="n"/>
      <c r="E1034" s="46" t="n"/>
    </row>
    <row r="1035" ht="14" customHeight="1">
      <c r="A1035" s="22" t="n">
        <v>2015</v>
      </c>
      <c r="B1035" s="47">
        <f>IF((A1035&gt;=2021),ROUND((D1035*E1035),2),C1035)</f>
        <v/>
      </c>
      <c r="C1035" s="48" t="n">
        <v>22.57</v>
      </c>
      <c r="D1035" s="48" t="n"/>
      <c r="E1035" s="48" t="n"/>
    </row>
    <row r="1036" ht="14" customHeight="1">
      <c r="A1036" s="15" t="n">
        <v>2016</v>
      </c>
      <c r="B1036" s="45">
        <f>IF((A1036&gt;=2021),ROUND((D1036*E1036),2),C1036)</f>
        <v/>
      </c>
      <c r="C1036" s="46" t="n">
        <v>22.95</v>
      </c>
      <c r="D1036" s="46" t="n"/>
      <c r="E1036" s="46" t="n"/>
    </row>
    <row r="1037" ht="14" customHeight="1">
      <c r="A1037" s="22" t="n">
        <v>2017</v>
      </c>
      <c r="B1037" s="47">
        <f>IF((A1037&gt;=2021),ROUND((D1037*E1037),2),C1037)</f>
        <v/>
      </c>
      <c r="C1037" s="48" t="n">
        <v>22.82</v>
      </c>
      <c r="D1037" s="48" t="n"/>
      <c r="E1037" s="48" t="n"/>
    </row>
    <row r="1038" ht="14" customHeight="1">
      <c r="A1038" s="15" t="n">
        <v>2018</v>
      </c>
      <c r="B1038" s="45">
        <f>IF((A1038&gt;=2021),ROUND((D1038*E1038),2),C1038)</f>
        <v/>
      </c>
      <c r="C1038" s="46" t="n">
        <v>23.22</v>
      </c>
      <c r="D1038" s="46" t="n"/>
      <c r="E1038" s="46" t="n"/>
    </row>
    <row r="1039" ht="14" customHeight="1">
      <c r="A1039" s="22" t="n">
        <v>2019</v>
      </c>
      <c r="B1039" s="47">
        <f>IF((A1039&gt;=2021),ROUND((D1039*E1039),2),C1039)</f>
        <v/>
      </c>
      <c r="C1039" s="48" t="n">
        <v>23</v>
      </c>
      <c r="D1039" s="48" t="n"/>
      <c r="E1039" s="48" t="n"/>
    </row>
    <row r="1040" ht="14" customHeight="1">
      <c r="A1040" s="15" t="n">
        <v>2020</v>
      </c>
      <c r="B1040" s="45">
        <f>IF((A1040&gt;=2021),ROUND((D1040*E1040),2),C1040)</f>
        <v/>
      </c>
      <c r="C1040" s="46" t="n">
        <v>23.22</v>
      </c>
      <c r="D1040" s="46" t="n"/>
      <c r="E1040" s="46" t="n"/>
    </row>
    <row r="1041" ht="14" customHeight="1">
      <c r="A1041" s="22" t="n">
        <v>2021</v>
      </c>
      <c r="B1041" s="47">
        <f>IF((A1041&gt;=2021),ROUND((D1041*E1041),2),C1041)</f>
        <v/>
      </c>
      <c r="C1041" s="48" t="n"/>
      <c r="D1041" s="48" t="n">
        <v>23393.67</v>
      </c>
      <c r="E1041" s="48" t="n">
        <v>0.001</v>
      </c>
    </row>
    <row r="1042" ht="14" customHeight="1">
      <c r="A1042" s="15" t="n">
        <v>2022</v>
      </c>
      <c r="B1042" s="45">
        <f>IF((A1042&gt;=2021),ROUND((D1042*E1042),2),C1042)</f>
        <v/>
      </c>
      <c r="C1042" s="46" t="n"/>
      <c r="D1042" s="46" t="n">
        <v>22065.92</v>
      </c>
      <c r="E1042" s="46" t="n">
        <v>0.001</v>
      </c>
    </row>
    <row r="1043" ht="14" customHeight="1">
      <c r="A1043" s="22" t="n">
        <v>2023</v>
      </c>
      <c r="B1043" s="47">
        <f>IF((A1043&gt;=2021),ROUND((D1043*E1043),2),C1043)</f>
        <v/>
      </c>
      <c r="C1043" s="48" t="n"/>
      <c r="D1043" s="48" t="n">
        <v>20641.09</v>
      </c>
      <c r="E1043" s="48" t="n">
        <v>0.001</v>
      </c>
    </row>
    <row r="1044" ht="14" customHeight="1">
      <c r="A1044" s="15" t="n">
        <v>2024</v>
      </c>
      <c r="B1044" s="45">
        <f>IF((A1044&gt;=2021),ROUND((D1044*E1044),2),C1044)</f>
        <v/>
      </c>
      <c r="C1044" s="46" t="n"/>
      <c r="D1044" s="46" t="n">
        <v>21091.62</v>
      </c>
      <c r="E1044" s="46" t="n">
        <v>0.001</v>
      </c>
    </row>
    <row r="1045" ht="14" customHeight="1">
      <c r="A1045" s="22" t="n">
        <v>2025</v>
      </c>
      <c r="B1045" s="47">
        <f>IF((A1045&gt;=2021),ROUND((D1045*E1045),2),C1045)</f>
        <v/>
      </c>
      <c r="C1045" s="48" t="n"/>
      <c r="D1045" s="48" t="n">
        <v>21837.73</v>
      </c>
      <c r="E1045" s="48" t="n">
        <v>0.001</v>
      </c>
    </row>
    <row r="1048">
      <c r="A1048" s="55" t="inlineStr">
        <is>
          <t>A3 (NUE) · Nitrogen use efficiency in EU agriculture  (%)</t>
        </is>
      </c>
    </row>
    <row r="1049" ht="26" customHeight="1">
      <c r="A1049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050" ht="24" customHeight="1">
      <c r="A1050" s="3" t="inlineStr">
        <is>
          <t>Derivation:  Value = [Nitrogen Use Efficiency]</t>
        </is>
      </c>
    </row>
    <row r="1051" ht="42" customHeight="1">
      <c r="A1051" s="44" t="inlineStr">
        <is>
          <t>Year</t>
        </is>
      </c>
      <c r="B1051" s="44" t="inlineStr">
        <is>
          <t>Value</t>
        </is>
      </c>
      <c r="C1051" s="44" t="inlineStr">
        <is>
          <t>Nitrogen Use Efficiency</t>
        </is>
      </c>
    </row>
    <row r="1052" ht="14" customHeight="1">
      <c r="A1052" s="15" t="n">
        <v>2005</v>
      </c>
      <c r="B1052" s="45">
        <f>C1052</f>
        <v/>
      </c>
      <c r="C1052" s="46" t="n">
        <v>46.8205</v>
      </c>
    </row>
    <row r="1053" ht="14" customHeight="1">
      <c r="A1053" s="22" t="n">
        <v>2006</v>
      </c>
      <c r="B1053" s="47">
        <f>C1053</f>
        <v/>
      </c>
      <c r="C1053" s="48" t="n">
        <v>44.6363</v>
      </c>
    </row>
    <row r="1054" ht="14" customHeight="1">
      <c r="A1054" s="15" t="n">
        <v>2007</v>
      </c>
      <c r="B1054" s="45">
        <f>C1054</f>
        <v/>
      </c>
      <c r="C1054" s="46" t="n">
        <v>42.0115</v>
      </c>
    </row>
    <row r="1055" ht="14" customHeight="1">
      <c r="A1055" s="22" t="n">
        <v>2008</v>
      </c>
      <c r="B1055" s="47">
        <f>C1055</f>
        <v/>
      </c>
      <c r="C1055" s="48" t="n">
        <v>52.45</v>
      </c>
    </row>
    <row r="1056" ht="14" customHeight="1">
      <c r="A1056" s="15" t="n">
        <v>2009</v>
      </c>
      <c r="B1056" s="45">
        <f>C1056</f>
        <v/>
      </c>
      <c r="C1056" s="46" t="n">
        <v>52.2869</v>
      </c>
    </row>
    <row r="1057" ht="14" customHeight="1">
      <c r="A1057" s="22" t="n">
        <v>2010</v>
      </c>
      <c r="B1057" s="47">
        <f>C1057</f>
        <v/>
      </c>
      <c r="C1057" s="48" t="n">
        <v>46.8992</v>
      </c>
    </row>
    <row r="1058" ht="14" customHeight="1">
      <c r="A1058" s="15" t="n">
        <v>2011</v>
      </c>
      <c r="B1058" s="45">
        <f>C1058</f>
        <v/>
      </c>
      <c r="C1058" s="46" t="n">
        <v>49.4984</v>
      </c>
    </row>
    <row r="1059" ht="14" customHeight="1">
      <c r="A1059" s="22" t="n">
        <v>2012</v>
      </c>
      <c r="B1059" s="47">
        <f>C1059</f>
        <v/>
      </c>
      <c r="C1059" s="48" t="n">
        <v>46.8351</v>
      </c>
    </row>
    <row r="1060" ht="14" customHeight="1">
      <c r="A1060" s="15" t="n">
        <v>2013</v>
      </c>
      <c r="B1060" s="45">
        <f>C1060</f>
        <v/>
      </c>
      <c r="C1060" s="46" t="n">
        <v>50.1924</v>
      </c>
    </row>
    <row r="1061" ht="14" customHeight="1">
      <c r="A1061" s="22" t="n">
        <v>2014</v>
      </c>
      <c r="B1061" s="47">
        <f>C1061</f>
        <v/>
      </c>
      <c r="C1061" s="48" t="n">
        <v>52.6923</v>
      </c>
    </row>
    <row r="1062" ht="14" customHeight="1">
      <c r="A1062" s="15" t="n">
        <v>2015</v>
      </c>
      <c r="B1062" s="45">
        <f>C1062</f>
        <v/>
      </c>
      <c r="C1062" s="46" t="n">
        <v>49.9285</v>
      </c>
    </row>
    <row r="1063" ht="14" customHeight="1">
      <c r="A1063" s="22" t="n">
        <v>2016</v>
      </c>
      <c r="B1063" s="47">
        <f>C1063</f>
        <v/>
      </c>
      <c r="C1063" s="48" t="n">
        <v>47.7499</v>
      </c>
    </row>
    <row r="1064" ht="14" customHeight="1">
      <c r="A1064" s="15" t="n">
        <v>2017</v>
      </c>
      <c r="B1064" s="45">
        <f>C1064</f>
        <v/>
      </c>
      <c r="C1064" s="46" t="n">
        <v>49.6026</v>
      </c>
    </row>
    <row r="1065" ht="14" customHeight="1">
      <c r="A1065" s="22" t="n">
        <v>2018</v>
      </c>
      <c r="B1065" s="47">
        <f>C1065</f>
        <v/>
      </c>
      <c r="C1065" s="48" t="n">
        <v>47.7405</v>
      </c>
    </row>
    <row r="1066" ht="14" customHeight="1">
      <c r="A1066" s="15" t="n">
        <v>2019</v>
      </c>
      <c r="B1066" s="45">
        <f>C1066</f>
        <v/>
      </c>
      <c r="C1066" s="46" t="n">
        <v>50.8986</v>
      </c>
    </row>
    <row r="1067" ht="14" customHeight="1">
      <c r="A1067" s="22" t="n">
        <v>2020</v>
      </c>
      <c r="B1067" s="47">
        <f>C1067</f>
        <v/>
      </c>
      <c r="C1067" s="48" t="n">
        <v>49.0335</v>
      </c>
    </row>
    <row r="1070">
      <c r="A1070" s="55" t="inlineStr">
        <is>
          <t>A3 (use) · Total fertiliser nitrogen use (EU)  (Mt N)</t>
        </is>
      </c>
    </row>
    <row r="1071" ht="26" customHeight="1">
      <c r="A1071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072" ht="24" customHeight="1">
      <c r="A1072" s="3" t="inlineStr">
        <is>
          <t>Derivation:  Value = [Inorganic Fertiliser]+[Organic Fertiliser]</t>
        </is>
      </c>
    </row>
    <row r="1073" ht="42" customHeight="1">
      <c r="A1073" s="44" t="inlineStr">
        <is>
          <t>Year</t>
        </is>
      </c>
      <c r="B1073" s="44" t="inlineStr">
        <is>
          <t>Value</t>
        </is>
      </c>
      <c r="C1073" s="44" t="inlineStr">
        <is>
          <t>Inorganic Fertiliser</t>
        </is>
      </c>
      <c r="D1073" s="44" t="inlineStr">
        <is>
          <t>Organic Fertiliser</t>
        </is>
      </c>
    </row>
    <row r="1074" ht="14" customHeight="1">
      <c r="A1074" s="15" t="n">
        <v>2005</v>
      </c>
      <c r="B1074" s="45">
        <f>(C1074+D1074)</f>
        <v/>
      </c>
      <c r="C1074" s="46" t="n">
        <v>9.972314315540503</v>
      </c>
      <c r="D1074" s="46" t="n">
        <v>4.928226253185754</v>
      </c>
    </row>
    <row r="1075" ht="14" customHeight="1">
      <c r="A1075" s="22" t="n">
        <v>2006</v>
      </c>
      <c r="B1075" s="47">
        <f>(C1075+D1075)</f>
        <v/>
      </c>
      <c r="C1075" s="48" t="n">
        <v>9.886453393674014</v>
      </c>
      <c r="D1075" s="48" t="n">
        <v>4.921195033108443</v>
      </c>
    </row>
    <row r="1076" ht="14" customHeight="1">
      <c r="A1076" s="15" t="n">
        <v>2007</v>
      </c>
      <c r="B1076" s="45">
        <f>(C1076+D1076)</f>
        <v/>
      </c>
      <c r="C1076" s="46" t="n">
        <v>10.0150044711456</v>
      </c>
      <c r="D1076" s="46" t="n">
        <v>4.994516767494392</v>
      </c>
    </row>
    <row r="1077" ht="14" customHeight="1">
      <c r="A1077" s="22" t="n">
        <v>2008</v>
      </c>
      <c r="B1077" s="47">
        <f>(C1077+D1077)</f>
        <v/>
      </c>
      <c r="C1077" s="48" t="n">
        <v>9.833705209792534</v>
      </c>
      <c r="D1077" s="48" t="n">
        <v>4.949745491021804</v>
      </c>
    </row>
    <row r="1078" ht="14" customHeight="1">
      <c r="A1078" s="15" t="n">
        <v>2009</v>
      </c>
      <c r="B1078" s="45">
        <f>(C1078+D1078)</f>
        <v/>
      </c>
      <c r="C1078" s="46" t="n">
        <v>9.356478855127195</v>
      </c>
      <c r="D1078" s="46" t="n">
        <v>4.94768690705163</v>
      </c>
    </row>
    <row r="1079" ht="14" customHeight="1">
      <c r="A1079" s="22" t="n">
        <v>2010</v>
      </c>
      <c r="B1079" s="47">
        <f>(C1079+D1079)</f>
        <v/>
      </c>
      <c r="C1079" s="48" t="n">
        <v>9.449582847684674</v>
      </c>
      <c r="D1079" s="48" t="n">
        <v>4.918030329891184</v>
      </c>
    </row>
    <row r="1080" ht="14" customHeight="1">
      <c r="A1080" s="15" t="n">
        <v>2011</v>
      </c>
      <c r="B1080" s="45">
        <f>(C1080+D1080)</f>
        <v/>
      </c>
      <c r="C1080" s="46" t="n">
        <v>9.615092249730374</v>
      </c>
      <c r="D1080" s="46" t="n">
        <v>4.983346809819016</v>
      </c>
    </row>
    <row r="1081" ht="14" customHeight="1">
      <c r="A1081" s="22" t="n">
        <v>2012</v>
      </c>
      <c r="B1081" s="47">
        <f>(C1081+D1081)</f>
        <v/>
      </c>
      <c r="C1081" s="48" t="n">
        <v>9.729680555999458</v>
      </c>
      <c r="D1081" s="48" t="n">
        <v>4.990684364843006</v>
      </c>
    </row>
    <row r="1082" ht="14" customHeight="1">
      <c r="A1082" s="15" t="n">
        <v>2013</v>
      </c>
      <c r="B1082" s="45">
        <f>(C1082+D1082)</f>
        <v/>
      </c>
      <c r="C1082" s="46" t="n">
        <v>9.851372714685843</v>
      </c>
      <c r="D1082" s="46" t="n">
        <v>5.048583789002492</v>
      </c>
    </row>
    <row r="1083" ht="14" customHeight="1">
      <c r="A1083" s="22" t="n">
        <v>2014</v>
      </c>
      <c r="B1083" s="47">
        <f>(C1083+D1083)</f>
        <v/>
      </c>
      <c r="C1083" s="48" t="n">
        <v>10.06780302304376</v>
      </c>
      <c r="D1083" s="48" t="n">
        <v>5.128670835025056</v>
      </c>
    </row>
    <row r="1084" ht="14" customHeight="1">
      <c r="A1084" s="15" t="n">
        <v>2015</v>
      </c>
      <c r="B1084" s="45">
        <f>(C1084+D1084)</f>
        <v/>
      </c>
      <c r="C1084" s="46" t="n">
        <v>10.24390226114721</v>
      </c>
      <c r="D1084" s="46" t="n">
        <v>5.167839008933711</v>
      </c>
    </row>
    <row r="1085" ht="14" customHeight="1">
      <c r="A1085" s="22" t="n">
        <v>2016</v>
      </c>
      <c r="B1085" s="47">
        <f>(C1085+D1085)</f>
        <v/>
      </c>
      <c r="C1085" s="48" t="n">
        <v>10.34473917716815</v>
      </c>
      <c r="D1085" s="48" t="n">
        <v>5.168868847931406</v>
      </c>
    </row>
    <row r="1086" ht="14" customHeight="1">
      <c r="A1086" s="15" t="n">
        <v>2017</v>
      </c>
      <c r="B1086" s="45">
        <f>(C1086+D1086)</f>
        <v/>
      </c>
      <c r="C1086" s="46" t="n">
        <v>10.5000760440186</v>
      </c>
      <c r="D1086" s="46" t="n">
        <v>5.224531203535557</v>
      </c>
    </row>
    <row r="1087" ht="14" customHeight="1">
      <c r="A1087" s="22" t="n">
        <v>2018</v>
      </c>
      <c r="B1087" s="47">
        <f>(C1087+D1087)</f>
        <v/>
      </c>
      <c r="C1087" s="48" t="n">
        <v>10.35415782878275</v>
      </c>
      <c r="D1087" s="48" t="n">
        <v>5.214978004613973</v>
      </c>
    </row>
    <row r="1088" ht="14" customHeight="1">
      <c r="A1088" s="15" t="n">
        <v>2019</v>
      </c>
      <c r="B1088" s="45">
        <f>(C1088+D1088)</f>
        <v/>
      </c>
      <c r="C1088" s="46" t="n">
        <v>9.869732052951326</v>
      </c>
      <c r="D1088" s="46" t="n">
        <v>5.18367087898118</v>
      </c>
    </row>
    <row r="1089" ht="14" customHeight="1">
      <c r="A1089" s="22" t="n">
        <v>2020</v>
      </c>
      <c r="B1089" s="47">
        <f>(C1089+D1089)</f>
        <v/>
      </c>
      <c r="C1089" s="48" t="n">
        <v>9.989040628204519</v>
      </c>
      <c r="D1089" s="48" t="n">
        <v>5.249570466273733</v>
      </c>
    </row>
    <row r="1090" ht="14" customHeight="1">
      <c r="A1090" s="15" t="n">
        <v>2021</v>
      </c>
      <c r="B1090" s="45">
        <f>(C1090+D1090)</f>
        <v/>
      </c>
      <c r="C1090" s="46" t="n">
        <v>9.844834599761363</v>
      </c>
      <c r="D1090" s="46" t="n">
        <v>5.164705092327817</v>
      </c>
    </row>
    <row r="1093">
      <c r="A1093" s="55" t="inlineStr">
        <is>
          <t>A4 (bovine, herd) · Bovine meat: herd size (EU)  (million heads)</t>
        </is>
      </c>
    </row>
    <row r="1094" ht="26" customHeight="1">
      <c r="A1094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95" ht="24" customHeight="1">
      <c r="A1095" s="3" t="inlineStr">
        <is>
          <t>Derivation:  Value = IF(A &gt;= 2021, ROUND([Report baseline 2020 (million heads)] * [apro_mt_lscatl A2000] / [Live source at 2020 (same basis as the columns left)], 2), [Report figure (2024 report underlying data)])</t>
        </is>
      </c>
    </row>
    <row r="1096" ht="42" customHeight="1">
      <c r="A1096" s="44" t="inlineStr">
        <is>
          <t>Year</t>
        </is>
      </c>
      <c r="B1096" s="44" t="inlineStr">
        <is>
          <t>Value</t>
        </is>
      </c>
      <c r="C1096" s="44" t="inlineStr">
        <is>
          <t>Report figure (2024 report underlying data)</t>
        </is>
      </c>
      <c r="D1096" s="44" t="inlineStr">
        <is>
          <t>apro_mt_lscatl A2000</t>
        </is>
      </c>
      <c r="E1096" s="44" t="inlineStr">
        <is>
          <t>Report baseline 2020 (million heads)</t>
        </is>
      </c>
      <c r="F1096" s="44" t="inlineStr">
        <is>
          <t>Live source at 2020 (same basis as the columns left)</t>
        </is>
      </c>
    </row>
    <row r="1097" ht="14" customHeight="1">
      <c r="A1097" s="15" t="n">
        <v>2010</v>
      </c>
      <c r="B1097" s="45">
        <f>IF((A1097&gt;=2021),ROUND(((E1097*D1097)/F1097),2),C1097)</f>
        <v/>
      </c>
      <c r="C1097" s="46" t="n">
        <v>60.59</v>
      </c>
      <c r="D1097" s="46" t="n"/>
      <c r="E1097" s="46" t="n"/>
      <c r="F1097" s="46" t="n"/>
    </row>
    <row r="1098" ht="14" customHeight="1">
      <c r="A1098" s="22" t="n">
        <v>2011</v>
      </c>
      <c r="B1098" s="47">
        <f>IF((A1098&gt;=2021),ROUND(((E1098*D1098)/F1098),2),C1098)</f>
        <v/>
      </c>
      <c r="C1098" s="48" t="n">
        <v>59.66</v>
      </c>
      <c r="D1098" s="48" t="n"/>
      <c r="E1098" s="48" t="n"/>
      <c r="F1098" s="48" t="n"/>
    </row>
    <row r="1099" ht="14" customHeight="1">
      <c r="A1099" s="15" t="n">
        <v>2012</v>
      </c>
      <c r="B1099" s="45">
        <f>IF((A1099&gt;=2021),ROUND(((E1099*D1099)/F1099),2),C1099)</f>
        <v/>
      </c>
      <c r="C1099" s="46" t="n">
        <v>59.61</v>
      </c>
      <c r="D1099" s="46" t="n"/>
      <c r="E1099" s="46" t="n"/>
      <c r="F1099" s="46" t="n"/>
    </row>
    <row r="1100" ht="14" customHeight="1">
      <c r="A1100" s="22" t="n">
        <v>2013</v>
      </c>
      <c r="B1100" s="47">
        <f>IF((A1100&gt;=2021),ROUND(((E1100*D1100)/F1100),2),C1100)</f>
        <v/>
      </c>
      <c r="C1100" s="48" t="n">
        <v>60.17</v>
      </c>
      <c r="D1100" s="48" t="n"/>
      <c r="E1100" s="48" t="n"/>
      <c r="F1100" s="48" t="n"/>
    </row>
    <row r="1101" ht="14" customHeight="1">
      <c r="A1101" s="15" t="n">
        <v>2014</v>
      </c>
      <c r="B1101" s="45">
        <f>IF((A1101&gt;=2021),ROUND(((E1101*D1101)/F1101),2),C1101)</f>
        <v/>
      </c>
      <c r="C1101" s="46" t="n">
        <v>60.89</v>
      </c>
      <c r="D1101" s="46" t="n"/>
      <c r="E1101" s="46" t="n"/>
      <c r="F1101" s="46" t="n"/>
    </row>
    <row r="1102" ht="14" customHeight="1">
      <c r="A1102" s="22" t="n">
        <v>2015</v>
      </c>
      <c r="B1102" s="47">
        <f>IF((A1102&gt;=2021),ROUND(((E1102*D1102)/F1102),2),C1102)</f>
        <v/>
      </c>
      <c r="C1102" s="48" t="n">
        <v>61.36</v>
      </c>
      <c r="D1102" s="48" t="n"/>
      <c r="E1102" s="48" t="n"/>
      <c r="F1102" s="48" t="n"/>
    </row>
    <row r="1103" ht="14" customHeight="1">
      <c r="A1103" s="15" t="n">
        <v>2016</v>
      </c>
      <c r="B1103" s="45">
        <f>IF((A1103&gt;=2021),ROUND(((E1103*D1103)/F1103),2),C1103)</f>
        <v/>
      </c>
      <c r="C1103" s="46" t="n">
        <v>62.01</v>
      </c>
      <c r="D1103" s="46" t="n"/>
      <c r="E1103" s="46" t="n"/>
      <c r="F1103" s="46" t="n"/>
    </row>
    <row r="1104" ht="14" customHeight="1">
      <c r="A1104" s="22" t="n">
        <v>2017</v>
      </c>
      <c r="B1104" s="47">
        <f>IF((A1104&gt;=2021),ROUND(((E1104*D1104)/F1104),2),C1104)</f>
        <v/>
      </c>
      <c r="C1104" s="48" t="n">
        <v>61.87</v>
      </c>
      <c r="D1104" s="48" t="n"/>
      <c r="E1104" s="48" t="n"/>
      <c r="F1104" s="48" t="n"/>
    </row>
    <row r="1105" ht="14" customHeight="1">
      <c r="A1105" s="15" t="n">
        <v>2018</v>
      </c>
      <c r="B1105" s="45">
        <f>IF((A1105&gt;=2021),ROUND(((E1105*D1105)/F1105),2),C1105)</f>
        <v/>
      </c>
      <c r="C1105" s="46" t="n">
        <v>61.28</v>
      </c>
      <c r="D1105" s="46" t="n"/>
      <c r="E1105" s="46" t="n"/>
      <c r="F1105" s="46" t="n"/>
    </row>
    <row r="1106" ht="14" customHeight="1">
      <c r="A1106" s="22" t="n">
        <v>2019</v>
      </c>
      <c r="B1106" s="47">
        <f>IF((A1106&gt;=2021),ROUND(((E1106*D1106)/F1106),2),C1106)</f>
        <v/>
      </c>
      <c r="C1106" s="48" t="n">
        <v>60.59</v>
      </c>
      <c r="D1106" s="48" t="n"/>
      <c r="E1106" s="48" t="n"/>
      <c r="F1106" s="48" t="n"/>
    </row>
    <row r="1107" ht="14" customHeight="1">
      <c r="A1107" s="15" t="n">
        <v>2020</v>
      </c>
      <c r="B1107" s="45">
        <f>IF((A1107&gt;=2021),ROUND(((E1107*D1107)/F1107),2),C1107)</f>
        <v/>
      </c>
      <c r="C1107" s="46" t="n">
        <v>60.16</v>
      </c>
      <c r="D1107" s="46" t="n"/>
      <c r="E1107" s="46" t="n"/>
      <c r="F1107" s="46" t="n"/>
    </row>
    <row r="1108" ht="14" customHeight="1">
      <c r="A1108" s="22" t="n">
        <v>2021</v>
      </c>
      <c r="B1108" s="47">
        <f>IF((A1108&gt;=2021),ROUND(((E1108*D1108)/F1108),2),C1108)</f>
        <v/>
      </c>
      <c r="C1108" s="48" t="n"/>
      <c r="D1108" s="48" t="n">
        <v>75705.3</v>
      </c>
      <c r="E1108" s="48" t="n">
        <v>60.16</v>
      </c>
      <c r="F1108" s="48" t="n">
        <v>76551.10000000001</v>
      </c>
    </row>
    <row r="1109" ht="14" customHeight="1">
      <c r="A1109" s="15" t="n">
        <v>2022</v>
      </c>
      <c r="B1109" s="45">
        <f>IF((A1109&gt;=2021),ROUND(((E1109*D1109)/F1109),2),C1109)</f>
        <v/>
      </c>
      <c r="C1109" s="46" t="n"/>
      <c r="D1109" s="46" t="n">
        <v>74807.63</v>
      </c>
      <c r="E1109" s="46" t="n">
        <v>60.16</v>
      </c>
      <c r="F1109" s="46" t="n">
        <v>76551.10000000001</v>
      </c>
    </row>
    <row r="1110" ht="14" customHeight="1">
      <c r="A1110" s="22" t="n">
        <v>2023</v>
      </c>
      <c r="B1110" s="47">
        <f>IF((A1110&gt;=2021),ROUND(((E1110*D1110)/F1110),2),C1110)</f>
        <v/>
      </c>
      <c r="C1110" s="48" t="n"/>
      <c r="D1110" s="48" t="n">
        <v>73761.42999999999</v>
      </c>
      <c r="E1110" s="48" t="n">
        <v>60.16</v>
      </c>
      <c r="F1110" s="48" t="n">
        <v>76551.10000000001</v>
      </c>
    </row>
    <row r="1111" ht="14" customHeight="1">
      <c r="A1111" s="15" t="n">
        <v>2024</v>
      </c>
      <c r="B1111" s="45">
        <f>IF((A1111&gt;=2021),ROUND(((E1111*D1111)/F1111),2),C1111)</f>
        <v/>
      </c>
      <c r="C1111" s="46" t="n"/>
      <c r="D1111" s="46" t="n">
        <v>71896.32000000001</v>
      </c>
      <c r="E1111" s="46" t="n">
        <v>60.16</v>
      </c>
      <c r="F1111" s="46" t="n">
        <v>76551.10000000001</v>
      </c>
    </row>
    <row r="1112" ht="14" customHeight="1">
      <c r="A1112" s="22" t="n">
        <v>2025</v>
      </c>
      <c r="B1112" s="47">
        <f>IF((A1112&gt;=2021),ROUND(((E1112*D1112)/F1112),2),C1112)</f>
        <v/>
      </c>
      <c r="C1112" s="48" t="n"/>
      <c r="D1112" s="48" t="n">
        <v>71583.23</v>
      </c>
      <c r="E1112" s="48" t="n">
        <v>60.16</v>
      </c>
      <c r="F1112" s="48" t="n">
        <v>76551.10000000001</v>
      </c>
    </row>
    <row r="1115">
      <c r="A1115" s="55" t="inlineStr">
        <is>
          <t>A4 (bovine, production) · Bovine meat: production (EU)  (Mt)</t>
        </is>
      </c>
    </row>
    <row r="1116" ht="26" customHeight="1">
      <c r="A1116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17" ht="24" customHeight="1">
      <c r="A1117" s="3" t="inlineStr">
        <is>
          <t>Derivation:  Value = IF(A &gt;= 2021, ROUND([apro_mt_pann B1000] * [Unit conversion (× 0.001)], 3), [Report figure (2024 report underlying data)])</t>
        </is>
      </c>
    </row>
    <row r="1118" ht="42" customHeight="1">
      <c r="A1118" s="44" t="inlineStr">
        <is>
          <t>Year</t>
        </is>
      </c>
      <c r="B1118" s="44" t="inlineStr">
        <is>
          <t>Value</t>
        </is>
      </c>
      <c r="C1118" s="44" t="inlineStr">
        <is>
          <t>Report figure (2024 report underlying data)</t>
        </is>
      </c>
      <c r="D1118" s="44" t="inlineStr">
        <is>
          <t>apro_mt_pann B1000</t>
        </is>
      </c>
      <c r="E1118" s="44" t="inlineStr">
        <is>
          <t>Unit conversion (× 0.001)</t>
        </is>
      </c>
    </row>
    <row r="1119" ht="14" customHeight="1">
      <c r="A1119" s="15" t="n">
        <v>2010</v>
      </c>
      <c r="B1119" s="45">
        <f>IF((A1119&gt;=2021),ROUND((D1119*E1119),3),C1119)</f>
        <v/>
      </c>
      <c r="C1119" s="46" t="n">
        <v>7.257</v>
      </c>
      <c r="D1119" s="46" t="n"/>
      <c r="E1119" s="46" t="n"/>
    </row>
    <row r="1120" ht="14" customHeight="1">
      <c r="A1120" s="22" t="n">
        <v>2011</v>
      </c>
      <c r="B1120" s="47">
        <f>IF((A1120&gt;=2021),ROUND((D1120*E1120),3),C1120)</f>
        <v/>
      </c>
      <c r="C1120" s="48" t="n">
        <v>7.126</v>
      </c>
      <c r="D1120" s="48" t="n"/>
      <c r="E1120" s="48" t="n"/>
    </row>
    <row r="1121" ht="14" customHeight="1">
      <c r="A1121" s="15" t="n">
        <v>2012</v>
      </c>
      <c r="B1121" s="45">
        <f>IF((A1121&gt;=2021),ROUND((D1121*E1121),3),C1121)</f>
        <v/>
      </c>
      <c r="C1121" s="46" t="n">
        <v>6.857</v>
      </c>
      <c r="D1121" s="46" t="n"/>
      <c r="E1121" s="46" t="n"/>
    </row>
    <row r="1122" ht="14" customHeight="1">
      <c r="A1122" s="22" t="n">
        <v>2013</v>
      </c>
      <c r="B1122" s="47">
        <f>IF((A1122&gt;=2021),ROUND((D1122*E1122),3),C1122)</f>
        <v/>
      </c>
      <c r="C1122" s="48" t="n">
        <v>6.567</v>
      </c>
      <c r="D1122" s="48" t="n"/>
      <c r="E1122" s="48" t="n"/>
    </row>
    <row r="1123" ht="14" customHeight="1">
      <c r="A1123" s="15" t="n">
        <v>2014</v>
      </c>
      <c r="B1123" s="45">
        <f>IF((A1123&gt;=2021),ROUND((D1123*E1123),3),C1123)</f>
        <v/>
      </c>
      <c r="C1123" s="46" t="n">
        <v>6.597</v>
      </c>
      <c r="D1123" s="46" t="n"/>
      <c r="E1123" s="46" t="n"/>
    </row>
    <row r="1124" ht="14" customHeight="1">
      <c r="A1124" s="22" t="n">
        <v>2015</v>
      </c>
      <c r="B1124" s="47">
        <f>IF((A1124&gt;=2021),ROUND((D1124*E1124),3),C1124)</f>
        <v/>
      </c>
      <c r="C1124" s="48" t="n">
        <v>6.827</v>
      </c>
      <c r="D1124" s="48" t="n"/>
      <c r="E1124" s="48" t="n"/>
    </row>
    <row r="1125" ht="14" customHeight="1">
      <c r="A1125" s="15" t="n">
        <v>2016</v>
      </c>
      <c r="B1125" s="45">
        <f>IF((A1125&gt;=2021),ROUND((D1125*E1125),3),C1125)</f>
        <v/>
      </c>
      <c r="C1125" s="46" t="n">
        <v>6.999</v>
      </c>
      <c r="D1125" s="46" t="n"/>
      <c r="E1125" s="46" t="n"/>
    </row>
    <row r="1126" ht="14" customHeight="1">
      <c r="A1126" s="22" t="n">
        <v>2017</v>
      </c>
      <c r="B1126" s="47">
        <f>IF((A1126&gt;=2021),ROUND((D1126*E1126),3),C1126)</f>
        <v/>
      </c>
      <c r="C1126" s="48" t="n">
        <v>6.993</v>
      </c>
      <c r="D1126" s="48" t="n"/>
      <c r="E1126" s="48" t="n"/>
    </row>
    <row r="1127" ht="14" customHeight="1">
      <c r="A1127" s="15" t="n">
        <v>2018</v>
      </c>
      <c r="B1127" s="45">
        <f>IF((A1127&gt;=2021),ROUND((D1127*E1127),3),C1127)</f>
        <v/>
      </c>
      <c r="C1127" s="46" t="n">
        <v>7.112</v>
      </c>
      <c r="D1127" s="46" t="n"/>
      <c r="E1127" s="46" t="n"/>
    </row>
    <row r="1128" ht="14" customHeight="1">
      <c r="A1128" s="22" t="n">
        <v>2019</v>
      </c>
      <c r="B1128" s="47">
        <f>IF((A1128&gt;=2021),ROUND((D1128*E1128),3),C1128)</f>
        <v/>
      </c>
      <c r="C1128" s="48" t="n">
        <v>6.999</v>
      </c>
      <c r="D1128" s="48" t="n"/>
      <c r="E1128" s="48" t="n"/>
    </row>
    <row r="1129" ht="14" customHeight="1">
      <c r="A1129" s="15" t="n">
        <v>2020</v>
      </c>
      <c r="B1129" s="45">
        <f>IF((A1129&gt;=2021),ROUND((D1129*E1129),3),C1129)</f>
        <v/>
      </c>
      <c r="C1129" s="46" t="n">
        <v>6.936</v>
      </c>
      <c r="D1129" s="46" t="n"/>
      <c r="E1129" s="46" t="n"/>
    </row>
    <row r="1130" ht="14" customHeight="1">
      <c r="A1130" s="22" t="n">
        <v>2021</v>
      </c>
      <c r="B1130" s="47">
        <f>IF((A1130&gt;=2021),ROUND((D1130*E1130),3),C1130)</f>
        <v/>
      </c>
      <c r="C1130" s="48" t="n"/>
      <c r="D1130" s="48" t="n">
        <v>6801.91</v>
      </c>
      <c r="E1130" s="48" t="n">
        <v>0.001</v>
      </c>
    </row>
    <row r="1131" ht="14" customHeight="1">
      <c r="A1131" s="15" t="n">
        <v>2022</v>
      </c>
      <c r="B1131" s="45">
        <f>IF((A1131&gt;=2021),ROUND((D1131*E1131),3),C1131)</f>
        <v/>
      </c>
      <c r="C1131" s="46" t="n"/>
      <c r="D1131" s="46" t="n">
        <v>6640.26</v>
      </c>
      <c r="E1131" s="46" t="n">
        <v>0.001</v>
      </c>
    </row>
    <row r="1132" ht="14" customHeight="1">
      <c r="A1132" s="22" t="n">
        <v>2023</v>
      </c>
      <c r="B1132" s="47">
        <f>IF((A1132&gt;=2021),ROUND((D1132*E1132),3),C1132)</f>
        <v/>
      </c>
      <c r="C1132" s="48" t="n"/>
      <c r="D1132" s="48" t="n">
        <v>6384.77</v>
      </c>
      <c r="E1132" s="48" t="n">
        <v>0.001</v>
      </c>
    </row>
    <row r="1133" ht="14" customHeight="1">
      <c r="A1133" s="15" t="n">
        <v>2024</v>
      </c>
      <c r="B1133" s="45">
        <f>IF((A1133&gt;=2021),ROUND((D1133*E1133),3),C1133)</f>
        <v/>
      </c>
      <c r="C1133" s="46" t="n"/>
      <c r="D1133" s="46" t="n">
        <v>6584.01</v>
      </c>
      <c r="E1133" s="46" t="n">
        <v>0.001</v>
      </c>
    </row>
    <row r="1134" ht="14" customHeight="1">
      <c r="A1134" s="22" t="n">
        <v>2025</v>
      </c>
      <c r="B1134" s="47">
        <f>IF((A1134&gt;=2021),ROUND((D1134*E1134),3),C1134)</f>
        <v/>
      </c>
      <c r="C1134" s="48" t="n"/>
      <c r="D1134" s="48" t="n">
        <v>6319.82</v>
      </c>
      <c r="E1134" s="48" t="n">
        <v>0.001</v>
      </c>
    </row>
    <row r="1137">
      <c r="A1137" s="55" t="inlineStr">
        <is>
          <t>A4 (dairy, herd) · Dairy products: herd size (EU)  (million heads)</t>
        </is>
      </c>
    </row>
    <row r="1138" ht="26" customHeight="1">
      <c r="A1138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39" ht="24" customHeight="1">
      <c r="A1139" s="3" t="inlineStr">
        <is>
          <t>Derivation:  Value = IF(A &gt;= 2021, ROUND([apro_mt_lscatl A2300F] * [Unit conversion (× 0.001)], 2), [Report figure (2024 report underlying data)])</t>
        </is>
      </c>
    </row>
    <row r="1140" ht="42" customHeight="1">
      <c r="A1140" s="44" t="inlineStr">
        <is>
          <t>Year</t>
        </is>
      </c>
      <c r="B1140" s="44" t="inlineStr">
        <is>
          <t>Value</t>
        </is>
      </c>
      <c r="C1140" s="44" t="inlineStr">
        <is>
          <t>Report figure (2024 report underlying data)</t>
        </is>
      </c>
      <c r="D1140" s="44" t="inlineStr">
        <is>
          <t>apro_mt_lscatl A2300F</t>
        </is>
      </c>
      <c r="E1140" s="44" t="inlineStr">
        <is>
          <t>Unit conversion (× 0.001)</t>
        </is>
      </c>
    </row>
    <row r="1141" ht="14" customHeight="1">
      <c r="A1141" s="15" t="n">
        <v>2010</v>
      </c>
      <c r="B1141" s="45">
        <f>IF((A1141&gt;=2021),ROUND((D1141*E1141),2),C1141)</f>
        <v/>
      </c>
      <c r="C1141" s="46" t="n">
        <v>21.55</v>
      </c>
      <c r="D1141" s="46" t="n"/>
      <c r="E1141" s="46" t="n"/>
    </row>
    <row r="1142" ht="14" customHeight="1">
      <c r="A1142" s="22" t="n">
        <v>2011</v>
      </c>
      <c r="B1142" s="47">
        <f>IF((A1142&gt;=2021),ROUND((D1142*E1142),2),C1142)</f>
        <v/>
      </c>
      <c r="C1142" s="48" t="n">
        <v>21.36</v>
      </c>
      <c r="D1142" s="48" t="n"/>
      <c r="E1142" s="48" t="n"/>
    </row>
    <row r="1143" ht="14" customHeight="1">
      <c r="A1143" s="15" t="n">
        <v>2012</v>
      </c>
      <c r="B1143" s="45">
        <f>IF((A1143&gt;=2021),ROUND((D1143*E1143),2),C1143)</f>
        <v/>
      </c>
      <c r="C1143" s="46" t="n">
        <v>21.45</v>
      </c>
      <c r="D1143" s="46" t="n"/>
      <c r="E1143" s="46" t="n"/>
    </row>
    <row r="1144" ht="14" customHeight="1">
      <c r="A1144" s="22" t="n">
        <v>2013</v>
      </c>
      <c r="B1144" s="47">
        <f>IF((A1144&gt;=2021),ROUND((D1144*E1144),2),C1144)</f>
        <v/>
      </c>
      <c r="C1144" s="48" t="n">
        <v>21.59</v>
      </c>
      <c r="D1144" s="48" t="n"/>
      <c r="E1144" s="48" t="n"/>
    </row>
    <row r="1145" ht="14" customHeight="1">
      <c r="A1145" s="15" t="n">
        <v>2014</v>
      </c>
      <c r="B1145" s="45">
        <f>IF((A1145&gt;=2021),ROUND((D1145*E1145),2),C1145)</f>
        <v/>
      </c>
      <c r="C1145" s="46" t="n">
        <v>21.64</v>
      </c>
      <c r="D1145" s="46" t="n"/>
      <c r="E1145" s="46" t="n"/>
    </row>
    <row r="1146" ht="14" customHeight="1">
      <c r="A1146" s="22" t="n">
        <v>2015</v>
      </c>
      <c r="B1146" s="47">
        <f>IF((A1146&gt;=2021),ROUND((D1146*E1146),2),C1146)</f>
        <v/>
      </c>
      <c r="C1146" s="48" t="n">
        <v>21.64</v>
      </c>
      <c r="D1146" s="48" t="n"/>
      <c r="E1146" s="48" t="n"/>
    </row>
    <row r="1147" ht="14" customHeight="1">
      <c r="A1147" s="15" t="n">
        <v>2016</v>
      </c>
      <c r="B1147" s="45">
        <f>IF((A1147&gt;=2021),ROUND((D1147*E1147),2),C1147)</f>
        <v/>
      </c>
      <c r="C1147" s="46" t="n">
        <v>21.58</v>
      </c>
      <c r="D1147" s="46" t="n"/>
      <c r="E1147" s="46" t="n"/>
    </row>
    <row r="1148" ht="14" customHeight="1">
      <c r="A1148" s="22" t="n">
        <v>2017</v>
      </c>
      <c r="B1148" s="47">
        <f>IF((A1148&gt;=2021),ROUND((D1148*E1148),2),C1148)</f>
        <v/>
      </c>
      <c r="C1148" s="48" t="n">
        <v>21.39</v>
      </c>
      <c r="D1148" s="48" t="n"/>
      <c r="E1148" s="48" t="n"/>
    </row>
    <row r="1149" ht="14" customHeight="1">
      <c r="A1149" s="15" t="n">
        <v>2018</v>
      </c>
      <c r="B1149" s="45">
        <f>IF((A1149&gt;=2021),ROUND((D1149*E1149),2),C1149)</f>
        <v/>
      </c>
      <c r="C1149" s="46" t="n">
        <v>21.08</v>
      </c>
      <c r="D1149" s="46" t="n"/>
      <c r="E1149" s="46" t="n"/>
    </row>
    <row r="1150" ht="14" customHeight="1">
      <c r="A1150" s="22" t="n">
        <v>2019</v>
      </c>
      <c r="B1150" s="47">
        <f>IF((A1150&gt;=2021),ROUND((D1150*E1150),2),C1150)</f>
        <v/>
      </c>
      <c r="C1150" s="48" t="n">
        <v>20.82</v>
      </c>
      <c r="D1150" s="48" t="n"/>
      <c r="E1150" s="48" t="n"/>
    </row>
    <row r="1151" ht="14" customHeight="1">
      <c r="A1151" s="15" t="n">
        <v>2020</v>
      </c>
      <c r="B1151" s="45">
        <f>IF((A1151&gt;=2021),ROUND((D1151*E1151),2),C1151)</f>
        <v/>
      </c>
      <c r="C1151" s="46" t="n">
        <v>20.63</v>
      </c>
      <c r="D1151" s="46" t="n"/>
      <c r="E1151" s="46" t="n"/>
    </row>
    <row r="1152" ht="14" customHeight="1">
      <c r="A1152" s="22" t="n">
        <v>2021</v>
      </c>
      <c r="B1152" s="47">
        <f>IF((A1152&gt;=2021),ROUND((D1152*E1152),2),C1152)</f>
        <v/>
      </c>
      <c r="C1152" s="48" t="n"/>
      <c r="D1152" s="48" t="n">
        <v>20212.53</v>
      </c>
      <c r="E1152" s="48" t="n">
        <v>0.001</v>
      </c>
    </row>
    <row r="1153" ht="14" customHeight="1">
      <c r="A1153" s="15" t="n">
        <v>2022</v>
      </c>
      <c r="B1153" s="45">
        <f>IF((A1153&gt;=2021),ROUND((D1153*E1153),2),C1153)</f>
        <v/>
      </c>
      <c r="C1153" s="46" t="n"/>
      <c r="D1153" s="46" t="n">
        <v>20073.77</v>
      </c>
      <c r="E1153" s="46" t="n">
        <v>0.001</v>
      </c>
    </row>
    <row r="1154" ht="14" customHeight="1">
      <c r="A1154" s="22" t="n">
        <v>2023</v>
      </c>
      <c r="B1154" s="47">
        <f>IF((A1154&gt;=2021),ROUND((D1154*E1154),2),C1154)</f>
        <v/>
      </c>
      <c r="C1154" s="48" t="n"/>
      <c r="D1154" s="48" t="n">
        <v>19911.96</v>
      </c>
      <c r="E1154" s="48" t="n">
        <v>0.001</v>
      </c>
    </row>
    <row r="1155" ht="14" customHeight="1">
      <c r="A1155" s="15" t="n">
        <v>2024</v>
      </c>
      <c r="B1155" s="45">
        <f>IF((A1155&gt;=2021),ROUND((D1155*E1155),2),C1155)</f>
        <v/>
      </c>
      <c r="C1155" s="46" t="n"/>
      <c r="D1155" s="46" t="n">
        <v>19221.66</v>
      </c>
      <c r="E1155" s="46" t="n">
        <v>0.001</v>
      </c>
    </row>
    <row r="1156" ht="14" customHeight="1">
      <c r="A1156" s="22" t="n">
        <v>2025</v>
      </c>
      <c r="B1156" s="47">
        <f>IF((A1156&gt;=2021),ROUND((D1156*E1156),2),C1156)</f>
        <v/>
      </c>
      <c r="C1156" s="48" t="n"/>
      <c r="D1156" s="48" t="n">
        <v>19015.37</v>
      </c>
      <c r="E1156" s="48" t="n">
        <v>0.001</v>
      </c>
    </row>
    <row r="1159">
      <c r="A1159" s="55" t="inlineStr">
        <is>
          <t>A4 (dairy, production) · Dairy products: production (EU)  (Mt)</t>
        </is>
      </c>
    </row>
    <row r="1160" ht="26" customHeight="1">
      <c r="A1160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61" ht="24" customHeight="1">
      <c r="A1161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1162" ht="42" customHeight="1">
      <c r="A1162" s="44" t="inlineStr">
        <is>
          <t>Year</t>
        </is>
      </c>
      <c r="B1162" s="44" t="inlineStr">
        <is>
          <t>Value</t>
        </is>
      </c>
      <c r="C1162" s="44" t="inlineStr">
        <is>
          <t>Report figure (2024 report underlying data)</t>
        </is>
      </c>
      <c r="D1162" s="44" t="inlineStr">
        <is>
          <t>apro_mk_farm D1100A</t>
        </is>
      </c>
      <c r="E1162" s="44" t="inlineStr">
        <is>
          <t>Report baseline 2020 (Mt)</t>
        </is>
      </c>
      <c r="F1162" s="44" t="inlineStr">
        <is>
          <t>Live source at 2020 (same basis as the columns left)</t>
        </is>
      </c>
    </row>
    <row r="1163" ht="14" customHeight="1">
      <c r="A1163" s="15" t="n">
        <v>2010</v>
      </c>
      <c r="B1163" s="45">
        <f>IF((A1163&gt;=2021),ROUND(((E1163*D1163)/F1163),1),C1163)</f>
        <v/>
      </c>
      <c r="C1163" s="46" t="n">
        <v>141.1</v>
      </c>
      <c r="D1163" s="46" t="n"/>
      <c r="E1163" s="46" t="n"/>
      <c r="F1163" s="46" t="n"/>
    </row>
    <row r="1164" ht="14" customHeight="1">
      <c r="A1164" s="22" t="n">
        <v>2011</v>
      </c>
      <c r="B1164" s="47">
        <f>IF((A1164&gt;=2021),ROUND(((E1164*D1164)/F1164),1),C1164)</f>
        <v/>
      </c>
      <c r="C1164" s="48" t="n">
        <v>143.4</v>
      </c>
      <c r="D1164" s="48" t="n"/>
      <c r="E1164" s="48" t="n"/>
      <c r="F1164" s="48" t="n"/>
    </row>
    <row r="1165" ht="14" customHeight="1">
      <c r="A1165" s="15" t="n">
        <v>2012</v>
      </c>
      <c r="B1165" s="45">
        <f>IF((A1165&gt;=2021),ROUND(((E1165*D1165)/F1165),1),C1165)</f>
        <v/>
      </c>
      <c r="C1165" s="46" t="n">
        <v>143.8</v>
      </c>
      <c r="D1165" s="46" t="n"/>
      <c r="E1165" s="46" t="n"/>
      <c r="F1165" s="46" t="n"/>
    </row>
    <row r="1166" ht="14" customHeight="1">
      <c r="A1166" s="22" t="n">
        <v>2013</v>
      </c>
      <c r="B1166" s="47">
        <f>IF((A1166&gt;=2021),ROUND(((E1166*D1166)/F1166),1),C1166)</f>
        <v/>
      </c>
      <c r="C1166" s="48" t="n">
        <v>145.3</v>
      </c>
      <c r="D1166" s="48" t="n"/>
      <c r="E1166" s="48" t="n"/>
      <c r="F1166" s="48" t="n"/>
    </row>
    <row r="1167" ht="14" customHeight="1">
      <c r="A1167" s="15" t="n">
        <v>2014</v>
      </c>
      <c r="B1167" s="45">
        <f>IF((A1167&gt;=2021),ROUND(((E1167*D1167)/F1167),1),C1167)</f>
        <v/>
      </c>
      <c r="C1167" s="46" t="n">
        <v>150.1</v>
      </c>
      <c r="D1167" s="46" t="n"/>
      <c r="E1167" s="46" t="n"/>
      <c r="F1167" s="46" t="n"/>
    </row>
    <row r="1168" ht="14" customHeight="1">
      <c r="A1168" s="22" t="n">
        <v>2015</v>
      </c>
      <c r="B1168" s="47">
        <f>IF((A1168&gt;=2021),ROUND(((E1168*D1168)/F1168),1),C1168)</f>
        <v/>
      </c>
      <c r="C1168" s="48" t="n">
        <v>153.2</v>
      </c>
      <c r="D1168" s="48" t="n"/>
      <c r="E1168" s="48" t="n"/>
      <c r="F1168" s="48" t="n"/>
    </row>
    <row r="1169" ht="14" customHeight="1">
      <c r="A1169" s="15" t="n">
        <v>2016</v>
      </c>
      <c r="B1169" s="45">
        <f>IF((A1169&gt;=2021),ROUND(((E1169*D1169)/F1169),1),C1169)</f>
        <v/>
      </c>
      <c r="C1169" s="46" t="n">
        <v>154.8</v>
      </c>
      <c r="D1169" s="46" t="n"/>
      <c r="E1169" s="46" t="n"/>
      <c r="F1169" s="46" t="n"/>
    </row>
    <row r="1170" ht="14" customHeight="1">
      <c r="A1170" s="22" t="n">
        <v>2017</v>
      </c>
      <c r="B1170" s="47">
        <f>IF((A1170&gt;=2021),ROUND(((E1170*D1170)/F1170),1),C1170)</f>
        <v/>
      </c>
      <c r="C1170" s="48" t="n">
        <v>156</v>
      </c>
      <c r="D1170" s="48" t="n"/>
      <c r="E1170" s="48" t="n"/>
      <c r="F1170" s="48" t="n"/>
    </row>
    <row r="1171" ht="14" customHeight="1">
      <c r="A1171" s="15" t="n">
        <v>2018</v>
      </c>
      <c r="B1171" s="45">
        <f>IF((A1171&gt;=2021),ROUND(((E1171*D1171)/F1171),1),C1171)</f>
        <v/>
      </c>
      <c r="C1171" s="46" t="n">
        <v>158.3</v>
      </c>
      <c r="D1171" s="46" t="n"/>
      <c r="E1171" s="46" t="n"/>
      <c r="F1171" s="46" t="n"/>
    </row>
    <row r="1172" ht="14" customHeight="1">
      <c r="A1172" s="22" t="n">
        <v>2019</v>
      </c>
      <c r="B1172" s="47">
        <f>IF((A1172&gt;=2021),ROUND(((E1172*D1172)/F1172),1),C1172)</f>
        <v/>
      </c>
      <c r="C1172" s="48" t="n">
        <v>161.2</v>
      </c>
      <c r="D1172" s="48" t="n"/>
      <c r="E1172" s="48" t="n"/>
      <c r="F1172" s="48" t="n"/>
    </row>
    <row r="1173" ht="14" customHeight="1">
      <c r="A1173" s="15" t="n">
        <v>2020</v>
      </c>
      <c r="B1173" s="45">
        <f>IF((A1173&gt;=2021),ROUND(((E1173*D1173)/F1173),1),C1173)</f>
        <v/>
      </c>
      <c r="C1173" s="46" t="n">
        <v>163.1</v>
      </c>
      <c r="D1173" s="46" t="n"/>
      <c r="E1173" s="46" t="n"/>
      <c r="F1173" s="46" t="n"/>
    </row>
    <row r="1174" ht="14" customHeight="1">
      <c r="A1174" s="22" t="n">
        <v>2021</v>
      </c>
      <c r="B1174" s="47">
        <f>IF((A1174&gt;=2021),ROUND(((E1174*D1174)/F1174),1),C1174)</f>
        <v/>
      </c>
      <c r="C1174" s="48" t="n"/>
      <c r="D1174" s="48" t="n">
        <v>159772.68</v>
      </c>
      <c r="E1174" s="48" t="n">
        <v>163.1</v>
      </c>
      <c r="F1174" s="48" t="n">
        <v>160281.96</v>
      </c>
    </row>
    <row r="1175" ht="14" customHeight="1">
      <c r="A1175" s="15" t="n">
        <v>2022</v>
      </c>
      <c r="B1175" s="45">
        <f>IF((A1175&gt;=2021),ROUND(((E1175*D1175)/F1175),1),C1175)</f>
        <v/>
      </c>
      <c r="C1175" s="46" t="n"/>
      <c r="D1175" s="46" t="n">
        <v>159996.09</v>
      </c>
      <c r="E1175" s="46" t="n">
        <v>163.1</v>
      </c>
      <c r="F1175" s="46" t="n">
        <v>160281.96</v>
      </c>
    </row>
    <row r="1176" ht="14" customHeight="1">
      <c r="A1176" s="22" t="n">
        <v>2023</v>
      </c>
      <c r="B1176" s="47">
        <f>IF((A1176&gt;=2021),ROUND(((E1176*D1176)/F1176),1),C1176)</f>
        <v/>
      </c>
      <c r="C1176" s="48" t="n"/>
      <c r="D1176" s="48" t="n">
        <v>160887.23</v>
      </c>
      <c r="E1176" s="48" t="n">
        <v>163.1</v>
      </c>
      <c r="F1176" s="48" t="n">
        <v>160281.96</v>
      </c>
    </row>
    <row r="1177" ht="14" customHeight="1">
      <c r="A1177" s="15" t="n">
        <v>2024</v>
      </c>
      <c r="B1177" s="45">
        <f>IF((A1177&gt;=2021),ROUND(((E1177*D1177)/F1177),1),C1177)</f>
        <v/>
      </c>
      <c r="C1177" s="46" t="n"/>
      <c r="D1177" s="46" t="n">
        <v>161798.04</v>
      </c>
      <c r="E1177" s="46" t="n">
        <v>163.1</v>
      </c>
      <c r="F1177" s="46" t="n">
        <v>160281.96</v>
      </c>
    </row>
    <row r="1180">
      <c r="A1180" s="55" t="inlineStr">
        <is>
          <t>A4 (pig, herd) · Pig meat: herd size (EU)  (million heads)</t>
        </is>
      </c>
    </row>
    <row r="1181" ht="26" customHeight="1">
      <c r="A1181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82" ht="24" customHeight="1">
      <c r="A1182" s="3" t="inlineStr">
        <is>
          <t>Derivation:  Value = IF(A &gt;= 2021, ROUND([Report baseline 2020 (million heads)] * [apro_mt_lspig A3100] / [Live source at 2020 (same basis as the columns left)], 1), [Report figure (2024 report underlying data)])</t>
        </is>
      </c>
    </row>
    <row r="1183" ht="42" customHeight="1">
      <c r="A1183" s="44" t="inlineStr">
        <is>
          <t>Year</t>
        </is>
      </c>
      <c r="B1183" s="44" t="inlineStr">
        <is>
          <t>Value</t>
        </is>
      </c>
      <c r="C1183" s="44" t="inlineStr">
        <is>
          <t>Report figure (2024 report underlying data)</t>
        </is>
      </c>
      <c r="D1183" s="44" t="inlineStr">
        <is>
          <t>apro_mt_lspig A3100</t>
        </is>
      </c>
      <c r="E1183" s="44" t="inlineStr">
        <is>
          <t>Report baseline 2020 (million heads)</t>
        </is>
      </c>
      <c r="F1183" s="44" t="inlineStr">
        <is>
          <t>Live source at 2020 (same basis as the columns left)</t>
        </is>
      </c>
    </row>
    <row r="1184" ht="14" customHeight="1">
      <c r="A1184" s="15" t="n">
        <v>2010</v>
      </c>
      <c r="B1184" s="45">
        <f>IF((A1184&gt;=2021),ROUND(((E1184*D1184)/F1184),1),C1184)</f>
        <v/>
      </c>
      <c r="C1184" s="46" t="n">
        <v>144.1</v>
      </c>
      <c r="D1184" s="46" t="n"/>
      <c r="E1184" s="46" t="n"/>
      <c r="F1184" s="46" t="n"/>
    </row>
    <row r="1185" ht="14" customHeight="1">
      <c r="A1185" s="22" t="n">
        <v>2011</v>
      </c>
      <c r="B1185" s="47">
        <f>IF((A1185&gt;=2021),ROUND(((E1185*D1185)/F1185),1),C1185)</f>
        <v/>
      </c>
      <c r="C1185" s="48" t="n">
        <v>142.3</v>
      </c>
      <c r="D1185" s="48" t="n"/>
      <c r="E1185" s="48" t="n"/>
      <c r="F1185" s="48" t="n"/>
    </row>
    <row r="1186" ht="14" customHeight="1">
      <c r="A1186" s="15" t="n">
        <v>2012</v>
      </c>
      <c r="B1186" s="45">
        <f>IF((A1186&gt;=2021),ROUND(((E1186*D1186)/F1186),1),C1186)</f>
        <v/>
      </c>
      <c r="C1186" s="46" t="n">
        <v>138.3</v>
      </c>
      <c r="D1186" s="46" t="n"/>
      <c r="E1186" s="46" t="n"/>
      <c r="F1186" s="46" t="n"/>
    </row>
    <row r="1187" ht="14" customHeight="1">
      <c r="A1187" s="22" t="n">
        <v>2013</v>
      </c>
      <c r="B1187" s="47">
        <f>IF((A1187&gt;=2021),ROUND(((E1187*D1187)/F1187),1),C1187)</f>
        <v/>
      </c>
      <c r="C1187" s="48" t="n">
        <v>136.5</v>
      </c>
      <c r="D1187" s="48" t="n"/>
      <c r="E1187" s="48" t="n"/>
      <c r="F1187" s="48" t="n"/>
    </row>
    <row r="1188" ht="14" customHeight="1">
      <c r="A1188" s="15" t="n">
        <v>2014</v>
      </c>
      <c r="B1188" s="45">
        <f>IF((A1188&gt;=2021),ROUND(((E1188*D1188)/F1188),1),C1188)</f>
        <v/>
      </c>
      <c r="C1188" s="46" t="n">
        <v>138.4</v>
      </c>
      <c r="D1188" s="46" t="n"/>
      <c r="E1188" s="46" t="n"/>
      <c r="F1188" s="46" t="n"/>
    </row>
    <row r="1189" ht="14" customHeight="1">
      <c r="A1189" s="22" t="n">
        <v>2015</v>
      </c>
      <c r="B1189" s="47">
        <f>IF((A1189&gt;=2021),ROUND(((E1189*D1189)/F1189),1),C1189)</f>
        <v/>
      </c>
      <c r="C1189" s="48" t="n">
        <v>139.4</v>
      </c>
      <c r="D1189" s="48" t="n"/>
      <c r="E1189" s="48" t="n"/>
      <c r="F1189" s="48" t="n"/>
    </row>
    <row r="1190" ht="14" customHeight="1">
      <c r="A1190" s="15" t="n">
        <v>2016</v>
      </c>
      <c r="B1190" s="45">
        <f>IF((A1190&gt;=2021),ROUND(((E1190*D1190)/F1190),1),C1190)</f>
        <v/>
      </c>
      <c r="C1190" s="46" t="n">
        <v>137.7</v>
      </c>
      <c r="D1190" s="46" t="n"/>
      <c r="E1190" s="46" t="n"/>
      <c r="F1190" s="46" t="n"/>
    </row>
    <row r="1191" ht="14" customHeight="1">
      <c r="A1191" s="22" t="n">
        <v>2017</v>
      </c>
      <c r="B1191" s="47">
        <f>IF((A1191&gt;=2021),ROUND(((E1191*D1191)/F1191),1),C1191)</f>
        <v/>
      </c>
      <c r="C1191" s="48" t="n">
        <v>138.8</v>
      </c>
      <c r="D1191" s="48" t="n"/>
      <c r="E1191" s="48" t="n"/>
      <c r="F1191" s="48" t="n"/>
    </row>
    <row r="1192" ht="14" customHeight="1">
      <c r="A1192" s="15" t="n">
        <v>2018</v>
      </c>
      <c r="B1192" s="45">
        <f>IF((A1192&gt;=2021),ROUND(((E1192*D1192)/F1192),1),C1192)</f>
        <v/>
      </c>
      <c r="C1192" s="46" t="n">
        <v>139.7</v>
      </c>
      <c r="D1192" s="46" t="n"/>
      <c r="E1192" s="46" t="n"/>
      <c r="F1192" s="46" t="n"/>
    </row>
    <row r="1193" ht="14" customHeight="1">
      <c r="A1193" s="22" t="n">
        <v>2019</v>
      </c>
      <c r="B1193" s="47">
        <f>IF((A1193&gt;=2021),ROUND(((E1193*D1193)/F1193),1),C1193)</f>
        <v/>
      </c>
      <c r="C1193" s="48" t="n">
        <v>137.4</v>
      </c>
      <c r="D1193" s="48" t="n"/>
      <c r="E1193" s="48" t="n"/>
      <c r="F1193" s="48" t="n"/>
    </row>
    <row r="1194" ht="14" customHeight="1">
      <c r="A1194" s="15" t="n">
        <v>2020</v>
      </c>
      <c r="B1194" s="45">
        <f>IF((A1194&gt;=2021),ROUND(((E1194*D1194)/F1194),1),C1194)</f>
        <v/>
      </c>
      <c r="C1194" s="46" t="n">
        <v>140</v>
      </c>
      <c r="D1194" s="46" t="n"/>
      <c r="E1194" s="46" t="n"/>
      <c r="F1194" s="46" t="n"/>
    </row>
    <row r="1195" ht="14" customHeight="1">
      <c r="A1195" s="22" t="n">
        <v>2021</v>
      </c>
      <c r="B1195" s="47">
        <f>IF((A1195&gt;=2021),ROUND(((E1195*D1195)/F1195),1),C1195)</f>
        <v/>
      </c>
      <c r="C1195" s="48" t="n"/>
      <c r="D1195" s="48" t="n">
        <v>141681.38</v>
      </c>
      <c r="E1195" s="48" t="n">
        <v>140</v>
      </c>
      <c r="F1195" s="48" t="n">
        <v>145918.6</v>
      </c>
    </row>
    <row r="1196" ht="14" customHeight="1">
      <c r="A1196" s="15" t="n">
        <v>2022</v>
      </c>
      <c r="B1196" s="45">
        <f>IF((A1196&gt;=2021),ROUND(((E1196*D1196)/F1196),1),C1196)</f>
        <v/>
      </c>
      <c r="C1196" s="46" t="n"/>
      <c r="D1196" s="46" t="n">
        <v>134410.04</v>
      </c>
      <c r="E1196" s="46" t="n">
        <v>140</v>
      </c>
      <c r="F1196" s="46" t="n">
        <v>145918.6</v>
      </c>
    </row>
    <row r="1197" ht="14" customHeight="1">
      <c r="A1197" s="22" t="n">
        <v>2023</v>
      </c>
      <c r="B1197" s="47">
        <f>IF((A1197&gt;=2021),ROUND(((E1197*D1197)/F1197),1),C1197)</f>
        <v/>
      </c>
      <c r="C1197" s="48" t="n"/>
      <c r="D1197" s="48" t="n">
        <v>132845.67</v>
      </c>
      <c r="E1197" s="48" t="n">
        <v>140</v>
      </c>
      <c r="F1197" s="48" t="n">
        <v>145918.6</v>
      </c>
    </row>
    <row r="1198" ht="14" customHeight="1">
      <c r="A1198" s="15" t="n">
        <v>2024</v>
      </c>
      <c r="B1198" s="45">
        <f>IF((A1198&gt;=2021),ROUND(((E1198*D1198)/F1198),1),C1198)</f>
        <v/>
      </c>
      <c r="C1198" s="46" t="n"/>
      <c r="D1198" s="46" t="n">
        <v>132135.52</v>
      </c>
      <c r="E1198" s="46" t="n">
        <v>140</v>
      </c>
      <c r="F1198" s="46" t="n">
        <v>145918.6</v>
      </c>
    </row>
    <row r="1199" ht="14" customHeight="1">
      <c r="A1199" s="22" t="n">
        <v>2025</v>
      </c>
      <c r="B1199" s="47">
        <f>IF((A1199&gt;=2021),ROUND(((E1199*D1199)/F1199),1),C1199)</f>
        <v/>
      </c>
      <c r="C1199" s="48" t="n"/>
      <c r="D1199" s="48" t="n">
        <v>131450.44</v>
      </c>
      <c r="E1199" s="48" t="n">
        <v>140</v>
      </c>
      <c r="F1199" s="48" t="n">
        <v>145918.6</v>
      </c>
    </row>
    <row r="1202">
      <c r="A1202" s="55" t="inlineStr">
        <is>
          <t>A4 (pig, production) · Pig meat: production (EU)  (Mt)</t>
        </is>
      </c>
    </row>
    <row r="1203" ht="26" customHeight="1">
      <c r="A120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204" ht="24" customHeight="1">
      <c r="A1204" s="3" t="inlineStr">
        <is>
          <t>Derivation:  Value = IF(A &gt;= 2021, ROUND([apro_mt_pann B3100] * [Unit conversion (× 0.001)], 2), [Report figure (2024 report underlying data)])</t>
        </is>
      </c>
    </row>
    <row r="1205" ht="42" customHeight="1">
      <c r="A1205" s="44" t="inlineStr">
        <is>
          <t>Year</t>
        </is>
      </c>
      <c r="B1205" s="44" t="inlineStr">
        <is>
          <t>Value</t>
        </is>
      </c>
      <c r="C1205" s="44" t="inlineStr">
        <is>
          <t>Report figure (2024 report underlying data)</t>
        </is>
      </c>
      <c r="D1205" s="44" t="inlineStr">
        <is>
          <t>apro_mt_pann B3100</t>
        </is>
      </c>
      <c r="E1205" s="44" t="inlineStr">
        <is>
          <t>Unit conversion (× 0.001)</t>
        </is>
      </c>
    </row>
    <row r="1206" ht="14" customHeight="1">
      <c r="A1206" s="15" t="n">
        <v>2010</v>
      </c>
      <c r="B1206" s="45">
        <f>IF((A1206&gt;=2021),ROUND((D1206*E1206),2),C1206)</f>
        <v/>
      </c>
      <c r="C1206" s="46" t="n">
        <v>22.22</v>
      </c>
      <c r="D1206" s="46" t="n"/>
      <c r="E1206" s="46" t="n"/>
    </row>
    <row r="1207" ht="14" customHeight="1">
      <c r="A1207" s="22" t="n">
        <v>2011</v>
      </c>
      <c r="B1207" s="47">
        <f>IF((A1207&gt;=2021),ROUND((D1207*E1207),2),C1207)</f>
        <v/>
      </c>
      <c r="C1207" s="48" t="n">
        <v>22.46</v>
      </c>
      <c r="D1207" s="48" t="n"/>
      <c r="E1207" s="48" t="n"/>
    </row>
    <row r="1208" ht="14" customHeight="1">
      <c r="A1208" s="15" t="n">
        <v>2012</v>
      </c>
      <c r="B1208" s="45">
        <f>IF((A1208&gt;=2021),ROUND((D1208*E1208),2),C1208)</f>
        <v/>
      </c>
      <c r="C1208" s="46" t="n">
        <v>22</v>
      </c>
      <c r="D1208" s="46" t="n"/>
      <c r="E1208" s="46" t="n"/>
    </row>
    <row r="1209" ht="14" customHeight="1">
      <c r="A1209" s="22" t="n">
        <v>2013</v>
      </c>
      <c r="B1209" s="47">
        <f>IF((A1209&gt;=2021),ROUND((D1209*E1209),2),C1209)</f>
        <v/>
      </c>
      <c r="C1209" s="48" t="n">
        <v>21.69</v>
      </c>
      <c r="D1209" s="48" t="n"/>
      <c r="E1209" s="48" t="n"/>
    </row>
    <row r="1210" ht="14" customHeight="1">
      <c r="A1210" s="15" t="n">
        <v>2014</v>
      </c>
      <c r="B1210" s="45">
        <f>IF((A1210&gt;=2021),ROUND((D1210*E1210),2),C1210)</f>
        <v/>
      </c>
      <c r="C1210" s="46" t="n">
        <v>21.75</v>
      </c>
      <c r="D1210" s="46" t="n"/>
      <c r="E1210" s="46" t="n"/>
    </row>
    <row r="1211" ht="14" customHeight="1">
      <c r="A1211" s="22" t="n">
        <v>2015</v>
      </c>
      <c r="B1211" s="47">
        <f>IF((A1211&gt;=2021),ROUND((D1211*E1211),2),C1211)</f>
        <v/>
      </c>
      <c r="C1211" s="48" t="n">
        <v>22.57</v>
      </c>
      <c r="D1211" s="48" t="n"/>
      <c r="E1211" s="48" t="n"/>
    </row>
    <row r="1212" ht="14" customHeight="1">
      <c r="A1212" s="15" t="n">
        <v>2016</v>
      </c>
      <c r="B1212" s="45">
        <f>IF((A1212&gt;=2021),ROUND((D1212*E1212),2),C1212)</f>
        <v/>
      </c>
      <c r="C1212" s="46" t="n">
        <v>22.95</v>
      </c>
      <c r="D1212" s="46" t="n"/>
      <c r="E1212" s="46" t="n"/>
    </row>
    <row r="1213" ht="14" customHeight="1">
      <c r="A1213" s="22" t="n">
        <v>2017</v>
      </c>
      <c r="B1213" s="47">
        <f>IF((A1213&gt;=2021),ROUND((D1213*E1213),2),C1213)</f>
        <v/>
      </c>
      <c r="C1213" s="48" t="n">
        <v>22.82</v>
      </c>
      <c r="D1213" s="48" t="n"/>
      <c r="E1213" s="48" t="n"/>
    </row>
    <row r="1214" ht="14" customHeight="1">
      <c r="A1214" s="15" t="n">
        <v>2018</v>
      </c>
      <c r="B1214" s="45">
        <f>IF((A1214&gt;=2021),ROUND((D1214*E1214),2),C1214)</f>
        <v/>
      </c>
      <c r="C1214" s="46" t="n">
        <v>23.22</v>
      </c>
      <c r="D1214" s="46" t="n"/>
      <c r="E1214" s="46" t="n"/>
    </row>
    <row r="1215" ht="14" customHeight="1">
      <c r="A1215" s="22" t="n">
        <v>2019</v>
      </c>
      <c r="B1215" s="47">
        <f>IF((A1215&gt;=2021),ROUND((D1215*E1215),2),C1215)</f>
        <v/>
      </c>
      <c r="C1215" s="48" t="n">
        <v>23</v>
      </c>
      <c r="D1215" s="48" t="n"/>
      <c r="E1215" s="48" t="n"/>
    </row>
    <row r="1216" ht="14" customHeight="1">
      <c r="A1216" s="15" t="n">
        <v>2020</v>
      </c>
      <c r="B1216" s="45">
        <f>IF((A1216&gt;=2021),ROUND((D1216*E1216),2),C1216)</f>
        <v/>
      </c>
      <c r="C1216" s="46" t="n">
        <v>23.22</v>
      </c>
      <c r="D1216" s="46" t="n"/>
      <c r="E1216" s="46" t="n"/>
    </row>
    <row r="1217" ht="14" customHeight="1">
      <c r="A1217" s="22" t="n">
        <v>2021</v>
      </c>
      <c r="B1217" s="47">
        <f>IF((A1217&gt;=2021),ROUND((D1217*E1217),2),C1217)</f>
        <v/>
      </c>
      <c r="C1217" s="48" t="n"/>
      <c r="D1217" s="48" t="n">
        <v>23393.67</v>
      </c>
      <c r="E1217" s="48" t="n">
        <v>0.001</v>
      </c>
    </row>
    <row r="1218" ht="14" customHeight="1">
      <c r="A1218" s="15" t="n">
        <v>2022</v>
      </c>
      <c r="B1218" s="45">
        <f>IF((A1218&gt;=2021),ROUND((D1218*E1218),2),C1218)</f>
        <v/>
      </c>
      <c r="C1218" s="46" t="n"/>
      <c r="D1218" s="46" t="n">
        <v>22065.92</v>
      </c>
      <c r="E1218" s="46" t="n">
        <v>0.001</v>
      </c>
    </row>
    <row r="1219" ht="14" customHeight="1">
      <c r="A1219" s="22" t="n">
        <v>2023</v>
      </c>
      <c r="B1219" s="47">
        <f>IF((A1219&gt;=2021),ROUND((D1219*E1219),2),C1219)</f>
        <v/>
      </c>
      <c r="C1219" s="48" t="n"/>
      <c r="D1219" s="48" t="n">
        <v>20641.09</v>
      </c>
      <c r="E1219" s="48" t="n">
        <v>0.001</v>
      </c>
    </row>
    <row r="1220" ht="14" customHeight="1">
      <c r="A1220" s="15" t="n">
        <v>2024</v>
      </c>
      <c r="B1220" s="45">
        <f>IF((A1220&gt;=2021),ROUND((D1220*E1220),2),C1220)</f>
        <v/>
      </c>
      <c r="C1220" s="46" t="n"/>
      <c r="D1220" s="46" t="n">
        <v>21091.62</v>
      </c>
      <c r="E1220" s="46" t="n">
        <v>0.001</v>
      </c>
    </row>
    <row r="1221" ht="14" customHeight="1">
      <c r="A1221" s="22" t="n">
        <v>2025</v>
      </c>
      <c r="B1221" s="47">
        <f>IF((A1221&gt;=2021),ROUND((D1221*E1221),2),C1221)</f>
        <v/>
      </c>
      <c r="C1221" s="48" t="n"/>
      <c r="D1221" s="48" t="n">
        <v>21837.73</v>
      </c>
      <c r="E1221" s="48" t="n">
        <v>0.001</v>
      </c>
    </row>
    <row r="1224">
      <c r="A1224" s="55" t="inlineStr">
        <is>
          <t>A6 · Food waste per capita (EU)  (kg/cap/year)</t>
        </is>
      </c>
    </row>
    <row r="1225" ht="26" customHeight="1">
      <c r="A122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226" ht="24" customHeight="1">
      <c r="A1226" s="3" t="inlineStr">
        <is>
          <t>Derivation:  Value = IF(A &gt;= 2021, ROUND([env_wasfw TOT], 0), [Report figure (2024 report underlying data)])</t>
        </is>
      </c>
    </row>
    <row r="1227" ht="42" customHeight="1">
      <c r="A1227" s="44" t="inlineStr">
        <is>
          <t>Year</t>
        </is>
      </c>
      <c r="B1227" s="44" t="inlineStr">
        <is>
          <t>Value</t>
        </is>
      </c>
      <c r="C1227" s="44" t="inlineStr">
        <is>
          <t>Report figure (2024 report underlying data)</t>
        </is>
      </c>
      <c r="D1227" s="44" t="inlineStr">
        <is>
          <t>env_wasfw TOT</t>
        </is>
      </c>
    </row>
    <row r="1228" ht="14" customHeight="1">
      <c r="A1228" s="15" t="n">
        <v>2020</v>
      </c>
      <c r="B1228" s="45">
        <f>IF((A1228&gt;=2021),ROUND(D1228,0),C1228)</f>
        <v/>
      </c>
      <c r="C1228" s="46" t="n">
        <v>131</v>
      </c>
      <c r="D1228" s="46" t="n"/>
    </row>
    <row r="1229" ht="14" customHeight="1">
      <c r="A1229" s="22" t="n">
        <v>2021</v>
      </c>
      <c r="B1229" s="47">
        <f>IF((A1229&gt;=2021),ROUND(D1229,0),C1229)</f>
        <v/>
      </c>
      <c r="C1229" s="48" t="n"/>
      <c r="D1229" s="48" t="n">
        <v>129</v>
      </c>
    </row>
    <row r="1230" ht="14" customHeight="1">
      <c r="A1230" s="15" t="n">
        <v>2022</v>
      </c>
      <c r="B1230" s="45">
        <f>IF((A1230&gt;=2021),ROUND(D1230,0),C1230)</f>
        <v/>
      </c>
      <c r="C1230" s="46" t="n"/>
      <c r="D1230" s="46" t="n">
        <v>129</v>
      </c>
    </row>
    <row r="1231" ht="14" customHeight="1">
      <c r="A1231" s="22" t="n">
        <v>2023</v>
      </c>
      <c r="B1231" s="47">
        <f>IF((A1231&gt;=2021),ROUND(D1231,0),C1231)</f>
        <v/>
      </c>
      <c r="C1231" s="48" t="n"/>
      <c r="D1231" s="48" t="n">
        <v>129</v>
      </c>
    </row>
    <row r="1234">
      <c r="A1234" s="55" t="inlineStr">
        <is>
          <t>A7 · Agricultural products used as bioenergy feedstock  (Mt fresh)</t>
        </is>
      </c>
    </row>
    <row r="1235" ht="26" customHeight="1">
      <c r="A1235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236" ht="24" customHeight="1">
      <c r="A1236" s="3" t="inlineStr">
        <is>
          <t>Derivation:  Value = [Cereal crops]+[Oilseed crops and products]</t>
        </is>
      </c>
    </row>
    <row r="1237" ht="42" customHeight="1">
      <c r="A1237" s="44" t="inlineStr">
        <is>
          <t>Year</t>
        </is>
      </c>
      <c r="B1237" s="44" t="inlineStr">
        <is>
          <t>Value</t>
        </is>
      </c>
      <c r="C1237" s="44" t="inlineStr">
        <is>
          <t>Cereal crops</t>
        </is>
      </c>
      <c r="D1237" s="44" t="inlineStr">
        <is>
          <t>Oilseed crops and products</t>
        </is>
      </c>
      <c r="E1237" s="44" t="inlineStr">
        <is>
          <t>Cereal crops for bioenergy</t>
        </is>
      </c>
      <c r="F1237" s="44" t="inlineStr">
        <is>
          <t>Vegetable oils for bioenergy</t>
        </is>
      </c>
    </row>
    <row r="1238" ht="14" customHeight="1">
      <c r="A1238" s="15" t="n">
        <v>2005</v>
      </c>
      <c r="B1238" s="45">
        <f>(C1238+D1238)</f>
        <v/>
      </c>
      <c r="C1238" s="46">
        <f>E1238</f>
        <v/>
      </c>
      <c r="D1238" s="46">
        <f>F1238</f>
        <v/>
      </c>
      <c r="E1238" s="46" t="n">
        <v>4.2</v>
      </c>
      <c r="F1238" s="46" t="n">
        <v>2.821061072</v>
      </c>
    </row>
    <row r="1239" ht="14" customHeight="1">
      <c r="A1239" s="22" t="n">
        <v>2006</v>
      </c>
      <c r="B1239" s="47">
        <f>(C1239+D1239)</f>
        <v/>
      </c>
      <c r="C1239" s="48">
        <f>E1239</f>
        <v/>
      </c>
      <c r="D1239" s="48">
        <f>F1239</f>
        <v/>
      </c>
      <c r="E1239" s="48" t="n">
        <v>5</v>
      </c>
      <c r="F1239" s="48" t="n">
        <v>4.011669341</v>
      </c>
    </row>
    <row r="1240" ht="14" customHeight="1">
      <c r="A1240" s="15" t="n">
        <v>2007</v>
      </c>
      <c r="B1240" s="45">
        <f>(C1240+D1240)</f>
        <v/>
      </c>
      <c r="C1240" s="46">
        <f>E1240</f>
        <v/>
      </c>
      <c r="D1240" s="46">
        <f>F1240</f>
        <v/>
      </c>
      <c r="E1240" s="46" t="n">
        <v>5.8</v>
      </c>
      <c r="F1240" s="46" t="n">
        <v>5.69608494</v>
      </c>
    </row>
    <row r="1241" ht="14" customHeight="1">
      <c r="A1241" s="22" t="n">
        <v>2008</v>
      </c>
      <c r="B1241" s="47">
        <f>(C1241+D1241)</f>
        <v/>
      </c>
      <c r="C1241" s="48">
        <f>E1241</f>
        <v/>
      </c>
      <c r="D1241" s="48">
        <f>F1241</f>
        <v/>
      </c>
      <c r="E1241" s="48" t="n">
        <v>6.9</v>
      </c>
      <c r="F1241" s="48" t="n">
        <v>7.094250428</v>
      </c>
    </row>
    <row r="1242" ht="14" customHeight="1">
      <c r="A1242" s="15" t="n">
        <v>2009</v>
      </c>
      <c r="B1242" s="45">
        <f>(C1242+D1242)</f>
        <v/>
      </c>
      <c r="C1242" s="46">
        <f>E1242</f>
        <v/>
      </c>
      <c r="D1242" s="46">
        <f>F1242</f>
        <v/>
      </c>
      <c r="E1242" s="46" t="n">
        <v>8.199999999999999</v>
      </c>
      <c r="F1242" s="46" t="n">
        <v>8.684303261</v>
      </c>
    </row>
    <row r="1243" ht="14" customHeight="1">
      <c r="A1243" s="22" t="n">
        <v>2010</v>
      </c>
      <c r="B1243" s="47">
        <f>(C1243+D1243)</f>
        <v/>
      </c>
      <c r="C1243" s="48">
        <f>E1243</f>
        <v/>
      </c>
      <c r="D1243" s="48">
        <f>F1243</f>
        <v/>
      </c>
      <c r="E1243" s="48" t="n">
        <v>8.9</v>
      </c>
      <c r="F1243" s="48" t="n">
        <v>9.855223547</v>
      </c>
    </row>
    <row r="1244" ht="14" customHeight="1">
      <c r="A1244" s="15" t="n">
        <v>2011</v>
      </c>
      <c r="B1244" s="45">
        <f>(C1244+D1244)</f>
        <v/>
      </c>
      <c r="C1244" s="46">
        <f>E1244</f>
        <v/>
      </c>
      <c r="D1244" s="46">
        <f>F1244</f>
        <v/>
      </c>
      <c r="E1244" s="46" t="n">
        <v>10.4</v>
      </c>
      <c r="F1244" s="46" t="n">
        <v>9.467157023</v>
      </c>
    </row>
    <row r="1245" ht="14" customHeight="1">
      <c r="A1245" s="22" t="n">
        <v>2012</v>
      </c>
      <c r="B1245" s="47">
        <f>(C1245+D1245)</f>
        <v/>
      </c>
      <c r="C1245" s="48">
        <f>E1245</f>
        <v/>
      </c>
      <c r="D1245" s="48">
        <f>F1245</f>
        <v/>
      </c>
      <c r="E1245" s="48" t="n">
        <v>9.800000000000001</v>
      </c>
      <c r="F1245" s="48" t="n">
        <v>9.782617406</v>
      </c>
    </row>
    <row r="1246" ht="14" customHeight="1">
      <c r="A1246" s="15" t="n">
        <v>2013</v>
      </c>
      <c r="B1246" s="45">
        <f>(C1246+D1246)</f>
        <v/>
      </c>
      <c r="C1246" s="46">
        <f>E1246</f>
        <v/>
      </c>
      <c r="D1246" s="46">
        <f>F1246</f>
        <v/>
      </c>
      <c r="E1246" s="46" t="n">
        <v>10.4</v>
      </c>
      <c r="F1246" s="46" t="n">
        <v>9.998416379</v>
      </c>
    </row>
    <row r="1247" ht="14" customHeight="1">
      <c r="A1247" s="22" t="n">
        <v>2014</v>
      </c>
      <c r="B1247" s="47">
        <f>(C1247+D1247)</f>
        <v/>
      </c>
      <c r="C1247" s="48">
        <f>E1247</f>
        <v/>
      </c>
      <c r="D1247" s="48">
        <f>F1247</f>
        <v/>
      </c>
      <c r="E1247" s="48" t="n">
        <v>11</v>
      </c>
      <c r="F1247" s="48" t="n">
        <v>11.08981779</v>
      </c>
    </row>
    <row r="1248" ht="14" customHeight="1">
      <c r="A1248" s="15" t="n">
        <v>2015</v>
      </c>
      <c r="B1248" s="45">
        <f>(C1248+D1248)</f>
        <v/>
      </c>
      <c r="C1248" s="46">
        <f>E1248</f>
        <v/>
      </c>
      <c r="D1248" s="46">
        <f>F1248</f>
        <v/>
      </c>
      <c r="E1248" s="46" t="n">
        <v>9.9</v>
      </c>
      <c r="F1248" s="46" t="n">
        <v>10.62212921</v>
      </c>
    </row>
    <row r="1249" ht="14" customHeight="1">
      <c r="A1249" s="22" t="n">
        <v>2016</v>
      </c>
      <c r="B1249" s="47">
        <f>(C1249+D1249)</f>
        <v/>
      </c>
      <c r="C1249" s="48">
        <f>E1249</f>
        <v/>
      </c>
      <c r="D1249" s="48">
        <f>F1249</f>
        <v/>
      </c>
      <c r="E1249" s="48" t="n">
        <v>10.5</v>
      </c>
      <c r="F1249" s="48" t="n">
        <v>9.857640624</v>
      </c>
    </row>
    <row r="1250" ht="14" customHeight="1">
      <c r="A1250" s="15" t="n">
        <v>2017</v>
      </c>
      <c r="B1250" s="45">
        <f>(C1250+D1250)</f>
        <v/>
      </c>
      <c r="C1250" s="46">
        <f>E1250</f>
        <v/>
      </c>
      <c r="D1250" s="46">
        <f>F1250</f>
        <v/>
      </c>
      <c r="E1250" s="46" t="n">
        <v>11.2</v>
      </c>
      <c r="F1250" s="46" t="n">
        <v>11.08081859</v>
      </c>
    </row>
    <row r="1251" ht="14" customHeight="1">
      <c r="A1251" s="22" t="n">
        <v>2018</v>
      </c>
      <c r="B1251" s="47">
        <f>(C1251+D1251)</f>
        <v/>
      </c>
      <c r="C1251" s="48">
        <f>E1251</f>
        <v/>
      </c>
      <c r="D1251" s="48">
        <f>F1251</f>
        <v/>
      </c>
      <c r="E1251" s="48" t="n">
        <v>11.3</v>
      </c>
      <c r="F1251" s="48" t="n">
        <v>10.98782877</v>
      </c>
    </row>
    <row r="1252" ht="14" customHeight="1">
      <c r="A1252" s="15" t="n">
        <v>2019</v>
      </c>
      <c r="B1252" s="45">
        <f>(C1252+D1252)</f>
        <v/>
      </c>
      <c r="C1252" s="46">
        <f>E1252</f>
        <v/>
      </c>
      <c r="D1252" s="46">
        <f>F1252</f>
        <v/>
      </c>
      <c r="E1252" s="46" t="n">
        <v>11.5</v>
      </c>
      <c r="F1252" s="46" t="n">
        <v>10.6405257</v>
      </c>
    </row>
    <row r="1253" ht="14" customHeight="1">
      <c r="A1253" s="22" t="n">
        <v>2020</v>
      </c>
      <c r="B1253" s="47">
        <f>(C1253+D1253)</f>
        <v/>
      </c>
      <c r="C1253" s="48">
        <f>E1253</f>
        <v/>
      </c>
      <c r="D1253" s="48">
        <f>F1253</f>
        <v/>
      </c>
      <c r="E1253" s="48" t="n">
        <v>12.1</v>
      </c>
      <c r="F1253" s="48" t="n">
        <v>10.85356017</v>
      </c>
    </row>
    <row r="1254" ht="14" customHeight="1">
      <c r="A1254" s="15" t="n">
        <v>2021</v>
      </c>
      <c r="B1254" s="45">
        <f>(C1254+D1254)</f>
        <v/>
      </c>
      <c r="C1254" s="46">
        <f>E1254</f>
        <v/>
      </c>
      <c r="D1254" s="46">
        <f>F1254</f>
        <v/>
      </c>
      <c r="E1254" s="46" t="n">
        <v>13.4</v>
      </c>
      <c r="F1254" s="46" t="n">
        <v>10.49101612</v>
      </c>
    </row>
    <row r="1257">
      <c r="A1257" s="56" t="inlineStr">
        <is>
          <t>L1 · LULUCF net GHG balance  (Mt CO₂eq)</t>
        </is>
      </c>
    </row>
    <row r="1258" ht="26" customHeight="1">
      <c r="A125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1259" ht="22" customHeight="1">
      <c r="A1259" s="3" t="inlineStr">
        <is>
          <t>Refreshed for 2023, 2024: 4 - Land Use, Land-Use Change and Forestry</t>
        </is>
      </c>
    </row>
    <row r="1260" ht="24" customHeight="1">
      <c r="A1260" s="3" t="inlineStr">
        <is>
          <t>Derivation:  Value = [4 - Land Use, Land-Use Change and Forestry] / 1000</t>
        </is>
      </c>
    </row>
    <row r="1261" ht="42" customHeight="1">
      <c r="A1261" s="44" t="inlineStr">
        <is>
          <t>Year</t>
        </is>
      </c>
      <c r="B1261" s="44" t="inlineStr">
        <is>
          <t>Value</t>
        </is>
      </c>
      <c r="C1261" s="44" t="inlineStr">
        <is>
          <t>4 - Land Use, Land-Use Change and Forestry</t>
        </is>
      </c>
    </row>
    <row r="1262" ht="14" customHeight="1">
      <c r="A1262" s="15" t="n">
        <v>2005</v>
      </c>
      <c r="B1262" s="45">
        <f>(C1262/1000)</f>
        <v/>
      </c>
      <c r="C1262" s="46" t="n">
        <v>-342109.4761312911</v>
      </c>
    </row>
    <row r="1263" ht="14" customHeight="1">
      <c r="A1263" s="22" t="n">
        <v>2006</v>
      </c>
      <c r="B1263" s="47">
        <f>(C1263/1000)</f>
        <v/>
      </c>
      <c r="C1263" s="48" t="n">
        <v>-351296.38360007</v>
      </c>
    </row>
    <row r="1264" ht="14" customHeight="1">
      <c r="A1264" s="15" t="n">
        <v>2007</v>
      </c>
      <c r="B1264" s="45">
        <f>(C1264/1000)</f>
        <v/>
      </c>
      <c r="C1264" s="46" t="n">
        <v>-300617.2864973615</v>
      </c>
    </row>
    <row r="1265" ht="14" customHeight="1">
      <c r="A1265" s="22" t="n">
        <v>2008</v>
      </c>
      <c r="B1265" s="47">
        <f>(C1265/1000)</f>
        <v/>
      </c>
      <c r="C1265" s="48" t="n">
        <v>-344262.7716834369</v>
      </c>
    </row>
    <row r="1266" ht="14" customHeight="1">
      <c r="A1266" s="15" t="n">
        <v>2009</v>
      </c>
      <c r="B1266" s="45">
        <f>(C1266/1000)</f>
        <v/>
      </c>
      <c r="C1266" s="46" t="n">
        <v>-347022.328623644</v>
      </c>
    </row>
    <row r="1267" ht="14" customHeight="1">
      <c r="A1267" s="22" t="n">
        <v>2010</v>
      </c>
      <c r="B1267" s="47">
        <f>(C1267/1000)</f>
        <v/>
      </c>
      <c r="C1267" s="48" t="n">
        <v>-352590.1909498173</v>
      </c>
    </row>
    <row r="1268" ht="14" customHeight="1">
      <c r="A1268" s="15" t="n">
        <v>2011</v>
      </c>
      <c r="B1268" s="45">
        <f>(C1268/1000)</f>
        <v/>
      </c>
      <c r="C1268" s="46" t="n">
        <v>-347273.8004383777</v>
      </c>
    </row>
    <row r="1269" ht="14" customHeight="1">
      <c r="A1269" s="22" t="n">
        <v>2012</v>
      </c>
      <c r="B1269" s="47">
        <f>(C1269/1000)</f>
        <v/>
      </c>
      <c r="C1269" s="48" t="n">
        <v>-342633.5989882683</v>
      </c>
    </row>
    <row r="1270" ht="14" customHeight="1">
      <c r="A1270" s="15" t="n">
        <v>2013</v>
      </c>
      <c r="B1270" s="45">
        <f>(C1270/1000)</f>
        <v/>
      </c>
      <c r="C1270" s="46" t="n">
        <v>-342604.9051712324</v>
      </c>
    </row>
    <row r="1271" ht="14" customHeight="1">
      <c r="A1271" s="22" t="n">
        <v>2014</v>
      </c>
      <c r="B1271" s="47">
        <f>(C1271/1000)</f>
        <v/>
      </c>
      <c r="C1271" s="48" t="n">
        <v>-327802.7208805995</v>
      </c>
    </row>
    <row r="1272" ht="14" customHeight="1">
      <c r="A1272" s="15" t="n">
        <v>2015</v>
      </c>
      <c r="B1272" s="45">
        <f>(C1272/1000)</f>
        <v/>
      </c>
      <c r="C1272" s="46" t="n">
        <v>-322423.8390120481</v>
      </c>
    </row>
    <row r="1273" ht="14" customHeight="1">
      <c r="A1273" s="22" t="n">
        <v>2016</v>
      </c>
      <c r="B1273" s="47">
        <f>(C1273/1000)</f>
        <v/>
      </c>
      <c r="C1273" s="48" t="n">
        <v>-318486.5248315362</v>
      </c>
    </row>
    <row r="1274" ht="14" customHeight="1">
      <c r="A1274" s="15" t="n">
        <v>2017</v>
      </c>
      <c r="B1274" s="45">
        <f>(C1274/1000)</f>
        <v/>
      </c>
      <c r="C1274" s="46" t="n">
        <v>-249795.8911803428</v>
      </c>
    </row>
    <row r="1275" ht="14" customHeight="1">
      <c r="A1275" s="22" t="n">
        <v>2018</v>
      </c>
      <c r="B1275" s="47">
        <f>(C1275/1000)</f>
        <v/>
      </c>
      <c r="C1275" s="48" t="n">
        <v>-257789.0407210758</v>
      </c>
    </row>
    <row r="1276" ht="14" customHeight="1">
      <c r="A1276" s="15" t="n">
        <v>2019</v>
      </c>
      <c r="B1276" s="45">
        <f>(C1276/1000)</f>
        <v/>
      </c>
      <c r="C1276" s="46" t="n">
        <v>-247317.6236412184</v>
      </c>
    </row>
    <row r="1277" ht="14" customHeight="1">
      <c r="A1277" s="22" t="n">
        <v>2020</v>
      </c>
      <c r="B1277" s="47">
        <f>(C1277/1000)</f>
        <v/>
      </c>
      <c r="C1277" s="48" t="n">
        <v>-241038.0579270464</v>
      </c>
    </row>
    <row r="1278" ht="14" customHeight="1">
      <c r="A1278" s="15" t="n">
        <v>2021</v>
      </c>
      <c r="B1278" s="45">
        <f>(C1278/1000)</f>
        <v/>
      </c>
      <c r="C1278" s="46" t="n">
        <v>-229984.6664172722</v>
      </c>
    </row>
    <row r="1279" ht="14" customHeight="1">
      <c r="A1279" s="22" t="n">
        <v>2022</v>
      </c>
      <c r="B1279" s="47">
        <f>(C1279/1000)</f>
        <v/>
      </c>
      <c r="C1279" s="48" t="n">
        <v>-243767.28937</v>
      </c>
    </row>
    <row r="1280" ht="14" customHeight="1">
      <c r="A1280" s="15" t="n">
        <v>2023</v>
      </c>
      <c r="B1280" s="45">
        <f>(C1280/1000)</f>
        <v/>
      </c>
      <c r="C1280" s="46" t="n">
        <v>-215514.95</v>
      </c>
    </row>
    <row r="1281" ht="14" customHeight="1">
      <c r="A1281" s="22" t="n">
        <v>2024</v>
      </c>
      <c r="B1281" s="47">
        <f>(C1281/1000)</f>
        <v/>
      </c>
      <c r="C1281" s="48" t="n">
        <v>-230985.16</v>
      </c>
    </row>
    <row r="1284">
      <c r="A1284" s="56" t="inlineStr">
        <is>
          <t>L3 · Annual afforested area  (thousand ha/yr)</t>
        </is>
      </c>
    </row>
    <row r="1285" ht="26" customHeight="1">
      <c r="A1285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286" ht="24" customHeight="1">
      <c r="A1286" s="3" t="inlineStr">
        <is>
          <t>Derivation:  Value = ([cropland to forest land]+[grassland to forest land]+[wetland to forest land]+[settlement to forest land]+[other land to forest land])</t>
        </is>
      </c>
    </row>
    <row r="1287" ht="42" customHeight="1">
      <c r="A1287" s="44" t="inlineStr">
        <is>
          <t>Year</t>
        </is>
      </c>
      <c r="B1287" s="44" t="inlineStr">
        <is>
          <t>Value</t>
        </is>
      </c>
      <c r="C1287" s="44" t="inlineStr">
        <is>
          <t>cropland to forest land</t>
        </is>
      </c>
      <c r="D1287" s="44" t="inlineStr">
        <is>
          <t>grassland to forest land</t>
        </is>
      </c>
      <c r="E1287" s="44" t="inlineStr">
        <is>
          <t>wetland to forest land</t>
        </is>
      </c>
      <c r="F1287" s="44" t="inlineStr">
        <is>
          <t>settlement to forest land</t>
        </is>
      </c>
      <c r="G1287" s="44" t="inlineStr">
        <is>
          <t>other land to forest land</t>
        </is>
      </c>
    </row>
    <row r="1288" ht="14" customHeight="1">
      <c r="A1288" s="15" t="n">
        <v>2005</v>
      </c>
      <c r="B1288" s="45">
        <f>((((C1288+D1288)+E1288)+F1288)+G1288)</f>
        <v/>
      </c>
      <c r="C1288" s="46" t="n">
        <v>124.8457399138149</v>
      </c>
      <c r="D1288" s="46" t="n">
        <v>335.031155202203</v>
      </c>
      <c r="E1288" s="46" t="n">
        <v>10.40708993849702</v>
      </c>
      <c r="F1288" s="46" t="n">
        <v>12.51505903033184</v>
      </c>
      <c r="G1288" s="46" t="n">
        <v>5.19858948940615</v>
      </c>
    </row>
    <row r="1289" ht="14" customHeight="1">
      <c r="A1289" s="22" t="n">
        <v>2006</v>
      </c>
      <c r="B1289" s="47">
        <f>((((C1289+D1289)+E1289)+F1289)+G1289)</f>
        <v/>
      </c>
      <c r="C1289" s="48" t="n">
        <v>104.2235278848404</v>
      </c>
      <c r="D1289" s="48" t="n">
        <v>299.2358165220257</v>
      </c>
      <c r="E1289" s="48" t="n">
        <v>14.49760919507597</v>
      </c>
      <c r="F1289" s="48" t="n">
        <v>12.42378028033184</v>
      </c>
      <c r="G1289" s="48" t="n">
        <v>5.27300548157363</v>
      </c>
    </row>
    <row r="1290" ht="14" customHeight="1">
      <c r="A1290" s="15" t="n">
        <v>2007</v>
      </c>
      <c r="B1290" s="45">
        <f>((((C1290+D1290)+E1290)+F1290)+G1290)</f>
        <v/>
      </c>
      <c r="C1290" s="46" t="n">
        <v>175.5147288329287</v>
      </c>
      <c r="D1290" s="46" t="n">
        <v>198.291554582876</v>
      </c>
      <c r="E1290" s="46" t="n">
        <v>12.9868068460835</v>
      </c>
      <c r="F1290" s="46" t="n">
        <v>16.26594001413797</v>
      </c>
      <c r="G1290" s="46" t="n">
        <v>4.37441430417847</v>
      </c>
    </row>
    <row r="1291" ht="14" customHeight="1">
      <c r="A1291" s="22" t="n">
        <v>2008</v>
      </c>
      <c r="B1291" s="47">
        <f>((((C1291+D1291)+E1291)+F1291)+G1291)</f>
        <v/>
      </c>
      <c r="C1291" s="48" t="n">
        <v>134.7487974368951</v>
      </c>
      <c r="D1291" s="48" t="n">
        <v>175.291878121428</v>
      </c>
      <c r="E1291" s="48" t="n">
        <v>9.245451166434909</v>
      </c>
      <c r="F1291" s="48" t="n">
        <v>14.17217275621926</v>
      </c>
      <c r="G1291" s="48" t="n">
        <v>4.49465644048103</v>
      </c>
    </row>
    <row r="1292" ht="14" customHeight="1">
      <c r="A1292" s="15" t="n">
        <v>2009</v>
      </c>
      <c r="B1292" s="45">
        <f>((((C1292+D1292)+E1292)+F1292)+G1292)</f>
        <v/>
      </c>
      <c r="C1292" s="46" t="n">
        <v>127.7593772206363</v>
      </c>
      <c r="D1292" s="46" t="n">
        <v>178.4246764980222</v>
      </c>
      <c r="E1292" s="46" t="n">
        <v>8.58729382013216</v>
      </c>
      <c r="F1292" s="46" t="n">
        <v>11.44245743823526</v>
      </c>
      <c r="G1292" s="46" t="n">
        <v>7.81264770710052</v>
      </c>
    </row>
    <row r="1293" ht="14" customHeight="1">
      <c r="A1293" s="22" t="n">
        <v>2010</v>
      </c>
      <c r="B1293" s="47">
        <f>((((C1293+D1293)+E1293)+F1293)+G1293)</f>
        <v/>
      </c>
      <c r="C1293" s="48" t="n">
        <v>100.3645754815271</v>
      </c>
      <c r="D1293" s="48" t="n">
        <v>169.5603825333218</v>
      </c>
      <c r="E1293" s="48" t="n">
        <v>10.22026899203518</v>
      </c>
      <c r="F1293" s="48" t="n">
        <v>15.25009196744076</v>
      </c>
      <c r="G1293" s="48" t="n">
        <v>5.56111660407362</v>
      </c>
    </row>
    <row r="1294" ht="14" customHeight="1">
      <c r="A1294" s="15" t="n">
        <v>2011</v>
      </c>
      <c r="B1294" s="45">
        <f>((((C1294+D1294)+E1294)+F1294)+G1294)</f>
        <v/>
      </c>
      <c r="C1294" s="46" t="n">
        <v>92.34977357224362</v>
      </c>
      <c r="D1294" s="46" t="n">
        <v>162.8501747711339</v>
      </c>
      <c r="E1294" s="46" t="n">
        <v>10.75943603965423</v>
      </c>
      <c r="F1294" s="46" t="n">
        <v>14.83764860203051</v>
      </c>
      <c r="G1294" s="46" t="n">
        <v>7.51015531009412</v>
      </c>
    </row>
    <row r="1295" ht="14" customHeight="1">
      <c r="A1295" s="22" t="n">
        <v>2012</v>
      </c>
      <c r="B1295" s="47">
        <f>((((C1295+D1295)+E1295)+F1295)+G1295)</f>
        <v/>
      </c>
      <c r="C1295" s="48" t="n">
        <v>87.28074678474366</v>
      </c>
      <c r="D1295" s="48" t="n">
        <v>166.9922819204094</v>
      </c>
      <c r="E1295" s="48" t="n">
        <v>8.440665086728611</v>
      </c>
      <c r="F1295" s="48" t="n">
        <v>14.85730412504265</v>
      </c>
      <c r="G1295" s="48" t="n">
        <v>5.27121450956206</v>
      </c>
    </row>
    <row r="1296" ht="14" customHeight="1">
      <c r="A1296" s="15" t="n">
        <v>2013</v>
      </c>
      <c r="B1296" s="45">
        <f>((((C1296+D1296)+E1296)+F1296)+G1296)</f>
        <v/>
      </c>
      <c r="C1296" s="46" t="n">
        <v>80.82068098233016</v>
      </c>
      <c r="D1296" s="46" t="n">
        <v>178.985624543772</v>
      </c>
      <c r="E1296" s="46" t="n">
        <v>9.33281706897737</v>
      </c>
      <c r="F1296" s="46" t="n">
        <v>20.42961041154442</v>
      </c>
      <c r="G1296" s="46" t="n">
        <v>4.91514274949556</v>
      </c>
    </row>
    <row r="1297" ht="14" customHeight="1">
      <c r="A1297" s="22" t="n">
        <v>2014</v>
      </c>
      <c r="B1297" s="47">
        <f>((((C1297+D1297)+E1297)+F1297)+G1297)</f>
        <v/>
      </c>
      <c r="C1297" s="48" t="n">
        <v>67.86317389892169</v>
      </c>
      <c r="D1297" s="48" t="n">
        <v>171.3517596647603</v>
      </c>
      <c r="E1297" s="48" t="n">
        <v>12.72204792164086</v>
      </c>
      <c r="F1297" s="48" t="n">
        <v>11.41454663640942</v>
      </c>
      <c r="G1297" s="48" t="n">
        <v>3.39184641278513</v>
      </c>
    </row>
    <row r="1298" ht="14" customHeight="1">
      <c r="A1298" s="15" t="n">
        <v>2015</v>
      </c>
      <c r="B1298" s="45">
        <f>((((C1298+D1298)+E1298)+F1298)+G1298)</f>
        <v/>
      </c>
      <c r="C1298" s="46" t="n">
        <v>66.05110073349869</v>
      </c>
      <c r="D1298" s="46" t="n">
        <v>170.7244590836377</v>
      </c>
      <c r="E1298" s="46" t="n">
        <v>15.96587668668023</v>
      </c>
      <c r="F1298" s="46" t="n">
        <v>13.65846524979171</v>
      </c>
      <c r="G1298" s="46" t="n">
        <v>6.44746399574897</v>
      </c>
    </row>
    <row r="1299" ht="14" customHeight="1">
      <c r="A1299" s="22" t="n">
        <v>2016</v>
      </c>
      <c r="B1299" s="47">
        <f>((((C1299+D1299)+E1299)+F1299)+G1299)</f>
        <v/>
      </c>
      <c r="C1299" s="48" t="n">
        <v>75.00631726890926</v>
      </c>
      <c r="D1299" s="48" t="n">
        <v>188.7491964994272</v>
      </c>
      <c r="E1299" s="48" t="n">
        <v>16.70042665029356</v>
      </c>
      <c r="F1299" s="48" t="n">
        <v>12.97049482968327</v>
      </c>
      <c r="G1299" s="48" t="n">
        <v>4.71518474730536</v>
      </c>
    </row>
    <row r="1300" ht="14" customHeight="1">
      <c r="A1300" s="15" t="n">
        <v>2017</v>
      </c>
      <c r="B1300" s="45">
        <f>((((C1300+D1300)+E1300)+F1300)+G1300)</f>
        <v/>
      </c>
      <c r="C1300" s="46" t="n">
        <v>112.2612099765152</v>
      </c>
      <c r="D1300" s="46" t="n">
        <v>199.307042711844</v>
      </c>
      <c r="E1300" s="46" t="n">
        <v>15.47935308948262</v>
      </c>
      <c r="F1300" s="46" t="n">
        <v>7.93320182968327</v>
      </c>
      <c r="G1300" s="46" t="n">
        <v>8.254606149733741</v>
      </c>
    </row>
    <row r="1301" ht="14" customHeight="1">
      <c r="A1301" s="22" t="n">
        <v>2018</v>
      </c>
      <c r="B1301" s="47">
        <f>((((C1301+D1301)+E1301)+F1301)+G1301)</f>
        <v/>
      </c>
      <c r="C1301" s="48" t="n">
        <v>83.03449791244952</v>
      </c>
      <c r="D1301" s="48" t="n">
        <v>176.4413861691251</v>
      </c>
      <c r="E1301" s="48" t="n">
        <v>21.09963238973356</v>
      </c>
      <c r="F1301" s="48" t="n">
        <v>12.17769182968327</v>
      </c>
      <c r="G1301" s="48" t="n">
        <v>7.06834992313074</v>
      </c>
    </row>
    <row r="1302" ht="14" customHeight="1">
      <c r="A1302" s="15" t="n">
        <v>2019</v>
      </c>
      <c r="B1302" s="45">
        <f>((((C1302+D1302)+E1302)+F1302)+G1302)</f>
        <v/>
      </c>
      <c r="C1302" s="46" t="n">
        <v>81.84283207806054</v>
      </c>
      <c r="D1302" s="46" t="n">
        <v>184.7178865495102</v>
      </c>
      <c r="E1302" s="46" t="n">
        <v>22.79658561140628</v>
      </c>
      <c r="F1302" s="46" t="n">
        <v>14.31267131023145</v>
      </c>
      <c r="G1302" s="46" t="n">
        <v>6.504660604304</v>
      </c>
    </row>
    <row r="1303" ht="14" customHeight="1">
      <c r="A1303" s="22" t="n">
        <v>2020</v>
      </c>
      <c r="B1303" s="47">
        <f>((((C1303+D1303)+E1303)+F1303)+G1303)</f>
        <v/>
      </c>
      <c r="C1303" s="48" t="n">
        <v>81.22627627606651</v>
      </c>
      <c r="D1303" s="48" t="n">
        <v>184.0645245030372</v>
      </c>
      <c r="E1303" s="48" t="n">
        <v>15.86226809073933</v>
      </c>
      <c r="F1303" s="48" t="n">
        <v>10.90525054489726</v>
      </c>
      <c r="G1303" s="48" t="n">
        <v>5.65690882874124</v>
      </c>
    </row>
    <row r="1304" ht="14" customHeight="1">
      <c r="A1304" s="15" t="n">
        <v>2021</v>
      </c>
      <c r="B1304" s="45">
        <f>((((C1304+D1304)+E1304)+F1304)+G1304)</f>
        <v/>
      </c>
      <c r="C1304" s="46" t="n">
        <v>93.60039578999809</v>
      </c>
      <c r="D1304" s="46" t="n">
        <v>190.9777410919158</v>
      </c>
      <c r="E1304" s="46" t="n">
        <v>20.98788930878024</v>
      </c>
      <c r="F1304" s="46" t="n">
        <v>14.46689811421859</v>
      </c>
      <c r="G1304" s="46" t="n">
        <v>6.72606584765916</v>
      </c>
    </row>
    <row r="1307">
      <c r="A1307" s="56" t="inlineStr">
        <is>
          <t>L4 · Annual deforested area  (thousand ha/yr)</t>
        </is>
      </c>
    </row>
    <row r="1308" ht="26" customHeight="1">
      <c r="A130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309" ht="24" customHeight="1">
      <c r="A1309" s="3" t="inlineStr">
        <is>
          <t>Derivation:  Value = -([forest to cropland]+[forest to grassland]+[forest to wetland]+[forest to settlement]+[forest to other land])</t>
        </is>
      </c>
    </row>
    <row r="1310" ht="42" customHeight="1">
      <c r="A1310" s="44" t="inlineStr">
        <is>
          <t>Year</t>
        </is>
      </c>
      <c r="B1310" s="44" t="inlineStr">
        <is>
          <t>Value</t>
        </is>
      </c>
      <c r="C1310" s="44" t="inlineStr">
        <is>
          <t>forest to cropland</t>
        </is>
      </c>
      <c r="D1310" s="44" t="inlineStr">
        <is>
          <t>forest to grassland</t>
        </is>
      </c>
      <c r="E1310" s="44" t="inlineStr">
        <is>
          <t>forest to wetland</t>
        </is>
      </c>
      <c r="F1310" s="44" t="inlineStr">
        <is>
          <t>forest to settlement</t>
        </is>
      </c>
      <c r="G1310" s="44" t="inlineStr">
        <is>
          <t>forest to other land</t>
        </is>
      </c>
    </row>
    <row r="1311" ht="14" customHeight="1">
      <c r="A1311" s="15" t="n">
        <v>2005</v>
      </c>
      <c r="B1311" s="45">
        <f>-((((C1311+D1311)+E1311)+F1311)+G1311)</f>
        <v/>
      </c>
      <c r="C1311" s="46" t="n">
        <v>33.31823936037565</v>
      </c>
      <c r="D1311" s="46" t="n">
        <v>40.91458494570012</v>
      </c>
      <c r="E1311" s="46" t="n">
        <v>5.83211218729248</v>
      </c>
      <c r="F1311" s="46" t="n">
        <v>43.86536522613505</v>
      </c>
      <c r="G1311" s="46" t="n">
        <v>2.01001572322963</v>
      </c>
    </row>
    <row r="1312" ht="14" customHeight="1">
      <c r="A1312" s="22" t="n">
        <v>2006</v>
      </c>
      <c r="B1312" s="47">
        <f>-((((C1312+D1312)+E1312)+F1312)+G1312)</f>
        <v/>
      </c>
      <c r="C1312" s="48" t="n">
        <v>31.68132636037565</v>
      </c>
      <c r="D1312" s="48" t="n">
        <v>41.68466762670013</v>
      </c>
      <c r="E1312" s="48" t="n">
        <v>6.83853888729248</v>
      </c>
      <c r="F1312" s="48" t="n">
        <v>45.75206272913506</v>
      </c>
      <c r="G1312" s="48" t="n">
        <v>3.83177839522963</v>
      </c>
    </row>
    <row r="1313" ht="14" customHeight="1">
      <c r="A1313" s="15" t="n">
        <v>2007</v>
      </c>
      <c r="B1313" s="45">
        <f>-((((C1313+D1313)+E1313)+F1313)+G1313)</f>
        <v/>
      </c>
      <c r="C1313" s="46" t="n">
        <v>23.24178654903808</v>
      </c>
      <c r="D1313" s="46" t="n">
        <v>49.06814466501591</v>
      </c>
      <c r="E1313" s="46" t="n">
        <v>10.09834812434793</v>
      </c>
      <c r="F1313" s="46" t="n">
        <v>52.58262388435481</v>
      </c>
      <c r="G1313" s="46" t="n">
        <v>3.55090218922963</v>
      </c>
    </row>
    <row r="1314" ht="14" customHeight="1">
      <c r="A1314" s="22" t="n">
        <v>2008</v>
      </c>
      <c r="B1314" s="47">
        <f>-((((C1314+D1314)+E1314)+F1314)+G1314)</f>
        <v/>
      </c>
      <c r="C1314" s="48" t="n">
        <v>22.34129389927489</v>
      </c>
      <c r="D1314" s="48" t="n">
        <v>39.05693493064337</v>
      </c>
      <c r="E1314" s="48" t="n">
        <v>11.67190877775451</v>
      </c>
      <c r="F1314" s="48" t="n">
        <v>47.23562425873794</v>
      </c>
      <c r="G1314" s="48" t="n">
        <v>2.43612462422963</v>
      </c>
    </row>
    <row r="1315" ht="14" customHeight="1">
      <c r="A1315" s="15" t="n">
        <v>2009</v>
      </c>
      <c r="B1315" s="45">
        <f>-((((C1315+D1315)+E1315)+F1315)+G1315)</f>
        <v/>
      </c>
      <c r="C1315" s="46" t="n">
        <v>23.88165042081853</v>
      </c>
      <c r="D1315" s="46" t="n">
        <v>37.7554405912693</v>
      </c>
      <c r="E1315" s="46" t="n">
        <v>10.40940343903053</v>
      </c>
      <c r="F1315" s="46" t="n">
        <v>50.78265784198327</v>
      </c>
      <c r="G1315" s="46" t="n">
        <v>4.65144438847288</v>
      </c>
    </row>
    <row r="1316" ht="14" customHeight="1">
      <c r="A1316" s="22" t="n">
        <v>2010</v>
      </c>
      <c r="B1316" s="47">
        <f>-((((C1316+D1316)+E1316)+F1316)+G1316)</f>
        <v/>
      </c>
      <c r="C1316" s="48" t="n">
        <v>21.48152509479357</v>
      </c>
      <c r="D1316" s="48" t="n">
        <v>43.56680358584407</v>
      </c>
      <c r="E1316" s="48" t="n">
        <v>15.13695022223169</v>
      </c>
      <c r="F1316" s="48" t="n">
        <v>46.92871380412031</v>
      </c>
      <c r="G1316" s="48" t="n">
        <v>5.58255201713955</v>
      </c>
    </row>
    <row r="1317" ht="14" customHeight="1">
      <c r="A1317" s="15" t="n">
        <v>2011</v>
      </c>
      <c r="B1317" s="45">
        <f>-((((C1317+D1317)+E1317)+F1317)+G1317)</f>
        <v/>
      </c>
      <c r="C1317" s="46" t="n">
        <v>23.15909917548037</v>
      </c>
      <c r="D1317" s="46" t="n">
        <v>36.56550300679497</v>
      </c>
      <c r="E1317" s="46" t="n">
        <v>7.479606132571931</v>
      </c>
      <c r="F1317" s="46" t="n">
        <v>43.18636943480357</v>
      </c>
      <c r="G1317" s="46" t="n">
        <v>2.34414407813955</v>
      </c>
    </row>
    <row r="1318" ht="14" customHeight="1">
      <c r="A1318" s="22" t="n">
        <v>2012</v>
      </c>
      <c r="B1318" s="47">
        <f>-((((C1318+D1318)+E1318)+F1318)+G1318)</f>
        <v/>
      </c>
      <c r="C1318" s="48" t="n">
        <v>20.78182851112642</v>
      </c>
      <c r="D1318" s="48" t="n">
        <v>33.48094202959565</v>
      </c>
      <c r="E1318" s="48" t="n">
        <v>9.635733189001931</v>
      </c>
      <c r="F1318" s="48" t="n">
        <v>44.09905999181383</v>
      </c>
      <c r="G1318" s="48" t="n">
        <v>2.29249813653955</v>
      </c>
    </row>
    <row r="1319" ht="14" customHeight="1">
      <c r="A1319" s="15" t="n">
        <v>2013</v>
      </c>
      <c r="B1319" s="45">
        <f>-((((C1319+D1319)+E1319)+F1319)+G1319)</f>
        <v/>
      </c>
      <c r="C1319" s="46" t="n">
        <v>28.13310237089014</v>
      </c>
      <c r="D1319" s="46" t="n">
        <v>60.17551253266059</v>
      </c>
      <c r="E1319" s="46" t="n">
        <v>7.434351107334139</v>
      </c>
      <c r="F1319" s="46" t="n">
        <v>43.75494823576674</v>
      </c>
      <c r="G1319" s="46" t="n">
        <v>2.20956598713955</v>
      </c>
    </row>
    <row r="1320" ht="14" customHeight="1">
      <c r="A1320" s="22" t="n">
        <v>2014</v>
      </c>
      <c r="B1320" s="47">
        <f>-((((C1320+D1320)+E1320)+F1320)+G1320)</f>
        <v/>
      </c>
      <c r="C1320" s="48" t="n">
        <v>24.8412717581328</v>
      </c>
      <c r="D1320" s="48" t="n">
        <v>42.64301042664288</v>
      </c>
      <c r="E1320" s="48" t="n">
        <v>8.563736607354141</v>
      </c>
      <c r="F1320" s="48" t="n">
        <v>46.77923030254171</v>
      </c>
      <c r="G1320" s="48" t="n">
        <v>2.31243621513955</v>
      </c>
    </row>
    <row r="1321" ht="14" customHeight="1">
      <c r="A1321" s="15" t="n">
        <v>2015</v>
      </c>
      <c r="B1321" s="45">
        <f>-((((C1321+D1321)+E1321)+F1321)+G1321)</f>
        <v/>
      </c>
      <c r="C1321" s="46" t="n">
        <v>27.79247360892223</v>
      </c>
      <c r="D1321" s="46" t="n">
        <v>39.76131971047198</v>
      </c>
      <c r="E1321" s="46" t="n">
        <v>7.85383260735414</v>
      </c>
      <c r="F1321" s="46" t="n">
        <v>44.40546495092325</v>
      </c>
      <c r="G1321" s="46" t="n">
        <v>1.95123638113955</v>
      </c>
    </row>
    <row r="1322" ht="14" customHeight="1">
      <c r="A1322" s="22" t="n">
        <v>2016</v>
      </c>
      <c r="B1322" s="47">
        <f>-((((C1322+D1322)+E1322)+F1322)+G1322)</f>
        <v/>
      </c>
      <c r="C1322" s="48" t="n">
        <v>27.51862577792783</v>
      </c>
      <c r="D1322" s="48" t="n">
        <v>41.40109378265352</v>
      </c>
      <c r="E1322" s="48" t="n">
        <v>14.19424278357167</v>
      </c>
      <c r="F1322" s="48" t="n">
        <v>57.93372372065008</v>
      </c>
      <c r="G1322" s="48" t="n">
        <v>2.39558251588622</v>
      </c>
    </row>
    <row r="1323" ht="14" customHeight="1">
      <c r="A1323" s="15" t="n">
        <v>2017</v>
      </c>
      <c r="B1323" s="45">
        <f>-((((C1323+D1323)+E1323)+F1323)+G1323)</f>
        <v/>
      </c>
      <c r="C1323" s="46" t="n">
        <v>26.33429216172984</v>
      </c>
      <c r="D1323" s="46" t="n">
        <v>35.72545156989543</v>
      </c>
      <c r="E1323" s="46" t="n">
        <v>12.06280804413167</v>
      </c>
      <c r="F1323" s="46" t="n">
        <v>41.87043673702617</v>
      </c>
      <c r="G1323" s="46" t="n">
        <v>3.13267473058622</v>
      </c>
    </row>
    <row r="1324" ht="14" customHeight="1">
      <c r="A1324" s="22" t="n">
        <v>2018</v>
      </c>
      <c r="B1324" s="47">
        <f>-((((C1324+D1324)+E1324)+F1324)+G1324)</f>
        <v/>
      </c>
      <c r="C1324" s="48" t="n">
        <v>26.45795511016461</v>
      </c>
      <c r="D1324" s="48" t="n">
        <v>35.40580701590129</v>
      </c>
      <c r="E1324" s="48" t="n">
        <v>2.98851838482167</v>
      </c>
      <c r="F1324" s="48" t="n">
        <v>44.66378209198547</v>
      </c>
      <c r="G1324" s="48" t="n">
        <v>5.67399812142622</v>
      </c>
    </row>
    <row r="1325" ht="14" customHeight="1">
      <c r="A1325" s="15" t="n">
        <v>2019</v>
      </c>
      <c r="B1325" s="45">
        <f>-((((C1325+D1325)+E1325)+F1325)+G1325)</f>
        <v/>
      </c>
      <c r="C1325" s="46" t="n">
        <v>26.44900865330473</v>
      </c>
      <c r="D1325" s="46" t="n">
        <v>34.63834915782034</v>
      </c>
      <c r="E1325" s="46" t="n">
        <v>4.10722546957167</v>
      </c>
      <c r="F1325" s="46" t="n">
        <v>44.48522610706291</v>
      </c>
      <c r="G1325" s="46" t="n">
        <v>4.30389351088622</v>
      </c>
    </row>
    <row r="1326" ht="14" customHeight="1">
      <c r="A1326" s="22" t="n">
        <v>2020</v>
      </c>
      <c r="B1326" s="47">
        <f>-((((C1326+D1326)+E1326)+F1326)+G1326)</f>
        <v/>
      </c>
      <c r="C1326" s="48" t="n">
        <v>26.55596363234225</v>
      </c>
      <c r="D1326" s="48" t="n">
        <v>34.53647599348453</v>
      </c>
      <c r="E1326" s="48" t="n">
        <v>4.50254491385167</v>
      </c>
      <c r="F1326" s="48" t="n">
        <v>42.87064908966964</v>
      </c>
      <c r="G1326" s="48" t="n">
        <v>4.45248942888622</v>
      </c>
    </row>
    <row r="1327" ht="14" customHeight="1">
      <c r="A1327" s="15" t="n">
        <v>2021</v>
      </c>
      <c r="B1327" s="45">
        <f>-((((C1327+D1327)+E1327)+F1327)+G1327)</f>
        <v/>
      </c>
      <c r="C1327" s="46" t="n">
        <v>26.37885600164519</v>
      </c>
      <c r="D1327" s="46" t="n">
        <v>35.36807225047758</v>
      </c>
      <c r="E1327" s="46" t="n">
        <v>4.31556212301857</v>
      </c>
      <c r="F1327" s="46" t="n">
        <v>44.15901247931788</v>
      </c>
      <c r="G1327" s="46" t="n">
        <v>4.308445753454859</v>
      </c>
    </row>
    <row r="1330">
      <c r="A1330" s="56" t="inlineStr">
        <is>
          <t>L5 · Annual settlement area increase (net land take proxy)  (thousand ha/yr)</t>
        </is>
      </c>
    </row>
    <row r="1331" ht="26" customHeight="1">
      <c r="A1331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332" ht="24" customHeight="1">
      <c r="A1332" s="3" t="inlineStr">
        <is>
          <t>Derivation:  Value = [Settlement area (kha)] - [Settlement area, previous year (kha)]</t>
        </is>
      </c>
    </row>
    <row r="1333" ht="42" customHeight="1">
      <c r="A1333" s="44" t="inlineStr">
        <is>
          <t>Year</t>
        </is>
      </c>
      <c r="B1333" s="44" t="inlineStr">
        <is>
          <t>Value</t>
        </is>
      </c>
      <c r="C1333" s="44" t="inlineStr">
        <is>
          <t>Settlement area (kha)</t>
        </is>
      </c>
      <c r="D1333" s="44" t="inlineStr">
        <is>
          <t>Settlement area, previous year (kha)</t>
        </is>
      </c>
    </row>
    <row r="1334" ht="14" customHeight="1">
      <c r="A1334" s="15" t="n">
        <v>2006</v>
      </c>
      <c r="B1334" s="45">
        <f>(C1334-D1334)</f>
        <v/>
      </c>
      <c r="C1334" s="46" t="n">
        <v>25279.94748543757</v>
      </c>
      <c r="D1334" s="46" t="n">
        <v>24878.7542729925</v>
      </c>
    </row>
    <row r="1335" ht="14" customHeight="1">
      <c r="A1335" s="22" t="n">
        <v>2007</v>
      </c>
      <c r="B1335" s="47">
        <f>(C1335-D1335)</f>
        <v/>
      </c>
      <c r="C1335" s="48" t="n">
        <v>25511.8782090799</v>
      </c>
      <c r="D1335" s="48" t="n">
        <v>25279.94748543757</v>
      </c>
    </row>
    <row r="1336" ht="14" customHeight="1">
      <c r="A1336" s="15" t="n">
        <v>2008</v>
      </c>
      <c r="B1336" s="45">
        <f>(C1336-D1336)</f>
        <v/>
      </c>
      <c r="C1336" s="46" t="n">
        <v>25737.73454864966</v>
      </c>
      <c r="D1336" s="46" t="n">
        <v>25511.8782090799</v>
      </c>
    </row>
    <row r="1337" ht="14" customHeight="1">
      <c r="A1337" s="22" t="n">
        <v>2009</v>
      </c>
      <c r="B1337" s="47">
        <f>(C1337-D1337)</f>
        <v/>
      </c>
      <c r="C1337" s="48" t="n">
        <v>25974.29288834941</v>
      </c>
      <c r="D1337" s="48" t="n">
        <v>25737.73454864966</v>
      </c>
    </row>
    <row r="1338" ht="14" customHeight="1">
      <c r="A1338" s="15" t="n">
        <v>2010</v>
      </c>
      <c r="B1338" s="45">
        <f>(C1338-D1338)</f>
        <v/>
      </c>
      <c r="C1338" s="46" t="n">
        <v>26206.30589838674</v>
      </c>
      <c r="D1338" s="46" t="n">
        <v>25974.29288834941</v>
      </c>
    </row>
    <row r="1339" ht="14" customHeight="1">
      <c r="A1339" s="22" t="n">
        <v>2011</v>
      </c>
      <c r="B1339" s="47">
        <f>(C1339-D1339)</f>
        <v/>
      </c>
      <c r="C1339" s="48" t="n">
        <v>26434.75645874977</v>
      </c>
      <c r="D1339" s="48" t="n">
        <v>26206.30589838674</v>
      </c>
    </row>
    <row r="1340" ht="14" customHeight="1">
      <c r="A1340" s="15" t="n">
        <v>2012</v>
      </c>
      <c r="B1340" s="45">
        <f>(C1340-D1340)</f>
        <v/>
      </c>
      <c r="C1340" s="46" t="n">
        <v>26666.69741316396</v>
      </c>
      <c r="D1340" s="46" t="n">
        <v>26434.75645874977</v>
      </c>
    </row>
    <row r="1341" ht="14" customHeight="1">
      <c r="A1341" s="22" t="n">
        <v>2013</v>
      </c>
      <c r="B1341" s="47">
        <f>(C1341-D1341)</f>
        <v/>
      </c>
      <c r="C1341" s="48" t="n">
        <v>26822.58751502742</v>
      </c>
      <c r="D1341" s="48" t="n">
        <v>26666.69741316396</v>
      </c>
    </row>
    <row r="1342" ht="14" customHeight="1">
      <c r="A1342" s="15" t="n">
        <v>2014</v>
      </c>
      <c r="B1342" s="45">
        <f>(C1342-D1342)</f>
        <v/>
      </c>
      <c r="C1342" s="46" t="n">
        <v>27087.87863446456</v>
      </c>
      <c r="D1342" s="46" t="n">
        <v>26822.58751502742</v>
      </c>
    </row>
    <row r="1343" ht="14" customHeight="1">
      <c r="A1343" s="22" t="n">
        <v>2015</v>
      </c>
      <c r="B1343" s="47">
        <f>(C1343-D1343)</f>
        <v/>
      </c>
      <c r="C1343" s="48" t="n">
        <v>27213.45532857413</v>
      </c>
      <c r="D1343" s="48" t="n">
        <v>27087.87863446456</v>
      </c>
    </row>
    <row r="1344" ht="14" customHeight="1">
      <c r="A1344" s="15" t="n">
        <v>2016</v>
      </c>
      <c r="B1344" s="45">
        <f>(C1344-D1344)</f>
        <v/>
      </c>
      <c r="C1344" s="46" t="n">
        <v>27392.64175329337</v>
      </c>
      <c r="D1344" s="46" t="n">
        <v>27213.45532857413</v>
      </c>
    </row>
    <row r="1345" ht="14" customHeight="1">
      <c r="A1345" s="22" t="n">
        <v>2017</v>
      </c>
      <c r="B1345" s="47">
        <f>(C1345-D1345)</f>
        <v/>
      </c>
      <c r="C1345" s="48" t="n">
        <v>27534.10664487698</v>
      </c>
      <c r="D1345" s="48" t="n">
        <v>27392.64175329337</v>
      </c>
    </row>
    <row r="1346" ht="14" customHeight="1">
      <c r="A1346" s="15" t="n">
        <v>2018</v>
      </c>
      <c r="B1346" s="45">
        <f>(C1346-D1346)</f>
        <v/>
      </c>
      <c r="C1346" s="46" t="n">
        <v>27698.43758659644</v>
      </c>
      <c r="D1346" s="46" t="n">
        <v>27534.10664487698</v>
      </c>
    </row>
    <row r="1347" ht="14" customHeight="1">
      <c r="A1347" s="22" t="n">
        <v>2019</v>
      </c>
      <c r="B1347" s="47">
        <f>(C1347-D1347)</f>
        <v/>
      </c>
      <c r="C1347" s="48" t="n">
        <v>27847.68846691411</v>
      </c>
      <c r="D1347" s="48" t="n">
        <v>27698.43758659644</v>
      </c>
    </row>
    <row r="1348" ht="14" customHeight="1">
      <c r="A1348" s="15" t="n">
        <v>2020</v>
      </c>
      <c r="B1348" s="45">
        <f>(C1348-D1348)</f>
        <v/>
      </c>
      <c r="C1348" s="46" t="n">
        <v>28005.23083095874</v>
      </c>
      <c r="D1348" s="46" t="n">
        <v>27847.68846691411</v>
      </c>
    </row>
    <row r="1349" ht="14" customHeight="1">
      <c r="A1349" s="22" t="n">
        <v>2021</v>
      </c>
      <c r="B1349" s="47">
        <f>(C1349-D1349)</f>
        <v/>
      </c>
      <c r="C1349" s="48" t="n">
        <v>28147.40052927921</v>
      </c>
      <c r="D1349" s="48" t="n">
        <v>28005.23083095874</v>
      </c>
    </row>
    <row r="1352">
      <c r="A1352" s="56" t="inlineStr">
        <is>
          <t>L6 · Forest land living-biomass carbon sink  (Mt CO₂eq)</t>
        </is>
      </c>
    </row>
    <row r="1353" ht="26" customHeight="1">
      <c r="A135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354" ht="24" customHeight="1">
      <c r="A1354" s="3" t="inlineStr">
        <is>
          <t>Derivation:  Value = IF(A &gt;= 2022, ROUND([Report baseline 2021 (Mt CO₂eq)] * [env_air_gge CRF4A] / [Live source at 2021 (same basis as the columns left)], 1), ([Carbon stock gain in living biomass]+[Carbon stock loss in living biomass]) * 0.003664)</t>
        </is>
      </c>
    </row>
    <row r="1355" ht="42" customHeight="1">
      <c r="A1355" s="44" t="inlineStr">
        <is>
          <t>Year</t>
        </is>
      </c>
      <c r="B1355" s="44" t="inlineStr">
        <is>
          <t>Value</t>
        </is>
      </c>
      <c r="C1355" s="44" t="inlineStr">
        <is>
          <t>Carbon stock gain in living biomass</t>
        </is>
      </c>
      <c r="D1355" s="44" t="inlineStr">
        <is>
          <t>Carbon stock loss in living biomass</t>
        </is>
      </c>
      <c r="E1355" s="44" t="inlineStr">
        <is>
          <t>env_air_gge CRF4A</t>
        </is>
      </c>
      <c r="F1355" s="44" t="inlineStr">
        <is>
          <t>Report baseline 2021 (Mt CO₂eq)</t>
        </is>
      </c>
      <c r="G1355" s="44" t="inlineStr">
        <is>
          <t>Live source at 2021 (same basis as the columns left)</t>
        </is>
      </c>
    </row>
    <row r="1356" ht="14" customHeight="1">
      <c r="A1356" s="15" t="n">
        <v>2005</v>
      </c>
      <c r="B1356" s="45">
        <f>IF((A1356&gt;=2022),ROUND(((F1356*E1356)/G1356),1),((C1356+D1356)*0.003664))</f>
        <v/>
      </c>
      <c r="C1356" s="46" t="n">
        <v>207379.8132773199</v>
      </c>
      <c r="D1356" s="46" t="n">
        <v>-108647.4672517596</v>
      </c>
      <c r="E1356" s="46" t="n"/>
      <c r="F1356" s="46" t="n"/>
      <c r="G1356" s="46" t="n"/>
    </row>
    <row r="1357" ht="14" customHeight="1">
      <c r="A1357" s="22" t="n">
        <v>2006</v>
      </c>
      <c r="B1357" s="47">
        <f>IF((A1357&gt;=2022),ROUND(((F1357*E1357)/G1357),1),((C1357+D1357)*0.003664))</f>
        <v/>
      </c>
      <c r="C1357" s="48" t="n">
        <v>206916.6342726697</v>
      </c>
      <c r="D1357" s="48" t="n">
        <v>-109615.2832467052</v>
      </c>
      <c r="E1357" s="48" t="n"/>
      <c r="F1357" s="48" t="n"/>
      <c r="G1357" s="48" t="n"/>
    </row>
    <row r="1358" ht="14" customHeight="1">
      <c r="A1358" s="15" t="n">
        <v>2007</v>
      </c>
      <c r="B1358" s="45">
        <f>IF((A1358&gt;=2022),ROUND(((F1358*E1358)/G1358),1),((C1358+D1358)*0.003664))</f>
        <v/>
      </c>
      <c r="C1358" s="46" t="n">
        <v>206146.0255351207</v>
      </c>
      <c r="D1358" s="46" t="n">
        <v>-118877.2328007463</v>
      </c>
      <c r="E1358" s="46" t="n"/>
      <c r="F1358" s="46" t="n"/>
      <c r="G1358" s="46" t="n"/>
    </row>
    <row r="1359" ht="14" customHeight="1">
      <c r="A1359" s="22" t="n">
        <v>2008</v>
      </c>
      <c r="B1359" s="47">
        <f>IF((A1359&gt;=2022),ROUND(((F1359*E1359)/G1359),1),((C1359+D1359)*0.003664))</f>
        <v/>
      </c>
      <c r="C1359" s="48" t="n">
        <v>218343.4324759636</v>
      </c>
      <c r="D1359" s="48" t="n">
        <v>-111331.8908057094</v>
      </c>
      <c r="E1359" s="48" t="n"/>
      <c r="F1359" s="48" t="n"/>
      <c r="G1359" s="48" t="n"/>
    </row>
    <row r="1360" ht="14" customHeight="1">
      <c r="A1360" s="15" t="n">
        <v>2009</v>
      </c>
      <c r="B1360" s="45">
        <f>IF((A1360&gt;=2022),ROUND(((F1360*E1360)/G1360),1),((C1360+D1360)*0.003664))</f>
        <v/>
      </c>
      <c r="C1360" s="46" t="n">
        <v>220287.8026072701</v>
      </c>
      <c r="D1360" s="46" t="n">
        <v>-111815.4305960167</v>
      </c>
      <c r="E1360" s="46" t="n"/>
      <c r="F1360" s="46" t="n"/>
      <c r="G1360" s="46" t="n"/>
    </row>
    <row r="1361" ht="14" customHeight="1">
      <c r="A1361" s="22" t="n">
        <v>2010</v>
      </c>
      <c r="B1361" s="47">
        <f>IF((A1361&gt;=2022),ROUND(((F1361*E1361)/G1361),1),((C1361+D1361)*0.003664))</f>
        <v/>
      </c>
      <c r="C1361" s="48" t="n">
        <v>219703.9830732426</v>
      </c>
      <c r="D1361" s="48" t="n">
        <v>-113516.9416650466</v>
      </c>
      <c r="E1361" s="48" t="n"/>
      <c r="F1361" s="48" t="n"/>
      <c r="G1361" s="48" t="n"/>
    </row>
    <row r="1362" ht="14" customHeight="1">
      <c r="A1362" s="15" t="n">
        <v>2011</v>
      </c>
      <c r="B1362" s="45">
        <f>IF((A1362&gt;=2022),ROUND(((F1362*E1362)/G1362),1),((C1362+D1362)*0.003664))</f>
        <v/>
      </c>
      <c r="C1362" s="46" t="n">
        <v>219467.8846049077</v>
      </c>
      <c r="D1362" s="46" t="n">
        <v>-115631.1785442941</v>
      </c>
      <c r="E1362" s="46" t="n"/>
      <c r="F1362" s="46" t="n"/>
      <c r="G1362" s="46" t="n"/>
    </row>
    <row r="1363" ht="14" customHeight="1">
      <c r="A1363" s="22" t="n">
        <v>2012</v>
      </c>
      <c r="B1363" s="47">
        <f>IF((A1363&gt;=2022),ROUND(((F1363*E1363)/G1363),1),((C1363+D1363)*0.003664))</f>
        <v/>
      </c>
      <c r="C1363" s="48" t="n">
        <v>219573.0602329362</v>
      </c>
      <c r="D1363" s="48" t="n">
        <v>-115119.9142167146</v>
      </c>
      <c r="E1363" s="48" t="n"/>
      <c r="F1363" s="48" t="n"/>
      <c r="G1363" s="48" t="n"/>
    </row>
    <row r="1364" ht="14" customHeight="1">
      <c r="A1364" s="15" t="n">
        <v>2013</v>
      </c>
      <c r="B1364" s="45">
        <f>IF((A1364&gt;=2022),ROUND(((F1364*E1364)/G1364),1),((C1364+D1364)*0.003664))</f>
        <v/>
      </c>
      <c r="C1364" s="46" t="n">
        <v>219562.6129285752</v>
      </c>
      <c r="D1364" s="46" t="n">
        <v>-112829.1262625964</v>
      </c>
      <c r="E1364" s="46" t="n"/>
      <c r="F1364" s="46" t="n"/>
      <c r="G1364" s="46" t="n"/>
    </row>
    <row r="1365" ht="14" customHeight="1">
      <c r="A1365" s="22" t="n">
        <v>2014</v>
      </c>
      <c r="B1365" s="47">
        <f>IF((A1365&gt;=2022),ROUND(((F1365*E1365)/G1365),1),((C1365+D1365)*0.003664))</f>
        <v/>
      </c>
      <c r="C1365" s="48" t="n">
        <v>216997.7891821671</v>
      </c>
      <c r="D1365" s="48" t="n">
        <v>-118203.6520073728</v>
      </c>
      <c r="E1365" s="48" t="n"/>
      <c r="F1365" s="48" t="n"/>
      <c r="G1365" s="48" t="n"/>
    </row>
    <row r="1366" ht="14" customHeight="1">
      <c r="A1366" s="15" t="n">
        <v>2015</v>
      </c>
      <c r="B1366" s="45">
        <f>IF((A1366&gt;=2022),ROUND(((F1366*E1366)/G1366),1),((C1366+D1366)*0.003664))</f>
        <v/>
      </c>
      <c r="C1366" s="46" t="n">
        <v>213886.8459289117</v>
      </c>
      <c r="D1366" s="46" t="n">
        <v>-120294.1172633766</v>
      </c>
      <c r="E1366" s="46" t="n"/>
      <c r="F1366" s="46" t="n"/>
      <c r="G1366" s="46" t="n"/>
    </row>
    <row r="1367" ht="14" customHeight="1">
      <c r="A1367" s="22" t="n">
        <v>2016</v>
      </c>
      <c r="B1367" s="47">
        <f>IF((A1367&gt;=2022),ROUND(((F1367*E1367)/G1367),1),((C1367+D1367)*0.003664))</f>
        <v/>
      </c>
      <c r="C1367" s="48" t="n">
        <v>216230.8909257157</v>
      </c>
      <c r="D1367" s="48" t="n">
        <v>-124158.3386760134</v>
      </c>
      <c r="E1367" s="48" t="n"/>
      <c r="F1367" s="48" t="n"/>
      <c r="G1367" s="48" t="n"/>
    </row>
    <row r="1368" ht="14" customHeight="1">
      <c r="A1368" s="15" t="n">
        <v>2017</v>
      </c>
      <c r="B1368" s="45">
        <f>IF((A1368&gt;=2022),ROUND(((F1368*E1368)/G1368),1),((C1368+D1368)*0.003664))</f>
        <v/>
      </c>
      <c r="C1368" s="46" t="n">
        <v>212622.7923346734</v>
      </c>
      <c r="D1368" s="46" t="n">
        <v>-134132.3124979317</v>
      </c>
      <c r="E1368" s="46" t="n"/>
      <c r="F1368" s="46" t="n"/>
      <c r="G1368" s="46" t="n"/>
    </row>
    <row r="1369" ht="14" customHeight="1">
      <c r="A1369" s="22" t="n">
        <v>2018</v>
      </c>
      <c r="B1369" s="47">
        <f>IF((A1369&gt;=2022),ROUND(((F1369*E1369)/G1369),1),((C1369+D1369)*0.003664))</f>
        <v/>
      </c>
      <c r="C1369" s="48" t="n">
        <v>210749.7858134234</v>
      </c>
      <c r="D1369" s="48" t="n">
        <v>-137835.9901411061</v>
      </c>
      <c r="E1369" s="48" t="n"/>
      <c r="F1369" s="48" t="n"/>
      <c r="G1369" s="48" t="n"/>
    </row>
    <row r="1370" ht="14" customHeight="1">
      <c r="A1370" s="15" t="n">
        <v>2019</v>
      </c>
      <c r="B1370" s="45">
        <f>IF((A1370&gt;=2022),ROUND(((F1370*E1370)/G1370),1),((C1370+D1370)*0.003664))</f>
        <v/>
      </c>
      <c r="C1370" s="46" t="n">
        <v>205781.4262134005</v>
      </c>
      <c r="D1370" s="46" t="n">
        <v>-138888.3265831124</v>
      </c>
      <c r="E1370" s="46" t="n"/>
      <c r="F1370" s="46" t="n"/>
      <c r="G1370" s="46" t="n"/>
    </row>
    <row r="1371" ht="14" customHeight="1">
      <c r="A1371" s="22" t="n">
        <v>2020</v>
      </c>
      <c r="B1371" s="47">
        <f>IF((A1371&gt;=2022),ROUND(((F1371*E1371)/G1371),1),((C1371+D1371)*0.003664))</f>
        <v/>
      </c>
      <c r="C1371" s="48" t="n">
        <v>205587.3657522208</v>
      </c>
      <c r="D1371" s="48" t="n">
        <v>-138253.0479172974</v>
      </c>
      <c r="E1371" s="48" t="n"/>
      <c r="F1371" s="48" t="n"/>
      <c r="G1371" s="48" t="n"/>
    </row>
    <row r="1372" ht="14" customHeight="1">
      <c r="A1372" s="15" t="n">
        <v>2021</v>
      </c>
      <c r="B1372" s="45">
        <f>IF((A1372&gt;=2022),ROUND(((F1372*E1372)/G1372),1),((C1372+D1372)*0.003664))</f>
        <v/>
      </c>
      <c r="C1372" s="46" t="n">
        <v>204988.0727520452</v>
      </c>
      <c r="D1372" s="46" t="n">
        <v>-141734.8538595825</v>
      </c>
      <c r="E1372" s="46" t="n"/>
      <c r="F1372" s="46" t="n"/>
      <c r="G1372" s="46" t="n"/>
    </row>
    <row r="1373" ht="14" customHeight="1">
      <c r="A1373" s="22" t="n">
        <v>2022</v>
      </c>
      <c r="B1373" s="47">
        <f>IF((A1373&gt;=2022),ROUND(((F1373*E1373)/G1373),1),((C1373+D1373)*0.003664))</f>
        <v/>
      </c>
      <c r="C1373" s="48" t="n"/>
      <c r="D1373" s="48" t="n"/>
      <c r="E1373" s="48" t="n">
        <v>-302.45655</v>
      </c>
      <c r="F1373" s="48" t="n">
        <v>231.8</v>
      </c>
      <c r="G1373" s="48" t="n">
        <v>-296.16285</v>
      </c>
    </row>
    <row r="1374" ht="14" customHeight="1">
      <c r="A1374" s="15" t="n">
        <v>2023</v>
      </c>
      <c r="B1374" s="45">
        <f>IF((A1374&gt;=2022),ROUND(((F1374*E1374)/G1374),1),((C1374+D1374)*0.003664))</f>
        <v/>
      </c>
      <c r="C1374" s="46" t="n"/>
      <c r="D1374" s="46" t="n"/>
      <c r="E1374" s="46" t="n">
        <v>-326.66099</v>
      </c>
      <c r="F1374" s="46" t="n">
        <v>231.8</v>
      </c>
      <c r="G1374" s="46" t="n">
        <v>-296.16285</v>
      </c>
    </row>
    <row r="1375" ht="14" customHeight="1">
      <c r="A1375" s="22" t="n">
        <v>2024</v>
      </c>
      <c r="B1375" s="47">
        <f>IF((A1375&gt;=2022),ROUND(((F1375*E1375)/G1375),1),((C1375+D1375)*0.003664))</f>
        <v/>
      </c>
      <c r="C1375" s="48" t="n"/>
      <c r="D1375" s="48" t="n"/>
      <c r="E1375" s="48" t="n">
        <v>-329.98746</v>
      </c>
      <c r="F1375" s="48" t="n">
        <v>231.8</v>
      </c>
      <c r="G1375" s="48" t="n">
        <v>-296.16285</v>
      </c>
    </row>
    <row r="1378">
      <c r="A1378" s="56" t="inlineStr">
        <is>
          <t>L7 · Non-forest LULUCF net GHG emissions  (Mt CO₂eq)</t>
        </is>
      </c>
    </row>
    <row r="1379" ht="26" customHeight="1">
      <c r="A137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380" ht="24" customHeight="1">
      <c r="A1380" s="3" t="inlineStr">
        <is>
          <t>Derivation:  Value = IF(A &gt;= 2022, ROUND(([env_air_gge CRF4B] + [env_air_gge CRF4C] + [env_air_gge CRF4D] + [env_air_gge CRF4E] + [env_air_gge CRF4F]), 1), ([4.B - Cropland]+[4.C - Grassland]+[4.D - Wetlands]+[4.E - Settlements]+[4.F - Other Land]+[4.H - Other LULUCF]) * 0.001)</t>
        </is>
      </c>
    </row>
    <row r="1381" ht="42" customHeight="1">
      <c r="A1381" s="44" t="inlineStr">
        <is>
          <t>Year</t>
        </is>
      </c>
      <c r="B1381" s="44" t="inlineStr">
        <is>
          <t>Value</t>
        </is>
      </c>
      <c r="C1381" s="44" t="inlineStr">
        <is>
          <t>4.B - Cropland</t>
        </is>
      </c>
      <c r="D1381" s="44" t="inlineStr">
        <is>
          <t>4.C - Grassland</t>
        </is>
      </c>
      <c r="E1381" s="44" t="inlineStr">
        <is>
          <t>4.D - Wetlands</t>
        </is>
      </c>
      <c r="F1381" s="44" t="inlineStr">
        <is>
          <t>4.E - Settlements</t>
        </is>
      </c>
      <c r="G1381" s="44" t="inlineStr">
        <is>
          <t>4.F - Other Land</t>
        </is>
      </c>
      <c r="H1381" s="44" t="inlineStr">
        <is>
          <t>4.H - Other LULUCF</t>
        </is>
      </c>
      <c r="I1381" s="44" t="inlineStr">
        <is>
          <t>env_air_gge CRF4B</t>
        </is>
      </c>
      <c r="J1381" s="44" t="inlineStr">
        <is>
          <t>env_air_gge CRF4C</t>
        </is>
      </c>
      <c r="K1381" s="44" t="inlineStr">
        <is>
          <t>env_air_gge CRF4D</t>
        </is>
      </c>
      <c r="L1381" s="44" t="inlineStr">
        <is>
          <t>env_air_gge CRF4E</t>
        </is>
      </c>
      <c r="M1381" s="44" t="inlineStr">
        <is>
          <t>env_air_gge CRF4F</t>
        </is>
      </c>
    </row>
    <row r="1382" ht="14" customHeight="1">
      <c r="A1382" s="15" t="n">
        <v>2005</v>
      </c>
      <c r="B1382" s="45">
        <f>IF((A1382&gt;=2022),ROUND(((((I1382+J1382)+K1382)+L1382)+M1382),1),((((((C1382+D1382)+E1382)+F1382)+G1382)+H1382)*0.001))</f>
        <v/>
      </c>
      <c r="C1382" s="46" t="n">
        <v>41885.53425752837</v>
      </c>
      <c r="D1382" s="46" t="n">
        <v>32510.71108131449</v>
      </c>
      <c r="E1382" s="46" t="n">
        <v>20342.63347867101</v>
      </c>
      <c r="F1382" s="46" t="n">
        <v>31372.47531632753</v>
      </c>
      <c r="G1382" s="46" t="n">
        <v>996.0482301247856</v>
      </c>
      <c r="H1382" s="46" t="n">
        <v>741.448671589</v>
      </c>
      <c r="I1382" s="46" t="n"/>
      <c r="J1382" s="46" t="n"/>
      <c r="K1382" s="46" t="n"/>
      <c r="L1382" s="46" t="n"/>
      <c r="M1382" s="46" t="n"/>
    </row>
    <row r="1383" ht="14" customHeight="1">
      <c r="A1383" s="22" t="n">
        <v>2006</v>
      </c>
      <c r="B1383" s="47">
        <f>IF((A1383&gt;=2022),ROUND(((((I1383+J1383)+K1383)+L1383)+M1383),1),((((((C1383+D1383)+E1383)+F1383)+G1383)+H1383)*0.001))</f>
        <v/>
      </c>
      <c r="C1383" s="48" t="n">
        <v>42292.71847651808</v>
      </c>
      <c r="D1383" s="48" t="n">
        <v>27337.3261531531</v>
      </c>
      <c r="E1383" s="48" t="n">
        <v>19996.68425504841</v>
      </c>
      <c r="F1383" s="48" t="n">
        <v>29132.04507132273</v>
      </c>
      <c r="G1383" s="48" t="n">
        <v>2406.758732125177</v>
      </c>
      <c r="H1383" s="48" t="n">
        <v>673.5702670200001</v>
      </c>
      <c r="I1383" s="48" t="n"/>
      <c r="J1383" s="48" t="n"/>
      <c r="K1383" s="48" t="n"/>
      <c r="L1383" s="48" t="n"/>
      <c r="M1383" s="48" t="n"/>
    </row>
    <row r="1384" ht="14" customHeight="1">
      <c r="A1384" s="15" t="n">
        <v>2007</v>
      </c>
      <c r="B1384" s="45">
        <f>IF((A1384&gt;=2022),ROUND(((((I1384+J1384)+K1384)+L1384)+M1384),1),((((((C1384+D1384)+E1384)+F1384)+G1384)+H1384)*0.001))</f>
        <v/>
      </c>
      <c r="C1384" s="46" t="n">
        <v>46325.95223374323</v>
      </c>
      <c r="D1384" s="46" t="n">
        <v>33798.48280035835</v>
      </c>
      <c r="E1384" s="46" t="n">
        <v>18814.03561608521</v>
      </c>
      <c r="F1384" s="46" t="n">
        <v>31382.47763486252</v>
      </c>
      <c r="G1384" s="46" t="n">
        <v>991.204401472444</v>
      </c>
      <c r="H1384" s="46" t="n">
        <v>618.7291145610001</v>
      </c>
      <c r="I1384" s="46" t="n"/>
      <c r="J1384" s="46" t="n"/>
      <c r="K1384" s="46" t="n"/>
      <c r="L1384" s="46" t="n"/>
      <c r="M1384" s="46" t="n"/>
    </row>
    <row r="1385" ht="14" customHeight="1">
      <c r="A1385" s="22" t="n">
        <v>2008</v>
      </c>
      <c r="B1385" s="47">
        <f>IF((A1385&gt;=2022),ROUND(((((I1385+J1385)+K1385)+L1385)+M1385),1),((((((C1385+D1385)+E1385)+F1385)+G1385)+H1385)*0.001))</f>
        <v/>
      </c>
      <c r="C1385" s="48" t="n">
        <v>47762.40103886886</v>
      </c>
      <c r="D1385" s="48" t="n">
        <v>31158.82576921384</v>
      </c>
      <c r="E1385" s="48" t="n">
        <v>19020.27565720151</v>
      </c>
      <c r="F1385" s="48" t="n">
        <v>31168.62671812822</v>
      </c>
      <c r="G1385" s="48" t="n">
        <v>1041.668919946932</v>
      </c>
      <c r="H1385" s="48" t="n">
        <v>574.0462698709999</v>
      </c>
      <c r="I1385" s="48" t="n"/>
      <c r="J1385" s="48" t="n"/>
      <c r="K1385" s="48" t="n"/>
      <c r="L1385" s="48" t="n"/>
      <c r="M1385" s="48" t="n"/>
    </row>
    <row r="1386" ht="14" customHeight="1">
      <c r="A1386" s="15" t="n">
        <v>2009</v>
      </c>
      <c r="B1386" s="45">
        <f>IF((A1386&gt;=2022),ROUND(((((I1386+J1386)+K1386)+L1386)+M1386),1),((((((C1386+D1386)+E1386)+F1386)+G1386)+H1386)*0.001))</f>
        <v/>
      </c>
      <c r="C1386" s="46" t="n">
        <v>46350.09970271496</v>
      </c>
      <c r="D1386" s="46" t="n">
        <v>32804.09480950376</v>
      </c>
      <c r="E1386" s="46" t="n">
        <v>18775.73437068779</v>
      </c>
      <c r="F1386" s="46" t="n">
        <v>31187.65999044619</v>
      </c>
      <c r="G1386" s="46" t="n">
        <v>1282.988906952395</v>
      </c>
      <c r="H1386" s="46" t="n">
        <v>537.2664758450001</v>
      </c>
      <c r="I1386" s="46" t="n"/>
      <c r="J1386" s="46" t="n"/>
      <c r="K1386" s="46" t="n"/>
      <c r="L1386" s="46" t="n"/>
      <c r="M1386" s="46" t="n"/>
    </row>
    <row r="1387" ht="14" customHeight="1">
      <c r="A1387" s="22" t="n">
        <v>2010</v>
      </c>
      <c r="B1387" s="47">
        <f>IF((A1387&gt;=2022),ROUND(((((I1387+J1387)+K1387)+L1387)+M1387),1),((((((C1387+D1387)+E1387)+F1387)+G1387)+H1387)*0.001))</f>
        <v/>
      </c>
      <c r="C1387" s="48" t="n">
        <v>36721.83150255705</v>
      </c>
      <c r="D1387" s="48" t="n">
        <v>31258.86063810398</v>
      </c>
      <c r="E1387" s="48" t="n">
        <v>20203.80607813424</v>
      </c>
      <c r="F1387" s="48" t="n">
        <v>27887.39176383215</v>
      </c>
      <c r="G1387" s="48" t="n">
        <v>1195.450924808085</v>
      </c>
      <c r="H1387" s="48" t="n">
        <v>506.7938481376</v>
      </c>
      <c r="I1387" s="48" t="n"/>
      <c r="J1387" s="48" t="n"/>
      <c r="K1387" s="48" t="n"/>
      <c r="L1387" s="48" t="n"/>
      <c r="M1387" s="48" t="n"/>
    </row>
    <row r="1388" ht="14" customHeight="1">
      <c r="A1388" s="15" t="n">
        <v>2011</v>
      </c>
      <c r="B1388" s="45">
        <f>IF((A1388&gt;=2022),ROUND(((((I1388+J1388)+K1388)+L1388)+M1388),1),((((((C1388+D1388)+E1388)+F1388)+G1388)+H1388)*0.001))</f>
        <v/>
      </c>
      <c r="C1388" s="46" t="n">
        <v>36216.02107721435</v>
      </c>
      <c r="D1388" s="46" t="n">
        <v>32793.28038378709</v>
      </c>
      <c r="E1388" s="46" t="n">
        <v>19884.20119229088</v>
      </c>
      <c r="F1388" s="46" t="n">
        <v>25402.42417670629</v>
      </c>
      <c r="G1388" s="46" t="n">
        <v>1104.582020437688</v>
      </c>
      <c r="H1388" s="46" t="n">
        <v>483.69278719</v>
      </c>
      <c r="I1388" s="46" t="n"/>
      <c r="J1388" s="46" t="n"/>
      <c r="K1388" s="46" t="n"/>
      <c r="L1388" s="46" t="n"/>
      <c r="M1388" s="46" t="n"/>
    </row>
    <row r="1389" ht="14" customHeight="1">
      <c r="A1389" s="22" t="n">
        <v>2012</v>
      </c>
      <c r="B1389" s="47">
        <f>IF((A1389&gt;=2022),ROUND(((((I1389+J1389)+K1389)+L1389)+M1389),1),((((((C1389+D1389)+E1389)+F1389)+G1389)+H1389)*0.001))</f>
        <v/>
      </c>
      <c r="C1389" s="48" t="n">
        <v>36317.39548750013</v>
      </c>
      <c r="D1389" s="48" t="n">
        <v>33714.56839464341</v>
      </c>
      <c r="E1389" s="48" t="n">
        <v>18656.85199674396</v>
      </c>
      <c r="F1389" s="48" t="n">
        <v>24349.69852581686</v>
      </c>
      <c r="G1389" s="48" t="n">
        <v>1129.46977280674</v>
      </c>
      <c r="H1389" s="48" t="n">
        <v>464.686148165</v>
      </c>
      <c r="I1389" s="48" t="n"/>
      <c r="J1389" s="48" t="n"/>
      <c r="K1389" s="48" t="n"/>
      <c r="L1389" s="48" t="n"/>
      <c r="M1389" s="48" t="n"/>
    </row>
    <row r="1390" ht="14" customHeight="1">
      <c r="A1390" s="15" t="n">
        <v>2013</v>
      </c>
      <c r="B1390" s="45">
        <f>IF((A1390&gt;=2022),ROUND(((((I1390+J1390)+K1390)+L1390)+M1390),1),((((((C1390+D1390)+E1390)+F1390)+G1390)+H1390)*0.001))</f>
        <v/>
      </c>
      <c r="C1390" s="46" t="n">
        <v>38971.12944807648</v>
      </c>
      <c r="D1390" s="46" t="n">
        <v>40699.15963587457</v>
      </c>
      <c r="E1390" s="46" t="n">
        <v>21154.75104807447</v>
      </c>
      <c r="F1390" s="46" t="n">
        <v>25666.8183585163</v>
      </c>
      <c r="G1390" s="46" t="n">
        <v>1084.039730474763</v>
      </c>
      <c r="H1390" s="46" t="n">
        <v>448.9723866126</v>
      </c>
      <c r="I1390" s="46" t="n"/>
      <c r="J1390" s="46" t="n"/>
      <c r="K1390" s="46" t="n"/>
      <c r="L1390" s="46" t="n"/>
      <c r="M1390" s="46" t="n"/>
    </row>
    <row r="1391" ht="14" customHeight="1">
      <c r="A1391" s="22" t="n">
        <v>2014</v>
      </c>
      <c r="B1391" s="47">
        <f>IF((A1391&gt;=2022),ROUND(((((I1391+J1391)+K1391)+L1391)+M1391),1),((((((C1391+D1391)+E1391)+F1391)+G1391)+H1391)*0.001))</f>
        <v/>
      </c>
      <c r="C1391" s="48" t="n">
        <v>36049.32332552515</v>
      </c>
      <c r="D1391" s="48" t="n">
        <v>23694.8825455224</v>
      </c>
      <c r="E1391" s="48" t="n">
        <v>20163.3243364918</v>
      </c>
      <c r="F1391" s="48" t="n">
        <v>26768.59169342736</v>
      </c>
      <c r="G1391" s="48" t="n">
        <v>1136.119442811357</v>
      </c>
      <c r="H1391" s="48" t="n">
        <v>435.927059493</v>
      </c>
      <c r="I1391" s="48" t="n"/>
      <c r="J1391" s="48" t="n"/>
      <c r="K1391" s="48" t="n"/>
      <c r="L1391" s="48" t="n"/>
      <c r="M1391" s="48" t="n"/>
    </row>
    <row r="1392" ht="14" customHeight="1">
      <c r="A1392" s="15" t="n">
        <v>2015</v>
      </c>
      <c r="B1392" s="45">
        <f>IF((A1392&gt;=2022),ROUND(((((I1392+J1392)+K1392)+L1392)+M1392),1),((((((C1392+D1392)+E1392)+F1392)+G1392)+H1392)*0.001))</f>
        <v/>
      </c>
      <c r="C1392" s="46" t="n">
        <v>30257.07408019602</v>
      </c>
      <c r="D1392" s="46" t="n">
        <v>21547.00293944589</v>
      </c>
      <c r="E1392" s="46" t="n">
        <v>22092.72679723136</v>
      </c>
      <c r="F1392" s="46" t="n">
        <v>27576.62073681327</v>
      </c>
      <c r="G1392" s="46" t="n">
        <v>1180.763064035405</v>
      </c>
      <c r="H1392" s="46" t="n">
        <v>425.1381658574</v>
      </c>
      <c r="I1392" s="46" t="n"/>
      <c r="J1392" s="46" t="n"/>
      <c r="K1392" s="46" t="n"/>
      <c r="L1392" s="46" t="n"/>
      <c r="M1392" s="46" t="n"/>
    </row>
    <row r="1393" ht="14" customHeight="1">
      <c r="A1393" s="22" t="n">
        <v>2016</v>
      </c>
      <c r="B1393" s="47">
        <f>IF((A1393&gt;=2022),ROUND(((((I1393+J1393)+K1393)+L1393)+M1393),1),((((((C1393+D1393)+E1393)+F1393)+G1393)+H1393)*0.001))</f>
        <v/>
      </c>
      <c r="C1393" s="48" t="n">
        <v>25855.2039899661</v>
      </c>
      <c r="D1393" s="48" t="n">
        <v>21169.80502123257</v>
      </c>
      <c r="E1393" s="48" t="n">
        <v>20224.48018239814</v>
      </c>
      <c r="F1393" s="48" t="n">
        <v>31537.09695079203</v>
      </c>
      <c r="G1393" s="48" t="n">
        <v>1154.72789249218</v>
      </c>
      <c r="H1393" s="48" t="n">
        <v>415.6123884053999</v>
      </c>
      <c r="I1393" s="48" t="n"/>
      <c r="J1393" s="48" t="n"/>
      <c r="K1393" s="48" t="n"/>
      <c r="L1393" s="48" t="n"/>
      <c r="M1393" s="48" t="n"/>
    </row>
    <row r="1394" ht="14" customHeight="1">
      <c r="A1394" s="15" t="n">
        <v>2017</v>
      </c>
      <c r="B1394" s="45">
        <f>IF((A1394&gt;=2022),ROUND(((((I1394+J1394)+K1394)+L1394)+M1394),1),((((((C1394+D1394)+E1394)+F1394)+G1394)+H1394)*0.001))</f>
        <v/>
      </c>
      <c r="C1394" s="46" t="n">
        <v>27354.58630304968</v>
      </c>
      <c r="D1394" s="46" t="n">
        <v>25072.84337739296</v>
      </c>
      <c r="E1394" s="46" t="n">
        <v>21688.3769685278</v>
      </c>
      <c r="F1394" s="46" t="n">
        <v>27604.46441605618</v>
      </c>
      <c r="G1394" s="46" t="n">
        <v>1165.208596127795</v>
      </c>
      <c r="H1394" s="46" t="n">
        <v>407.649855303</v>
      </c>
      <c r="I1394" s="46" t="n"/>
      <c r="J1394" s="46" t="n"/>
      <c r="K1394" s="46" t="n"/>
      <c r="L1394" s="46" t="n"/>
      <c r="M1394" s="46" t="n"/>
    </row>
    <row r="1395" ht="14" customHeight="1">
      <c r="A1395" s="22" t="n">
        <v>2018</v>
      </c>
      <c r="B1395" s="47">
        <f>IF((A1395&gt;=2022),ROUND(((((I1395+J1395)+K1395)+L1395)+M1395),1),((((((C1395+D1395)+E1395)+F1395)+G1395)+H1395)*0.001))</f>
        <v/>
      </c>
      <c r="C1395" s="48" t="n">
        <v>25495.21994768171</v>
      </c>
      <c r="D1395" s="48" t="n">
        <v>16449.56001501077</v>
      </c>
      <c r="E1395" s="48" t="n">
        <v>21436.10278885118</v>
      </c>
      <c r="F1395" s="48" t="n">
        <v>28513.4817810418</v>
      </c>
      <c r="G1395" s="48" t="n">
        <v>1706.347266419505</v>
      </c>
      <c r="H1395" s="48" t="n">
        <v>400.9797448954</v>
      </c>
      <c r="I1395" s="48" t="n"/>
      <c r="J1395" s="48" t="n"/>
      <c r="K1395" s="48" t="n"/>
      <c r="L1395" s="48" t="n"/>
      <c r="M1395" s="48" t="n"/>
    </row>
    <row r="1396" ht="14" customHeight="1">
      <c r="A1396" s="15" t="n">
        <v>2019</v>
      </c>
      <c r="B1396" s="45">
        <f>IF((A1396&gt;=2022),ROUND(((((I1396+J1396)+K1396)+L1396)+M1396),1),((((((C1396+D1396)+E1396)+F1396)+G1396)+H1396)*0.001))</f>
        <v/>
      </c>
      <c r="C1396" s="46" t="n">
        <v>21646.50313641412</v>
      </c>
      <c r="D1396" s="46" t="n">
        <v>18244.11219561336</v>
      </c>
      <c r="E1396" s="46" t="n">
        <v>20796.37730009013</v>
      </c>
      <c r="F1396" s="46" t="n">
        <v>27175.25161722646</v>
      </c>
      <c r="G1396" s="46" t="n">
        <v>1180.914747992109</v>
      </c>
      <c r="H1396" s="46" t="n">
        <v>395.448533892</v>
      </c>
      <c r="I1396" s="46" t="n"/>
      <c r="J1396" s="46" t="n"/>
      <c r="K1396" s="46" t="n"/>
      <c r="L1396" s="46" t="n"/>
      <c r="M1396" s="46" t="n"/>
    </row>
    <row r="1397" ht="14" customHeight="1">
      <c r="A1397" s="22" t="n">
        <v>2020</v>
      </c>
      <c r="B1397" s="47">
        <f>IF((A1397&gt;=2022),ROUND(((((I1397+J1397)+K1397)+L1397)+M1397),1),((((((C1397+D1397)+E1397)+F1397)+G1397)+H1397)*0.001))</f>
        <v/>
      </c>
      <c r="C1397" s="48" t="n">
        <v>22368.51151880113</v>
      </c>
      <c r="D1397" s="48" t="n">
        <v>18543.52960201591</v>
      </c>
      <c r="E1397" s="48" t="n">
        <v>21449.86892665799</v>
      </c>
      <c r="F1397" s="48" t="n">
        <v>27265.66564140092</v>
      </c>
      <c r="G1397" s="48" t="n">
        <v>1196.299958804059</v>
      </c>
      <c r="H1397" s="48" t="n">
        <v>390.8816272546</v>
      </c>
      <c r="I1397" s="48" t="n"/>
      <c r="J1397" s="48" t="n"/>
      <c r="K1397" s="48" t="n"/>
      <c r="L1397" s="48" t="n"/>
      <c r="M1397" s="48" t="n"/>
    </row>
    <row r="1398" ht="14" customHeight="1">
      <c r="A1398" s="15" t="n">
        <v>2021</v>
      </c>
      <c r="B1398" s="45">
        <f>IF((A1398&gt;=2022),ROUND(((((I1398+J1398)+K1398)+L1398)+M1398),1),((((((C1398+D1398)+E1398)+F1398)+G1398)+H1398)*0.001))</f>
        <v/>
      </c>
      <c r="C1398" s="46" t="n">
        <v>22646.39783576392</v>
      </c>
      <c r="D1398" s="46" t="n">
        <v>24955.05350112291</v>
      </c>
      <c r="E1398" s="46" t="n">
        <v>21269.811792639</v>
      </c>
      <c r="F1398" s="46" t="n">
        <v>26988.93925864455</v>
      </c>
      <c r="G1398" s="46" t="n">
        <v>1192.624582561036</v>
      </c>
      <c r="H1398" s="46" t="n">
        <v>387.93264465</v>
      </c>
      <c r="I1398" s="46" t="n"/>
      <c r="J1398" s="46" t="n"/>
      <c r="K1398" s="46" t="n"/>
      <c r="L1398" s="46" t="n"/>
      <c r="M1398" s="46" t="n"/>
    </row>
    <row r="1399" ht="14" customHeight="1">
      <c r="A1399" s="22" t="n">
        <v>2022</v>
      </c>
      <c r="B1399" s="47">
        <f>IF((A1399&gt;=2022),ROUND(((((I1399+J1399)+K1399)+L1399)+M1399),1),((((((C1399+D1399)+E1399)+F1399)+G1399)+H1399)*0.001))</f>
        <v/>
      </c>
      <c r="C1399" s="48" t="n"/>
      <c r="D1399" s="48" t="n"/>
      <c r="E1399" s="48" t="n"/>
      <c r="F1399" s="48" t="n"/>
      <c r="G1399" s="48" t="n"/>
      <c r="H1399" s="48" t="n"/>
      <c r="I1399" s="48" t="n">
        <v>48.81144</v>
      </c>
      <c r="J1399" s="48" t="n">
        <v>13.87313</v>
      </c>
      <c r="K1399" s="48" t="n">
        <v>24.99028</v>
      </c>
      <c r="L1399" s="48" t="n">
        <v>31.19317</v>
      </c>
      <c r="M1399" s="48" t="n">
        <v>2.15242</v>
      </c>
    </row>
    <row r="1400" ht="14" customHeight="1">
      <c r="A1400" s="15" t="n">
        <v>2023</v>
      </c>
      <c r="B1400" s="45">
        <f>IF((A1400&gt;=2022),ROUND(((((I1400+J1400)+K1400)+L1400)+M1400),1),((((((C1400+D1400)+E1400)+F1400)+G1400)+H1400)*0.001))</f>
        <v/>
      </c>
      <c r="C1400" s="46" t="n"/>
      <c r="D1400" s="46" t="n"/>
      <c r="E1400" s="46" t="n"/>
      <c r="F1400" s="46" t="n"/>
      <c r="G1400" s="46" t="n"/>
      <c r="H1400" s="46" t="n"/>
      <c r="I1400" s="46" t="n">
        <v>64.02566</v>
      </c>
      <c r="J1400" s="46" t="n">
        <v>6.01163</v>
      </c>
      <c r="K1400" s="46" t="n">
        <v>23.35143</v>
      </c>
      <c r="L1400" s="46" t="n">
        <v>40.4274</v>
      </c>
      <c r="M1400" s="46" t="n">
        <v>1.83318</v>
      </c>
    </row>
    <row r="1401" ht="14" customHeight="1">
      <c r="A1401" s="22" t="n">
        <v>2024</v>
      </c>
      <c r="B1401" s="47">
        <f>IF((A1401&gt;=2022),ROUND(((((I1401+J1401)+K1401)+L1401)+M1401),1),((((((C1401+D1401)+E1401)+F1401)+G1401)+H1401)*0.001))</f>
        <v/>
      </c>
      <c r="C1401" s="48" t="n"/>
      <c r="D1401" s="48" t="n"/>
      <c r="E1401" s="48" t="n"/>
      <c r="F1401" s="48" t="n"/>
      <c r="G1401" s="48" t="n"/>
      <c r="H1401" s="48" t="n"/>
      <c r="I1401" s="48" t="n">
        <v>48.87363</v>
      </c>
      <c r="J1401" s="48" t="n">
        <v>9.16827</v>
      </c>
      <c r="K1401" s="48" t="n">
        <v>23.08914</v>
      </c>
      <c r="L1401" s="48" t="n">
        <v>39.8874</v>
      </c>
      <c r="M1401" s="48" t="n">
        <v>1.9467</v>
      </c>
    </row>
    <row r="1404">
      <c r="A1404" s="56" t="inlineStr">
        <is>
          <t>L8 · Total bioenergy use (EU-27)  (TWh)</t>
        </is>
      </c>
    </row>
    <row r="1405" ht="26" customHeight="1">
      <c r="A140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406" ht="24" customHeight="1">
      <c r="A1406" s="3" t="inlineStr">
        <is>
          <t>Derivation:  Value = IF(A &gt;= 2022, ROUND([nrg_bal_c BIOE] * [Unit conversion (× 0.001)], 1), ([Power and heat: Primary solid biofuels]+[Power and heat: Charcoal]+[Power and heat: Pure biogasoline]+[Power and heat: Blended biogasoline]+[Power and heat: Pure biodiesels]+[Power and heat: Blended biodiesels]+[Power and heat: Pure bio jet kerosene]+[Power and heat: Blended bio jet kerosene]+[Power and heat: Other liquid biofuels]+[Power and heat: Biogases]+[Industry: Primary solid biofuels]+[Industry: Charcoal]+[Industry: Pure biogasoline]+[Industry: Blended biogasoline]+[Industry: Pure biodiesels]+[Industry: Blended biodiesels]+[Industry: Pure bio jet kerosene]+[Industry: Blended bio jet kerosene]+[Industry: Other liquid biofuels]+[Industry: Biogases]+[Transport: Primary solid biofuels]+[Transport: Charcoal]+[Transport: Pure biogasoline]+[Transport: Blended biogasoline]+[Transport: Pure biodiesels]+[Transport: Blended biodiesels]+[Transport: Pure bio jet kerosene]+[Transport: Blended bio jet kerosene]+[Transport: Other liquid biofuels]+[Transport: Biogases]+[Other sectors: Primary solid biofuels]+[Other sectors: Charcoal]+[Other sectors: Pure biogasoline]+[Other sectors: Blended biogasoline]+[Other sectors: Pure biodiesels]+[Other sectors: Blended biodiesels]+[Other sectors: Pure bio jet kerosene]+[Other sectors: Blended bio jet kerosene]+[Other sectors: Other liquid biofuels]+[Other sectors: Biogases]) * 0.001)</t>
        </is>
      </c>
    </row>
    <row r="1407" ht="42" customHeight="1">
      <c r="A1407" s="44" t="inlineStr">
        <is>
          <t>Year</t>
        </is>
      </c>
      <c r="B1407" s="44" t="inlineStr">
        <is>
          <t>Value</t>
        </is>
      </c>
      <c r="C1407" s="44" t="inlineStr">
        <is>
          <t>Power and heat: Primary solid biofuels</t>
        </is>
      </c>
      <c r="D1407" s="44" t="inlineStr">
        <is>
          <t>Power and heat: Charcoal</t>
        </is>
      </c>
      <c r="E1407" s="44" t="inlineStr">
        <is>
          <t>Power and heat: Pure biogasoline</t>
        </is>
      </c>
      <c r="F1407" s="44" t="inlineStr">
        <is>
          <t>Power and heat: Blended biogasoline</t>
        </is>
      </c>
      <c r="G1407" s="44" t="inlineStr">
        <is>
          <t>Power and heat: Pure biodiesels</t>
        </is>
      </c>
      <c r="H1407" s="44" t="inlineStr">
        <is>
          <t>Power and heat: Blended biodiesels</t>
        </is>
      </c>
      <c r="I1407" s="44" t="inlineStr">
        <is>
          <t>Power and heat: Pure bio jet kerosene</t>
        </is>
      </c>
      <c r="J1407" s="44" t="inlineStr">
        <is>
          <t>Power and heat: Blended bio jet kerosene</t>
        </is>
      </c>
      <c r="K1407" s="44" t="inlineStr">
        <is>
          <t>Power and heat: Other liquid biofuels</t>
        </is>
      </c>
      <c r="L1407" s="44" t="inlineStr">
        <is>
          <t>Power and heat: Biogases</t>
        </is>
      </c>
      <c r="M1407" s="44" t="inlineStr">
        <is>
          <t>Industry: Primary solid biofuels</t>
        </is>
      </c>
      <c r="N1407" s="44" t="inlineStr">
        <is>
          <t>Industry: Charcoal</t>
        </is>
      </c>
      <c r="O1407" s="44" t="inlineStr">
        <is>
          <t>Industry: Pure biogasoline</t>
        </is>
      </c>
      <c r="P1407" s="44" t="inlineStr">
        <is>
          <t>Industry: Blended biogasoline</t>
        </is>
      </c>
      <c r="Q1407" s="44" t="inlineStr">
        <is>
          <t>Industry: Pure biodiesels</t>
        </is>
      </c>
      <c r="R1407" s="44" t="inlineStr">
        <is>
          <t>Industry: Blended biodiesels</t>
        </is>
      </c>
      <c r="S1407" s="44" t="inlineStr">
        <is>
          <t>Industry: Pure bio jet kerosene</t>
        </is>
      </c>
      <c r="T1407" s="44" t="inlineStr">
        <is>
          <t>Industry: Blended bio jet kerosene</t>
        </is>
      </c>
      <c r="U1407" s="44" t="inlineStr">
        <is>
          <t>Industry: Other liquid biofuels</t>
        </is>
      </c>
      <c r="V1407" s="44" t="inlineStr">
        <is>
          <t>Industry: Biogases</t>
        </is>
      </c>
      <c r="W1407" s="44" t="inlineStr">
        <is>
          <t>Transport: Primary solid biofuels</t>
        </is>
      </c>
      <c r="X1407" s="44" t="inlineStr">
        <is>
          <t>Transport: Charcoal</t>
        </is>
      </c>
      <c r="Y1407" s="44" t="inlineStr">
        <is>
          <t>Transport: Pure biogasoline</t>
        </is>
      </c>
      <c r="Z1407" s="44" t="inlineStr">
        <is>
          <t>Transport: Blended biogasoline</t>
        </is>
      </c>
      <c r="AA1407" s="44" t="inlineStr">
        <is>
          <t>Transport: Pure biodiesels</t>
        </is>
      </c>
      <c r="AB1407" s="44" t="inlineStr">
        <is>
          <t>Transport: Blended biodiesels</t>
        </is>
      </c>
      <c r="AC1407" s="44" t="inlineStr">
        <is>
          <t>Transport: Pure bio jet kerosene</t>
        </is>
      </c>
      <c r="AD1407" s="44" t="inlineStr">
        <is>
          <t>Transport: Blended bio jet kerosene</t>
        </is>
      </c>
      <c r="AE1407" s="44" t="inlineStr">
        <is>
          <t>Transport: Other liquid biofuels</t>
        </is>
      </c>
      <c r="AF1407" s="44" t="inlineStr">
        <is>
          <t>Transport: Biogases</t>
        </is>
      </c>
      <c r="AG1407" s="44" t="inlineStr">
        <is>
          <t>Other sectors: Primary solid biofuels</t>
        </is>
      </c>
      <c r="AH1407" s="44" t="inlineStr">
        <is>
          <t>Other sectors: Charcoal</t>
        </is>
      </c>
      <c r="AI1407" s="44" t="inlineStr">
        <is>
          <t>Other sectors: Pure biogasoline</t>
        </is>
      </c>
      <c r="AJ1407" s="44" t="inlineStr">
        <is>
          <t>Other sectors: Blended biogasoline</t>
        </is>
      </c>
      <c r="AK1407" s="44" t="inlineStr">
        <is>
          <t>Other sectors: Pure biodiesels</t>
        </is>
      </c>
      <c r="AL1407" s="44" t="inlineStr">
        <is>
          <t>Other sectors: Blended biodiesels</t>
        </is>
      </c>
      <c r="AM1407" s="44" t="inlineStr">
        <is>
          <t>Other sectors: Pure bio jet kerosene</t>
        </is>
      </c>
      <c r="AN1407" s="44" t="inlineStr">
        <is>
          <t>Other sectors: Blended bio jet kerosene</t>
        </is>
      </c>
      <c r="AO1407" s="44" t="inlineStr">
        <is>
          <t>Other sectors: Other liquid biofuels</t>
        </is>
      </c>
      <c r="AP1407" s="44" t="inlineStr">
        <is>
          <t>Other sectors: Biogases</t>
        </is>
      </c>
      <c r="AQ1407" s="44" t="inlineStr">
        <is>
          <t>nrg_bal_c BIOE</t>
        </is>
      </c>
      <c r="AR1407" s="44" t="inlineStr">
        <is>
          <t>Unit conversion (× 0.001)</t>
        </is>
      </c>
    </row>
    <row r="1408" ht="14" customHeight="1">
      <c r="A1408" s="15" t="n">
        <v>2005</v>
      </c>
      <c r="B1408" s="45">
        <f>IF((A1408&gt;=2022),ROUND((AQ1408*AR1408),1),((((((((((((((((((((((((((((((((((((((((C1408+D1408)+E1408)+F1408)+G1408)+H1408)+I1408)+J1408)+K1408)+L1408)+M1408)+N1408)+O1408)+P1408)+Q1408)+R1408)+S1408)+T1408)+U1408)+V1408)+W1408)+X1408)+Y1408)+Z1408)+AA1408)+AB1408)+AC1408)+AD1408)+AE1408)+AF1408)+AG1408)+AH1408)+AI1408)+AJ1408)+AK1408)+AL1408)+AM1408)+AN1408)+AO1408)+AP1408)*0.001))</f>
        <v/>
      </c>
      <c r="C1408" s="46" t="n">
        <v>164104.332</v>
      </c>
      <c r="D1408" s="46" t="n">
        <v>0</v>
      </c>
      <c r="E1408" s="46" t="n">
        <v>6454.615</v>
      </c>
      <c r="F1408" s="46" t="n">
        <v>0</v>
      </c>
      <c r="G1408" s="46" t="n">
        <v>17620.64</v>
      </c>
      <c r="H1408" s="46" t="n">
        <v>0</v>
      </c>
      <c r="I1408" s="46" t="n">
        <v>0</v>
      </c>
      <c r="J1408" s="46" t="n">
        <v>0</v>
      </c>
      <c r="K1408" s="46" t="n">
        <v>5673.882</v>
      </c>
      <c r="L1408" s="46" t="n">
        <v>22981.133</v>
      </c>
      <c r="M1408" s="46" t="n">
        <v>199345.482</v>
      </c>
      <c r="N1408" s="46" t="n">
        <v>171.111</v>
      </c>
      <c r="O1408" s="46" t="n">
        <v>0</v>
      </c>
      <c r="P1408" s="46" t="n">
        <v>1.733</v>
      </c>
      <c r="Q1408" s="46" t="n">
        <v>0.677</v>
      </c>
      <c r="R1408" s="46" t="n">
        <v>42.046</v>
      </c>
      <c r="S1408" s="46" t="n">
        <v>0</v>
      </c>
      <c r="T1408" s="46" t="n">
        <v>0</v>
      </c>
      <c r="U1408" s="46" t="n">
        <v>230.951</v>
      </c>
      <c r="V1408" s="46" t="n">
        <v>1530.049</v>
      </c>
      <c r="W1408" s="46" t="n">
        <v>7.864</v>
      </c>
      <c r="X1408" s="46" t="n">
        <v>0</v>
      </c>
      <c r="Y1408" s="46" t="n">
        <v>92.15900000000001</v>
      </c>
      <c r="Z1408" s="46" t="n">
        <v>6228.402</v>
      </c>
      <c r="AA1408" s="46" t="n">
        <v>11283.492</v>
      </c>
      <c r="AB1408" s="46" t="n">
        <v>17212.74</v>
      </c>
      <c r="AC1408" s="46" t="n">
        <v>0</v>
      </c>
      <c r="AD1408" s="46" t="n">
        <v>0</v>
      </c>
      <c r="AE1408" s="46" t="n">
        <v>1696.31</v>
      </c>
      <c r="AF1408" s="46" t="n">
        <v>0</v>
      </c>
      <c r="AG1408" s="46" t="n">
        <v>433247.502</v>
      </c>
      <c r="AH1408" s="46" t="n">
        <v>2489.039</v>
      </c>
      <c r="AI1408" s="46" t="n">
        <v>0</v>
      </c>
      <c r="AJ1408" s="46" t="n">
        <v>72.533</v>
      </c>
      <c r="AK1408" s="46" t="n">
        <v>339.462</v>
      </c>
      <c r="AL1408" s="46" t="n">
        <v>571.213</v>
      </c>
      <c r="AM1408" s="46" t="n">
        <v>0</v>
      </c>
      <c r="AN1408" s="46" t="n">
        <v>0</v>
      </c>
      <c r="AO1408" s="46" t="n">
        <v>261.3</v>
      </c>
      <c r="AP1408" s="46" t="n">
        <v>4726.776</v>
      </c>
      <c r="AQ1408" s="46" t="n"/>
      <c r="AR1408" s="46" t="n"/>
    </row>
    <row r="1409" ht="14" customHeight="1">
      <c r="A1409" s="22" t="n">
        <v>2006</v>
      </c>
      <c r="B1409" s="47">
        <f>IF((A1409&gt;=2022),ROUND((AQ1409*AR1409),1),((((((((((((((((((((((((((((((((((((((((C1409+D1409)+E1409)+F1409)+G1409)+H1409)+I1409)+J1409)+K1409)+L1409)+M1409)+N1409)+O1409)+P1409)+Q1409)+R1409)+S1409)+T1409)+U1409)+V1409)+W1409)+X1409)+Y1409)+Z1409)+AA1409)+AB1409)+AC1409)+AD1409)+AE1409)+AF1409)+AG1409)+AH1409)+AI1409)+AJ1409)+AK1409)+AL1409)+AM1409)+AN1409)+AO1409)+AP1409)*0.001))</f>
        <v/>
      </c>
      <c r="C1409" s="48" t="n">
        <v>174969.609</v>
      </c>
      <c r="D1409" s="48" t="n">
        <v>0</v>
      </c>
      <c r="E1409" s="48" t="n">
        <v>9707.165000000001</v>
      </c>
      <c r="F1409" s="48" t="n">
        <v>0</v>
      </c>
      <c r="G1409" s="48" t="n">
        <v>24534.078</v>
      </c>
      <c r="H1409" s="48" t="n">
        <v>0</v>
      </c>
      <c r="I1409" s="48" t="n">
        <v>0</v>
      </c>
      <c r="J1409" s="48" t="n">
        <v>0</v>
      </c>
      <c r="K1409" s="48" t="n">
        <v>8271.969999999999</v>
      </c>
      <c r="L1409" s="48" t="n">
        <v>25942.633</v>
      </c>
      <c r="M1409" s="48" t="n">
        <v>207534.157</v>
      </c>
      <c r="N1409" s="48" t="n">
        <v>179.667</v>
      </c>
      <c r="O1409" s="48" t="n">
        <v>0</v>
      </c>
      <c r="P1409" s="48" t="n">
        <v>2.07</v>
      </c>
      <c r="Q1409" s="48" t="n">
        <v>4.504</v>
      </c>
      <c r="R1409" s="48" t="n">
        <v>178.028</v>
      </c>
      <c r="S1409" s="48" t="n">
        <v>0</v>
      </c>
      <c r="T1409" s="48" t="n">
        <v>0</v>
      </c>
      <c r="U1409" s="48" t="n">
        <v>506.874</v>
      </c>
      <c r="V1409" s="48" t="n">
        <v>1351.062</v>
      </c>
      <c r="W1409" s="48" t="n">
        <v>7.03</v>
      </c>
      <c r="X1409" s="48" t="n">
        <v>0</v>
      </c>
      <c r="Y1409" s="48" t="n">
        <v>106.67</v>
      </c>
      <c r="Z1409" s="48" t="n">
        <v>9677.332</v>
      </c>
      <c r="AA1409" s="48" t="n">
        <v>19615.94</v>
      </c>
      <c r="AB1409" s="48" t="n">
        <v>23963.742</v>
      </c>
      <c r="AC1409" s="48" t="n">
        <v>0</v>
      </c>
      <c r="AD1409" s="48" t="n">
        <v>0</v>
      </c>
      <c r="AE1409" s="48" t="n">
        <v>7050.42</v>
      </c>
      <c r="AF1409" s="48" t="n">
        <v>0</v>
      </c>
      <c r="AG1409" s="48" t="n">
        <v>447735.163</v>
      </c>
      <c r="AH1409" s="48" t="n">
        <v>2486.05</v>
      </c>
      <c r="AI1409" s="48" t="n">
        <v>0</v>
      </c>
      <c r="AJ1409" s="48" t="n">
        <v>87.203</v>
      </c>
      <c r="AK1409" s="48" t="n">
        <v>349.498</v>
      </c>
      <c r="AL1409" s="48" t="n">
        <v>1346.269</v>
      </c>
      <c r="AM1409" s="48" t="n">
        <v>0</v>
      </c>
      <c r="AN1409" s="48" t="n">
        <v>0</v>
      </c>
      <c r="AO1409" s="48" t="n">
        <v>675.1849999999999</v>
      </c>
      <c r="AP1409" s="48" t="n">
        <v>5783.141</v>
      </c>
      <c r="AQ1409" s="48" t="n"/>
      <c r="AR1409" s="48" t="n"/>
    </row>
    <row r="1410" ht="14" customHeight="1">
      <c r="A1410" s="15" t="n">
        <v>2007</v>
      </c>
      <c r="B1410" s="45">
        <f>IF((A1410&gt;=2022),ROUND((AQ1410*AR1410),1),((((((((((((((((((((((((((((((((((((((((C1410+D1410)+E1410)+F1410)+G1410)+H1410)+I1410)+J1410)+K1410)+L1410)+M1410)+N1410)+O1410)+P1410)+Q1410)+R1410)+S1410)+T1410)+U1410)+V1410)+W1410)+X1410)+Y1410)+Z1410)+AA1410)+AB1410)+AC1410)+AD1410)+AE1410)+AF1410)+AG1410)+AH1410)+AI1410)+AJ1410)+AK1410)+AL1410)+AM1410)+AN1410)+AO1410)+AP1410)*0.001))</f>
        <v/>
      </c>
      <c r="C1410" s="46" t="n">
        <v>183274.444</v>
      </c>
      <c r="D1410" s="46" t="n">
        <v>0</v>
      </c>
      <c r="E1410" s="46" t="n">
        <v>12366.48</v>
      </c>
      <c r="F1410" s="46" t="n">
        <v>0</v>
      </c>
      <c r="G1410" s="46" t="n">
        <v>43572.87</v>
      </c>
      <c r="H1410" s="46" t="n">
        <v>0</v>
      </c>
      <c r="I1410" s="46" t="n">
        <v>0</v>
      </c>
      <c r="J1410" s="46" t="n">
        <v>0</v>
      </c>
      <c r="K1410" s="46" t="n">
        <v>4926.736</v>
      </c>
      <c r="L1410" s="46" t="n">
        <v>37618.637</v>
      </c>
      <c r="M1410" s="46" t="n">
        <v>215460.945</v>
      </c>
      <c r="N1410" s="46" t="n">
        <v>171.111</v>
      </c>
      <c r="O1410" s="46" t="n">
        <v>0</v>
      </c>
      <c r="P1410" s="46" t="n">
        <v>2.46</v>
      </c>
      <c r="Q1410" s="46" t="n">
        <v>2.404</v>
      </c>
      <c r="R1410" s="46" t="n">
        <v>298.432</v>
      </c>
      <c r="S1410" s="46" t="n">
        <v>0</v>
      </c>
      <c r="T1410" s="46" t="n">
        <v>0</v>
      </c>
      <c r="U1410" s="46" t="n">
        <v>640.785</v>
      </c>
      <c r="V1410" s="46" t="n">
        <v>1790.342</v>
      </c>
      <c r="W1410" s="46" t="n">
        <v>16.197</v>
      </c>
      <c r="X1410" s="46" t="n">
        <v>0</v>
      </c>
      <c r="Y1410" s="46" t="n">
        <v>166.789</v>
      </c>
      <c r="Z1410" s="46" t="n">
        <v>12521.524</v>
      </c>
      <c r="AA1410" s="46" t="n">
        <v>19535.293</v>
      </c>
      <c r="AB1410" s="46" t="n">
        <v>43990.075</v>
      </c>
      <c r="AC1410" s="46" t="n">
        <v>0</v>
      </c>
      <c r="AD1410" s="46" t="n">
        <v>0</v>
      </c>
      <c r="AE1410" s="46" t="n">
        <v>8256.715</v>
      </c>
      <c r="AF1410" s="46" t="n">
        <v>0</v>
      </c>
      <c r="AG1410" s="46" t="n">
        <v>476947.058</v>
      </c>
      <c r="AH1410" s="46" t="n">
        <v>3179.457</v>
      </c>
      <c r="AI1410" s="46" t="n">
        <v>0</v>
      </c>
      <c r="AJ1410" s="46" t="n">
        <v>104.805</v>
      </c>
      <c r="AK1410" s="46" t="n">
        <v>798.319</v>
      </c>
      <c r="AL1410" s="46" t="n">
        <v>1903.77</v>
      </c>
      <c r="AM1410" s="46" t="n">
        <v>0</v>
      </c>
      <c r="AN1410" s="46" t="n">
        <v>0</v>
      </c>
      <c r="AO1410" s="46" t="n">
        <v>824.015</v>
      </c>
      <c r="AP1410" s="46" t="n">
        <v>7578.54</v>
      </c>
      <c r="AQ1410" s="46" t="n"/>
      <c r="AR1410" s="46" t="n"/>
    </row>
    <row r="1411" ht="14" customHeight="1">
      <c r="A1411" s="22" t="n">
        <v>2008</v>
      </c>
      <c r="B1411" s="47">
        <f>IF((A1411&gt;=2022),ROUND((AQ1411*AR1411),1),((((((((((((((((((((((((((((((((((((((((C1411+D1411)+E1411)+F1411)+G1411)+H1411)+I1411)+J1411)+K1411)+L1411)+M1411)+N1411)+O1411)+P1411)+Q1411)+R1411)+S1411)+T1411)+U1411)+V1411)+W1411)+X1411)+Y1411)+Z1411)+AA1411)+AB1411)+AC1411)+AD1411)+AE1411)+AF1411)+AG1411)+AH1411)+AI1411)+AJ1411)+AK1411)+AL1411)+AM1411)+AN1411)+AO1411)+AP1411)*0.001))</f>
        <v/>
      </c>
      <c r="C1411" s="48" t="n">
        <v>202074.777</v>
      </c>
      <c r="D1411" s="48" t="n">
        <v>0</v>
      </c>
      <c r="E1411" s="48" t="n">
        <v>19619.537</v>
      </c>
      <c r="F1411" s="48" t="n">
        <v>0</v>
      </c>
      <c r="G1411" s="48" t="n">
        <v>70563.715</v>
      </c>
      <c r="H1411" s="48" t="n">
        <v>0</v>
      </c>
      <c r="I1411" s="48" t="n">
        <v>0</v>
      </c>
      <c r="J1411" s="48" t="n">
        <v>0</v>
      </c>
      <c r="K1411" s="48" t="n">
        <v>5506.914</v>
      </c>
      <c r="L1411" s="48" t="n">
        <v>45957.729</v>
      </c>
      <c r="M1411" s="48" t="n">
        <v>207137.574</v>
      </c>
      <c r="N1411" s="48" t="n">
        <v>436.333</v>
      </c>
      <c r="O1411" s="48" t="n">
        <v>0</v>
      </c>
      <c r="P1411" s="48" t="n">
        <v>3.203</v>
      </c>
      <c r="Q1411" s="48" t="n">
        <v>2.466</v>
      </c>
      <c r="R1411" s="48" t="n">
        <v>329.435</v>
      </c>
      <c r="S1411" s="48" t="n">
        <v>0</v>
      </c>
      <c r="T1411" s="48" t="n">
        <v>0</v>
      </c>
      <c r="U1411" s="48" t="n">
        <v>1250.876</v>
      </c>
      <c r="V1411" s="48" t="n">
        <v>1552.163</v>
      </c>
      <c r="W1411" s="48" t="n">
        <v>1.753</v>
      </c>
      <c r="X1411" s="48" t="n">
        <v>0</v>
      </c>
      <c r="Y1411" s="48" t="n">
        <v>188.995</v>
      </c>
      <c r="Z1411" s="48" t="n">
        <v>19497.558</v>
      </c>
      <c r="AA1411" s="48" t="n">
        <v>12420.581</v>
      </c>
      <c r="AB1411" s="48" t="n">
        <v>68471.726</v>
      </c>
      <c r="AC1411" s="48" t="n">
        <v>0</v>
      </c>
      <c r="AD1411" s="48" t="n">
        <v>0</v>
      </c>
      <c r="AE1411" s="48" t="n">
        <v>3357.445</v>
      </c>
      <c r="AF1411" s="48" t="n">
        <v>221.67</v>
      </c>
      <c r="AG1411" s="48" t="n">
        <v>519431.005</v>
      </c>
      <c r="AH1411" s="48" t="n">
        <v>3013.484</v>
      </c>
      <c r="AI1411" s="48" t="n">
        <v>0</v>
      </c>
      <c r="AJ1411" s="48" t="n">
        <v>164.078</v>
      </c>
      <c r="AK1411" s="48" t="n">
        <v>692.451</v>
      </c>
      <c r="AL1411" s="48" t="n">
        <v>1616.235</v>
      </c>
      <c r="AM1411" s="48" t="n">
        <v>0</v>
      </c>
      <c r="AN1411" s="48" t="n">
        <v>0</v>
      </c>
      <c r="AO1411" s="48" t="n">
        <v>808.683</v>
      </c>
      <c r="AP1411" s="48" t="n">
        <v>8301.276</v>
      </c>
      <c r="AQ1411" s="48" t="n"/>
      <c r="AR1411" s="48" t="n"/>
    </row>
    <row r="1412" ht="14" customHeight="1">
      <c r="A1412" s="15" t="n">
        <v>2009</v>
      </c>
      <c r="B1412" s="45">
        <f>IF((A1412&gt;=2022),ROUND((AQ1412*AR1412),1),((((((((((((((((((((((((((((((((((((((((C1412+D1412)+E1412)+F1412)+G1412)+H1412)+I1412)+J1412)+K1412)+L1412)+M1412)+N1412)+O1412)+P1412)+Q1412)+R1412)+S1412)+T1412)+U1412)+V1412)+W1412)+X1412)+Y1412)+Z1412)+AA1412)+AB1412)+AC1412)+AD1412)+AE1412)+AF1412)+AG1412)+AH1412)+AI1412)+AJ1412)+AK1412)+AL1412)+AM1412)+AN1412)+AO1412)+AP1412)*0.001))</f>
        <v/>
      </c>
      <c r="C1412" s="46" t="n">
        <v>217786.843</v>
      </c>
      <c r="D1412" s="46" t="n">
        <v>0</v>
      </c>
      <c r="E1412" s="46" t="n">
        <v>24059.307</v>
      </c>
      <c r="F1412" s="46" t="n">
        <v>0</v>
      </c>
      <c r="G1412" s="46" t="n">
        <v>93601.753</v>
      </c>
      <c r="H1412" s="46" t="n">
        <v>0</v>
      </c>
      <c r="I1412" s="46" t="n">
        <v>0</v>
      </c>
      <c r="J1412" s="46" t="n">
        <v>0</v>
      </c>
      <c r="K1412" s="46" t="n">
        <v>10314.912</v>
      </c>
      <c r="L1412" s="46" t="n">
        <v>52179.243</v>
      </c>
      <c r="M1412" s="46" t="n">
        <v>204216.188</v>
      </c>
      <c r="N1412" s="46" t="n">
        <v>222.444</v>
      </c>
      <c r="O1412" s="46" t="n">
        <v>0</v>
      </c>
      <c r="P1412" s="46" t="n">
        <v>2.708</v>
      </c>
      <c r="Q1412" s="46" t="n">
        <v>7.307</v>
      </c>
      <c r="R1412" s="46" t="n">
        <v>428.916</v>
      </c>
      <c r="S1412" s="46" t="n">
        <v>0</v>
      </c>
      <c r="T1412" s="46" t="n">
        <v>0</v>
      </c>
      <c r="U1412" s="46" t="n">
        <v>995.092</v>
      </c>
      <c r="V1412" s="46" t="n">
        <v>1903.97</v>
      </c>
      <c r="W1412" s="46" t="n">
        <v>0.919</v>
      </c>
      <c r="X1412" s="46" t="n">
        <v>0</v>
      </c>
      <c r="Y1412" s="46" t="n">
        <v>188.337</v>
      </c>
      <c r="Z1412" s="46" t="n">
        <v>23885.804</v>
      </c>
      <c r="AA1412" s="46" t="n">
        <v>5941.212</v>
      </c>
      <c r="AB1412" s="46" t="n">
        <v>91954.921</v>
      </c>
      <c r="AC1412" s="46" t="n">
        <v>0</v>
      </c>
      <c r="AD1412" s="46" t="n">
        <v>0</v>
      </c>
      <c r="AE1412" s="46" t="n">
        <v>883.452</v>
      </c>
      <c r="AF1412" s="46" t="n">
        <v>259.183</v>
      </c>
      <c r="AG1412" s="46" t="n">
        <v>522911.208</v>
      </c>
      <c r="AH1412" s="46" t="n">
        <v>4050.954</v>
      </c>
      <c r="AI1412" s="46" t="n">
        <v>0</v>
      </c>
      <c r="AJ1412" s="46" t="n">
        <v>160.98</v>
      </c>
      <c r="AK1412" s="46" t="n">
        <v>396.163</v>
      </c>
      <c r="AL1412" s="46" t="n">
        <v>2236.838</v>
      </c>
      <c r="AM1412" s="46" t="n">
        <v>0</v>
      </c>
      <c r="AN1412" s="46" t="n">
        <v>0</v>
      </c>
      <c r="AO1412" s="46" t="n">
        <v>1414.662</v>
      </c>
      <c r="AP1412" s="46" t="n">
        <v>10252.725</v>
      </c>
      <c r="AQ1412" s="46" t="n"/>
      <c r="AR1412" s="46" t="n"/>
    </row>
    <row r="1413" ht="14" customHeight="1">
      <c r="A1413" s="22" t="n">
        <v>2010</v>
      </c>
      <c r="B1413" s="47">
        <f>IF((A1413&gt;=2022),ROUND((AQ1413*AR1413),1),((((((((((((((((((((((((((((((((((((((((C1413+D1413)+E1413)+F1413)+G1413)+H1413)+I1413)+J1413)+K1413)+L1413)+M1413)+N1413)+O1413)+P1413)+Q1413)+R1413)+S1413)+T1413)+U1413)+V1413)+W1413)+X1413)+Y1413)+Z1413)+AA1413)+AB1413)+AC1413)+AD1413)+AE1413)+AF1413)+AG1413)+AH1413)+AI1413)+AJ1413)+AK1413)+AL1413)+AM1413)+AN1413)+AO1413)+AP1413)*0.001))</f>
        <v/>
      </c>
      <c r="C1413" s="48" t="n">
        <v>257534.265</v>
      </c>
      <c r="D1413" s="48" t="n">
        <v>0</v>
      </c>
      <c r="E1413" s="48" t="n">
        <v>28028.452</v>
      </c>
      <c r="F1413" s="48" t="n">
        <v>0</v>
      </c>
      <c r="G1413" s="48" t="n">
        <v>104794.637</v>
      </c>
      <c r="H1413" s="48" t="n">
        <v>0</v>
      </c>
      <c r="I1413" s="48" t="n">
        <v>0</v>
      </c>
      <c r="J1413" s="48" t="n">
        <v>0</v>
      </c>
      <c r="K1413" s="48" t="n">
        <v>12830.382</v>
      </c>
      <c r="L1413" s="48" t="n">
        <v>60329.74</v>
      </c>
      <c r="M1413" s="48" t="n">
        <v>219870.824</v>
      </c>
      <c r="N1413" s="48" t="n">
        <v>85.556</v>
      </c>
      <c r="O1413" s="48" t="n">
        <v>0.03</v>
      </c>
      <c r="P1413" s="48" t="n">
        <v>2.928</v>
      </c>
      <c r="Q1413" s="48" t="n">
        <v>15.953</v>
      </c>
      <c r="R1413" s="48" t="n">
        <v>449.05</v>
      </c>
      <c r="S1413" s="48" t="n">
        <v>0</v>
      </c>
      <c r="T1413" s="48" t="n">
        <v>0</v>
      </c>
      <c r="U1413" s="48" t="n">
        <v>940.647</v>
      </c>
      <c r="V1413" s="48" t="n">
        <v>3574.416</v>
      </c>
      <c r="W1413" s="48" t="n">
        <v>0.08599999999999999</v>
      </c>
      <c r="X1413" s="48" t="n">
        <v>0</v>
      </c>
      <c r="Y1413" s="48" t="n">
        <v>266.151</v>
      </c>
      <c r="Z1413" s="48" t="n">
        <v>28575.893</v>
      </c>
      <c r="AA1413" s="48" t="n">
        <v>6419.342</v>
      </c>
      <c r="AB1413" s="48" t="n">
        <v>103490.793</v>
      </c>
      <c r="AC1413" s="48" t="n">
        <v>0</v>
      </c>
      <c r="AD1413" s="48" t="n">
        <v>0</v>
      </c>
      <c r="AE1413" s="48" t="n">
        <v>602.652</v>
      </c>
      <c r="AF1413" s="48" t="n">
        <v>321.691</v>
      </c>
      <c r="AG1413" s="48" t="n">
        <v>557961.404</v>
      </c>
      <c r="AH1413" s="48" t="n">
        <v>4017.172</v>
      </c>
      <c r="AI1413" s="48" t="n">
        <v>0</v>
      </c>
      <c r="AJ1413" s="48" t="n">
        <v>177.809</v>
      </c>
      <c r="AK1413" s="48" t="n">
        <v>295.856</v>
      </c>
      <c r="AL1413" s="48" t="n">
        <v>2147.737</v>
      </c>
      <c r="AM1413" s="48" t="n">
        <v>0</v>
      </c>
      <c r="AN1413" s="48" t="n">
        <v>0</v>
      </c>
      <c r="AO1413" s="48" t="n">
        <v>1317.551</v>
      </c>
      <c r="AP1413" s="48" t="n">
        <v>12131.37</v>
      </c>
      <c r="AQ1413" s="48" t="n"/>
      <c r="AR1413" s="48" t="n"/>
    </row>
    <row r="1414" ht="14" customHeight="1">
      <c r="A1414" s="15" t="n">
        <v>2011</v>
      </c>
      <c r="B1414" s="45">
        <f>IF((A1414&gt;=2022),ROUND((AQ1414*AR1414),1),((((((((((((((((((((((((((((((((((((((((C1414+D1414)+E1414)+F1414)+G1414)+H1414)+I1414)+J1414)+K1414)+L1414)+M1414)+N1414)+O1414)+P1414)+Q1414)+R1414)+S1414)+T1414)+U1414)+V1414)+W1414)+X1414)+Y1414)+Z1414)+AA1414)+AB1414)+AC1414)+AD1414)+AE1414)+AF1414)+AG1414)+AH1414)+AI1414)+AJ1414)+AK1414)+AL1414)+AM1414)+AN1414)+AO1414)+AP1414)*0.001))</f>
        <v/>
      </c>
      <c r="C1414" s="46" t="n">
        <v>255453.042</v>
      </c>
      <c r="D1414" s="46" t="n">
        <v>0</v>
      </c>
      <c r="E1414" s="46" t="n">
        <v>28089.302</v>
      </c>
      <c r="F1414" s="46" t="n">
        <v>0</v>
      </c>
      <c r="G1414" s="46" t="n">
        <v>112777.528</v>
      </c>
      <c r="H1414" s="46" t="n">
        <v>0</v>
      </c>
      <c r="I1414" s="46" t="n">
        <v>0</v>
      </c>
      <c r="J1414" s="46" t="n">
        <v>0</v>
      </c>
      <c r="K1414" s="46" t="n">
        <v>8366.450000000001</v>
      </c>
      <c r="L1414" s="46" t="n">
        <v>76821.349</v>
      </c>
      <c r="M1414" s="46" t="n">
        <v>219628.873</v>
      </c>
      <c r="N1414" s="46" t="n">
        <v>85.556</v>
      </c>
      <c r="O1414" s="46" t="n">
        <v>0</v>
      </c>
      <c r="P1414" s="46" t="n">
        <v>3.42</v>
      </c>
      <c r="Q1414" s="46" t="n">
        <v>34.156</v>
      </c>
      <c r="R1414" s="46" t="n">
        <v>465.226</v>
      </c>
      <c r="S1414" s="46" t="n">
        <v>0</v>
      </c>
      <c r="T1414" s="46" t="n">
        <v>0</v>
      </c>
      <c r="U1414" s="46" t="n">
        <v>503.496</v>
      </c>
      <c r="V1414" s="46" t="n">
        <v>3949.935</v>
      </c>
      <c r="W1414" s="46" t="n">
        <v>0.364</v>
      </c>
      <c r="X1414" s="46" t="n">
        <v>0</v>
      </c>
      <c r="Y1414" s="46" t="n">
        <v>323.489</v>
      </c>
      <c r="Z1414" s="46" t="n">
        <v>29158.612</v>
      </c>
      <c r="AA1414" s="46" t="n">
        <v>4834.156</v>
      </c>
      <c r="AB1414" s="46" t="n">
        <v>112229.807</v>
      </c>
      <c r="AC1414" s="46" t="n">
        <v>0</v>
      </c>
      <c r="AD1414" s="46" t="n">
        <v>0</v>
      </c>
      <c r="AE1414" s="46" t="n">
        <v>191.675</v>
      </c>
      <c r="AF1414" s="46" t="n">
        <v>822.308</v>
      </c>
      <c r="AG1414" s="46" t="n">
        <v>499386.409</v>
      </c>
      <c r="AH1414" s="46" t="n">
        <v>4193.423</v>
      </c>
      <c r="AI1414" s="46" t="n">
        <v>0</v>
      </c>
      <c r="AJ1414" s="46" t="n">
        <v>199.525</v>
      </c>
      <c r="AK1414" s="46" t="n">
        <v>139.566</v>
      </c>
      <c r="AL1414" s="46" t="n">
        <v>2218.155</v>
      </c>
      <c r="AM1414" s="46" t="n">
        <v>0</v>
      </c>
      <c r="AN1414" s="46" t="n">
        <v>0</v>
      </c>
      <c r="AO1414" s="46" t="n">
        <v>598.8339999999999</v>
      </c>
      <c r="AP1414" s="46" t="n">
        <v>13487.874</v>
      </c>
      <c r="AQ1414" s="46" t="n"/>
      <c r="AR1414" s="46" t="n"/>
    </row>
    <row r="1415" ht="14" customHeight="1">
      <c r="A1415" s="22" t="n">
        <v>2012</v>
      </c>
      <c r="B1415" s="47">
        <f>IF((A1415&gt;=2022),ROUND((AQ1415*AR1415),1),((((((((((((((((((((((((((((((((((((((((C1415+D1415)+E1415)+F1415)+G1415)+H1415)+I1415)+J1415)+K1415)+L1415)+M1415)+N1415)+O1415)+P1415)+Q1415)+R1415)+S1415)+T1415)+U1415)+V1415)+W1415)+X1415)+Y1415)+Z1415)+AA1415)+AB1415)+AC1415)+AD1415)+AE1415)+AF1415)+AG1415)+AH1415)+AI1415)+AJ1415)+AK1415)+AL1415)+AM1415)+AN1415)+AO1415)+AP1415)*0.001))</f>
        <v/>
      </c>
      <c r="C1415" s="48" t="n">
        <v>287713.128</v>
      </c>
      <c r="D1415" s="48" t="n">
        <v>0</v>
      </c>
      <c r="E1415" s="48" t="n">
        <v>28373.948</v>
      </c>
      <c r="F1415" s="48" t="n">
        <v>0</v>
      </c>
      <c r="G1415" s="48" t="n">
        <v>125982.657</v>
      </c>
      <c r="H1415" s="48" t="n">
        <v>0</v>
      </c>
      <c r="I1415" s="48" t="n">
        <v>0</v>
      </c>
      <c r="J1415" s="48" t="n">
        <v>0</v>
      </c>
      <c r="K1415" s="48" t="n">
        <v>9238.421</v>
      </c>
      <c r="L1415" s="48" t="n">
        <v>92870.045</v>
      </c>
      <c r="M1415" s="48" t="n">
        <v>213283.065</v>
      </c>
      <c r="N1415" s="48" t="n">
        <v>85.556</v>
      </c>
      <c r="O1415" s="48" t="n">
        <v>10.471</v>
      </c>
      <c r="P1415" s="48" t="n">
        <v>3.241</v>
      </c>
      <c r="Q1415" s="48" t="n">
        <v>22.954</v>
      </c>
      <c r="R1415" s="48" t="n">
        <v>756.167</v>
      </c>
      <c r="S1415" s="48" t="n">
        <v>0</v>
      </c>
      <c r="T1415" s="48" t="n">
        <v>0</v>
      </c>
      <c r="U1415" s="48" t="n">
        <v>165.803</v>
      </c>
      <c r="V1415" s="48" t="n">
        <v>2634.923</v>
      </c>
      <c r="W1415" s="48" t="n">
        <v>0.365</v>
      </c>
      <c r="X1415" s="48" t="n">
        <v>0</v>
      </c>
      <c r="Y1415" s="48" t="n">
        <v>338.24</v>
      </c>
      <c r="Z1415" s="48" t="n">
        <v>28391.595</v>
      </c>
      <c r="AA1415" s="48" t="n">
        <v>3500.495</v>
      </c>
      <c r="AB1415" s="48" t="n">
        <v>123723.405</v>
      </c>
      <c r="AC1415" s="48" t="n">
        <v>0</v>
      </c>
      <c r="AD1415" s="48" t="n">
        <v>0</v>
      </c>
      <c r="AE1415" s="48" t="n">
        <v>185.374</v>
      </c>
      <c r="AF1415" s="48" t="n">
        <v>1142.907</v>
      </c>
      <c r="AG1415" s="48" t="n">
        <v>561599.938</v>
      </c>
      <c r="AH1415" s="48" t="n">
        <v>4621.624</v>
      </c>
      <c r="AI1415" s="48" t="n">
        <v>0</v>
      </c>
      <c r="AJ1415" s="48" t="n">
        <v>227.027</v>
      </c>
      <c r="AK1415" s="48" t="n">
        <v>188.285</v>
      </c>
      <c r="AL1415" s="48" t="n">
        <v>2693.427</v>
      </c>
      <c r="AM1415" s="48" t="n">
        <v>0</v>
      </c>
      <c r="AN1415" s="48" t="n">
        <v>0</v>
      </c>
      <c r="AO1415" s="48" t="n">
        <v>229.528</v>
      </c>
      <c r="AP1415" s="48" t="n">
        <v>16246.299</v>
      </c>
      <c r="AQ1415" s="48" t="n"/>
      <c r="AR1415" s="48" t="n"/>
    </row>
    <row r="1416" ht="14" customHeight="1">
      <c r="A1416" s="15" t="n">
        <v>2013</v>
      </c>
      <c r="B1416" s="45">
        <f>IF((A1416&gt;=2022),ROUND((AQ1416*AR1416),1),((((((((((((((((((((((((((((((((((((((((C1416+D1416)+E1416)+F1416)+G1416)+H1416)+I1416)+J1416)+K1416)+L1416)+M1416)+N1416)+O1416)+P1416)+Q1416)+R1416)+S1416)+T1416)+U1416)+V1416)+W1416)+X1416)+Y1416)+Z1416)+AA1416)+AB1416)+AC1416)+AD1416)+AE1416)+AF1416)+AG1416)+AH1416)+AI1416)+AJ1416)+AK1416)+AL1416)+AM1416)+AN1416)+AO1416)+AP1416)*0.001))</f>
        <v/>
      </c>
      <c r="C1416" s="46" t="n">
        <v>291684.305</v>
      </c>
      <c r="D1416" s="46" t="n">
        <v>0</v>
      </c>
      <c r="E1416" s="46" t="n">
        <v>26724.414</v>
      </c>
      <c r="F1416" s="46" t="n">
        <v>0</v>
      </c>
      <c r="G1416" s="46" t="n">
        <v>111173.898</v>
      </c>
      <c r="H1416" s="46" t="n">
        <v>10.278</v>
      </c>
      <c r="I1416" s="46" t="n">
        <v>0</v>
      </c>
      <c r="J1416" s="46" t="n">
        <v>0</v>
      </c>
      <c r="K1416" s="46" t="n">
        <v>10973.93</v>
      </c>
      <c r="L1416" s="46" t="n">
        <v>107159.001</v>
      </c>
      <c r="M1416" s="46" t="n">
        <v>216596.685</v>
      </c>
      <c r="N1416" s="46" t="n">
        <v>96.807</v>
      </c>
      <c r="O1416" s="46" t="n">
        <v>12.838</v>
      </c>
      <c r="P1416" s="46" t="n">
        <v>3.04</v>
      </c>
      <c r="Q1416" s="46" t="n">
        <v>23.711</v>
      </c>
      <c r="R1416" s="46" t="n">
        <v>759.173</v>
      </c>
      <c r="S1416" s="46" t="n">
        <v>0</v>
      </c>
      <c r="T1416" s="46" t="n">
        <v>0</v>
      </c>
      <c r="U1416" s="46" t="n">
        <v>254.388</v>
      </c>
      <c r="V1416" s="46" t="n">
        <v>3358.469</v>
      </c>
      <c r="W1416" s="46" t="n">
        <v>3.692</v>
      </c>
      <c r="X1416" s="46" t="n">
        <v>0</v>
      </c>
      <c r="Y1416" s="46" t="n">
        <v>292.131</v>
      </c>
      <c r="Z1416" s="46" t="n">
        <v>26387.954</v>
      </c>
      <c r="AA1416" s="46" t="n">
        <v>2296.807</v>
      </c>
      <c r="AB1416" s="46" t="n">
        <v>109722.477</v>
      </c>
      <c r="AC1416" s="46" t="n">
        <v>0</v>
      </c>
      <c r="AD1416" s="46" t="n">
        <v>0</v>
      </c>
      <c r="AE1416" s="46" t="n">
        <v>48.134</v>
      </c>
      <c r="AF1416" s="46" t="n">
        <v>1355.767</v>
      </c>
      <c r="AG1416" s="46" t="n">
        <v>570560.179</v>
      </c>
      <c r="AH1416" s="46" t="n">
        <v>4483.024</v>
      </c>
      <c r="AI1416" s="46" t="n">
        <v>0</v>
      </c>
      <c r="AJ1416" s="46" t="n">
        <v>214.227</v>
      </c>
      <c r="AK1416" s="46" t="n">
        <v>173.918</v>
      </c>
      <c r="AL1416" s="46" t="n">
        <v>2729.411</v>
      </c>
      <c r="AM1416" s="46" t="n">
        <v>0</v>
      </c>
      <c r="AN1416" s="46" t="n">
        <v>0</v>
      </c>
      <c r="AO1416" s="46" t="n">
        <v>246.217</v>
      </c>
      <c r="AP1416" s="46" t="n">
        <v>18370.087</v>
      </c>
      <c r="AQ1416" s="46" t="n"/>
      <c r="AR1416" s="46" t="n"/>
    </row>
    <row r="1417" ht="14" customHeight="1">
      <c r="A1417" s="22" t="n">
        <v>2014</v>
      </c>
      <c r="B1417" s="47">
        <f>IF((A1417&gt;=2022),ROUND((AQ1417*AR1417),1),((((((((((((((((((((((((((((((((((((((((C1417+D1417)+E1417)+F1417)+G1417)+H1417)+I1417)+J1417)+K1417)+L1417)+M1417)+N1417)+O1417)+P1417)+Q1417)+R1417)+S1417)+T1417)+U1417)+V1417)+W1417)+X1417)+Y1417)+Z1417)+AA1417)+AB1417)+AC1417)+AD1417)+AE1417)+AF1417)+AG1417)+AH1417)+AI1417)+AJ1417)+AK1417)+AL1417)+AM1417)+AN1417)+AO1417)+AP1417)*0.001))</f>
        <v/>
      </c>
      <c r="C1417" s="48" t="n">
        <v>293392.067</v>
      </c>
      <c r="D1417" s="48" t="n">
        <v>0</v>
      </c>
      <c r="E1417" s="48" t="n">
        <v>26432.067</v>
      </c>
      <c r="F1417" s="48" t="n">
        <v>0</v>
      </c>
      <c r="G1417" s="48" t="n">
        <v>120701.752</v>
      </c>
      <c r="H1417" s="48" t="n">
        <v>10.278</v>
      </c>
      <c r="I1417" s="48" t="n">
        <v>0</v>
      </c>
      <c r="J1417" s="48" t="n">
        <v>0</v>
      </c>
      <c r="K1417" s="48" t="n">
        <v>11663.528</v>
      </c>
      <c r="L1417" s="48" t="n">
        <v>114866.093</v>
      </c>
      <c r="M1417" s="48" t="n">
        <v>219163.446</v>
      </c>
      <c r="N1417" s="48" t="n">
        <v>96.65000000000001</v>
      </c>
      <c r="O1417" s="48" t="n">
        <v>14.496</v>
      </c>
      <c r="P1417" s="48" t="n">
        <v>2.86</v>
      </c>
      <c r="Q1417" s="48" t="n">
        <v>74.31999999999999</v>
      </c>
      <c r="R1417" s="48" t="n">
        <v>877.913</v>
      </c>
      <c r="S1417" s="48" t="n">
        <v>0</v>
      </c>
      <c r="T1417" s="48" t="n">
        <v>0</v>
      </c>
      <c r="U1417" s="48" t="n">
        <v>442.742</v>
      </c>
      <c r="V1417" s="48" t="n">
        <v>3629.316</v>
      </c>
      <c r="W1417" s="48" t="n">
        <v>3.692</v>
      </c>
      <c r="X1417" s="48" t="n">
        <v>0</v>
      </c>
      <c r="Y1417" s="48" t="n">
        <v>252.36</v>
      </c>
      <c r="Z1417" s="48" t="n">
        <v>26312.495</v>
      </c>
      <c r="AA1417" s="48" t="n">
        <v>4171.505</v>
      </c>
      <c r="AB1417" s="48" t="n">
        <v>118883.897</v>
      </c>
      <c r="AC1417" s="48" t="n">
        <v>0</v>
      </c>
      <c r="AD1417" s="48" t="n">
        <v>0</v>
      </c>
      <c r="AE1417" s="48" t="n">
        <v>90.676</v>
      </c>
      <c r="AF1417" s="48" t="n">
        <v>1429.432</v>
      </c>
      <c r="AG1417" s="48" t="n">
        <v>503708.303</v>
      </c>
      <c r="AH1417" s="48" t="n">
        <v>4369.424</v>
      </c>
      <c r="AI1417" s="48" t="n">
        <v>0</v>
      </c>
      <c r="AJ1417" s="48" t="n">
        <v>204.883</v>
      </c>
      <c r="AK1417" s="48" t="n">
        <v>271.854</v>
      </c>
      <c r="AL1417" s="48" t="n">
        <v>2902.607</v>
      </c>
      <c r="AM1417" s="48" t="n">
        <v>0</v>
      </c>
      <c r="AN1417" s="48" t="n">
        <v>0</v>
      </c>
      <c r="AO1417" s="48" t="n">
        <v>260.658</v>
      </c>
      <c r="AP1417" s="48" t="n">
        <v>20097.055</v>
      </c>
      <c r="AQ1417" s="48" t="n"/>
      <c r="AR1417" s="48" t="n"/>
    </row>
    <row r="1418" ht="14" customHeight="1">
      <c r="A1418" s="15" t="n">
        <v>2015</v>
      </c>
      <c r="B1418" s="45">
        <f>IF((A1418&gt;=2022),ROUND((AQ1418*AR1418),1),((((((((((((((((((((((((((((((((((((((((C1418+D1418)+E1418)+F1418)+G1418)+H1418)+I1418)+J1418)+K1418)+L1418)+M1418)+N1418)+O1418)+P1418)+Q1418)+R1418)+S1418)+T1418)+U1418)+V1418)+W1418)+X1418)+Y1418)+Z1418)+AA1418)+AB1418)+AC1418)+AD1418)+AE1418)+AF1418)+AG1418)+AH1418)+AI1418)+AJ1418)+AK1418)+AL1418)+AM1418)+AN1418)+AO1418)+AP1418)*0.001))</f>
        <v/>
      </c>
      <c r="C1418" s="46" t="n">
        <v>298222.057</v>
      </c>
      <c r="D1418" s="46" t="n">
        <v>0</v>
      </c>
      <c r="E1418" s="46" t="n">
        <v>27441.63</v>
      </c>
      <c r="F1418" s="46" t="n">
        <v>0</v>
      </c>
      <c r="G1418" s="46" t="n">
        <v>119256.327</v>
      </c>
      <c r="H1418" s="46" t="n">
        <v>20.556</v>
      </c>
      <c r="I1418" s="46" t="n">
        <v>0</v>
      </c>
      <c r="J1418" s="46" t="n">
        <v>0</v>
      </c>
      <c r="K1418" s="46" t="n">
        <v>12864.803</v>
      </c>
      <c r="L1418" s="46" t="n">
        <v>119559.138</v>
      </c>
      <c r="M1418" s="46" t="n">
        <v>227848.516</v>
      </c>
      <c r="N1418" s="46" t="n">
        <v>96.492</v>
      </c>
      <c r="O1418" s="46" t="n">
        <v>17.566</v>
      </c>
      <c r="P1418" s="46" t="n">
        <v>2.711</v>
      </c>
      <c r="Q1418" s="46" t="n">
        <v>89.054</v>
      </c>
      <c r="R1418" s="46" t="n">
        <v>1058.156</v>
      </c>
      <c r="S1418" s="46" t="n">
        <v>0</v>
      </c>
      <c r="T1418" s="46" t="n">
        <v>0</v>
      </c>
      <c r="U1418" s="46" t="n">
        <v>319.516</v>
      </c>
      <c r="V1418" s="46" t="n">
        <v>3593.657</v>
      </c>
      <c r="W1418" s="46" t="n">
        <v>0.637</v>
      </c>
      <c r="X1418" s="46" t="n">
        <v>0</v>
      </c>
      <c r="Y1418" s="46" t="n">
        <v>243.849</v>
      </c>
      <c r="Z1418" s="46" t="n">
        <v>26819.71</v>
      </c>
      <c r="AA1418" s="46" t="n">
        <v>4843.304</v>
      </c>
      <c r="AB1418" s="46" t="n">
        <v>117829.293</v>
      </c>
      <c r="AC1418" s="46" t="n">
        <v>0</v>
      </c>
      <c r="AD1418" s="46" t="n">
        <v>0</v>
      </c>
      <c r="AE1418" s="46" t="n">
        <v>45.262</v>
      </c>
      <c r="AF1418" s="46" t="n">
        <v>1480.612</v>
      </c>
      <c r="AG1418" s="46" t="n">
        <v>524177.56</v>
      </c>
      <c r="AH1418" s="46" t="n">
        <v>4495.224</v>
      </c>
      <c r="AI1418" s="46" t="n">
        <v>0</v>
      </c>
      <c r="AJ1418" s="46" t="n">
        <v>183.447</v>
      </c>
      <c r="AK1418" s="46" t="n">
        <v>274.194</v>
      </c>
      <c r="AL1418" s="46" t="n">
        <v>2992.058</v>
      </c>
      <c r="AM1418" s="46" t="n">
        <v>0</v>
      </c>
      <c r="AN1418" s="46" t="n">
        <v>0</v>
      </c>
      <c r="AO1418" s="46" t="n">
        <v>304.23</v>
      </c>
      <c r="AP1418" s="46" t="n">
        <v>21356.529</v>
      </c>
      <c r="AQ1418" s="46" t="n"/>
      <c r="AR1418" s="46" t="n"/>
    </row>
    <row r="1419" ht="14" customHeight="1">
      <c r="A1419" s="22" t="n">
        <v>2016</v>
      </c>
      <c r="B1419" s="47">
        <f>IF((A1419&gt;=2022),ROUND((AQ1419*AR1419),1),((((((((((((((((((((((((((((((((((((((((C1419+D1419)+E1419)+F1419)+G1419)+H1419)+I1419)+J1419)+K1419)+L1419)+M1419)+N1419)+O1419)+P1419)+Q1419)+R1419)+S1419)+T1419)+U1419)+V1419)+W1419)+X1419)+Y1419)+Z1419)+AA1419)+AB1419)+AC1419)+AD1419)+AE1419)+AF1419)+AG1419)+AH1419)+AI1419)+AJ1419)+AK1419)+AL1419)+AM1419)+AN1419)+AO1419)+AP1419)*0.001))</f>
        <v/>
      </c>
      <c r="C1419" s="48" t="n">
        <v>304271.558</v>
      </c>
      <c r="D1419" s="48" t="n">
        <v>0</v>
      </c>
      <c r="E1419" s="48" t="n">
        <v>27263.683</v>
      </c>
      <c r="F1419" s="48" t="n">
        <v>0</v>
      </c>
      <c r="G1419" s="48" t="n">
        <v>117261.488</v>
      </c>
      <c r="H1419" s="48" t="n">
        <v>10.278</v>
      </c>
      <c r="I1419" s="48" t="n">
        <v>0</v>
      </c>
      <c r="J1419" s="48" t="n">
        <v>0</v>
      </c>
      <c r="K1419" s="48" t="n">
        <v>12402.728</v>
      </c>
      <c r="L1419" s="48" t="n">
        <v>121834.215</v>
      </c>
      <c r="M1419" s="48" t="n">
        <v>236864.389</v>
      </c>
      <c r="N1419" s="48" t="n">
        <v>96.383</v>
      </c>
      <c r="O1419" s="48" t="n">
        <v>0</v>
      </c>
      <c r="P1419" s="48" t="n">
        <v>2.353</v>
      </c>
      <c r="Q1419" s="48" t="n">
        <v>166.468</v>
      </c>
      <c r="R1419" s="48" t="n">
        <v>1609.307</v>
      </c>
      <c r="S1419" s="48" t="n">
        <v>0</v>
      </c>
      <c r="T1419" s="48" t="n">
        <v>0</v>
      </c>
      <c r="U1419" s="48" t="n">
        <v>439.393</v>
      </c>
      <c r="V1419" s="48" t="n">
        <v>3859.314</v>
      </c>
      <c r="W1419" s="48" t="n">
        <v>1.748</v>
      </c>
      <c r="X1419" s="48" t="n">
        <v>0</v>
      </c>
      <c r="Y1419" s="48" t="n">
        <v>123.653</v>
      </c>
      <c r="Z1419" s="48" t="n">
        <v>26532.308</v>
      </c>
      <c r="AA1419" s="48" t="n">
        <v>3794.673</v>
      </c>
      <c r="AB1419" s="48" t="n">
        <v>115492.313</v>
      </c>
      <c r="AC1419" s="48" t="n">
        <v>0</v>
      </c>
      <c r="AD1419" s="48" t="n">
        <v>0</v>
      </c>
      <c r="AE1419" s="48" t="n">
        <v>45.123</v>
      </c>
      <c r="AF1419" s="48" t="n">
        <v>1537.013</v>
      </c>
      <c r="AG1419" s="48" t="n">
        <v>517953.795</v>
      </c>
      <c r="AH1419" s="48" t="n">
        <v>4137.818</v>
      </c>
      <c r="AI1419" s="48" t="n">
        <v>0</v>
      </c>
      <c r="AJ1419" s="48" t="n">
        <v>162.536</v>
      </c>
      <c r="AK1419" s="48" t="n">
        <v>357.673</v>
      </c>
      <c r="AL1419" s="48" t="n">
        <v>4268.548</v>
      </c>
      <c r="AM1419" s="48" t="n">
        <v>0</v>
      </c>
      <c r="AN1419" s="48" t="n">
        <v>0</v>
      </c>
      <c r="AO1419" s="48" t="n">
        <v>321.032</v>
      </c>
      <c r="AP1419" s="48" t="n">
        <v>23591.913</v>
      </c>
      <c r="AQ1419" s="48" t="n"/>
      <c r="AR1419" s="48" t="n"/>
    </row>
    <row r="1420" ht="14" customHeight="1">
      <c r="A1420" s="15" t="n">
        <v>2017</v>
      </c>
      <c r="B1420" s="45">
        <f>IF((A1420&gt;=2022),ROUND((AQ1420*AR1420),1),((((((((((((((((((((((((((((((((((((((((C1420+D1420)+E1420)+F1420)+G1420)+H1420)+I1420)+J1420)+K1420)+L1420)+M1420)+N1420)+O1420)+P1420)+Q1420)+R1420)+S1420)+T1420)+U1420)+V1420)+W1420)+X1420)+Y1420)+Z1420)+AA1420)+AB1420)+AC1420)+AD1420)+AE1420)+AF1420)+AG1420)+AH1420)+AI1420)+AJ1420)+AK1420)+AL1420)+AM1420)+AN1420)+AO1420)+AP1420)*0.001))</f>
        <v/>
      </c>
      <c r="C1420" s="46" t="n">
        <v>312410.142</v>
      </c>
      <c r="D1420" s="46" t="n">
        <v>0</v>
      </c>
      <c r="E1420" s="46" t="n">
        <v>29042.607</v>
      </c>
      <c r="F1420" s="46" t="n">
        <v>0</v>
      </c>
      <c r="G1420" s="46" t="n">
        <v>128558.103</v>
      </c>
      <c r="H1420" s="46" t="n">
        <v>13.587</v>
      </c>
      <c r="I1420" s="46" t="n">
        <v>0</v>
      </c>
      <c r="J1420" s="46" t="n">
        <v>0</v>
      </c>
      <c r="K1420" s="46" t="n">
        <v>11680.658</v>
      </c>
      <c r="L1420" s="46" t="n">
        <v>124093.253</v>
      </c>
      <c r="M1420" s="46" t="n">
        <v>238161.752</v>
      </c>
      <c r="N1420" s="46" t="n">
        <v>99.202</v>
      </c>
      <c r="O1420" s="46" t="n">
        <v>0</v>
      </c>
      <c r="P1420" s="46" t="n">
        <v>1.756</v>
      </c>
      <c r="Q1420" s="46" t="n">
        <v>390.905</v>
      </c>
      <c r="R1420" s="46" t="n">
        <v>1902.936</v>
      </c>
      <c r="S1420" s="46" t="n">
        <v>0</v>
      </c>
      <c r="T1420" s="46" t="n">
        <v>0</v>
      </c>
      <c r="U1420" s="46" t="n">
        <v>378.78</v>
      </c>
      <c r="V1420" s="46" t="n">
        <v>4485.214</v>
      </c>
      <c r="W1420" s="46" t="n">
        <v>1.489</v>
      </c>
      <c r="X1420" s="46" t="n">
        <v>0</v>
      </c>
      <c r="Y1420" s="46" t="n">
        <v>88.557</v>
      </c>
      <c r="Z1420" s="46" t="n">
        <v>28067.39</v>
      </c>
      <c r="AA1420" s="46" t="n">
        <v>5831.785</v>
      </c>
      <c r="AB1420" s="46" t="n">
        <v>125118.071</v>
      </c>
      <c r="AC1420" s="46" t="n">
        <v>0</v>
      </c>
      <c r="AD1420" s="46" t="n">
        <v>0</v>
      </c>
      <c r="AE1420" s="46" t="n">
        <v>19.648</v>
      </c>
      <c r="AF1420" s="46" t="n">
        <v>1748.556</v>
      </c>
      <c r="AG1420" s="46" t="n">
        <v>524108.114</v>
      </c>
      <c r="AH1420" s="46" t="n">
        <v>4341.313</v>
      </c>
      <c r="AI1420" s="46" t="n">
        <v>0</v>
      </c>
      <c r="AJ1420" s="46" t="n">
        <v>180.578</v>
      </c>
      <c r="AK1420" s="46" t="n">
        <v>640.353</v>
      </c>
      <c r="AL1420" s="46" t="n">
        <v>4983.159</v>
      </c>
      <c r="AM1420" s="46" t="n">
        <v>0</v>
      </c>
      <c r="AN1420" s="46" t="n">
        <v>0</v>
      </c>
      <c r="AO1420" s="46" t="n">
        <v>347.807</v>
      </c>
      <c r="AP1420" s="46" t="n">
        <v>24009.795</v>
      </c>
      <c r="AQ1420" s="46" t="n"/>
      <c r="AR1420" s="46" t="n"/>
    </row>
    <row r="1421" ht="14" customHeight="1">
      <c r="A1421" s="22" t="n">
        <v>2018</v>
      </c>
      <c r="B1421" s="47">
        <f>IF((A1421&gt;=2022),ROUND((AQ1421*AR1421),1),((((((((((((((((((((((((((((((((((((((((C1421+D1421)+E1421)+F1421)+G1421)+H1421)+I1421)+J1421)+K1421)+L1421)+M1421)+N1421)+O1421)+P1421)+Q1421)+R1421)+S1421)+T1421)+U1421)+V1421)+W1421)+X1421)+Y1421)+Z1421)+AA1421)+AB1421)+AC1421)+AD1421)+AE1421)+AF1421)+AG1421)+AH1421)+AI1421)+AJ1421)+AK1421)+AL1421)+AM1421)+AN1421)+AO1421)+AP1421)*0.001))</f>
        <v/>
      </c>
      <c r="C1421" s="48" t="n">
        <v>317735.01</v>
      </c>
      <c r="D1421" s="48" t="n">
        <v>0.167</v>
      </c>
      <c r="E1421" s="48" t="n">
        <v>31362.43</v>
      </c>
      <c r="F1421" s="48" t="n">
        <v>0</v>
      </c>
      <c r="G1421" s="48" t="n">
        <v>145347.2</v>
      </c>
      <c r="H1421" s="48" t="n">
        <v>11.906</v>
      </c>
      <c r="I1421" s="48" t="n">
        <v>0</v>
      </c>
      <c r="J1421" s="48" t="n">
        <v>0</v>
      </c>
      <c r="K1421" s="48" t="n">
        <v>11944.37</v>
      </c>
      <c r="L1421" s="48" t="n">
        <v>124776.732</v>
      </c>
      <c r="M1421" s="48" t="n">
        <v>240546.693</v>
      </c>
      <c r="N1421" s="48" t="n">
        <v>89.541</v>
      </c>
      <c r="O1421" s="48" t="n">
        <v>0</v>
      </c>
      <c r="P1421" s="48" t="n">
        <v>41.276</v>
      </c>
      <c r="Q1421" s="48" t="n">
        <v>435.761</v>
      </c>
      <c r="R1421" s="48" t="n">
        <v>3116.328</v>
      </c>
      <c r="S1421" s="48" t="n">
        <v>0</v>
      </c>
      <c r="T1421" s="48" t="n">
        <v>0</v>
      </c>
      <c r="U1421" s="48" t="n">
        <v>820.627</v>
      </c>
      <c r="V1421" s="48" t="n">
        <v>4737.841</v>
      </c>
      <c r="W1421" s="48" t="n">
        <v>0.488</v>
      </c>
      <c r="X1421" s="48" t="n">
        <v>0</v>
      </c>
      <c r="Y1421" s="48" t="n">
        <v>69.613</v>
      </c>
      <c r="Z1421" s="48" t="n">
        <v>30166.822</v>
      </c>
      <c r="AA1421" s="48" t="n">
        <v>5682.091</v>
      </c>
      <c r="AB1421" s="48" t="n">
        <v>139813.526</v>
      </c>
      <c r="AC1421" s="48" t="n">
        <v>0</v>
      </c>
      <c r="AD1421" s="48" t="n">
        <v>0</v>
      </c>
      <c r="AE1421" s="48" t="n">
        <v>7.974</v>
      </c>
      <c r="AF1421" s="48" t="n">
        <v>1788.903</v>
      </c>
      <c r="AG1421" s="48" t="n">
        <v>549148.716</v>
      </c>
      <c r="AH1421" s="48" t="n">
        <v>4462.967</v>
      </c>
      <c r="AI1421" s="48" t="n">
        <v>0</v>
      </c>
      <c r="AJ1421" s="48" t="n">
        <v>223.752</v>
      </c>
      <c r="AK1421" s="48" t="n">
        <v>591.255</v>
      </c>
      <c r="AL1421" s="48" t="n">
        <v>5413.652</v>
      </c>
      <c r="AM1421" s="48" t="n">
        <v>0</v>
      </c>
      <c r="AN1421" s="48" t="n">
        <v>0</v>
      </c>
      <c r="AO1421" s="48" t="n">
        <v>534.485</v>
      </c>
      <c r="AP1421" s="48" t="n">
        <v>23230.473</v>
      </c>
      <c r="AQ1421" s="48" t="n"/>
      <c r="AR1421" s="48" t="n"/>
    </row>
    <row r="1422" ht="14" customHeight="1">
      <c r="A1422" s="15" t="n">
        <v>2019</v>
      </c>
      <c r="B1422" s="45">
        <f>IF((A1422&gt;=2022),ROUND((AQ1422*AR1422),1),((((((((((((((((((((((((((((((((((((((((C1422+D1422)+E1422)+F1422)+G1422)+H1422)+I1422)+J1422)+K1422)+L1422)+M1422)+N1422)+O1422)+P1422)+Q1422)+R1422)+S1422)+T1422)+U1422)+V1422)+W1422)+X1422)+Y1422)+Z1422)+AA1422)+AB1422)+AC1422)+AD1422)+AE1422)+AF1422)+AG1422)+AH1422)+AI1422)+AJ1422)+AK1422)+AL1422)+AM1422)+AN1422)+AO1422)+AP1422)*0.001))</f>
        <v/>
      </c>
      <c r="C1422" s="46" t="n">
        <v>332665.14</v>
      </c>
      <c r="D1422" s="46" t="n">
        <v>6.833</v>
      </c>
      <c r="E1422" s="46" t="n">
        <v>32815.067</v>
      </c>
      <c r="F1422" s="46" t="n">
        <v>0</v>
      </c>
      <c r="G1422" s="46" t="n">
        <v>149101.339</v>
      </c>
      <c r="H1422" s="46" t="n">
        <v>11.478</v>
      </c>
      <c r="I1422" s="46" t="n">
        <v>0</v>
      </c>
      <c r="J1422" s="46" t="n">
        <v>0</v>
      </c>
      <c r="K1422" s="46" t="n">
        <v>12882.295</v>
      </c>
      <c r="L1422" s="46" t="n">
        <v>127449.813</v>
      </c>
      <c r="M1422" s="46" t="n">
        <v>245080.04</v>
      </c>
      <c r="N1422" s="46" t="n">
        <v>86.26900000000001</v>
      </c>
      <c r="O1422" s="46" t="n">
        <v>0</v>
      </c>
      <c r="P1422" s="46" t="n">
        <v>40.494</v>
      </c>
      <c r="Q1422" s="46" t="n">
        <v>335.273</v>
      </c>
      <c r="R1422" s="46" t="n">
        <v>3237.223</v>
      </c>
      <c r="S1422" s="46" t="n">
        <v>0</v>
      </c>
      <c r="T1422" s="46" t="n">
        <v>0</v>
      </c>
      <c r="U1422" s="46" t="n">
        <v>844.421</v>
      </c>
      <c r="V1422" s="46" t="n">
        <v>5452.62</v>
      </c>
      <c r="W1422" s="46" t="n">
        <v>0.407</v>
      </c>
      <c r="X1422" s="46" t="n">
        <v>0</v>
      </c>
      <c r="Y1422" s="46" t="n">
        <v>43.402</v>
      </c>
      <c r="Z1422" s="46" t="n">
        <v>31413.82</v>
      </c>
      <c r="AA1422" s="46" t="n">
        <v>5383.157</v>
      </c>
      <c r="AB1422" s="46" t="n">
        <v>145302.759</v>
      </c>
      <c r="AC1422" s="46" t="n">
        <v>0</v>
      </c>
      <c r="AD1422" s="46" t="n">
        <v>0</v>
      </c>
      <c r="AE1422" s="46" t="n">
        <v>15.18</v>
      </c>
      <c r="AF1422" s="46" t="n">
        <v>1877.897</v>
      </c>
      <c r="AG1422" s="46" t="n">
        <v>550665.4080000001</v>
      </c>
      <c r="AH1422" s="46" t="n">
        <v>4208.496</v>
      </c>
      <c r="AI1422" s="46" t="n">
        <v>0</v>
      </c>
      <c r="AJ1422" s="46" t="n">
        <v>191.899</v>
      </c>
      <c r="AK1422" s="46" t="n">
        <v>427.068</v>
      </c>
      <c r="AL1422" s="46" t="n">
        <v>5629.701</v>
      </c>
      <c r="AM1422" s="46" t="n">
        <v>0</v>
      </c>
      <c r="AN1422" s="46" t="n">
        <v>0</v>
      </c>
      <c r="AO1422" s="46" t="n">
        <v>612.448</v>
      </c>
      <c r="AP1422" s="46" t="n">
        <v>23194.132</v>
      </c>
      <c r="AQ1422" s="46" t="n"/>
      <c r="AR1422" s="46" t="n"/>
    </row>
    <row r="1423" ht="14" customHeight="1">
      <c r="A1423" s="22" t="n">
        <v>2020</v>
      </c>
      <c r="B1423" s="47">
        <f>IF((A1423&gt;=2022),ROUND((AQ1423*AR1423),1),((((((((((((((((((((((((((((((((((((((((C1423+D1423)+E1423)+F1423)+G1423)+H1423)+I1423)+J1423)+K1423)+L1423)+M1423)+N1423)+O1423)+P1423)+Q1423)+R1423)+S1423)+T1423)+U1423)+V1423)+W1423)+X1423)+Y1423)+Z1423)+AA1423)+AB1423)+AC1423)+AD1423)+AE1423)+AF1423)+AG1423)+AH1423)+AI1423)+AJ1423)+AK1423)+AL1423)+AM1423)+AN1423)+AO1423)+AP1423)*0.001))</f>
        <v/>
      </c>
      <c r="C1423" s="48" t="n">
        <v>341979.283</v>
      </c>
      <c r="D1423" s="48" t="n">
        <v>0</v>
      </c>
      <c r="E1423" s="48" t="n">
        <v>32710.338</v>
      </c>
      <c r="F1423" s="48" t="n">
        <v>0</v>
      </c>
      <c r="G1423" s="48" t="n">
        <v>155275.687</v>
      </c>
      <c r="H1423" s="48" t="n">
        <v>11.929</v>
      </c>
      <c r="I1423" s="48" t="n">
        <v>0</v>
      </c>
      <c r="J1423" s="48" t="n">
        <v>0</v>
      </c>
      <c r="K1423" s="48" t="n">
        <v>12275.861</v>
      </c>
      <c r="L1423" s="48" t="n">
        <v>132721.135</v>
      </c>
      <c r="M1423" s="48" t="n">
        <v>244203.963</v>
      </c>
      <c r="N1423" s="48" t="n">
        <v>86.261</v>
      </c>
      <c r="O1423" s="48" t="n">
        <v>0</v>
      </c>
      <c r="P1423" s="48" t="n">
        <v>39.757</v>
      </c>
      <c r="Q1423" s="48" t="n">
        <v>332.252</v>
      </c>
      <c r="R1423" s="48" t="n">
        <v>3124.552</v>
      </c>
      <c r="S1423" s="48" t="n">
        <v>0</v>
      </c>
      <c r="T1423" s="48" t="n">
        <v>0</v>
      </c>
      <c r="U1423" s="48" t="n">
        <v>1420.072</v>
      </c>
      <c r="V1423" s="48" t="n">
        <v>6069.95</v>
      </c>
      <c r="W1423" s="48" t="n">
        <v>0.423</v>
      </c>
      <c r="X1423" s="48" t="n">
        <v>0</v>
      </c>
      <c r="Y1423" s="48" t="n">
        <v>40.207</v>
      </c>
      <c r="Z1423" s="48" t="n">
        <v>30844.576</v>
      </c>
      <c r="AA1423" s="48" t="n">
        <v>5037.271</v>
      </c>
      <c r="AB1423" s="48" t="n">
        <v>148039.893</v>
      </c>
      <c r="AC1423" s="48" t="n">
        <v>0</v>
      </c>
      <c r="AD1423" s="48" t="n">
        <v>0</v>
      </c>
      <c r="AE1423" s="48" t="n">
        <v>8.574</v>
      </c>
      <c r="AF1423" s="48" t="n">
        <v>2078.783</v>
      </c>
      <c r="AG1423" s="48" t="n">
        <v>533390.709</v>
      </c>
      <c r="AH1423" s="48" t="n">
        <v>3723.283</v>
      </c>
      <c r="AI1423" s="48" t="n">
        <v>0</v>
      </c>
      <c r="AJ1423" s="48" t="n">
        <v>223.696</v>
      </c>
      <c r="AK1423" s="48" t="n">
        <v>464.234</v>
      </c>
      <c r="AL1423" s="48" t="n">
        <v>6169.91</v>
      </c>
      <c r="AM1423" s="48" t="n">
        <v>0</v>
      </c>
      <c r="AN1423" s="48" t="n">
        <v>0</v>
      </c>
      <c r="AO1423" s="48" t="n">
        <v>644.428</v>
      </c>
      <c r="AP1423" s="48" t="n">
        <v>23178.613</v>
      </c>
      <c r="AQ1423" s="48" t="n"/>
      <c r="AR1423" s="48" t="n"/>
    </row>
    <row r="1424" ht="14" customHeight="1">
      <c r="A1424" s="15" t="n">
        <v>2021</v>
      </c>
      <c r="B1424" s="45">
        <f>IF((A1424&gt;=2022),ROUND((AQ1424*AR1424),1),((((((((((((((((((((((((((((((((((((((((C1424+D1424)+E1424)+F1424)+G1424)+H1424)+I1424)+J1424)+K1424)+L1424)+M1424)+N1424)+O1424)+P1424)+Q1424)+R1424)+S1424)+T1424)+U1424)+V1424)+W1424)+X1424)+Y1424)+Z1424)+AA1424)+AB1424)+AC1424)+AD1424)+AE1424)+AF1424)+AG1424)+AH1424)+AI1424)+AJ1424)+AK1424)+AL1424)+AM1424)+AN1424)+AO1424)+AP1424)*0.001))</f>
        <v/>
      </c>
      <c r="C1424" s="46" t="n">
        <v>384161.476</v>
      </c>
      <c r="D1424" s="46" t="n">
        <v>0</v>
      </c>
      <c r="E1424" s="46" t="n">
        <v>36531.809</v>
      </c>
      <c r="F1424" s="46" t="n">
        <v>0</v>
      </c>
      <c r="G1424" s="46" t="n">
        <v>158092.28</v>
      </c>
      <c r="H1424" s="46" t="n">
        <v>54.976</v>
      </c>
      <c r="I1424" s="46" t="n">
        <v>0</v>
      </c>
      <c r="J1424" s="46" t="n">
        <v>0</v>
      </c>
      <c r="K1424" s="46" t="n">
        <v>11634.687</v>
      </c>
      <c r="L1424" s="46" t="n">
        <v>138700.057</v>
      </c>
      <c r="M1424" s="46" t="n">
        <v>245631.234</v>
      </c>
      <c r="N1424" s="46" t="n">
        <v>86.261</v>
      </c>
      <c r="O1424" s="46" t="n">
        <v>0</v>
      </c>
      <c r="P1424" s="46" t="n">
        <v>40.482</v>
      </c>
      <c r="Q1424" s="46" t="n">
        <v>262.269</v>
      </c>
      <c r="R1424" s="46" t="n">
        <v>3560.056</v>
      </c>
      <c r="S1424" s="46" t="n">
        <v>0</v>
      </c>
      <c r="T1424" s="46" t="n">
        <v>0</v>
      </c>
      <c r="U1424" s="46" t="n">
        <v>1304.164</v>
      </c>
      <c r="V1424" s="46" t="n">
        <v>5913.059</v>
      </c>
      <c r="W1424" s="46" t="n">
        <v>0.334</v>
      </c>
      <c r="X1424" s="46" t="n">
        <v>0</v>
      </c>
      <c r="Y1424" s="46" t="n">
        <v>29.639</v>
      </c>
      <c r="Z1424" s="46" t="n">
        <v>35123.005</v>
      </c>
      <c r="AA1424" s="46" t="n">
        <v>5441.528</v>
      </c>
      <c r="AB1424" s="46" t="n">
        <v>152780.422</v>
      </c>
      <c r="AC1424" s="46" t="n">
        <v>0</v>
      </c>
      <c r="AD1424" s="46" t="n">
        <v>0</v>
      </c>
      <c r="AE1424" s="46" t="n">
        <v>18.4</v>
      </c>
      <c r="AF1424" s="46" t="n">
        <v>1366.588</v>
      </c>
      <c r="AG1424" s="46" t="n">
        <v>582656.724</v>
      </c>
      <c r="AH1424" s="46" t="n">
        <v>3648.893</v>
      </c>
      <c r="AI1424" s="46" t="n">
        <v>0</v>
      </c>
      <c r="AJ1424" s="46" t="n">
        <v>244.062</v>
      </c>
      <c r="AK1424" s="46" t="n">
        <v>457.353</v>
      </c>
      <c r="AL1424" s="46" t="n">
        <v>6359.96</v>
      </c>
      <c r="AM1424" s="46" t="n">
        <v>0</v>
      </c>
      <c r="AN1424" s="46" t="n">
        <v>0</v>
      </c>
      <c r="AO1424" s="46" t="n">
        <v>476.599</v>
      </c>
      <c r="AP1424" s="46" t="n">
        <v>21119.913</v>
      </c>
      <c r="AQ1424" s="46" t="n"/>
      <c r="AR1424" s="46" t="n"/>
    </row>
    <row r="1425" ht="14" customHeight="1">
      <c r="A1425" s="22" t="n">
        <v>2022</v>
      </c>
      <c r="B1425" s="47">
        <f>IF((A1425&gt;=2022),ROUND((AQ1425*AR1425),1),((((((((((((((((((((((((((((((((((((((((C1425+D1425)+E1425)+F1425)+G1425)+H1425)+I1425)+J1425)+K1425)+L1425)+M1425)+N1425)+O1425)+P1425)+Q1425)+R1425)+S1425)+T1425)+U1425)+V1425)+W1425)+X1425)+Y1425)+Z1425)+AA1425)+AB1425)+AC1425)+AD1425)+AE1425)+AF1425)+AG1425)+AH1425)+AI1425)+AJ1425)+AK1425)+AL1425)+AM1425)+AN1425)+AO1425)+AP1425)*0.001))</f>
        <v/>
      </c>
      <c r="C1425" s="48" t="n"/>
      <c r="D1425" s="48" t="n"/>
      <c r="E1425" s="48" t="n"/>
      <c r="F1425" s="48" t="n"/>
      <c r="G1425" s="48" t="n"/>
      <c r="H1425" s="48" t="n"/>
      <c r="I1425" s="48" t="n"/>
      <c r="J1425" s="48" t="n"/>
      <c r="K1425" s="48" t="n"/>
      <c r="L1425" s="48" t="n"/>
      <c r="M1425" s="48" t="n"/>
      <c r="N1425" s="48" t="n"/>
      <c r="O1425" s="48" t="n"/>
      <c r="P1425" s="48" t="n"/>
      <c r="Q1425" s="48" t="n"/>
      <c r="R1425" s="48" t="n"/>
      <c r="S1425" s="48" t="n"/>
      <c r="T1425" s="48" t="n"/>
      <c r="U1425" s="48" t="n"/>
      <c r="V1425" s="48" t="n"/>
      <c r="W1425" s="48" t="n"/>
      <c r="X1425" s="48" t="n"/>
      <c r="Y1425" s="48" t="n"/>
      <c r="Z1425" s="48" t="n"/>
      <c r="AA1425" s="48" t="n"/>
      <c r="AB1425" s="48" t="n"/>
      <c r="AC1425" s="48" t="n"/>
      <c r="AD1425" s="48" t="n"/>
      <c r="AE1425" s="48" t="n"/>
      <c r="AF1425" s="48" t="n"/>
      <c r="AG1425" s="48" t="n"/>
      <c r="AH1425" s="48" t="n"/>
      <c r="AI1425" s="48" t="n"/>
      <c r="AJ1425" s="48" t="n"/>
      <c r="AK1425" s="48" t="n"/>
      <c r="AL1425" s="48" t="n"/>
      <c r="AM1425" s="48" t="n"/>
      <c r="AN1425" s="48" t="n"/>
      <c r="AO1425" s="48" t="n"/>
      <c r="AP1425" s="48" t="n"/>
      <c r="AQ1425" s="48" t="n">
        <v>1698044.762</v>
      </c>
      <c r="AR1425" s="48" t="n">
        <v>0.001</v>
      </c>
    </row>
    <row r="1426" ht="14" customHeight="1">
      <c r="A1426" s="15" t="n">
        <v>2023</v>
      </c>
      <c r="B1426" s="45">
        <f>IF((A1426&gt;=2022),ROUND((AQ1426*AR1426),1),((((((((((((((((((((((((((((((((((((((((C1426+D1426)+E1426)+F1426)+G1426)+H1426)+I1426)+J1426)+K1426)+L1426)+M1426)+N1426)+O1426)+P1426)+Q1426)+R1426)+S1426)+T1426)+U1426)+V1426)+W1426)+X1426)+Y1426)+Z1426)+AA1426)+AB1426)+AC1426)+AD1426)+AE1426)+AF1426)+AG1426)+AH1426)+AI1426)+AJ1426)+AK1426)+AL1426)+AM1426)+AN1426)+AO1426)+AP1426)*0.001))</f>
        <v/>
      </c>
      <c r="C1426" s="46" t="n"/>
      <c r="D1426" s="46" t="n"/>
      <c r="E1426" s="46" t="n"/>
      <c r="F1426" s="46" t="n"/>
      <c r="G1426" s="46" t="n"/>
      <c r="H1426" s="46" t="n"/>
      <c r="I1426" s="46" t="n"/>
      <c r="J1426" s="46" t="n"/>
      <c r="K1426" s="46" t="n"/>
      <c r="L1426" s="46" t="n"/>
      <c r="M1426" s="46" t="n"/>
      <c r="N1426" s="46" t="n"/>
      <c r="O1426" s="46" t="n"/>
      <c r="P1426" s="46" t="n"/>
      <c r="Q1426" s="46" t="n"/>
      <c r="R1426" s="46" t="n"/>
      <c r="S1426" s="46" t="n"/>
      <c r="T1426" s="46" t="n"/>
      <c r="U1426" s="46" t="n"/>
      <c r="V1426" s="46" t="n"/>
      <c r="W1426" s="46" t="n"/>
      <c r="X1426" s="46" t="n"/>
      <c r="Y1426" s="46" t="n"/>
      <c r="Z1426" s="46" t="n"/>
      <c r="AA1426" s="46" t="n"/>
      <c r="AB1426" s="46" t="n"/>
      <c r="AC1426" s="46" t="n"/>
      <c r="AD1426" s="46" t="n"/>
      <c r="AE1426" s="46" t="n"/>
      <c r="AF1426" s="46" t="n"/>
      <c r="AG1426" s="46" t="n"/>
      <c r="AH1426" s="46" t="n"/>
      <c r="AI1426" s="46" t="n"/>
      <c r="AJ1426" s="46" t="n"/>
      <c r="AK1426" s="46" t="n"/>
      <c r="AL1426" s="46" t="n"/>
      <c r="AM1426" s="46" t="n"/>
      <c r="AN1426" s="46" t="n"/>
      <c r="AO1426" s="46" t="n"/>
      <c r="AP1426" s="46" t="n"/>
      <c r="AQ1426" s="46" t="n">
        <v>1664896.118</v>
      </c>
      <c r="AR1426" s="46" t="n">
        <v>0.001</v>
      </c>
    </row>
    <row r="1427" ht="14" customHeight="1">
      <c r="A1427" s="22" t="n">
        <v>2024</v>
      </c>
      <c r="B1427" s="47">
        <f>IF((A1427&gt;=2022),ROUND((AQ1427*AR1427),1),((((((((((((((((((((((((((((((((((((((((C1427+D1427)+E1427)+F1427)+G1427)+H1427)+I1427)+J1427)+K1427)+L1427)+M1427)+N1427)+O1427)+P1427)+Q1427)+R1427)+S1427)+T1427)+U1427)+V1427)+W1427)+X1427)+Y1427)+Z1427)+AA1427)+AB1427)+AC1427)+AD1427)+AE1427)+AF1427)+AG1427)+AH1427)+AI1427)+AJ1427)+AK1427)+AL1427)+AM1427)+AN1427)+AO1427)+AP1427)*0.001))</f>
        <v/>
      </c>
      <c r="C1427" s="48" t="n"/>
      <c r="D1427" s="48" t="n"/>
      <c r="E1427" s="48" t="n"/>
      <c r="F1427" s="48" t="n"/>
      <c r="G1427" s="48" t="n"/>
      <c r="H1427" s="48" t="n"/>
      <c r="I1427" s="48" t="n"/>
      <c r="J1427" s="48" t="n"/>
      <c r="K1427" s="48" t="n"/>
      <c r="L1427" s="48" t="n"/>
      <c r="M1427" s="48" t="n"/>
      <c r="N1427" s="48" t="n"/>
      <c r="O1427" s="48" t="n"/>
      <c r="P1427" s="48" t="n"/>
      <c r="Q1427" s="48" t="n"/>
      <c r="R1427" s="48" t="n"/>
      <c r="S1427" s="48" t="n"/>
      <c r="T1427" s="48" t="n"/>
      <c r="U1427" s="48" t="n"/>
      <c r="V1427" s="48" t="n"/>
      <c r="W1427" s="48" t="n"/>
      <c r="X1427" s="48" t="n"/>
      <c r="Y1427" s="48" t="n"/>
      <c r="Z1427" s="48" t="n"/>
      <c r="AA1427" s="48" t="n"/>
      <c r="AB1427" s="48" t="n"/>
      <c r="AC1427" s="48" t="n"/>
      <c r="AD1427" s="48" t="n"/>
      <c r="AE1427" s="48" t="n"/>
      <c r="AF1427" s="48" t="n"/>
      <c r="AG1427" s="48" t="n"/>
      <c r="AH1427" s="48" t="n"/>
      <c r="AI1427" s="48" t="n"/>
      <c r="AJ1427" s="48" t="n"/>
      <c r="AK1427" s="48" t="n"/>
      <c r="AL1427" s="48" t="n"/>
      <c r="AM1427" s="48" t="n"/>
      <c r="AN1427" s="48" t="n"/>
      <c r="AO1427" s="48" t="n"/>
      <c r="AP1427" s="48" t="n"/>
      <c r="AQ1427" s="48" t="n">
        <v>1663518.857</v>
      </c>
      <c r="AR1427" s="48" t="n">
        <v>0.001</v>
      </c>
    </row>
    <row r="1430">
      <c r="A1430" s="57" t="inlineStr">
        <is>
          <t>F1 · EU fossil-fuel subsidies (FFST)  (billion EUR)</t>
        </is>
      </c>
    </row>
    <row r="1431" ht="26" customHeight="1">
      <c r="A1431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432" ht="24" customHeight="1">
      <c r="A1432" s="3" t="inlineStr">
        <is>
          <t>Derivation:  Value = [Report figure (2024 report underlying data)]</t>
        </is>
      </c>
    </row>
    <row r="1433" ht="42" customHeight="1">
      <c r="A1433" s="44" t="inlineStr">
        <is>
          <t>Year</t>
        </is>
      </c>
      <c r="B1433" s="44" t="inlineStr">
        <is>
          <t>Value</t>
        </is>
      </c>
      <c r="C1433" s="44" t="inlineStr">
        <is>
          <t>Report figure (2024 report underlying data)</t>
        </is>
      </c>
    </row>
    <row r="1434" ht="14" customHeight="1">
      <c r="A1434" s="15" t="n">
        <v>2010</v>
      </c>
      <c r="B1434" s="45">
        <f>C1434</f>
        <v/>
      </c>
      <c r="C1434" s="46" t="n">
        <v>46.1</v>
      </c>
    </row>
    <row r="1435" ht="14" customHeight="1">
      <c r="A1435" s="22" t="n">
        <v>2011</v>
      </c>
      <c r="B1435" s="47">
        <f>C1435</f>
        <v/>
      </c>
      <c r="C1435" s="48" t="n">
        <v>49.08</v>
      </c>
    </row>
    <row r="1436" ht="14" customHeight="1">
      <c r="A1436" s="15" t="n">
        <v>2012</v>
      </c>
      <c r="B1436" s="45">
        <f>C1436</f>
        <v/>
      </c>
      <c r="C1436" s="46" t="n">
        <v>48.05</v>
      </c>
    </row>
    <row r="1437" ht="14" customHeight="1">
      <c r="A1437" s="22" t="n">
        <v>2013</v>
      </c>
      <c r="B1437" s="47">
        <f>C1437</f>
        <v/>
      </c>
      <c r="C1437" s="48" t="n">
        <v>48.38</v>
      </c>
    </row>
    <row r="1438" ht="14" customHeight="1">
      <c r="A1438" s="15" t="n">
        <v>2014</v>
      </c>
      <c r="B1438" s="45">
        <f>C1438</f>
        <v/>
      </c>
      <c r="C1438" s="46" t="n">
        <v>48.25</v>
      </c>
    </row>
    <row r="1439" ht="14" customHeight="1">
      <c r="A1439" s="22" t="n">
        <v>2015</v>
      </c>
      <c r="B1439" s="47">
        <f>C1439</f>
        <v/>
      </c>
      <c r="C1439" s="48" t="n">
        <v>44.22</v>
      </c>
    </row>
    <row r="1440" ht="14" customHeight="1">
      <c r="A1440" s="15" t="n">
        <v>2016</v>
      </c>
      <c r="B1440" s="45">
        <f>C1440</f>
        <v/>
      </c>
      <c r="C1440" s="46" t="n">
        <v>45</v>
      </c>
    </row>
    <row r="1441" ht="14" customHeight="1">
      <c r="A1441" s="22" t="n">
        <v>2017</v>
      </c>
      <c r="B1441" s="47">
        <f>C1441</f>
        <v/>
      </c>
      <c r="C1441" s="48" t="n">
        <v>47.59</v>
      </c>
    </row>
    <row r="1442" ht="14" customHeight="1">
      <c r="A1442" s="15" t="n">
        <v>2018</v>
      </c>
      <c r="B1442" s="45">
        <f>C1442</f>
        <v/>
      </c>
      <c r="C1442" s="46" t="n">
        <v>53.77</v>
      </c>
    </row>
    <row r="1443" ht="14" customHeight="1">
      <c r="A1443" s="22" t="n">
        <v>2019</v>
      </c>
      <c r="B1443" s="47">
        <f>C1443</f>
        <v/>
      </c>
      <c r="C1443" s="48" t="n">
        <v>51.53</v>
      </c>
    </row>
    <row r="1444" ht="14" customHeight="1">
      <c r="A1444" s="15" t="n">
        <v>2020</v>
      </c>
      <c r="B1444" s="45">
        <f>C1444</f>
        <v/>
      </c>
      <c r="C1444" s="46" t="n">
        <v>50.78</v>
      </c>
    </row>
    <row r="1445" ht="14" customHeight="1">
      <c r="A1445" s="22" t="n">
        <v>2021</v>
      </c>
      <c r="B1445" s="47">
        <f>C1445</f>
        <v/>
      </c>
      <c r="C1445" s="48" t="n">
        <v>56</v>
      </c>
    </row>
    <row r="1446" ht="14" customHeight="1">
      <c r="A1446" s="15" t="n">
        <v>2022</v>
      </c>
      <c r="B1446" s="45">
        <f>C1446</f>
        <v/>
      </c>
      <c r="C1446" s="46" t="n">
        <v>122</v>
      </c>
    </row>
    <row r="1447" ht="14" customHeight="1">
      <c r="A1447" s="22" t="n">
        <v>2023</v>
      </c>
      <c r="B1447" s="47">
        <f>C1447</f>
        <v/>
      </c>
      <c r="C1447" s="48" t="n">
        <v>111</v>
      </c>
    </row>
    <row r="1450">
      <c r="A1450" s="57" t="inlineStr">
        <is>
          <t>F2 (share) · Green share of EU bond issuance  (%)</t>
        </is>
      </c>
    </row>
    <row r="1451" ht="26" customHeight="1">
      <c r="A1451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452" ht="24" customHeight="1">
      <c r="A1452" s="3" t="inlineStr">
        <is>
          <t>Derivation:  Value = [Report figure (2024 report underlying data)]</t>
        </is>
      </c>
    </row>
    <row r="1453" ht="42" customHeight="1">
      <c r="A1453" s="44" t="inlineStr">
        <is>
          <t>Year</t>
        </is>
      </c>
      <c r="B1453" s="44" t="inlineStr">
        <is>
          <t>Value</t>
        </is>
      </c>
      <c r="C1453" s="44" t="inlineStr">
        <is>
          <t>Report figure (2024 report underlying data)</t>
        </is>
      </c>
    </row>
    <row r="1454" ht="14" customHeight="1">
      <c r="A1454" s="15" t="n">
        <v>2012</v>
      </c>
      <c r="B1454" s="45">
        <f>C1454</f>
        <v/>
      </c>
      <c r="C1454" s="46" t="n">
        <v>0.08</v>
      </c>
    </row>
    <row r="1455" ht="14" customHeight="1">
      <c r="A1455" s="22" t="n">
        <v>2013</v>
      </c>
      <c r="B1455" s="47">
        <f>C1455</f>
        <v/>
      </c>
      <c r="C1455" s="48" t="n">
        <v>0.1</v>
      </c>
    </row>
    <row r="1456" ht="14" customHeight="1">
      <c r="A1456" s="15" t="n">
        <v>2014</v>
      </c>
      <c r="B1456" s="45">
        <f>C1456</f>
        <v/>
      </c>
      <c r="C1456" s="46" t="n">
        <v>0.83</v>
      </c>
    </row>
    <row r="1457" ht="14" customHeight="1">
      <c r="A1457" s="22" t="n">
        <v>2015</v>
      </c>
      <c r="B1457" s="47">
        <f>C1457</f>
        <v/>
      </c>
      <c r="C1457" s="48" t="n">
        <v>0.85</v>
      </c>
    </row>
    <row r="1458" ht="14" customHeight="1">
      <c r="A1458" s="15" t="n">
        <v>2016</v>
      </c>
      <c r="B1458" s="45">
        <f>C1458</f>
        <v/>
      </c>
      <c r="C1458" s="46" t="n">
        <v>1.69</v>
      </c>
    </row>
    <row r="1459" ht="14" customHeight="1">
      <c r="A1459" s="22" t="n">
        <v>2017</v>
      </c>
      <c r="B1459" s="47">
        <f>C1459</f>
        <v/>
      </c>
      <c r="C1459" s="48" t="n">
        <v>4.18</v>
      </c>
    </row>
    <row r="1460" ht="14" customHeight="1">
      <c r="A1460" s="15" t="n">
        <v>2018</v>
      </c>
      <c r="B1460" s="45">
        <f>C1460</f>
        <v/>
      </c>
      <c r="C1460" s="46" t="n">
        <v>3.19</v>
      </c>
    </row>
    <row r="1461" ht="14" customHeight="1">
      <c r="A1461" s="22" t="n">
        <v>2019</v>
      </c>
      <c r="B1461" s="47">
        <f>C1461</f>
        <v/>
      </c>
      <c r="C1461" s="48" t="n">
        <v>4.82</v>
      </c>
    </row>
    <row r="1462" ht="14" customHeight="1">
      <c r="A1462" s="15" t="n">
        <v>2020</v>
      </c>
      <c r="B1462" s="45">
        <f>C1462</f>
        <v/>
      </c>
      <c r="C1462" s="46" t="n">
        <v>4.57</v>
      </c>
    </row>
    <row r="1463" ht="14" customHeight="1">
      <c r="A1463" s="22" t="n">
        <v>2021</v>
      </c>
      <c r="B1463" s="47">
        <f>C1463</f>
        <v/>
      </c>
      <c r="C1463" s="48" t="n">
        <v>8.08</v>
      </c>
    </row>
    <row r="1464" ht="14" customHeight="1">
      <c r="A1464" s="15" t="n">
        <v>2022</v>
      </c>
      <c r="B1464" s="45">
        <f>C1464</f>
        <v/>
      </c>
      <c r="C1464" s="46" t="n">
        <v>6.74</v>
      </c>
    </row>
    <row r="1465" ht="14" customHeight="1">
      <c r="A1465" s="22" t="n">
        <v>2023</v>
      </c>
      <c r="B1465" s="47">
        <f>C1465</f>
        <v/>
      </c>
      <c r="C1465" s="48" t="n">
        <v>5.3</v>
      </c>
    </row>
    <row r="1466" ht="14" customHeight="1">
      <c r="A1466" s="15" t="n">
        <v>2024</v>
      </c>
      <c r="B1466" s="45">
        <f>C1466</f>
        <v/>
      </c>
      <c r="C1466" s="46" t="n">
        <v>6.9</v>
      </c>
    </row>
    <row r="1469">
      <c r="A1469" s="57" t="inlineStr">
        <is>
          <t>F3 · EU R&amp;D expenditure (GERD)  (% of GDP)</t>
        </is>
      </c>
    </row>
    <row r="1470" ht="26" customHeight="1">
      <c r="A1470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471" ht="24" customHeight="1">
      <c r="A1471" s="3" t="inlineStr">
        <is>
          <t>Derivation:  Value = IF(A &gt;= 2023, ROUND([rd_e_gerdtot TOTAL], 2), [Report figure (2024 report underlying data)])</t>
        </is>
      </c>
    </row>
    <row r="1472" ht="42" customHeight="1">
      <c r="A1472" s="44" t="inlineStr">
        <is>
          <t>Year</t>
        </is>
      </c>
      <c r="B1472" s="44" t="inlineStr">
        <is>
          <t>Value</t>
        </is>
      </c>
      <c r="C1472" s="44" t="inlineStr">
        <is>
          <t>Report figure (2024 report underlying data)</t>
        </is>
      </c>
      <c r="D1472" s="44" t="inlineStr">
        <is>
          <t>rd_e_gerdtot TOTAL</t>
        </is>
      </c>
    </row>
    <row r="1473" ht="14" customHeight="1">
      <c r="A1473" s="15" t="n">
        <v>2012</v>
      </c>
      <c r="B1473" s="45">
        <f>IF((A1473&gt;=2023),ROUND(D1473,2),C1473)</f>
        <v/>
      </c>
      <c r="C1473" s="46" t="n">
        <v>2.02</v>
      </c>
      <c r="D1473" s="46" t="n"/>
    </row>
    <row r="1474" ht="14" customHeight="1">
      <c r="A1474" s="22" t="n">
        <v>2013</v>
      </c>
      <c r="B1474" s="47">
        <f>IF((A1474&gt;=2023),ROUND(D1474,2),C1474)</f>
        <v/>
      </c>
      <c r="C1474" s="48" t="n">
        <v>2.08</v>
      </c>
      <c r="D1474" s="48" t="n"/>
    </row>
    <row r="1475" ht="14" customHeight="1">
      <c r="A1475" s="15" t="n">
        <v>2014</v>
      </c>
      <c r="B1475" s="45">
        <f>IF((A1475&gt;=2023),ROUND(D1475,2),C1475)</f>
        <v/>
      </c>
      <c r="C1475" s="46" t="n">
        <v>2.1</v>
      </c>
      <c r="D1475" s="46" t="n"/>
    </row>
    <row r="1476" ht="14" customHeight="1">
      <c r="A1476" s="22" t="n">
        <v>2015</v>
      </c>
      <c r="B1476" s="47">
        <f>IF((A1476&gt;=2023),ROUND(D1476,2),C1476)</f>
        <v/>
      </c>
      <c r="C1476" s="48" t="n">
        <v>2.11</v>
      </c>
      <c r="D1476" s="48" t="n"/>
    </row>
    <row r="1477" ht="14" customHeight="1">
      <c r="A1477" s="15" t="n">
        <v>2016</v>
      </c>
      <c r="B1477" s="45">
        <f>IF((A1477&gt;=2023),ROUND(D1477,2),C1477)</f>
        <v/>
      </c>
      <c r="C1477" s="46" t="n">
        <v>2.12</v>
      </c>
      <c r="D1477" s="46" t="n"/>
    </row>
    <row r="1478" ht="14" customHeight="1">
      <c r="A1478" s="22" t="n">
        <v>2017</v>
      </c>
      <c r="B1478" s="47">
        <f>IF((A1478&gt;=2023),ROUND(D1478,2),C1478)</f>
        <v/>
      </c>
      <c r="C1478" s="48" t="n">
        <v>2.12</v>
      </c>
      <c r="D1478" s="48" t="n"/>
    </row>
    <row r="1479" ht="14" customHeight="1">
      <c r="A1479" s="15" t="n">
        <v>2018</v>
      </c>
      <c r="B1479" s="45">
        <f>IF((A1479&gt;=2023),ROUND(D1479,2),C1479)</f>
        <v/>
      </c>
      <c r="C1479" s="46" t="n">
        <v>2.15</v>
      </c>
      <c r="D1479" s="46" t="n"/>
    </row>
    <row r="1480" ht="14" customHeight="1">
      <c r="A1480" s="22" t="n">
        <v>2019</v>
      </c>
      <c r="B1480" s="47">
        <f>IF((A1480&gt;=2023),ROUND(D1480,2),C1480)</f>
        <v/>
      </c>
      <c r="C1480" s="48" t="n">
        <v>2.19</v>
      </c>
      <c r="D1480" s="48" t="n"/>
    </row>
    <row r="1481" ht="14" customHeight="1">
      <c r="A1481" s="15" t="n">
        <v>2020</v>
      </c>
      <c r="B1481" s="45">
        <f>IF((A1481&gt;=2023),ROUND(D1481,2),C1481)</f>
        <v/>
      </c>
      <c r="C1481" s="46" t="n">
        <v>2.23</v>
      </c>
      <c r="D1481" s="46" t="n"/>
    </row>
    <row r="1482" ht="14" customHeight="1">
      <c r="A1482" s="22" t="n">
        <v>2021</v>
      </c>
      <c r="B1482" s="47">
        <f>IF((A1482&gt;=2023),ROUND(D1482,2),C1482)</f>
        <v/>
      </c>
      <c r="C1482" s="48" t="n">
        <v>2.31</v>
      </c>
      <c r="D1482" s="48" t="n"/>
    </row>
    <row r="1483" ht="14" customHeight="1">
      <c r="A1483" s="15" t="n">
        <v>2022</v>
      </c>
      <c r="B1483" s="45">
        <f>IF((A1483&gt;=2023),ROUND(D1483,2),C1483)</f>
        <v/>
      </c>
      <c r="C1483" s="46" t="n">
        <v>2.27</v>
      </c>
      <c r="D1483" s="46" t="n"/>
    </row>
    <row r="1484" ht="14" customHeight="1">
      <c r="A1484" s="22" t="n">
        <v>2023</v>
      </c>
      <c r="B1484" s="47">
        <f>IF((A1484&gt;=2023),ROUND(D1484,2),C1484)</f>
        <v/>
      </c>
      <c r="C1484" s="48" t="n"/>
      <c r="D1484" s="48" t="n">
        <v>2.26</v>
      </c>
    </row>
    <row r="1485" ht="14" customHeight="1">
      <c r="A1485" s="15" t="n">
        <v>2024</v>
      </c>
      <c r="B1485" s="45">
        <f>IF((A1485&gt;=2023),ROUND(D1485,2),C1485)</f>
        <v/>
      </c>
      <c r="C1485" s="46" t="n"/>
      <c r="D1485" s="46" t="n">
        <v>2.24</v>
      </c>
    </row>
    <row r="1488">
      <c r="A1488" s="57" t="inlineStr">
        <is>
          <t>F5 · Cleantech venture &amp; growth investment in the EU  (% of GDP)</t>
        </is>
      </c>
    </row>
    <row r="1489" ht="26" customHeight="1">
      <c r="A1489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490" ht="24" customHeight="1">
      <c r="A1490" s="3" t="inlineStr">
        <is>
          <t>Derivation:  Value = [Report figure (2024 report underlying data)]</t>
        </is>
      </c>
    </row>
    <row r="1491" ht="42" customHeight="1">
      <c r="A1491" s="44" t="inlineStr">
        <is>
          <t>Year</t>
        </is>
      </c>
      <c r="B1491" s="44" t="inlineStr">
        <is>
          <t>Value</t>
        </is>
      </c>
      <c r="C1491" s="44" t="inlineStr">
        <is>
          <t>Report figure (2024 report underlying data)</t>
        </is>
      </c>
    </row>
    <row r="1492" ht="14" customHeight="1">
      <c r="A1492" s="15" t="n">
        <v>2018</v>
      </c>
      <c r="B1492" s="45">
        <f>C1492</f>
        <v/>
      </c>
      <c r="C1492" s="46" t="n">
        <v>0.02</v>
      </c>
    </row>
    <row r="1493" ht="14" customHeight="1">
      <c r="A1493" s="22" t="n">
        <v>2019</v>
      </c>
      <c r="B1493" s="47">
        <f>C1493</f>
        <v/>
      </c>
      <c r="C1493" s="48" t="n">
        <v>0.03</v>
      </c>
    </row>
    <row r="1494" ht="14" customHeight="1">
      <c r="A1494" s="15" t="n">
        <v>2020</v>
      </c>
      <c r="B1494" s="45">
        <f>C1494</f>
        <v/>
      </c>
      <c r="C1494" s="46" t="n">
        <v>0.03</v>
      </c>
    </row>
    <row r="1495" ht="14" customHeight="1">
      <c r="A1495" s="22" t="n">
        <v>2021</v>
      </c>
      <c r="B1495" s="47">
        <f>C1495</f>
        <v/>
      </c>
      <c r="C1495" s="48" t="n">
        <v>0.07000000000000001</v>
      </c>
    </row>
    <row r="1496" ht="14" customHeight="1">
      <c r="A1496" s="15" t="n">
        <v>2022</v>
      </c>
      <c r="B1496" s="45">
        <f>C1496</f>
        <v/>
      </c>
      <c r="C1496" s="46" t="n">
        <v>0.06</v>
      </c>
    </row>
    <row r="1497" ht="14" customHeight="1">
      <c r="A1497" s="22" t="n">
        <v>2023</v>
      </c>
      <c r="B1497" s="47">
        <f>C1497</f>
        <v/>
      </c>
      <c r="C1497" s="48" t="n">
        <v>0.07000000000000001</v>
      </c>
    </row>
    <row r="1498" ht="14" customHeight="1">
      <c r="A1498" s="15" t="n">
        <v>2024</v>
      </c>
      <c r="B1498" s="45">
        <f>C1498</f>
        <v/>
      </c>
      <c r="C1498" s="46" t="n">
        <v>0.05</v>
      </c>
    </row>
    <row r="1499" ht="14" customHeight="1">
      <c r="A1499" s="22" t="n">
        <v>2025</v>
      </c>
      <c r="B1499" s="47">
        <f>C1499</f>
        <v/>
      </c>
      <c r="C1499" s="48" t="n">
        <v>0.04</v>
      </c>
    </row>
    <row r="1502">
      <c r="A1502" s="58" t="inlineStr">
        <is>
          <t>Notes: a formula of the form =IF(A…&gt;=2023, ROUND(&lt;live-source recipe&gt;), &lt;report recipe&gt;) keeps the report years on the 2024 workbook's derivation and computes the later years from the live source. Both derivations are shown because they are genuinely different.</t>
        </is>
      </c>
    </row>
  </sheetData>
  <mergeCells count="209">
    <mergeCell ref="A345:L345"/>
    <mergeCell ref="A1028:L1028"/>
    <mergeCell ref="A444:L444"/>
    <mergeCell ref="A138:H138"/>
    <mergeCell ref="A915:H915"/>
    <mergeCell ref="A720:L720"/>
    <mergeCell ref="A842:L842"/>
    <mergeCell ref="A552:H552"/>
    <mergeCell ref="A891:L891"/>
    <mergeCell ref="A1236:L1236"/>
    <mergeCell ref="A1378:H1378"/>
    <mergeCell ref="A1027:L1027"/>
    <mergeCell ref="A139:L139"/>
    <mergeCell ref="A113:L113"/>
    <mergeCell ref="A443:L443"/>
    <mergeCell ref="A483:L483"/>
    <mergeCell ref="A1431:L1431"/>
    <mergeCell ref="A625:H625"/>
    <mergeCell ref="A1180:H1180"/>
    <mergeCell ref="A1225:L1225"/>
    <mergeCell ref="A317:H317"/>
    <mergeCell ref="A1137:H1137"/>
    <mergeCell ref="A371:L371"/>
    <mergeCell ref="A602:H602"/>
    <mergeCell ref="A165:L165"/>
    <mergeCell ref="A745:H745"/>
    <mergeCell ref="A719:H719"/>
    <mergeCell ref="A1181:L1181"/>
    <mergeCell ref="A293:L293"/>
    <mergeCell ref="A1432:L1432"/>
    <mergeCell ref="A1226:L1226"/>
    <mergeCell ref="A965:L965"/>
    <mergeCell ref="A34:L34"/>
    <mergeCell ref="A747:L747"/>
    <mergeCell ref="A1354:L1354"/>
    <mergeCell ref="A671:H671"/>
    <mergeCell ref="A1071:L1071"/>
    <mergeCell ref="A6:L6"/>
    <mergeCell ref="A1160:L1160"/>
    <mergeCell ref="A814:H814"/>
    <mergeCell ref="A1331:L1331"/>
    <mergeCell ref="A1405:L1405"/>
    <mergeCell ref="A31:H31"/>
    <mergeCell ref="A58:H58"/>
    <mergeCell ref="A421:H421"/>
    <mergeCell ref="A1380:L1380"/>
    <mergeCell ref="A1451:L1451"/>
    <mergeCell ref="A841:H841"/>
    <mergeCell ref="A1007:L1007"/>
    <mergeCell ref="A1072:L1072"/>
    <mergeCell ref="A291:H291"/>
    <mergeCell ref="A1308:L1308"/>
    <mergeCell ref="A647:H647"/>
    <mergeCell ref="A1235:L1235"/>
    <mergeCell ref="A1471:L1471"/>
    <mergeCell ref="A943:L943"/>
    <mergeCell ref="A1070:H1070"/>
    <mergeCell ref="A239:L239"/>
    <mergeCell ref="A1332:L1332"/>
    <mergeCell ref="A526:H526"/>
    <mergeCell ref="A237:H237"/>
    <mergeCell ref="A1285:L1285"/>
    <mergeCell ref="A762:H762"/>
    <mergeCell ref="A5:L5"/>
    <mergeCell ref="A604:L604"/>
    <mergeCell ref="A32:L32"/>
    <mergeCell ref="A865:H865"/>
    <mergeCell ref="A397:H397"/>
    <mergeCell ref="A985:L985"/>
    <mergeCell ref="A579:L579"/>
    <mergeCell ref="A1309:L1309"/>
    <mergeCell ref="A815:L815"/>
    <mergeCell ref="A214:H214"/>
    <mergeCell ref="A984:H984"/>
    <mergeCell ref="A163:H163"/>
    <mergeCell ref="A683:H683"/>
    <mergeCell ref="A1406:L1406"/>
    <mergeCell ref="A465:H465"/>
    <mergeCell ref="A578:H578"/>
    <mergeCell ref="A916:L916"/>
    <mergeCell ref="A372:L372"/>
    <mergeCell ref="A721:L721"/>
    <mergeCell ref="A1257:H1257"/>
    <mergeCell ref="A85:H85"/>
    <mergeCell ref="A1048:H1048"/>
    <mergeCell ref="A1470:L1470"/>
    <mergeCell ref="A1284:H1284"/>
    <mergeCell ref="A188:H188"/>
    <mergeCell ref="A672:L672"/>
    <mergeCell ref="A266:L266"/>
    <mergeCell ref="A1490:L1490"/>
    <mergeCell ref="A60:L60"/>
    <mergeCell ref="A502:L502"/>
    <mergeCell ref="A707:L707"/>
    <mergeCell ref="A789:H789"/>
    <mergeCell ref="A112:H112"/>
    <mergeCell ref="A399:L399"/>
    <mergeCell ref="A422:L422"/>
    <mergeCell ref="A706:L706"/>
    <mergeCell ref="A942:L942"/>
    <mergeCell ref="A292:L292"/>
    <mergeCell ref="A423:L423"/>
    <mergeCell ref="A1258:L1258"/>
    <mergeCell ref="A1489:L1489"/>
    <mergeCell ref="A528:L528"/>
    <mergeCell ref="A626:L626"/>
    <mergeCell ref="A1006:L1006"/>
    <mergeCell ref="A189:L189"/>
    <mergeCell ref="A238:L238"/>
    <mergeCell ref="A294:L294"/>
    <mergeCell ref="A867:L867"/>
    <mergeCell ref="A763:L763"/>
    <mergeCell ref="A890:L890"/>
    <mergeCell ref="A2:L2"/>
    <mergeCell ref="A86:L86"/>
    <mergeCell ref="A553:L553"/>
    <mergeCell ref="A685:L685"/>
    <mergeCell ref="A1430:H1430"/>
    <mergeCell ref="A1161:L1161"/>
    <mergeCell ref="A1330:H1330"/>
    <mergeCell ref="A963:H963"/>
    <mergeCell ref="A501:H501"/>
    <mergeCell ref="A1049:L1049"/>
    <mergeCell ref="A1450:H1450"/>
    <mergeCell ref="A1259:L1259"/>
    <mergeCell ref="A215:L215"/>
    <mergeCell ref="A1452:L1452"/>
    <mergeCell ref="A684:L684"/>
    <mergeCell ref="A1115:H1115"/>
    <mergeCell ref="A1093:H1093"/>
    <mergeCell ref="A318:L318"/>
    <mergeCell ref="A1138:L1138"/>
    <mergeCell ref="A554:L554"/>
    <mergeCell ref="A265:L265"/>
    <mergeCell ref="A791:L791"/>
    <mergeCell ref="A320:L320"/>
    <mergeCell ref="A673:L673"/>
    <mergeCell ref="A603:L603"/>
    <mergeCell ref="A1260:L1260"/>
    <mergeCell ref="A114:L114"/>
    <mergeCell ref="A1005:H1005"/>
    <mergeCell ref="A59:L59"/>
    <mergeCell ref="A627:L627"/>
    <mergeCell ref="A1050:L1050"/>
    <mergeCell ref="A648:L648"/>
    <mergeCell ref="A986:L986"/>
    <mergeCell ref="A1139:L1139"/>
    <mergeCell ref="A467:L467"/>
    <mergeCell ref="A580:L580"/>
    <mergeCell ref="A527:L527"/>
    <mergeCell ref="A816:L816"/>
    <mergeCell ref="A1352:H1352"/>
    <mergeCell ref="A1234:H1234"/>
    <mergeCell ref="A61:L61"/>
    <mergeCell ref="A88:L88"/>
    <mergeCell ref="A344:H344"/>
    <mergeCell ref="A917:L917"/>
    <mergeCell ref="A1203:L1203"/>
    <mergeCell ref="A346:L346"/>
    <mergeCell ref="A1286:L1286"/>
    <mergeCell ref="A398:L398"/>
    <mergeCell ref="A1202:H1202"/>
    <mergeCell ref="A649:L649"/>
    <mergeCell ref="A7:L7"/>
    <mergeCell ref="A1116:L1116"/>
    <mergeCell ref="A1469:H1469"/>
    <mergeCell ref="A164:L164"/>
    <mergeCell ref="A746:L746"/>
    <mergeCell ref="A1404:H1404"/>
    <mergeCell ref="A267:L267"/>
    <mergeCell ref="A503:L503"/>
    <mergeCell ref="A370:H370"/>
    <mergeCell ref="A866:L866"/>
    <mergeCell ref="A1026:H1026"/>
    <mergeCell ref="A964:L964"/>
    <mergeCell ref="A33:L33"/>
    <mergeCell ref="A442:H442"/>
    <mergeCell ref="A1095:L1095"/>
    <mergeCell ref="A1117:L1117"/>
    <mergeCell ref="A1353:L1353"/>
    <mergeCell ref="A264:H264"/>
    <mergeCell ref="A843:L843"/>
    <mergeCell ref="A1488:H1488"/>
    <mergeCell ref="A790:L790"/>
    <mergeCell ref="A140:L140"/>
    <mergeCell ref="A1094:L1094"/>
    <mergeCell ref="A529:L529"/>
    <mergeCell ref="A240:L240"/>
    <mergeCell ref="A1224:H1224"/>
    <mergeCell ref="A482:L482"/>
    <mergeCell ref="A765:L765"/>
    <mergeCell ref="A1182:L1182"/>
    <mergeCell ref="A1307:H1307"/>
    <mergeCell ref="A190:L190"/>
    <mergeCell ref="A1379:L1379"/>
    <mergeCell ref="A466:L466"/>
    <mergeCell ref="A764:L764"/>
    <mergeCell ref="A319:L319"/>
    <mergeCell ref="A4:H4"/>
    <mergeCell ref="A1204:L1204"/>
    <mergeCell ref="A1:L1"/>
    <mergeCell ref="A216:L216"/>
    <mergeCell ref="A1502:L1502"/>
    <mergeCell ref="A889:H889"/>
    <mergeCell ref="A705:H705"/>
    <mergeCell ref="A941:H941"/>
    <mergeCell ref="A481:H481"/>
    <mergeCell ref="A1159:H1159"/>
    <mergeCell ref="A87:L8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D7E83"/>
    <outlinePr summaryBelow="1" summaryRight="1"/>
    <pageSetUpPr/>
  </sheetPr>
  <dimension ref="A1:E40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40" customWidth="1" min="3" max="3"/>
    <col width="100" customWidth="1" min="4" max="4"/>
    <col width="26" customWidth="1" min="5" max="5"/>
  </cols>
  <sheetData>
    <row r="1" ht="22" customHeight="1">
      <c r="A1" s="12" t="inlineStr">
        <is>
          <t>Code</t>
        </is>
      </c>
      <c r="B1" s="12" t="inlineStr">
        <is>
          <t>Indicator</t>
        </is>
      </c>
      <c r="C1" s="12" t="inlineStr">
        <is>
          <t>Input column</t>
        </is>
      </c>
      <c r="D1" s="12" t="inlineStr">
        <is>
          <t>Where that input comes from</t>
        </is>
      </c>
      <c r="E1" s="12" t="inlineStr">
        <is>
          <t>Exact dataset link (DOI where available)</t>
        </is>
      </c>
    </row>
    <row r="2" ht="26" customHeight="1">
      <c r="A2" s="13" t="inlineStr">
        <is>
          <t>O1</t>
        </is>
      </c>
      <c r="B2" s="14" t="inlineStr">
        <is>
          <t>Total EU GHG emissions (European Climate Law scope)</t>
        </is>
      </c>
      <c r="C2" s="14" t="inlineStr">
        <is>
          <t>Value</t>
        </is>
      </c>
      <c r="D2" s="18" t="inlineStr">
        <is>
          <t>EEA GHG data viewer</t>
        </is>
      </c>
      <c r="E2" s="59" t="inlineStr">
        <is>
          <t>https://www.eea.europa.eu/en/datahub/datahubitem-view/3b7fe76c-524a-439a-bfd2-a6e4046302a2</t>
        </is>
      </c>
    </row>
    <row r="3" ht="26" customHeight="1">
      <c r="A3" s="60" t="inlineStr"/>
      <c r="B3" s="21" t="inlineStr"/>
      <c r="C3" s="21" t="inlineStr">
        <is>
          <t>International aviation</t>
        </is>
      </c>
      <c r="D3" s="25" t="inlineStr">
        <is>
          <t>EEA GHG data viewer</t>
        </is>
      </c>
      <c r="E3" s="59" t="inlineStr">
        <is>
          <t>https://www.eea.europa.eu/en/datahub/datahubitem-view/3b7fe76c-524a-439a-bfd2-a6e4046302a2</t>
        </is>
      </c>
    </row>
    <row r="4" ht="26" customHeight="1">
      <c r="A4" s="13" t="inlineStr"/>
      <c r="B4" s="14" t="inlineStr"/>
      <c r="C4" s="14" t="inlineStr">
        <is>
          <t>Energy supply</t>
        </is>
      </c>
      <c r="D4" s="18" t="inlineStr">
        <is>
          <t>EEA GHG data viewer</t>
        </is>
      </c>
      <c r="E4" s="59" t="inlineStr">
        <is>
          <t>https://www.eea.europa.eu/en/datahub/datahubitem-view/3b7fe76c-524a-439a-bfd2-a6e4046302a2</t>
        </is>
      </c>
    </row>
    <row r="5" ht="26" customHeight="1">
      <c r="A5" s="60" t="inlineStr"/>
      <c r="B5" s="21" t="inlineStr"/>
      <c r="C5" s="21" t="inlineStr">
        <is>
          <t>Industry</t>
        </is>
      </c>
      <c r="D5" s="25" t="inlineStr">
        <is>
          <t>EEA GHG data viewer</t>
        </is>
      </c>
      <c r="E5" s="59" t="inlineStr">
        <is>
          <t>https://www.eea.europa.eu/en/datahub/datahubitem-view/3b7fe76c-524a-439a-bfd2-a6e4046302a2</t>
        </is>
      </c>
    </row>
    <row r="6" ht="26" customHeight="1">
      <c r="A6" s="13" t="inlineStr"/>
      <c r="B6" s="14" t="inlineStr"/>
      <c r="C6" s="14" t="inlineStr">
        <is>
          <t>Transport</t>
        </is>
      </c>
      <c r="D6" s="18" t="inlineStr">
        <is>
          <t>EEA GHG data viewer</t>
        </is>
      </c>
      <c r="E6" s="59" t="inlineStr">
        <is>
          <t>https://www.eea.europa.eu/en/datahub/datahubitem-view/3b7fe76c-524a-439a-bfd2-a6e4046302a2</t>
        </is>
      </c>
    </row>
    <row r="7" ht="26" customHeight="1">
      <c r="A7" s="60" t="inlineStr"/>
      <c r="B7" s="21" t="inlineStr"/>
      <c r="C7" s="21" t="inlineStr">
        <is>
          <t>Buildings and agriculture energy</t>
        </is>
      </c>
      <c r="D7" s="25" t="inlineStr">
        <is>
          <t>EEA GHG data viewer</t>
        </is>
      </c>
      <c r="E7" s="59" t="inlineStr">
        <is>
          <t>https://www.eea.europa.eu/en/datahub/datahubitem-view/3b7fe76c-524a-439a-bfd2-a6e4046302a2</t>
        </is>
      </c>
    </row>
    <row r="8" ht="26" customHeight="1">
      <c r="A8" s="13" t="inlineStr"/>
      <c r="B8" s="14" t="inlineStr"/>
      <c r="C8" s="14" t="inlineStr">
        <is>
          <t>Agriculture (non-energy)</t>
        </is>
      </c>
      <c r="D8" s="18" t="inlineStr">
        <is>
          <t>EEA GHG data viewer</t>
        </is>
      </c>
      <c r="E8" s="59" t="inlineStr">
        <is>
          <t>https://www.eea.europa.eu/en/datahub/datahubitem-view/3b7fe76c-524a-439a-bfd2-a6e4046302a2</t>
        </is>
      </c>
    </row>
    <row r="9" ht="26" customHeight="1">
      <c r="A9" s="60" t="inlineStr"/>
      <c r="B9" s="21" t="inlineStr"/>
      <c r="C9" s="21" t="inlineStr">
        <is>
          <t>LULUCF</t>
        </is>
      </c>
      <c r="D9" s="25" t="inlineStr">
        <is>
          <t>EEA GHG data viewer</t>
        </is>
      </c>
      <c r="E9" s="59" t="inlineStr">
        <is>
          <t>https://www.eea.europa.eu/en/datahub/datahubitem-view/3b7fe76c-524a-439a-bfd2-a6e4046302a2</t>
        </is>
      </c>
    </row>
    <row r="10" ht="26" customHeight="1">
      <c r="A10" s="13" t="inlineStr"/>
      <c r="B10" s="14" t="inlineStr"/>
      <c r="C10" s="14" t="inlineStr">
        <is>
          <t>Waste and other sectors</t>
        </is>
      </c>
      <c r="D10" s="18" t="inlineStr">
        <is>
          <t>EEA GHG data viewer</t>
        </is>
      </c>
      <c r="E10" s="59" t="inlineStr">
        <is>
          <t>https://www.eea.europa.eu/en/datahub/datahubitem-view/3b7fe76c-524a-439a-bfd2-a6e4046302a2</t>
        </is>
      </c>
    </row>
    <row r="11" ht="26" customHeight="1">
      <c r="A11" s="60" t="inlineStr"/>
      <c r="B11" s="21" t="inlineStr"/>
      <c r="C11" s="21" t="inlineStr">
        <is>
          <t>International maritime</t>
        </is>
      </c>
      <c r="D11" s="25" t="inlineStr">
        <is>
          <t>EEA GHG data viewer</t>
        </is>
      </c>
      <c r="E11" s="59" t="inlineStr">
        <is>
          <t>https://www.eea.europa.eu/en/datahub/datahubitem-view/3b7fe76c-524a-439a-bfd2-a6e4046302a2</t>
        </is>
      </c>
    </row>
    <row r="12" ht="26" customHeight="1">
      <c r="A12" s="13" t="inlineStr"/>
      <c r="B12" s="14" t="inlineStr"/>
      <c r="C12" s="14" t="inlineStr">
        <is>
          <t>1.D.1.a - International Aviation</t>
        </is>
      </c>
      <c r="D12" s="18" t="inlineStr">
        <is>
          <t>EEA GHG data viewer</t>
        </is>
      </c>
      <c r="E12" s="59" t="inlineStr">
        <is>
          <t>https://www.eea.europa.eu/en/datahub/datahubitem-view/3b7fe76c-524a-439a-bfd2-a6e4046302a2</t>
        </is>
      </c>
    </row>
    <row r="13" ht="26" customHeight="1">
      <c r="A13" s="60" t="inlineStr"/>
      <c r="B13" s="21" t="inlineStr"/>
      <c r="C13" s="21" t="inlineStr">
        <is>
          <t>1.A.1 - Energy Industries</t>
        </is>
      </c>
      <c r="D13" s="25" t="inlineStr">
        <is>
          <t>EEA GHG data viewer</t>
        </is>
      </c>
      <c r="E13" s="59" t="inlineStr">
        <is>
          <t>https://www.eea.europa.eu/en/datahub/datahubitem-view/3b7fe76c-524a-439a-bfd2-a6e4046302a2</t>
        </is>
      </c>
    </row>
    <row r="14" ht="26" customHeight="1">
      <c r="A14" s="13" t="inlineStr"/>
      <c r="B14" s="14" t="inlineStr"/>
      <c r="C14" s="14" t="inlineStr">
        <is>
          <t>1.B - Fugitive Emissions from Fuels</t>
        </is>
      </c>
      <c r="D14" s="18" t="inlineStr">
        <is>
          <t>EEA GHG data viewer</t>
        </is>
      </c>
      <c r="E14" s="59" t="inlineStr">
        <is>
          <t>https://www.eea.europa.eu/en/datahub/datahubitem-view/3b7fe76c-524a-439a-bfd2-a6e4046302a2</t>
        </is>
      </c>
    </row>
    <row r="15" ht="26" customHeight="1">
      <c r="A15" s="60" t="inlineStr"/>
      <c r="B15" s="21" t="inlineStr"/>
      <c r="C15" s="21" t="inlineStr">
        <is>
          <t>1.A.2 - Manufacturing Industries and Construction</t>
        </is>
      </c>
      <c r="D15" s="25" t="inlineStr">
        <is>
          <t>EEA GHG data viewer</t>
        </is>
      </c>
      <c r="E15" s="59" t="inlineStr">
        <is>
          <t>https://www.eea.europa.eu/en/datahub/datahubitem-view/3b7fe76c-524a-439a-bfd2-a6e4046302a2</t>
        </is>
      </c>
    </row>
    <row r="16" ht="26" customHeight="1">
      <c r="A16" s="13" t="inlineStr"/>
      <c r="B16" s="14" t="inlineStr"/>
      <c r="C16" s="14" t="inlineStr">
        <is>
          <t>2 - Industrial Processes and Product Use</t>
        </is>
      </c>
      <c r="D16" s="18" t="inlineStr">
        <is>
          <t>EEA GHG data viewer</t>
        </is>
      </c>
      <c r="E16" s="59" t="inlineStr">
        <is>
          <t>https://www.eea.europa.eu/en/datahub/datahubitem-view/3b7fe76c-524a-439a-bfd2-a6e4046302a2</t>
        </is>
      </c>
    </row>
    <row r="17" ht="26" customHeight="1">
      <c r="A17" s="60" t="inlineStr"/>
      <c r="B17" s="21" t="inlineStr"/>
      <c r="C17" s="21" t="inlineStr">
        <is>
          <t>1.A.3 - Transport</t>
        </is>
      </c>
      <c r="D17" s="25" t="inlineStr">
        <is>
          <t>EEA GHG data viewer</t>
        </is>
      </c>
      <c r="E17" s="59" t="inlineStr">
        <is>
          <t>https://www.eea.europa.eu/en/datahub/datahubitem-view/3b7fe76c-524a-439a-bfd2-a6e4046302a2</t>
        </is>
      </c>
    </row>
    <row r="18" ht="26" customHeight="1">
      <c r="A18" s="13" t="inlineStr"/>
      <c r="B18" s="14" t="inlineStr"/>
      <c r="C18" s="14" t="inlineStr">
        <is>
          <t>1.A.4 - Other Sectors</t>
        </is>
      </c>
      <c r="D18" s="18" t="inlineStr">
        <is>
          <t>EEA GHG data viewer</t>
        </is>
      </c>
      <c r="E18" s="59" t="inlineStr">
        <is>
          <t>https://www.eea.europa.eu/en/datahub/datahubitem-view/3b7fe76c-524a-439a-bfd2-a6e4046302a2</t>
        </is>
      </c>
    </row>
    <row r="19" ht="26" customHeight="1">
      <c r="A19" s="60" t="inlineStr"/>
      <c r="B19" s="21" t="inlineStr"/>
      <c r="C19" s="21" t="inlineStr">
        <is>
          <t>3 - Agriculture</t>
        </is>
      </c>
      <c r="D19" s="25" t="inlineStr">
        <is>
          <t>EEA GHG data viewer</t>
        </is>
      </c>
      <c r="E19" s="59" t="inlineStr">
        <is>
          <t>https://www.eea.europa.eu/en/datahub/datahubitem-view/3b7fe76c-524a-439a-bfd2-a6e4046302a2</t>
        </is>
      </c>
    </row>
    <row r="20" ht="26" customHeight="1">
      <c r="A20" s="13" t="inlineStr"/>
      <c r="B20" s="14" t="inlineStr"/>
      <c r="C20" s="14" t="inlineStr">
        <is>
          <t>4 - Land Use, Land-Use Change and Forestry</t>
        </is>
      </c>
      <c r="D20" s="18" t="inlineStr">
        <is>
          <t>EEA GHG data viewer</t>
        </is>
      </c>
      <c r="E20" s="59" t="inlineStr">
        <is>
          <t>https://www.eea.europa.eu/en/datahub/datahubitem-view/3b7fe76c-524a-439a-bfd2-a6e4046302a2</t>
        </is>
      </c>
    </row>
    <row r="21" ht="26" customHeight="1">
      <c r="A21" s="60" t="inlineStr"/>
      <c r="B21" s="21" t="inlineStr"/>
      <c r="C21" s="21" t="inlineStr">
        <is>
          <t>Total net emissions (UNFCCC)</t>
        </is>
      </c>
      <c r="D21" s="25" t="inlineStr">
        <is>
          <t>EEA GHG data viewer</t>
        </is>
      </c>
      <c r="E21" s="59" t="inlineStr">
        <is>
          <t>https://www.eea.europa.eu/en/datahub/datahubitem-view/3b7fe76c-524a-439a-bfd2-a6e4046302a2</t>
        </is>
      </c>
    </row>
    <row r="22" ht="26" customHeight="1">
      <c r="A22" s="13" t="inlineStr"/>
      <c r="B22" s="14" t="inlineStr"/>
      <c r="C22" s="14" t="inlineStr">
        <is>
          <t>1.D.1.b - International Navigation</t>
        </is>
      </c>
      <c r="D22" s="18" t="inlineStr">
        <is>
          <t>EEA GHG data viewer</t>
        </is>
      </c>
      <c r="E22" s="59" t="inlineStr">
        <is>
          <t>https://www.eea.europa.eu/en/datahub/datahubitem-view/3b7fe76c-524a-439a-bfd2-a6e4046302a2</t>
        </is>
      </c>
    </row>
    <row r="23" ht="26" customHeight="1">
      <c r="A23" s="60" t="inlineStr">
        <is>
          <t>E1</t>
        </is>
      </c>
      <c r="B23" s="21" t="inlineStr">
        <is>
          <t>Energy supply GHG emissions</t>
        </is>
      </c>
      <c r="C23" s="21" t="inlineStr">
        <is>
          <t>Value</t>
        </is>
      </c>
      <c r="D23" s="25" t="inlineStr">
        <is>
          <t>EEA / EU GHG inventory (UNFCCC CRF), EU-27</t>
        </is>
      </c>
      <c r="E23" s="59" t="inlineStr">
        <is>
          <t>https://di.unfccc.int/detailed_data_by_party</t>
        </is>
      </c>
    </row>
    <row r="24" ht="26" customHeight="1">
      <c r="A24" s="13" t="inlineStr"/>
      <c r="B24" s="14" t="inlineStr"/>
      <c r="C24" s="14" t="inlineStr">
        <is>
          <t>Power and heat</t>
        </is>
      </c>
      <c r="D24" s="18" t="inlineStr">
        <is>
          <t>CRF table (2023 submission): 1.A.1.a (total)</t>
        </is>
      </c>
      <c r="E24" s="59" t="inlineStr">
        <is>
          <t>https://di.unfccc.int/detailed_data_by_party</t>
        </is>
      </c>
    </row>
    <row r="25" ht="26" customHeight="1">
      <c r="A25" s="60" t="inlineStr"/>
      <c r="B25" s="21" t="inlineStr"/>
      <c r="C25" s="21" t="inlineStr">
        <is>
          <t>Petroleum refineries</t>
        </is>
      </c>
      <c r="D25" s="25" t="inlineStr">
        <is>
          <t>CRF table (2023 submission): 1.A.1.b (total)</t>
        </is>
      </c>
      <c r="E25" s="59" t="inlineStr">
        <is>
          <t>https://di.unfccc.int/detailed_data_by_party</t>
        </is>
      </c>
    </row>
    <row r="26" ht="26" customHeight="1">
      <c r="A26" s="13" t="inlineStr"/>
      <c r="B26" s="14" t="inlineStr"/>
      <c r="C26" s="14" t="inlineStr">
        <is>
          <t>Other (mining, gas transport, …)</t>
        </is>
      </c>
      <c r="D26" s="18" t="inlineStr">
        <is>
          <t>CRF table (2023 submission): 1.A.1.c (total)</t>
        </is>
      </c>
      <c r="E26" s="59" t="inlineStr">
        <is>
          <t>https://di.unfccc.int/detailed_data_by_party</t>
        </is>
      </c>
    </row>
    <row r="27" ht="26" customHeight="1">
      <c r="A27" s="60" t="inlineStr"/>
      <c r="B27" s="21" t="inlineStr"/>
      <c r="C27" s="21" t="inlineStr">
        <is>
          <t>Fugitive emissions</t>
        </is>
      </c>
      <c r="D27" s="25" t="inlineStr">
        <is>
          <t>EEA inventory CSV: 1.B (given as CO2e total)</t>
        </is>
      </c>
      <c r="E27" s="59" t="inlineStr">
        <is>
          <t>https://www.eea.europa.eu/en/datahub/datahubitem-view/3b7fe76c-524a-439a-bfd2-a6e4046302a2</t>
        </is>
      </c>
    </row>
    <row r="28" ht="26" customHeight="1">
      <c r="A28" s="13" t="inlineStr"/>
      <c r="B28" s="14" t="inlineStr"/>
      <c r="C28" s="14" t="inlineStr">
        <is>
          <t>Total (reported, no breakdown)</t>
        </is>
      </c>
      <c r="D28" s="18" t="inlineStr">
        <is>
          <t>EEA / EU GHG inventory (UNFCCC CRF), EU-27</t>
        </is>
      </c>
      <c r="E28" s="59" t="inlineStr">
        <is>
          <t>https://di.unfccc.int/detailed_data_by_party</t>
        </is>
      </c>
    </row>
    <row r="29" ht="26" customHeight="1">
      <c r="A29" s="60" t="inlineStr">
        <is>
          <t>E2 (RES)</t>
        </is>
      </c>
      <c r="B29" s="21" t="inlineStr">
        <is>
          <t>Non-biomass renewable share of EU electricity mix</t>
        </is>
      </c>
      <c r="C29" s="21" t="inlineStr">
        <is>
          <t>Value</t>
        </is>
      </c>
      <c r="D29" s="25" t="inlineStr">
        <is>
          <t>Eurostat energy balances (EU-27 gross electricity generation)</t>
        </is>
      </c>
    </row>
    <row r="30" ht="26" customHeight="1">
      <c r="A30" s="13" t="inlineStr"/>
      <c r="B30" s="14" t="inlineStr"/>
      <c r="C30" s="14" t="inlineStr">
        <is>
          <t>Renewable - hydro</t>
        </is>
      </c>
      <c r="D30" s="18" t="inlineStr">
        <is>
          <t>See 4bis tab for sources and categorisation details</t>
        </is>
      </c>
    </row>
    <row r="31" ht="26" customHeight="1">
      <c r="A31" s="60" t="inlineStr"/>
      <c r="B31" s="21" t="inlineStr"/>
      <c r="C31" s="21" t="inlineStr">
        <is>
          <t>Renewable - solar</t>
        </is>
      </c>
      <c r="D31" s="25" t="inlineStr">
        <is>
          <t>See 4bis tab for sources and categorisation details</t>
        </is>
      </c>
    </row>
    <row r="32" ht="26" customHeight="1">
      <c r="A32" s="13" t="inlineStr"/>
      <c r="B32" s="14" t="inlineStr"/>
      <c r="C32" s="14" t="inlineStr">
        <is>
          <t>Renewable - wind</t>
        </is>
      </c>
      <c r="D32" s="18" t="inlineStr">
        <is>
          <t>See 4bis tab for sources and categorisation details</t>
        </is>
      </c>
    </row>
    <row r="33" ht="26" customHeight="1">
      <c r="A33" s="60" t="inlineStr"/>
      <c r="B33" s="21" t="inlineStr"/>
      <c r="C33" s="21" t="inlineStr">
        <is>
          <t>Renewable - other non-bio</t>
        </is>
      </c>
      <c r="D33" s="25" t="inlineStr">
        <is>
          <t>See 4bis tab for sources and categorisation details</t>
        </is>
      </c>
    </row>
    <row r="34" ht="26" customHeight="1">
      <c r="A34" s="13" t="inlineStr"/>
      <c r="B34" s="14" t="inlineStr"/>
      <c r="C34" s="14" t="inlineStr">
        <is>
          <t>Total</t>
        </is>
      </c>
      <c r="D34" s="18" t="inlineStr">
        <is>
          <t>Eurostat energy balances, EU27 gross electricity generation</t>
        </is>
      </c>
    </row>
    <row r="35" ht="26" customHeight="1">
      <c r="A35" s="60" t="inlineStr"/>
      <c r="B35" s="21" t="inlineStr"/>
      <c r="C35" s="21" t="inlineStr">
        <is>
          <t>fraction → % (× 100)</t>
        </is>
      </c>
      <c r="D35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36" ht="26" customHeight="1">
      <c r="A36" s="13" t="inlineStr">
        <is>
          <t>E2 (fossil)</t>
        </is>
      </c>
      <c r="B36" s="14" t="inlineStr">
        <is>
          <t>Fossil share of EU electricity mix</t>
        </is>
      </c>
      <c r="C36" s="14" t="inlineStr">
        <is>
          <t>Value</t>
        </is>
      </c>
      <c r="D36" s="18" t="inlineStr">
        <is>
          <t>Eurostat energy balances (EU-27 gross electricity generation)</t>
        </is>
      </c>
    </row>
    <row r="37" ht="26" customHeight="1">
      <c r="A37" s="60" t="inlineStr"/>
      <c r="B37" s="21" t="inlineStr"/>
      <c r="C37" s="21" t="inlineStr">
        <is>
          <t>Solid fossil fuels</t>
        </is>
      </c>
      <c r="D37" s="25" t="inlineStr">
        <is>
          <t>See 4bis tab for sources and categorisation details</t>
        </is>
      </c>
    </row>
    <row r="38" ht="26" customHeight="1">
      <c r="A38" s="13" t="inlineStr"/>
      <c r="B38" s="14" t="inlineStr"/>
      <c r="C38" s="14" t="inlineStr">
        <is>
          <t>Natural &amp; manufactured gases</t>
        </is>
      </c>
      <c r="D38" s="18" t="inlineStr">
        <is>
          <t>See 4bis tab for sources and categorisation details</t>
        </is>
      </c>
    </row>
    <row r="39" ht="26" customHeight="1">
      <c r="A39" s="60" t="inlineStr"/>
      <c r="B39" s="21" t="inlineStr"/>
      <c r="C39" s="21" t="inlineStr">
        <is>
          <t>Oil products &amp; other fossils</t>
        </is>
      </c>
      <c r="D39" s="25" t="inlineStr">
        <is>
          <t>See 4bis tab for sources and categorisation details</t>
        </is>
      </c>
    </row>
    <row r="40" ht="26" customHeight="1">
      <c r="A40" s="13" t="inlineStr"/>
      <c r="B40" s="14" t="inlineStr"/>
      <c r="C40" s="14" t="inlineStr">
        <is>
          <t>Total</t>
        </is>
      </c>
      <c r="D40" s="18" t="inlineStr">
        <is>
          <t>Eurostat energy balances, EU27 gross electricity generation</t>
        </is>
      </c>
    </row>
    <row r="41" ht="26" customHeight="1">
      <c r="A41" s="60" t="inlineStr"/>
      <c r="B41" s="21" t="inlineStr"/>
      <c r="C41" s="21" t="inlineStr">
        <is>
          <t>fraction → % (× 100)</t>
        </is>
      </c>
      <c r="D41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42" ht="26" customHeight="1">
      <c r="A42" s="13" t="inlineStr">
        <is>
          <t>E3</t>
        </is>
      </c>
      <c r="B42" s="14" t="inlineStr">
        <is>
          <t>Average GHG intensity of EU electricity</t>
        </is>
      </c>
      <c r="C42" s="14" t="inlineStr">
        <is>
          <t>Value</t>
        </is>
      </c>
      <c r="D42" s="18" t="inlineStr">
        <is>
          <t>EEA: GHG intensity of electricity generation in Europe (EU-27)</t>
        </is>
      </c>
      <c r="E42" s="59" t="inlineStr">
        <is>
          <t>https://www.eea.europa.eu/en/datahub/datahubitem-view/3b7fe76c-524a-439a-bfd2-a6e4046302a2</t>
        </is>
      </c>
    </row>
    <row r="43" ht="26" customHeight="1">
      <c r="A43" s="60" t="inlineStr"/>
      <c r="B43" s="21" t="inlineStr"/>
      <c r="C43" s="21" t="inlineStr">
        <is>
          <t>Historical</t>
        </is>
      </c>
      <c r="D43" s="25" t="inlineStr">
        <is>
          <t>EEA: GHG intensity of electricity generation in Europe</t>
        </is>
      </c>
      <c r="E43" s="59" t="inlineStr">
        <is>
          <t>https://www.eea.europa.eu/en/datahub/datahubitem-view/3b7fe76c-524a-439a-bfd2-a6e4046302a2</t>
        </is>
      </c>
    </row>
    <row r="44" ht="26" customHeight="1">
      <c r="A44" s="13" t="inlineStr"/>
      <c r="B44" s="14" t="inlineStr"/>
      <c r="C44" s="14" t="inlineStr">
        <is>
          <t>Numerator · env_air_gge CRF1A1</t>
        </is>
      </c>
      <c r="D44" s="18" t="inlineStr">
        <is>
          <t>Eurostat env_air_gge · geo=EU27_2020, unit=MIO_T, freq=A, airpol=GHG, src_crf=CRF1A1 · https://ec.europa.eu/eurostat/api/dissemination/statistics/1.0/data/env_air_gge?format=JSON&amp;lang=EN&amp;geo=EU27_2020&amp;unit=MIO_T&amp;freq=A&amp;airpol=GHG&amp;src_crf=CRF1A1</t>
        </is>
      </c>
      <c r="E44" s="59" t="inlineStr">
        <is>
          <t>https://doi.org/10.2908/ENV_AIR_GGE</t>
        </is>
      </c>
    </row>
    <row r="45" ht="26" customHeight="1">
      <c r="A45" s="60" t="inlineStr"/>
      <c r="B45" s="21" t="inlineStr"/>
      <c r="C45" s="21" t="inlineStr">
        <is>
          <t>Denominator · nrg_bal_peh TOTAL</t>
        </is>
      </c>
      <c r="D45" s="25" t="inlineStr">
        <is>
          <t>Eurostat nrg_bal_peh · geo=EU27_2020, unit=GWH, freq=A, nrg_bal=GEP, siec=TOTAL · https://ec.europa.eu/eurostat/api/dissemination/statistics/1.0/data/nrg_bal_peh?format=JSON&amp;lang=EN&amp;geo=EU27_2020&amp;unit=GWH&amp;freq=A&amp;nrg_bal=GEP&amp;siec=TOTAL</t>
        </is>
      </c>
      <c r="E45" s="59" t="inlineStr">
        <is>
          <t>https://doi.org/10.2908/NRG_BAL_PEH</t>
        </is>
      </c>
    </row>
    <row r="46" ht="26" customHeight="1">
      <c r="A46" s="13" t="inlineStr"/>
      <c r="B46" s="14" t="inlineStr"/>
      <c r="C46" s="14" t="inlineStr">
        <is>
          <t>Report baseline 2022 (g CO₂eq/kWh)</t>
        </is>
      </c>
      <c r="D46" s="18" t="inlineStr">
        <is>
          <t>ESABCC (2024) “Towards EU climate neutrality”, underlying-data workbook — the report's own 2022 figure, the anchor the later years are spliced onto.</t>
        </is>
      </c>
    </row>
    <row r="47" ht="26" customHeight="1">
      <c r="A47" s="60" t="inlineStr"/>
      <c r="B47" s="21" t="inlineStr"/>
      <c r="C47" s="21" t="inlineStr">
        <is>
          <t>Live source at 2022 (same basis as the columns left)</t>
        </is>
      </c>
      <c r="D47" s="25" t="inlineStr">
        <is>
          <t>Eurostat env_air_gge CRF 1.A.1 ÷ nrg_bal_peh gross electricity production · EU27_2020 — the same query, read at 2022; dividing by it cancels the level difference between the source's scope and the report's, leaving only the year-on-year change.</t>
        </is>
      </c>
      <c r="E47" s="59" t="inlineStr">
        <is>
          <t>https://doi.org/10.2908/ENV_AIR_GGE</t>
        </is>
      </c>
    </row>
    <row r="48" ht="26" customHeight="1">
      <c r="A48" s="13" t="inlineStr">
        <is>
          <t>E4a</t>
        </is>
      </c>
      <c r="B48" s="14" t="inlineStr">
        <is>
          <t>Annual solar PV capacity additions (EU)</t>
        </is>
      </c>
      <c r="C48" s="14" t="inlineStr">
        <is>
          <t>Value</t>
        </is>
      </c>
      <c r="D48" s="18" t="inlineStr">
        <is>
          <t>Eurostat NRG_INF_EPCRW (annual change in cumulative solar-PV capacity)</t>
        </is>
      </c>
    </row>
    <row r="49" ht="26" customHeight="1">
      <c r="A49" s="60" t="inlineStr"/>
      <c r="B49" s="21" t="inlineStr"/>
      <c r="C49" s="21" t="inlineStr">
        <is>
          <t>Solar PV cumulative capacity (MW)</t>
        </is>
      </c>
      <c r="D49" s="25" t="inlineStr">
        <is>
          <t>Eurostat NRG_INF_EPCRW (cumulative installed capacity, EU-27)</t>
        </is>
      </c>
    </row>
    <row r="50" ht="26" customHeight="1">
      <c r="A50" s="13" t="inlineStr"/>
      <c r="B50" s="14" t="inlineStr"/>
      <c r="C50" s="14" t="inlineStr">
        <is>
          <t>Solar PV cumulative capacity (MW) (previous year)</t>
        </is>
      </c>
      <c r="D50" s="18" t="inlineStr">
        <is>
          <t>Eurostat NRG_INF_EPCRW (cumulative installed capacity, EU-27)</t>
        </is>
      </c>
    </row>
    <row r="51" ht="26" customHeight="1">
      <c r="A51" s="60" t="inlineStr"/>
      <c r="B51" s="21" t="inlineStr"/>
      <c r="C51" s="21" t="inlineStr">
        <is>
          <t>Post-report figure as published</t>
        </is>
      </c>
      <c r="D51" s="25" t="inlineStr">
        <is>
          <t>Eurostat (nrg_inf_epcrw); 2023+ SolarPower Europe, EU Market Outlook — https://ec.europa.eu/eurostat/databrowser/view/nrg_inf_epcrw/default/table</t>
        </is>
      </c>
      <c r="E51" s="59" t="inlineStr">
        <is>
          <t>https://www.solarpowereurope.org/insights/outlooks/eu-market-outlook-for-solar-power-2024-2028</t>
        </is>
      </c>
    </row>
    <row r="52" ht="26" customHeight="1">
      <c r="A52" s="13" t="inlineStr">
        <is>
          <t>E4b/c</t>
        </is>
      </c>
      <c r="B52" s="14" t="inlineStr">
        <is>
          <t>Annual wind capacity additions (EU)</t>
        </is>
      </c>
      <c r="C52" s="14" t="inlineStr">
        <is>
          <t>Value</t>
        </is>
      </c>
      <c r="D52" s="18" t="inlineStr">
        <is>
          <t>Eurostat NRG_INF_EPCRW (annual change in cumulative onshore-wind capacity)</t>
        </is>
      </c>
    </row>
    <row r="53" ht="26" customHeight="1">
      <c r="A53" s="60" t="inlineStr"/>
      <c r="B53" s="21" t="inlineStr"/>
      <c r="C53" s="21" t="inlineStr">
        <is>
          <t>Onshore wind cumulative capacity (MW)</t>
        </is>
      </c>
      <c r="D53" s="25" t="inlineStr">
        <is>
          <t>Eurostat NRG_INF_EPCRW (cumulative installed capacity, EU-27)</t>
        </is>
      </c>
    </row>
    <row r="54" ht="26" customHeight="1">
      <c r="A54" s="13" t="inlineStr"/>
      <c r="B54" s="14" t="inlineStr"/>
      <c r="C54" s="14" t="inlineStr">
        <is>
          <t>Onshore wind cumulative capacity (MW) (previous year)</t>
        </is>
      </c>
      <c r="D54" s="18" t="inlineStr">
        <is>
          <t>Eurostat NRG_INF_EPCRW (cumulative installed capacity, EU-27)</t>
        </is>
      </c>
    </row>
    <row r="55" ht="26" customHeight="1">
      <c r="A55" s="60" t="inlineStr"/>
      <c r="B55" s="21" t="inlineStr"/>
      <c r="C55" s="21" t="inlineStr">
        <is>
          <t>Post-report figure as published</t>
        </is>
      </c>
      <c r="D55" s="25" t="inlineStr">
        <is>
          <t>Eurostat (nrg_inf_epcrw); 2023+ WindEurope annual statistics — https://ec.europa.eu/eurostat/databrowser/view/nrg_inf_epcrw/default/table</t>
        </is>
      </c>
      <c r="E55" s="59" t="inlineStr">
        <is>
          <t>https://windeurope.org/intelligence-platform/product/wind-energy-in-europe-2024-statistics-and-the-outlook-for-2025-2030/</t>
        </is>
      </c>
    </row>
    <row r="56" ht="26" customHeight="1">
      <c r="A56" s="13" t="inlineStr">
        <is>
          <t>E6</t>
        </is>
      </c>
      <c r="B56" s="14" t="inlineStr">
        <is>
          <t>Energy-related methane emissions (EU-27)</t>
        </is>
      </c>
      <c r="C56" s="14" t="inlineStr">
        <is>
          <t>Value</t>
        </is>
      </c>
      <c r="D56" s="18" t="inlineStr">
        <is>
          <t>EEA / EU GHG inventory (UNFCCC CRF Table 1s1 &amp; 1s2, CH4), EU-27</t>
        </is>
      </c>
      <c r="E56" s="59" t="inlineStr">
        <is>
          <t>https://di.unfccc.int/detailed_data_by_party</t>
        </is>
      </c>
    </row>
    <row r="57" ht="26" customHeight="1">
      <c r="A57" s="60" t="inlineStr"/>
      <c r="B57" s="21" t="inlineStr"/>
      <c r="C57" s="21" t="inlineStr">
        <is>
          <t>Fuel combustion</t>
        </is>
      </c>
      <c r="D57" s="25" t="inlineStr">
        <is>
          <t>Sum of below</t>
        </is>
      </c>
    </row>
    <row r="58" ht="26" customHeight="1">
      <c r="A58" s="13" t="inlineStr"/>
      <c r="B58" s="14" t="inlineStr"/>
      <c r="C58" s="14" t="inlineStr">
        <is>
          <t>Fugitive - solid fuels</t>
        </is>
      </c>
      <c r="D58" s="18" t="inlineStr">
        <is>
          <t>CRF Table 1s1 &amp; 1s2</t>
        </is>
      </c>
      <c r="E58" s="59" t="inlineStr">
        <is>
          <t>https://di.unfccc.int/detailed_data_by_party</t>
        </is>
      </c>
    </row>
    <row r="59" ht="26" customHeight="1">
      <c r="A59" s="60" t="inlineStr"/>
      <c r="B59" s="21" t="inlineStr"/>
      <c r="C59" s="21" t="inlineStr">
        <is>
          <t>Fugitive - other</t>
        </is>
      </c>
      <c r="D59" s="25" t="inlineStr">
        <is>
          <t>CRF Table 1s1 &amp; 1s2</t>
        </is>
      </c>
      <c r="E59" s="59" t="inlineStr">
        <is>
          <t>https://di.unfccc.int/detailed_data_by_party</t>
        </is>
      </c>
    </row>
    <row r="60" ht="26" customHeight="1">
      <c r="A60" s="13" t="inlineStr"/>
      <c r="B60" s="14" t="inlineStr"/>
      <c r="C60" s="14" t="inlineStr">
        <is>
          <t>env_air_gge CRF1 CH4</t>
        </is>
      </c>
      <c r="D60" s="18" t="inlineStr">
        <is>
          <t>Eurostat env_air_gge · geo=EU27_2020, unit=MIO_T, freq=A, airpol=CH4, src_crf=CRF1 · https://ec.europa.eu/eurostat/api/dissemination/statistics/1.0/data/env_air_gge?format=JSON&amp;lang=EN&amp;geo=EU27_2020&amp;unit=MIO_T&amp;freq=A&amp;airpol=CH4&amp;src_crf=CRF1</t>
        </is>
      </c>
      <c r="E60" s="59" t="inlineStr">
        <is>
          <t>https://doi.org/10.2908/ENV_AIR_GGE</t>
        </is>
      </c>
    </row>
    <row r="61" ht="26" customHeight="1">
      <c r="A61" s="60" t="inlineStr"/>
      <c r="B61" s="21" t="inlineStr"/>
      <c r="C61" s="21" t="inlineStr">
        <is>
          <t>Report baseline 2021 (Mt CO₂eq)</t>
        </is>
      </c>
      <c r="D61" s="25" t="inlineStr">
        <is>
          <t>ESABCC (2024) “Towards EU climate neutrality”, underlying-data workbook — the report's own 2021 figure, the anchor the later years are spliced onto.</t>
        </is>
      </c>
    </row>
    <row r="62" ht="26" customHeight="1">
      <c r="A62" s="13" t="inlineStr"/>
      <c r="B62" s="14" t="inlineStr"/>
      <c r="C62" s="14" t="inlineStr">
        <is>
          <t>Live source at 2021 (same basis as the columns left)</t>
        </is>
      </c>
      <c r="D62" s="18" t="inlineStr">
        <is>
          <t>Eurostat env_air_gge · CRF 1 energy CH₄ · EU27_2020 — the same query, read at 2021; dividing by it cancels the level difference between the source's scope and the report's, leaving only the year-on-year change.</t>
        </is>
      </c>
      <c r="E62" s="59" t="inlineStr">
        <is>
          <t>https://doi.org/10.2908/ENV_AIR_GGE</t>
        </is>
      </c>
    </row>
    <row r="63" ht="26" customHeight="1">
      <c r="A63" s="60" t="inlineStr">
        <is>
          <t>E5</t>
        </is>
      </c>
      <c r="B63" s="21" t="inlineStr">
        <is>
          <t>Electrification rate of final energy use</t>
        </is>
      </c>
      <c r="C63" s="21" t="inlineStr">
        <is>
          <t>Value</t>
        </is>
      </c>
      <c r="D63" s="25" t="inlineStr">
        <is>
          <t>Eurostat energy balances (EU-27 final energy consumption)</t>
        </is>
      </c>
    </row>
    <row r="64" ht="26" customHeight="1">
      <c r="A64" s="13" t="inlineStr"/>
      <c r="B64" s="14" t="inlineStr"/>
      <c r="C64" s="14" t="inlineStr">
        <is>
          <t>FEC - electricity</t>
        </is>
      </c>
      <c r="D64" s="18" t="inlineStr">
        <is>
          <t>Energy balance</t>
        </is>
      </c>
    </row>
    <row r="65" ht="26" customHeight="1">
      <c r="A65" s="60" t="inlineStr"/>
      <c r="B65" s="21" t="inlineStr"/>
      <c r="C65" s="21" t="inlineStr">
        <is>
          <t>FEC - total</t>
        </is>
      </c>
      <c r="D65" s="25" t="inlineStr">
        <is>
          <t>Energy balance</t>
        </is>
      </c>
    </row>
    <row r="66" ht="26" customHeight="1">
      <c r="A66" s="13" t="inlineStr"/>
      <c r="B66" s="14" t="inlineStr"/>
      <c r="C66" s="14" t="inlineStr">
        <is>
          <t>fraction → % (× 100)</t>
        </is>
      </c>
      <c r="D6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67" ht="26" customHeight="1">
      <c r="A67" s="60" t="inlineStr">
        <is>
          <t>O2 (FEC)</t>
        </is>
      </c>
      <c r="B67" s="21" t="inlineStr">
        <is>
          <t>Final energy consumption (EU-27)</t>
        </is>
      </c>
      <c r="C67" s="21" t="inlineStr">
        <is>
          <t>Value</t>
        </is>
      </c>
      <c r="D67" s="25" t="inlineStr">
        <is>
          <t>Eurostat (nrg_bal_c)</t>
        </is>
      </c>
      <c r="E67" s="59" t="inlineStr">
        <is>
          <t>https://doi.org/10.2908/NRG_BAL_C</t>
        </is>
      </c>
    </row>
    <row r="68" ht="26" customHeight="1">
      <c r="A68" s="13" t="inlineStr"/>
      <c r="B68" s="14" t="inlineStr"/>
      <c r="C68" s="14" t="inlineStr">
        <is>
          <t>FEC (Mtoe)</t>
        </is>
      </c>
      <c r="D68" s="18" t="inlineStr">
        <is>
          <t>Eurostat (nrg_bal_c)</t>
        </is>
      </c>
      <c r="E68" s="59" t="inlineStr">
        <is>
          <t>https://doi.org/10.2908/NRG_BAL_C</t>
        </is>
      </c>
    </row>
    <row r="69" ht="26" customHeight="1">
      <c r="A69" s="60" t="inlineStr"/>
      <c r="B69" s="21" t="inlineStr"/>
      <c r="C69" s="21" t="inlineStr">
        <is>
          <t>Mtoe → TWh</t>
        </is>
      </c>
      <c r="D69" s="25" t="inlineStr">
        <is>
          <t>IEA unit converter</t>
        </is>
      </c>
    </row>
    <row r="70" ht="26" customHeight="1">
      <c r="A70" s="13" t="inlineStr">
        <is>
          <t>O2 (PEC)</t>
        </is>
      </c>
      <c r="B70" s="14" t="inlineStr">
        <is>
          <t>Primary energy consumption (EU-27)</t>
        </is>
      </c>
      <c r="C70" s="14" t="inlineStr">
        <is>
          <t>Value</t>
        </is>
      </c>
      <c r="D70" s="18" t="inlineStr">
        <is>
          <t>Eurostat (nrg_bal_c)</t>
        </is>
      </c>
      <c r="E70" s="59" t="inlineStr">
        <is>
          <t>https://doi.org/10.2908/NRG_BAL_C</t>
        </is>
      </c>
    </row>
    <row r="71" ht="26" customHeight="1">
      <c r="A71" s="60" t="inlineStr"/>
      <c r="B71" s="21" t="inlineStr"/>
      <c r="C71" s="21" t="inlineStr">
        <is>
          <t>PEC (Mtoe)</t>
        </is>
      </c>
      <c r="D71" s="25" t="inlineStr">
        <is>
          <t>Eurostat (nrg_bal_c)</t>
        </is>
      </c>
      <c r="E71" s="59" t="inlineStr">
        <is>
          <t>https://doi.org/10.2908/NRG_BAL_C</t>
        </is>
      </c>
    </row>
    <row r="72" ht="26" customHeight="1">
      <c r="A72" s="13" t="inlineStr"/>
      <c r="B72" s="14" t="inlineStr"/>
      <c r="C72" s="14" t="inlineStr">
        <is>
          <t>Mtoe → TWh</t>
        </is>
      </c>
      <c r="D72" s="18" t="inlineStr">
        <is>
          <t>IEA unit converter</t>
        </is>
      </c>
    </row>
    <row r="73" ht="26" customHeight="1">
      <c r="A73" s="60" t="inlineStr">
        <is>
          <t>O3</t>
        </is>
      </c>
      <c r="B73" s="21" t="inlineStr">
        <is>
          <t>Gross inland energy consumption (EU-27)</t>
        </is>
      </c>
      <c r="C73" s="21" t="inlineStr">
        <is>
          <t>Value</t>
        </is>
      </c>
      <c r="D73" s="25" t="inlineStr">
        <is>
          <t>Eurostat (nrg_bal_c)</t>
        </is>
      </c>
      <c r="E73" s="59" t="inlineStr">
        <is>
          <t>https://doi.org/10.2908/NRG_BAL_C</t>
        </is>
      </c>
    </row>
    <row r="74" ht="26" customHeight="1">
      <c r="A74" s="13" t="inlineStr"/>
      <c r="B74" s="14" t="inlineStr"/>
      <c r="C74" s="14" t="inlineStr">
        <is>
          <t>Gross inland (ktoe)</t>
        </is>
      </c>
      <c r="D74" s="18" t="inlineStr">
        <is>
          <t>Eurostat (nrg_bal_c)</t>
        </is>
      </c>
      <c r="E74" s="59" t="inlineStr">
        <is>
          <t>https://doi.org/10.2908/NRG_BAL_C</t>
        </is>
      </c>
    </row>
    <row r="75" ht="26" customHeight="1">
      <c r="A75" s="60" t="inlineStr"/>
      <c r="B75" s="21" t="inlineStr"/>
      <c r="C75" s="21" t="inlineStr">
        <is>
          <t>ktoe → TWh</t>
        </is>
      </c>
      <c r="D75" s="25" t="inlineStr">
        <is>
          <t>IEA unit converter</t>
        </is>
      </c>
    </row>
    <row r="76" ht="26" customHeight="1">
      <c r="A76" s="13" t="inlineStr">
        <is>
          <t>I1</t>
        </is>
      </c>
      <c r="B76" s="14" t="inlineStr">
        <is>
          <t>Industrial GHG emissions</t>
        </is>
      </c>
      <c r="C76" s="14" t="inlineStr">
        <is>
          <t>Value</t>
        </is>
      </c>
      <c r="D76" s="18" t="inlineStr">
        <is>
          <t>EEA GHG data viewer</t>
        </is>
      </c>
      <c r="E76" s="59" t="inlineStr">
        <is>
          <t>https://www.eea.europa.eu/en/datahub/datahubitem-view/3b7fe76c-524a-439a-bfd2-a6e4046302a2</t>
        </is>
      </c>
    </row>
    <row r="77" ht="26" customHeight="1">
      <c r="A77" s="60" t="inlineStr"/>
      <c r="B77" s="21" t="inlineStr"/>
      <c r="C77" s="21" t="inlineStr">
        <is>
          <t>1.A.2 - Manufacturing Industries and Construction</t>
        </is>
      </c>
      <c r="D77" s="25" t="inlineStr">
        <is>
          <t>EEA GHG data viewer</t>
        </is>
      </c>
      <c r="E77" s="59" t="inlineStr">
        <is>
          <t>https://www.eea.europa.eu/en/datahub/datahubitem-view/3b7fe76c-524a-439a-bfd2-a6e4046302a2</t>
        </is>
      </c>
    </row>
    <row r="78" ht="26" customHeight="1">
      <c r="A78" s="13" t="inlineStr"/>
      <c r="B78" s="14" t="inlineStr"/>
      <c r="C78" s="14" t="inlineStr">
        <is>
          <t>2 - Industrial Processes and Product Use</t>
        </is>
      </c>
      <c r="D78" s="18" t="inlineStr">
        <is>
          <t>EEA GHG data viewer</t>
        </is>
      </c>
      <c r="E78" s="59" t="inlineStr">
        <is>
          <t>https://www.eea.europa.eu/en/datahub/datahubitem-view/3b7fe76c-524a-439a-bfd2-a6e4046302a2</t>
        </is>
      </c>
    </row>
    <row r="79" ht="26" customHeight="1">
      <c r="A79" s="60" t="inlineStr">
        <is>
          <t>I2 (cement, production)</t>
        </is>
      </c>
      <c r="B79" s="21" t="inlineStr">
        <is>
          <t>Cement production (EU)</t>
        </is>
      </c>
      <c r="C79" s="21" t="inlineStr">
        <is>
          <t>Value</t>
        </is>
      </c>
      <c r="D79" s="25" t="inlineStr">
        <is>
          <t>Cembureau (data provided)</t>
        </is>
      </c>
      <c r="E79" s="59" t="inlineStr">
        <is>
          <t>https://www.cementeurope.eu/about-us/key-facts-figures/</t>
        </is>
      </c>
    </row>
    <row r="80" ht="26" customHeight="1">
      <c r="A80" s="13" t="inlineStr"/>
      <c r="B80" s="14" t="inlineStr"/>
      <c r="C80" s="14" t="inlineStr">
        <is>
          <t>Report figure (2024 report underlying data)</t>
        </is>
      </c>
      <c r="D80" s="18" t="inlineStr">
        <is>
          <t>ESABCC (2024) “Towards EU climate neutrality: Progress, policy gaps and opportunities”, underlying-data workbook — Cembureau (data provided). The report carries this indicator as a published series, with no further breakdown.</t>
        </is>
      </c>
      <c r="E80" s="59" t="inlineStr">
        <is>
          <t>https://www.cementeurope.eu/about-us/key-facts-figures/</t>
        </is>
      </c>
    </row>
    <row r="81" ht="26" customHeight="1">
      <c r="A81" s="60" t="inlineStr"/>
      <c r="B81" s="21" t="inlineStr"/>
      <c r="C81" s="21" t="inlineStr">
        <is>
          <t>sts_inpr_a C235</t>
        </is>
      </c>
      <c r="D81" s="25" t="inlineStr">
        <is>
          <t>Eurostat sts_inpr_a · geo=EU27_2020, indic_bt=PRD, s_adj=CA, unit=I21, nace_r2=C235 · https://ec.europa.eu/eurostat/api/dissemination/statistics/1.0/data/sts_inpr_a?format=JSON&amp;lang=EN&amp;geo=EU27_2020&amp;indic_bt=PRD&amp;s_adj=CA&amp;unit=I21&amp;nace_r2=C235</t>
        </is>
      </c>
      <c r="E81" s="59" t="inlineStr">
        <is>
          <t>https://doi.org/10.2908/STS_INPR_A</t>
        </is>
      </c>
    </row>
    <row r="82" ht="26" customHeight="1">
      <c r="A82" s="13" t="inlineStr"/>
      <c r="B82" s="14" t="inlineStr"/>
      <c r="C82" s="14" t="inlineStr">
        <is>
          <t>Report baseline 2021 (Mt)</t>
        </is>
      </c>
      <c r="D82" s="18" t="inlineStr">
        <is>
          <t>ESABCC (2024) “Towards EU climate neutrality”, underlying-data workbook — the report's own 2021 figure, the anchor the later years are spliced onto.</t>
        </is>
      </c>
    </row>
    <row r="83" ht="26" customHeight="1">
      <c r="A83" s="60" t="inlineStr"/>
      <c r="B83" s="21" t="inlineStr"/>
      <c r="C83" s="21" t="inlineStr">
        <is>
          <t>Live source at 2021 (same basis as the columns left)</t>
        </is>
      </c>
      <c r="D83" s="25" t="inlineStr">
        <is>
          <t>Eurostat sts_inpr_a · production-volume index (2021=100), NACE C235 cement/lime/plaster · EU27_2020 — the same query, read at 2021; dividing by it cancels the level difference between the source's scope and the report's, leaving only the year-on-year change.</t>
        </is>
      </c>
      <c r="E83" s="59" t="inlineStr">
        <is>
          <t>https://doi.org/10.2908/STS_INPR_A</t>
        </is>
      </c>
    </row>
    <row r="84" ht="26" customHeight="1">
      <c r="A84" s="13" t="inlineStr">
        <is>
          <t>I2 (chemicals, production)</t>
        </is>
      </c>
      <c r="B84" s="14" t="inlineStr">
        <is>
          <t>Chemicals production (EU)</t>
        </is>
      </c>
      <c r="C84" s="14" t="inlineStr">
        <is>
          <t>Value</t>
        </is>
      </c>
      <c r="D84" s="18" t="inlineStr">
        <is>
          <t>Eurostat DS-056120 (sold production) and DS-059268 (trade)</t>
        </is>
      </c>
    </row>
    <row r="85" ht="26" customHeight="1">
      <c r="A85" s="60" t="inlineStr"/>
      <c r="B85" s="21" t="inlineStr"/>
      <c r="C85" s="21" t="inlineStr">
        <is>
          <t>Report figure (2024 report underlying data)</t>
        </is>
      </c>
      <c r="D85" s="25" t="inlineStr">
        <is>
          <t>ESABCC (2024) “Towards EU climate neutrality: Progress, policy gaps and opportunities”, underlying-data workbook — Eurostat DS-056120 (sold production) and DS-059268 (trade). The report carries this indicator as a published series, with no further breakdown.</t>
        </is>
      </c>
    </row>
    <row r="86" ht="26" customHeight="1">
      <c r="A86" s="13" t="inlineStr"/>
      <c r="B86" s="14" t="inlineStr"/>
      <c r="C86" s="14" t="inlineStr">
        <is>
          <t>sts_inpr_a C201</t>
        </is>
      </c>
      <c r="D86" s="18" t="inlineStr">
        <is>
          <t>Eurostat sts_inpr_a · geo=EU27_2020, indic_bt=PRD, s_adj=CA, unit=I21, nace_r2=C201 · https://ec.europa.eu/eurostat/api/dissemination/statistics/1.0/data/sts_inpr_a?format=JSON&amp;lang=EN&amp;geo=EU27_2020&amp;indic_bt=PRD&amp;s_adj=CA&amp;unit=I21&amp;nace_r2=C201</t>
        </is>
      </c>
      <c r="E86" s="59" t="inlineStr">
        <is>
          <t>https://doi.org/10.2908/STS_INPR_A</t>
        </is>
      </c>
    </row>
    <row r="87" ht="26" customHeight="1">
      <c r="A87" s="60" t="inlineStr"/>
      <c r="B87" s="21" t="inlineStr"/>
      <c r="C87" s="21" t="inlineStr">
        <is>
          <t>Report baseline 2021 (Mt)</t>
        </is>
      </c>
      <c r="D87" s="25" t="inlineStr">
        <is>
          <t>ESABCC (2024) “Towards EU climate neutrality”, underlying-data workbook — the report's own 2021 figure, the anchor the later years are spliced onto.</t>
        </is>
      </c>
    </row>
    <row r="88" ht="26" customHeight="1">
      <c r="A88" s="13" t="inlineStr"/>
      <c r="B88" s="14" t="inlineStr"/>
      <c r="C88" s="14" t="inlineStr">
        <is>
          <t>Live source at 2021 (same basis as the columns left)</t>
        </is>
      </c>
      <c r="D88" s="18" t="inlineStr">
        <is>
          <t>Eurostat sts_inpr_a · production-volume index (2021=100), NACE C201 basic chemicals · EU27_2020 — the same query, read at 2021; dividing by it cancels the level difference between the source's scope and the report's, leaving only the year-on-year change.</t>
        </is>
      </c>
      <c r="E88" s="59" t="inlineStr">
        <is>
          <t>https://doi.org/10.2908/STS_INPR_A</t>
        </is>
      </c>
    </row>
    <row r="89" ht="26" customHeight="1">
      <c r="A89" s="60" t="inlineStr">
        <is>
          <t>I2 (steel, production)</t>
        </is>
      </c>
      <c r="B89" s="21" t="inlineStr">
        <is>
          <t>Steel production (EU)</t>
        </is>
      </c>
      <c r="C89" s="21" t="inlineStr">
        <is>
          <t>Value</t>
        </is>
      </c>
      <c r="D89" s="25" t="inlineStr">
        <is>
          <t>Eurofer, Steel in figures 2022</t>
        </is>
      </c>
      <c r="E89" s="59" t="inlineStr">
        <is>
          <t>https://www.eurofer.eu/publications/brochures-booklets-and-factsheets/european-steel-in-figures-2024</t>
        </is>
      </c>
    </row>
    <row r="90" ht="26" customHeight="1">
      <c r="A90" s="13" t="inlineStr"/>
      <c r="B90" s="14" t="inlineStr"/>
      <c r="C90" s="14" t="inlineStr">
        <is>
          <t>Report figure (2024 report underlying data)</t>
        </is>
      </c>
      <c r="D90" s="18" t="inlineStr">
        <is>
          <t>ESABCC (2024) “Towards EU climate neutrality: Progress, policy gaps and opportunities”, underlying-data workbook — Eurofer, Steel in figures 2022. The report carries this indicator as a published series, with no further breakdown.</t>
        </is>
      </c>
      <c r="E90" s="59" t="inlineStr">
        <is>
          <t>https://www.eurofer.eu/publications/brochures-booklets-and-factsheets/european-steel-in-figures-2024</t>
        </is>
      </c>
    </row>
    <row r="91" ht="26" customHeight="1">
      <c r="A91" s="60" t="inlineStr">
        <is>
          <t>I3</t>
        </is>
      </c>
      <c r="B91" s="21" t="inlineStr">
        <is>
          <t>Circular material use rate (EU)</t>
        </is>
      </c>
      <c r="C91" s="21" t="inlineStr">
        <is>
          <t>Value</t>
        </is>
      </c>
      <c r="D91" s="25" t="inlineStr">
        <is>
          <t>Eurostat SDG_12_41</t>
        </is>
      </c>
    </row>
    <row r="92" ht="26" customHeight="1">
      <c r="A92" s="13" t="inlineStr"/>
      <c r="B92" s="14" t="inlineStr"/>
      <c r="C92" s="14" t="inlineStr">
        <is>
          <t>Report figure (2024 report underlying data)</t>
        </is>
      </c>
      <c r="D92" s="18" t="inlineStr">
        <is>
          <t>ESABCC (2024) “Towards EU climate neutrality”, underlying-data workbook — Eurostat SDG_12_41. Published as a series, with no further breakdown.</t>
        </is>
      </c>
    </row>
    <row r="93" ht="26" customHeight="1">
      <c r="A93" s="60" t="inlineStr"/>
      <c r="B93" s="21" t="inlineStr"/>
      <c r="C93" s="21" t="inlineStr">
        <is>
          <t>cei_srm030 PC</t>
        </is>
      </c>
      <c r="D93" s="25" t="inlineStr">
        <is>
          <t>Eurostat cei_srm030 · geo=EU27_2020, unit=PC · https://ec.europa.eu/eurostat/api/dissemination/statistics/1.0/data/cei_srm030?format=JSON&amp;lang=EN&amp;geo=EU27_2020&amp;unit=PC</t>
        </is>
      </c>
      <c r="E93" s="59" t="inlineStr">
        <is>
          <t>https://doi.org/10.2908/CEI_SRM030</t>
        </is>
      </c>
    </row>
    <row r="94" ht="26" customHeight="1">
      <c r="A94" s="13" t="inlineStr"/>
      <c r="B94" s="14" t="inlineStr"/>
      <c r="C94" s="14" t="inlineStr">
        <is>
          <t>fraction → % (× 100)</t>
        </is>
      </c>
      <c r="D94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95" ht="26" customHeight="1">
      <c r="A95" s="60" t="inlineStr">
        <is>
          <t>I4 (cement)</t>
        </is>
      </c>
      <c r="B95" s="21" t="inlineStr">
        <is>
          <t>GHG intensity of EU cement production</t>
        </is>
      </c>
      <c r="C95" s="21" t="inlineStr">
        <is>
          <t>Value</t>
        </is>
      </c>
      <c r="D95" s="25" t="inlineStr">
        <is>
          <t>Calculated: emissions / production</t>
        </is>
      </c>
    </row>
    <row r="96" ht="26" customHeight="1">
      <c r="A96" s="13" t="inlineStr"/>
      <c r="B96" s="14" t="inlineStr"/>
      <c r="C96" s="14" t="inlineStr">
        <is>
          <t>Total emissions (Mt CO2e)</t>
        </is>
      </c>
      <c r="D96" s="18" t="inlineStr">
        <is>
          <t>EEA EU ETS data viewer</t>
        </is>
      </c>
      <c r="E96" s="59" t="inlineStr">
        <is>
          <t>https://www.eea.europa.eu/en/datahub/datahubitem-view/3b7fe76c-524a-439a-bfd2-a6e4046302a2</t>
        </is>
      </c>
    </row>
    <row r="97" ht="26" customHeight="1">
      <c r="A97" s="60" t="inlineStr"/>
      <c r="B97" s="21" t="inlineStr"/>
      <c r="C97" s="21" t="inlineStr">
        <is>
          <t>Production (Mt)</t>
        </is>
      </c>
      <c r="D97" s="25" t="inlineStr">
        <is>
          <t>Cembureau data</t>
        </is>
      </c>
      <c r="E97" s="59" t="inlineStr">
        <is>
          <t>https://www.cementeurope.eu/about-us/key-facts-figures/</t>
        </is>
      </c>
    </row>
    <row r="98" ht="26" customHeight="1">
      <c r="A98" s="13" t="inlineStr">
        <is>
          <t>I4 (chemicals)</t>
        </is>
      </c>
      <c r="B98" s="14" t="inlineStr">
        <is>
          <t>GHG intensity of EU base organic chemicals</t>
        </is>
      </c>
      <c r="C98" s="14" t="inlineStr">
        <is>
          <t>Value</t>
        </is>
      </c>
      <c r="D98" s="18" t="inlineStr">
        <is>
          <t>Calculated: emissions / production</t>
        </is>
      </c>
    </row>
    <row r="99" ht="26" customHeight="1">
      <c r="A99" s="60" t="inlineStr"/>
      <c r="B99" s="21" t="inlineStr"/>
      <c r="C99" s="21" t="inlineStr">
        <is>
          <t>Production - ethylene (Mt)</t>
        </is>
      </c>
      <c r="D99" s="25" t="inlineStr">
        <is>
          <t>Eurostat DS-056121</t>
        </is>
      </c>
    </row>
    <row r="100" ht="26" customHeight="1">
      <c r="A100" s="13" t="inlineStr"/>
      <c r="B100" s="14" t="inlineStr"/>
      <c r="C100" s="14" t="inlineStr">
        <is>
          <t>Production - propylene (Mt)</t>
        </is>
      </c>
      <c r="D100" s="18" t="inlineStr">
        <is>
          <t>Eurostat DS-056121</t>
        </is>
      </c>
    </row>
    <row r="101" ht="26" customHeight="1">
      <c r="A101" s="60" t="inlineStr"/>
      <c r="B101" s="21" t="inlineStr"/>
      <c r="C101" s="21" t="inlineStr">
        <is>
          <t>Production - aromatics (Mt)</t>
        </is>
      </c>
      <c r="D101" s="25" t="inlineStr">
        <is>
          <t>Eurostat DS-056121</t>
        </is>
      </c>
    </row>
    <row r="102" ht="26" customHeight="1">
      <c r="A102" s="13" t="inlineStr"/>
      <c r="B102" s="14" t="inlineStr"/>
      <c r="C102" s="14" t="inlineStr">
        <is>
          <t>Total emissions (Mt CO2e)</t>
        </is>
      </c>
      <c r="D102" s="18" t="inlineStr">
        <is>
          <t>EEA EU ETS data viewer (activity code 42)</t>
        </is>
      </c>
      <c r="E102" s="59" t="inlineStr">
        <is>
          <t>https://www.eea.europa.eu/en/datahub/datahubitem-view/3b7fe76c-524a-439a-bfd2-a6e4046302a2</t>
        </is>
      </c>
    </row>
    <row r="103" ht="26" customHeight="1">
      <c r="A103" s="60" t="inlineStr">
        <is>
          <t>I4 (steel)</t>
        </is>
      </c>
      <c r="B103" s="21" t="inlineStr">
        <is>
          <t>GHG intensity of EU steel production</t>
        </is>
      </c>
      <c r="C103" s="21" t="inlineStr">
        <is>
          <t>Value</t>
        </is>
      </c>
      <c r="D103" s="25" t="inlineStr">
        <is>
          <t>Calculated: emissions / production</t>
        </is>
      </c>
    </row>
    <row r="104" ht="26" customHeight="1">
      <c r="A104" s="13" t="inlineStr"/>
      <c r="B104" s="14" t="inlineStr"/>
      <c r="C104" s="14" t="inlineStr">
        <is>
          <t>Total emissions (Mt CO2e)</t>
        </is>
      </c>
      <c r="D104" s="18" t="inlineStr">
        <is>
          <t>EEA GHG data viewer</t>
        </is>
      </c>
      <c r="E104" s="59" t="inlineStr">
        <is>
          <t>https://www.eea.europa.eu/en/datahub/datahubitem-view/3b7fe76c-524a-439a-bfd2-a6e4046302a2</t>
        </is>
      </c>
    </row>
    <row r="105" ht="26" customHeight="1">
      <c r="A105" s="60" t="inlineStr"/>
      <c r="B105" s="21" t="inlineStr"/>
      <c r="C105" s="21" t="inlineStr">
        <is>
          <t>Production (Mt)</t>
        </is>
      </c>
      <c r="D105" s="25" t="inlineStr">
        <is>
          <t>Eurofer data</t>
        </is>
      </c>
      <c r="E105" s="59" t="inlineStr">
        <is>
          <t>https://www.eurofer.eu/publications/brochures-booklets-and-factsheets/european-steel-in-figures-2024</t>
        </is>
      </c>
    </row>
    <row r="106" ht="26" customHeight="1">
      <c r="A106" s="13" t="inlineStr">
        <is>
          <t>I5</t>
        </is>
      </c>
      <c r="B106" s="14" t="inlineStr">
        <is>
          <t>Industrial final energy consumption (EU)</t>
        </is>
      </c>
      <c r="C106" s="14" t="inlineStr">
        <is>
          <t>Value</t>
        </is>
      </c>
      <c r="D106" s="18" t="inlineStr">
        <is>
          <t>Eurostat energy balances</t>
        </is>
      </c>
    </row>
    <row r="107" ht="26" customHeight="1">
      <c r="A107" s="60" t="inlineStr"/>
      <c r="B107" s="21" t="inlineStr"/>
      <c r="C107" s="21" t="inlineStr">
        <is>
          <t>Total</t>
        </is>
      </c>
      <c r="D107" s="25" t="inlineStr">
        <is>
          <t>Eurostat energy balances</t>
        </is>
      </c>
    </row>
    <row r="108" ht="26" customHeight="1">
      <c r="A108" s="13" t="inlineStr">
        <is>
          <t>I6</t>
        </is>
      </c>
      <c r="B108" s="14" t="inlineStr">
        <is>
          <t>Electricity share of industrial final energy use</t>
        </is>
      </c>
      <c r="C108" s="14" t="inlineStr">
        <is>
          <t>Value</t>
        </is>
      </c>
      <c r="D108" s="18" t="inlineStr">
        <is>
          <t>Eurostat energy balances</t>
        </is>
      </c>
    </row>
    <row r="109" ht="26" customHeight="1">
      <c r="A109" s="60" t="inlineStr"/>
      <c r="B109" s="21" t="inlineStr"/>
      <c r="C109" s="21" t="inlineStr">
        <is>
          <t>electricity</t>
        </is>
      </c>
      <c r="D109" s="25" t="inlineStr">
        <is>
          <t>Eurostat energy balances</t>
        </is>
      </c>
    </row>
    <row r="110" ht="26" customHeight="1">
      <c r="A110" s="13" t="inlineStr"/>
      <c r="B110" s="14" t="inlineStr"/>
      <c r="C110" s="14" t="inlineStr">
        <is>
          <t>Total energy use</t>
        </is>
      </c>
      <c r="D110" s="18" t="inlineStr">
        <is>
          <t>Eurostat energy balances</t>
        </is>
      </c>
    </row>
    <row r="111" ht="26" customHeight="1">
      <c r="A111" s="60" t="inlineStr"/>
      <c r="B111" s="21" t="inlineStr"/>
      <c r="C111" s="21" t="inlineStr">
        <is>
          <t>Electricity (raw input)</t>
        </is>
      </c>
      <c r="D111" s="25" t="inlineStr">
        <is>
          <t>Eurostat energy balances</t>
        </is>
      </c>
    </row>
    <row r="112" ht="26" customHeight="1">
      <c r="A112" s="13" t="inlineStr"/>
      <c r="B112" s="14" t="inlineStr"/>
      <c r="C112" s="14" t="inlineStr">
        <is>
          <t>Total</t>
        </is>
      </c>
      <c r="D112" s="18" t="inlineStr">
        <is>
          <t>Eurostat energy balances</t>
        </is>
      </c>
    </row>
    <row r="113" ht="26" customHeight="1">
      <c r="A113" s="60" t="inlineStr"/>
      <c r="B113" s="21" t="inlineStr"/>
      <c r="C113" s="21" t="inlineStr">
        <is>
          <t>fraction → % (× 100)</t>
        </is>
      </c>
      <c r="D113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14" ht="26" customHeight="1">
      <c r="A114" s="13" t="inlineStr">
        <is>
          <t>T1</t>
        </is>
      </c>
      <c r="B114" s="14" t="inlineStr">
        <is>
          <t>Transport GHG emissions (EU)</t>
        </is>
      </c>
      <c r="C114" s="14" t="inlineStr">
        <is>
          <t>Value</t>
        </is>
      </c>
      <c r="D114" s="18" t="inlineStr">
        <is>
          <t>EEA GHG data viewer</t>
        </is>
      </c>
      <c r="E114" s="59" t="inlineStr">
        <is>
          <t>https://www.eea.europa.eu/en/datahub/datahubitem-view/3b7fe76c-524a-439a-bfd2-a6e4046302a2</t>
        </is>
      </c>
    </row>
    <row r="115" ht="26" customHeight="1">
      <c r="A115" s="60" t="inlineStr"/>
      <c r="B115" s="21" t="inlineStr"/>
      <c r="C115" s="21" t="inlineStr">
        <is>
          <t>Road - cars and motorcycles</t>
        </is>
      </c>
      <c r="D115" s="25" t="inlineStr">
        <is>
          <t>EEA GHG data viewer</t>
        </is>
      </c>
      <c r="E115" s="59" t="inlineStr">
        <is>
          <t>https://www.eea.europa.eu/en/datahub/datahubitem-view/3b7fe76c-524a-439a-bfd2-a6e4046302a2</t>
        </is>
      </c>
    </row>
    <row r="116" ht="26" customHeight="1">
      <c r="A116" s="13" t="inlineStr"/>
      <c r="B116" s="14" t="inlineStr"/>
      <c r="C116" s="14" t="inlineStr">
        <is>
          <t>Road - HDV and buses</t>
        </is>
      </c>
      <c r="D116" s="18" t="inlineStr">
        <is>
          <t>EEA GHG data viewer</t>
        </is>
      </c>
      <c r="E116" s="59" t="inlineStr">
        <is>
          <t>https://www.eea.europa.eu/en/datahub/datahubitem-view/3b7fe76c-524a-439a-bfd2-a6e4046302a2</t>
        </is>
      </c>
    </row>
    <row r="117" ht="26" customHeight="1">
      <c r="A117" s="60" t="inlineStr"/>
      <c r="B117" s="21" t="inlineStr"/>
      <c r="C117" s="21" t="inlineStr">
        <is>
          <t>Road - Light Duty Trucks</t>
        </is>
      </c>
      <c r="D117" s="25" t="inlineStr">
        <is>
          <t>EEA GHG data viewer</t>
        </is>
      </c>
      <c r="E117" s="59" t="inlineStr">
        <is>
          <t>https://www.eea.europa.eu/en/datahub/datahubitem-view/3b7fe76c-524a-439a-bfd2-a6e4046302a2</t>
        </is>
      </c>
    </row>
    <row r="118" ht="26" customHeight="1">
      <c r="A118" s="13" t="inlineStr"/>
      <c r="B118" s="14" t="inlineStr"/>
      <c r="C118" s="14" t="inlineStr">
        <is>
          <t>- of which Railways, IWW</t>
        </is>
      </c>
      <c r="D118" s="18" t="inlineStr">
        <is>
          <t>EEA GHG data viewer</t>
        </is>
      </c>
      <c r="E118" s="59" t="inlineStr">
        <is>
          <t>https://www.eea.europa.eu/en/datahub/datahubitem-view/3b7fe76c-524a-439a-bfd2-a6e4046302a2</t>
        </is>
      </c>
    </row>
    <row r="119" ht="26" customHeight="1">
      <c r="A119" s="60" t="inlineStr"/>
      <c r="B119" s="21" t="inlineStr"/>
      <c r="C119" s="21" t="inlineStr">
        <is>
          <t>Aviation</t>
        </is>
      </c>
      <c r="D119" s="25" t="inlineStr">
        <is>
          <t>EEA GHG data viewer</t>
        </is>
      </c>
      <c r="E119" s="59" t="inlineStr">
        <is>
          <t>https://www.eea.europa.eu/en/datahub/datahubitem-view/3b7fe76c-524a-439a-bfd2-a6e4046302a2</t>
        </is>
      </c>
    </row>
    <row r="120" ht="26" customHeight="1">
      <c r="A120" s="13" t="inlineStr"/>
      <c r="B120" s="14" t="inlineStr"/>
      <c r="C120" s="14" t="inlineStr">
        <is>
          <t>- of which Other</t>
        </is>
      </c>
      <c r="D120" s="18" t="inlineStr">
        <is>
          <t>EEA GHG data viewer</t>
        </is>
      </c>
      <c r="E120" s="59" t="inlineStr">
        <is>
          <t>https://www.eea.europa.eu/en/datahub/datahubitem-view/3b7fe76c-524a-439a-bfd2-a6e4046302a2</t>
        </is>
      </c>
    </row>
    <row r="121" ht="26" customHeight="1">
      <c r="A121" s="60" t="inlineStr"/>
      <c r="B121" s="21" t="inlineStr"/>
      <c r="C121" s="21" t="inlineStr">
        <is>
          <t>1.A.3.b.i - Cars</t>
        </is>
      </c>
      <c r="D121" s="25" t="inlineStr">
        <is>
          <t>EEA GHG data viewer</t>
        </is>
      </c>
      <c r="E121" s="59" t="inlineStr">
        <is>
          <t>https://www.eea.europa.eu/en/datahub/datahubitem-view/3b7fe76c-524a-439a-bfd2-a6e4046302a2</t>
        </is>
      </c>
    </row>
    <row r="122" ht="26" customHeight="1">
      <c r="A122" s="13" t="inlineStr"/>
      <c r="B122" s="14" t="inlineStr"/>
      <c r="C122" s="14" t="inlineStr">
        <is>
          <t>1.A.3.b.iv - Motorcycles</t>
        </is>
      </c>
      <c r="D122" s="18" t="inlineStr">
        <is>
          <t>EEA GHG data viewer</t>
        </is>
      </c>
      <c r="E122" s="59" t="inlineStr">
        <is>
          <t>https://www.eea.europa.eu/en/datahub/datahubitem-view/3b7fe76c-524a-439a-bfd2-a6e4046302a2</t>
        </is>
      </c>
    </row>
    <row r="123" ht="26" customHeight="1">
      <c r="A123" s="60" t="inlineStr"/>
      <c r="B123" s="21" t="inlineStr"/>
      <c r="C123" s="21" t="inlineStr">
        <is>
          <t>1.A.3.b.iii - Heavy duty trucks and buses</t>
        </is>
      </c>
      <c r="D123" s="25" t="inlineStr">
        <is>
          <t>EEA GHG data viewer</t>
        </is>
      </c>
      <c r="E123" s="59" t="inlineStr">
        <is>
          <t>https://www.eea.europa.eu/en/datahub/datahubitem-view/3b7fe76c-524a-439a-bfd2-a6e4046302a2</t>
        </is>
      </c>
    </row>
    <row r="124" ht="26" customHeight="1">
      <c r="A124" s="13" t="inlineStr"/>
      <c r="B124" s="14" t="inlineStr"/>
      <c r="C124" s="14" t="inlineStr">
        <is>
          <t>1.A.3.b.ii - Light duty trucks</t>
        </is>
      </c>
      <c r="D124" s="18" t="inlineStr">
        <is>
          <t>EEA GHG data viewer</t>
        </is>
      </c>
      <c r="E124" s="59" t="inlineStr">
        <is>
          <t>https://www.eea.europa.eu/en/datahub/datahubitem-view/3b7fe76c-524a-439a-bfd2-a6e4046302a2</t>
        </is>
      </c>
    </row>
    <row r="125" ht="26" customHeight="1">
      <c r="A125" s="60" t="inlineStr"/>
      <c r="B125" s="21" t="inlineStr"/>
      <c r="C125" s="21" t="inlineStr">
        <is>
          <t>1.A.3.c - Railways</t>
        </is>
      </c>
      <c r="D125" s="25" t="inlineStr">
        <is>
          <t>EEA GHG data viewer</t>
        </is>
      </c>
      <c r="E125" s="59" t="inlineStr">
        <is>
          <t>https://www.eea.europa.eu/en/datahub/datahubitem-view/3b7fe76c-524a-439a-bfd2-a6e4046302a2</t>
        </is>
      </c>
    </row>
    <row r="126" ht="26" customHeight="1">
      <c r="A126" s="13" t="inlineStr"/>
      <c r="B126" s="14" t="inlineStr"/>
      <c r="C126" s="14" t="inlineStr">
        <is>
          <t>1.A.3.d - Domestic Navigation</t>
        </is>
      </c>
      <c r="D126" s="18" t="inlineStr">
        <is>
          <t>EEA GHG data viewer</t>
        </is>
      </c>
      <c r="E126" s="59" t="inlineStr">
        <is>
          <t>https://www.eea.europa.eu/en/datahub/datahubitem-view/3b7fe76c-524a-439a-bfd2-a6e4046302a2</t>
        </is>
      </c>
    </row>
    <row r="127" ht="26" customHeight="1">
      <c r="A127" s="60" t="inlineStr"/>
      <c r="B127" s="21" t="inlineStr"/>
      <c r="C127" s="21" t="inlineStr">
        <is>
          <t>- of which domestic</t>
        </is>
      </c>
      <c r="D127" s="25" t="inlineStr">
        <is>
          <t>EEA GHG data viewer</t>
        </is>
      </c>
      <c r="E127" s="59" t="inlineStr">
        <is>
          <t>https://www.eea.europa.eu/en/datahub/datahubitem-view/3b7fe76c-524a-439a-bfd2-a6e4046302a2</t>
        </is>
      </c>
    </row>
    <row r="128" ht="26" customHeight="1">
      <c r="A128" s="13" t="inlineStr"/>
      <c r="B128" s="14" t="inlineStr"/>
      <c r="C128" s="14" t="inlineStr">
        <is>
          <t>- of which international</t>
        </is>
      </c>
      <c r="D128" s="18" t="inlineStr">
        <is>
          <t>EEA GHG data viewer</t>
        </is>
      </c>
      <c r="E128" s="59" t="inlineStr">
        <is>
          <t>https://www.eea.europa.eu/en/datahub/datahubitem-view/3b7fe76c-524a-439a-bfd2-a6e4046302a2</t>
        </is>
      </c>
    </row>
    <row r="129" ht="26" customHeight="1">
      <c r="A129" s="60" t="inlineStr"/>
      <c r="B129" s="21" t="inlineStr"/>
      <c r="C129" s="21" t="inlineStr">
        <is>
          <t>1.A.3.b.v - Other Road Transportation</t>
        </is>
      </c>
      <c r="D129" s="25" t="inlineStr">
        <is>
          <t>EEA GHG data viewer</t>
        </is>
      </c>
      <c r="E129" s="59" t="inlineStr">
        <is>
          <t>https://www.eea.europa.eu/en/datahub/datahubitem-view/3b7fe76c-524a-439a-bfd2-a6e4046302a2</t>
        </is>
      </c>
    </row>
    <row r="130" ht="26" customHeight="1">
      <c r="A130" s="13" t="inlineStr"/>
      <c r="B130" s="14" t="inlineStr"/>
      <c r="C130" s="14" t="inlineStr">
        <is>
          <t>1.A.3.e - Other Transportation</t>
        </is>
      </c>
      <c r="D130" s="18" t="inlineStr">
        <is>
          <t>EEA GHG data viewer</t>
        </is>
      </c>
      <c r="E130" s="59" t="inlineStr">
        <is>
          <t>https://www.eea.europa.eu/en/datahub/datahubitem-view/3b7fe76c-524a-439a-bfd2-a6e4046302a2</t>
        </is>
      </c>
    </row>
    <row r="131" ht="26" customHeight="1">
      <c r="A131" s="60" t="inlineStr"/>
      <c r="B131" s="21" t="inlineStr"/>
      <c r="C131" s="21" t="inlineStr">
        <is>
          <t>1.A.3.a - Domestic Aviation</t>
        </is>
      </c>
      <c r="D131" s="25" t="inlineStr">
        <is>
          <t>EEA GHG data viewer</t>
        </is>
      </c>
      <c r="E131" s="59" t="inlineStr">
        <is>
          <t>https://www.eea.europa.eu/en/datahub/datahubitem-view/3b7fe76c-524a-439a-bfd2-a6e4046302a2</t>
        </is>
      </c>
    </row>
    <row r="132" ht="26" customHeight="1">
      <c r="A132" s="13" t="inlineStr"/>
      <c r="B132" s="14" t="inlineStr"/>
      <c r="C132" s="14" t="inlineStr">
        <is>
          <t>1.D.1.a - International Aviation</t>
        </is>
      </c>
      <c r="D132" s="18" t="inlineStr">
        <is>
          <t>EEA GHG data viewer</t>
        </is>
      </c>
      <c r="E132" s="59" t="inlineStr">
        <is>
          <t>https://www.eea.europa.eu/en/datahub/datahubitem-view/3b7fe76c-524a-439a-bfd2-a6e4046302a2</t>
        </is>
      </c>
    </row>
    <row r="133" ht="26" customHeight="1">
      <c r="A133" s="60" t="inlineStr"/>
      <c r="B133" s="21" t="inlineStr"/>
      <c r="C133" s="21" t="inlineStr">
        <is>
          <t>Report figure — row missing from the seeded grid</t>
        </is>
      </c>
      <c r="D133" s="25" t="inlineStr">
        <is>
          <t>ESABCC (2024) “Towards EU climate neutrality”, underlying-data workbook — EEA GHG data viewer. The report carries this year; the seeded calc grid stopped before it.</t>
        </is>
      </c>
      <c r="E133" s="59" t="inlineStr">
        <is>
          <t>https://www.eea.europa.eu/en/datahub/datahubitem-view/3b7fe76c-524a-439a-bfd2-a6e4046302a2</t>
        </is>
      </c>
    </row>
    <row r="134" ht="26" customHeight="1">
      <c r="A134" s="13" t="inlineStr"/>
      <c r="B134" s="14" t="inlineStr"/>
      <c r="C134" s="14" t="inlineStr">
        <is>
          <t>env_air_gge CRF1A3</t>
        </is>
      </c>
      <c r="D134" s="18" t="inlineStr">
        <is>
          <t>Eurostat env_air_gge · geo=EU27_2020, unit=MIO_T, freq=A, airpol=GHG, src_crf=CRF1A3 · https://ec.europa.eu/eurostat/api/dissemination/statistics/1.0/data/env_air_gge?format=JSON&amp;lang=EN&amp;geo=EU27_2020&amp;unit=MIO_T&amp;freq=A&amp;airpol=GHG&amp;src_crf=CRF1A3</t>
        </is>
      </c>
      <c r="E134" s="59" t="inlineStr">
        <is>
          <t>https://doi.org/10.2908/ENV_AIR_GGE</t>
        </is>
      </c>
    </row>
    <row r="135" ht="26" customHeight="1">
      <c r="A135" s="60" t="inlineStr"/>
      <c r="B135" s="21" t="inlineStr"/>
      <c r="C135" s="21" t="inlineStr">
        <is>
          <t>env_air_gge CRF1D1A</t>
        </is>
      </c>
      <c r="D135" s="25" t="inlineStr">
        <is>
          <t>Eurostat env_air_gge · geo=EU27_2020, unit=MIO_T, freq=A, airpol=GHG, src_crf=CRF1D1A · https://ec.europa.eu/eurostat/api/dissemination/statistics/1.0/data/env_air_gge?format=JSON&amp;lang=EN&amp;geo=EU27_2020&amp;unit=MIO_T&amp;freq=A&amp;airpol=GHG&amp;src_crf=CRF1D1A</t>
        </is>
      </c>
      <c r="E135" s="59" t="inlineStr">
        <is>
          <t>https://doi.org/10.2908/ENV_AIR_GGE</t>
        </is>
      </c>
    </row>
    <row r="136" ht="26" customHeight="1">
      <c r="A136" s="13" t="inlineStr">
        <is>
          <t>T2a</t>
        </is>
      </c>
      <c r="B136" s="14" t="inlineStr">
        <is>
          <t>Total passenger transport demand</t>
        </is>
      </c>
      <c r="C136" s="14" t="inlineStr">
        <is>
          <t>Value</t>
        </is>
      </c>
      <c r="D136" s="18" t="inlineStr">
        <is>
          <t>Eurostat Statistical Pocketbook 2022</t>
        </is>
      </c>
    </row>
    <row r="137" ht="26" customHeight="1">
      <c r="A137" s="60" t="inlineStr"/>
      <c r="B137" s="21" t="inlineStr"/>
      <c r="C137" s="21" t="inlineStr">
        <is>
          <t>cars and 2-wheels</t>
        </is>
      </c>
      <c r="D137" s="25" t="inlineStr">
        <is>
          <t>Eurostat Statistical Pocketbook 2022</t>
        </is>
      </c>
    </row>
    <row r="138" ht="26" customHeight="1">
      <c r="A138" s="13" t="inlineStr"/>
      <c r="B138" s="14" t="inlineStr"/>
      <c r="C138" s="14" t="inlineStr">
        <is>
          <t>buses and coaches</t>
        </is>
      </c>
      <c r="D138" s="18" t="inlineStr">
        <is>
          <t>Eurostat Statistical Pocketbook 2022</t>
        </is>
      </c>
    </row>
    <row r="139" ht="26" customHeight="1">
      <c r="A139" s="60" t="inlineStr"/>
      <c r="B139" s="21" t="inlineStr"/>
      <c r="C139" s="21" t="inlineStr">
        <is>
          <t>rail</t>
        </is>
      </c>
      <c r="D139" s="25" t="inlineStr">
        <is>
          <t>Eurostat Statistical Pocketbook 2022</t>
        </is>
      </c>
    </row>
    <row r="140" ht="26" customHeight="1">
      <c r="A140" s="13" t="inlineStr"/>
      <c r="B140" s="14" t="inlineStr"/>
      <c r="C140" s="14" t="inlineStr">
        <is>
          <t>aviation</t>
        </is>
      </c>
      <c r="D140" s="18" t="inlineStr">
        <is>
          <t>Eurostat Statistical Pocketbook 2022</t>
        </is>
      </c>
    </row>
    <row r="141" ht="26" customHeight="1">
      <c r="A141" s="60" t="inlineStr"/>
      <c r="B141" s="21" t="inlineStr"/>
      <c r="C141" s="21" t="inlineStr">
        <is>
          <t>Passenger Cars</t>
        </is>
      </c>
      <c r="D141" s="25" t="inlineStr">
        <is>
          <t>Eurostat Statistical Pocketbook 2022</t>
        </is>
      </c>
    </row>
    <row r="142" ht="26" customHeight="1">
      <c r="A142" s="13" t="inlineStr"/>
      <c r="B142" s="14" t="inlineStr"/>
      <c r="C142" s="14" t="inlineStr">
        <is>
          <t>Powered 2-wheelers</t>
        </is>
      </c>
      <c r="D142" s="18" t="inlineStr">
        <is>
          <t>Eurostat Statistical Pocketbook 2022</t>
        </is>
      </c>
    </row>
    <row r="143" ht="26" customHeight="1">
      <c r="A143" s="60" t="inlineStr"/>
      <c r="B143" s="21" t="inlineStr"/>
      <c r="C143" s="21" t="inlineStr">
        <is>
          <t>Buses &amp; Coaches</t>
        </is>
      </c>
      <c r="D143" s="25" t="inlineStr">
        <is>
          <t>Eurostat Statistical Pocketbook 2022</t>
        </is>
      </c>
    </row>
    <row r="144" ht="26" customHeight="1">
      <c r="A144" s="13" t="inlineStr"/>
      <c r="B144" s="14" t="inlineStr"/>
      <c r="C144" s="14" t="inlineStr">
        <is>
          <t>Railways</t>
        </is>
      </c>
      <c r="D144" s="18" t="inlineStr">
        <is>
          <t>Eurostat Statistical Pocketbook 2022</t>
        </is>
      </c>
    </row>
    <row r="145" ht="26" customHeight="1">
      <c r="A145" s="60" t="inlineStr"/>
      <c r="B145" s="21" t="inlineStr"/>
      <c r="C145" s="21" t="inlineStr">
        <is>
          <t>Tram &amp; Metro</t>
        </is>
      </c>
      <c r="D145" s="25" t="inlineStr">
        <is>
          <t>Eurostat Statistical Pocketbook 2022</t>
        </is>
      </c>
    </row>
    <row r="146" ht="26" customHeight="1">
      <c r="A146" s="13" t="inlineStr"/>
      <c r="B146" s="14" t="inlineStr"/>
      <c r="C146" s="14" t="inlineStr">
        <is>
          <t>Air</t>
        </is>
      </c>
      <c r="D146" s="18" t="inlineStr">
        <is>
          <t>Eurostat Statistical Pocketbook 2022</t>
        </is>
      </c>
    </row>
    <row r="147" ht="26" customHeight="1">
      <c r="A147" s="60" t="inlineStr"/>
      <c r="B147" s="21" t="inlineStr"/>
      <c r="C147" s="21" t="inlineStr">
        <is>
          <t>Post-report figure as published</t>
        </is>
      </c>
      <c r="D147" s="25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148" ht="26" customHeight="1">
      <c r="A148" s="13" t="inlineStr">
        <is>
          <t>T2b</t>
        </is>
      </c>
      <c r="B148" s="14" t="inlineStr">
        <is>
          <t>Total freight transport demand</t>
        </is>
      </c>
      <c r="C148" s="14" t="inlineStr">
        <is>
          <t>Value</t>
        </is>
      </c>
      <c r="D148" s="18" t="inlineStr">
        <is>
          <t>Eurostat Statistical Pocketbook 2022</t>
        </is>
      </c>
    </row>
    <row r="149" ht="26" customHeight="1">
      <c r="A149" s="60" t="inlineStr"/>
      <c r="B149" s="21" t="inlineStr"/>
      <c r="C149" s="21" t="inlineStr">
        <is>
          <t>Road</t>
        </is>
      </c>
      <c r="D149" s="25" t="inlineStr">
        <is>
          <t>Eurostat Statistical Pocketbook 2022</t>
        </is>
      </c>
    </row>
    <row r="150" ht="26" customHeight="1">
      <c r="A150" s="13" t="inlineStr"/>
      <c r="B150" s="14" t="inlineStr"/>
      <c r="C150" s="14" t="inlineStr">
        <is>
          <t>Rail</t>
        </is>
      </c>
      <c r="D150" s="18" t="inlineStr">
        <is>
          <t>Eurostat Statistical Pocketbook 2022</t>
        </is>
      </c>
    </row>
    <row r="151" ht="26" customHeight="1">
      <c r="A151" s="60" t="inlineStr"/>
      <c r="B151" s="21" t="inlineStr"/>
      <c r="C151" s="21" t="inlineStr">
        <is>
          <t>IWW</t>
        </is>
      </c>
      <c r="D151" s="25" t="inlineStr">
        <is>
          <t>Eurostat Statistical Pocketbook 2022</t>
        </is>
      </c>
    </row>
    <row r="152" ht="26" customHeight="1">
      <c r="A152" s="13" t="inlineStr"/>
      <c r="B152" s="14" t="inlineStr"/>
      <c r="C152" s="14" t="inlineStr">
        <is>
          <t>Road (2)</t>
        </is>
      </c>
      <c r="D152" s="18" t="inlineStr">
        <is>
          <t>Eurostat Statistical Pocketbook 2022</t>
        </is>
      </c>
    </row>
    <row r="153" ht="26" customHeight="1">
      <c r="A153" s="60" t="inlineStr"/>
      <c r="B153" s="21" t="inlineStr"/>
      <c r="C153" s="21" t="inlineStr">
        <is>
          <t>Rail (2)</t>
        </is>
      </c>
      <c r="D153" s="25" t="inlineStr">
        <is>
          <t>Eurostat Statistical Pocketbook 2022</t>
        </is>
      </c>
    </row>
    <row r="154" ht="26" customHeight="1">
      <c r="A154" s="13" t="inlineStr"/>
      <c r="B154" s="14" t="inlineStr"/>
      <c r="C154" s="14" t="inlineStr">
        <is>
          <t>Inland Waterway</t>
        </is>
      </c>
      <c r="D154" s="18" t="inlineStr">
        <is>
          <t>Eurostat Statistical Pocketbook 2022</t>
        </is>
      </c>
    </row>
    <row r="155" ht="26" customHeight="1">
      <c r="A155" s="60" t="inlineStr"/>
      <c r="B155" s="21" t="inlineStr"/>
      <c r="C155" s="21" t="inlineStr">
        <is>
          <t>Post-report figure as published</t>
        </is>
      </c>
      <c r="D155" s="25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156" ht="26" customHeight="1">
      <c r="A156" s="13" t="inlineStr">
        <is>
          <t>T3a</t>
        </is>
      </c>
      <c r="B156" s="14" t="inlineStr">
        <is>
          <t>Road share of motorised inland passenger transport</t>
        </is>
      </c>
      <c r="C156" s="14" t="inlineStr">
        <is>
          <t>Value</t>
        </is>
      </c>
      <c r="D156" s="18" t="inlineStr">
        <is>
          <t>Eurostat Statistical Pocketbook 2022</t>
        </is>
      </c>
    </row>
    <row r="157" ht="26" customHeight="1">
      <c r="A157" s="60" t="inlineStr"/>
      <c r="B157" s="21" t="inlineStr"/>
      <c r="C157" s="21" t="inlineStr">
        <is>
          <t>Passenger Cars</t>
        </is>
      </c>
      <c r="D157" s="25" t="inlineStr">
        <is>
          <t>Eurostat Statistical Pocketbook 2022</t>
        </is>
      </c>
    </row>
    <row r="158" ht="26" customHeight="1">
      <c r="A158" s="13" t="inlineStr"/>
      <c r="B158" s="14" t="inlineStr"/>
      <c r="C158" s="14" t="inlineStr">
        <is>
          <t>Powered 2-wheelers</t>
        </is>
      </c>
      <c r="D158" s="18" t="inlineStr">
        <is>
          <t>Eurostat Statistical Pocketbook 2022</t>
        </is>
      </c>
    </row>
    <row r="159" ht="26" customHeight="1">
      <c r="A159" s="60" t="inlineStr"/>
      <c r="B159" s="21" t="inlineStr"/>
      <c r="C159" s="21" t="inlineStr">
        <is>
          <t>Buses &amp; Coaches</t>
        </is>
      </c>
      <c r="D159" s="25" t="inlineStr">
        <is>
          <t>Eurostat Statistical Pocketbook 2022</t>
        </is>
      </c>
    </row>
    <row r="160" ht="26" customHeight="1">
      <c r="A160" s="13" t="inlineStr"/>
      <c r="B160" s="14" t="inlineStr"/>
      <c r="C160" s="14" t="inlineStr">
        <is>
          <t>Railways</t>
        </is>
      </c>
      <c r="D160" s="18" t="inlineStr">
        <is>
          <t>Eurostat Statistical Pocketbook 2022</t>
        </is>
      </c>
    </row>
    <row r="161" ht="26" customHeight="1">
      <c r="A161" s="60" t="inlineStr"/>
      <c r="B161" s="21" t="inlineStr"/>
      <c r="C161" s="21" t="inlineStr">
        <is>
          <t>Tram &amp; Metro</t>
        </is>
      </c>
      <c r="D161" s="25" t="inlineStr">
        <is>
          <t>Eurostat Statistical Pocketbook 2022</t>
        </is>
      </c>
    </row>
    <row r="162" ht="26" customHeight="1">
      <c r="A162" s="13" t="inlineStr"/>
      <c r="B162" s="14" t="inlineStr"/>
      <c r="C162" s="14" t="inlineStr">
        <is>
          <t>fraction → % (× 100)</t>
        </is>
      </c>
      <c r="D16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63" ht="26" customHeight="1">
      <c r="A163" s="60" t="inlineStr">
        <is>
          <t>T3b</t>
        </is>
      </c>
      <c r="B163" s="21" t="inlineStr">
        <is>
          <t>Intra-EU air passenger transport</t>
        </is>
      </c>
      <c r="C163" s="21" t="inlineStr">
        <is>
          <t>Value</t>
        </is>
      </c>
      <c r="D163" s="25" t="inlineStr">
        <is>
          <t>Eurostat Statistical Pocketbook 2022</t>
        </is>
      </c>
    </row>
    <row r="164" ht="26" customHeight="1">
      <c r="A164" s="13" t="inlineStr"/>
      <c r="B164" s="14" t="inlineStr"/>
      <c r="C164" s="14" t="inlineStr">
        <is>
          <t>Air passenger demand (Gpkm)</t>
        </is>
      </c>
      <c r="D164" s="18" t="inlineStr">
        <is>
          <t>Eurostat Statistical Pocketbook 2022</t>
        </is>
      </c>
    </row>
    <row r="165" ht="26" customHeight="1">
      <c r="A165" s="60" t="inlineStr">
        <is>
          <t>T4</t>
        </is>
      </c>
      <c r="B165" s="21" t="inlineStr">
        <is>
          <t>Average CO₂ intensity of new passenger cars (WLTP)</t>
        </is>
      </c>
      <c r="C165" s="21" t="inlineStr">
        <is>
          <t>Value</t>
        </is>
      </c>
      <c r="D165" s="25" t="inlineStr">
        <is>
          <t>EEA</t>
        </is>
      </c>
      <c r="E165" s="59" t="inlineStr">
        <is>
          <t>https://www.eea.europa.eu/en/datahub/datahubitem-view/3b7fe76c-524a-439a-bfd2-a6e4046302a2</t>
        </is>
      </c>
    </row>
    <row r="166" ht="26" customHeight="1">
      <c r="A166" s="13" t="inlineStr"/>
      <c r="B166" s="14" t="inlineStr"/>
      <c r="C166" s="14" t="inlineStr">
        <is>
          <t>New-car CO2 intensity WLTP (gCO2/km)</t>
        </is>
      </c>
      <c r="D166" s="18" t="inlineStr">
        <is>
          <t>EEA</t>
        </is>
      </c>
      <c r="E166" s="59" t="inlineStr">
        <is>
          <t>https://www.eea.europa.eu/en/datahub/datahubitem-view/3b7fe76c-524a-439a-bfd2-a6e4046302a2</t>
        </is>
      </c>
    </row>
    <row r="167" ht="26" customHeight="1">
      <c r="A167" s="60" t="inlineStr">
        <is>
          <t>T5a</t>
        </is>
      </c>
      <c r="B167" s="21" t="inlineStr">
        <is>
          <t>ZEV share of new passenger car registrations</t>
        </is>
      </c>
      <c r="C167" s="21" t="inlineStr">
        <is>
          <t>Value</t>
        </is>
      </c>
      <c r="D167" s="25" t="inlineStr">
        <is>
          <t>EU alternative fuel observatory, EEA for 2022</t>
        </is>
      </c>
      <c r="E167" s="59" t="inlineStr">
        <is>
          <t>https://www.eea.europa.eu/en/datahub/datahubitem-view/3b7fe76c-524a-439a-bfd2-a6e4046302a2</t>
        </is>
      </c>
    </row>
    <row r="168" ht="26" customHeight="1">
      <c r="A168" s="13" t="inlineStr"/>
      <c r="B168" s="14" t="inlineStr"/>
      <c r="C168" s="14" t="inlineStr">
        <is>
          <t>ZEV</t>
        </is>
      </c>
      <c r="D168" s="18" t="inlineStr">
        <is>
          <t>EU alternative fuel observatory</t>
        </is>
      </c>
    </row>
    <row r="169" ht="26" customHeight="1">
      <c r="A169" s="60" t="inlineStr"/>
      <c r="B169" s="21" t="inlineStr"/>
      <c r="C169" s="21" t="inlineStr">
        <is>
          <t>BEV</t>
        </is>
      </c>
      <c r="D169" s="25" t="inlineStr">
        <is>
          <t>EU alternative fuel observatory, EEA for 2022</t>
        </is>
      </c>
      <c r="E169" s="59" t="inlineStr">
        <is>
          <t>https://www.eea.europa.eu/en/datahub/datahubitem-view/3b7fe76c-524a-439a-bfd2-a6e4046302a2</t>
        </is>
      </c>
    </row>
    <row r="170" ht="26" customHeight="1">
      <c r="A170" s="13" t="inlineStr"/>
      <c r="B170" s="14" t="inlineStr"/>
      <c r="C170" s="14" t="inlineStr">
        <is>
          <t>H2</t>
        </is>
      </c>
      <c r="D170" s="18" t="inlineStr">
        <is>
          <t>EU alternative fuel observatory</t>
        </is>
      </c>
    </row>
    <row r="171" ht="26" customHeight="1">
      <c r="A171" s="60" t="inlineStr"/>
      <c r="B171" s="21" t="inlineStr"/>
      <c r="C171" s="21" t="inlineStr">
        <is>
          <t>Post-report figure as published</t>
        </is>
      </c>
      <c r="D171" s="25" t="inlineStr">
        <is>
          <t>EU Alternative Fuels Observatory; EEA for 2022 — https://alternative-fuels-observatory.ec.europa.eu/</t>
        </is>
      </c>
      <c r="E171" s="59" t="inlineStr">
        <is>
          <t>https://alternative-fuels-observatory.ec.europa.eu/transport-mode/road/european-union-eu27</t>
        </is>
      </c>
    </row>
    <row r="172" ht="26" customHeight="1">
      <c r="A172" s="13" t="inlineStr"/>
      <c r="B172" s="14" t="inlineStr"/>
      <c r="C172" s="14" t="inlineStr">
        <is>
          <t>fraction → % (× 100)</t>
        </is>
      </c>
      <c r="D17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73" ht="26" customHeight="1">
      <c r="A173" s="60" t="inlineStr">
        <is>
          <t>T5b</t>
        </is>
      </c>
      <c r="B173" s="21" t="inlineStr">
        <is>
          <t>Zero-emission lorries in the EU fleet</t>
        </is>
      </c>
      <c r="C173" s="21" t="inlineStr">
        <is>
          <t>Value</t>
        </is>
      </c>
      <c r="D173" s="25" t="inlineStr">
        <is>
          <t>EU alternative fuel observatory</t>
        </is>
      </c>
    </row>
    <row r="174" ht="26" customHeight="1">
      <c r="A174" s="13" t="inlineStr"/>
      <c r="B174" s="14" t="inlineStr"/>
      <c r="C174" s="14" t="inlineStr">
        <is>
          <t>ZEV</t>
        </is>
      </c>
      <c r="D174" s="18" t="inlineStr">
        <is>
          <t>EU alternative fuel observatory</t>
        </is>
      </c>
    </row>
    <row r="175" ht="26" customHeight="1">
      <c r="A175" s="60" t="inlineStr"/>
      <c r="B175" s="21" t="inlineStr"/>
      <c r="C175" s="21" t="inlineStr">
        <is>
          <t>BEV</t>
        </is>
      </c>
      <c r="D175" s="25" t="inlineStr">
        <is>
          <t>EU alternative fuel observatory</t>
        </is>
      </c>
    </row>
    <row r="176" ht="26" customHeight="1">
      <c r="A176" s="13" t="inlineStr"/>
      <c r="B176" s="14" t="inlineStr"/>
      <c r="C176" s="14" t="inlineStr">
        <is>
          <t>H2</t>
        </is>
      </c>
      <c r="D176" s="18" t="inlineStr">
        <is>
          <t>EU alternative fuel observatory</t>
        </is>
      </c>
    </row>
    <row r="177" ht="26" customHeight="1">
      <c r="A177" s="60" t="inlineStr">
        <is>
          <t>T6a</t>
        </is>
      </c>
      <c r="B177" s="21" t="inlineStr">
        <is>
          <t>Fossil share of transport energy use</t>
        </is>
      </c>
      <c r="C177" s="21" t="inlineStr">
        <is>
          <t>Value</t>
        </is>
      </c>
      <c r="D177" s="25" t="inlineStr">
        <is>
          <t>Energy balances</t>
        </is>
      </c>
    </row>
    <row r="178" ht="26" customHeight="1">
      <c r="A178" s="13" t="inlineStr"/>
      <c r="B178" s="14" t="inlineStr"/>
      <c r="C178" s="14" t="inlineStr">
        <is>
          <t>Solid fossil fuels</t>
        </is>
      </c>
      <c r="D178" s="18" t="inlineStr">
        <is>
          <t>Eurostat energy balance</t>
        </is>
      </c>
    </row>
    <row r="179" ht="26" customHeight="1">
      <c r="A179" s="60" t="inlineStr"/>
      <c r="B179" s="21" t="inlineStr"/>
      <c r="C179" s="21" t="inlineStr">
        <is>
          <t>Manufactured gases</t>
        </is>
      </c>
      <c r="D179" s="25" t="inlineStr">
        <is>
          <t>Eurostat energy balance</t>
        </is>
      </c>
    </row>
    <row r="180" ht="26" customHeight="1">
      <c r="A180" s="13" t="inlineStr"/>
      <c r="B180" s="14" t="inlineStr"/>
      <c r="C180" s="14" t="inlineStr">
        <is>
          <t>Peat and peat products</t>
        </is>
      </c>
      <c r="D180" s="18" t="inlineStr">
        <is>
          <t>Eurostat energy balance</t>
        </is>
      </c>
    </row>
    <row r="181" ht="26" customHeight="1">
      <c r="A181" s="60" t="inlineStr"/>
      <c r="B181" s="21" t="inlineStr"/>
      <c r="C181" s="21" t="inlineStr">
        <is>
          <t>Natural gas</t>
        </is>
      </c>
      <c r="D181" s="25" t="inlineStr">
        <is>
          <t>Eurostat energy balance</t>
        </is>
      </c>
    </row>
    <row r="182" ht="26" customHeight="1">
      <c r="A182" s="13" t="inlineStr"/>
      <c r="B182" s="14" t="inlineStr"/>
      <c r="C182" s="14" t="inlineStr">
        <is>
          <t>Oil and petroleum products (excluding biofuel portion)</t>
        </is>
      </c>
      <c r="D182" s="18" t="inlineStr">
        <is>
          <t>Eurostat energy balance</t>
        </is>
      </c>
    </row>
    <row r="183" ht="26" customHeight="1">
      <c r="A183" s="60" t="inlineStr"/>
      <c r="B183" s="21" t="inlineStr"/>
      <c r="C183" s="21" t="inlineStr">
        <is>
          <t>Solid fossil fuels (2)</t>
        </is>
      </c>
      <c r="D183" s="25" t="inlineStr">
        <is>
          <t>Eurostat energy balance</t>
        </is>
      </c>
    </row>
    <row r="184" ht="26" customHeight="1">
      <c r="A184" s="13" t="inlineStr"/>
      <c r="B184" s="14" t="inlineStr"/>
      <c r="C184" s="14" t="inlineStr">
        <is>
          <t>Manufactured gases (2)</t>
        </is>
      </c>
      <c r="D184" s="18" t="inlineStr">
        <is>
          <t>Eurostat energy balance</t>
        </is>
      </c>
    </row>
    <row r="185" ht="26" customHeight="1">
      <c r="A185" s="60" t="inlineStr"/>
      <c r="B185" s="21" t="inlineStr"/>
      <c r="C185" s="21" t="inlineStr">
        <is>
          <t>Peat and peat products (2)</t>
        </is>
      </c>
      <c r="D185" s="25" t="inlineStr">
        <is>
          <t>Eurostat energy balance</t>
        </is>
      </c>
    </row>
    <row r="186" ht="26" customHeight="1">
      <c r="A186" s="13" t="inlineStr"/>
      <c r="B186" s="14" t="inlineStr"/>
      <c r="C186" s="14" t="inlineStr">
        <is>
          <t>Natural gas (2)</t>
        </is>
      </c>
      <c r="D186" s="18" t="inlineStr">
        <is>
          <t>Eurostat energy balance</t>
        </is>
      </c>
    </row>
    <row r="187" ht="26" customHeight="1">
      <c r="A187" s="60" t="inlineStr"/>
      <c r="B187" s="21" t="inlineStr"/>
      <c r="C187" s="21" t="inlineStr">
        <is>
          <t>Oil and petroleum products (excluding biofuel portion) (2)</t>
        </is>
      </c>
      <c r="D187" s="25" t="inlineStr">
        <is>
          <t>Eurostat energy balance</t>
        </is>
      </c>
    </row>
    <row r="188" ht="26" customHeight="1">
      <c r="A188" s="13" t="inlineStr"/>
      <c r="B188" s="14" t="inlineStr"/>
      <c r="C188" s="14" t="inlineStr">
        <is>
          <t>Solid fossil fuels (3)</t>
        </is>
      </c>
      <c r="D188" s="18" t="inlineStr">
        <is>
          <t>Eurostat energy balance</t>
        </is>
      </c>
    </row>
    <row r="189" ht="26" customHeight="1">
      <c r="A189" s="60" t="inlineStr"/>
      <c r="B189" s="21" t="inlineStr"/>
      <c r="C189" s="21" t="inlineStr">
        <is>
          <t>Manufactured gases (3)</t>
        </is>
      </c>
      <c r="D189" s="25" t="inlineStr">
        <is>
          <t>Eurostat energy balance</t>
        </is>
      </c>
    </row>
    <row r="190" ht="26" customHeight="1">
      <c r="A190" s="13" t="inlineStr"/>
      <c r="B190" s="14" t="inlineStr"/>
      <c r="C190" s="14" t="inlineStr">
        <is>
          <t>Peat and peat products (3)</t>
        </is>
      </c>
      <c r="D190" s="18" t="inlineStr">
        <is>
          <t>Eurostat energy balance</t>
        </is>
      </c>
    </row>
    <row r="191" ht="26" customHeight="1">
      <c r="A191" s="60" t="inlineStr"/>
      <c r="B191" s="21" t="inlineStr"/>
      <c r="C191" s="21" t="inlineStr">
        <is>
          <t>Natural gas (3)</t>
        </is>
      </c>
      <c r="D191" s="25" t="inlineStr">
        <is>
          <t>Eurostat energy balance</t>
        </is>
      </c>
    </row>
    <row r="192" ht="26" customHeight="1">
      <c r="A192" s="13" t="inlineStr"/>
      <c r="B192" s="14" t="inlineStr"/>
      <c r="C192" s="14" t="inlineStr">
        <is>
          <t>Oil and petroleum products (excluding biofuel portion) (3)</t>
        </is>
      </c>
      <c r="D192" s="18" t="inlineStr">
        <is>
          <t>Eurostat energy balance</t>
        </is>
      </c>
    </row>
    <row r="193" ht="26" customHeight="1">
      <c r="A193" s="60" t="inlineStr"/>
      <c r="B193" s="21" t="inlineStr"/>
      <c r="C193" s="21" t="inlineStr">
        <is>
          <t>Total</t>
        </is>
      </c>
      <c r="D193" s="25" t="inlineStr">
        <is>
          <t>Eurostat energy balance</t>
        </is>
      </c>
    </row>
    <row r="194" ht="26" customHeight="1">
      <c r="A194" s="13" t="inlineStr"/>
      <c r="B194" s="14" t="inlineStr"/>
      <c r="C194" s="14" t="inlineStr">
        <is>
          <t>Total (2)</t>
        </is>
      </c>
      <c r="D194" s="18" t="inlineStr">
        <is>
          <t>Eurostat energy balance</t>
        </is>
      </c>
    </row>
    <row r="195" ht="26" customHeight="1">
      <c r="A195" s="60" t="inlineStr"/>
      <c r="B195" s="21" t="inlineStr"/>
      <c r="C195" s="21" t="inlineStr">
        <is>
          <t>Total (3)</t>
        </is>
      </c>
      <c r="D195" s="25" t="inlineStr">
        <is>
          <t>Eurostat energy balance</t>
        </is>
      </c>
    </row>
    <row r="196" ht="26" customHeight="1">
      <c r="A196" s="13" t="inlineStr"/>
      <c r="B196" s="14" t="inlineStr"/>
      <c r="C196" s="14" t="inlineStr">
        <is>
          <t>Numerator · nrg_bal_s O4000XBIO</t>
        </is>
      </c>
      <c r="D196" s="18" t="inlineStr">
        <is>
          <t>Eurostat nrg_bal_s · geo=EU27_2020, unit=GWH, freq=A, nrg_bal=FC_TRA_E, siec=O4000XBIO · https://ec.europa.eu/eurostat/api/dissemination/statistics/1.0/data/nrg_bal_s?format=JSON&amp;lang=EN&amp;geo=EU27_2020&amp;unit=GWH&amp;freq=A&amp;nrg_bal=FC_TRA_E&amp;siec=O4000XBIO</t>
        </is>
      </c>
      <c r="E196" s="59" t="inlineStr">
        <is>
          <t>https://doi.org/10.2908/NRG_BAL_S</t>
        </is>
      </c>
    </row>
    <row r="197" ht="26" customHeight="1">
      <c r="A197" s="60" t="inlineStr"/>
      <c r="B197" s="21" t="inlineStr"/>
      <c r="C197" s="21" t="inlineStr">
        <is>
          <t>Numerator · nrg_bal_s G3000</t>
        </is>
      </c>
      <c r="D197" s="25" t="inlineStr">
        <is>
          <t>Eurostat nrg_bal_s · geo=EU27_2020, unit=GWH, freq=A, nrg_bal=FC_TRA_E, siec=G3000 · https://ec.europa.eu/eurostat/api/dissemination/statistics/1.0/data/nrg_bal_s?format=JSON&amp;lang=EN&amp;geo=EU27_2020&amp;unit=GWH&amp;freq=A&amp;nrg_bal=FC_TRA_E&amp;siec=G3000</t>
        </is>
      </c>
      <c r="E197" s="59" t="inlineStr">
        <is>
          <t>https://doi.org/10.2908/NRG_BAL_S</t>
        </is>
      </c>
    </row>
    <row r="198" ht="26" customHeight="1">
      <c r="A198" s="13" t="inlineStr"/>
      <c r="B198" s="14" t="inlineStr"/>
      <c r="C198" s="14" t="inlineStr">
        <is>
          <t>Numerator · nrg_bal_s C0000X0350-0370</t>
        </is>
      </c>
      <c r="D198" s="18" t="inlineStr">
        <is>
          <t>Eurostat nrg_bal_s · geo=EU27_2020, unit=GWH, freq=A, nrg_bal=FC_TRA_E, siec=C0000X0350-0370 · https://ec.europa.eu/eurostat/api/dissemination/statistics/1.0/data/nrg_bal_s?format=JSON&amp;lang=EN&amp;geo=EU27_2020&amp;unit=GWH&amp;freq=A&amp;nrg_bal=FC_TRA_E&amp;siec=C0000X0350-0370</t>
        </is>
      </c>
      <c r="E198" s="59" t="inlineStr">
        <is>
          <t>https://doi.org/10.2908/NRG_BAL_S</t>
        </is>
      </c>
    </row>
    <row r="199" ht="26" customHeight="1">
      <c r="A199" s="60" t="inlineStr"/>
      <c r="B199" s="21" t="inlineStr"/>
      <c r="C199" s="21" t="inlineStr">
        <is>
          <t>Denominator · nrg_bal_s TOTAL</t>
        </is>
      </c>
      <c r="D199" s="25" t="inlineStr">
        <is>
          <t>Eurostat nrg_bal_s · geo=EU27_2020, unit=GWH, freq=A, nrg_bal=FC_TRA_E, siec=TOTAL · https://ec.europa.eu/eurostat/api/dissemination/statistics/1.0/data/nrg_bal_s?format=JSON&amp;lang=EN&amp;geo=EU27_2020&amp;unit=GWH&amp;freq=A&amp;nrg_bal=FC_TRA_E&amp;siec=TOTAL</t>
        </is>
      </c>
      <c r="E199" s="59" t="inlineStr">
        <is>
          <t>https://doi.org/10.2908/NRG_BAL_S</t>
        </is>
      </c>
    </row>
    <row r="200" ht="26" customHeight="1">
      <c r="A200" s="13" t="inlineStr"/>
      <c r="B200" s="14" t="inlineStr"/>
      <c r="C200" s="14" t="inlineStr">
        <is>
          <t>Report baseline 2021 (%)</t>
        </is>
      </c>
      <c r="D200" s="18" t="inlineStr">
        <is>
          <t>ESABCC (2024) “Towards EU climate neutrality”, underlying-data workbook — the report's own 2021 figure, the anchor the later years are spliced onto.</t>
        </is>
      </c>
    </row>
    <row r="201" ht="26" customHeight="1">
      <c r="A201" s="60" t="inlineStr"/>
      <c r="B201" s="21" t="inlineStr"/>
      <c r="C201" s="21" t="inlineStr">
        <is>
          <t>Live source at 2021 (same basis as the columns left)</t>
        </is>
      </c>
      <c r="D201" s="25" t="inlineStr">
        <is>
          <t>Eurostat nrg_bal_s · fossil ÷ total transport final energy · EU27_2020 — the same query, read at 2021; dividing by it cancels the level difference between the source's scope and the report's, leaving only the year-on-year change.</t>
        </is>
      </c>
      <c r="E201" s="59" t="inlineStr">
        <is>
          <t>https://doi.org/10.2908/NRG_BAL_S</t>
        </is>
      </c>
    </row>
    <row r="202" ht="26" customHeight="1">
      <c r="A202" s="13" t="inlineStr"/>
      <c r="B202" s="14" t="inlineStr"/>
      <c r="C202" s="14" t="inlineStr">
        <is>
          <t>fraction → % (× 100)</t>
        </is>
      </c>
      <c r="D20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03" ht="26" customHeight="1">
      <c r="A203" s="60" t="inlineStr">
        <is>
          <t>T6b</t>
        </is>
      </c>
      <c r="B203" s="21" t="inlineStr">
        <is>
          <t>Use of first-generation (food-crop) biofuels in transport</t>
        </is>
      </c>
      <c r="C203" s="21" t="inlineStr">
        <is>
          <t>Value</t>
        </is>
      </c>
      <c r="D203" s="25" t="inlineStr">
        <is>
          <t>SHARES summary sheet</t>
        </is>
      </c>
    </row>
    <row r="204" ht="26" customHeight="1">
      <c r="A204" s="13" t="inlineStr"/>
      <c r="B204" s="14" t="inlineStr"/>
      <c r="C204" s="14" t="inlineStr">
        <is>
          <t>Biofuels from food crops (Mtoe)</t>
        </is>
      </c>
      <c r="D204" s="18" t="inlineStr">
        <is>
          <t>SHARES summary sheet</t>
        </is>
      </c>
    </row>
    <row r="205" ht="26" customHeight="1">
      <c r="A205" s="60" t="inlineStr"/>
      <c r="B205" s="21" t="inlineStr"/>
      <c r="C205" s="21" t="inlineStr">
        <is>
          <t>Mtoe → TWh</t>
        </is>
      </c>
      <c r="D205" s="25" t="inlineStr">
        <is>
          <t>IEA unit converter</t>
        </is>
      </c>
    </row>
    <row r="206" ht="26" customHeight="1">
      <c r="A206" s="13" t="inlineStr">
        <is>
          <t>B1</t>
        </is>
      </c>
      <c r="B206" s="14" t="inlineStr">
        <is>
          <t>Residential + tertiary building GHG emissions</t>
        </is>
      </c>
      <c r="C206" s="14" t="inlineStr">
        <is>
          <t>Value</t>
        </is>
      </c>
      <c r="D206" s="18" t="inlineStr">
        <is>
          <t>EEA GHG data viewer (UNFCCC CRF)</t>
        </is>
      </c>
      <c r="E206" s="59" t="inlineStr">
        <is>
          <t>https://di.unfccc.int/detailed_data_by_party</t>
        </is>
      </c>
    </row>
    <row r="207" ht="26" customHeight="1">
      <c r="A207" s="60" t="inlineStr"/>
      <c r="B207" s="21" t="inlineStr"/>
      <c r="C207" s="21" t="inlineStr">
        <is>
          <t>Residential (CRF 1.A.4.b)</t>
        </is>
      </c>
      <c r="D207" s="25" t="inlineStr">
        <is>
          <t>EEA / UNFCCC inventory CRF Table 1.A(a)s4</t>
        </is>
      </c>
      <c r="E207" s="59" t="inlineStr">
        <is>
          <t>https://di.unfccc.int/detailed_data_by_party</t>
        </is>
      </c>
    </row>
    <row r="208" ht="26" customHeight="1">
      <c r="A208" s="13" t="inlineStr"/>
      <c r="B208" s="14" t="inlineStr"/>
      <c r="C208" s="14" t="inlineStr">
        <is>
          <t>Tertiary (CRF 1.A.4.a)</t>
        </is>
      </c>
      <c r="D208" s="18" t="inlineStr">
        <is>
          <t>EEA / UNFCCC inventory CRF Table 1.A(a)s4</t>
        </is>
      </c>
      <c r="E208" s="59" t="inlineStr">
        <is>
          <t>https://di.unfccc.int/detailed_data_by_party</t>
        </is>
      </c>
    </row>
    <row r="209" ht="26" customHeight="1">
      <c r="A209" s="60" t="inlineStr"/>
      <c r="B209" s="21" t="inlineStr"/>
      <c r="C209" s="21" t="inlineStr">
        <is>
          <t>Agriculture &amp; fisheries energy (CRF 1.A.4.c)</t>
        </is>
      </c>
      <c r="D209" s="25" t="inlineStr">
        <is>
          <t>EEA / UNFCCC inventory CRF Table 1.A(a)s4</t>
        </is>
      </c>
      <c r="E209" s="59" t="inlineStr">
        <is>
          <t>https://di.unfccc.int/detailed_data_by_party</t>
        </is>
      </c>
    </row>
    <row r="210" ht="26" customHeight="1">
      <c r="A210" s="13" t="inlineStr">
        <is>
          <t>B2</t>
        </is>
      </c>
      <c r="B210" s="14" t="inlineStr">
        <is>
          <t>Final energy consumption in buildings</t>
        </is>
      </c>
      <c r="C210" s="14" t="inlineStr">
        <is>
          <t>Value</t>
        </is>
      </c>
      <c r="D210" s="18" t="inlineStr">
        <is>
          <t>Eurostat energy balances</t>
        </is>
      </c>
    </row>
    <row r="211" ht="26" customHeight="1">
      <c r="A211" s="60" t="inlineStr"/>
      <c r="B211" s="21" t="inlineStr"/>
      <c r="C211" s="21" t="inlineStr">
        <is>
          <t>Tertiary commercial &amp; public services (TJ)</t>
        </is>
      </c>
      <c r="D211" s="25" t="inlineStr">
        <is>
          <t>Eurostat energy balances</t>
        </is>
      </c>
    </row>
    <row r="212" ht="26" customHeight="1">
      <c r="A212" s="13" t="inlineStr"/>
      <c r="B212" s="14" t="inlineStr"/>
      <c r="C212" s="14" t="inlineStr">
        <is>
          <t>Residential households (TJ)</t>
        </is>
      </c>
      <c r="D212" s="18" t="inlineStr">
        <is>
          <t>Eurostat energy balances</t>
        </is>
      </c>
    </row>
    <row r="213" ht="26" customHeight="1">
      <c r="A213" s="60" t="inlineStr"/>
      <c r="B213" s="21" t="inlineStr"/>
      <c r="C213" s="21" t="inlineStr">
        <is>
          <t>Agriculture &amp; forestry (TJ)</t>
        </is>
      </c>
      <c r="D213" s="25" t="inlineStr">
        <is>
          <t>Eurostat energy balances</t>
        </is>
      </c>
    </row>
    <row r="214" ht="26" customHeight="1">
      <c r="A214" s="13" t="inlineStr"/>
      <c r="B214" s="14" t="inlineStr"/>
      <c r="C214" s="14" t="inlineStr">
        <is>
          <t>TJ → TWh (EJ2TWh/1e6)</t>
        </is>
      </c>
      <c r="D214" s="18" t="inlineStr">
        <is>
          <t>Named Refs&amp;Conversions</t>
        </is>
      </c>
    </row>
    <row r="215" ht="26" customHeight="1">
      <c r="A215" s="60" t="inlineStr"/>
      <c r="B215" s="21" t="inlineStr"/>
      <c r="C215" s="21" t="inlineStr">
        <is>
          <t>Post-report figure as published</t>
        </is>
      </c>
      <c r="D215" s="25" t="inlineStr">
        <is>
          <t>Eurostat (nrg_bal_c) — https://ec.europa.eu/eurostat/databrowser/view/nrg_bal_c/default/table</t>
        </is>
      </c>
      <c r="E215" s="59" t="inlineStr">
        <is>
          <t>https://doi.org/10.2908/NRG_BAL_C</t>
        </is>
      </c>
    </row>
    <row r="216" ht="26" customHeight="1">
      <c r="A216" s="13" t="inlineStr">
        <is>
          <t>B4 (population)</t>
        </is>
      </c>
      <c r="B216" s="14" t="inlineStr">
        <is>
          <t>EU population (index, 2005 = 1.0)</t>
        </is>
      </c>
      <c r="C216" s="14" t="inlineStr">
        <is>
          <t>Value</t>
        </is>
      </c>
      <c r="D216" s="18" t="inlineStr">
        <is>
          <t>European Building Stock Observatory (DG ENER) + Odyssee-Mure; population from Eurostat demo_gind</t>
        </is>
      </c>
      <c r="E216" s="59" t="inlineStr">
        <is>
          <t>https://doi.org/10.2908/DEMO_GIND</t>
        </is>
      </c>
    </row>
    <row r="217" ht="26" customHeight="1">
      <c r="A217" s="60" t="inlineStr"/>
      <c r="B217" s="21" t="inlineStr"/>
      <c r="C217" s="21" t="inlineStr">
        <is>
          <t>Report figure (2024 report underlying data)</t>
        </is>
      </c>
      <c r="D217" s="25" t="inlineStr">
        <is>
          <t>ESABCC (2024) “Towards EU climate neutrality: Progress, policy gaps and opportunities”, underlying-data workbook — European Building Stock Observatory (DG ENER) + Odyssee-Mure; population from Eurostat demo_gind. The report carries this indicator as a published series, with no further breakdown.</t>
        </is>
      </c>
      <c r="E217" s="59" t="inlineStr">
        <is>
          <t>https://doi.org/10.2908/DEMO_GIND</t>
        </is>
      </c>
    </row>
    <row r="218" ht="26" customHeight="1">
      <c r="A218" s="13" t="inlineStr"/>
      <c r="B218" s="14" t="inlineStr"/>
      <c r="C218" s="14" t="inlineStr">
        <is>
          <t>demo_gind AVG</t>
        </is>
      </c>
      <c r="D218" s="18" t="inlineStr">
        <is>
          <t>Eurostat demo_gind · geo=EU27_2020, indic_de=AVG · https://ec.europa.eu/eurostat/api/dissemination/statistics/1.0/data/demo_gind?format=JSON&amp;lang=EN&amp;geo=EU27_2020&amp;indic_de=AVG</t>
        </is>
      </c>
      <c r="E218" s="59" t="inlineStr">
        <is>
          <t>https://doi.org/10.2908/DEMO_GIND</t>
        </is>
      </c>
    </row>
    <row r="219" ht="26" customHeight="1">
      <c r="A219" s="60" t="inlineStr"/>
      <c r="B219" s="21" t="inlineStr"/>
      <c r="C219" s="21" t="inlineStr">
        <is>
          <t>Report baseline 2020 (index (2005 = 1.0))</t>
        </is>
      </c>
      <c r="D219" s="25" t="inlineStr">
        <is>
          <t>ESABCC (2024) “Towards EU climate neutrality”, underlying-data workbook — the report's own 2020 figure, the anchor the later years are spliced onto.</t>
        </is>
      </c>
    </row>
    <row r="220" ht="26" customHeight="1">
      <c r="A220" s="13" t="inlineStr"/>
      <c r="B220" s="14" t="inlineStr"/>
      <c r="C220" s="14" t="inlineStr">
        <is>
          <t>Live source at 2020 (same basis as the columns left)</t>
        </is>
      </c>
      <c r="D220" s="18" t="inlineStr">
        <is>
          <t>Eurostat demo_gind · average population (indexed onto report 2005=1.0 baseline) · EU27_2020 — the same query, read at 2020; dividing by it cancels the level difference between the source's scope and the report's, leaving only the year-on-year change.</t>
        </is>
      </c>
      <c r="E220" s="59" t="inlineStr">
        <is>
          <t>https://doi.org/10.2908/DEMO_GIND</t>
        </is>
      </c>
    </row>
    <row r="221" ht="26" customHeight="1">
      <c r="A221" s="60" t="inlineStr">
        <is>
          <t>B5a</t>
        </is>
      </c>
      <c r="B221" s="21" t="inlineStr">
        <is>
          <t>Fossil share of residential energy mix</t>
        </is>
      </c>
      <c r="C221" s="21" t="inlineStr">
        <is>
          <t>Value</t>
        </is>
      </c>
      <c r="D221" s="25" t="inlineStr">
        <is>
          <t>Eurostat energy balances</t>
        </is>
      </c>
    </row>
    <row r="222" ht="26" customHeight="1">
      <c r="A222" s="13" t="inlineStr"/>
      <c r="B222" s="14" t="inlineStr"/>
      <c r="C222" s="14" t="inlineStr">
        <is>
          <t>Other fossils (solids, …)</t>
        </is>
      </c>
      <c r="D222" s="18" t="inlineStr">
        <is>
          <t>Eurostat energy balance</t>
        </is>
      </c>
    </row>
    <row r="223" ht="26" customHeight="1">
      <c r="A223" s="60" t="inlineStr"/>
      <c r="B223" s="21" t="inlineStr"/>
      <c r="C223" s="21" t="inlineStr">
        <is>
          <t>Liquid fossils</t>
        </is>
      </c>
      <c r="D223" s="25" t="inlineStr">
        <is>
          <t>Eurostat energy balance</t>
        </is>
      </c>
    </row>
    <row r="224" ht="26" customHeight="1">
      <c r="A224" s="13" t="inlineStr"/>
      <c r="B224" s="14" t="inlineStr"/>
      <c r="C224" s="14" t="inlineStr">
        <is>
          <t>Natural gas</t>
        </is>
      </c>
      <c r="D224" s="18" t="inlineStr">
        <is>
          <t>Eurostat energy balance</t>
        </is>
      </c>
    </row>
    <row r="225" ht="26" customHeight="1">
      <c r="A225" s="60" t="inlineStr"/>
      <c r="B225" s="21" t="inlineStr"/>
      <c r="C225" s="21" t="inlineStr">
        <is>
          <t>Total</t>
        </is>
      </c>
      <c r="D225" s="25" t="inlineStr">
        <is>
          <t>calculated</t>
        </is>
      </c>
    </row>
    <row r="226" ht="26" customHeight="1">
      <c r="A226" s="13" t="inlineStr"/>
      <c r="B226" s="14" t="inlineStr"/>
      <c r="C226" s="14" t="inlineStr">
        <is>
          <t>Electricity</t>
        </is>
      </c>
      <c r="D226" s="18" t="inlineStr">
        <is>
          <t>Eurostat energy balance</t>
        </is>
      </c>
    </row>
    <row r="227" ht="26" customHeight="1">
      <c r="A227" s="60" t="inlineStr"/>
      <c r="B227" s="21" t="inlineStr"/>
      <c r="C227" s="21" t="inlineStr">
        <is>
          <t>District heating</t>
        </is>
      </c>
      <c r="D227" s="25" t="inlineStr">
        <is>
          <t>Eurostat energy balance</t>
        </is>
      </c>
    </row>
    <row r="228" ht="26" customHeight="1">
      <c r="A228" s="13" t="inlineStr"/>
      <c r="B228" s="14" t="inlineStr"/>
      <c r="C228" s="14" t="inlineStr">
        <is>
          <t>Renewables - bio</t>
        </is>
      </c>
      <c r="D228" s="18" t="inlineStr">
        <is>
          <t>Eurostat energy balance</t>
        </is>
      </c>
    </row>
    <row r="229" ht="26" customHeight="1">
      <c r="A229" s="60" t="inlineStr"/>
      <c r="B229" s="21" t="inlineStr"/>
      <c r="C229" s="21" t="inlineStr">
        <is>
          <t>Renewables - other</t>
        </is>
      </c>
      <c r="D229" s="25" t="inlineStr">
        <is>
          <t>Eurostat energy balance</t>
        </is>
      </c>
    </row>
    <row r="230" ht="26" customHeight="1">
      <c r="A230" s="13" t="inlineStr"/>
      <c r="B230" s="14" t="inlineStr"/>
      <c r="C230" s="14" t="inlineStr">
        <is>
          <t>Post-report figure as published</t>
        </is>
      </c>
      <c r="D230" s="18" t="inlineStr">
        <is>
          <t>Eurostat (nrg_bal_c) — https://ec.europa.eu/eurostat/databrowser/view/nrg_bal_c/default/table</t>
        </is>
      </c>
      <c r="E230" s="59" t="inlineStr">
        <is>
          <t>https://doi.org/10.2908/NRG_BAL_C</t>
        </is>
      </c>
    </row>
    <row r="231" ht="26" customHeight="1">
      <c r="A231" s="60" t="inlineStr"/>
      <c r="B231" s="21" t="inlineStr"/>
      <c r="C231" s="21" t="inlineStr">
        <is>
          <t>fraction → % (× 100)</t>
        </is>
      </c>
      <c r="D231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32" ht="26" customHeight="1">
      <c r="A232" s="13" t="inlineStr">
        <is>
          <t>B5b</t>
        </is>
      </c>
      <c r="B232" s="14" t="inlineStr">
        <is>
          <t>Fossil share of tertiary energy mix</t>
        </is>
      </c>
      <c r="C232" s="14" t="inlineStr">
        <is>
          <t>Value</t>
        </is>
      </c>
      <c r="D232" s="18" t="inlineStr">
        <is>
          <t>Eurostat energy balances</t>
        </is>
      </c>
    </row>
    <row r="233" ht="26" customHeight="1">
      <c r="A233" s="60" t="inlineStr"/>
      <c r="B233" s="21" t="inlineStr"/>
      <c r="C233" s="21" t="inlineStr">
        <is>
          <t>Other fossils (solids/liquid) (tertiary, ktoe)</t>
        </is>
      </c>
      <c r="D233" s="25" t="inlineStr">
        <is>
          <t>Eurostat energy balances</t>
        </is>
      </c>
    </row>
    <row r="234" ht="26" customHeight="1">
      <c r="A234" s="13" t="inlineStr"/>
      <c r="B234" s="14" t="inlineStr"/>
      <c r="C234" s="14" t="inlineStr">
        <is>
          <t>Liquid fossils (tertiary, ktoe)</t>
        </is>
      </c>
      <c r="D234" s="18" t="inlineStr">
        <is>
          <t>Eurostat energy balances</t>
        </is>
      </c>
    </row>
    <row r="235" ht="26" customHeight="1">
      <c r="A235" s="60" t="inlineStr"/>
      <c r="B235" s="21" t="inlineStr"/>
      <c r="C235" s="21" t="inlineStr">
        <is>
          <t>Natural gas (tertiary, ktoe)</t>
        </is>
      </c>
      <c r="D235" s="25" t="inlineStr">
        <is>
          <t>Eurostat energy balances</t>
        </is>
      </c>
    </row>
    <row r="236" ht="26" customHeight="1">
      <c r="A236" s="13" t="inlineStr"/>
      <c r="B236" s="14" t="inlineStr"/>
      <c r="C236" s="14" t="inlineStr">
        <is>
          <t>Electricity (tertiary, ktoe)</t>
        </is>
      </c>
      <c r="D236" s="18" t="inlineStr">
        <is>
          <t>Eurostat energy balances</t>
        </is>
      </c>
    </row>
    <row r="237" ht="26" customHeight="1">
      <c r="A237" s="60" t="inlineStr"/>
      <c r="B237" s="21" t="inlineStr"/>
      <c r="C237" s="21" t="inlineStr">
        <is>
          <t>District heating (tertiary, ktoe)</t>
        </is>
      </c>
      <c r="D237" s="25" t="inlineStr">
        <is>
          <t>Eurostat energy balances</t>
        </is>
      </c>
    </row>
    <row r="238" ht="26" customHeight="1">
      <c r="A238" s="13" t="inlineStr"/>
      <c r="B238" s="14" t="inlineStr"/>
      <c r="C238" s="14" t="inlineStr">
        <is>
          <t>Renewables - bio (tertiary, ktoe)</t>
        </is>
      </c>
      <c r="D238" s="18" t="inlineStr">
        <is>
          <t>Eurostat energy balances</t>
        </is>
      </c>
    </row>
    <row r="239" ht="26" customHeight="1">
      <c r="A239" s="60" t="inlineStr"/>
      <c r="B239" s="21" t="inlineStr"/>
      <c r="C239" s="21" t="inlineStr">
        <is>
          <t>Renewables - other (tertiary, ktoe)</t>
        </is>
      </c>
      <c r="D239" s="25" t="inlineStr">
        <is>
          <t>Eurostat energy balances</t>
        </is>
      </c>
    </row>
    <row r="240" ht="26" customHeight="1">
      <c r="A240" s="13" t="inlineStr"/>
      <c r="B240" s="14" t="inlineStr"/>
      <c r="C240" s="14" t="inlineStr">
        <is>
          <t>Post-report figure as published</t>
        </is>
      </c>
      <c r="D240" s="18" t="inlineStr">
        <is>
          <t>Eurostat (nrg_bal_c) — https://ec.europa.eu/eurostat/databrowser/view/nrg_bal_c/default/table</t>
        </is>
      </c>
      <c r="E240" s="59" t="inlineStr">
        <is>
          <t>https://doi.org/10.2908/NRG_BAL_C</t>
        </is>
      </c>
    </row>
    <row r="241" ht="26" customHeight="1">
      <c r="A241" s="60" t="inlineStr"/>
      <c r="B241" s="21" t="inlineStr"/>
      <c r="C241" s="21" t="inlineStr">
        <is>
          <t>fraction → % (× 100)</t>
        </is>
      </c>
      <c r="D241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42" ht="26" customHeight="1">
      <c r="A242" s="13" t="inlineStr">
        <is>
          <t>B6</t>
        </is>
      </c>
      <c r="B242" s="14" t="inlineStr">
        <is>
          <t>EU stock of installed heat pumps</t>
        </is>
      </c>
      <c r="C242" s="14" t="inlineStr">
        <is>
          <t>Value</t>
        </is>
      </c>
      <c r="D242" s="18" t="inlineStr">
        <is>
          <t>EHPA annual report</t>
        </is>
      </c>
      <c r="E242" s="59" t="inlineStr">
        <is>
          <t>https://ehpa.org/market-data/</t>
        </is>
      </c>
    </row>
    <row r="243" ht="26" customHeight="1">
      <c r="A243" s="60" t="inlineStr"/>
      <c r="B243" s="21" t="inlineStr"/>
      <c r="C243" s="21" t="inlineStr">
        <is>
          <t>Total heat-pump stock (thousand units)</t>
        </is>
      </c>
      <c r="D243" s="25" t="inlineStr">
        <is>
          <t>EHPA annual report</t>
        </is>
      </c>
      <c r="E243" s="59" t="inlineStr">
        <is>
          <t>https://ehpa.org/market-data/</t>
        </is>
      </c>
    </row>
    <row r="244" ht="26" customHeight="1">
      <c r="A244" s="13" t="inlineStr">
        <is>
          <t>A1</t>
        </is>
      </c>
      <c r="B244" s="14" t="inlineStr">
        <is>
          <t>Agricultural non-CO₂ emissions</t>
        </is>
      </c>
      <c r="C244" s="14" t="inlineStr">
        <is>
          <t>Value</t>
        </is>
      </c>
      <c r="D244" s="18" t="inlineStr">
        <is>
          <t>EEA GHG data viewer</t>
        </is>
      </c>
      <c r="E244" s="59" t="inlineStr">
        <is>
          <t>https://www.eea.europa.eu/en/datahub/datahubitem-view/3b7fe76c-524a-439a-bfd2-a6e4046302a2</t>
        </is>
      </c>
    </row>
    <row r="245" ht="26" customHeight="1">
      <c r="A245" s="60" t="inlineStr"/>
      <c r="B245" s="21" t="inlineStr"/>
      <c r="C245" s="21" t="inlineStr">
        <is>
          <t>Enteric fermentation</t>
        </is>
      </c>
      <c r="D245" s="25" t="inlineStr">
        <is>
          <t>EEA GHG data viewer</t>
        </is>
      </c>
      <c r="E245" s="59" t="inlineStr">
        <is>
          <t>https://www.eea.europa.eu/en/datahub/datahubitem-view/3b7fe76c-524a-439a-bfd2-a6e4046302a2</t>
        </is>
      </c>
    </row>
    <row r="246" ht="26" customHeight="1">
      <c r="A246" s="13" t="inlineStr"/>
      <c r="B246" s="14" t="inlineStr"/>
      <c r="C246" s="14" t="inlineStr">
        <is>
          <t>Manure management</t>
        </is>
      </c>
      <c r="D246" s="18" t="inlineStr">
        <is>
          <t>EEA GHG data viewer</t>
        </is>
      </c>
      <c r="E246" s="59" t="inlineStr">
        <is>
          <t>https://www.eea.europa.eu/en/datahub/datahubitem-view/3b7fe76c-524a-439a-bfd2-a6e4046302a2</t>
        </is>
      </c>
    </row>
    <row r="247" ht="26" customHeight="1">
      <c r="A247" s="60" t="inlineStr"/>
      <c r="B247" s="21" t="inlineStr"/>
      <c r="C247" s="21" t="inlineStr">
        <is>
          <t>Fertilizer use</t>
        </is>
      </c>
      <c r="D247" s="25" t="inlineStr">
        <is>
          <t>EEA GHG data viewer</t>
        </is>
      </c>
      <c r="E247" s="59" t="inlineStr">
        <is>
          <t>https://www.eea.europa.eu/en/datahub/datahubitem-view/3b7fe76c-524a-439a-bfd2-a6e4046302a2</t>
        </is>
      </c>
    </row>
    <row r="248" ht="26" customHeight="1">
      <c r="A248" s="13" t="inlineStr"/>
      <c r="B248" s="14" t="inlineStr"/>
      <c r="C248" s="14" t="inlineStr">
        <is>
          <t>Other</t>
        </is>
      </c>
      <c r="D248" s="18" t="inlineStr">
        <is>
          <t>EEA GHG data viewer</t>
        </is>
      </c>
      <c r="E248" s="59" t="inlineStr">
        <is>
          <t>https://www.eea.europa.eu/en/datahub/datahubitem-view/3b7fe76c-524a-439a-bfd2-a6e4046302a2</t>
        </is>
      </c>
    </row>
    <row r="249" ht="26" customHeight="1">
      <c r="A249" s="60" t="inlineStr"/>
      <c r="B249" s="21" t="inlineStr"/>
      <c r="C249" s="21" t="inlineStr">
        <is>
          <t>Report figure — row missing from the seeded grid</t>
        </is>
      </c>
      <c r="D249" s="25" t="inlineStr">
        <is>
          <t>ESABCC (2024) “Towards EU climate neutrality”, underlying-data workbook — EEA GHG data viewer. The report carries this year; the seeded calc grid stopped before it.</t>
        </is>
      </c>
      <c r="E249" s="59" t="inlineStr">
        <is>
          <t>https://www.eea.europa.eu/en/datahub/datahubitem-view/3b7fe76c-524a-439a-bfd2-a6e4046302a2</t>
        </is>
      </c>
    </row>
    <row r="250" ht="26" customHeight="1">
      <c r="A250" s="13" t="inlineStr"/>
      <c r="B250" s="14" t="inlineStr"/>
      <c r="C250" s="14" t="inlineStr">
        <is>
          <t>env_air_gge CRF3 CH4</t>
        </is>
      </c>
      <c r="D250" s="18" t="inlineStr">
        <is>
          <t>Eurostat env_air_gge · geo=EU27_2020, unit=MIO_T, freq=A, airpol=CH4, src_crf=CRF3 · https://ec.europa.eu/eurostat/api/dissemination/statistics/1.0/data/env_air_gge?format=JSON&amp;lang=EN&amp;geo=EU27_2020&amp;unit=MIO_T&amp;freq=A&amp;airpol=CH4&amp;src_crf=CRF3</t>
        </is>
      </c>
      <c r="E250" s="59" t="inlineStr">
        <is>
          <t>https://doi.org/10.2908/ENV_AIR_GGE</t>
        </is>
      </c>
    </row>
    <row r="251" ht="26" customHeight="1">
      <c r="A251" s="60" t="inlineStr"/>
      <c r="B251" s="21" t="inlineStr"/>
      <c r="C251" s="21" t="inlineStr">
        <is>
          <t>env_air_gge CRF3 N2O</t>
        </is>
      </c>
      <c r="D251" s="25" t="inlineStr">
        <is>
          <t>Eurostat env_air_gge · geo=EU27_2020, unit=MIO_T, freq=A, airpol=N2O, src_crf=CRF3 · https://ec.europa.eu/eurostat/api/dissemination/statistics/1.0/data/env_air_gge?format=JSON&amp;lang=EN&amp;geo=EU27_2020&amp;unit=MIO_T&amp;freq=A&amp;airpol=N2O&amp;src_crf=CRF3</t>
        </is>
      </c>
      <c r="E251" s="59" t="inlineStr">
        <is>
          <t>https://doi.org/10.2908/ENV_AIR_GGE</t>
        </is>
      </c>
    </row>
    <row r="252" ht="26" customHeight="1">
      <c r="A252" s="13" t="inlineStr"/>
      <c r="B252" s="14" t="inlineStr"/>
      <c r="C252" s="14" t="inlineStr">
        <is>
          <t>Report baseline 2022 (Mt CO₂eq)</t>
        </is>
      </c>
      <c r="D252" s="18" t="inlineStr">
        <is>
          <t>ESABCC (2024) “Towards EU climate neutrality”, underlying-data workbook — the report's own 2022 figure, the anchor the later years are spliced onto.</t>
        </is>
      </c>
    </row>
    <row r="253" ht="26" customHeight="1">
      <c r="A253" s="60" t="inlineStr"/>
      <c r="B253" s="21" t="inlineStr"/>
      <c r="C253" s="21" t="inlineStr">
        <is>
          <t>Live source at 2022 (same basis as the columns left)</t>
        </is>
      </c>
      <c r="D253" s="25" t="inlineStr">
        <is>
          <t>Eurostat env_air_gge · CRF 3 CH₄+N₂O (GWP-weighted) · EU27_2020 — the same query, read at 2022; dividing by it cancels the level difference between the source's scope and the report's, leaving only the year-on-year change.</t>
        </is>
      </c>
      <c r="E253" s="59" t="inlineStr">
        <is>
          <t>https://doi.org/10.2908/ENV_AIR_GGE</t>
        </is>
      </c>
    </row>
    <row r="254" ht="26" customHeight="1">
      <c r="A254" s="13" t="inlineStr">
        <is>
          <t>A2 (bovine, production)</t>
        </is>
      </c>
      <c r="B254" s="14" t="inlineStr">
        <is>
          <t>Bovine meat: production (EU)</t>
        </is>
      </c>
      <c r="C254" s="14" t="inlineStr">
        <is>
          <t>Value</t>
        </is>
      </c>
      <c r="D254" s="18" t="inlineStr">
        <is>
          <t>EEA GHG data viewer + Eurostat/FAOSTAT production</t>
        </is>
      </c>
      <c r="E254" s="59" t="inlineStr">
        <is>
          <t>https://www.eea.europa.eu/en/datahub/datahubitem-view/3b7fe76c-524a-439a-bfd2-a6e4046302a2</t>
        </is>
      </c>
    </row>
    <row r="255" ht="26" customHeight="1">
      <c r="A255" s="60" t="inlineStr"/>
      <c r="B255" s="21" t="inlineStr"/>
      <c r="C255" s="21" t="inlineStr">
        <is>
          <t>Report figure (2024 report underlying data)</t>
        </is>
      </c>
      <c r="D255" s="25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255" s="59" t="inlineStr">
        <is>
          <t>https://www.eea.europa.eu/en/datahub/datahubitem-view/3b7fe76c-524a-439a-bfd2-a6e4046302a2</t>
        </is>
      </c>
    </row>
    <row r="256" ht="26" customHeight="1">
      <c r="A256" s="13" t="inlineStr"/>
      <c r="B256" s="14" t="inlineStr"/>
      <c r="C256" s="14" t="inlineStr">
        <is>
          <t>apro_mt_pann B1000</t>
        </is>
      </c>
      <c r="D256" s="18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  <c r="E256" s="59" t="inlineStr">
        <is>
          <t>https://doi.org/10.2908/APRO_MT_PANN</t>
        </is>
      </c>
    </row>
    <row r="257" ht="26" customHeight="1">
      <c r="A257" s="60" t="inlineStr"/>
      <c r="B257" s="21" t="inlineStr"/>
      <c r="C257" s="21" t="inlineStr">
        <is>
          <t>Unit conversion (× 0.001)</t>
        </is>
      </c>
      <c r="D257" s="25" t="inlineStr">
        <is>
          <t>Unit conversion applied to the source figure so it is expressed in Mt.</t>
        </is>
      </c>
    </row>
    <row r="258" ht="26" customHeight="1">
      <c r="A258" s="13" t="inlineStr">
        <is>
          <t>A2 (dairy, production)</t>
        </is>
      </c>
      <c r="B258" s="14" t="inlineStr">
        <is>
          <t>Dairy products: production (EU)</t>
        </is>
      </c>
      <c r="C258" s="14" t="inlineStr">
        <is>
          <t>Value</t>
        </is>
      </c>
      <c r="D258" s="18" t="inlineStr">
        <is>
          <t>EEA GHG data viewer + Eurostat/FAOSTAT production</t>
        </is>
      </c>
      <c r="E258" s="59" t="inlineStr">
        <is>
          <t>https://www.eea.europa.eu/en/datahub/datahubitem-view/3b7fe76c-524a-439a-bfd2-a6e4046302a2</t>
        </is>
      </c>
    </row>
    <row r="259" ht="26" customHeight="1">
      <c r="A259" s="60" t="inlineStr"/>
      <c r="B259" s="21" t="inlineStr"/>
      <c r="C259" s="21" t="inlineStr">
        <is>
          <t>Report figure (2024 report underlying data)</t>
        </is>
      </c>
      <c r="D259" s="25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259" s="59" t="inlineStr">
        <is>
          <t>https://www.eea.europa.eu/en/datahub/datahubitem-view/3b7fe76c-524a-439a-bfd2-a6e4046302a2</t>
        </is>
      </c>
    </row>
    <row r="260" ht="26" customHeight="1">
      <c r="A260" s="13" t="inlineStr"/>
      <c r="B260" s="14" t="inlineStr"/>
      <c r="C260" s="14" t="inlineStr">
        <is>
          <t>apro_mk_farm D1100A</t>
        </is>
      </c>
      <c r="D260" s="18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  <c r="E260" s="59" t="inlineStr">
        <is>
          <t>https://doi.org/10.2908/APRO_MK_FARM</t>
        </is>
      </c>
    </row>
    <row r="261" ht="26" customHeight="1">
      <c r="A261" s="60" t="inlineStr"/>
      <c r="B261" s="21" t="inlineStr"/>
      <c r="C261" s="21" t="inlineStr">
        <is>
          <t>Report baseline 2020 (Mt)</t>
        </is>
      </c>
      <c r="D261" s="25" t="inlineStr">
        <is>
          <t>ESABCC (2024) “Towards EU climate neutrality”, underlying-data workbook — the report's own 2020 figure, the anchor the later years are spliced onto.</t>
        </is>
      </c>
    </row>
    <row r="262" ht="26" customHeight="1">
      <c r="A262" s="13" t="inlineStr"/>
      <c r="B262" s="14" t="inlineStr"/>
      <c r="C262" s="14" t="inlineStr">
        <is>
          <t>Live source at 2020 (same basis as the columns left)</t>
        </is>
      </c>
      <c r="D262" s="18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  <c r="E262" s="59" t="inlineStr">
        <is>
          <t>https://doi.org/10.2908/APRO_MK_FARM</t>
        </is>
      </c>
    </row>
    <row r="263" ht="26" customHeight="1">
      <c r="A263" s="60" t="inlineStr">
        <is>
          <t>A2 (pig, GHG)</t>
        </is>
      </c>
      <c r="B263" s="21" t="inlineStr">
        <is>
          <t>Pig meat: GHG emissions (EU)</t>
        </is>
      </c>
      <c r="C263" s="21" t="inlineStr">
        <is>
          <t>Value</t>
        </is>
      </c>
      <c r="D263" s="25" t="inlineStr">
        <is>
          <t>EEA GHG data viewer + Eurostat/FAOSTAT production</t>
        </is>
      </c>
      <c r="E263" s="59" t="inlineStr">
        <is>
          <t>https://www.eea.europa.eu/en/datahub/datahubitem-view/3b7fe76c-524a-439a-bfd2-a6e4046302a2</t>
        </is>
      </c>
    </row>
    <row r="264" ht="26" customHeight="1">
      <c r="A264" s="13" t="inlineStr"/>
      <c r="B264" s="14" t="inlineStr"/>
      <c r="C264" s="14" t="inlineStr">
        <is>
          <t>Report figure (2024 report underlying data)</t>
        </is>
      </c>
      <c r="D264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264" s="59" t="inlineStr">
        <is>
          <t>https://www.eea.europa.eu/en/datahub/datahubitem-view/3b7fe76c-524a-439a-bfd2-a6e4046302a2</t>
        </is>
      </c>
    </row>
    <row r="265" ht="26" customHeight="1">
      <c r="A265" s="60" t="inlineStr"/>
      <c r="B265" s="21" t="inlineStr"/>
      <c r="C265" s="21" t="inlineStr">
        <is>
          <t>env_air_gge CRF3A3</t>
        </is>
      </c>
      <c r="D265" s="25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  <c r="E265" s="59" t="inlineStr">
        <is>
          <t>https://doi.org/10.2908/ENV_AIR_GGE</t>
        </is>
      </c>
    </row>
    <row r="266" ht="26" customHeight="1">
      <c r="A266" s="13" t="inlineStr"/>
      <c r="B266" s="14" t="inlineStr"/>
      <c r="C266" s="14" t="inlineStr">
        <is>
          <t>env_air_gge CRF3B3</t>
        </is>
      </c>
      <c r="D266" s="18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  <c r="E266" s="59" t="inlineStr">
        <is>
          <t>https://doi.org/10.2908/ENV_AIR_GGE</t>
        </is>
      </c>
    </row>
    <row r="267" ht="26" customHeight="1">
      <c r="A267" s="60" t="inlineStr"/>
      <c r="B267" s="21" t="inlineStr"/>
      <c r="C267" s="21" t="inlineStr">
        <is>
          <t>Report baseline 2021 (Mt CO₂eq)</t>
        </is>
      </c>
      <c r="D267" s="25" t="inlineStr">
        <is>
          <t>ESABCC (2024) “Towards EU climate neutrality”, underlying-data workbook — the report's own 2021 figure, the anchor the later years are spliced onto.</t>
        </is>
      </c>
    </row>
    <row r="268" ht="26" customHeight="1">
      <c r="A268" s="13" t="inlineStr"/>
      <c r="B268" s="14" t="inlineStr"/>
      <c r="C268" s="14" t="inlineStr">
        <is>
          <t>Live source at 2021 (same basis as the columns left)</t>
        </is>
      </c>
      <c r="D268" s="18" t="inlineStr">
        <is>
          <t>Eurostat env_air_gge · swine enteric (CRF 3.A.3) + manure (CRF 3.B.3) GHG · EU27_2020 — the same query, read at 2021; dividing by it cancels the level difference between the source's scope and the report's, leaving only the year-on-year change.</t>
        </is>
      </c>
      <c r="E268" s="59" t="inlineStr">
        <is>
          <t>https://doi.org/10.2908/ENV_AIR_GGE</t>
        </is>
      </c>
    </row>
    <row r="269" ht="26" customHeight="1">
      <c r="A269" s="60" t="inlineStr">
        <is>
          <t>A2 (pig, intensity)</t>
        </is>
      </c>
      <c r="B269" s="21" t="inlineStr">
        <is>
          <t>Pig meat: GHG intensity (EU)</t>
        </is>
      </c>
      <c r="C269" s="21" t="inlineStr">
        <is>
          <t>Value</t>
        </is>
      </c>
      <c r="D269" s="25" t="inlineStr">
        <is>
          <t>EEA GHG data viewer + Eurostat/FAOSTAT production</t>
        </is>
      </c>
      <c r="E269" s="59" t="inlineStr">
        <is>
          <t>https://www.eea.europa.eu/en/datahub/datahubitem-view/3b7fe76c-524a-439a-bfd2-a6e4046302a2</t>
        </is>
      </c>
    </row>
    <row r="270" ht="26" customHeight="1">
      <c r="A270" s="13" t="inlineStr"/>
      <c r="B270" s="14" t="inlineStr"/>
      <c r="C270" s="14" t="inlineStr">
        <is>
          <t>Report figure (2024 report underlying data)</t>
        </is>
      </c>
      <c r="D270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270" s="59" t="inlineStr">
        <is>
          <t>https://www.eea.europa.eu/en/datahub/datahubitem-view/3b7fe76c-524a-439a-bfd2-a6e4046302a2</t>
        </is>
      </c>
    </row>
    <row r="271" ht="26" customHeight="1">
      <c r="A271" s="60" t="inlineStr"/>
      <c r="B271" s="21" t="inlineStr"/>
      <c r="C271" s="21" t="inlineStr">
        <is>
          <t>Numerator · env_air_gge CRF3A3</t>
        </is>
      </c>
      <c r="D271" s="25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  <c r="E271" s="59" t="inlineStr">
        <is>
          <t>https://doi.org/10.2908/ENV_AIR_GGE</t>
        </is>
      </c>
    </row>
    <row r="272" ht="26" customHeight="1">
      <c r="A272" s="13" t="inlineStr"/>
      <c r="B272" s="14" t="inlineStr"/>
      <c r="C272" s="14" t="inlineStr">
        <is>
          <t>Numerator · env_air_gge CRF3B3</t>
        </is>
      </c>
      <c r="D272" s="18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  <c r="E272" s="59" t="inlineStr">
        <is>
          <t>https://doi.org/10.2908/ENV_AIR_GGE</t>
        </is>
      </c>
    </row>
    <row r="273" ht="26" customHeight="1">
      <c r="A273" s="60" t="inlineStr"/>
      <c r="B273" s="21" t="inlineStr"/>
      <c r="C273" s="21" t="inlineStr">
        <is>
          <t>Denominator · apro_mt_pann B3100</t>
        </is>
      </c>
      <c r="D273" s="25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273" s="59" t="inlineStr">
        <is>
          <t>https://doi.org/10.2908/APRO_MT_PANN</t>
        </is>
      </c>
    </row>
    <row r="274" ht="26" customHeight="1">
      <c r="A274" s="13" t="inlineStr"/>
      <c r="B274" s="14" t="inlineStr"/>
      <c r="C274" s="14" t="inlineStr">
        <is>
          <t>Report baseline 2020 (t CO₂eq/t)</t>
        </is>
      </c>
      <c r="D274" s="18" t="inlineStr">
        <is>
          <t>ESABCC (2024) “Towards EU climate neutrality”, underlying-data workbook — the report's own 2020 figure, the anchor the later years are spliced onto.</t>
        </is>
      </c>
    </row>
    <row r="275" ht="26" customHeight="1">
      <c r="A275" s="60" t="inlineStr"/>
      <c r="B275" s="21" t="inlineStr"/>
      <c r="C275" s="21" t="inlineStr">
        <is>
          <t>Live source at 2020 (same basis as the columns left)</t>
        </is>
      </c>
      <c r="D275" s="25" t="inlineStr">
        <is>
          <t>Eurostat env_air_gge swine GHG (3.A.3 + 3.B.3) ÷ apro_mt_pann pigmeat (B3100) · EU27_2020 — the same query, read at 2020; dividing by it cancels the level difference between the source's scope and the report's, leaving only the year-on-year change.</t>
        </is>
      </c>
      <c r="E275" s="59" t="inlineStr">
        <is>
          <t>https://doi.org/10.2908/ENV_AIR_GGE</t>
        </is>
      </c>
    </row>
    <row r="276" ht="26" customHeight="1">
      <c r="A276" s="13" t="inlineStr">
        <is>
          <t>A2 (pig, production)</t>
        </is>
      </c>
      <c r="B276" s="14" t="inlineStr">
        <is>
          <t>Pig meat: production (EU)</t>
        </is>
      </c>
      <c r="C276" s="14" t="inlineStr">
        <is>
          <t>Value</t>
        </is>
      </c>
      <c r="D276" s="18" t="inlineStr">
        <is>
          <t>EEA GHG data viewer + Eurostat/FAOSTAT production</t>
        </is>
      </c>
      <c r="E276" s="59" t="inlineStr">
        <is>
          <t>https://www.eea.europa.eu/en/datahub/datahubitem-view/3b7fe76c-524a-439a-bfd2-a6e4046302a2</t>
        </is>
      </c>
    </row>
    <row r="277" ht="26" customHeight="1">
      <c r="A277" s="60" t="inlineStr"/>
      <c r="B277" s="21" t="inlineStr"/>
      <c r="C277" s="21" t="inlineStr">
        <is>
          <t>Report figure (2024 report underlying data)</t>
        </is>
      </c>
      <c r="D277" s="25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277" s="59" t="inlineStr">
        <is>
          <t>https://www.eea.europa.eu/en/datahub/datahubitem-view/3b7fe76c-524a-439a-bfd2-a6e4046302a2</t>
        </is>
      </c>
    </row>
    <row r="278" ht="26" customHeight="1">
      <c r="A278" s="13" t="inlineStr"/>
      <c r="B278" s="14" t="inlineStr"/>
      <c r="C278" s="14" t="inlineStr">
        <is>
          <t>apro_mt_pann B3100</t>
        </is>
      </c>
      <c r="D278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278" s="59" t="inlineStr">
        <is>
          <t>https://doi.org/10.2908/APRO_MT_PANN</t>
        </is>
      </c>
    </row>
    <row r="279" ht="26" customHeight="1">
      <c r="A279" s="60" t="inlineStr"/>
      <c r="B279" s="21" t="inlineStr"/>
      <c r="C279" s="21" t="inlineStr">
        <is>
          <t>Unit conversion (× 0.001)</t>
        </is>
      </c>
      <c r="D279" s="25" t="inlineStr">
        <is>
          <t>Unit conversion applied to the source figure so it is expressed in Mt.</t>
        </is>
      </c>
    </row>
    <row r="280" ht="26" customHeight="1">
      <c r="A280" s="13" t="inlineStr">
        <is>
          <t>A3 (NUE)</t>
        </is>
      </c>
      <c r="B280" s="14" t="inlineStr">
        <is>
          <t>Nitrogen use efficiency in EU agriculture</t>
        </is>
      </c>
      <c r="C280" s="14" t="inlineStr">
        <is>
          <t>Value</t>
        </is>
      </c>
      <c r="D280" s="18" t="inlineStr">
        <is>
          <t>FAOSTAT</t>
        </is>
      </c>
    </row>
    <row r="281" ht="26" customHeight="1">
      <c r="A281" s="60" t="inlineStr"/>
      <c r="B281" s="21" t="inlineStr"/>
      <c r="C281" s="21" t="inlineStr">
        <is>
          <t>Nitrogen Use Efficiency</t>
        </is>
      </c>
      <c r="D281" s="25" t="inlineStr">
        <is>
          <t>FAOSTAT</t>
        </is>
      </c>
    </row>
    <row r="282" ht="26" customHeight="1">
      <c r="A282" s="13" t="inlineStr">
        <is>
          <t>A3 (use)</t>
        </is>
      </c>
      <c r="B282" s="14" t="inlineStr">
        <is>
          <t>Total fertiliser nitrogen use (EU)</t>
        </is>
      </c>
      <c r="C282" s="14" t="inlineStr">
        <is>
          <t>Value</t>
        </is>
      </c>
      <c r="D282" s="18" t="inlineStr">
        <is>
          <t>EU CRF tables</t>
        </is>
      </c>
      <c r="E282" s="59" t="inlineStr">
        <is>
          <t>https://di.unfccc.int/detailed_data_by_party</t>
        </is>
      </c>
    </row>
    <row r="283" ht="26" customHeight="1">
      <c r="A283" s="60" t="inlineStr"/>
      <c r="B283" s="21" t="inlineStr"/>
      <c r="C283" s="21" t="inlineStr">
        <is>
          <t>Inorganic Fertiliser</t>
        </is>
      </c>
      <c r="D283" s="25" t="inlineStr">
        <is>
          <t>EU CRF tables</t>
        </is>
      </c>
      <c r="E283" s="59" t="inlineStr">
        <is>
          <t>https://di.unfccc.int/detailed_data_by_party</t>
        </is>
      </c>
    </row>
    <row r="284" ht="26" customHeight="1">
      <c r="A284" s="13" t="inlineStr"/>
      <c r="B284" s="14" t="inlineStr"/>
      <c r="C284" s="14" t="inlineStr">
        <is>
          <t>Organic Fertiliser</t>
        </is>
      </c>
      <c r="D284" s="18" t="inlineStr">
        <is>
          <t>EU CRF tables</t>
        </is>
      </c>
      <c r="E284" s="59" t="inlineStr">
        <is>
          <t>https://di.unfccc.int/detailed_data_by_party</t>
        </is>
      </c>
    </row>
    <row r="285" ht="26" customHeight="1">
      <c r="A285" s="60" t="inlineStr">
        <is>
          <t>A4 (bovine, herd)</t>
        </is>
      </c>
      <c r="B285" s="21" t="inlineStr">
        <is>
          <t>Bovine meat: herd size (EU)</t>
        </is>
      </c>
      <c r="C285" s="21" t="inlineStr">
        <is>
          <t>Value</t>
        </is>
      </c>
      <c r="D285" s="25" t="inlineStr">
        <is>
          <t>EU GHG inventory (CRF) livestock populations; 2021+ Eurostat survey trend</t>
        </is>
      </c>
      <c r="E285" s="59" t="inlineStr">
        <is>
          <t>https://di.unfccc.int/detailed_data_by_party</t>
        </is>
      </c>
    </row>
    <row r="286" ht="26" customHeight="1">
      <c r="A286" s="13" t="inlineStr"/>
      <c r="B286" s="14" t="inlineStr"/>
      <c r="C286" s="14" t="inlineStr">
        <is>
          <t>Report figure (2024 report underlying data)</t>
        </is>
      </c>
      <c r="D286" s="18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  <c r="E286" s="59" t="inlineStr">
        <is>
          <t>https://di.unfccc.int/detailed_data_by_party</t>
        </is>
      </c>
    </row>
    <row r="287" ht="26" customHeight="1">
      <c r="A287" s="60" t="inlineStr"/>
      <c r="B287" s="21" t="inlineStr"/>
      <c r="C287" s="21" t="inlineStr">
        <is>
          <t>apro_mt_lscatl A2000</t>
        </is>
      </c>
      <c r="D287" s="25" t="inlineStr">
        <is>
          <t>Eurostat apro_mt_lscatl · geo=EU27_2020, animals=A2000, month=M11_M12, unit=THS_HD · https://ec.europa.eu/eurostat/api/dissemination/statistics/1.0/data/apro_mt_lscatl?format=JSON&amp;lang=EN&amp;geo=EU27_2020&amp;animals=A2000&amp;month=M11_M12&amp;unit=THS_HD</t>
        </is>
      </c>
      <c r="E287" s="59" t="inlineStr">
        <is>
          <t>https://doi.org/10.2908/APRO_MT_LSCATL</t>
        </is>
      </c>
    </row>
    <row r="288" ht="26" customHeight="1">
      <c r="A288" s="13" t="inlineStr"/>
      <c r="B288" s="14" t="inlineStr"/>
      <c r="C288" s="14" t="inlineStr">
        <is>
          <t>Report baseline 2020 (million heads)</t>
        </is>
      </c>
      <c r="D288" s="18" t="inlineStr">
        <is>
          <t>ESABCC (2024) “Towards EU climate neutrality”, underlying-data workbook — the report's own 2020 figure, the anchor the later years are spliced onto.</t>
        </is>
      </c>
    </row>
    <row r="289" ht="26" customHeight="1">
      <c r="A289" s="60" t="inlineStr"/>
      <c r="B289" s="21" t="inlineStr"/>
      <c r="C289" s="21" t="inlineStr">
        <is>
          <t>Live source at 2020 (same basis as the columns left)</t>
        </is>
      </c>
      <c r="D289" s="25" t="inlineStr">
        <is>
          <t>Eurostat apro_mt_lscatl · live bovine animals (A2000), Nov–Dec survey · EU27_2020 — the same query, read at 2020; dividing by it cancels the level difference between the source's scope and the report's, leaving only the year-on-year change.</t>
        </is>
      </c>
      <c r="E289" s="59" t="inlineStr">
        <is>
          <t>https://doi.org/10.2908/APRO_MT_LSCATL</t>
        </is>
      </c>
    </row>
    <row r="290" ht="26" customHeight="1">
      <c r="A290" s="13" t="inlineStr">
        <is>
          <t>A4 (bovine, production)</t>
        </is>
      </c>
      <c r="B290" s="14" t="inlineStr">
        <is>
          <t>Bovine meat: production (EU)</t>
        </is>
      </c>
      <c r="C290" s="14" t="inlineStr">
        <is>
          <t>Value</t>
        </is>
      </c>
      <c r="D290" s="18" t="inlineStr">
        <is>
          <t>Eurostat/FAOSTAT food balances + livestock surveys</t>
        </is>
      </c>
    </row>
    <row r="291" ht="26" customHeight="1">
      <c r="A291" s="60" t="inlineStr"/>
      <c r="B291" s="21" t="inlineStr"/>
      <c r="C291" s="21" t="inlineStr">
        <is>
          <t>Report figure (2024 report underlying data)</t>
        </is>
      </c>
      <c r="D291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92" ht="26" customHeight="1">
      <c r="A292" s="13" t="inlineStr"/>
      <c r="B292" s="14" t="inlineStr"/>
      <c r="C292" s="14" t="inlineStr">
        <is>
          <t>apro_mt_pann B1000</t>
        </is>
      </c>
      <c r="D292" s="18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  <c r="E292" s="59" t="inlineStr">
        <is>
          <t>https://doi.org/10.2908/APRO_MT_PANN</t>
        </is>
      </c>
    </row>
    <row r="293" ht="26" customHeight="1">
      <c r="A293" s="60" t="inlineStr"/>
      <c r="B293" s="21" t="inlineStr"/>
      <c r="C293" s="21" t="inlineStr">
        <is>
          <t>Unit conversion (× 0.001)</t>
        </is>
      </c>
      <c r="D293" s="25" t="inlineStr">
        <is>
          <t>Unit conversion applied to the source figure so it is expressed in Mt.</t>
        </is>
      </c>
    </row>
    <row r="294" ht="26" customHeight="1">
      <c r="A294" s="13" t="inlineStr">
        <is>
          <t>A4 (dairy, herd)</t>
        </is>
      </c>
      <c r="B294" s="14" t="inlineStr">
        <is>
          <t>Dairy products: herd size (EU)</t>
        </is>
      </c>
      <c r="C294" s="14" t="inlineStr">
        <is>
          <t>Value</t>
        </is>
      </c>
      <c r="D294" s="18" t="inlineStr">
        <is>
          <t>EU GHG inventory (CRF) livestock populations; 2021+ Eurostat survey trend</t>
        </is>
      </c>
      <c r="E294" s="59" t="inlineStr">
        <is>
          <t>https://di.unfccc.int/detailed_data_by_party</t>
        </is>
      </c>
    </row>
    <row r="295" ht="26" customHeight="1">
      <c r="A295" s="60" t="inlineStr"/>
      <c r="B295" s="21" t="inlineStr"/>
      <c r="C295" s="21" t="inlineStr">
        <is>
          <t>Report figure (2024 report underlying data)</t>
        </is>
      </c>
      <c r="D295" s="25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  <c r="E295" s="59" t="inlineStr">
        <is>
          <t>https://di.unfccc.int/detailed_data_by_party</t>
        </is>
      </c>
    </row>
    <row r="296" ht="26" customHeight="1">
      <c r="A296" s="13" t="inlineStr"/>
      <c r="B296" s="14" t="inlineStr"/>
      <c r="C296" s="14" t="inlineStr">
        <is>
          <t>apro_mt_lscatl A2300F</t>
        </is>
      </c>
      <c r="D296" s="18" t="inlineStr">
        <is>
          <t>Eurostat apro_mt_lscatl · geo=EU27_2020, animals=A2300F, month=M11_M12, unit=THS_HD · https://ec.europa.eu/eurostat/api/dissemination/statistics/1.0/data/apro_mt_lscatl?format=JSON&amp;lang=EN&amp;geo=EU27_2020&amp;animals=A2300F&amp;month=M11_M12&amp;unit=THS_HD</t>
        </is>
      </c>
      <c r="E296" s="59" t="inlineStr">
        <is>
          <t>https://doi.org/10.2908/APRO_MT_LSCATL</t>
        </is>
      </c>
    </row>
    <row r="297" ht="26" customHeight="1">
      <c r="A297" s="60" t="inlineStr"/>
      <c r="B297" s="21" t="inlineStr"/>
      <c r="C297" s="21" t="inlineStr">
        <is>
          <t>Unit conversion (× 0.001)</t>
        </is>
      </c>
      <c r="D297" s="25" t="inlineStr">
        <is>
          <t>Unit conversion applied to the source figure so it is expressed in million heads.</t>
        </is>
      </c>
    </row>
    <row r="298" ht="26" customHeight="1">
      <c r="A298" s="13" t="inlineStr">
        <is>
          <t>A4 (dairy, production)</t>
        </is>
      </c>
      <c r="B298" s="14" t="inlineStr">
        <is>
          <t>Dairy products: production (EU)</t>
        </is>
      </c>
      <c r="C298" s="14" t="inlineStr">
        <is>
          <t>Value</t>
        </is>
      </c>
      <c r="D298" s="18" t="inlineStr">
        <is>
          <t>Eurostat/FAOSTAT food balances + livestock surveys</t>
        </is>
      </c>
    </row>
    <row r="299" ht="26" customHeight="1">
      <c r="A299" s="60" t="inlineStr"/>
      <c r="B299" s="21" t="inlineStr"/>
      <c r="C299" s="21" t="inlineStr">
        <is>
          <t>Report figure (2024 report underlying data)</t>
        </is>
      </c>
      <c r="D299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300" ht="26" customHeight="1">
      <c r="A300" s="13" t="inlineStr"/>
      <c r="B300" s="14" t="inlineStr"/>
      <c r="C300" s="14" t="inlineStr">
        <is>
          <t>apro_mk_farm D1100A</t>
        </is>
      </c>
      <c r="D300" s="18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  <c r="E300" s="59" t="inlineStr">
        <is>
          <t>https://doi.org/10.2908/APRO_MK_FARM</t>
        </is>
      </c>
    </row>
    <row r="301" ht="26" customHeight="1">
      <c r="A301" s="60" t="inlineStr"/>
      <c r="B301" s="21" t="inlineStr"/>
      <c r="C301" s="21" t="inlineStr">
        <is>
          <t>Report baseline 2020 (Mt)</t>
        </is>
      </c>
      <c r="D301" s="25" t="inlineStr">
        <is>
          <t>ESABCC (2024) “Towards EU climate neutrality”, underlying-data workbook — the report's own 2020 figure, the anchor the later years are spliced onto.</t>
        </is>
      </c>
    </row>
    <row r="302" ht="26" customHeight="1">
      <c r="A302" s="13" t="inlineStr"/>
      <c r="B302" s="14" t="inlineStr"/>
      <c r="C302" s="14" t="inlineStr">
        <is>
          <t>Live source at 2020 (same basis as the columns left)</t>
        </is>
      </c>
      <c r="D302" s="18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  <c r="E302" s="59" t="inlineStr">
        <is>
          <t>https://doi.org/10.2908/APRO_MK_FARM</t>
        </is>
      </c>
    </row>
    <row r="303" ht="26" customHeight="1">
      <c r="A303" s="60" t="inlineStr">
        <is>
          <t>A4 (pig, herd)</t>
        </is>
      </c>
      <c r="B303" s="21" t="inlineStr">
        <is>
          <t>Pig meat: herd size (EU)</t>
        </is>
      </c>
      <c r="C303" s="21" t="inlineStr">
        <is>
          <t>Value</t>
        </is>
      </c>
      <c r="D303" s="25" t="inlineStr">
        <is>
          <t>EU GHG inventory (CRF) livestock populations; 2021+ Eurostat apro_mt_lspig (swine) survey trend</t>
        </is>
      </c>
      <c r="E303" s="59" t="inlineStr">
        <is>
          <t>https://doi.org/10.2908/APRO_MT_LSPIG</t>
        </is>
      </c>
    </row>
    <row r="304" ht="26" customHeight="1">
      <c r="A304" s="13" t="inlineStr"/>
      <c r="B304" s="14" t="inlineStr"/>
      <c r="C304" s="14" t="inlineStr">
        <is>
          <t>Report figure (2024 report underlying data)</t>
        </is>
      </c>
      <c r="D304" s="18" t="inlineStr">
        <is>
          <t>ESABCC (2024) “Towards EU climate neutrality: Progress, policy gaps and opportunities”, underlying-data workbook — EU GHG inventory (CRF) livestock populations; 2021+ Eurostat apro_mt_lspig (swine) survey trend. The report carries this indicator as a published series, with no further breakdown.</t>
        </is>
      </c>
      <c r="E304" s="59" t="inlineStr">
        <is>
          <t>https://doi.org/10.2908/APRO_MT_LSPIG</t>
        </is>
      </c>
    </row>
    <row r="305" ht="26" customHeight="1">
      <c r="A305" s="60" t="inlineStr"/>
      <c r="B305" s="21" t="inlineStr"/>
      <c r="C305" s="21" t="inlineStr">
        <is>
          <t>apro_mt_lspig A3100</t>
        </is>
      </c>
      <c r="D305" s="25" t="inlineStr">
        <is>
          <t>Eurostat apro_mt_lspig · geo=EU27_2020, animals=A3100, month=M11_M12, unit=THS_HD · https://ec.europa.eu/eurostat/api/dissemination/statistics/1.0/data/apro_mt_lspig?format=JSON&amp;lang=EN&amp;geo=EU27_2020&amp;animals=A3100&amp;month=M11_M12&amp;unit=THS_HD</t>
        </is>
      </c>
      <c r="E305" s="59" t="inlineStr">
        <is>
          <t>https://doi.org/10.2908/APRO_MT_LSPIG</t>
        </is>
      </c>
    </row>
    <row r="306" ht="26" customHeight="1">
      <c r="A306" s="13" t="inlineStr"/>
      <c r="B306" s="14" t="inlineStr"/>
      <c r="C306" s="14" t="inlineStr">
        <is>
          <t>Report baseline 2020 (million heads)</t>
        </is>
      </c>
      <c r="D306" s="18" t="inlineStr">
        <is>
          <t>ESABCC (2024) “Towards EU climate neutrality”, underlying-data workbook — the report's own 2020 figure, the anchor the later years are spliced onto.</t>
        </is>
      </c>
    </row>
    <row r="307" ht="26" customHeight="1">
      <c r="A307" s="60" t="inlineStr"/>
      <c r="B307" s="21" t="inlineStr"/>
      <c r="C307" s="21" t="inlineStr">
        <is>
          <t>Live source at 2020 (same basis as the columns left)</t>
        </is>
      </c>
      <c r="D307" s="25" t="inlineStr">
        <is>
          <t>Eurostat apro_mt_lspig · live swine (A3100), Nov–Dec survey · EU27_2020 — the same query, read at 2020; dividing by it cancels the level difference between the source's scope and the report's, leaving only the year-on-year change.</t>
        </is>
      </c>
      <c r="E307" s="59" t="inlineStr">
        <is>
          <t>https://doi.org/10.2908/APRO_MT_LSPIG</t>
        </is>
      </c>
    </row>
    <row r="308" ht="26" customHeight="1">
      <c r="A308" s="13" t="inlineStr">
        <is>
          <t>A4 (pig, production)</t>
        </is>
      </c>
      <c r="B308" s="14" t="inlineStr">
        <is>
          <t>Pig meat: production (EU)</t>
        </is>
      </c>
      <c r="C308" s="14" t="inlineStr">
        <is>
          <t>Value</t>
        </is>
      </c>
      <c r="D308" s="18" t="inlineStr">
        <is>
          <t>Eurostat/FAOSTAT food balances + livestock surveys</t>
        </is>
      </c>
    </row>
    <row r="309" ht="26" customHeight="1">
      <c r="A309" s="60" t="inlineStr"/>
      <c r="B309" s="21" t="inlineStr"/>
      <c r="C309" s="21" t="inlineStr">
        <is>
          <t>Report figure (2024 report underlying data)</t>
        </is>
      </c>
      <c r="D309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310" ht="26" customHeight="1">
      <c r="A310" s="13" t="inlineStr"/>
      <c r="B310" s="14" t="inlineStr"/>
      <c r="C310" s="14" t="inlineStr">
        <is>
          <t>apro_mt_pann B3100</t>
        </is>
      </c>
      <c r="D310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310" s="59" t="inlineStr">
        <is>
          <t>https://doi.org/10.2908/APRO_MT_PANN</t>
        </is>
      </c>
    </row>
    <row r="311" ht="26" customHeight="1">
      <c r="A311" s="60" t="inlineStr"/>
      <c r="B311" s="21" t="inlineStr"/>
      <c r="C311" s="21" t="inlineStr">
        <is>
          <t>Unit conversion (× 0.001)</t>
        </is>
      </c>
      <c r="D311" s="25" t="inlineStr">
        <is>
          <t>Unit conversion applied to the source figure so it is expressed in Mt.</t>
        </is>
      </c>
    </row>
    <row r="312" ht="26" customHeight="1">
      <c r="A312" s="13" t="inlineStr">
        <is>
          <t>A6</t>
        </is>
      </c>
      <c r="B312" s="14" t="inlineStr">
        <is>
          <t>Food waste per capita (EU)</t>
        </is>
      </c>
      <c r="C312" s="14" t="inlineStr">
        <is>
          <t>Value</t>
        </is>
      </c>
      <c r="D312" s="18" t="inlineStr">
        <is>
          <t>Eurostat (env_wasfw)</t>
        </is>
      </c>
      <c r="E312" s="59" t="inlineStr">
        <is>
          <t>https://doi.org/10.2908/ENV_WASFW</t>
        </is>
      </c>
    </row>
    <row r="313" ht="26" customHeight="1">
      <c r="A313" s="60" t="inlineStr"/>
      <c r="B313" s="21" t="inlineStr"/>
      <c r="C313" s="21" t="inlineStr">
        <is>
          <t>Report figure (2024 report underlying data)</t>
        </is>
      </c>
      <c r="D313" s="25" t="inlineStr">
        <is>
          <t>ESABCC (2024) “Towards EU climate neutrality: Progress, policy gaps and opportunities”, underlying-data workbook — Eurostat (env_wasfw). The report carries this indicator as a published series, with no further breakdown.</t>
        </is>
      </c>
      <c r="E313" s="59" t="inlineStr">
        <is>
          <t>https://doi.org/10.2908/ENV_WASFW</t>
        </is>
      </c>
    </row>
    <row r="314" ht="26" customHeight="1">
      <c r="A314" s="13" t="inlineStr"/>
      <c r="B314" s="14" t="inlineStr"/>
      <c r="C314" s="14" t="inlineStr">
        <is>
          <t>env_wasfw TOT</t>
        </is>
      </c>
      <c r="D314" s="18" t="inlineStr">
        <is>
          <t>Eurostat env_wasfw · geo=EU27_2020, nace_r2=TOT, unit=KG_HAB · https://ec.europa.eu/eurostat/api/dissemination/statistics/1.0/data/env_wasfw?format=JSON&amp;lang=EN&amp;geo=EU27_2020&amp;nace_r2=TOT&amp;unit=KG_HAB</t>
        </is>
      </c>
      <c r="E314" s="59" t="inlineStr">
        <is>
          <t>https://doi.org/10.2908/ENV_WASFW</t>
        </is>
      </c>
    </row>
    <row r="315" ht="26" customHeight="1">
      <c r="A315" s="60" t="inlineStr">
        <is>
          <t>A7</t>
        </is>
      </c>
      <c r="B315" s="21" t="inlineStr">
        <is>
          <t>Agricultural products used as bioenergy feedstock</t>
        </is>
      </c>
      <c r="C315" s="21" t="inlineStr">
        <is>
          <t>Value</t>
        </is>
      </c>
      <c r="D315" s="25" t="inlineStr">
        <is>
          <t>JRC</t>
        </is>
      </c>
    </row>
    <row r="316" ht="26" customHeight="1">
      <c r="A316" s="13" t="inlineStr"/>
      <c r="B316" s="14" t="inlineStr"/>
      <c r="C316" s="14" t="inlineStr">
        <is>
          <t>Cereal crops</t>
        </is>
      </c>
      <c r="D316" s="18" t="inlineStr">
        <is>
          <t>see above</t>
        </is>
      </c>
    </row>
    <row r="317" ht="26" customHeight="1">
      <c r="A317" s="60" t="inlineStr"/>
      <c r="B317" s="21" t="inlineStr"/>
      <c r="C317" s="21" t="inlineStr">
        <is>
          <t>Oilseed crops and products</t>
        </is>
      </c>
      <c r="D317" s="25" t="inlineStr">
        <is>
          <t>see above</t>
        </is>
      </c>
    </row>
    <row r="318" ht="26" customHeight="1">
      <c r="A318" s="13" t="inlineStr"/>
      <c r="B318" s="14" t="inlineStr"/>
      <c r="C318" s="14" t="inlineStr">
        <is>
          <t>Cereal crops for bioenergy</t>
        </is>
      </c>
      <c r="D318" s="18" t="inlineStr">
        <is>
          <t>JRC</t>
        </is>
      </c>
    </row>
    <row r="319" ht="26" customHeight="1">
      <c r="A319" s="60" t="inlineStr"/>
      <c r="B319" s="21" t="inlineStr"/>
      <c r="C319" s="21" t="inlineStr">
        <is>
          <t>Vegetable oils for bioenergy</t>
        </is>
      </c>
      <c r="D319" s="25" t="inlineStr">
        <is>
          <t>JRC</t>
        </is>
      </c>
    </row>
    <row r="320" ht="26" customHeight="1">
      <c r="A320" s="13" t="inlineStr">
        <is>
          <t>L1</t>
        </is>
      </c>
      <c r="B320" s="14" t="inlineStr">
        <is>
          <t>LULUCF net GHG balance</t>
        </is>
      </c>
      <c r="C320" s="14" t="inlineStr">
        <is>
          <t>Value</t>
        </is>
      </c>
      <c r="D320" s="18" t="inlineStr">
        <is>
          <t>EEA GHG data viewer</t>
        </is>
      </c>
      <c r="E320" s="59" t="inlineStr">
        <is>
          <t>https://www.eea.europa.eu/en/datahub/datahubitem-view/3b7fe76c-524a-439a-bfd2-a6e4046302a2</t>
        </is>
      </c>
    </row>
    <row r="321" ht="26" customHeight="1">
      <c r="A321" s="60" t="inlineStr"/>
      <c r="B321" s="21" t="inlineStr"/>
      <c r="C321" s="21" t="inlineStr">
        <is>
          <t>4 - Land Use, Land-Use Change and Forestry</t>
        </is>
      </c>
      <c r="D321" s="25" t="inlineStr">
        <is>
          <t>EEA GHG data viewer</t>
        </is>
      </c>
      <c r="E321" s="59" t="inlineStr">
        <is>
          <t>https://www.eea.europa.eu/en/datahub/datahubitem-view/3b7fe76c-524a-439a-bfd2-a6e4046302a2</t>
        </is>
      </c>
    </row>
    <row r="322" ht="26" customHeight="1">
      <c r="A322" s="13" t="inlineStr">
        <is>
          <t>L3</t>
        </is>
      </c>
      <c r="B322" s="14" t="inlineStr">
        <is>
          <t>Annual afforested area</t>
        </is>
      </c>
      <c r="C322" s="14" t="inlineStr">
        <is>
          <t>Value</t>
        </is>
      </c>
      <c r="D322" s="18" t="inlineStr">
        <is>
          <t>CRF table</t>
        </is>
      </c>
      <c r="E322" s="59" t="inlineStr">
        <is>
          <t>https://di.unfccc.int/detailed_data_by_party</t>
        </is>
      </c>
    </row>
    <row r="323" ht="26" customHeight="1">
      <c r="A323" s="60" t="inlineStr"/>
      <c r="B323" s="21" t="inlineStr"/>
      <c r="C323" s="21" t="inlineStr">
        <is>
          <t>cropland to forest land</t>
        </is>
      </c>
      <c r="D323" s="25" t="inlineStr">
        <is>
          <t>CRF table</t>
        </is>
      </c>
      <c r="E323" s="59" t="inlineStr">
        <is>
          <t>https://di.unfccc.int/detailed_data_by_party</t>
        </is>
      </c>
    </row>
    <row r="324" ht="26" customHeight="1">
      <c r="A324" s="13" t="inlineStr"/>
      <c r="B324" s="14" t="inlineStr"/>
      <c r="C324" s="14" t="inlineStr">
        <is>
          <t>grassland to forest land</t>
        </is>
      </c>
      <c r="D324" s="18" t="inlineStr">
        <is>
          <t>CRF table</t>
        </is>
      </c>
      <c r="E324" s="59" t="inlineStr">
        <is>
          <t>https://di.unfccc.int/detailed_data_by_party</t>
        </is>
      </c>
    </row>
    <row r="325" ht="26" customHeight="1">
      <c r="A325" s="60" t="inlineStr"/>
      <c r="B325" s="21" t="inlineStr"/>
      <c r="C325" s="21" t="inlineStr">
        <is>
          <t>wetland to forest land</t>
        </is>
      </c>
      <c r="D325" s="25" t="inlineStr">
        <is>
          <t>CRF table</t>
        </is>
      </c>
      <c r="E325" s="59" t="inlineStr">
        <is>
          <t>https://di.unfccc.int/detailed_data_by_party</t>
        </is>
      </c>
    </row>
    <row r="326" ht="26" customHeight="1">
      <c r="A326" s="13" t="inlineStr"/>
      <c r="B326" s="14" t="inlineStr"/>
      <c r="C326" s="14" t="inlineStr">
        <is>
          <t>settlement to forest land</t>
        </is>
      </c>
      <c r="D326" s="18" t="inlineStr">
        <is>
          <t>CRF table</t>
        </is>
      </c>
      <c r="E326" s="59" t="inlineStr">
        <is>
          <t>https://di.unfccc.int/detailed_data_by_party</t>
        </is>
      </c>
    </row>
    <row r="327" ht="26" customHeight="1">
      <c r="A327" s="60" t="inlineStr"/>
      <c r="B327" s="21" t="inlineStr"/>
      <c r="C327" s="21" t="inlineStr">
        <is>
          <t>other land to forest land</t>
        </is>
      </c>
      <c r="D327" s="25" t="inlineStr">
        <is>
          <t>CRF table</t>
        </is>
      </c>
      <c r="E327" s="59" t="inlineStr">
        <is>
          <t>https://di.unfccc.int/detailed_data_by_party</t>
        </is>
      </c>
    </row>
    <row r="328" ht="26" customHeight="1">
      <c r="A328" s="13" t="inlineStr">
        <is>
          <t>L4</t>
        </is>
      </c>
      <c r="B328" s="14" t="inlineStr">
        <is>
          <t>Annual deforested area</t>
        </is>
      </c>
      <c r="C328" s="14" t="inlineStr">
        <is>
          <t>Value</t>
        </is>
      </c>
      <c r="D328" s="18" t="inlineStr">
        <is>
          <t>CRF table</t>
        </is>
      </c>
      <c r="E328" s="59" t="inlineStr">
        <is>
          <t>https://di.unfccc.int/detailed_data_by_party</t>
        </is>
      </c>
    </row>
    <row r="329" ht="26" customHeight="1">
      <c r="A329" s="60" t="inlineStr"/>
      <c r="B329" s="21" t="inlineStr"/>
      <c r="C329" s="21" t="inlineStr">
        <is>
          <t>forest to cropland</t>
        </is>
      </c>
      <c r="D329" s="25" t="inlineStr">
        <is>
          <t>CRF table</t>
        </is>
      </c>
      <c r="E329" s="59" t="inlineStr">
        <is>
          <t>https://di.unfccc.int/detailed_data_by_party</t>
        </is>
      </c>
    </row>
    <row r="330" ht="26" customHeight="1">
      <c r="A330" s="13" t="inlineStr"/>
      <c r="B330" s="14" t="inlineStr"/>
      <c r="C330" s="14" t="inlineStr">
        <is>
          <t>forest to grassland</t>
        </is>
      </c>
      <c r="D330" s="18" t="inlineStr">
        <is>
          <t>CRF table</t>
        </is>
      </c>
      <c r="E330" s="59" t="inlineStr">
        <is>
          <t>https://di.unfccc.int/detailed_data_by_party</t>
        </is>
      </c>
    </row>
    <row r="331" ht="26" customHeight="1">
      <c r="A331" s="60" t="inlineStr"/>
      <c r="B331" s="21" t="inlineStr"/>
      <c r="C331" s="21" t="inlineStr">
        <is>
          <t>forest to wetland</t>
        </is>
      </c>
      <c r="D331" s="25" t="inlineStr">
        <is>
          <t>CRF table</t>
        </is>
      </c>
      <c r="E331" s="59" t="inlineStr">
        <is>
          <t>https://di.unfccc.int/detailed_data_by_party</t>
        </is>
      </c>
    </row>
    <row r="332" ht="26" customHeight="1">
      <c r="A332" s="13" t="inlineStr"/>
      <c r="B332" s="14" t="inlineStr"/>
      <c r="C332" s="14" t="inlineStr">
        <is>
          <t>forest to settlement</t>
        </is>
      </c>
      <c r="D332" s="18" t="inlineStr">
        <is>
          <t>CRF table</t>
        </is>
      </c>
      <c r="E332" s="59" t="inlineStr">
        <is>
          <t>https://di.unfccc.int/detailed_data_by_party</t>
        </is>
      </c>
    </row>
    <row r="333" ht="26" customHeight="1">
      <c r="A333" s="60" t="inlineStr"/>
      <c r="B333" s="21" t="inlineStr"/>
      <c r="C333" s="21" t="inlineStr">
        <is>
          <t>forest to other land</t>
        </is>
      </c>
      <c r="D333" s="25" t="inlineStr">
        <is>
          <t>CRF table</t>
        </is>
      </c>
      <c r="E333" s="59" t="inlineStr">
        <is>
          <t>https://di.unfccc.int/detailed_data_by_party</t>
        </is>
      </c>
    </row>
    <row r="334" ht="26" customHeight="1">
      <c r="A334" s="13" t="inlineStr">
        <is>
          <t>L5</t>
        </is>
      </c>
      <c r="B334" s="14" t="inlineStr">
        <is>
          <t>Annual settlement area increase (net land take proxy)</t>
        </is>
      </c>
      <c r="C334" s="14" t="inlineStr">
        <is>
          <t>Value</t>
        </is>
      </c>
      <c r="D334" s="18" t="inlineStr">
        <is>
          <t>EU CRF</t>
        </is>
      </c>
      <c r="E334" s="59" t="inlineStr">
        <is>
          <t>https://di.unfccc.int/detailed_data_by_party</t>
        </is>
      </c>
    </row>
    <row r="335" ht="26" customHeight="1">
      <c r="A335" s="60" t="inlineStr"/>
      <c r="B335" s="21" t="inlineStr"/>
      <c r="C335" s="21" t="inlineStr">
        <is>
          <t>Settlement area (kha)</t>
        </is>
      </c>
      <c r="D335" s="25" t="inlineStr">
        <is>
          <t>EU CRF</t>
        </is>
      </c>
      <c r="E335" s="59" t="inlineStr">
        <is>
          <t>https://di.unfccc.int/detailed_data_by_party</t>
        </is>
      </c>
    </row>
    <row r="336" ht="26" customHeight="1">
      <c r="A336" s="13" t="inlineStr"/>
      <c r="B336" s="14" t="inlineStr"/>
      <c r="C336" s="14" t="inlineStr">
        <is>
          <t>Settlement area, previous year (kha)</t>
        </is>
      </c>
      <c r="D336" s="18" t="inlineStr">
        <is>
          <t>EU CRF</t>
        </is>
      </c>
      <c r="E336" s="59" t="inlineStr">
        <is>
          <t>https://di.unfccc.int/detailed_data_by_party</t>
        </is>
      </c>
    </row>
    <row r="337" ht="26" customHeight="1">
      <c r="A337" s="60" t="inlineStr">
        <is>
          <t>L6</t>
        </is>
      </c>
      <c r="B337" s="21" t="inlineStr">
        <is>
          <t>Forest land living-biomass carbon sink</t>
        </is>
      </c>
      <c r="C337" s="21" t="inlineStr">
        <is>
          <t>Value</t>
        </is>
      </c>
      <c r="D337" s="25" t="inlineStr">
        <is>
          <t>EU GHG inventory CRF</t>
        </is>
      </c>
      <c r="E337" s="59" t="inlineStr">
        <is>
          <t>https://di.unfccc.int/detailed_data_by_party</t>
        </is>
      </c>
    </row>
    <row r="338" ht="26" customHeight="1">
      <c r="A338" s="13" t="inlineStr"/>
      <c r="B338" s="14" t="inlineStr"/>
      <c r="C338" s="14" t="inlineStr">
        <is>
          <t>Carbon stock gain in living biomass</t>
        </is>
      </c>
      <c r="D338" s="18" t="inlineStr">
        <is>
          <t>EU GHG inventory CRF</t>
        </is>
      </c>
      <c r="E338" s="59" t="inlineStr">
        <is>
          <t>https://di.unfccc.int/detailed_data_by_party</t>
        </is>
      </c>
    </row>
    <row r="339" ht="26" customHeight="1">
      <c r="A339" s="60" t="inlineStr"/>
      <c r="B339" s="21" t="inlineStr"/>
      <c r="C339" s="21" t="inlineStr">
        <is>
          <t>Carbon stock loss in living biomass</t>
        </is>
      </c>
      <c r="D339" s="25" t="inlineStr">
        <is>
          <t>EU GHG inventory CRF</t>
        </is>
      </c>
      <c r="E339" s="59" t="inlineStr">
        <is>
          <t>https://di.unfccc.int/detailed_data_by_party</t>
        </is>
      </c>
    </row>
    <row r="340" ht="26" customHeight="1">
      <c r="A340" s="13" t="inlineStr"/>
      <c r="B340" s="14" t="inlineStr"/>
      <c r="C340" s="14" t="inlineStr">
        <is>
          <t>env_air_gge CRF4A</t>
        </is>
      </c>
      <c r="D340" s="18" t="inlineStr">
        <is>
          <t>Eurostat env_air_gge · geo=EU27_2020, unit=MIO_T, freq=A, airpol=GHG, src_crf=CRF4A · https://ec.europa.eu/eurostat/api/dissemination/statistics/1.0/data/env_air_gge?format=JSON&amp;lang=EN&amp;geo=EU27_2020&amp;unit=MIO_T&amp;freq=A&amp;airpol=GHG&amp;src_crf=CRF4A</t>
        </is>
      </c>
      <c r="E340" s="59" t="inlineStr">
        <is>
          <t>https://doi.org/10.2908/ENV_AIR_GGE</t>
        </is>
      </c>
    </row>
    <row r="341" ht="26" customHeight="1">
      <c r="A341" s="60" t="inlineStr"/>
      <c r="B341" s="21" t="inlineStr"/>
      <c r="C341" s="21" t="inlineStr">
        <is>
          <t>Report baseline 2021 (Mt CO₂eq)</t>
        </is>
      </c>
      <c r="D341" s="25" t="inlineStr">
        <is>
          <t>ESABCC (2024) “Towards EU climate neutrality”, underlying-data workbook — the report's own 2021 figure, the anchor the later years are spliced onto.</t>
        </is>
      </c>
    </row>
    <row r="342" ht="26" customHeight="1">
      <c r="A342" s="13" t="inlineStr"/>
      <c r="B342" s="14" t="inlineStr"/>
      <c r="C342" s="14" t="inlineStr">
        <is>
          <t>Live source at 2021 (same basis as the columns left)</t>
        </is>
      </c>
      <c r="D342" s="18" t="inlineStr">
        <is>
          <t>Eurostat env_air_gge · CRF 4.A forest land · EU27_2020 — the same query, read at 2021; dividing by it cancels the level difference between the source's scope and the report's, leaving only the year-on-year change.</t>
        </is>
      </c>
      <c r="E342" s="59" t="inlineStr">
        <is>
          <t>https://doi.org/10.2908/ENV_AIR_GGE</t>
        </is>
      </c>
    </row>
    <row r="343" ht="26" customHeight="1">
      <c r="A343" s="60" t="inlineStr">
        <is>
          <t>L7</t>
        </is>
      </c>
      <c r="B343" s="21" t="inlineStr">
        <is>
          <t>Non-forest LULUCF net GHG emissions</t>
        </is>
      </c>
      <c r="C343" s="21" t="inlineStr">
        <is>
          <t>Value</t>
        </is>
      </c>
      <c r="D343" s="25" t="inlineStr">
        <is>
          <t>EEA GHG data viewer</t>
        </is>
      </c>
      <c r="E343" s="59" t="inlineStr">
        <is>
          <t>https://www.eea.europa.eu/en/datahub/datahubitem-view/3b7fe76c-524a-439a-bfd2-a6e4046302a2</t>
        </is>
      </c>
    </row>
    <row r="344" ht="26" customHeight="1">
      <c r="A344" s="13" t="inlineStr"/>
      <c r="B344" s="14" t="inlineStr"/>
      <c r="C344" s="14" t="inlineStr">
        <is>
          <t>4.B - Cropland</t>
        </is>
      </c>
      <c r="D344" s="18" t="inlineStr">
        <is>
          <t>EEA GHG data viewer</t>
        </is>
      </c>
      <c r="E344" s="59" t="inlineStr">
        <is>
          <t>https://www.eea.europa.eu/en/datahub/datahubitem-view/3b7fe76c-524a-439a-bfd2-a6e4046302a2</t>
        </is>
      </c>
    </row>
    <row r="345" ht="26" customHeight="1">
      <c r="A345" s="60" t="inlineStr"/>
      <c r="B345" s="21" t="inlineStr"/>
      <c r="C345" s="21" t="inlineStr">
        <is>
          <t>4.C - Grassland</t>
        </is>
      </c>
      <c r="D345" s="25" t="inlineStr">
        <is>
          <t>EEA GHG data viewer</t>
        </is>
      </c>
      <c r="E345" s="59" t="inlineStr">
        <is>
          <t>https://www.eea.europa.eu/en/datahub/datahubitem-view/3b7fe76c-524a-439a-bfd2-a6e4046302a2</t>
        </is>
      </c>
    </row>
    <row r="346" ht="26" customHeight="1">
      <c r="A346" s="13" t="inlineStr"/>
      <c r="B346" s="14" t="inlineStr"/>
      <c r="C346" s="14" t="inlineStr">
        <is>
          <t>4.D - Wetlands</t>
        </is>
      </c>
      <c r="D346" s="18" t="inlineStr">
        <is>
          <t>EEA GHG data viewer</t>
        </is>
      </c>
      <c r="E346" s="59" t="inlineStr">
        <is>
          <t>https://www.eea.europa.eu/en/datahub/datahubitem-view/3b7fe76c-524a-439a-bfd2-a6e4046302a2</t>
        </is>
      </c>
    </row>
    <row r="347" ht="26" customHeight="1">
      <c r="A347" s="60" t="inlineStr"/>
      <c r="B347" s="21" t="inlineStr"/>
      <c r="C347" s="21" t="inlineStr">
        <is>
          <t>4.E - Settlements</t>
        </is>
      </c>
      <c r="D347" s="25" t="inlineStr">
        <is>
          <t>EEA GHG data viewer</t>
        </is>
      </c>
      <c r="E347" s="59" t="inlineStr">
        <is>
          <t>https://www.eea.europa.eu/en/datahub/datahubitem-view/3b7fe76c-524a-439a-bfd2-a6e4046302a2</t>
        </is>
      </c>
    </row>
    <row r="348" ht="26" customHeight="1">
      <c r="A348" s="13" t="inlineStr"/>
      <c r="B348" s="14" t="inlineStr"/>
      <c r="C348" s="14" t="inlineStr">
        <is>
          <t>4.F - Other Land</t>
        </is>
      </c>
      <c r="D348" s="18" t="inlineStr">
        <is>
          <t>EEA GHG data viewer</t>
        </is>
      </c>
      <c r="E348" s="59" t="inlineStr">
        <is>
          <t>https://www.eea.europa.eu/en/datahub/datahubitem-view/3b7fe76c-524a-439a-bfd2-a6e4046302a2</t>
        </is>
      </c>
    </row>
    <row r="349" ht="26" customHeight="1">
      <c r="A349" s="60" t="inlineStr"/>
      <c r="B349" s="21" t="inlineStr"/>
      <c r="C349" s="21" t="inlineStr">
        <is>
          <t>4.H - Other LULUCF</t>
        </is>
      </c>
      <c r="D349" s="25" t="inlineStr">
        <is>
          <t>EEA GHG data viewer</t>
        </is>
      </c>
      <c r="E349" s="59" t="inlineStr">
        <is>
          <t>https://www.eea.europa.eu/en/datahub/datahubitem-view/3b7fe76c-524a-439a-bfd2-a6e4046302a2</t>
        </is>
      </c>
    </row>
    <row r="350" ht="26" customHeight="1">
      <c r="A350" s="13" t="inlineStr"/>
      <c r="B350" s="14" t="inlineStr"/>
      <c r="C350" s="14" t="inlineStr">
        <is>
          <t>env_air_gge CRF4B</t>
        </is>
      </c>
      <c r="D350" s="18" t="inlineStr">
        <is>
          <t>Eurostat env_air_gge · geo=EU27_2020, unit=MIO_T, freq=A, airpol=GHG, src_crf=CRF4B · https://ec.europa.eu/eurostat/api/dissemination/statistics/1.0/data/env_air_gge?format=JSON&amp;lang=EN&amp;geo=EU27_2020&amp;unit=MIO_T&amp;freq=A&amp;airpol=GHG&amp;src_crf=CRF4B</t>
        </is>
      </c>
      <c r="E350" s="59" t="inlineStr">
        <is>
          <t>https://doi.org/10.2908/ENV_AIR_GGE</t>
        </is>
      </c>
    </row>
    <row r="351" ht="26" customHeight="1">
      <c r="A351" s="60" t="inlineStr"/>
      <c r="B351" s="21" t="inlineStr"/>
      <c r="C351" s="21" t="inlineStr">
        <is>
          <t>env_air_gge CRF4C</t>
        </is>
      </c>
      <c r="D351" s="25" t="inlineStr">
        <is>
          <t>Eurostat env_air_gge · geo=EU27_2020, unit=MIO_T, freq=A, airpol=GHG, src_crf=CRF4C · https://ec.europa.eu/eurostat/api/dissemination/statistics/1.0/data/env_air_gge?format=JSON&amp;lang=EN&amp;geo=EU27_2020&amp;unit=MIO_T&amp;freq=A&amp;airpol=GHG&amp;src_crf=CRF4C</t>
        </is>
      </c>
      <c r="E351" s="59" t="inlineStr">
        <is>
          <t>https://doi.org/10.2908/ENV_AIR_GGE</t>
        </is>
      </c>
    </row>
    <row r="352" ht="26" customHeight="1">
      <c r="A352" s="13" t="inlineStr"/>
      <c r="B352" s="14" t="inlineStr"/>
      <c r="C352" s="14" t="inlineStr">
        <is>
          <t>env_air_gge CRF4D</t>
        </is>
      </c>
      <c r="D352" s="18" t="inlineStr">
        <is>
          <t>Eurostat env_air_gge · geo=EU27_2020, unit=MIO_T, freq=A, airpol=GHG, src_crf=CRF4D · https://ec.europa.eu/eurostat/api/dissemination/statistics/1.0/data/env_air_gge?format=JSON&amp;lang=EN&amp;geo=EU27_2020&amp;unit=MIO_T&amp;freq=A&amp;airpol=GHG&amp;src_crf=CRF4D</t>
        </is>
      </c>
      <c r="E352" s="59" t="inlineStr">
        <is>
          <t>https://doi.org/10.2908/ENV_AIR_GGE</t>
        </is>
      </c>
    </row>
    <row r="353" ht="26" customHeight="1">
      <c r="A353" s="60" t="inlineStr"/>
      <c r="B353" s="21" t="inlineStr"/>
      <c r="C353" s="21" t="inlineStr">
        <is>
          <t>env_air_gge CRF4E</t>
        </is>
      </c>
      <c r="D353" s="25" t="inlineStr">
        <is>
          <t>Eurostat env_air_gge · geo=EU27_2020, unit=MIO_T, freq=A, airpol=GHG, src_crf=CRF4E · https://ec.europa.eu/eurostat/api/dissemination/statistics/1.0/data/env_air_gge?format=JSON&amp;lang=EN&amp;geo=EU27_2020&amp;unit=MIO_T&amp;freq=A&amp;airpol=GHG&amp;src_crf=CRF4E</t>
        </is>
      </c>
      <c r="E353" s="59" t="inlineStr">
        <is>
          <t>https://doi.org/10.2908/ENV_AIR_GGE</t>
        </is>
      </c>
    </row>
    <row r="354" ht="26" customHeight="1">
      <c r="A354" s="13" t="inlineStr"/>
      <c r="B354" s="14" t="inlineStr"/>
      <c r="C354" s="14" t="inlineStr">
        <is>
          <t>env_air_gge CRF4F</t>
        </is>
      </c>
      <c r="D354" s="18" t="inlineStr">
        <is>
          <t>Eurostat env_air_gge · geo=EU27_2020, unit=MIO_T, freq=A, airpol=GHG, src_crf=CRF4F · https://ec.europa.eu/eurostat/api/dissemination/statistics/1.0/data/env_air_gge?format=JSON&amp;lang=EN&amp;geo=EU27_2020&amp;unit=MIO_T&amp;freq=A&amp;airpol=GHG&amp;src_crf=CRF4F</t>
        </is>
      </c>
      <c r="E354" s="59" t="inlineStr">
        <is>
          <t>https://doi.org/10.2908/ENV_AIR_GGE</t>
        </is>
      </c>
    </row>
    <row r="355" ht="26" customHeight="1">
      <c r="A355" s="60" t="inlineStr">
        <is>
          <t>L8</t>
        </is>
      </c>
      <c r="B355" s="21" t="inlineStr">
        <is>
          <t>Total bioenergy use (EU-27)</t>
        </is>
      </c>
      <c r="C355" s="21" t="inlineStr">
        <is>
          <t>Value</t>
        </is>
      </c>
      <c r="D355" s="25" t="inlineStr">
        <is>
          <t>Eurostat energy balance</t>
        </is>
      </c>
    </row>
    <row r="356" ht="26" customHeight="1">
      <c r="A356" s="13" t="inlineStr"/>
      <c r="B356" s="14" t="inlineStr"/>
      <c r="C356" s="14" t="inlineStr">
        <is>
          <t>Power and heat: Primary solid biofuels</t>
        </is>
      </c>
      <c r="D356" s="18" t="inlineStr">
        <is>
          <t>energy balance</t>
        </is>
      </c>
    </row>
    <row r="357" ht="26" customHeight="1">
      <c r="A357" s="60" t="inlineStr"/>
      <c r="B357" s="21" t="inlineStr"/>
      <c r="C357" s="21" t="inlineStr">
        <is>
          <t>Power and heat: Charcoal</t>
        </is>
      </c>
      <c r="D357" s="25" t="inlineStr">
        <is>
          <t>energy balance</t>
        </is>
      </c>
    </row>
    <row r="358" ht="26" customHeight="1">
      <c r="A358" s="13" t="inlineStr"/>
      <c r="B358" s="14" t="inlineStr"/>
      <c r="C358" s="14" t="inlineStr">
        <is>
          <t>Power and heat: Pure biogasoline</t>
        </is>
      </c>
      <c r="D358" s="18" t="inlineStr">
        <is>
          <t>energy balance</t>
        </is>
      </c>
    </row>
    <row r="359" ht="26" customHeight="1">
      <c r="A359" s="60" t="inlineStr"/>
      <c r="B359" s="21" t="inlineStr"/>
      <c r="C359" s="21" t="inlineStr">
        <is>
          <t>Power and heat: Blended biogasoline</t>
        </is>
      </c>
      <c r="D359" s="25" t="inlineStr">
        <is>
          <t>energy balance</t>
        </is>
      </c>
    </row>
    <row r="360" ht="26" customHeight="1">
      <c r="A360" s="13" t="inlineStr"/>
      <c r="B360" s="14" t="inlineStr"/>
      <c r="C360" s="14" t="inlineStr">
        <is>
          <t>Power and heat: Pure biodiesels</t>
        </is>
      </c>
      <c r="D360" s="18" t="inlineStr">
        <is>
          <t>energy balance</t>
        </is>
      </c>
    </row>
    <row r="361" ht="26" customHeight="1">
      <c r="A361" s="60" t="inlineStr"/>
      <c r="B361" s="21" t="inlineStr"/>
      <c r="C361" s="21" t="inlineStr">
        <is>
          <t>Power and heat: Blended biodiesels</t>
        </is>
      </c>
      <c r="D361" s="25" t="inlineStr">
        <is>
          <t>energy balance</t>
        </is>
      </c>
    </row>
    <row r="362" ht="26" customHeight="1">
      <c r="A362" s="13" t="inlineStr"/>
      <c r="B362" s="14" t="inlineStr"/>
      <c r="C362" s="14" t="inlineStr">
        <is>
          <t>Power and heat: Pure bio jet kerosene</t>
        </is>
      </c>
      <c r="D362" s="18" t="inlineStr">
        <is>
          <t>energy balance</t>
        </is>
      </c>
    </row>
    <row r="363" ht="26" customHeight="1">
      <c r="A363" s="60" t="inlineStr"/>
      <c r="B363" s="21" t="inlineStr"/>
      <c r="C363" s="21" t="inlineStr">
        <is>
          <t>Power and heat: Blended bio jet kerosene</t>
        </is>
      </c>
      <c r="D363" s="25" t="inlineStr">
        <is>
          <t>energy balance</t>
        </is>
      </c>
    </row>
    <row r="364" ht="26" customHeight="1">
      <c r="A364" s="13" t="inlineStr"/>
      <c r="B364" s="14" t="inlineStr"/>
      <c r="C364" s="14" t="inlineStr">
        <is>
          <t>Power and heat: Other liquid biofuels</t>
        </is>
      </c>
      <c r="D364" s="18" t="inlineStr">
        <is>
          <t>energy balance</t>
        </is>
      </c>
    </row>
    <row r="365" ht="26" customHeight="1">
      <c r="A365" s="60" t="inlineStr"/>
      <c r="B365" s="21" t="inlineStr"/>
      <c r="C365" s="21" t="inlineStr">
        <is>
          <t>Power and heat: Biogases</t>
        </is>
      </c>
      <c r="D365" s="25" t="inlineStr">
        <is>
          <t>energy balance</t>
        </is>
      </c>
    </row>
    <row r="366" ht="26" customHeight="1">
      <c r="A366" s="13" t="inlineStr"/>
      <c r="B366" s="14" t="inlineStr"/>
      <c r="C366" s="14" t="inlineStr">
        <is>
          <t>Industry: Primary solid biofuels</t>
        </is>
      </c>
      <c r="D366" s="18" t="inlineStr">
        <is>
          <t>energy balance</t>
        </is>
      </c>
    </row>
    <row r="367" ht="26" customHeight="1">
      <c r="A367" s="60" t="inlineStr"/>
      <c r="B367" s="21" t="inlineStr"/>
      <c r="C367" s="21" t="inlineStr">
        <is>
          <t>Industry: Charcoal</t>
        </is>
      </c>
      <c r="D367" s="25" t="inlineStr">
        <is>
          <t>energy balance</t>
        </is>
      </c>
    </row>
    <row r="368" ht="26" customHeight="1">
      <c r="A368" s="13" t="inlineStr"/>
      <c r="B368" s="14" t="inlineStr"/>
      <c r="C368" s="14" t="inlineStr">
        <is>
          <t>Industry: Pure biogasoline</t>
        </is>
      </c>
      <c r="D368" s="18" t="inlineStr">
        <is>
          <t>energy balance</t>
        </is>
      </c>
    </row>
    <row r="369" ht="26" customHeight="1">
      <c r="A369" s="60" t="inlineStr"/>
      <c r="B369" s="21" t="inlineStr"/>
      <c r="C369" s="21" t="inlineStr">
        <is>
          <t>Industry: Blended biogasoline</t>
        </is>
      </c>
      <c r="D369" s="25" t="inlineStr">
        <is>
          <t>energy balance</t>
        </is>
      </c>
    </row>
    <row r="370" ht="26" customHeight="1">
      <c r="A370" s="13" t="inlineStr"/>
      <c r="B370" s="14" t="inlineStr"/>
      <c r="C370" s="14" t="inlineStr">
        <is>
          <t>Industry: Pure biodiesels</t>
        </is>
      </c>
      <c r="D370" s="18" t="inlineStr">
        <is>
          <t>energy balance</t>
        </is>
      </c>
    </row>
    <row r="371" ht="26" customHeight="1">
      <c r="A371" s="60" t="inlineStr"/>
      <c r="B371" s="21" t="inlineStr"/>
      <c r="C371" s="21" t="inlineStr">
        <is>
          <t>Industry: Blended biodiesels</t>
        </is>
      </c>
      <c r="D371" s="25" t="inlineStr">
        <is>
          <t>energy balance</t>
        </is>
      </c>
    </row>
    <row r="372" ht="26" customHeight="1">
      <c r="A372" s="13" t="inlineStr"/>
      <c r="B372" s="14" t="inlineStr"/>
      <c r="C372" s="14" t="inlineStr">
        <is>
          <t>Industry: Pure bio jet kerosene</t>
        </is>
      </c>
      <c r="D372" s="18" t="inlineStr">
        <is>
          <t>energy balance</t>
        </is>
      </c>
    </row>
    <row r="373" ht="26" customHeight="1">
      <c r="A373" s="60" t="inlineStr"/>
      <c r="B373" s="21" t="inlineStr"/>
      <c r="C373" s="21" t="inlineStr">
        <is>
          <t>Industry: Blended bio jet kerosene</t>
        </is>
      </c>
      <c r="D373" s="25" t="inlineStr">
        <is>
          <t>energy balance</t>
        </is>
      </c>
    </row>
    <row r="374" ht="26" customHeight="1">
      <c r="A374" s="13" t="inlineStr"/>
      <c r="B374" s="14" t="inlineStr"/>
      <c r="C374" s="14" t="inlineStr">
        <is>
          <t>Industry: Other liquid biofuels</t>
        </is>
      </c>
      <c r="D374" s="18" t="inlineStr">
        <is>
          <t>energy balance</t>
        </is>
      </c>
    </row>
    <row r="375" ht="26" customHeight="1">
      <c r="A375" s="60" t="inlineStr"/>
      <c r="B375" s="21" t="inlineStr"/>
      <c r="C375" s="21" t="inlineStr">
        <is>
          <t>Industry: Biogases</t>
        </is>
      </c>
      <c r="D375" s="25" t="inlineStr">
        <is>
          <t>energy balance</t>
        </is>
      </c>
    </row>
    <row r="376" ht="26" customHeight="1">
      <c r="A376" s="13" t="inlineStr"/>
      <c r="B376" s="14" t="inlineStr"/>
      <c r="C376" s="14" t="inlineStr">
        <is>
          <t>Transport: Primary solid biofuels</t>
        </is>
      </c>
      <c r="D376" s="18" t="inlineStr">
        <is>
          <t>energy balance</t>
        </is>
      </c>
    </row>
    <row r="377" ht="26" customHeight="1">
      <c r="A377" s="60" t="inlineStr"/>
      <c r="B377" s="21" t="inlineStr"/>
      <c r="C377" s="21" t="inlineStr">
        <is>
          <t>Transport: Charcoal</t>
        </is>
      </c>
      <c r="D377" s="25" t="inlineStr">
        <is>
          <t>energy balance</t>
        </is>
      </c>
    </row>
    <row r="378" ht="26" customHeight="1">
      <c r="A378" s="13" t="inlineStr"/>
      <c r="B378" s="14" t="inlineStr"/>
      <c r="C378" s="14" t="inlineStr">
        <is>
          <t>Transport: Pure biogasoline</t>
        </is>
      </c>
      <c r="D378" s="18" t="inlineStr">
        <is>
          <t>energy balance</t>
        </is>
      </c>
    </row>
    <row r="379" ht="26" customHeight="1">
      <c r="A379" s="60" t="inlineStr"/>
      <c r="B379" s="21" t="inlineStr"/>
      <c r="C379" s="21" t="inlineStr">
        <is>
          <t>Transport: Blended biogasoline</t>
        </is>
      </c>
      <c r="D379" s="25" t="inlineStr">
        <is>
          <t>energy balance</t>
        </is>
      </c>
    </row>
    <row r="380" ht="26" customHeight="1">
      <c r="A380" s="13" t="inlineStr"/>
      <c r="B380" s="14" t="inlineStr"/>
      <c r="C380" s="14" t="inlineStr">
        <is>
          <t>Transport: Pure biodiesels</t>
        </is>
      </c>
      <c r="D380" s="18" t="inlineStr">
        <is>
          <t>energy balance</t>
        </is>
      </c>
    </row>
    <row r="381" ht="26" customHeight="1">
      <c r="A381" s="60" t="inlineStr"/>
      <c r="B381" s="21" t="inlineStr"/>
      <c r="C381" s="21" t="inlineStr">
        <is>
          <t>Transport: Blended biodiesels</t>
        </is>
      </c>
      <c r="D381" s="25" t="inlineStr">
        <is>
          <t>energy balance</t>
        </is>
      </c>
    </row>
    <row r="382" ht="26" customHeight="1">
      <c r="A382" s="13" t="inlineStr"/>
      <c r="B382" s="14" t="inlineStr"/>
      <c r="C382" s="14" t="inlineStr">
        <is>
          <t>Transport: Pure bio jet kerosene</t>
        </is>
      </c>
      <c r="D382" s="18" t="inlineStr">
        <is>
          <t>energy balance</t>
        </is>
      </c>
    </row>
    <row r="383" ht="26" customHeight="1">
      <c r="A383" s="60" t="inlineStr"/>
      <c r="B383" s="21" t="inlineStr"/>
      <c r="C383" s="21" t="inlineStr">
        <is>
          <t>Transport: Blended bio jet kerosene</t>
        </is>
      </c>
      <c r="D383" s="25" t="inlineStr">
        <is>
          <t>energy balance</t>
        </is>
      </c>
    </row>
    <row r="384" ht="26" customHeight="1">
      <c r="A384" s="13" t="inlineStr"/>
      <c r="B384" s="14" t="inlineStr"/>
      <c r="C384" s="14" t="inlineStr">
        <is>
          <t>Transport: Other liquid biofuels</t>
        </is>
      </c>
      <c r="D384" s="18" t="inlineStr">
        <is>
          <t>energy balance</t>
        </is>
      </c>
    </row>
    <row r="385" ht="26" customHeight="1">
      <c r="A385" s="60" t="inlineStr"/>
      <c r="B385" s="21" t="inlineStr"/>
      <c r="C385" s="21" t="inlineStr">
        <is>
          <t>Transport: Biogases</t>
        </is>
      </c>
      <c r="D385" s="25" t="inlineStr">
        <is>
          <t>energy balance</t>
        </is>
      </c>
    </row>
    <row r="386" ht="26" customHeight="1">
      <c r="A386" s="13" t="inlineStr"/>
      <c r="B386" s="14" t="inlineStr"/>
      <c r="C386" s="14" t="inlineStr">
        <is>
          <t>Other sectors: Primary solid biofuels</t>
        </is>
      </c>
      <c r="D386" s="18" t="inlineStr">
        <is>
          <t>energy balance</t>
        </is>
      </c>
    </row>
    <row r="387" ht="26" customHeight="1">
      <c r="A387" s="60" t="inlineStr"/>
      <c r="B387" s="21" t="inlineStr"/>
      <c r="C387" s="21" t="inlineStr">
        <is>
          <t>Other sectors: Charcoal</t>
        </is>
      </c>
      <c r="D387" s="25" t="inlineStr">
        <is>
          <t>energy balance</t>
        </is>
      </c>
    </row>
    <row r="388" ht="26" customHeight="1">
      <c r="A388" s="13" t="inlineStr"/>
      <c r="B388" s="14" t="inlineStr"/>
      <c r="C388" s="14" t="inlineStr">
        <is>
          <t>Other sectors: Pure biogasoline</t>
        </is>
      </c>
      <c r="D388" s="18" t="inlineStr">
        <is>
          <t>energy balance</t>
        </is>
      </c>
    </row>
    <row r="389" ht="26" customHeight="1">
      <c r="A389" s="60" t="inlineStr"/>
      <c r="B389" s="21" t="inlineStr"/>
      <c r="C389" s="21" t="inlineStr">
        <is>
          <t>Other sectors: Blended biogasoline</t>
        </is>
      </c>
      <c r="D389" s="25" t="inlineStr">
        <is>
          <t>energy balance</t>
        </is>
      </c>
    </row>
    <row r="390" ht="26" customHeight="1">
      <c r="A390" s="13" t="inlineStr"/>
      <c r="B390" s="14" t="inlineStr"/>
      <c r="C390" s="14" t="inlineStr">
        <is>
          <t>Other sectors: Pure biodiesels</t>
        </is>
      </c>
      <c r="D390" s="18" t="inlineStr">
        <is>
          <t>energy balance</t>
        </is>
      </c>
    </row>
    <row r="391" ht="26" customHeight="1">
      <c r="A391" s="60" t="inlineStr"/>
      <c r="B391" s="21" t="inlineStr"/>
      <c r="C391" s="21" t="inlineStr">
        <is>
          <t>Other sectors: Blended biodiesels</t>
        </is>
      </c>
      <c r="D391" s="25" t="inlineStr">
        <is>
          <t>energy balance</t>
        </is>
      </c>
    </row>
    <row r="392" ht="26" customHeight="1">
      <c r="A392" s="13" t="inlineStr"/>
      <c r="B392" s="14" t="inlineStr"/>
      <c r="C392" s="14" t="inlineStr">
        <is>
          <t>Other sectors: Pure bio jet kerosene</t>
        </is>
      </c>
      <c r="D392" s="18" t="inlineStr">
        <is>
          <t>energy balance</t>
        </is>
      </c>
    </row>
    <row r="393" ht="26" customHeight="1">
      <c r="A393" s="60" t="inlineStr"/>
      <c r="B393" s="21" t="inlineStr"/>
      <c r="C393" s="21" t="inlineStr">
        <is>
          <t>Other sectors: Blended bio jet kerosene</t>
        </is>
      </c>
      <c r="D393" s="25" t="inlineStr">
        <is>
          <t>energy balance</t>
        </is>
      </c>
    </row>
    <row r="394" ht="26" customHeight="1">
      <c r="A394" s="13" t="inlineStr"/>
      <c r="B394" s="14" t="inlineStr"/>
      <c r="C394" s="14" t="inlineStr">
        <is>
          <t>Other sectors: Other liquid biofuels</t>
        </is>
      </c>
      <c r="D394" s="18" t="inlineStr">
        <is>
          <t>energy balance</t>
        </is>
      </c>
    </row>
    <row r="395" ht="26" customHeight="1">
      <c r="A395" s="60" t="inlineStr"/>
      <c r="B395" s="21" t="inlineStr"/>
      <c r="C395" s="21" t="inlineStr">
        <is>
          <t>Other sectors: Biogases</t>
        </is>
      </c>
      <c r="D395" s="25" t="inlineStr">
        <is>
          <t>energy balance</t>
        </is>
      </c>
    </row>
    <row r="396" ht="26" customHeight="1">
      <c r="A396" s="13" t="inlineStr"/>
      <c r="B396" s="14" t="inlineStr"/>
      <c r="C396" s="14" t="inlineStr">
        <is>
          <t>nrg_bal_c BIOE</t>
        </is>
      </c>
      <c r="D396" s="18" t="inlineStr">
        <is>
          <t>Eurostat nrg_bal_c · geo=EU27_2020, unit=GWH, freq=A, nrg_bal=GIC, siec=BIOE · https://ec.europa.eu/eurostat/api/dissemination/statistics/1.0/data/nrg_bal_c?format=JSON&amp;lang=EN&amp;geo=EU27_2020&amp;unit=GWH&amp;freq=A&amp;nrg_bal=GIC&amp;siec=BIOE</t>
        </is>
      </c>
      <c r="E396" s="59" t="inlineStr">
        <is>
          <t>https://doi.org/10.2908/NRG_BAL_C</t>
        </is>
      </c>
    </row>
    <row r="397" ht="26" customHeight="1">
      <c r="A397" s="60" t="inlineStr"/>
      <c r="B397" s="21" t="inlineStr"/>
      <c r="C397" s="21" t="inlineStr">
        <is>
          <t>Unit conversion (× 0.001)</t>
        </is>
      </c>
      <c r="D397" s="25" t="inlineStr">
        <is>
          <t>Unit conversion applied to the source figure so it is expressed in TWh.</t>
        </is>
      </c>
    </row>
    <row r="398" ht="26" customHeight="1">
      <c r="A398" s="13" t="inlineStr">
        <is>
          <t>F1</t>
        </is>
      </c>
      <c r="B398" s="14" t="inlineStr">
        <is>
          <t>EU fossil-fuel subsidies (FFST)</t>
        </is>
      </c>
      <c r="C398" s="14" t="inlineStr">
        <is>
          <t>Value</t>
        </is>
      </c>
      <c r="D398" s="18" t="inlineStr">
        <is>
          <t>Fossil Fuel Subsidy Tracker; 2023: EC Report on Energy Subsidies in the EU (COM(2025)17)</t>
        </is>
      </c>
    </row>
    <row r="399" ht="26" customHeight="1">
      <c r="A399" s="60" t="inlineStr"/>
      <c r="B399" s="21" t="inlineStr"/>
      <c r="C399" s="21" t="inlineStr">
        <is>
          <t>Report figure (2024 report underlying data)</t>
        </is>
      </c>
      <c r="D399" s="25" t="inlineStr">
        <is>
          <t>ESABCC (2024) “Towards EU climate neutrality: Progress, policy gaps and opportunities”, underlying-data workbook — Fossil Fuel Subsidy Tracker; 2023: EC Report on Energy Subsidies in the EU (COM(2025)17). The report carries this indicator as a published series, with no further breakdown.</t>
        </is>
      </c>
    </row>
    <row r="400" ht="26" customHeight="1">
      <c r="A400" s="13" t="inlineStr">
        <is>
          <t>F2 (share)</t>
        </is>
      </c>
      <c r="B400" s="14" t="inlineStr">
        <is>
          <t>Green share of EU bond issuance</t>
        </is>
      </c>
      <c r="C400" s="14" t="inlineStr">
        <is>
          <t>Value</t>
        </is>
      </c>
      <c r="D400" s="18" t="inlineStr">
        <is>
          <t>BloombergNEF; 2023+ EEA "Green bonds in Europe" (LSEG/Refinitiv)</t>
        </is>
      </c>
      <c r="E400" s="59" t="inlineStr">
        <is>
          <t>https://www.eea.europa.eu/en/analysis/maps-and-charts/percentage-of-green-bond-issuances-1</t>
        </is>
      </c>
    </row>
    <row r="401" ht="26" customHeight="1">
      <c r="A401" s="60" t="inlineStr"/>
      <c r="B401" s="21" t="inlineStr"/>
      <c r="C401" s="21" t="inlineStr">
        <is>
          <t>Report figure (2024 report underlying data)</t>
        </is>
      </c>
      <c r="D401" s="25" t="inlineStr">
        <is>
          <t>ESABCC (2024) “Towards EU climate neutrality: Progress, policy gaps and opportunities”, underlying-data workbook — BloombergNEF; 2023+ EEA "Green bonds in Europe" (LSEG/Refinitiv). The report carries this indicator as a published series, with no further breakdown.</t>
        </is>
      </c>
      <c r="E401" s="59" t="inlineStr">
        <is>
          <t>https://www.eea.europa.eu/en/analysis/maps-and-charts/percentage-of-green-bond-issuances-1</t>
        </is>
      </c>
    </row>
    <row r="402" ht="26" customHeight="1">
      <c r="A402" s="13" t="inlineStr">
        <is>
          <t>F3</t>
        </is>
      </c>
      <c r="B402" s="14" t="inlineStr">
        <is>
          <t>EU R&amp;D expenditure (GERD)</t>
        </is>
      </c>
      <c r="C402" s="14" t="inlineStr">
        <is>
          <t>Value</t>
        </is>
      </c>
      <c r="D402" s="18" t="inlineStr">
        <is>
          <t>Eurostat (rd_e_gerdtot)</t>
        </is>
      </c>
      <c r="E402" s="59" t="inlineStr">
        <is>
          <t>https://doi.org/10.2908/RD_E_GERDTOT</t>
        </is>
      </c>
    </row>
    <row r="403" ht="26" customHeight="1">
      <c r="A403" s="60" t="inlineStr"/>
      <c r="B403" s="21" t="inlineStr"/>
      <c r="C403" s="21" t="inlineStr">
        <is>
          <t>Report figure (2024 report underlying data)</t>
        </is>
      </c>
      <c r="D403" s="25" t="inlineStr">
        <is>
          <t>ESABCC (2024) “Towards EU climate neutrality: Progress, policy gaps and opportunities”, underlying-data workbook — Eurostat (rd_e_gerdtot). The report carries this indicator as a published series, with no further breakdown.</t>
        </is>
      </c>
      <c r="E403" s="59" t="inlineStr">
        <is>
          <t>https://doi.org/10.2908/RD_E_GERDTOT</t>
        </is>
      </c>
    </row>
    <row r="404" ht="26" customHeight="1">
      <c r="A404" s="13" t="inlineStr"/>
      <c r="B404" s="14" t="inlineStr"/>
      <c r="C404" s="14" t="inlineStr">
        <is>
          <t>rd_e_gerdtot TOTAL</t>
        </is>
      </c>
      <c r="D404" s="18" t="inlineStr">
        <is>
          <t>Eurostat rd_e_gerdtot · geo=EU27_2020, sectperf=TOTAL, unit=PC_GDP · https://ec.europa.eu/eurostat/api/dissemination/statistics/1.0/data/rd_e_gerdtot?format=JSON&amp;lang=EN&amp;geo=EU27_2020&amp;sectperf=TOTAL&amp;unit=PC_GDP</t>
        </is>
      </c>
      <c r="E404" s="59" t="inlineStr">
        <is>
          <t>https://doi.org/10.2908/RD_E_GERDTOT</t>
        </is>
      </c>
    </row>
    <row r="405" ht="26" customHeight="1">
      <c r="A405" s="60" t="inlineStr">
        <is>
          <t>F5</t>
        </is>
      </c>
      <c r="B405" s="21" t="inlineStr">
        <is>
          <t>Cleantech venture &amp; growth investment in the EU</t>
        </is>
      </c>
      <c r="C405" s="21" t="inlineStr">
        <is>
          <t>Value</t>
        </is>
      </c>
      <c r="D405" s="25" t="inlineStr">
        <is>
          <t>Cleantech for Europe</t>
        </is>
      </c>
    </row>
    <row r="406" ht="26" customHeight="1">
      <c r="A406" s="13" t="inlineStr"/>
      <c r="B406" s="14" t="inlineStr"/>
      <c r="C406" s="14" t="inlineStr">
        <is>
          <t>Report figure (2024 report underlying data)</t>
        </is>
      </c>
      <c r="D406" s="18" t="inlineStr">
        <is>
          <t>ESABCC (2024) “Towards EU climate neutrality: Progress, policy gaps and opportunities”, underlying-data workbook — Cleantech for Europe. The report carries this indicator as a published series, with no further breakdown.</t>
        </is>
      </c>
    </row>
  </sheetData>
  <autoFilter ref="A1:E406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42" r:id="rId28"/>
    <hyperlink xmlns:r="http://schemas.openxmlformats.org/officeDocument/2006/relationships" ref="E43" r:id="rId29"/>
    <hyperlink xmlns:r="http://schemas.openxmlformats.org/officeDocument/2006/relationships" ref="E44" r:id="rId30"/>
    <hyperlink xmlns:r="http://schemas.openxmlformats.org/officeDocument/2006/relationships" ref="E45" r:id="rId31"/>
    <hyperlink xmlns:r="http://schemas.openxmlformats.org/officeDocument/2006/relationships" ref="E47" r:id="rId32"/>
    <hyperlink xmlns:r="http://schemas.openxmlformats.org/officeDocument/2006/relationships" ref="E51" r:id="rId33"/>
    <hyperlink xmlns:r="http://schemas.openxmlformats.org/officeDocument/2006/relationships" ref="E55" r:id="rId34"/>
    <hyperlink xmlns:r="http://schemas.openxmlformats.org/officeDocument/2006/relationships" ref="E56" r:id="rId35"/>
    <hyperlink xmlns:r="http://schemas.openxmlformats.org/officeDocument/2006/relationships" ref="E58" r:id="rId36"/>
    <hyperlink xmlns:r="http://schemas.openxmlformats.org/officeDocument/2006/relationships" ref="E59" r:id="rId37"/>
    <hyperlink xmlns:r="http://schemas.openxmlformats.org/officeDocument/2006/relationships" ref="E60" r:id="rId38"/>
    <hyperlink xmlns:r="http://schemas.openxmlformats.org/officeDocument/2006/relationships" ref="E62" r:id="rId39"/>
    <hyperlink xmlns:r="http://schemas.openxmlformats.org/officeDocument/2006/relationships" ref="E67" r:id="rId40"/>
    <hyperlink xmlns:r="http://schemas.openxmlformats.org/officeDocument/2006/relationships" ref="E68" r:id="rId41"/>
    <hyperlink xmlns:r="http://schemas.openxmlformats.org/officeDocument/2006/relationships" ref="E70" r:id="rId42"/>
    <hyperlink xmlns:r="http://schemas.openxmlformats.org/officeDocument/2006/relationships" ref="E71" r:id="rId43"/>
    <hyperlink xmlns:r="http://schemas.openxmlformats.org/officeDocument/2006/relationships" ref="E73" r:id="rId44"/>
    <hyperlink xmlns:r="http://schemas.openxmlformats.org/officeDocument/2006/relationships" ref="E74" r:id="rId45"/>
    <hyperlink xmlns:r="http://schemas.openxmlformats.org/officeDocument/2006/relationships" ref="E76" r:id="rId46"/>
    <hyperlink xmlns:r="http://schemas.openxmlformats.org/officeDocument/2006/relationships" ref="E77" r:id="rId47"/>
    <hyperlink xmlns:r="http://schemas.openxmlformats.org/officeDocument/2006/relationships" ref="E78" r:id="rId48"/>
    <hyperlink xmlns:r="http://schemas.openxmlformats.org/officeDocument/2006/relationships" ref="E79" r:id="rId49"/>
    <hyperlink xmlns:r="http://schemas.openxmlformats.org/officeDocument/2006/relationships" ref="E80" r:id="rId50"/>
    <hyperlink xmlns:r="http://schemas.openxmlformats.org/officeDocument/2006/relationships" ref="E81" r:id="rId51"/>
    <hyperlink xmlns:r="http://schemas.openxmlformats.org/officeDocument/2006/relationships" ref="E83" r:id="rId52"/>
    <hyperlink xmlns:r="http://schemas.openxmlformats.org/officeDocument/2006/relationships" ref="E86" r:id="rId53"/>
    <hyperlink xmlns:r="http://schemas.openxmlformats.org/officeDocument/2006/relationships" ref="E88" r:id="rId54"/>
    <hyperlink xmlns:r="http://schemas.openxmlformats.org/officeDocument/2006/relationships" ref="E89" r:id="rId55"/>
    <hyperlink xmlns:r="http://schemas.openxmlformats.org/officeDocument/2006/relationships" ref="E90" r:id="rId56"/>
    <hyperlink xmlns:r="http://schemas.openxmlformats.org/officeDocument/2006/relationships" ref="E93" r:id="rId57"/>
    <hyperlink xmlns:r="http://schemas.openxmlformats.org/officeDocument/2006/relationships" ref="E96" r:id="rId58"/>
    <hyperlink xmlns:r="http://schemas.openxmlformats.org/officeDocument/2006/relationships" ref="E97" r:id="rId59"/>
    <hyperlink xmlns:r="http://schemas.openxmlformats.org/officeDocument/2006/relationships" ref="E102" r:id="rId60"/>
    <hyperlink xmlns:r="http://schemas.openxmlformats.org/officeDocument/2006/relationships" ref="E104" r:id="rId61"/>
    <hyperlink xmlns:r="http://schemas.openxmlformats.org/officeDocument/2006/relationships" ref="E105" r:id="rId62"/>
    <hyperlink xmlns:r="http://schemas.openxmlformats.org/officeDocument/2006/relationships" ref="E114" r:id="rId63"/>
    <hyperlink xmlns:r="http://schemas.openxmlformats.org/officeDocument/2006/relationships" ref="E115" r:id="rId64"/>
    <hyperlink xmlns:r="http://schemas.openxmlformats.org/officeDocument/2006/relationships" ref="E116" r:id="rId65"/>
    <hyperlink xmlns:r="http://schemas.openxmlformats.org/officeDocument/2006/relationships" ref="E117" r:id="rId66"/>
    <hyperlink xmlns:r="http://schemas.openxmlformats.org/officeDocument/2006/relationships" ref="E118" r:id="rId67"/>
    <hyperlink xmlns:r="http://schemas.openxmlformats.org/officeDocument/2006/relationships" ref="E119" r:id="rId68"/>
    <hyperlink xmlns:r="http://schemas.openxmlformats.org/officeDocument/2006/relationships" ref="E120" r:id="rId69"/>
    <hyperlink xmlns:r="http://schemas.openxmlformats.org/officeDocument/2006/relationships" ref="E121" r:id="rId70"/>
    <hyperlink xmlns:r="http://schemas.openxmlformats.org/officeDocument/2006/relationships" ref="E122" r:id="rId71"/>
    <hyperlink xmlns:r="http://schemas.openxmlformats.org/officeDocument/2006/relationships" ref="E123" r:id="rId72"/>
    <hyperlink xmlns:r="http://schemas.openxmlformats.org/officeDocument/2006/relationships" ref="E124" r:id="rId73"/>
    <hyperlink xmlns:r="http://schemas.openxmlformats.org/officeDocument/2006/relationships" ref="E125" r:id="rId74"/>
    <hyperlink xmlns:r="http://schemas.openxmlformats.org/officeDocument/2006/relationships" ref="E126" r:id="rId75"/>
    <hyperlink xmlns:r="http://schemas.openxmlformats.org/officeDocument/2006/relationships" ref="E127" r:id="rId76"/>
    <hyperlink xmlns:r="http://schemas.openxmlformats.org/officeDocument/2006/relationships" ref="E128" r:id="rId77"/>
    <hyperlink xmlns:r="http://schemas.openxmlformats.org/officeDocument/2006/relationships" ref="E129" r:id="rId78"/>
    <hyperlink xmlns:r="http://schemas.openxmlformats.org/officeDocument/2006/relationships" ref="E130" r:id="rId79"/>
    <hyperlink xmlns:r="http://schemas.openxmlformats.org/officeDocument/2006/relationships" ref="E131" r:id="rId80"/>
    <hyperlink xmlns:r="http://schemas.openxmlformats.org/officeDocument/2006/relationships" ref="E132" r:id="rId81"/>
    <hyperlink xmlns:r="http://schemas.openxmlformats.org/officeDocument/2006/relationships" ref="E133" r:id="rId82"/>
    <hyperlink xmlns:r="http://schemas.openxmlformats.org/officeDocument/2006/relationships" ref="E134" r:id="rId83"/>
    <hyperlink xmlns:r="http://schemas.openxmlformats.org/officeDocument/2006/relationships" ref="E135" r:id="rId84"/>
    <hyperlink xmlns:r="http://schemas.openxmlformats.org/officeDocument/2006/relationships" ref="E165" r:id="rId85"/>
    <hyperlink xmlns:r="http://schemas.openxmlformats.org/officeDocument/2006/relationships" ref="E166" r:id="rId86"/>
    <hyperlink xmlns:r="http://schemas.openxmlformats.org/officeDocument/2006/relationships" ref="E167" r:id="rId87"/>
    <hyperlink xmlns:r="http://schemas.openxmlformats.org/officeDocument/2006/relationships" ref="E169" r:id="rId88"/>
    <hyperlink xmlns:r="http://schemas.openxmlformats.org/officeDocument/2006/relationships" ref="E171" r:id="rId89"/>
    <hyperlink xmlns:r="http://schemas.openxmlformats.org/officeDocument/2006/relationships" ref="E196" r:id="rId90"/>
    <hyperlink xmlns:r="http://schemas.openxmlformats.org/officeDocument/2006/relationships" ref="E197" r:id="rId91"/>
    <hyperlink xmlns:r="http://schemas.openxmlformats.org/officeDocument/2006/relationships" ref="E198" r:id="rId92"/>
    <hyperlink xmlns:r="http://schemas.openxmlformats.org/officeDocument/2006/relationships" ref="E199" r:id="rId93"/>
    <hyperlink xmlns:r="http://schemas.openxmlformats.org/officeDocument/2006/relationships" ref="E201" r:id="rId94"/>
    <hyperlink xmlns:r="http://schemas.openxmlformats.org/officeDocument/2006/relationships" ref="E206" r:id="rId95"/>
    <hyperlink xmlns:r="http://schemas.openxmlformats.org/officeDocument/2006/relationships" ref="E207" r:id="rId96"/>
    <hyperlink xmlns:r="http://schemas.openxmlformats.org/officeDocument/2006/relationships" ref="E208" r:id="rId97"/>
    <hyperlink xmlns:r="http://schemas.openxmlformats.org/officeDocument/2006/relationships" ref="E209" r:id="rId98"/>
    <hyperlink xmlns:r="http://schemas.openxmlformats.org/officeDocument/2006/relationships" ref="E215" r:id="rId99"/>
    <hyperlink xmlns:r="http://schemas.openxmlformats.org/officeDocument/2006/relationships" ref="E216" r:id="rId100"/>
    <hyperlink xmlns:r="http://schemas.openxmlformats.org/officeDocument/2006/relationships" ref="E217" r:id="rId101"/>
    <hyperlink xmlns:r="http://schemas.openxmlformats.org/officeDocument/2006/relationships" ref="E218" r:id="rId102"/>
    <hyperlink xmlns:r="http://schemas.openxmlformats.org/officeDocument/2006/relationships" ref="E220" r:id="rId103"/>
    <hyperlink xmlns:r="http://schemas.openxmlformats.org/officeDocument/2006/relationships" ref="E230" r:id="rId104"/>
    <hyperlink xmlns:r="http://schemas.openxmlformats.org/officeDocument/2006/relationships" ref="E240" r:id="rId105"/>
    <hyperlink xmlns:r="http://schemas.openxmlformats.org/officeDocument/2006/relationships" ref="E242" r:id="rId106"/>
    <hyperlink xmlns:r="http://schemas.openxmlformats.org/officeDocument/2006/relationships" ref="E243" r:id="rId107"/>
    <hyperlink xmlns:r="http://schemas.openxmlformats.org/officeDocument/2006/relationships" ref="E244" r:id="rId108"/>
    <hyperlink xmlns:r="http://schemas.openxmlformats.org/officeDocument/2006/relationships" ref="E245" r:id="rId109"/>
    <hyperlink xmlns:r="http://schemas.openxmlformats.org/officeDocument/2006/relationships" ref="E246" r:id="rId110"/>
    <hyperlink xmlns:r="http://schemas.openxmlformats.org/officeDocument/2006/relationships" ref="E247" r:id="rId111"/>
    <hyperlink xmlns:r="http://schemas.openxmlformats.org/officeDocument/2006/relationships" ref="E248" r:id="rId112"/>
    <hyperlink xmlns:r="http://schemas.openxmlformats.org/officeDocument/2006/relationships" ref="E249" r:id="rId113"/>
    <hyperlink xmlns:r="http://schemas.openxmlformats.org/officeDocument/2006/relationships" ref="E250" r:id="rId114"/>
    <hyperlink xmlns:r="http://schemas.openxmlformats.org/officeDocument/2006/relationships" ref="E251" r:id="rId115"/>
    <hyperlink xmlns:r="http://schemas.openxmlformats.org/officeDocument/2006/relationships" ref="E253" r:id="rId116"/>
    <hyperlink xmlns:r="http://schemas.openxmlformats.org/officeDocument/2006/relationships" ref="E254" r:id="rId117"/>
    <hyperlink xmlns:r="http://schemas.openxmlformats.org/officeDocument/2006/relationships" ref="E255" r:id="rId118"/>
    <hyperlink xmlns:r="http://schemas.openxmlformats.org/officeDocument/2006/relationships" ref="E256" r:id="rId119"/>
    <hyperlink xmlns:r="http://schemas.openxmlformats.org/officeDocument/2006/relationships" ref="E258" r:id="rId120"/>
    <hyperlink xmlns:r="http://schemas.openxmlformats.org/officeDocument/2006/relationships" ref="E259" r:id="rId121"/>
    <hyperlink xmlns:r="http://schemas.openxmlformats.org/officeDocument/2006/relationships" ref="E260" r:id="rId122"/>
    <hyperlink xmlns:r="http://schemas.openxmlformats.org/officeDocument/2006/relationships" ref="E262" r:id="rId123"/>
    <hyperlink xmlns:r="http://schemas.openxmlformats.org/officeDocument/2006/relationships" ref="E263" r:id="rId124"/>
    <hyperlink xmlns:r="http://schemas.openxmlformats.org/officeDocument/2006/relationships" ref="E264" r:id="rId125"/>
    <hyperlink xmlns:r="http://schemas.openxmlformats.org/officeDocument/2006/relationships" ref="E265" r:id="rId126"/>
    <hyperlink xmlns:r="http://schemas.openxmlformats.org/officeDocument/2006/relationships" ref="E266" r:id="rId127"/>
    <hyperlink xmlns:r="http://schemas.openxmlformats.org/officeDocument/2006/relationships" ref="E268" r:id="rId128"/>
    <hyperlink xmlns:r="http://schemas.openxmlformats.org/officeDocument/2006/relationships" ref="E269" r:id="rId129"/>
    <hyperlink xmlns:r="http://schemas.openxmlformats.org/officeDocument/2006/relationships" ref="E270" r:id="rId130"/>
    <hyperlink xmlns:r="http://schemas.openxmlformats.org/officeDocument/2006/relationships" ref="E271" r:id="rId131"/>
    <hyperlink xmlns:r="http://schemas.openxmlformats.org/officeDocument/2006/relationships" ref="E272" r:id="rId132"/>
    <hyperlink xmlns:r="http://schemas.openxmlformats.org/officeDocument/2006/relationships" ref="E273" r:id="rId133"/>
    <hyperlink xmlns:r="http://schemas.openxmlformats.org/officeDocument/2006/relationships" ref="E275" r:id="rId134"/>
    <hyperlink xmlns:r="http://schemas.openxmlformats.org/officeDocument/2006/relationships" ref="E276" r:id="rId135"/>
    <hyperlink xmlns:r="http://schemas.openxmlformats.org/officeDocument/2006/relationships" ref="E277" r:id="rId136"/>
    <hyperlink xmlns:r="http://schemas.openxmlformats.org/officeDocument/2006/relationships" ref="E278" r:id="rId137"/>
    <hyperlink xmlns:r="http://schemas.openxmlformats.org/officeDocument/2006/relationships" ref="E282" r:id="rId138"/>
    <hyperlink xmlns:r="http://schemas.openxmlformats.org/officeDocument/2006/relationships" ref="E283" r:id="rId139"/>
    <hyperlink xmlns:r="http://schemas.openxmlformats.org/officeDocument/2006/relationships" ref="E284" r:id="rId140"/>
    <hyperlink xmlns:r="http://schemas.openxmlformats.org/officeDocument/2006/relationships" ref="E285" r:id="rId141"/>
    <hyperlink xmlns:r="http://schemas.openxmlformats.org/officeDocument/2006/relationships" ref="E286" r:id="rId142"/>
    <hyperlink xmlns:r="http://schemas.openxmlformats.org/officeDocument/2006/relationships" ref="E287" r:id="rId143"/>
    <hyperlink xmlns:r="http://schemas.openxmlformats.org/officeDocument/2006/relationships" ref="E289" r:id="rId144"/>
    <hyperlink xmlns:r="http://schemas.openxmlformats.org/officeDocument/2006/relationships" ref="E292" r:id="rId145"/>
    <hyperlink xmlns:r="http://schemas.openxmlformats.org/officeDocument/2006/relationships" ref="E294" r:id="rId146"/>
    <hyperlink xmlns:r="http://schemas.openxmlformats.org/officeDocument/2006/relationships" ref="E295" r:id="rId147"/>
    <hyperlink xmlns:r="http://schemas.openxmlformats.org/officeDocument/2006/relationships" ref="E296" r:id="rId148"/>
    <hyperlink xmlns:r="http://schemas.openxmlformats.org/officeDocument/2006/relationships" ref="E300" r:id="rId149"/>
    <hyperlink xmlns:r="http://schemas.openxmlformats.org/officeDocument/2006/relationships" ref="E302" r:id="rId150"/>
    <hyperlink xmlns:r="http://schemas.openxmlformats.org/officeDocument/2006/relationships" ref="E303" r:id="rId151"/>
    <hyperlink xmlns:r="http://schemas.openxmlformats.org/officeDocument/2006/relationships" ref="E304" r:id="rId152"/>
    <hyperlink xmlns:r="http://schemas.openxmlformats.org/officeDocument/2006/relationships" ref="E305" r:id="rId153"/>
    <hyperlink xmlns:r="http://schemas.openxmlformats.org/officeDocument/2006/relationships" ref="E307" r:id="rId154"/>
    <hyperlink xmlns:r="http://schemas.openxmlformats.org/officeDocument/2006/relationships" ref="E310" r:id="rId155"/>
    <hyperlink xmlns:r="http://schemas.openxmlformats.org/officeDocument/2006/relationships" ref="E312" r:id="rId156"/>
    <hyperlink xmlns:r="http://schemas.openxmlformats.org/officeDocument/2006/relationships" ref="E313" r:id="rId157"/>
    <hyperlink xmlns:r="http://schemas.openxmlformats.org/officeDocument/2006/relationships" ref="E314" r:id="rId158"/>
    <hyperlink xmlns:r="http://schemas.openxmlformats.org/officeDocument/2006/relationships" ref="E320" r:id="rId159"/>
    <hyperlink xmlns:r="http://schemas.openxmlformats.org/officeDocument/2006/relationships" ref="E321" r:id="rId160"/>
    <hyperlink xmlns:r="http://schemas.openxmlformats.org/officeDocument/2006/relationships" ref="E322" r:id="rId161"/>
    <hyperlink xmlns:r="http://schemas.openxmlformats.org/officeDocument/2006/relationships" ref="E323" r:id="rId162"/>
    <hyperlink xmlns:r="http://schemas.openxmlformats.org/officeDocument/2006/relationships" ref="E324" r:id="rId163"/>
    <hyperlink xmlns:r="http://schemas.openxmlformats.org/officeDocument/2006/relationships" ref="E325" r:id="rId164"/>
    <hyperlink xmlns:r="http://schemas.openxmlformats.org/officeDocument/2006/relationships" ref="E326" r:id="rId165"/>
    <hyperlink xmlns:r="http://schemas.openxmlformats.org/officeDocument/2006/relationships" ref="E327" r:id="rId166"/>
    <hyperlink xmlns:r="http://schemas.openxmlformats.org/officeDocument/2006/relationships" ref="E328" r:id="rId167"/>
    <hyperlink xmlns:r="http://schemas.openxmlformats.org/officeDocument/2006/relationships" ref="E329" r:id="rId168"/>
    <hyperlink xmlns:r="http://schemas.openxmlformats.org/officeDocument/2006/relationships" ref="E330" r:id="rId169"/>
    <hyperlink xmlns:r="http://schemas.openxmlformats.org/officeDocument/2006/relationships" ref="E331" r:id="rId170"/>
    <hyperlink xmlns:r="http://schemas.openxmlformats.org/officeDocument/2006/relationships" ref="E332" r:id="rId171"/>
    <hyperlink xmlns:r="http://schemas.openxmlformats.org/officeDocument/2006/relationships" ref="E333" r:id="rId172"/>
    <hyperlink xmlns:r="http://schemas.openxmlformats.org/officeDocument/2006/relationships" ref="E334" r:id="rId173"/>
    <hyperlink xmlns:r="http://schemas.openxmlformats.org/officeDocument/2006/relationships" ref="E335" r:id="rId174"/>
    <hyperlink xmlns:r="http://schemas.openxmlformats.org/officeDocument/2006/relationships" ref="E336" r:id="rId175"/>
    <hyperlink xmlns:r="http://schemas.openxmlformats.org/officeDocument/2006/relationships" ref="E337" r:id="rId176"/>
    <hyperlink xmlns:r="http://schemas.openxmlformats.org/officeDocument/2006/relationships" ref="E338" r:id="rId177"/>
    <hyperlink xmlns:r="http://schemas.openxmlformats.org/officeDocument/2006/relationships" ref="E339" r:id="rId178"/>
    <hyperlink xmlns:r="http://schemas.openxmlformats.org/officeDocument/2006/relationships" ref="E340" r:id="rId179"/>
    <hyperlink xmlns:r="http://schemas.openxmlformats.org/officeDocument/2006/relationships" ref="E342" r:id="rId180"/>
    <hyperlink xmlns:r="http://schemas.openxmlformats.org/officeDocument/2006/relationships" ref="E343" r:id="rId181"/>
    <hyperlink xmlns:r="http://schemas.openxmlformats.org/officeDocument/2006/relationships" ref="E344" r:id="rId182"/>
    <hyperlink xmlns:r="http://schemas.openxmlformats.org/officeDocument/2006/relationships" ref="E345" r:id="rId183"/>
    <hyperlink xmlns:r="http://schemas.openxmlformats.org/officeDocument/2006/relationships" ref="E346" r:id="rId184"/>
    <hyperlink xmlns:r="http://schemas.openxmlformats.org/officeDocument/2006/relationships" ref="E347" r:id="rId185"/>
    <hyperlink xmlns:r="http://schemas.openxmlformats.org/officeDocument/2006/relationships" ref="E348" r:id="rId186"/>
    <hyperlink xmlns:r="http://schemas.openxmlformats.org/officeDocument/2006/relationships" ref="E349" r:id="rId187"/>
    <hyperlink xmlns:r="http://schemas.openxmlformats.org/officeDocument/2006/relationships" ref="E350" r:id="rId188"/>
    <hyperlink xmlns:r="http://schemas.openxmlformats.org/officeDocument/2006/relationships" ref="E351" r:id="rId189"/>
    <hyperlink xmlns:r="http://schemas.openxmlformats.org/officeDocument/2006/relationships" ref="E352" r:id="rId190"/>
    <hyperlink xmlns:r="http://schemas.openxmlformats.org/officeDocument/2006/relationships" ref="E353" r:id="rId191"/>
    <hyperlink xmlns:r="http://schemas.openxmlformats.org/officeDocument/2006/relationships" ref="E354" r:id="rId192"/>
    <hyperlink xmlns:r="http://schemas.openxmlformats.org/officeDocument/2006/relationships" ref="E396" r:id="rId193"/>
    <hyperlink xmlns:r="http://schemas.openxmlformats.org/officeDocument/2006/relationships" ref="E400" r:id="rId194"/>
    <hyperlink xmlns:r="http://schemas.openxmlformats.org/officeDocument/2006/relationships" ref="E401" r:id="rId195"/>
    <hyperlink xmlns:r="http://schemas.openxmlformats.org/officeDocument/2006/relationships" ref="E402" r:id="rId196"/>
    <hyperlink xmlns:r="http://schemas.openxmlformats.org/officeDocument/2006/relationships" ref="E403" r:id="rId197"/>
    <hyperlink xmlns:r="http://schemas.openxmlformats.org/officeDocument/2006/relationships" ref="E404" r:id="rId19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ESABCC Method Hub</dc:creator>
  <dc:title>ESABCC report indicators — old figures, new data, and the derivations</dc:title>
  <dcterms:created xsi:type="dcterms:W3CDTF">2026-08-03T11:44:23Z</dcterms:created>
  <dcterms:modified xsi:type="dcterms:W3CDTF">2026-08-03T11:44:24Z</dcterms:modified>
</cp:coreProperties>
</file>