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ld vs new" sheetId="2" state="visible" r:id="rId2"/>
    <sheet xmlns:r="http://schemas.openxmlformats.org/officeDocument/2006/relationships" name="Derivation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1" hidden="1">'Old vs new'!$A$4:$L$101</definedName>
    <definedName name="_xlnm._FilterDatabase" localSheetId="3" hidden="1">'Sources'!$A$1:$D$387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#,##0.000"/>
  </numFmts>
  <fonts count="29">
    <font>
      <name val="Calibri"/>
      <family val="2"/>
      <color theme="1"/>
      <sz val="11"/>
      <scheme val="minor"/>
    </font>
    <font>
      <name val="Segoe UI Semibold"/>
      <b val="1"/>
      <color rgb="004D7E83"/>
      <sz val="18"/>
    </font>
    <font>
      <name val="Segoe UI Semilight"/>
      <color rgb="004D7E83"/>
      <sz val="11"/>
    </font>
    <font>
      <name val="Segoe UI Semilight"/>
      <color rgb="006E7A7B"/>
      <sz val="8"/>
    </font>
    <font>
      <name val="Segoe UI Semibold"/>
      <b val="1"/>
      <color rgb="004D7E83"/>
      <sz val="12"/>
    </font>
    <font>
      <name val="Segoe UI Semibold"/>
      <color rgb="004D7E83"/>
      <sz val="9"/>
    </font>
    <font>
      <name val="Segoe UI"/>
      <color rgb="002C2D2D"/>
      <sz val="9"/>
    </font>
    <font>
      <name val="Segoe UI Semibold"/>
      <color rgb="00FFFFFF"/>
      <sz val="9"/>
    </font>
    <font>
      <name val="Segoe UI Semibold"/>
      <color rgb="003A6165"/>
      <sz val="9"/>
    </font>
    <font>
      <name val="Segoe UI Semibold"/>
      <color rgb="00648ECA"/>
      <sz val="9"/>
    </font>
    <font>
      <name val="Segoe UI Semibold"/>
      <color rgb="00B04545"/>
      <sz val="9"/>
    </font>
    <font>
      <name val="Segoe UI Semibold"/>
      <color rgb="00B487C7"/>
      <sz val="9"/>
    </font>
    <font>
      <name val="Segoe UI Semibold"/>
      <color rgb="0000928F"/>
      <sz val="9"/>
    </font>
    <font>
      <name val="Segoe UI Semibold"/>
      <color rgb="006E8B1F"/>
      <sz val="9"/>
    </font>
    <font>
      <name val="Segoe UI Semibold"/>
      <color rgb="00007B6C"/>
      <sz val="9"/>
    </font>
    <font>
      <name val="Segoe UI Semibold"/>
      <color rgb="00A530B8"/>
      <sz val="9"/>
    </font>
    <font>
      <name val="Segoe UI Semibold"/>
      <color rgb="004D7E83"/>
      <sz val="11"/>
    </font>
    <font>
      <name val="Segoe UI Semibold"/>
      <color rgb="004D7E83"/>
      <sz val="8.5"/>
    </font>
    <font>
      <name val="Segoe UI"/>
      <b val="1"/>
      <color rgb="002C2D2D"/>
      <sz val="9"/>
    </font>
    <font>
      <name val="Segoe UI Semibold"/>
      <color rgb="003A6165"/>
      <sz val="11"/>
    </font>
    <font>
      <name val="Segoe UI Semibold"/>
      <color rgb="00F59E2D"/>
      <sz val="8.5"/>
    </font>
    <font>
      <name val="Segoe UI Semibold"/>
      <color rgb="00648ECA"/>
      <sz val="11"/>
    </font>
    <font>
      <name val="Segoe UI Semibold"/>
      <color rgb="00B04545"/>
      <sz val="11"/>
    </font>
    <font>
      <name val="Segoe UI Semibold"/>
      <color rgb="00B487C7"/>
      <sz val="11"/>
    </font>
    <font>
      <name val="Segoe UI Semibold"/>
      <color rgb="0000928F"/>
      <sz val="11"/>
    </font>
    <font>
      <name val="Segoe UI Semibold"/>
      <color rgb="006E8B1F"/>
      <sz val="11"/>
    </font>
    <font>
      <name val="Segoe UI Semibold"/>
      <color rgb="00007B6C"/>
      <sz val="11"/>
    </font>
    <font>
      <name val="Segoe UI Semibold"/>
      <color rgb="00A530B8"/>
      <sz val="11"/>
    </font>
    <font>
      <name val="Segoe UI Semilight"/>
      <color rgb="004D7E83"/>
      <sz val="8.5"/>
    </font>
  </fonts>
  <fills count="5">
    <fill>
      <patternFill/>
    </fill>
    <fill>
      <patternFill patternType="gray125"/>
    </fill>
    <fill>
      <patternFill patternType="solid">
        <fgColor rgb="00D8E7E8"/>
      </patternFill>
    </fill>
    <fill>
      <patternFill patternType="solid">
        <fgColor rgb="00EFF6F6"/>
      </patternFill>
    </fill>
    <fill>
      <patternFill patternType="solid">
        <fgColor rgb="004D7E83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top"/>
    </xf>
    <xf numFmtId="0" fontId="6" fillId="2" borderId="0" applyAlignment="1" pivotButton="0" quotePrefix="0" xfId="0">
      <alignment vertical="top" wrapText="1"/>
    </xf>
    <xf numFmtId="0" fontId="0" fillId="2" borderId="0" pivotButton="0" quotePrefix="0" xfId="0"/>
    <xf numFmtId="0" fontId="5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0" fillId="3" borderId="0" pivotButton="0" quotePrefix="0" xfId="0"/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1" fontId="6" fillId="2" borderId="1" applyAlignment="1" pivotButton="0" quotePrefix="0" xfId="0">
      <alignment horizontal="center" vertical="center"/>
    </xf>
    <xf numFmtId="4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1" fontId="6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2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left" vertical="top" wrapText="1"/>
    </xf>
    <xf numFmtId="0" fontId="15" fillId="2" borderId="1" applyAlignment="1" pivotButton="0" quotePrefix="0" xfId="0">
      <alignment horizontal="left" vertical="top" wrapText="1"/>
    </xf>
    <xf numFmtId="0" fontId="16" fillId="0" borderId="0" pivotButton="0" quotePrefix="0" xfId="0"/>
    <xf numFmtId="0" fontId="17" fillId="0" borderId="0" applyAlignment="1" pivotButton="0" quotePrefix="0" xfId="0">
      <alignment vertical="top" wrapText="1"/>
    </xf>
    <xf numFmtId="0" fontId="7" fillId="4" borderId="1" applyAlignment="1" pivotButton="0" quotePrefix="0" xfId="0">
      <alignment horizontal="left" vertical="top" wrapText="1"/>
    </xf>
    <xf numFmtId="165" fontId="18" fillId="2" borderId="1" applyAlignment="1" pivotButton="0" quotePrefix="0" xfId="0">
      <alignment horizontal="right" vertical="center"/>
    </xf>
    <xf numFmtId="165" fontId="6" fillId="2" borderId="1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D7E83"/>
    <outlinePr summaryBelow="1" summaryRight="1"/>
    <pageSetUpPr/>
  </sheetPr>
  <dimension ref="A1:H13"/>
  <sheetViews>
    <sheetView showGridLines="0" zoomScale="10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0" customWidth="1" min="6" max="6"/>
    <col width="16" customWidth="1" min="7" max="7"/>
    <col width="16" customWidth="1" min="8" max="8"/>
  </cols>
  <sheetData>
    <row r="1" ht="26" customHeight="1">
      <c r="A1" s="1" t="inlineStr">
        <is>
          <t>The report's indicators, and where they stand now</t>
        </is>
      </c>
    </row>
    <row r="2" ht="30" customHeight="1">
      <c r="A2" s="2" t="inlineStr">
        <is>
          <t>Every progress indicator the 2024 report carried, with the figure the report itself published, the latest figure in the Policy Gap 2.0 workspace database, and the arithmetic in between — written into the sheet as a live Excel formula.</t>
        </is>
      </c>
    </row>
    <row r="3">
      <c r="A3" s="3" t="inlineStr">
        <is>
          <t>Summer Prep · Policy Gap 2.0 Report — prepared 27 July 2026.</t>
        </is>
      </c>
    </row>
    <row r="5">
      <c r="A5" s="4" t="inlineStr">
        <is>
          <t>What is in this workbook</t>
        </is>
      </c>
    </row>
    <row r="6" ht="46" customHeight="1">
      <c r="A6" s="5" t="inlineStr">
        <is>
          <t>Old vs new</t>
        </is>
      </c>
      <c r="B6" s="6" t="inlineStr">
        <is>
          <t>One row per indicator: what the report published, what the database holds now, the change, and how that later figure was obtained. Sorted by report chapter.</t>
        </is>
      </c>
      <c r="C6" s="7" t="n"/>
      <c r="D6" s="7" t="n"/>
      <c r="E6" s="7" t="n"/>
      <c r="F6" s="7" t="n"/>
      <c r="G6" s="7" t="n"/>
      <c r="H6" s="7" t="n"/>
    </row>
    <row r="7" ht="46" customHeight="1">
      <c r="A7" s="8" t="inlineStr">
        <is>
          <t>Derivations</t>
        </is>
      </c>
      <c r="B7" s="9" t="inlineStr">
        <is>
          <t>The calc grid behind every indicator, one block each: Year, Value and the input columns. The Value cells are LIVE EXCEL FORMULAS over the inputs in the same block — click one and Excel shows the arithmetic. Change an input and the value recomputes, exactly as the Method Hub's calc editor does it.</t>
        </is>
      </c>
      <c r="C7" s="10" t="n"/>
      <c r="D7" s="10" t="n"/>
      <c r="E7" s="10" t="n"/>
      <c r="F7" s="10" t="n"/>
      <c r="G7" s="10" t="n"/>
      <c r="H7" s="10" t="n"/>
    </row>
    <row r="8" ht="46" customHeight="1">
      <c r="A8" s="5" t="inlineStr">
        <is>
          <t>Sources</t>
        </is>
      </c>
      <c r="B8" s="6" t="inlineStr">
        <is>
          <t>The exact source query behind every input column — dataset, filters and URL.</t>
        </is>
      </c>
      <c r="C8" s="7" t="n"/>
      <c r="D8" s="7" t="n"/>
      <c r="E8" s="7" t="n"/>
      <c r="F8" s="7" t="n"/>
      <c r="G8" s="7" t="n"/>
      <c r="H8" s="7" t="n"/>
    </row>
    <row r="10" ht="30" customHeight="1">
      <c r="A10" s="11" t="inlineStr">
        <is>
          <t>• The formulas are the Method Hub's own: they are produced by the same translator the Hub uses to export a calc grid to Excel, so what you see here is what the Hub computes, not a re-implementation.</t>
        </is>
      </c>
    </row>
    <row r="11" ht="30" customHeight="1">
      <c r="A11" s="11" t="inlineStr">
        <is>
          <t>• A formula of the form =IF(A21&gt;=2023, ROUND(&lt;live-source recipe&gt;), &lt;report recipe&gt;) means the report years keep the 2024 workbook's derivation and the later years are computed from the live source. That year switch is deliberate — the two are different derivations, and both are shown.</t>
        </is>
      </c>
    </row>
    <row r="12" ht="30" customHeight="1">
      <c r="A12" s="11" t="inlineStr">
        <is>
          <t>• Where an indicator is a published figure with no derivation, the input column simply carries that figure and names the publication. Nothing is left blank.</t>
        </is>
      </c>
    </row>
    <row r="13" ht="30" customHeight="1">
      <c r="A13" s="11" t="inlineStr">
        <is>
          <t>• Every post-report value was re-checked against its primary source on 27 July 2026; the verdict is in the “Source check” column of the Old vs new sheet.</t>
        </is>
      </c>
    </row>
  </sheetData>
  <mergeCells count="10">
    <mergeCell ref="A12:H12"/>
    <mergeCell ref="B8:H8"/>
    <mergeCell ref="A3:H3"/>
    <mergeCell ref="A2:H2"/>
    <mergeCell ref="A10:H10"/>
    <mergeCell ref="B6:H6"/>
    <mergeCell ref="A13:H13"/>
    <mergeCell ref="A11:H11"/>
    <mergeCell ref="B7:H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D7E83"/>
    <outlinePr summaryBelow="1" summaryRight="1"/>
    <pageSetUpPr/>
  </sheetPr>
  <dimension ref="A1:L101"/>
  <sheetViews>
    <sheetView showGridLines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4" customWidth="1" min="2" max="2"/>
    <col width="16" customWidth="1" min="3" max="3"/>
    <col width="14" customWidth="1" min="4" max="4"/>
    <col width="12" customWidth="1" min="5" max="5"/>
    <col width="14" customWidth="1" min="6" max="6"/>
    <col width="11" customWidth="1" min="7" max="7"/>
    <col width="14" customWidth="1" min="8" max="8"/>
    <col width="12" customWidth="1" min="9" max="9"/>
    <col width="12" customWidth="1" min="10" max="10"/>
    <col width="24" customWidth="1" min="11" max="11"/>
    <col width="30" customWidth="1" min="12" max="12"/>
  </cols>
  <sheetData>
    <row r="1" ht="26" customHeight="1">
      <c r="A1" s="1" t="inlineStr">
        <is>
          <t>What the report published, and what the database holds now</t>
        </is>
      </c>
    </row>
    <row r="2" ht="30" customHeight="1">
      <c r="A2" s="2" t="inlineStr">
        <is>
          <t>“Report figure” is the last value the 2024 report itself carried. “Latest” is the most recent value in the Policy Gap 2.0 workspace indicator database today.</t>
        </is>
      </c>
    </row>
    <row r="4" ht="32" customHeight="1">
      <c r="A4" s="12" t="inlineStr">
        <is>
          <t>Code</t>
        </is>
      </c>
      <c r="B4" s="12" t="inlineStr">
        <is>
          <t>Indicator</t>
        </is>
      </c>
      <c r="C4" s="12" t="inlineStr">
        <is>
          <t>Chapter</t>
        </is>
      </c>
      <c r="D4" s="12" t="inlineStr">
        <is>
          <t>Unit</t>
        </is>
      </c>
      <c r="E4" s="12" t="inlineStr">
        <is>
          <t>Report year</t>
        </is>
      </c>
      <c r="F4" s="12" t="inlineStr">
        <is>
          <t>Report figure</t>
        </is>
      </c>
      <c r="G4" s="12" t="inlineStr">
        <is>
          <t>Latest year</t>
        </is>
      </c>
      <c r="H4" s="12" t="inlineStr">
        <is>
          <t>Latest value</t>
        </is>
      </c>
      <c r="I4" s="12" t="inlineStr">
        <is>
          <t>Change</t>
        </is>
      </c>
      <c r="J4" s="12" t="inlineStr">
        <is>
          <t>Change %</t>
        </is>
      </c>
      <c r="K4" s="12" t="inlineStr">
        <is>
          <t>How the later figure was obtained</t>
        </is>
      </c>
      <c r="L4" s="12" t="inlineStr">
        <is>
          <t>Source check (27 Jul 2026)</t>
        </is>
      </c>
    </row>
    <row r="5" ht="15" customHeight="1">
      <c r="A5" s="13" t="inlineStr">
        <is>
          <t>O1</t>
        </is>
      </c>
      <c r="B5" s="14" t="inlineStr">
        <is>
          <t>Total EU GHG emissions (European Climate Law scope)</t>
        </is>
      </c>
      <c r="C5" s="14" t="inlineStr">
        <is>
          <t>Emissions</t>
        </is>
      </c>
      <c r="D5" s="14" t="inlineStr">
        <is>
          <t>Mt CO₂eq</t>
        </is>
      </c>
      <c r="E5" s="15" t="n">
        <v>2022</v>
      </c>
      <c r="F5" s="16" t="n">
        <v>3333.9</v>
      </c>
      <c r="G5" s="15" t="n">
        <v>2024</v>
      </c>
      <c r="H5" s="16" t="n">
        <v>3043.2</v>
      </c>
      <c r="I5" s="16" t="n">
        <v>-290.7000000000003</v>
      </c>
      <c r="J5" s="17" t="n">
        <v>-0.08719517681994068</v>
      </c>
      <c r="K5" s="18" t="inlineStr">
        <is>
          <t>Report's own derivation, continued</t>
        </is>
      </c>
      <c r="L5" s="18" t="inlineStr">
        <is>
          <t>Reproduces from source</t>
        </is>
      </c>
    </row>
    <row r="6" ht="15" customHeight="1">
      <c r="A6" s="19" t="inlineStr">
        <is>
          <t>E1</t>
        </is>
      </c>
      <c r="B6" s="20" t="inlineStr">
        <is>
          <t>Energy supply GHG emissions</t>
        </is>
      </c>
      <c r="C6" s="20" t="inlineStr">
        <is>
          <t>Energy supply</t>
        </is>
      </c>
      <c r="D6" s="20" t="inlineStr">
        <is>
          <t>Mt CO₂eq</t>
        </is>
      </c>
      <c r="E6" s="21" t="n">
        <v>2022</v>
      </c>
      <c r="F6" s="22" t="n">
        <v>924</v>
      </c>
      <c r="G6" s="21" t="n">
        <v>2024</v>
      </c>
      <c r="H6" s="22" t="n">
        <v>689.1</v>
      </c>
      <c r="I6" s="22" t="n">
        <v>-234.9</v>
      </c>
      <c r="J6" s="23" t="n">
        <v>-0.2542207792207792</v>
      </c>
      <c r="K6" s="24" t="inlineStr">
        <is>
          <t>Report's own derivation, continued</t>
        </is>
      </c>
      <c r="L6" s="24" t="inlineStr">
        <is>
          <t>Reproduces from source</t>
        </is>
      </c>
    </row>
    <row r="7" ht="15" customHeight="1">
      <c r="A7" s="25" t="inlineStr">
        <is>
          <t>E2 (RES)</t>
        </is>
      </c>
      <c r="B7" s="14" t="inlineStr">
        <is>
          <t>Non-biomass renewable share of EU electricity mix</t>
        </is>
      </c>
      <c r="C7" s="14" t="inlineStr">
        <is>
          <t>Energy supply</t>
        </is>
      </c>
      <c r="D7" s="14" t="inlineStr">
        <is>
          <t>%</t>
        </is>
      </c>
      <c r="E7" s="15" t="n">
        <v>2022</v>
      </c>
      <c r="F7" s="16" t="n">
        <v>33.76</v>
      </c>
      <c r="G7" s="15" t="n">
        <v>2024</v>
      </c>
      <c r="H7" s="16" t="n">
        <v>41.38</v>
      </c>
      <c r="I7" s="16" t="n">
        <v>7.620000000000005</v>
      </c>
      <c r="J7" s="17" t="n">
        <v>0.2257109004739338</v>
      </c>
      <c r="K7" s="18" t="inlineStr">
        <is>
          <t>Report's own derivation, continued</t>
        </is>
      </c>
      <c r="L7" s="18" t="inlineStr">
        <is>
          <t>2–5% off source</t>
        </is>
      </c>
    </row>
    <row r="8" ht="15" customHeight="1">
      <c r="A8" s="19" t="inlineStr">
        <is>
          <t>E2 (fossil)</t>
        </is>
      </c>
      <c r="B8" s="20" t="inlineStr">
        <is>
          <t>Fossil share of EU electricity mix</t>
        </is>
      </c>
      <c r="C8" s="20" t="inlineStr">
        <is>
          <t>Energy supply</t>
        </is>
      </c>
      <c r="D8" s="20" t="inlineStr">
        <is>
          <t>%</t>
        </is>
      </c>
      <c r="E8" s="21" t="n">
        <v>2022</v>
      </c>
      <c r="F8" s="22" t="n">
        <v>38.76</v>
      </c>
      <c r="G8" s="21" t="n">
        <v>2024</v>
      </c>
      <c r="H8" s="22" t="n">
        <v>28.11</v>
      </c>
      <c r="I8" s="22" t="n">
        <v>-10.65</v>
      </c>
      <c r="J8" s="23" t="n">
        <v>-0.2747678018575851</v>
      </c>
      <c r="K8" s="24" t="inlineStr">
        <is>
          <t>Report's own derivation, continued</t>
        </is>
      </c>
      <c r="L8" s="24" t="inlineStr">
        <is>
          <t>Reproduces from source</t>
        </is>
      </c>
    </row>
    <row r="9" ht="15" customHeight="1">
      <c r="A9" s="25" t="inlineStr">
        <is>
          <t>E3</t>
        </is>
      </c>
      <c r="B9" s="14" t="inlineStr">
        <is>
          <t>Average GHG intensity of EU electricity</t>
        </is>
      </c>
      <c r="C9" s="14" t="inlineStr">
        <is>
          <t>Energy supply</t>
        </is>
      </c>
      <c r="D9" s="14" t="inlineStr">
        <is>
          <t>g CO₂eq/kWh</t>
        </is>
      </c>
      <c r="E9" s="15" t="n">
        <v>2022</v>
      </c>
      <c r="F9" s="16" t="n">
        <v>251</v>
      </c>
      <c r="G9" s="15" t="n">
        <v>2024</v>
      </c>
      <c r="H9" s="16" t="n">
        <v>187.4</v>
      </c>
      <c r="I9" s="16" t="n">
        <v>-63.59999999999999</v>
      </c>
      <c r="J9" s="17" t="n">
        <v>-0.2533864541832669</v>
      </c>
      <c r="K9" s="18" t="inlineStr">
        <is>
          <t>Different recipe for the later years</t>
        </is>
      </c>
      <c r="L9" s="18" t="inlineStr">
        <is>
          <t>Reproduces from source</t>
        </is>
      </c>
    </row>
    <row r="10" ht="15" customHeight="1">
      <c r="A10" s="19" t="inlineStr">
        <is>
          <t>E4a</t>
        </is>
      </c>
      <c r="B10" s="20" t="inlineStr">
        <is>
          <t>Annual solar PV capacity additions (EU)</t>
        </is>
      </c>
      <c r="C10" s="20" t="inlineStr">
        <is>
          <t>Energy supply</t>
        </is>
      </c>
      <c r="D10" s="20" t="inlineStr">
        <is>
          <t>GW/yr</t>
        </is>
      </c>
      <c r="E10" s="21" t="n">
        <v>2021</v>
      </c>
      <c r="F10" s="22" t="n">
        <v>25.7</v>
      </c>
      <c r="G10" s="21" t="n">
        <v>2025</v>
      </c>
      <c r="H10" s="22" t="n">
        <v>65.09999999999999</v>
      </c>
      <c r="I10" s="22" t="n">
        <v>39.39999999999999</v>
      </c>
      <c r="J10" s="23" t="n">
        <v>1.533073929961089</v>
      </c>
      <c r="K10" s="24" t="inlineStr">
        <is>
          <t>Published figure, no derivation</t>
        </is>
      </c>
      <c r="L10" s="24" t="inlineStr">
        <is>
          <t>Published figure, not re-derived</t>
        </is>
      </c>
    </row>
    <row r="11" ht="15" customHeight="1">
      <c r="A11" s="25" t="inlineStr">
        <is>
          <t>E4b/c</t>
        </is>
      </c>
      <c r="B11" s="14" t="inlineStr">
        <is>
          <t>Annual wind capacity additions (EU)</t>
        </is>
      </c>
      <c r="C11" s="14" t="inlineStr">
        <is>
          <t>Energy supply</t>
        </is>
      </c>
      <c r="D11" s="14" t="inlineStr">
        <is>
          <t>GW/yr</t>
        </is>
      </c>
      <c r="E11" s="15" t="n">
        <v>2021</v>
      </c>
      <c r="F11" s="16" t="n">
        <v>10.72</v>
      </c>
      <c r="G11" s="15" t="n">
        <v>2025</v>
      </c>
      <c r="H11" s="16" t="n">
        <v>15.1</v>
      </c>
      <c r="I11" s="16" t="n">
        <v>4.379999999999999</v>
      </c>
      <c r="J11" s="17" t="n">
        <v>0.4085820895522387</v>
      </c>
      <c r="K11" s="18" t="inlineStr">
        <is>
          <t>Published figure, no derivation</t>
        </is>
      </c>
      <c r="L11" s="18" t="inlineStr">
        <is>
          <t>Published figure, not re-derived</t>
        </is>
      </c>
    </row>
    <row r="12" ht="15" customHeight="1">
      <c r="A12" s="19" t="inlineStr">
        <is>
          <t>E6</t>
        </is>
      </c>
      <c r="B12" s="20" t="inlineStr">
        <is>
          <t>Energy-related methane emissions (EU-27)</t>
        </is>
      </c>
      <c r="C12" s="20" t="inlineStr">
        <is>
          <t>Energy supply</t>
        </is>
      </c>
      <c r="D12" s="20" t="inlineStr">
        <is>
          <t>Mt CO₂eq</t>
        </is>
      </c>
      <c r="E12" s="21" t="n">
        <v>2021</v>
      </c>
      <c r="F12" s="22" t="n">
        <v>69.91</v>
      </c>
      <c r="G12" s="21" t="n">
        <v>2024</v>
      </c>
      <c r="H12" s="22" t="n">
        <v>57.77</v>
      </c>
      <c r="I12" s="22" t="n">
        <v>-12.13999999999999</v>
      </c>
      <c r="J12" s="23" t="n">
        <v>-0.1736518380775282</v>
      </c>
      <c r="K12" s="24" t="inlineStr">
        <is>
          <t>Different recipe for the later years</t>
        </is>
      </c>
      <c r="L12" s="24" t="inlineStr">
        <is>
          <t>Reproduces from source</t>
        </is>
      </c>
    </row>
    <row r="13" ht="15" customHeight="1">
      <c r="A13" s="26" t="inlineStr">
        <is>
          <t>E5</t>
        </is>
      </c>
      <c r="B13" s="14" t="inlineStr">
        <is>
          <t>Electrification rate of final energy use</t>
        </is>
      </c>
      <c r="C13" s="14" t="inlineStr">
        <is>
          <t>Energy demand</t>
        </is>
      </c>
      <c r="D13" s="14" t="inlineStr">
        <is>
          <t>%</t>
        </is>
      </c>
      <c r="E13" s="15" t="n">
        <v>2021</v>
      </c>
      <c r="F13" s="16" t="n">
        <v>22.75</v>
      </c>
      <c r="G13" s="15" t="n">
        <v>2021</v>
      </c>
      <c r="H13" s="16" t="n">
        <v>22.75</v>
      </c>
      <c r="I13" s="16" t="n"/>
      <c r="J13" s="17" t="n"/>
      <c r="K13" s="18" t="inlineStr">
        <is>
          <t>No later data — report figure stands</t>
        </is>
      </c>
      <c r="L13" s="18" t="inlineStr">
        <is>
          <t>—</t>
        </is>
      </c>
    </row>
    <row r="14" ht="15" customHeight="1">
      <c r="A14" s="27" t="inlineStr">
        <is>
          <t>O2 (FEC)</t>
        </is>
      </c>
      <c r="B14" s="20" t="inlineStr">
        <is>
          <t>Final energy consumption (EU-27)</t>
        </is>
      </c>
      <c r="C14" s="20" t="inlineStr">
        <is>
          <t>Energy demand</t>
        </is>
      </c>
      <c r="D14" s="20" t="inlineStr">
        <is>
          <t>TWh</t>
        </is>
      </c>
      <c r="E14" s="21" t="n">
        <v>2021</v>
      </c>
      <c r="F14" s="22" t="n">
        <v>11263</v>
      </c>
      <c r="G14" s="21" t="n">
        <v>2024</v>
      </c>
      <c r="H14" s="22" t="n">
        <v>10467</v>
      </c>
      <c r="I14" s="22" t="n">
        <v>-796</v>
      </c>
      <c r="J14" s="23" t="n">
        <v>-0.07067388795170025</v>
      </c>
      <c r="K14" s="24" t="inlineStr">
        <is>
          <t>Report's own derivation, continued</t>
        </is>
      </c>
      <c r="L14" s="24" t="inlineStr">
        <is>
          <t>Reproduces from source</t>
        </is>
      </c>
    </row>
    <row r="15" ht="15" customHeight="1">
      <c r="A15" s="26" t="inlineStr">
        <is>
          <t>O2 (PEC)</t>
        </is>
      </c>
      <c r="B15" s="14" t="inlineStr">
        <is>
          <t>Primary energy consumption (EU-27)</t>
        </is>
      </c>
      <c r="C15" s="14" t="inlineStr">
        <is>
          <t>Energy demand</t>
        </is>
      </c>
      <c r="D15" s="14" t="inlineStr">
        <is>
          <t>TWh</t>
        </is>
      </c>
      <c r="E15" s="15" t="n">
        <v>2021</v>
      </c>
      <c r="F15" s="16" t="n">
        <v>15248</v>
      </c>
      <c r="G15" s="15" t="n">
        <v>2024</v>
      </c>
      <c r="H15" s="16" t="n">
        <v>13979.3</v>
      </c>
      <c r="I15" s="16" t="n">
        <v>-1268.700000000001</v>
      </c>
      <c r="J15" s="17" t="n">
        <v>-0.08320435466946491</v>
      </c>
      <c r="K15" s="18" t="inlineStr">
        <is>
          <t>Report's own derivation, continued</t>
        </is>
      </c>
      <c r="L15" s="18" t="inlineStr">
        <is>
          <t>Reproduces from source</t>
        </is>
      </c>
    </row>
    <row r="16" ht="15" customHeight="1">
      <c r="A16" s="27" t="inlineStr">
        <is>
          <t>O3</t>
        </is>
      </c>
      <c r="B16" s="20" t="inlineStr">
        <is>
          <t>Gross inland energy consumption (EU-27)</t>
        </is>
      </c>
      <c r="C16" s="20" t="inlineStr">
        <is>
          <t>Energy demand</t>
        </is>
      </c>
      <c r="D16" s="20" t="inlineStr">
        <is>
          <t>TWh</t>
        </is>
      </c>
      <c r="E16" s="21" t="n">
        <v>2021</v>
      </c>
      <c r="F16" s="22" t="n">
        <v>16534</v>
      </c>
      <c r="G16" s="21" t="n">
        <v>2023</v>
      </c>
      <c r="H16" s="22" t="n">
        <v>15575.3</v>
      </c>
      <c r="I16" s="22" t="n">
        <v>-958.7000000000007</v>
      </c>
      <c r="J16" s="23" t="n">
        <v>-0.05798354905044156</v>
      </c>
      <c r="K16" s="24" t="inlineStr">
        <is>
          <t>Report's own derivation, continued</t>
        </is>
      </c>
      <c r="L16" s="24" t="inlineStr">
        <is>
          <t>Published figure, not re-derived</t>
        </is>
      </c>
    </row>
    <row r="17" ht="15" customHeight="1">
      <c r="A17" s="28" t="inlineStr">
        <is>
          <t>I1</t>
        </is>
      </c>
      <c r="B17" s="14" t="inlineStr">
        <is>
          <t>Industrial GHG emissions</t>
        </is>
      </c>
      <c r="C17" s="14" t="inlineStr">
        <is>
          <t>Industry</t>
        </is>
      </c>
      <c r="D17" s="14" t="inlineStr">
        <is>
          <t>Mt CO₂eq</t>
        </is>
      </c>
      <c r="E17" s="15" t="n">
        <v>2022</v>
      </c>
      <c r="F17" s="16" t="n">
        <v>691.3</v>
      </c>
      <c r="G17" s="15" t="n">
        <v>2024</v>
      </c>
      <c r="H17" s="16" t="n">
        <v>611.4</v>
      </c>
      <c r="I17" s="16" t="n">
        <v>-79.89999999999998</v>
      </c>
      <c r="J17" s="17" t="n">
        <v>-0.1155793432663098</v>
      </c>
      <c r="K17" s="18" t="inlineStr">
        <is>
          <t>Report's own derivation, continued</t>
        </is>
      </c>
      <c r="L17" s="18" t="inlineStr">
        <is>
          <t>Reproduces from source</t>
        </is>
      </c>
    </row>
    <row r="18" ht="15" customHeight="1">
      <c r="A18" s="29" t="inlineStr">
        <is>
          <t>I2 (cement, production)</t>
        </is>
      </c>
      <c r="B18" s="20" t="inlineStr">
        <is>
          <t>Cement production (EU)</t>
        </is>
      </c>
      <c r="C18" s="20" t="inlineStr">
        <is>
          <t>Industry</t>
        </is>
      </c>
      <c r="D18" s="20" t="inlineStr">
        <is>
          <t>Mt</t>
        </is>
      </c>
      <c r="E18" s="21" t="n">
        <v>2021</v>
      </c>
      <c r="F18" s="22" t="n">
        <v>182.5</v>
      </c>
      <c r="G18" s="21" t="n">
        <v>2024</v>
      </c>
      <c r="H18" s="22" t="n">
        <v>159.1</v>
      </c>
      <c r="I18" s="22" t="n">
        <v>-23.40000000000001</v>
      </c>
      <c r="J18" s="23" t="n">
        <v>-0.1282191780821918</v>
      </c>
      <c r="K18" s="24" t="inlineStr">
        <is>
          <t>Different recipe for the later years</t>
        </is>
      </c>
      <c r="L18" s="24" t="inlineStr">
        <is>
          <t>Reproduces from source</t>
        </is>
      </c>
    </row>
    <row r="19" ht="15" customHeight="1">
      <c r="A19" s="28" t="inlineStr">
        <is>
          <t>I2 (cement, use)</t>
        </is>
      </c>
      <c r="B19" s="14" t="inlineStr">
        <is>
          <t>Cement apparent use (consumption) (EU)</t>
        </is>
      </c>
      <c r="C19" s="14" t="inlineStr">
        <is>
          <t>Industry</t>
        </is>
      </c>
      <c r="D19" s="14" t="inlineStr">
        <is>
          <t>Mt</t>
        </is>
      </c>
      <c r="E19" s="15" t="n">
        <v>2021</v>
      </c>
      <c r="F19" s="16" t="n">
        <v>170.5</v>
      </c>
      <c r="G19" s="15" t="n">
        <v>2021</v>
      </c>
      <c r="H19" s="16" t="n">
        <v>170.5</v>
      </c>
      <c r="I19" s="16" t="n"/>
      <c r="J19" s="17" t="n"/>
      <c r="K19" s="18" t="inlineStr">
        <is>
          <t>No later data — report figure stands</t>
        </is>
      </c>
      <c r="L19" s="18" t="inlineStr">
        <is>
          <t>—</t>
        </is>
      </c>
    </row>
    <row r="20" ht="15" customHeight="1">
      <c r="A20" s="29" t="inlineStr">
        <is>
          <t>I2 (chemicals, production)</t>
        </is>
      </c>
      <c r="B20" s="20" t="inlineStr">
        <is>
          <t>Chemicals production (EU)</t>
        </is>
      </c>
      <c r="C20" s="20" t="inlineStr">
        <is>
          <t>Industry</t>
        </is>
      </c>
      <c r="D20" s="20" t="inlineStr">
        <is>
          <t>Mt</t>
        </is>
      </c>
      <c r="E20" s="21" t="n">
        <v>2021</v>
      </c>
      <c r="F20" s="22" t="n">
        <v>26.84</v>
      </c>
      <c r="G20" s="21" t="n">
        <v>2025</v>
      </c>
      <c r="H20" s="22" t="n">
        <v>18.55</v>
      </c>
      <c r="I20" s="22" t="n">
        <v>-8.289999999999999</v>
      </c>
      <c r="J20" s="23" t="n">
        <v>-0.3088673621460507</v>
      </c>
      <c r="K20" s="24" t="inlineStr">
        <is>
          <t>Different recipe for the later years</t>
        </is>
      </c>
      <c r="L20" s="24" t="inlineStr">
        <is>
          <t>Reproduces from source</t>
        </is>
      </c>
    </row>
    <row r="21" ht="15" customHeight="1">
      <c r="A21" s="28" t="inlineStr">
        <is>
          <t>I2 (chemicals, trade)</t>
        </is>
      </c>
      <c r="B21" s="14" t="inlineStr">
        <is>
          <t>Chemicals net trade balance (EU)</t>
        </is>
      </c>
      <c r="C21" s="14" t="inlineStr">
        <is>
          <t>Industry</t>
        </is>
      </c>
      <c r="D21" s="14" t="inlineStr">
        <is>
          <t>Mt</t>
        </is>
      </c>
      <c r="E21" s="15" t="n">
        <v>2021</v>
      </c>
      <c r="F21" s="16" t="n">
        <v>-2.268</v>
      </c>
      <c r="G21" s="15" t="n">
        <v>2021</v>
      </c>
      <c r="H21" s="16" t="n">
        <v>-2.268</v>
      </c>
      <c r="I21" s="16" t="n"/>
      <c r="J21" s="17" t="n"/>
      <c r="K21" s="18" t="inlineStr">
        <is>
          <t>No later data — report figure stands</t>
        </is>
      </c>
      <c r="L21" s="18" t="inlineStr">
        <is>
          <t>—</t>
        </is>
      </c>
    </row>
    <row r="22" ht="15" customHeight="1">
      <c r="A22" s="29" t="inlineStr">
        <is>
          <t>I2 (chemicals, use)</t>
        </is>
      </c>
      <c r="B22" s="20" t="inlineStr">
        <is>
          <t>Chemicals apparent use (consumption) (EU)</t>
        </is>
      </c>
      <c r="C22" s="20" t="inlineStr">
        <is>
          <t>Industry</t>
        </is>
      </c>
      <c r="D22" s="20" t="inlineStr">
        <is>
          <t>Mt</t>
        </is>
      </c>
      <c r="E22" s="21" t="n">
        <v>2021</v>
      </c>
      <c r="F22" s="22" t="n">
        <v>29.11</v>
      </c>
      <c r="G22" s="21" t="n">
        <v>2021</v>
      </c>
      <c r="H22" s="22" t="n">
        <v>29.11</v>
      </c>
      <c r="I22" s="22" t="n"/>
      <c r="J22" s="23" t="n"/>
      <c r="K22" s="24" t="inlineStr">
        <is>
          <t>No later data — report figure stands</t>
        </is>
      </c>
      <c r="L22" s="24" t="inlineStr">
        <is>
          <t>—</t>
        </is>
      </c>
    </row>
    <row r="23" ht="15" customHeight="1">
      <c r="A23" s="28" t="inlineStr">
        <is>
          <t>I2 (steel, production)</t>
        </is>
      </c>
      <c r="B23" s="14" t="inlineStr">
        <is>
          <t>Steel production (EU)</t>
        </is>
      </c>
      <c r="C23" s="14" t="inlineStr">
        <is>
          <t>Industry</t>
        </is>
      </c>
      <c r="D23" s="14" t="inlineStr">
        <is>
          <t>Mt</t>
        </is>
      </c>
      <c r="E23" s="15" t="n">
        <v>2021</v>
      </c>
      <c r="F23" s="16" t="n">
        <v>152.8</v>
      </c>
      <c r="G23" s="15" t="n">
        <v>2025</v>
      </c>
      <c r="H23" s="16" t="n">
        <v>126.2</v>
      </c>
      <c r="I23" s="16" t="n">
        <v>-26.60000000000001</v>
      </c>
      <c r="J23" s="17" t="n">
        <v>-0.1740837696335079</v>
      </c>
      <c r="K23" s="18" t="inlineStr">
        <is>
          <t>Report's formula, input back-computed</t>
        </is>
      </c>
      <c r="L23" s="18" t="inlineStr">
        <is>
          <t>2–5% off source</t>
        </is>
      </c>
    </row>
    <row r="24" ht="15" customHeight="1">
      <c r="A24" s="29" t="inlineStr">
        <is>
          <t>I2 (steel, trade)</t>
        </is>
      </c>
      <c r="B24" s="20" t="inlineStr">
        <is>
          <t>Steel net trade balance (EU)</t>
        </is>
      </c>
      <c r="C24" s="20" t="inlineStr">
        <is>
          <t>Industry</t>
        </is>
      </c>
      <c r="D24" s="20" t="inlineStr">
        <is>
          <t>Mt</t>
        </is>
      </c>
      <c r="E24" s="21" t="n">
        <v>2021</v>
      </c>
      <c r="F24" s="22" t="n">
        <v>-25.77</v>
      </c>
      <c r="G24" s="21" t="n">
        <v>2021</v>
      </c>
      <c r="H24" s="22" t="n">
        <v>-25.77</v>
      </c>
      <c r="I24" s="22" t="n"/>
      <c r="J24" s="23" t="n"/>
      <c r="K24" s="24" t="inlineStr">
        <is>
          <t>No later data — report figure stands</t>
        </is>
      </c>
      <c r="L24" s="24" t="inlineStr">
        <is>
          <t>—</t>
        </is>
      </c>
    </row>
    <row r="25" ht="15" customHeight="1">
      <c r="A25" s="28" t="inlineStr">
        <is>
          <t>I2 (steel, use)</t>
        </is>
      </c>
      <c r="B25" s="14" t="inlineStr">
        <is>
          <t>Steel apparent use (consumption) (EU)</t>
        </is>
      </c>
      <c r="C25" s="14" t="inlineStr">
        <is>
          <t>Industry</t>
        </is>
      </c>
      <c r="D25" s="14" t="inlineStr">
        <is>
          <t>Mt</t>
        </is>
      </c>
      <c r="E25" s="15" t="n">
        <v>2021</v>
      </c>
      <c r="F25" s="16" t="n">
        <v>149</v>
      </c>
      <c r="G25" s="15" t="n">
        <v>2021</v>
      </c>
      <c r="H25" s="16" t="n">
        <v>149</v>
      </c>
      <c r="I25" s="16" t="n"/>
      <c r="J25" s="17" t="n"/>
      <c r="K25" s="18" t="inlineStr">
        <is>
          <t>No later data — report figure stands</t>
        </is>
      </c>
      <c r="L25" s="18" t="inlineStr">
        <is>
          <t>—</t>
        </is>
      </c>
    </row>
    <row r="26" ht="15" customHeight="1">
      <c r="A26" s="29" t="inlineStr">
        <is>
          <t>I3</t>
        </is>
      </c>
      <c r="B26" s="20" t="inlineStr">
        <is>
          <t>Circular material use rate (EU)</t>
        </is>
      </c>
      <c r="C26" s="20" t="inlineStr">
        <is>
          <t>Industry</t>
        </is>
      </c>
      <c r="D26" s="20" t="inlineStr">
        <is>
          <t>%</t>
        </is>
      </c>
      <c r="E26" s="21" t="n">
        <v>2021</v>
      </c>
      <c r="F26" s="22" t="n">
        <v>11.7</v>
      </c>
      <c r="G26" s="21" t="n">
        <v>2024</v>
      </c>
      <c r="H26" s="22" t="n">
        <v>12.2</v>
      </c>
      <c r="I26" s="22" t="n">
        <v>0.5</v>
      </c>
      <c r="J26" s="23" t="n">
        <v>0.04273504273504274</v>
      </c>
      <c r="K26" s="24" t="inlineStr">
        <is>
          <t>Different recipe for the later years</t>
        </is>
      </c>
      <c r="L26" s="24" t="inlineStr">
        <is>
          <t>Reproduces from source</t>
        </is>
      </c>
    </row>
    <row r="27" ht="15" customHeight="1">
      <c r="A27" s="28" t="inlineStr">
        <is>
          <t>I4 (cement)</t>
        </is>
      </c>
      <c r="B27" s="14" t="inlineStr">
        <is>
          <t>GHG intensity of EU cement production</t>
        </is>
      </c>
      <c r="C27" s="14" t="inlineStr">
        <is>
          <t>Industry</t>
        </is>
      </c>
      <c r="D27" s="14" t="inlineStr">
        <is>
          <t>t CO₂eq/t</t>
        </is>
      </c>
      <c r="E27" s="15" t="n">
        <v>2021</v>
      </c>
      <c r="F27" s="16" t="n">
        <v>0.6038</v>
      </c>
      <c r="G27" s="15" t="n">
        <v>2021</v>
      </c>
      <c r="H27" s="16" t="n">
        <v>0.6038</v>
      </c>
      <c r="I27" s="16" t="n"/>
      <c r="J27" s="17" t="n"/>
      <c r="K27" s="18" t="inlineStr">
        <is>
          <t>No later data — report figure stands</t>
        </is>
      </c>
      <c r="L27" s="18" t="inlineStr">
        <is>
          <t>—</t>
        </is>
      </c>
    </row>
    <row r="28" ht="15" customHeight="1">
      <c r="A28" s="29" t="inlineStr">
        <is>
          <t>I4 (chemicals)</t>
        </is>
      </c>
      <c r="B28" s="20" t="inlineStr">
        <is>
          <t>GHG intensity of EU base organic chemicals</t>
        </is>
      </c>
      <c r="C28" s="20" t="inlineStr">
        <is>
          <t>Industry</t>
        </is>
      </c>
      <c r="D28" s="20" t="inlineStr">
        <is>
          <t>t CO₂eq/t</t>
        </is>
      </c>
      <c r="E28" s="21" t="n">
        <v>2022</v>
      </c>
      <c r="F28" s="22" t="n">
        <v>0.767</v>
      </c>
      <c r="G28" s="21" t="n">
        <v>2022</v>
      </c>
      <c r="H28" s="22" t="n">
        <v>0.767</v>
      </c>
      <c r="I28" s="22" t="n"/>
      <c r="J28" s="23" t="n"/>
      <c r="K28" s="24" t="inlineStr">
        <is>
          <t>No later data — report figure stands</t>
        </is>
      </c>
      <c r="L28" s="24" t="inlineStr">
        <is>
          <t>—</t>
        </is>
      </c>
    </row>
    <row r="29" ht="15" customHeight="1">
      <c r="A29" s="28" t="inlineStr">
        <is>
          <t>I4 (steel)</t>
        </is>
      </c>
      <c r="B29" s="14" t="inlineStr">
        <is>
          <t>GHG intensity of EU steel production</t>
        </is>
      </c>
      <c r="C29" s="14" t="inlineStr">
        <is>
          <t>Industry</t>
        </is>
      </c>
      <c r="D29" s="14" t="inlineStr">
        <is>
          <t>t CO₂eq/t</t>
        </is>
      </c>
      <c r="E29" s="15" t="n">
        <v>2021</v>
      </c>
      <c r="F29" s="16" t="n">
        <v>0.9623</v>
      </c>
      <c r="G29" s="15" t="n">
        <v>2021</v>
      </c>
      <c r="H29" s="16" t="n">
        <v>0.9623</v>
      </c>
      <c r="I29" s="16" t="n"/>
      <c r="J29" s="17" t="n"/>
      <c r="K29" s="18" t="inlineStr">
        <is>
          <t>No later data — report figure stands</t>
        </is>
      </c>
      <c r="L29" s="18" t="inlineStr">
        <is>
          <t>—</t>
        </is>
      </c>
    </row>
    <row r="30" ht="15" customHeight="1">
      <c r="A30" s="29" t="inlineStr">
        <is>
          <t>I5</t>
        </is>
      </c>
      <c r="B30" s="20" t="inlineStr">
        <is>
          <t>Industrial final energy consumption (EU)</t>
        </is>
      </c>
      <c r="C30" s="20" t="inlineStr">
        <is>
          <t>Industry</t>
        </is>
      </c>
      <c r="D30" s="20" t="inlineStr">
        <is>
          <t>TWh</t>
        </is>
      </c>
      <c r="E30" s="21" t="n">
        <v>2021</v>
      </c>
      <c r="F30" s="22" t="n">
        <v>2795.2</v>
      </c>
      <c r="G30" s="21" t="n">
        <v>2023</v>
      </c>
      <c r="H30" s="22" t="n">
        <v>2497.2</v>
      </c>
      <c r="I30" s="22" t="n">
        <v>-298</v>
      </c>
      <c r="J30" s="23" t="n">
        <v>-0.1066113337149399</v>
      </c>
      <c r="K30" s="24" t="inlineStr">
        <is>
          <t>Report's formula, input back-computed</t>
        </is>
      </c>
      <c r="L30" s="24" t="inlineStr">
        <is>
          <t>Published figure, not re-derived</t>
        </is>
      </c>
    </row>
    <row r="31" ht="15" customHeight="1">
      <c r="A31" s="28" t="inlineStr">
        <is>
          <t>I6</t>
        </is>
      </c>
      <c r="B31" s="14" t="inlineStr">
        <is>
          <t>Electricity share of industrial final energy use</t>
        </is>
      </c>
      <c r="C31" s="14" t="inlineStr">
        <is>
          <t>Industry</t>
        </is>
      </c>
      <c r="D31" s="14" t="inlineStr">
        <is>
          <t>%</t>
        </is>
      </c>
      <c r="E31" s="15" t="n">
        <v>2021</v>
      </c>
      <c r="F31" s="16" t="n">
        <v>33.22</v>
      </c>
      <c r="G31" s="15" t="n">
        <v>2023</v>
      </c>
      <c r="H31" s="16" t="n">
        <v>32.6</v>
      </c>
      <c r="I31" s="16" t="n">
        <v>-0.6199999999999974</v>
      </c>
      <c r="J31" s="17" t="n">
        <v>-0.01866345574954839</v>
      </c>
      <c r="K31" s="18" t="inlineStr">
        <is>
          <t>Report's own derivation, continued</t>
        </is>
      </c>
      <c r="L31" s="18" t="inlineStr">
        <is>
          <t>2–5% off source</t>
        </is>
      </c>
    </row>
    <row r="32" ht="15" customHeight="1">
      <c r="A32" s="29" t="inlineStr">
        <is>
          <t>I7a</t>
        </is>
      </c>
      <c r="B32" s="20" t="inlineStr">
        <is>
          <t>Low-carbon steel projects (EU)</t>
        </is>
      </c>
      <c r="C32" s="20" t="inlineStr">
        <is>
          <t>Industry</t>
        </is>
      </c>
      <c r="D32" s="20" t="inlineStr">
        <is>
          <t>projects</t>
        </is>
      </c>
      <c r="E32" s="21" t="n">
        <v>2023</v>
      </c>
      <c r="F32" s="22" t="n">
        <v>48</v>
      </c>
      <c r="G32" s="21" t="n">
        <v>2023</v>
      </c>
      <c r="H32" s="22" t="n">
        <v>48</v>
      </c>
      <c r="I32" s="22" t="n"/>
      <c r="J32" s="23" t="n"/>
      <c r="K32" s="24" t="inlineStr">
        <is>
          <t>No later data — report figure stands</t>
        </is>
      </c>
      <c r="L32" s="24" t="inlineStr">
        <is>
          <t>—</t>
        </is>
      </c>
    </row>
    <row r="33" ht="15" customHeight="1">
      <c r="A33" s="28" t="inlineStr">
        <is>
          <t>I7b</t>
        </is>
      </c>
      <c r="B33" s="14" t="inlineStr">
        <is>
          <t>Low-carbon cement projects (EU)</t>
        </is>
      </c>
      <c r="C33" s="14" t="inlineStr">
        <is>
          <t>Industry</t>
        </is>
      </c>
      <c r="D33" s="14" t="inlineStr">
        <is>
          <t>projects</t>
        </is>
      </c>
      <c r="E33" s="15" t="n">
        <v>2023</v>
      </c>
      <c r="F33" s="16" t="n">
        <v>62</v>
      </c>
      <c r="G33" s="15" t="n">
        <v>2023</v>
      </c>
      <c r="H33" s="16" t="n">
        <v>62</v>
      </c>
      <c r="I33" s="16" t="n"/>
      <c r="J33" s="17" t="n"/>
      <c r="K33" s="18" t="inlineStr">
        <is>
          <t>No later data — report figure stands</t>
        </is>
      </c>
      <c r="L33" s="18" t="inlineStr">
        <is>
          <t>—</t>
        </is>
      </c>
    </row>
    <row r="34" ht="15" customHeight="1">
      <c r="A34" s="29" t="inlineStr">
        <is>
          <t>I7c</t>
        </is>
      </c>
      <c r="B34" s="20" t="inlineStr">
        <is>
          <t>Low-carbon chemicals projects (EU)</t>
        </is>
      </c>
      <c r="C34" s="20" t="inlineStr">
        <is>
          <t>Industry</t>
        </is>
      </c>
      <c r="D34" s="20" t="inlineStr">
        <is>
          <t>projects</t>
        </is>
      </c>
      <c r="E34" s="21" t="n">
        <v>2023</v>
      </c>
      <c r="F34" s="22" t="n">
        <v>171</v>
      </c>
      <c r="G34" s="21" t="n">
        <v>2023</v>
      </c>
      <c r="H34" s="22" t="n">
        <v>171</v>
      </c>
      <c r="I34" s="22" t="n"/>
      <c r="J34" s="23" t="n"/>
      <c r="K34" s="24" t="inlineStr">
        <is>
          <t>No later data — report figure stands</t>
        </is>
      </c>
      <c r="L34" s="24" t="inlineStr">
        <is>
          <t>—</t>
        </is>
      </c>
    </row>
    <row r="35" ht="15" customHeight="1">
      <c r="A35" s="30" t="inlineStr">
        <is>
          <t>T1</t>
        </is>
      </c>
      <c r="B35" s="14" t="inlineStr">
        <is>
          <t>Transport GHG emissions (EU)</t>
        </is>
      </c>
      <c r="C35" s="14" t="inlineStr">
        <is>
          <t>Transport</t>
        </is>
      </c>
      <c r="D35" s="14" t="inlineStr">
        <is>
          <t>Mt CO₂eq</t>
        </is>
      </c>
      <c r="E35" s="15" t="n">
        <v>2022</v>
      </c>
      <c r="F35" s="16" t="n">
        <v>906.6</v>
      </c>
      <c r="G35" s="15" t="n">
        <v>2024</v>
      </c>
      <c r="H35" s="16" t="n">
        <v>934.7</v>
      </c>
      <c r="I35" s="16" t="n">
        <v>28.10000000000002</v>
      </c>
      <c r="J35" s="17" t="n">
        <v>0.03099492609750719</v>
      </c>
      <c r="K35" s="18" t="inlineStr">
        <is>
          <t>Different recipe for the later years</t>
        </is>
      </c>
      <c r="L35" s="18" t="inlineStr">
        <is>
          <t>Reproduces from source</t>
        </is>
      </c>
    </row>
    <row r="36" ht="15" customHeight="1">
      <c r="A36" s="31" t="inlineStr">
        <is>
          <t>T2a</t>
        </is>
      </c>
      <c r="B36" s="20" t="inlineStr">
        <is>
          <t>Total passenger transport demand</t>
        </is>
      </c>
      <c r="C36" s="20" t="inlineStr">
        <is>
          <t>Transport</t>
        </is>
      </c>
      <c r="D36" s="20" t="inlineStr">
        <is>
          <t>Gpkm</t>
        </is>
      </c>
      <c r="E36" s="21" t="n">
        <v>2020</v>
      </c>
      <c r="F36" s="22" t="n">
        <v>4435.8</v>
      </c>
      <c r="G36" s="21" t="n">
        <v>2023</v>
      </c>
      <c r="H36" s="22" t="n">
        <v>5932</v>
      </c>
      <c r="I36" s="22" t="n">
        <v>1496.2</v>
      </c>
      <c r="J36" s="23" t="n">
        <v>0.3373010505433067</v>
      </c>
      <c r="K36" s="24" t="inlineStr">
        <is>
          <t>Published figure, no derivation</t>
        </is>
      </c>
      <c r="L36" s="24" t="inlineStr">
        <is>
          <t>Published figure, not re-derived</t>
        </is>
      </c>
    </row>
    <row r="37" ht="15" customHeight="1">
      <c r="A37" s="30" t="inlineStr">
        <is>
          <t>T2b</t>
        </is>
      </c>
      <c r="B37" s="14" t="inlineStr">
        <is>
          <t>Total freight transport demand</t>
        </is>
      </c>
      <c r="C37" s="14" t="inlineStr">
        <is>
          <t>Transport</t>
        </is>
      </c>
      <c r="D37" s="14" t="inlineStr">
        <is>
          <t>Gtkm</t>
        </is>
      </c>
      <c r="E37" s="15" t="n">
        <v>2020</v>
      </c>
      <c r="F37" s="16" t="n">
        <v>2254</v>
      </c>
      <c r="G37" s="15" t="n">
        <v>2023</v>
      </c>
      <c r="H37" s="16" t="n">
        <v>2319</v>
      </c>
      <c r="I37" s="16" t="n">
        <v>65</v>
      </c>
      <c r="J37" s="17" t="n">
        <v>0.02883762200532387</v>
      </c>
      <c r="K37" s="18" t="inlineStr">
        <is>
          <t>Published figure, no derivation</t>
        </is>
      </c>
      <c r="L37" s="18" t="inlineStr">
        <is>
          <t>Published figure, not re-derived</t>
        </is>
      </c>
    </row>
    <row r="38" ht="15" customHeight="1">
      <c r="A38" s="31" t="inlineStr">
        <is>
          <t>T3a</t>
        </is>
      </c>
      <c r="B38" s="20" t="inlineStr">
        <is>
          <t>Road share of motorised inland passenger transport</t>
        </is>
      </c>
      <c r="C38" s="20" t="inlineStr">
        <is>
          <t>Transport</t>
        </is>
      </c>
      <c r="D38" s="20" t="inlineStr">
        <is>
          <t>%</t>
        </is>
      </c>
      <c r="E38" s="21" t="n">
        <v>2020</v>
      </c>
      <c r="F38" s="22" t="n">
        <v>86.5</v>
      </c>
      <c r="G38" s="21" t="n">
        <v>2020</v>
      </c>
      <c r="H38" s="22" t="n">
        <v>86.5</v>
      </c>
      <c r="I38" s="22" t="n"/>
      <c r="J38" s="23" t="n"/>
      <c r="K38" s="24" t="inlineStr">
        <is>
          <t>No later data — report figure stands</t>
        </is>
      </c>
      <c r="L38" s="24" t="inlineStr">
        <is>
          <t>—</t>
        </is>
      </c>
    </row>
    <row r="39" ht="15" customHeight="1">
      <c r="A39" s="30" t="inlineStr">
        <is>
          <t>T3b</t>
        </is>
      </c>
      <c r="B39" s="14" t="inlineStr">
        <is>
          <t>Intra-EU air passenger transport</t>
        </is>
      </c>
      <c r="C39" s="14" t="inlineStr">
        <is>
          <t>Transport</t>
        </is>
      </c>
      <c r="D39" s="14" t="inlineStr">
        <is>
          <t>Gpkm</t>
        </is>
      </c>
      <c r="E39" s="15" t="n">
        <v>2020</v>
      </c>
      <c r="F39" s="16" t="n">
        <v>177.9</v>
      </c>
      <c r="G39" s="15" t="n">
        <v>2023</v>
      </c>
      <c r="H39" s="16" t="n">
        <v>582</v>
      </c>
      <c r="I39" s="16" t="n">
        <v>404.1</v>
      </c>
      <c r="J39" s="17" t="n">
        <v>2.27150084317032</v>
      </c>
      <c r="K39" s="18" t="inlineStr">
        <is>
          <t>Report's formula, input back-computed</t>
        </is>
      </c>
      <c r="L39" s="18" t="inlineStr">
        <is>
          <t>Published figure, not re-derived</t>
        </is>
      </c>
    </row>
    <row r="40" ht="15" customHeight="1">
      <c r="A40" s="31" t="inlineStr">
        <is>
          <t>T4</t>
        </is>
      </c>
      <c r="B40" s="20" t="inlineStr">
        <is>
          <t>Average CO₂ intensity of new passenger cars (WLTP)</t>
        </is>
      </c>
      <c r="C40" s="20" t="inlineStr">
        <is>
          <t>Transport</t>
        </is>
      </c>
      <c r="D40" s="20" t="inlineStr">
        <is>
          <t>g CO₂/km</t>
        </is>
      </c>
      <c r="E40" s="21" t="n">
        <v>2022</v>
      </c>
      <c r="F40" s="22" t="n">
        <v>108.2</v>
      </c>
      <c r="G40" s="21" t="n">
        <v>2025</v>
      </c>
      <c r="H40" s="22" t="n">
        <v>96.7</v>
      </c>
      <c r="I40" s="22" t="n">
        <v>-11.5</v>
      </c>
      <c r="J40" s="23" t="n">
        <v>-0.1062846580406654</v>
      </c>
      <c r="K40" s="24" t="inlineStr">
        <is>
          <t>Report's formula, input back-computed</t>
        </is>
      </c>
      <c r="L40" s="24" t="inlineStr">
        <is>
          <t>Published figure, not re-derived</t>
        </is>
      </c>
    </row>
    <row r="41" ht="15" customHeight="1">
      <c r="A41" s="30" t="inlineStr">
        <is>
          <t>T5a</t>
        </is>
      </c>
      <c r="B41" s="14" t="inlineStr">
        <is>
          <t>ZEV share of new passenger car registrations</t>
        </is>
      </c>
      <c r="C41" s="14" t="inlineStr">
        <is>
          <t>Transport</t>
        </is>
      </c>
      <c r="D41" s="14" t="inlineStr">
        <is>
          <t>%</t>
        </is>
      </c>
      <c r="E41" s="15" t="n">
        <v>2022</v>
      </c>
      <c r="F41" s="16" t="n">
        <v>13.41</v>
      </c>
      <c r="G41" s="15" t="n">
        <v>2025</v>
      </c>
      <c r="H41" s="16" t="n">
        <v>17.4</v>
      </c>
      <c r="I41" s="16" t="n">
        <v>3.989999999999998</v>
      </c>
      <c r="J41" s="17" t="n">
        <v>0.2975391498881431</v>
      </c>
      <c r="K41" s="18" t="inlineStr">
        <is>
          <t>Published figure, no derivation</t>
        </is>
      </c>
      <c r="L41" s="18" t="inlineStr">
        <is>
          <t>Published figure, not re-derived</t>
        </is>
      </c>
    </row>
    <row r="42" ht="15" customHeight="1">
      <c r="A42" s="31" t="inlineStr">
        <is>
          <t>T5b</t>
        </is>
      </c>
      <c r="B42" s="20" t="inlineStr">
        <is>
          <t>Zero-emission lorries in the EU fleet</t>
        </is>
      </c>
      <c r="C42" s="20" t="inlineStr">
        <is>
          <t>Transport</t>
        </is>
      </c>
      <c r="D42" s="20" t="inlineStr">
        <is>
          <t>vehicles</t>
        </is>
      </c>
      <c r="E42" s="21" t="n">
        <v>2022</v>
      </c>
      <c r="F42" s="22" t="n">
        <v>3794</v>
      </c>
      <c r="G42" s="21" t="n">
        <v>2022</v>
      </c>
      <c r="H42" s="22" t="n">
        <v>3794</v>
      </c>
      <c r="I42" s="22" t="n"/>
      <c r="J42" s="23" t="n"/>
      <c r="K42" s="24" t="inlineStr">
        <is>
          <t>No later data — report figure stands</t>
        </is>
      </c>
      <c r="L42" s="24" t="inlineStr">
        <is>
          <t>—</t>
        </is>
      </c>
    </row>
    <row r="43" ht="15" customHeight="1">
      <c r="A43" s="30" t="inlineStr">
        <is>
          <t>T6a</t>
        </is>
      </c>
      <c r="B43" s="14" t="inlineStr">
        <is>
          <t>Fossil share of transport energy use</t>
        </is>
      </c>
      <c r="C43" s="14" t="inlineStr">
        <is>
          <t>Transport</t>
        </is>
      </c>
      <c r="D43" s="14" t="inlineStr">
        <is>
          <t>%</t>
        </is>
      </c>
      <c r="E43" s="15" t="n">
        <v>2021</v>
      </c>
      <c r="F43" s="16" t="n">
        <v>93.44</v>
      </c>
      <c r="G43" s="15" t="n">
        <v>2024</v>
      </c>
      <c r="H43" s="16" t="n">
        <v>93.17</v>
      </c>
      <c r="I43" s="16" t="n">
        <v>-0.269999999999996</v>
      </c>
      <c r="J43" s="17" t="n">
        <v>-0.002889554794520505</v>
      </c>
      <c r="K43" s="18" t="inlineStr">
        <is>
          <t>Different recipe for the later years</t>
        </is>
      </c>
      <c r="L43" s="18" t="inlineStr">
        <is>
          <t>Reproduces from source</t>
        </is>
      </c>
    </row>
    <row r="44" ht="15" customHeight="1">
      <c r="A44" s="31" t="inlineStr">
        <is>
          <t>T6b</t>
        </is>
      </c>
      <c r="B44" s="20" t="inlineStr">
        <is>
          <t>Use of first-generation (food-crop) biofuels in transport</t>
        </is>
      </c>
      <c r="C44" s="20" t="inlineStr">
        <is>
          <t>Transport</t>
        </is>
      </c>
      <c r="D44" s="20" t="inlineStr">
        <is>
          <t>TWh</t>
        </is>
      </c>
      <c r="E44" s="21" t="n">
        <v>2015</v>
      </c>
      <c r="F44" s="22" t="n">
        <v>118.1</v>
      </c>
      <c r="G44" s="21" t="n">
        <v>2015</v>
      </c>
      <c r="H44" s="22" t="n">
        <v>118.1</v>
      </c>
      <c r="I44" s="22" t="n"/>
      <c r="J44" s="23" t="n"/>
      <c r="K44" s="24" t="inlineStr">
        <is>
          <t>No later data — report figure stands</t>
        </is>
      </c>
      <c r="L44" s="24" t="inlineStr">
        <is>
          <t>—</t>
        </is>
      </c>
    </row>
    <row r="45" ht="15" customHeight="1">
      <c r="A45" s="32" t="inlineStr">
        <is>
          <t>B1</t>
        </is>
      </c>
      <c r="B45" s="14" t="inlineStr">
        <is>
          <t>Residential + tertiary building GHG emissions</t>
        </is>
      </c>
      <c r="C45" s="14" t="inlineStr">
        <is>
          <t>Buildings</t>
        </is>
      </c>
      <c r="D45" s="14" t="inlineStr">
        <is>
          <t>Mt CO₂eq</t>
        </is>
      </c>
      <c r="E45" s="15" t="n">
        <v>2022</v>
      </c>
      <c r="F45" s="16" t="n">
        <v>481.8</v>
      </c>
      <c r="G45" s="15" t="n">
        <v>2024</v>
      </c>
      <c r="H45" s="16" t="n">
        <v>430.7</v>
      </c>
      <c r="I45" s="16" t="n">
        <v>-51.10000000000002</v>
      </c>
      <c r="J45" s="17" t="n">
        <v>-0.1060606060606061</v>
      </c>
      <c r="K45" s="18" t="inlineStr">
        <is>
          <t>Report's own derivation, continued</t>
        </is>
      </c>
      <c r="L45" s="18" t="inlineStr">
        <is>
          <t>Reproduces from source</t>
        </is>
      </c>
    </row>
    <row r="46" ht="15" customHeight="1">
      <c r="A46" s="33" t="inlineStr">
        <is>
          <t>B2</t>
        </is>
      </c>
      <c r="B46" s="20" t="inlineStr">
        <is>
          <t>Final energy consumption in buildings</t>
        </is>
      </c>
      <c r="C46" s="20" t="inlineStr">
        <is>
          <t>Buildings</t>
        </is>
      </c>
      <c r="D46" s="20" t="inlineStr">
        <is>
          <t>TWh</t>
        </is>
      </c>
      <c r="E46" s="21" t="n">
        <v>2021</v>
      </c>
      <c r="F46" s="22" t="n">
        <v>4878.7</v>
      </c>
      <c r="G46" s="21" t="n">
        <v>2023</v>
      </c>
      <c r="H46" s="22" t="n">
        <v>4037.9</v>
      </c>
      <c r="I46" s="22" t="n">
        <v>-840.7999999999997</v>
      </c>
      <c r="J46" s="23" t="n">
        <v>-0.1723409924775042</v>
      </c>
      <c r="K46" s="24" t="inlineStr">
        <is>
          <t>Published figure, no derivation</t>
        </is>
      </c>
      <c r="L46" s="24" t="inlineStr">
        <is>
          <t>Published figure, not re-derived</t>
        </is>
      </c>
    </row>
    <row r="47" ht="15" customHeight="1">
      <c r="A47" s="32" t="inlineStr">
        <is>
          <t>B3 (commercial)</t>
        </is>
      </c>
      <c r="B47" s="14" t="inlineStr">
        <is>
          <t>Commercial weighted renovation rate (EU)</t>
        </is>
      </c>
      <c r="C47" s="14" t="inlineStr">
        <is>
          <t>Buildings</t>
        </is>
      </c>
      <c r="D47" s="14" t="inlineStr">
        <is>
          <t>%</t>
        </is>
      </c>
      <c r="E47" s="15" t="n">
        <v>2020</v>
      </c>
      <c r="F47" s="16" t="n">
        <v>0.6</v>
      </c>
      <c r="G47" s="15" t="n">
        <v>2020</v>
      </c>
      <c r="H47" s="16" t="n">
        <v>0.6</v>
      </c>
      <c r="I47" s="16" t="n"/>
      <c r="J47" s="17" t="n"/>
      <c r="K47" s="18" t="inlineStr">
        <is>
          <t>No later data — report figure stands</t>
        </is>
      </c>
      <c r="L47" s="18" t="inlineStr">
        <is>
          <t>—</t>
        </is>
      </c>
    </row>
    <row r="48" ht="15" customHeight="1">
      <c r="A48" s="33" t="inlineStr">
        <is>
          <t>B3 (residential)</t>
        </is>
      </c>
      <c r="B48" s="20" t="inlineStr">
        <is>
          <t>Residential weighted renovation rate (EU)</t>
        </is>
      </c>
      <c r="C48" s="20" t="inlineStr">
        <is>
          <t>Buildings</t>
        </is>
      </c>
      <c r="D48" s="20" t="inlineStr">
        <is>
          <t>%</t>
        </is>
      </c>
      <c r="E48" s="21" t="n">
        <v>2020</v>
      </c>
      <c r="F48" s="22" t="n">
        <v>1</v>
      </c>
      <c r="G48" s="21" t="n">
        <v>2020</v>
      </c>
      <c r="H48" s="22" t="n">
        <v>1</v>
      </c>
      <c r="I48" s="22" t="n"/>
      <c r="J48" s="23" t="n"/>
      <c r="K48" s="24" t="inlineStr">
        <is>
          <t>No later data — report figure stands</t>
        </is>
      </c>
      <c r="L48" s="24" t="inlineStr">
        <is>
          <t>—</t>
        </is>
      </c>
    </row>
    <row r="49" ht="15" customHeight="1">
      <c r="A49" s="32" t="inlineStr">
        <is>
          <t>B4 (dwellings)</t>
        </is>
      </c>
      <c r="B49" s="14" t="inlineStr">
        <is>
          <t>Total number of dwellings (index, 2005 = 1.0)</t>
        </is>
      </c>
      <c r="C49" s="14" t="inlineStr">
        <is>
          <t>Buildings</t>
        </is>
      </c>
      <c r="D49" s="14" t="inlineStr">
        <is>
          <t>index (2005 = 1.0)</t>
        </is>
      </c>
      <c r="E49" s="15" t="n">
        <v>2016</v>
      </c>
      <c r="F49" s="16" t="n">
        <v>1.086</v>
      </c>
      <c r="G49" s="15" t="n">
        <v>2016</v>
      </c>
      <c r="H49" s="16" t="n">
        <v>1.086</v>
      </c>
      <c r="I49" s="16" t="n"/>
      <c r="J49" s="17" t="n"/>
      <c r="K49" s="18" t="inlineStr">
        <is>
          <t>No later data — report figure stands</t>
        </is>
      </c>
      <c r="L49" s="18" t="inlineStr">
        <is>
          <t>—</t>
        </is>
      </c>
    </row>
    <row r="50" ht="15" customHeight="1">
      <c r="A50" s="33" t="inlineStr">
        <is>
          <t>B4 (floor area)</t>
        </is>
      </c>
      <c r="B50" s="20" t="inlineStr">
        <is>
          <t>Average floor area per dwelling (index, 2005 = 1.0)</t>
        </is>
      </c>
      <c r="C50" s="20" t="inlineStr">
        <is>
          <t>Buildings</t>
        </is>
      </c>
      <c r="D50" s="20" t="inlineStr">
        <is>
          <t>index (2005 = 1.0)</t>
        </is>
      </c>
      <c r="E50" s="21" t="n">
        <v>2020</v>
      </c>
      <c r="F50" s="22" t="n">
        <v>1.044</v>
      </c>
      <c r="G50" s="21" t="n">
        <v>2020</v>
      </c>
      <c r="H50" s="22" t="n">
        <v>1.044</v>
      </c>
      <c r="I50" s="22" t="n"/>
      <c r="J50" s="23" t="n"/>
      <c r="K50" s="24" t="inlineStr">
        <is>
          <t>No later data — report figure stands</t>
        </is>
      </c>
      <c r="L50" s="24" t="inlineStr">
        <is>
          <t>—</t>
        </is>
      </c>
    </row>
    <row r="51" ht="15" customHeight="1">
      <c r="A51" s="32" t="inlineStr">
        <is>
          <t>B4 (population)</t>
        </is>
      </c>
      <c r="B51" s="14" t="inlineStr">
        <is>
          <t>EU population (index, 2005 = 1.0)</t>
        </is>
      </c>
      <c r="C51" s="14" t="inlineStr">
        <is>
          <t>Buildings</t>
        </is>
      </c>
      <c r="D51" s="14" t="inlineStr">
        <is>
          <t>index (2005 = 1.0)</t>
        </is>
      </c>
      <c r="E51" s="15" t="n">
        <v>2020</v>
      </c>
      <c r="F51" s="16" t="n">
        <v>1.028</v>
      </c>
      <c r="G51" s="15" t="n">
        <v>2025</v>
      </c>
      <c r="H51" s="16" t="n">
        <v>1.04</v>
      </c>
      <c r="I51" s="16" t="n">
        <v>0.01200000000000001</v>
      </c>
      <c r="J51" s="17" t="n">
        <v>0.01167315175097277</v>
      </c>
      <c r="K51" s="18" t="inlineStr">
        <is>
          <t>Different recipe for the later years</t>
        </is>
      </c>
      <c r="L51" s="18" t="inlineStr">
        <is>
          <t>Reproduces from source</t>
        </is>
      </c>
    </row>
    <row r="52" ht="15" customHeight="1">
      <c r="A52" s="33" t="inlineStr">
        <is>
          <t>B4 (surface residential)</t>
        </is>
      </c>
      <c r="B52" s="20" t="inlineStr">
        <is>
          <t>Total residential floor surface (index, 2005 = 1.0)</t>
        </is>
      </c>
      <c r="C52" s="20" t="inlineStr">
        <is>
          <t>Buildings</t>
        </is>
      </c>
      <c r="D52" s="20" t="inlineStr">
        <is>
          <t>index (2005 = 1.0)</t>
        </is>
      </c>
      <c r="E52" s="21" t="n">
        <v>2016</v>
      </c>
      <c r="F52" s="22" t="n">
        <v>1.131</v>
      </c>
      <c r="G52" s="21" t="n">
        <v>2016</v>
      </c>
      <c r="H52" s="22" t="n">
        <v>1.131</v>
      </c>
      <c r="I52" s="22" t="n"/>
      <c r="J52" s="23" t="n"/>
      <c r="K52" s="24" t="inlineStr">
        <is>
          <t>No later data — report figure stands</t>
        </is>
      </c>
      <c r="L52" s="24" t="inlineStr">
        <is>
          <t>—</t>
        </is>
      </c>
    </row>
    <row r="53" ht="15" customHeight="1">
      <c r="A53" s="32" t="inlineStr">
        <is>
          <t>B4 (surface tertiary)</t>
        </is>
      </c>
      <c r="B53" s="14" t="inlineStr">
        <is>
          <t>Total tertiary floor surface (index, 2005 = 1.0)</t>
        </is>
      </c>
      <c r="C53" s="14" t="inlineStr">
        <is>
          <t>Buildings</t>
        </is>
      </c>
      <c r="D53" s="14" t="inlineStr">
        <is>
          <t>index (2005 = 1.0)</t>
        </is>
      </c>
      <c r="E53" s="15" t="n">
        <v>2019</v>
      </c>
      <c r="F53" s="16" t="n">
        <v>1.12</v>
      </c>
      <c r="G53" s="15" t="n">
        <v>2019</v>
      </c>
      <c r="H53" s="16" t="n">
        <v>1.12</v>
      </c>
      <c r="I53" s="16" t="n"/>
      <c r="J53" s="17" t="n"/>
      <c r="K53" s="18" t="inlineStr">
        <is>
          <t>No later data — report figure stands</t>
        </is>
      </c>
      <c r="L53" s="18" t="inlineStr">
        <is>
          <t>—</t>
        </is>
      </c>
    </row>
    <row r="54" ht="15" customHeight="1">
      <c r="A54" s="33" t="inlineStr">
        <is>
          <t>B5a</t>
        </is>
      </c>
      <c r="B54" s="20" t="inlineStr">
        <is>
          <t>Fossil share of residential energy mix</t>
        </is>
      </c>
      <c r="C54" s="20" t="inlineStr">
        <is>
          <t>Buildings</t>
        </is>
      </c>
      <c r="D54" s="20" t="inlineStr">
        <is>
          <t>%</t>
        </is>
      </c>
      <c r="E54" s="21" t="n">
        <v>2021</v>
      </c>
      <c r="F54" s="22" t="n">
        <v>45.58</v>
      </c>
      <c r="G54" s="21" t="n">
        <v>2023</v>
      </c>
      <c r="H54" s="22" t="n">
        <v>42</v>
      </c>
      <c r="I54" s="22" t="n">
        <v>-3.579999999999998</v>
      </c>
      <c r="J54" s="23" t="n">
        <v>-0.07854322071083805</v>
      </c>
      <c r="K54" s="24" t="inlineStr">
        <is>
          <t>Published figure, no derivation</t>
        </is>
      </c>
      <c r="L54" s="24" t="inlineStr">
        <is>
          <t>Published figure, not re-derived</t>
        </is>
      </c>
    </row>
    <row r="55" ht="15" customHeight="1">
      <c r="A55" s="32" t="inlineStr">
        <is>
          <t>B5b</t>
        </is>
      </c>
      <c r="B55" s="14" t="inlineStr">
        <is>
          <t>Fossil share of tertiary energy mix</t>
        </is>
      </c>
      <c r="C55" s="14" t="inlineStr">
        <is>
          <t>Buildings</t>
        </is>
      </c>
      <c r="D55" s="14" t="inlineStr">
        <is>
          <t>%</t>
        </is>
      </c>
      <c r="E55" s="15" t="n">
        <v>2021</v>
      </c>
      <c r="F55" s="16" t="n">
        <v>38.74</v>
      </c>
      <c r="G55" s="15" t="n">
        <v>2023</v>
      </c>
      <c r="H55" s="16" t="n">
        <v>32.2</v>
      </c>
      <c r="I55" s="16" t="n">
        <v>-6.539999999999999</v>
      </c>
      <c r="J55" s="17" t="n">
        <v>-0.1688177594217862</v>
      </c>
      <c r="K55" s="18" t="inlineStr">
        <is>
          <t>Published figure, no derivation</t>
        </is>
      </c>
      <c r="L55" s="18" t="inlineStr">
        <is>
          <t>Published figure, not re-derived</t>
        </is>
      </c>
    </row>
    <row r="56" ht="15" customHeight="1">
      <c r="A56" s="33" t="inlineStr">
        <is>
          <t>B6</t>
        </is>
      </c>
      <c r="B56" s="20" t="inlineStr">
        <is>
          <t>EU stock of installed heat pumps</t>
        </is>
      </c>
      <c r="C56" s="20" t="inlineStr">
        <is>
          <t>Buildings</t>
        </is>
      </c>
      <c r="D56" s="20" t="inlineStr">
        <is>
          <t>million units</t>
        </is>
      </c>
      <c r="E56" s="21" t="n">
        <v>2022</v>
      </c>
      <c r="F56" s="22" t="n">
        <v>19.79</v>
      </c>
      <c r="G56" s="21" t="n">
        <v>2024</v>
      </c>
      <c r="H56" s="22" t="n">
        <v>25.5</v>
      </c>
      <c r="I56" s="22" t="n">
        <v>5.710000000000001</v>
      </c>
      <c r="J56" s="23" t="n">
        <v>0.2885295603840324</v>
      </c>
      <c r="K56" s="24" t="inlineStr">
        <is>
          <t>Report's formula, input back-computed</t>
        </is>
      </c>
      <c r="L56" s="24" t="inlineStr">
        <is>
          <t>Published figure, not re-derived</t>
        </is>
      </c>
    </row>
    <row r="57" ht="15" customHeight="1">
      <c r="A57" s="34" t="inlineStr">
        <is>
          <t>A1</t>
        </is>
      </c>
      <c r="B57" s="14" t="inlineStr">
        <is>
          <t>Agricultural non-CO₂ emissions</t>
        </is>
      </c>
      <c r="C57" s="14" t="inlineStr">
        <is>
          <t>Agriculture</t>
        </is>
      </c>
      <c r="D57" s="14" t="inlineStr">
        <is>
          <t>Mt CO₂eq</t>
        </is>
      </c>
      <c r="E57" s="15" t="n">
        <v>2022</v>
      </c>
      <c r="F57" s="16" t="n">
        <v>360.9</v>
      </c>
      <c r="G57" s="15" t="n">
        <v>2024</v>
      </c>
      <c r="H57" s="16" t="n">
        <v>355.7</v>
      </c>
      <c r="I57" s="16" t="n">
        <v>-5.199999999999989</v>
      </c>
      <c r="J57" s="17" t="n">
        <v>-0.01440842338597947</v>
      </c>
      <c r="K57" s="18" t="inlineStr">
        <is>
          <t>Different recipe for the later years</t>
        </is>
      </c>
      <c r="L57" s="18" t="inlineStr">
        <is>
          <t>Reproduces from source</t>
        </is>
      </c>
    </row>
    <row r="58" ht="15" customHeight="1">
      <c r="A58" s="35" t="inlineStr">
        <is>
          <t>A2 (bovine, GHG)</t>
        </is>
      </c>
      <c r="B58" s="20" t="inlineStr">
        <is>
          <t>Bovine meat: GHG emissions (EU)</t>
        </is>
      </c>
      <c r="C58" s="20" t="inlineStr">
        <is>
          <t>Agriculture</t>
        </is>
      </c>
      <c r="D58" s="20" t="inlineStr">
        <is>
          <t>Mt CO₂eq</t>
        </is>
      </c>
      <c r="E58" s="21" t="n">
        <v>2021</v>
      </c>
      <c r="F58" s="22" t="n">
        <v>100.3</v>
      </c>
      <c r="G58" s="21" t="n">
        <v>2021</v>
      </c>
      <c r="H58" s="22" t="n">
        <v>100.3</v>
      </c>
      <c r="I58" s="22" t="n"/>
      <c r="J58" s="23" t="n"/>
      <c r="K58" s="24" t="inlineStr">
        <is>
          <t>No later data — report figure stands</t>
        </is>
      </c>
      <c r="L58" s="24" t="inlineStr">
        <is>
          <t>—</t>
        </is>
      </c>
    </row>
    <row r="59" ht="15" customHeight="1">
      <c r="A59" s="34" t="inlineStr">
        <is>
          <t>A2 (bovine, intensity)</t>
        </is>
      </c>
      <c r="B59" s="14" t="inlineStr">
        <is>
          <t>Bovine meat: GHG intensity (EU)</t>
        </is>
      </c>
      <c r="C59" s="14" t="inlineStr">
        <is>
          <t>Agriculture</t>
        </is>
      </c>
      <c r="D59" s="14" t="inlineStr">
        <is>
          <t>t CO₂eq/t</t>
        </is>
      </c>
      <c r="E59" s="15" t="n">
        <v>2020</v>
      </c>
      <c r="F59" s="16" t="n">
        <v>14.53</v>
      </c>
      <c r="G59" s="15" t="n">
        <v>2020</v>
      </c>
      <c r="H59" s="16" t="n">
        <v>14.53</v>
      </c>
      <c r="I59" s="16" t="n"/>
      <c r="J59" s="17" t="n"/>
      <c r="K59" s="18" t="inlineStr">
        <is>
          <t>No later data — report figure stands</t>
        </is>
      </c>
      <c r="L59" s="18" t="inlineStr">
        <is>
          <t>—</t>
        </is>
      </c>
    </row>
    <row r="60" ht="15" customHeight="1">
      <c r="A60" s="35" t="inlineStr">
        <is>
          <t>A2 (bovine, production)</t>
        </is>
      </c>
      <c r="B60" s="20" t="inlineStr">
        <is>
          <t>Bovine meat: production (EU)</t>
        </is>
      </c>
      <c r="C60" s="20" t="inlineStr">
        <is>
          <t>Agriculture</t>
        </is>
      </c>
      <c r="D60" s="20" t="inlineStr">
        <is>
          <t>Mt</t>
        </is>
      </c>
      <c r="E60" s="21" t="n">
        <v>2020</v>
      </c>
      <c r="F60" s="22" t="n">
        <v>6.936</v>
      </c>
      <c r="G60" s="21" t="n">
        <v>2025</v>
      </c>
      <c r="H60" s="22" t="n">
        <v>6.32</v>
      </c>
      <c r="I60" s="22" t="n">
        <v>-0.6159999999999997</v>
      </c>
      <c r="J60" s="23" t="n">
        <v>-0.08881199538638979</v>
      </c>
      <c r="K60" s="24" t="inlineStr">
        <is>
          <t>Different recipe for the later years</t>
        </is>
      </c>
      <c r="L60" s="24" t="inlineStr">
        <is>
          <t>Reproduces from source</t>
        </is>
      </c>
    </row>
    <row r="61" ht="15" customHeight="1">
      <c r="A61" s="34" t="inlineStr">
        <is>
          <t>A2 (dairy, GHG)</t>
        </is>
      </c>
      <c r="B61" s="14" t="inlineStr">
        <is>
          <t>Dairy products: GHG emissions (EU)</t>
        </is>
      </c>
      <c r="C61" s="14" t="inlineStr">
        <is>
          <t>Agriculture</t>
        </is>
      </c>
      <c r="D61" s="14" t="inlineStr">
        <is>
          <t>Mt CO₂eq</t>
        </is>
      </c>
      <c r="E61" s="15" t="n">
        <v>2021</v>
      </c>
      <c r="F61" s="16" t="n">
        <v>97.79000000000001</v>
      </c>
      <c r="G61" s="15" t="n">
        <v>2021</v>
      </c>
      <c r="H61" s="16" t="n">
        <v>97.79000000000001</v>
      </c>
      <c r="I61" s="16" t="n"/>
      <c r="J61" s="17" t="n"/>
      <c r="K61" s="18" t="inlineStr">
        <is>
          <t>No later data — report figure stands</t>
        </is>
      </c>
      <c r="L61" s="18" t="inlineStr">
        <is>
          <t>—</t>
        </is>
      </c>
    </row>
    <row r="62" ht="15" customHeight="1">
      <c r="A62" s="35" t="inlineStr">
        <is>
          <t>A2 (dairy, intensity)</t>
        </is>
      </c>
      <c r="B62" s="20" t="inlineStr">
        <is>
          <t>Dairy products: GHG intensity (EU)</t>
        </is>
      </c>
      <c r="C62" s="20" t="inlineStr">
        <is>
          <t>Agriculture</t>
        </is>
      </c>
      <c r="D62" s="20" t="inlineStr">
        <is>
          <t>t CO₂eq/t</t>
        </is>
      </c>
      <c r="E62" s="21" t="n">
        <v>2020</v>
      </c>
      <c r="F62" s="22" t="n">
        <v>0.6049</v>
      </c>
      <c r="G62" s="21" t="n">
        <v>2020</v>
      </c>
      <c r="H62" s="22" t="n">
        <v>0.6049</v>
      </c>
      <c r="I62" s="22" t="n"/>
      <c r="J62" s="23" t="n"/>
      <c r="K62" s="24" t="inlineStr">
        <is>
          <t>No later data — report figure stands</t>
        </is>
      </c>
      <c r="L62" s="24" t="inlineStr">
        <is>
          <t>—</t>
        </is>
      </c>
    </row>
    <row r="63" ht="15" customHeight="1">
      <c r="A63" s="34" t="inlineStr">
        <is>
          <t>A2 (dairy, production)</t>
        </is>
      </c>
      <c r="B63" s="14" t="inlineStr">
        <is>
          <t>Dairy products: production (EU)</t>
        </is>
      </c>
      <c r="C63" s="14" t="inlineStr">
        <is>
          <t>Agriculture</t>
        </is>
      </c>
      <c r="D63" s="14" t="inlineStr">
        <is>
          <t>Mt</t>
        </is>
      </c>
      <c r="E63" s="15" t="n">
        <v>2020</v>
      </c>
      <c r="F63" s="16" t="n">
        <v>163.1</v>
      </c>
      <c r="G63" s="15" t="n">
        <v>2024</v>
      </c>
      <c r="H63" s="16" t="n">
        <v>164.6</v>
      </c>
      <c r="I63" s="16" t="n">
        <v>1.5</v>
      </c>
      <c r="J63" s="17" t="n">
        <v>0.009196811771919068</v>
      </c>
      <c r="K63" s="18" t="inlineStr">
        <is>
          <t>Different recipe for the later years</t>
        </is>
      </c>
      <c r="L63" s="18" t="inlineStr">
        <is>
          <t>Reproduces from source</t>
        </is>
      </c>
    </row>
    <row r="64" ht="15" customHeight="1">
      <c r="A64" s="35" t="inlineStr">
        <is>
          <t>A2 (pig, GHG)</t>
        </is>
      </c>
      <c r="B64" s="20" t="inlineStr">
        <is>
          <t>Pig meat: GHG emissions (EU)</t>
        </is>
      </c>
      <c r="C64" s="20" t="inlineStr">
        <is>
          <t>Agriculture</t>
        </is>
      </c>
      <c r="D64" s="20" t="inlineStr">
        <is>
          <t>Mt CO₂eq</t>
        </is>
      </c>
      <c r="E64" s="21" t="n">
        <v>2021</v>
      </c>
      <c r="F64" s="22" t="n">
        <v>28.58</v>
      </c>
      <c r="G64" s="21" t="n">
        <v>2024</v>
      </c>
      <c r="H64" s="22" t="n">
        <v>26.18</v>
      </c>
      <c r="I64" s="22" t="n">
        <v>-2.399999999999999</v>
      </c>
      <c r="J64" s="23" t="n">
        <v>-0.08397480755773264</v>
      </c>
      <c r="K64" s="24" t="inlineStr">
        <is>
          <t>Different recipe for the later years</t>
        </is>
      </c>
      <c r="L64" s="24" t="inlineStr">
        <is>
          <t>Reproduces from source</t>
        </is>
      </c>
    </row>
    <row r="65" ht="15" customHeight="1">
      <c r="A65" s="34" t="inlineStr">
        <is>
          <t>A2 (pig, intensity)</t>
        </is>
      </c>
      <c r="B65" s="14" t="inlineStr">
        <is>
          <t>Pig meat: GHG intensity (EU)</t>
        </is>
      </c>
      <c r="C65" s="14" t="inlineStr">
        <is>
          <t>Agriculture</t>
        </is>
      </c>
      <c r="D65" s="14" t="inlineStr">
        <is>
          <t>t CO₂eq/t</t>
        </is>
      </c>
      <c r="E65" s="15" t="n">
        <v>2020</v>
      </c>
      <c r="F65" s="16" t="n">
        <v>1.264</v>
      </c>
      <c r="G65" s="15" t="n">
        <v>2024</v>
      </c>
      <c r="H65" s="16" t="n">
        <v>1.238</v>
      </c>
      <c r="I65" s="16" t="n">
        <v>-0.02600000000000002</v>
      </c>
      <c r="J65" s="17" t="n">
        <v>-0.02056962025316458</v>
      </c>
      <c r="K65" s="18" t="inlineStr">
        <is>
          <t>Different recipe for the later years</t>
        </is>
      </c>
      <c r="L65" s="18" t="inlineStr">
        <is>
          <t>Reproduces from source</t>
        </is>
      </c>
    </row>
    <row r="66" ht="15" customHeight="1">
      <c r="A66" s="35" t="inlineStr">
        <is>
          <t>A2 (pig, production)</t>
        </is>
      </c>
      <c r="B66" s="20" t="inlineStr">
        <is>
          <t>Pig meat: production (EU)</t>
        </is>
      </c>
      <c r="C66" s="20" t="inlineStr">
        <is>
          <t>Agriculture</t>
        </is>
      </c>
      <c r="D66" s="20" t="inlineStr">
        <is>
          <t>Mt</t>
        </is>
      </c>
      <c r="E66" s="21" t="n">
        <v>2020</v>
      </c>
      <c r="F66" s="22" t="n">
        <v>23.22</v>
      </c>
      <c r="G66" s="21" t="n">
        <v>2025</v>
      </c>
      <c r="H66" s="22" t="n">
        <v>21.84</v>
      </c>
      <c r="I66" s="22" t="n">
        <v>-1.379999999999999</v>
      </c>
      <c r="J66" s="23" t="n">
        <v>-0.05943152454780358</v>
      </c>
      <c r="K66" s="24" t="inlineStr">
        <is>
          <t>Different recipe for the later years</t>
        </is>
      </c>
      <c r="L66" s="24" t="inlineStr">
        <is>
          <t>Reproduces from source</t>
        </is>
      </c>
    </row>
    <row r="67" ht="15" customHeight="1">
      <c r="A67" s="34" t="inlineStr">
        <is>
          <t>A3 (NUE)</t>
        </is>
      </c>
      <c r="B67" s="14" t="inlineStr">
        <is>
          <t>Nitrogen use efficiency in EU agriculture</t>
        </is>
      </c>
      <c r="C67" s="14" t="inlineStr">
        <is>
          <t>Agriculture</t>
        </is>
      </c>
      <c r="D67" s="14" t="inlineStr">
        <is>
          <t>%</t>
        </is>
      </c>
      <c r="E67" s="15" t="n">
        <v>2020</v>
      </c>
      <c r="F67" s="16" t="n">
        <v>49.03</v>
      </c>
      <c r="G67" s="15" t="n">
        <v>2020</v>
      </c>
      <c r="H67" s="16" t="n">
        <v>49.03</v>
      </c>
      <c r="I67" s="16" t="n"/>
      <c r="J67" s="17" t="n"/>
      <c r="K67" s="18" t="inlineStr">
        <is>
          <t>No later data — report figure stands</t>
        </is>
      </c>
      <c r="L67" s="18" t="inlineStr">
        <is>
          <t>—</t>
        </is>
      </c>
    </row>
    <row r="68" ht="15" customHeight="1">
      <c r="A68" s="35" t="inlineStr">
        <is>
          <t>A3 (use)</t>
        </is>
      </c>
      <c r="B68" s="20" t="inlineStr">
        <is>
          <t>Total fertiliser nitrogen use (EU)</t>
        </is>
      </c>
      <c r="C68" s="20" t="inlineStr">
        <is>
          <t>Agriculture</t>
        </is>
      </c>
      <c r="D68" s="20" t="inlineStr">
        <is>
          <t>Mt N</t>
        </is>
      </c>
      <c r="E68" s="21" t="n">
        <v>2021</v>
      </c>
      <c r="F68" s="22" t="n">
        <v>15.01</v>
      </c>
      <c r="G68" s="21" t="n">
        <v>2021</v>
      </c>
      <c r="H68" s="22" t="n">
        <v>15.01</v>
      </c>
      <c r="I68" s="22" t="n"/>
      <c r="J68" s="23" t="n"/>
      <c r="K68" s="24" t="inlineStr">
        <is>
          <t>No later data — report figure stands</t>
        </is>
      </c>
      <c r="L68" s="24" t="inlineStr">
        <is>
          <t>—</t>
        </is>
      </c>
    </row>
    <row r="69" ht="15" customHeight="1">
      <c r="A69" s="34" t="inlineStr">
        <is>
          <t>A4 (bovine, consumption)</t>
        </is>
      </c>
      <c r="B69" s="14" t="inlineStr">
        <is>
          <t>Bovine meat: consumption (EU)</t>
        </is>
      </c>
      <c r="C69" s="14" t="inlineStr">
        <is>
          <t>Agriculture</t>
        </is>
      </c>
      <c r="D69" s="14" t="inlineStr">
        <is>
          <t>Mt</t>
        </is>
      </c>
      <c r="E69" s="15" t="n">
        <v>2020</v>
      </c>
      <c r="F69" s="16" t="n">
        <v>6.115</v>
      </c>
      <c r="G69" s="15" t="n">
        <v>2020</v>
      </c>
      <c r="H69" s="16" t="n">
        <v>6.115</v>
      </c>
      <c r="I69" s="16" t="n"/>
      <c r="J69" s="17" t="n"/>
      <c r="K69" s="18" t="inlineStr">
        <is>
          <t>No later data — report figure stands</t>
        </is>
      </c>
      <c r="L69" s="18" t="inlineStr">
        <is>
          <t>—</t>
        </is>
      </c>
    </row>
    <row r="70" ht="15" customHeight="1">
      <c r="A70" s="35" t="inlineStr">
        <is>
          <t>A4 (bovine, herd)</t>
        </is>
      </c>
      <c r="B70" s="20" t="inlineStr">
        <is>
          <t>Bovine meat: herd size (EU)</t>
        </is>
      </c>
      <c r="C70" s="20" t="inlineStr">
        <is>
          <t>Agriculture</t>
        </is>
      </c>
      <c r="D70" s="20" t="inlineStr">
        <is>
          <t>million heads</t>
        </is>
      </c>
      <c r="E70" s="21" t="n">
        <v>2020</v>
      </c>
      <c r="F70" s="22" t="n">
        <v>60.16</v>
      </c>
      <c r="G70" s="21" t="n">
        <v>2025</v>
      </c>
      <c r="H70" s="22" t="n">
        <v>56.26</v>
      </c>
      <c r="I70" s="22" t="n">
        <v>-3.899999999999999</v>
      </c>
      <c r="J70" s="23" t="n">
        <v>-0.06482712765957445</v>
      </c>
      <c r="K70" s="24" t="inlineStr">
        <is>
          <t>Different recipe for the later years</t>
        </is>
      </c>
      <c r="L70" s="24" t="inlineStr">
        <is>
          <t>Reproduces from source</t>
        </is>
      </c>
    </row>
    <row r="71" ht="15" customHeight="1">
      <c r="A71" s="34" t="inlineStr">
        <is>
          <t>A4 (bovine, production)</t>
        </is>
      </c>
      <c r="B71" s="14" t="inlineStr">
        <is>
          <t>Bovine meat: production (EU)</t>
        </is>
      </c>
      <c r="C71" s="14" t="inlineStr">
        <is>
          <t>Agriculture</t>
        </is>
      </c>
      <c r="D71" s="14" t="inlineStr">
        <is>
          <t>Mt</t>
        </is>
      </c>
      <c r="E71" s="15" t="n">
        <v>2020</v>
      </c>
      <c r="F71" s="16" t="n">
        <v>6.936</v>
      </c>
      <c r="G71" s="15" t="n">
        <v>2025</v>
      </c>
      <c r="H71" s="16" t="n">
        <v>6.32</v>
      </c>
      <c r="I71" s="16" t="n">
        <v>-0.6159999999999997</v>
      </c>
      <c r="J71" s="17" t="n">
        <v>-0.08881199538638979</v>
      </c>
      <c r="K71" s="18" t="inlineStr">
        <is>
          <t>Different recipe for the later years</t>
        </is>
      </c>
      <c r="L71" s="18" t="inlineStr">
        <is>
          <t>Reproduces from source</t>
        </is>
      </c>
    </row>
    <row r="72" ht="15" customHeight="1">
      <c r="A72" s="35" t="inlineStr">
        <is>
          <t>A4 (dairy, consumption)</t>
        </is>
      </c>
      <c r="B72" s="20" t="inlineStr">
        <is>
          <t>Dairy products: consumption (EU)</t>
        </is>
      </c>
      <c r="C72" s="20" t="inlineStr">
        <is>
          <t>Agriculture</t>
        </is>
      </c>
      <c r="D72" s="20" t="inlineStr">
        <is>
          <t>Mt</t>
        </is>
      </c>
      <c r="E72" s="21" t="n">
        <v>2020</v>
      </c>
      <c r="F72" s="22" t="n">
        <v>86.63</v>
      </c>
      <c r="G72" s="21" t="n">
        <v>2020</v>
      </c>
      <c r="H72" s="22" t="n">
        <v>86.63</v>
      </c>
      <c r="I72" s="22" t="n"/>
      <c r="J72" s="23" t="n"/>
      <c r="K72" s="24" t="inlineStr">
        <is>
          <t>No later data — report figure stands</t>
        </is>
      </c>
      <c r="L72" s="24" t="inlineStr">
        <is>
          <t>—</t>
        </is>
      </c>
    </row>
    <row r="73" ht="15" customHeight="1">
      <c r="A73" s="34" t="inlineStr">
        <is>
          <t>A4 (dairy, herd)</t>
        </is>
      </c>
      <c r="B73" s="14" t="inlineStr">
        <is>
          <t>Dairy products: herd size (EU)</t>
        </is>
      </c>
      <c r="C73" s="14" t="inlineStr">
        <is>
          <t>Agriculture</t>
        </is>
      </c>
      <c r="D73" s="14" t="inlineStr">
        <is>
          <t>million heads</t>
        </is>
      </c>
      <c r="E73" s="15" t="n">
        <v>2020</v>
      </c>
      <c r="F73" s="16" t="n">
        <v>20.63</v>
      </c>
      <c r="G73" s="15" t="n">
        <v>2025</v>
      </c>
      <c r="H73" s="16" t="n">
        <v>19.02</v>
      </c>
      <c r="I73" s="16" t="n">
        <v>-1.609999999999999</v>
      </c>
      <c r="J73" s="17" t="n">
        <v>-0.07804168686379057</v>
      </c>
      <c r="K73" s="18" t="inlineStr">
        <is>
          <t>Different recipe for the later years</t>
        </is>
      </c>
      <c r="L73" s="18" t="inlineStr">
        <is>
          <t>Reproduces from source</t>
        </is>
      </c>
    </row>
    <row r="74" ht="15" customHeight="1">
      <c r="A74" s="35" t="inlineStr">
        <is>
          <t>A4 (dairy, production)</t>
        </is>
      </c>
      <c r="B74" s="20" t="inlineStr">
        <is>
          <t>Dairy products: production (EU)</t>
        </is>
      </c>
      <c r="C74" s="20" t="inlineStr">
        <is>
          <t>Agriculture</t>
        </is>
      </c>
      <c r="D74" s="20" t="inlineStr">
        <is>
          <t>Mt</t>
        </is>
      </c>
      <c r="E74" s="21" t="n">
        <v>2020</v>
      </c>
      <c r="F74" s="22" t="n">
        <v>163.1</v>
      </c>
      <c r="G74" s="21" t="n">
        <v>2024</v>
      </c>
      <c r="H74" s="22" t="n">
        <v>164.6</v>
      </c>
      <c r="I74" s="22" t="n">
        <v>1.5</v>
      </c>
      <c r="J74" s="23" t="n">
        <v>0.009196811771919068</v>
      </c>
      <c r="K74" s="24" t="inlineStr">
        <is>
          <t>Different recipe for the later years</t>
        </is>
      </c>
      <c r="L74" s="24" t="inlineStr">
        <is>
          <t>Reproduces from source</t>
        </is>
      </c>
    </row>
    <row r="75" ht="15" customHeight="1">
      <c r="A75" s="34" t="inlineStr">
        <is>
          <t>A4 (pig, consumption)</t>
        </is>
      </c>
      <c r="B75" s="14" t="inlineStr">
        <is>
          <t>Pig meat: consumption (EU)</t>
        </is>
      </c>
      <c r="C75" s="14" t="inlineStr">
        <is>
          <t>Agriculture</t>
        </is>
      </c>
      <c r="D75" s="14" t="inlineStr">
        <is>
          <t>Mt</t>
        </is>
      </c>
      <c r="E75" s="15" t="n">
        <v>2020</v>
      </c>
      <c r="F75" s="16" t="n">
        <v>17.46</v>
      </c>
      <c r="G75" s="15" t="n">
        <v>2020</v>
      </c>
      <c r="H75" s="16" t="n">
        <v>17.46</v>
      </c>
      <c r="I75" s="16" t="n"/>
      <c r="J75" s="17" t="n"/>
      <c r="K75" s="18" t="inlineStr">
        <is>
          <t>No later data — report figure stands</t>
        </is>
      </c>
      <c r="L75" s="18" t="inlineStr">
        <is>
          <t>—</t>
        </is>
      </c>
    </row>
    <row r="76" ht="15" customHeight="1">
      <c r="A76" s="35" t="inlineStr">
        <is>
          <t>A4 (pig, herd)</t>
        </is>
      </c>
      <c r="B76" s="20" t="inlineStr">
        <is>
          <t>Pig meat: herd size (EU)</t>
        </is>
      </c>
      <c r="C76" s="20" t="inlineStr">
        <is>
          <t>Agriculture</t>
        </is>
      </c>
      <c r="D76" s="20" t="inlineStr">
        <is>
          <t>million heads</t>
        </is>
      </c>
      <c r="E76" s="21" t="n">
        <v>2020</v>
      </c>
      <c r="F76" s="22" t="n">
        <v>140</v>
      </c>
      <c r="G76" s="21" t="n">
        <v>2025</v>
      </c>
      <c r="H76" s="22" t="n">
        <v>126.1</v>
      </c>
      <c r="I76" s="22" t="n">
        <v>-13.90000000000001</v>
      </c>
      <c r="J76" s="23" t="n">
        <v>-0.09928571428571432</v>
      </c>
      <c r="K76" s="24" t="inlineStr">
        <is>
          <t>Different recipe for the later years</t>
        </is>
      </c>
      <c r="L76" s="24" t="inlineStr">
        <is>
          <t>Reproduces from source</t>
        </is>
      </c>
    </row>
    <row r="77" ht="15" customHeight="1">
      <c r="A77" s="34" t="inlineStr">
        <is>
          <t>A4 (pig, production)</t>
        </is>
      </c>
      <c r="B77" s="14" t="inlineStr">
        <is>
          <t>Pig meat: production (EU)</t>
        </is>
      </c>
      <c r="C77" s="14" t="inlineStr">
        <is>
          <t>Agriculture</t>
        </is>
      </c>
      <c r="D77" s="14" t="inlineStr">
        <is>
          <t>Mt</t>
        </is>
      </c>
      <c r="E77" s="15" t="n">
        <v>2020</v>
      </c>
      <c r="F77" s="16" t="n">
        <v>23.22</v>
      </c>
      <c r="G77" s="15" t="n">
        <v>2025</v>
      </c>
      <c r="H77" s="16" t="n">
        <v>21.84</v>
      </c>
      <c r="I77" s="16" t="n">
        <v>-1.379999999999999</v>
      </c>
      <c r="J77" s="17" t="n">
        <v>-0.05943152454780358</v>
      </c>
      <c r="K77" s="18" t="inlineStr">
        <is>
          <t>Different recipe for the later years</t>
        </is>
      </c>
      <c r="L77" s="18" t="inlineStr">
        <is>
          <t>Reproduces from source</t>
        </is>
      </c>
    </row>
    <row r="78" ht="15" customHeight="1">
      <c r="A78" s="35" t="inlineStr">
        <is>
          <t>A5 (bovine)</t>
        </is>
      </c>
      <c r="B78" s="20" t="inlineStr">
        <is>
          <t>Average bovine meat consumption (EU)</t>
        </is>
      </c>
      <c r="C78" s="20" t="inlineStr">
        <is>
          <t>Agriculture</t>
        </is>
      </c>
      <c r="D78" s="20" t="inlineStr">
        <is>
          <t>kcal/cap/day</t>
        </is>
      </c>
      <c r="E78" s="21" t="n">
        <v>2020</v>
      </c>
      <c r="F78" s="22" t="n">
        <v>52.12</v>
      </c>
      <c r="G78" s="21" t="n">
        <v>2020</v>
      </c>
      <c r="H78" s="22" t="n">
        <v>52.12</v>
      </c>
      <c r="I78" s="22" t="n"/>
      <c r="J78" s="23" t="n"/>
      <c r="K78" s="24" t="inlineStr">
        <is>
          <t>No later data — report figure stands</t>
        </is>
      </c>
      <c r="L78" s="24" t="inlineStr">
        <is>
          <t>—</t>
        </is>
      </c>
    </row>
    <row r="79" ht="15" customHeight="1">
      <c r="A79" s="34" t="inlineStr">
        <is>
          <t>A5 (dairy)</t>
        </is>
      </c>
      <c r="B79" s="14" t="inlineStr">
        <is>
          <t>Average dairy products consumption (EU)</t>
        </is>
      </c>
      <c r="C79" s="14" t="inlineStr">
        <is>
          <t>Agriculture</t>
        </is>
      </c>
      <c r="D79" s="14" t="inlineStr">
        <is>
          <t>kcal/cap/day</t>
        </is>
      </c>
      <c r="E79" s="15" t="n">
        <v>2021</v>
      </c>
      <c r="F79" s="16" t="n">
        <v>550.4</v>
      </c>
      <c r="G79" s="15" t="n">
        <v>2021</v>
      </c>
      <c r="H79" s="16" t="n">
        <v>550.4</v>
      </c>
      <c r="I79" s="16" t="n"/>
      <c r="J79" s="17" t="n"/>
      <c r="K79" s="18" t="inlineStr">
        <is>
          <t>No later data — report figure stands</t>
        </is>
      </c>
      <c r="L79" s="18" t="inlineStr">
        <is>
          <t>—</t>
        </is>
      </c>
    </row>
    <row r="80" ht="15" customHeight="1">
      <c r="A80" s="35" t="inlineStr">
        <is>
          <t>A5 (pig)</t>
        </is>
      </c>
      <c r="B80" s="20" t="inlineStr">
        <is>
          <t>Average pig meat consumption (EU)</t>
        </is>
      </c>
      <c r="C80" s="20" t="inlineStr">
        <is>
          <t>Agriculture</t>
        </is>
      </c>
      <c r="D80" s="20" t="inlineStr">
        <is>
          <t>kcal/cap/day</t>
        </is>
      </c>
      <c r="E80" s="21" t="n">
        <v>2020</v>
      </c>
      <c r="F80" s="22" t="n">
        <v>203.8</v>
      </c>
      <c r="G80" s="21" t="n">
        <v>2020</v>
      </c>
      <c r="H80" s="22" t="n">
        <v>203.8</v>
      </c>
      <c r="I80" s="22" t="n"/>
      <c r="J80" s="23" t="n"/>
      <c r="K80" s="24" t="inlineStr">
        <is>
          <t>No later data — report figure stands</t>
        </is>
      </c>
      <c r="L80" s="24" t="inlineStr">
        <is>
          <t>—</t>
        </is>
      </c>
    </row>
    <row r="81" ht="15" customHeight="1">
      <c r="A81" s="34" t="inlineStr">
        <is>
          <t>A6</t>
        </is>
      </c>
      <c r="B81" s="14" t="inlineStr">
        <is>
          <t>Food waste per capita (EU)</t>
        </is>
      </c>
      <c r="C81" s="14" t="inlineStr">
        <is>
          <t>Agriculture</t>
        </is>
      </c>
      <c r="D81" s="14" t="inlineStr">
        <is>
          <t>kg/cap/year</t>
        </is>
      </c>
      <c r="E81" s="15" t="n">
        <v>2020</v>
      </c>
      <c r="F81" s="16" t="n">
        <v>131</v>
      </c>
      <c r="G81" s="15" t="n">
        <v>2023</v>
      </c>
      <c r="H81" s="16" t="n">
        <v>129</v>
      </c>
      <c r="I81" s="16" t="n">
        <v>-2</v>
      </c>
      <c r="J81" s="17" t="n">
        <v>-0.01526717557251908</v>
      </c>
      <c r="K81" s="18" t="inlineStr">
        <is>
          <t>Different recipe for the later years</t>
        </is>
      </c>
      <c r="L81" s="18" t="inlineStr">
        <is>
          <t>Reproduces from source</t>
        </is>
      </c>
    </row>
    <row r="82" ht="15" customHeight="1">
      <c r="A82" s="35" t="inlineStr">
        <is>
          <t>A7</t>
        </is>
      </c>
      <c r="B82" s="20" t="inlineStr">
        <is>
          <t>Agricultural products used as bioenergy feedstock</t>
        </is>
      </c>
      <c r="C82" s="20" t="inlineStr">
        <is>
          <t>Agriculture</t>
        </is>
      </c>
      <c r="D82" s="20" t="inlineStr">
        <is>
          <t>Mt fresh</t>
        </is>
      </c>
      <c r="E82" s="21" t="n">
        <v>2021</v>
      </c>
      <c r="F82" s="22" t="n">
        <v>23.89</v>
      </c>
      <c r="G82" s="21" t="n">
        <v>2021</v>
      </c>
      <c r="H82" s="22" t="n">
        <v>23.89</v>
      </c>
      <c r="I82" s="22" t="n"/>
      <c r="J82" s="23" t="n"/>
      <c r="K82" s="24" t="inlineStr">
        <is>
          <t>No later data — report figure stands</t>
        </is>
      </c>
      <c r="L82" s="24" t="inlineStr">
        <is>
          <t>—</t>
        </is>
      </c>
    </row>
    <row r="83" ht="15" customHeight="1">
      <c r="A83" s="36" t="inlineStr">
        <is>
          <t>L1</t>
        </is>
      </c>
      <c r="B83" s="14" t="inlineStr">
        <is>
          <t>LULUCF net GHG balance</t>
        </is>
      </c>
      <c r="C83" s="14" t="inlineStr">
        <is>
          <t>LULUCF</t>
        </is>
      </c>
      <c r="D83" s="14" t="inlineStr">
        <is>
          <t>Mt CO₂eq</t>
        </is>
      </c>
      <c r="E83" s="15" t="n">
        <v>2022</v>
      </c>
      <c r="F83" s="16" t="n">
        <v>-244</v>
      </c>
      <c r="G83" s="15" t="n">
        <v>2024</v>
      </c>
      <c r="H83" s="16" t="n">
        <v>-231</v>
      </c>
      <c r="I83" s="16" t="n">
        <v>13</v>
      </c>
      <c r="J83" s="17" t="n">
        <v>0.05327868852459016</v>
      </c>
      <c r="K83" s="18" t="inlineStr">
        <is>
          <t>Report's own derivation, continued</t>
        </is>
      </c>
      <c r="L83" s="18" t="inlineStr">
        <is>
          <t>Reproduces from source</t>
        </is>
      </c>
    </row>
    <row r="84" ht="15" customHeight="1">
      <c r="A84" s="37" t="inlineStr">
        <is>
          <t>L2 (cropland)</t>
        </is>
      </c>
      <c r="B84" s="20" t="inlineStr">
        <is>
          <t>Cropland surface area (EU)</t>
        </is>
      </c>
      <c r="C84" s="20" t="inlineStr">
        <is>
          <t>LULUCF</t>
        </is>
      </c>
      <c r="D84" s="20" t="inlineStr">
        <is>
          <t>million ha</t>
        </is>
      </c>
      <c r="E84" s="21" t="n">
        <v>2021</v>
      </c>
      <c r="F84" s="22" t="n">
        <v>120.9</v>
      </c>
      <c r="G84" s="21" t="n">
        <v>2021</v>
      </c>
      <c r="H84" s="22" t="n">
        <v>120.9</v>
      </c>
      <c r="I84" s="22" t="n"/>
      <c r="J84" s="23" t="n"/>
      <c r="K84" s="24" t="inlineStr">
        <is>
          <t>No later data — report figure stands</t>
        </is>
      </c>
      <c r="L84" s="24" t="inlineStr">
        <is>
          <t>—</t>
        </is>
      </c>
    </row>
    <row r="85" ht="15" customHeight="1">
      <c r="A85" s="36" t="inlineStr">
        <is>
          <t>L2 (forest)</t>
        </is>
      </c>
      <c r="B85" s="14" t="inlineStr">
        <is>
          <t>Forest land surface area (EU)</t>
        </is>
      </c>
      <c r="C85" s="14" t="inlineStr">
        <is>
          <t>LULUCF</t>
        </is>
      </c>
      <c r="D85" s="14" t="inlineStr">
        <is>
          <t>million ha</t>
        </is>
      </c>
      <c r="E85" s="15" t="n">
        <v>2021</v>
      </c>
      <c r="F85" s="16" t="n">
        <v>167.7</v>
      </c>
      <c r="G85" s="15" t="n">
        <v>2021</v>
      </c>
      <c r="H85" s="16" t="n">
        <v>167.7</v>
      </c>
      <c r="I85" s="16" t="n"/>
      <c r="J85" s="17" t="n"/>
      <c r="K85" s="18" t="inlineStr">
        <is>
          <t>No later data — report figure stands</t>
        </is>
      </c>
      <c r="L85" s="18" t="inlineStr">
        <is>
          <t>—</t>
        </is>
      </c>
    </row>
    <row r="86" ht="15" customHeight="1">
      <c r="A86" s="37" t="inlineStr">
        <is>
          <t>L2 (grassland)</t>
        </is>
      </c>
      <c r="B86" s="20" t="inlineStr">
        <is>
          <t>Grassland surface area (EU)</t>
        </is>
      </c>
      <c r="C86" s="20" t="inlineStr">
        <is>
          <t>LULUCF</t>
        </is>
      </c>
      <c r="D86" s="20" t="inlineStr">
        <is>
          <t>million ha</t>
        </is>
      </c>
      <c r="E86" s="21" t="n">
        <v>2021</v>
      </c>
      <c r="F86" s="22" t="n">
        <v>73.2</v>
      </c>
      <c r="G86" s="21" t="n">
        <v>2021</v>
      </c>
      <c r="H86" s="22" t="n">
        <v>73.2</v>
      </c>
      <c r="I86" s="22" t="n"/>
      <c r="J86" s="23" t="n"/>
      <c r="K86" s="24" t="inlineStr">
        <is>
          <t>No later data — report figure stands</t>
        </is>
      </c>
      <c r="L86" s="24" t="inlineStr">
        <is>
          <t>—</t>
        </is>
      </c>
    </row>
    <row r="87" ht="15" customHeight="1">
      <c r="A87" s="36" t="inlineStr">
        <is>
          <t>L2 (other)</t>
        </is>
      </c>
      <c r="B87" s="14" t="inlineStr">
        <is>
          <t>Other surface area (EU)</t>
        </is>
      </c>
      <c r="C87" s="14" t="inlineStr">
        <is>
          <t>LULUCF</t>
        </is>
      </c>
      <c r="D87" s="14" t="inlineStr">
        <is>
          <t>million ha</t>
        </is>
      </c>
      <c r="E87" s="15" t="n">
        <v>2021</v>
      </c>
      <c r="F87" s="16" t="n">
        <v>9.657999999999999</v>
      </c>
      <c r="G87" s="15" t="n">
        <v>2021</v>
      </c>
      <c r="H87" s="16" t="n">
        <v>9.657999999999999</v>
      </c>
      <c r="I87" s="16" t="n"/>
      <c r="J87" s="17" t="n"/>
      <c r="K87" s="18" t="inlineStr">
        <is>
          <t>No later data — report figure stands</t>
        </is>
      </c>
      <c r="L87" s="18" t="inlineStr">
        <is>
          <t>—</t>
        </is>
      </c>
    </row>
    <row r="88" ht="15" customHeight="1">
      <c r="A88" s="37" t="inlineStr">
        <is>
          <t>L2 (settlements)</t>
        </is>
      </c>
      <c r="B88" s="20" t="inlineStr">
        <is>
          <t>Settlements surface area (EU)</t>
        </is>
      </c>
      <c r="C88" s="20" t="inlineStr">
        <is>
          <t>LULUCF</t>
        </is>
      </c>
      <c r="D88" s="20" t="inlineStr">
        <is>
          <t>million ha</t>
        </is>
      </c>
      <c r="E88" s="21" t="n">
        <v>2021</v>
      </c>
      <c r="F88" s="22" t="n">
        <v>28.15</v>
      </c>
      <c r="G88" s="21" t="n">
        <v>2021</v>
      </c>
      <c r="H88" s="22" t="n">
        <v>28.15</v>
      </c>
      <c r="I88" s="22" t="n"/>
      <c r="J88" s="23" t="n"/>
      <c r="K88" s="24" t="inlineStr">
        <is>
          <t>No later data — report figure stands</t>
        </is>
      </c>
      <c r="L88" s="24" t="inlineStr">
        <is>
          <t>—</t>
        </is>
      </c>
    </row>
    <row r="89" ht="15" customHeight="1">
      <c r="A89" s="36" t="inlineStr">
        <is>
          <t>L2 (wetland)</t>
        </is>
      </c>
      <c r="B89" s="14" t="inlineStr">
        <is>
          <t>Wetland surface area (EU)</t>
        </is>
      </c>
      <c r="C89" s="14" t="inlineStr">
        <is>
          <t>LULUCF</t>
        </is>
      </c>
      <c r="D89" s="14" t="inlineStr">
        <is>
          <t>million ha</t>
        </is>
      </c>
      <c r="E89" s="15" t="n">
        <v>2021</v>
      </c>
      <c r="F89" s="16" t="n">
        <v>23.87</v>
      </c>
      <c r="G89" s="15" t="n">
        <v>2021</v>
      </c>
      <c r="H89" s="16" t="n">
        <v>23.87</v>
      </c>
      <c r="I89" s="16" t="n"/>
      <c r="J89" s="17" t="n"/>
      <c r="K89" s="18" t="inlineStr">
        <is>
          <t>No later data — report figure stands</t>
        </is>
      </c>
      <c r="L89" s="18" t="inlineStr">
        <is>
          <t>—</t>
        </is>
      </c>
    </row>
    <row r="90" ht="15" customHeight="1">
      <c r="A90" s="37" t="inlineStr">
        <is>
          <t>L3</t>
        </is>
      </c>
      <c r="B90" s="20" t="inlineStr">
        <is>
          <t>Annual afforested area</t>
        </is>
      </c>
      <c r="C90" s="20" t="inlineStr">
        <is>
          <t>LULUCF</t>
        </is>
      </c>
      <c r="D90" s="20" t="inlineStr">
        <is>
          <t>thousand ha/yr</t>
        </is>
      </c>
      <c r="E90" s="21" t="n">
        <v>2021</v>
      </c>
      <c r="F90" s="22" t="n">
        <v>326.8</v>
      </c>
      <c r="G90" s="21" t="n">
        <v>2021</v>
      </c>
      <c r="H90" s="22" t="n">
        <v>326.8</v>
      </c>
      <c r="I90" s="22" t="n"/>
      <c r="J90" s="23" t="n"/>
      <c r="K90" s="24" t="inlineStr">
        <is>
          <t>No later data — report figure stands</t>
        </is>
      </c>
      <c r="L90" s="24" t="inlineStr">
        <is>
          <t>—</t>
        </is>
      </c>
    </row>
    <row r="91" ht="15" customHeight="1">
      <c r="A91" s="36" t="inlineStr">
        <is>
          <t>L4</t>
        </is>
      </c>
      <c r="B91" s="14" t="inlineStr">
        <is>
          <t>Annual deforested area</t>
        </is>
      </c>
      <c r="C91" s="14" t="inlineStr">
        <is>
          <t>LULUCF</t>
        </is>
      </c>
      <c r="D91" s="14" t="inlineStr">
        <is>
          <t>thousand ha/yr</t>
        </is>
      </c>
      <c r="E91" s="15" t="n">
        <v>2021</v>
      </c>
      <c r="F91" s="16" t="n">
        <v>-114.5</v>
      </c>
      <c r="G91" s="15" t="n">
        <v>2021</v>
      </c>
      <c r="H91" s="16" t="n">
        <v>-114.5</v>
      </c>
      <c r="I91" s="16" t="n"/>
      <c r="J91" s="17" t="n"/>
      <c r="K91" s="18" t="inlineStr">
        <is>
          <t>No later data — report figure stands</t>
        </is>
      </c>
      <c r="L91" s="18" t="inlineStr">
        <is>
          <t>—</t>
        </is>
      </c>
    </row>
    <row r="92" ht="15" customHeight="1">
      <c r="A92" s="37" t="inlineStr">
        <is>
          <t>L5</t>
        </is>
      </c>
      <c r="B92" s="20" t="inlineStr">
        <is>
          <t>Annual settlement area increase (net land take proxy)</t>
        </is>
      </c>
      <c r="C92" s="20" t="inlineStr">
        <is>
          <t>LULUCF</t>
        </is>
      </c>
      <c r="D92" s="20" t="inlineStr">
        <is>
          <t>thousand ha/yr</t>
        </is>
      </c>
      <c r="E92" s="21" t="n">
        <v>2021</v>
      </c>
      <c r="F92" s="22" t="n">
        <v>142.2</v>
      </c>
      <c r="G92" s="21" t="n">
        <v>2021</v>
      </c>
      <c r="H92" s="22" t="n">
        <v>142.2</v>
      </c>
      <c r="I92" s="22" t="n"/>
      <c r="J92" s="23" t="n"/>
      <c r="K92" s="24" t="inlineStr">
        <is>
          <t>No later data — report figure stands</t>
        </is>
      </c>
      <c r="L92" s="24" t="inlineStr">
        <is>
          <t>—</t>
        </is>
      </c>
    </row>
    <row r="93" ht="15" customHeight="1">
      <c r="A93" s="36" t="inlineStr">
        <is>
          <t>L6</t>
        </is>
      </c>
      <c r="B93" s="14" t="inlineStr">
        <is>
          <t>Forest land living-biomass carbon sink</t>
        </is>
      </c>
      <c r="C93" s="14" t="inlineStr">
        <is>
          <t>LULUCF</t>
        </is>
      </c>
      <c r="D93" s="14" t="inlineStr">
        <is>
          <t>Mt CO₂eq</t>
        </is>
      </c>
      <c r="E93" s="15" t="n">
        <v>2021</v>
      </c>
      <c r="F93" s="16" t="n">
        <v>231.8</v>
      </c>
      <c r="G93" s="15" t="n">
        <v>2024</v>
      </c>
      <c r="H93" s="16" t="n">
        <v>258.3</v>
      </c>
      <c r="I93" s="16" t="n">
        <v>26.5</v>
      </c>
      <c r="J93" s="17" t="n">
        <v>0.1143226919758412</v>
      </c>
      <c r="K93" s="18" t="inlineStr">
        <is>
          <t>Different recipe for the later years</t>
        </is>
      </c>
      <c r="L93" s="18" t="inlineStr">
        <is>
          <t>Reproduces from source</t>
        </is>
      </c>
    </row>
    <row r="94" ht="15" customHeight="1">
      <c r="A94" s="37" t="inlineStr">
        <is>
          <t>L7</t>
        </is>
      </c>
      <c r="B94" s="20" t="inlineStr">
        <is>
          <t>Non-forest LULUCF net GHG emissions</t>
        </is>
      </c>
      <c r="C94" s="20" t="inlineStr">
        <is>
          <t>LULUCF</t>
        </is>
      </c>
      <c r="D94" s="20" t="inlineStr">
        <is>
          <t>Mt CO₂eq</t>
        </is>
      </c>
      <c r="E94" s="21" t="n">
        <v>2021</v>
      </c>
      <c r="F94" s="22" t="n">
        <v>97.44</v>
      </c>
      <c r="G94" s="21" t="n">
        <v>2024</v>
      </c>
      <c r="H94" s="22" t="n">
        <v>123</v>
      </c>
      <c r="I94" s="22" t="n">
        <v>25.56</v>
      </c>
      <c r="J94" s="23" t="n">
        <v>0.2623152709359606</v>
      </c>
      <c r="K94" s="24" t="inlineStr">
        <is>
          <t>Different recipe for the later years</t>
        </is>
      </c>
      <c r="L94" s="24" t="inlineStr">
        <is>
          <t>Reproduces from source</t>
        </is>
      </c>
    </row>
    <row r="95" ht="15" customHeight="1">
      <c r="A95" s="36" t="inlineStr">
        <is>
          <t>L8</t>
        </is>
      </c>
      <c r="B95" s="14" t="inlineStr">
        <is>
          <t>Total bioenergy use (EU-27)</t>
        </is>
      </c>
      <c r="C95" s="14" t="inlineStr">
        <is>
          <t>LULUCF</t>
        </is>
      </c>
      <c r="D95" s="14" t="inlineStr">
        <is>
          <t>TWh</t>
        </is>
      </c>
      <c r="E95" s="15" t="n">
        <v>2021</v>
      </c>
      <c r="F95" s="16" t="n">
        <v>1795.7</v>
      </c>
      <c r="G95" s="15" t="n">
        <v>2024</v>
      </c>
      <c r="H95" s="16" t="n">
        <v>1663.5</v>
      </c>
      <c r="I95" s="16" t="n">
        <v>-132.2</v>
      </c>
      <c r="J95" s="17" t="n">
        <v>-0.07362031519741608</v>
      </c>
      <c r="K95" s="18" t="inlineStr">
        <is>
          <t>Different recipe for the later years</t>
        </is>
      </c>
      <c r="L95" s="18" t="inlineStr">
        <is>
          <t>Reproduces from source</t>
        </is>
      </c>
    </row>
    <row r="96" ht="15" customHeight="1">
      <c r="A96" s="38" t="inlineStr">
        <is>
          <t>F1</t>
        </is>
      </c>
      <c r="B96" s="20" t="inlineStr">
        <is>
          <t>EU fossil-fuel subsidies (FFST)</t>
        </is>
      </c>
      <c r="C96" s="20" t="inlineStr">
        <is>
          <t>Finance &amp; innovation</t>
        </is>
      </c>
      <c r="D96" s="20" t="inlineStr">
        <is>
          <t>billion EUR</t>
        </is>
      </c>
      <c r="E96" s="21" t="n">
        <v>2022</v>
      </c>
      <c r="F96" s="22" t="n">
        <v>122</v>
      </c>
      <c r="G96" s="21" t="n">
        <v>2023</v>
      </c>
      <c r="H96" s="22" t="n">
        <v>111</v>
      </c>
      <c r="I96" s="22" t="n">
        <v>-11</v>
      </c>
      <c r="J96" s="23" t="n">
        <v>-0.09016393442622951</v>
      </c>
      <c r="K96" s="24" t="inlineStr">
        <is>
          <t>Report's formula, input back-computed</t>
        </is>
      </c>
      <c r="L96" s="24" t="inlineStr">
        <is>
          <t>Published figure, not re-derived</t>
        </is>
      </c>
    </row>
    <row r="97" ht="15" customHeight="1">
      <c r="A97" s="39" t="inlineStr">
        <is>
          <t>F2</t>
        </is>
      </c>
      <c r="B97" s="14" t="inlineStr">
        <is>
          <t>EU green bond issuance</t>
        </is>
      </c>
      <c r="C97" s="14" t="inlineStr">
        <is>
          <t>Finance &amp; innovation</t>
        </is>
      </c>
      <c r="D97" s="14" t="inlineStr">
        <is>
          <t>billion EUR</t>
        </is>
      </c>
      <c r="E97" s="15" t="n">
        <v>2022</v>
      </c>
      <c r="F97" s="16" t="n">
        <v>243</v>
      </c>
      <c r="G97" s="15" t="n">
        <v>2022</v>
      </c>
      <c r="H97" s="16" t="n">
        <v>243</v>
      </c>
      <c r="I97" s="16" t="n"/>
      <c r="J97" s="17" t="n"/>
      <c r="K97" s="18" t="inlineStr">
        <is>
          <t>No later data — report figure stands</t>
        </is>
      </c>
      <c r="L97" s="18" t="inlineStr">
        <is>
          <t>—</t>
        </is>
      </c>
    </row>
    <row r="98" ht="15" customHeight="1">
      <c r="A98" s="38" t="inlineStr">
        <is>
          <t>F2 (share)</t>
        </is>
      </c>
      <c r="B98" s="20" t="inlineStr">
        <is>
          <t>Green share of EU bond issuance</t>
        </is>
      </c>
      <c r="C98" s="20" t="inlineStr">
        <is>
          <t>Finance &amp; innovation</t>
        </is>
      </c>
      <c r="D98" s="20" t="inlineStr">
        <is>
          <t>%</t>
        </is>
      </c>
      <c r="E98" s="21" t="n">
        <v>2022</v>
      </c>
      <c r="F98" s="22" t="n">
        <v>6.74</v>
      </c>
      <c r="G98" s="21" t="n">
        <v>2024</v>
      </c>
      <c r="H98" s="22" t="n">
        <v>6.9</v>
      </c>
      <c r="I98" s="22" t="n">
        <v>0.1600000000000001</v>
      </c>
      <c r="J98" s="23" t="n">
        <v>0.02373887240356085</v>
      </c>
      <c r="K98" s="24" t="inlineStr">
        <is>
          <t>Report's formula, input back-computed</t>
        </is>
      </c>
      <c r="L98" s="24" t="inlineStr">
        <is>
          <t>Published figure, not re-derived</t>
        </is>
      </c>
    </row>
    <row r="99" ht="15" customHeight="1">
      <c r="A99" s="39" t="inlineStr">
        <is>
          <t>F3</t>
        </is>
      </c>
      <c r="B99" s="14" t="inlineStr">
        <is>
          <t>EU R&amp;D expenditure (GERD)</t>
        </is>
      </c>
      <c r="C99" s="14" t="inlineStr">
        <is>
          <t>Finance &amp; innovation</t>
        </is>
      </c>
      <c r="D99" s="14" t="inlineStr">
        <is>
          <t>% of GDP</t>
        </is>
      </c>
      <c r="E99" s="15" t="n">
        <v>2022</v>
      </c>
      <c r="F99" s="16" t="n">
        <v>2.27</v>
      </c>
      <c r="G99" s="15" t="n">
        <v>2024</v>
      </c>
      <c r="H99" s="16" t="n">
        <v>2.24</v>
      </c>
      <c r="I99" s="16" t="n">
        <v>-0.0299999999999998</v>
      </c>
      <c r="J99" s="17" t="n">
        <v>-0.01321585903083692</v>
      </c>
      <c r="K99" s="18" t="inlineStr">
        <is>
          <t>Different recipe for the later years</t>
        </is>
      </c>
      <c r="L99" s="18" t="inlineStr">
        <is>
          <t>Reproduces from source</t>
        </is>
      </c>
    </row>
    <row r="100" ht="15" customHeight="1">
      <c r="A100" s="38" t="inlineStr">
        <is>
          <t>F4</t>
        </is>
      </c>
      <c r="B100" s="20" t="inlineStr">
        <is>
          <t>Climate-related share of EU patent filings</t>
        </is>
      </c>
      <c r="C100" s="20" t="inlineStr">
        <is>
          <t>Finance &amp; innovation</t>
        </is>
      </c>
      <c r="D100" s="20" t="inlineStr">
        <is>
          <t>%</t>
        </is>
      </c>
      <c r="E100" s="21" t="n">
        <v>2019</v>
      </c>
      <c r="F100" s="22" t="n">
        <v>11.94</v>
      </c>
      <c r="G100" s="21" t="n">
        <v>2019</v>
      </c>
      <c r="H100" s="22" t="n">
        <v>11.94</v>
      </c>
      <c r="I100" s="22" t="n"/>
      <c r="J100" s="23" t="n"/>
      <c r="K100" s="24" t="inlineStr">
        <is>
          <t>No later data — report figure stands</t>
        </is>
      </c>
      <c r="L100" s="24" t="inlineStr">
        <is>
          <t>—</t>
        </is>
      </c>
    </row>
    <row r="101" ht="15" customHeight="1">
      <c r="A101" s="39" t="inlineStr">
        <is>
          <t>F5</t>
        </is>
      </c>
      <c r="B101" s="14" t="inlineStr">
        <is>
          <t>Cleantech venture &amp; growth investment in the EU</t>
        </is>
      </c>
      <c r="C101" s="14" t="inlineStr">
        <is>
          <t>Finance &amp; innovation</t>
        </is>
      </c>
      <c r="D101" s="14" t="inlineStr">
        <is>
          <t>% of GDP</t>
        </is>
      </c>
      <c r="E101" s="15" t="n">
        <v>2022</v>
      </c>
      <c r="F101" s="16" t="n">
        <v>0.06</v>
      </c>
      <c r="G101" s="15" t="n">
        <v>2025</v>
      </c>
      <c r="H101" s="16" t="n">
        <v>0.04</v>
      </c>
      <c r="I101" s="16" t="n">
        <v>-0.02</v>
      </c>
      <c r="J101" s="17" t="n">
        <v>-0.3333333333333333</v>
      </c>
      <c r="K101" s="18" t="inlineStr">
        <is>
          <t>Report's formula, input back-computed</t>
        </is>
      </c>
      <c r="L101" s="18" t="inlineStr">
        <is>
          <t>Published figure, not re-derived</t>
        </is>
      </c>
    </row>
  </sheetData>
  <autoFilter ref="A4:L101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D7E83"/>
    <outlinePr summaryBelow="1" summaryRight="1"/>
    <pageSetUpPr/>
  </sheetPr>
  <dimension ref="A1:AR1276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26" customHeight="1">
      <c r="A1" s="1" t="inlineStr">
        <is>
          <t>The arithmetic behind every figure</t>
        </is>
      </c>
    </row>
    <row r="2" ht="30" customHeight="1">
      <c r="A2" s="2" t="inlineStr">
        <is>
          <t>One block per indicator: Year, Value, then the inputs the value is built from. The Value cells are live Excel formulas over the cells to their right — click one to see it, edit an input and it recomputes. These are the Method Hub's own formulas, produced by the same translator the Hub uses to export a calc grid, so the sheet and the Hub agree by construction.</t>
        </is>
      </c>
    </row>
    <row r="4">
      <c r="A4" s="40" t="inlineStr">
        <is>
          <t>O1 · Total EU GHG emissions (European Climate Law scope)  (Mt CO₂eq)</t>
        </is>
      </c>
    </row>
    <row r="5" ht="26" customHeight="1">
      <c r="A5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6" ht="22" customHeight="1">
      <c r="A6" s="3" t="inlineStr">
        <is>
          <t>Refreshed for 2023, 2024: 1.D.1.a - International Aviation, 1.A.1 - Energy Industries, 1.B - Fugitive Emissions from Fuels, 1.A.2 - Manufacturing Industries and Construction, 2 - Industrial Processes and Product Use, 1.A.3 - Transport, 1.A.4 - Other Sectors, 3 - Agriculture, 4 - Land Use, Land-Use Change and Forestry, Total net emissions (UNFCCC), 1.D.1.b - International Navigation</t>
        </is>
      </c>
    </row>
    <row r="7" ht="24" customHeight="1">
      <c r="A7" s="3" t="inlineStr">
        <is>
          <t>Derivation:  Value = ([International aviation]+[Energy supply]+[Industry]+[Transport]+[Buildings and agriculture energy]+[Agriculture (non-energy)]+[LULUCF]+[Waste and other sectors])+[International maritime]*(0.6374552000704592)</t>
        </is>
      </c>
    </row>
    <row r="8" ht="42" customHeight="1">
      <c r="A8" s="42" t="inlineStr">
        <is>
          <t>Year</t>
        </is>
      </c>
      <c r="B8" s="42" t="inlineStr">
        <is>
          <t>Value</t>
        </is>
      </c>
      <c r="C8" s="42" t="inlineStr">
        <is>
          <t>International aviation</t>
        </is>
      </c>
      <c r="D8" s="42" t="inlineStr">
        <is>
          <t>Energy supply</t>
        </is>
      </c>
      <c r="E8" s="42" t="inlineStr">
        <is>
          <t>Industry</t>
        </is>
      </c>
      <c r="F8" s="42" t="inlineStr">
        <is>
          <t>Transport</t>
        </is>
      </c>
      <c r="G8" s="42" t="inlineStr">
        <is>
          <t>Buildings and agriculture energy</t>
        </is>
      </c>
      <c r="H8" s="42" t="inlineStr">
        <is>
          <t>Agriculture (non-energy)</t>
        </is>
      </c>
      <c r="I8" s="42" t="inlineStr">
        <is>
          <t>LULUCF</t>
        </is>
      </c>
      <c r="J8" s="42" t="inlineStr">
        <is>
          <t>Waste and other sectors</t>
        </is>
      </c>
      <c r="K8" s="42" t="inlineStr">
        <is>
          <t>International maritime</t>
        </is>
      </c>
      <c r="L8" s="42" t="inlineStr">
        <is>
          <t>1.D.1.a - International Aviation</t>
        </is>
      </c>
      <c r="M8" s="42" t="inlineStr">
        <is>
          <t>1.A.1 - Energy Industries</t>
        </is>
      </c>
      <c r="N8" s="42" t="inlineStr">
        <is>
          <t>1.B - Fugitive Emissions from Fuels</t>
        </is>
      </c>
      <c r="O8" s="42" t="inlineStr">
        <is>
          <t>1.A.2 - Manufacturing Industries and Construction</t>
        </is>
      </c>
      <c r="P8" s="42" t="inlineStr">
        <is>
          <t>2 - Industrial Processes and Product Use</t>
        </is>
      </c>
      <c r="Q8" s="42" t="inlineStr">
        <is>
          <t>1.A.3 - Transport</t>
        </is>
      </c>
      <c r="R8" s="42" t="inlineStr">
        <is>
          <t>1.A.4 - Other Sectors</t>
        </is>
      </c>
      <c r="S8" s="42" t="inlineStr">
        <is>
          <t>3 - Agriculture</t>
        </is>
      </c>
      <c r="T8" s="42" t="inlineStr">
        <is>
          <t>4 - Land Use, Land-Use Change and Forestry</t>
        </is>
      </c>
      <c r="U8" s="42" t="inlineStr">
        <is>
          <t>Total net emissions (UNFCCC)</t>
        </is>
      </c>
      <c r="V8" s="42" t="inlineStr">
        <is>
          <t>1.D.1.b - International Navigation</t>
        </is>
      </c>
    </row>
    <row r="9" ht="14" customHeight="1">
      <c r="A9" s="15" t="n">
        <v>2005</v>
      </c>
      <c r="B9" s="43">
        <f>((((((((C9+D9)+E9)+F9)+G9)+H9)+I9)+J9)+(K9*0.6374552000704592))</f>
        <v/>
      </c>
      <c r="C9" s="44">
        <f>(L9/1000)</f>
        <v/>
      </c>
      <c r="D9" s="44">
        <f>((M9+N9)/1000)</f>
        <v/>
      </c>
      <c r="E9" s="44">
        <f>((O9+P9)/1000)</f>
        <v/>
      </c>
      <c r="F9" s="44">
        <f>(Q9/1000)</f>
        <v/>
      </c>
      <c r="G9" s="44">
        <f>(R9/1000)</f>
        <v/>
      </c>
      <c r="H9" s="44">
        <f>(S9/1000)</f>
        <v/>
      </c>
      <c r="I9" s="44">
        <f>(T9/1000)</f>
        <v/>
      </c>
      <c r="J9" s="44">
        <f>(((((((U9/1000)-I9)-H9)-G9)-F9)-E9)-D9)</f>
        <v/>
      </c>
      <c r="K9" s="44">
        <f>(V9/1000)</f>
        <v/>
      </c>
      <c r="L9" s="44" t="n">
        <v>96093.5467867558</v>
      </c>
      <c r="M9" s="44" t="n">
        <v>1383791.909747243</v>
      </c>
      <c r="N9" s="44" t="n">
        <v>105438.9538356649</v>
      </c>
      <c r="O9" s="44" t="n">
        <v>556523.7994334318</v>
      </c>
      <c r="P9" s="44" t="n">
        <v>424749.957324306</v>
      </c>
      <c r="Q9" s="44" t="n">
        <v>847385.8950621939</v>
      </c>
      <c r="R9" s="44" t="n">
        <v>665039.2409976354</v>
      </c>
      <c r="S9" s="44" t="n">
        <v>389223.9381124297</v>
      </c>
      <c r="T9" s="44" t="n">
        <v>-342109.4761312911</v>
      </c>
      <c r="U9" s="44" t="n">
        <v>4199772.422216571</v>
      </c>
      <c r="V9" s="44" t="n">
        <v>153718.2167242595</v>
      </c>
    </row>
    <row r="10" ht="14" customHeight="1">
      <c r="A10" s="21" t="n">
        <v>2006</v>
      </c>
      <c r="B10" s="45">
        <f>((((((((C10+D10)+E10)+F10)+G10)+H10)+I10)+J10)+(K10*0.6374552000704592))</f>
        <v/>
      </c>
      <c r="C10" s="46">
        <f>(L10/1000)</f>
        <v/>
      </c>
      <c r="D10" s="46">
        <f>((M10+N10)/1000)</f>
        <v/>
      </c>
      <c r="E10" s="46">
        <f>((O10+P10)/1000)</f>
        <v/>
      </c>
      <c r="F10" s="46">
        <f>(Q10/1000)</f>
        <v/>
      </c>
      <c r="G10" s="46">
        <f>(R10/1000)</f>
        <v/>
      </c>
      <c r="H10" s="46">
        <f>(S10/1000)</f>
        <v/>
      </c>
      <c r="I10" s="46">
        <f>(T10/1000)</f>
        <v/>
      </c>
      <c r="J10" s="46">
        <f>(((((((U10/1000)-I10)-H10)-G10)-F10)-E10)-D10)</f>
        <v/>
      </c>
      <c r="K10" s="46">
        <f>(V10/1000)</f>
        <v/>
      </c>
      <c r="L10" s="46" t="n">
        <v>101161.5316416803</v>
      </c>
      <c r="M10" s="46" t="n">
        <v>1391298.067482591</v>
      </c>
      <c r="N10" s="46" t="n">
        <v>102854.448388843</v>
      </c>
      <c r="O10" s="46" t="n">
        <v>546025.3443937633</v>
      </c>
      <c r="P10" s="46" t="n">
        <v>427761.119956169</v>
      </c>
      <c r="Q10" s="46" t="n">
        <v>855493.5985864113</v>
      </c>
      <c r="R10" s="46" t="n">
        <v>663447.8326795688</v>
      </c>
      <c r="S10" s="46" t="n">
        <v>386079.7416515591</v>
      </c>
      <c r="T10" s="46" t="n">
        <v>-351296.38360007</v>
      </c>
      <c r="U10" s="46" t="n">
        <v>4186742.650344439</v>
      </c>
      <c r="V10" s="46" t="n">
        <v>164515.5386288674</v>
      </c>
    </row>
    <row r="11" ht="14" customHeight="1">
      <c r="A11" s="15" t="n">
        <v>2007</v>
      </c>
      <c r="B11" s="43">
        <f>((((((((C11+D11)+E11)+F11)+G11)+H11)+I11)+J11)+(K11*0.6374552000704592))</f>
        <v/>
      </c>
      <c r="C11" s="44">
        <f>(L11/1000)</f>
        <v/>
      </c>
      <c r="D11" s="44">
        <f>((M11+N11)/1000)</f>
        <v/>
      </c>
      <c r="E11" s="44">
        <f>((O11+P11)/1000)</f>
        <v/>
      </c>
      <c r="F11" s="44">
        <f>(Q11/1000)</f>
        <v/>
      </c>
      <c r="G11" s="44">
        <f>(R11/1000)</f>
        <v/>
      </c>
      <c r="H11" s="44">
        <f>(S11/1000)</f>
        <v/>
      </c>
      <c r="I11" s="44">
        <f>(T11/1000)</f>
        <v/>
      </c>
      <c r="J11" s="44">
        <f>(((((((U11/1000)-I11)-H11)-G11)-F11)-E11)-D11)</f>
        <v/>
      </c>
      <c r="K11" s="44">
        <f>(V11/1000)</f>
        <v/>
      </c>
      <c r="L11" s="44" t="n">
        <v>105830.0665252898</v>
      </c>
      <c r="M11" s="44" t="n">
        <v>1405513.649998837</v>
      </c>
      <c r="N11" s="44" t="n">
        <v>98154.80970217913</v>
      </c>
      <c r="O11" s="44" t="n">
        <v>558821.7373136887</v>
      </c>
      <c r="P11" s="44" t="n">
        <v>436796.397234523</v>
      </c>
      <c r="Q11" s="44" t="n">
        <v>863987.3624702656</v>
      </c>
      <c r="R11" s="44" t="n">
        <v>589494.6612543917</v>
      </c>
      <c r="S11" s="44" t="n">
        <v>389077.2087221159</v>
      </c>
      <c r="T11" s="44" t="n">
        <v>-300617.2864973615</v>
      </c>
      <c r="U11" s="44" t="n">
        <v>4202150.3650721</v>
      </c>
      <c r="V11" s="44" t="n">
        <v>171662.0376391525</v>
      </c>
    </row>
    <row r="12" ht="14" customHeight="1">
      <c r="A12" s="21" t="n">
        <v>2008</v>
      </c>
      <c r="B12" s="45">
        <f>((((((((C12+D12)+E12)+F12)+G12)+H12)+I12)+J12)+(K12*0.6374552000704592))</f>
        <v/>
      </c>
      <c r="C12" s="46">
        <f>(L12/1000)</f>
        <v/>
      </c>
      <c r="D12" s="46">
        <f>((M12+N12)/1000)</f>
        <v/>
      </c>
      <c r="E12" s="46">
        <f>((O12+P12)/1000)</f>
        <v/>
      </c>
      <c r="F12" s="46">
        <f>(Q12/1000)</f>
        <v/>
      </c>
      <c r="G12" s="46">
        <f>(R12/1000)</f>
        <v/>
      </c>
      <c r="H12" s="46">
        <f>(S12/1000)</f>
        <v/>
      </c>
      <c r="I12" s="46">
        <f>(T12/1000)</f>
        <v/>
      </c>
      <c r="J12" s="46">
        <f>(((((((U12/1000)-I12)-H12)-G12)-F12)-E12)-D12)</f>
        <v/>
      </c>
      <c r="K12" s="46">
        <f>(V12/1000)</f>
        <v/>
      </c>
      <c r="L12" s="46" t="n">
        <v>107394.2293441508</v>
      </c>
      <c r="M12" s="46" t="n">
        <v>1336603.937452088</v>
      </c>
      <c r="N12" s="46" t="n">
        <v>96639.65675954637</v>
      </c>
      <c r="O12" s="46" t="n">
        <v>539298.5581894323</v>
      </c>
      <c r="P12" s="46" t="n">
        <v>413039.8886742173</v>
      </c>
      <c r="Q12" s="46" t="n">
        <v>844924.2604683492</v>
      </c>
      <c r="R12" s="46" t="n">
        <v>635070.0212689056</v>
      </c>
      <c r="S12" s="46" t="n">
        <v>386575.0098164768</v>
      </c>
      <c r="T12" s="46" t="n">
        <v>-344262.7716834369</v>
      </c>
      <c r="U12" s="46" t="n">
        <v>4064149.484070258</v>
      </c>
      <c r="V12" s="46" t="n">
        <v>169489.7568514196</v>
      </c>
    </row>
    <row r="13" ht="14" customHeight="1">
      <c r="A13" s="15" t="n">
        <v>2009</v>
      </c>
      <c r="B13" s="43">
        <f>((((((((C13+D13)+E13)+F13)+G13)+H13)+I13)+J13)+(K13*0.6374552000704592))</f>
        <v/>
      </c>
      <c r="C13" s="44">
        <f>(L13/1000)</f>
        <v/>
      </c>
      <c r="D13" s="44">
        <f>((M13+N13)/1000)</f>
        <v/>
      </c>
      <c r="E13" s="44">
        <f>((O13+P13)/1000)</f>
        <v/>
      </c>
      <c r="F13" s="44">
        <f>(Q13/1000)</f>
        <v/>
      </c>
      <c r="G13" s="44">
        <f>(R13/1000)</f>
        <v/>
      </c>
      <c r="H13" s="44">
        <f>(S13/1000)</f>
        <v/>
      </c>
      <c r="I13" s="44">
        <f>(T13/1000)</f>
        <v/>
      </c>
      <c r="J13" s="44">
        <f>(((((((U13/1000)-I13)-H13)-G13)-F13)-E13)-D13)</f>
        <v/>
      </c>
      <c r="K13" s="44">
        <f>(V13/1000)</f>
        <v/>
      </c>
      <c r="L13" s="44" t="n">
        <v>98727.74136248264</v>
      </c>
      <c r="M13" s="44" t="n">
        <v>1235822.217675003</v>
      </c>
      <c r="N13" s="44" t="n">
        <v>89395.84095457353</v>
      </c>
      <c r="O13" s="44" t="n">
        <v>447681.1654271635</v>
      </c>
      <c r="P13" s="44" t="n">
        <v>341747.1408288951</v>
      </c>
      <c r="Q13" s="44" t="n">
        <v>823123.0306433681</v>
      </c>
      <c r="R13" s="44" t="n">
        <v>621387.0525601142</v>
      </c>
      <c r="S13" s="44" t="n">
        <v>381540.6542629341</v>
      </c>
      <c r="T13" s="44" t="n">
        <v>-347022.328623644</v>
      </c>
      <c r="U13" s="44" t="n">
        <v>3745936.961124457</v>
      </c>
      <c r="V13" s="44" t="n">
        <v>150692.1471136669</v>
      </c>
    </row>
    <row r="14" ht="14" customHeight="1">
      <c r="A14" s="21" t="n">
        <v>2010</v>
      </c>
      <c r="B14" s="45">
        <f>((((((((C14+D14)+E14)+F14)+G14)+H14)+I14)+J14)+(K14*0.6374552000704592))</f>
        <v/>
      </c>
      <c r="C14" s="46">
        <f>(L14/1000)</f>
        <v/>
      </c>
      <c r="D14" s="46">
        <f>((M14+N14)/1000)</f>
        <v/>
      </c>
      <c r="E14" s="46">
        <f>((O14+P14)/1000)</f>
        <v/>
      </c>
      <c r="F14" s="46">
        <f>(Q14/1000)</f>
        <v/>
      </c>
      <c r="G14" s="46">
        <f>(R14/1000)</f>
        <v/>
      </c>
      <c r="H14" s="46">
        <f>(S14/1000)</f>
        <v/>
      </c>
      <c r="I14" s="46">
        <f>(T14/1000)</f>
        <v/>
      </c>
      <c r="J14" s="46">
        <f>(((((((U14/1000)-I14)-H14)-G14)-F14)-E14)-D14)</f>
        <v/>
      </c>
      <c r="K14" s="46">
        <f>(V14/1000)</f>
        <v/>
      </c>
      <c r="L14" s="46" t="n">
        <v>100367.703168101</v>
      </c>
      <c r="M14" s="46" t="n">
        <v>1254197.964069834</v>
      </c>
      <c r="N14" s="46" t="n">
        <v>88942.11788421345</v>
      </c>
      <c r="O14" s="46" t="n">
        <v>480724.9666168753</v>
      </c>
      <c r="P14" s="46" t="n">
        <v>358089.4760762021</v>
      </c>
      <c r="Q14" s="46" t="n">
        <v>817639.3284119875</v>
      </c>
      <c r="R14" s="46" t="n">
        <v>656091.4267227739</v>
      </c>
      <c r="S14" s="46" t="n">
        <v>376261.832016038</v>
      </c>
      <c r="T14" s="46" t="n">
        <v>-352590.1909498173</v>
      </c>
      <c r="U14" s="46" t="n">
        <v>3828151.481732043</v>
      </c>
      <c r="V14" s="46" t="n">
        <v>151616.5388100612</v>
      </c>
    </row>
    <row r="15" ht="14" customHeight="1">
      <c r="A15" s="15" t="n">
        <v>2011</v>
      </c>
      <c r="B15" s="43">
        <f>((((((((C15+D15)+E15)+F15)+G15)+H15)+I15)+J15)+(K15*0.6374552000704592))</f>
        <v/>
      </c>
      <c r="C15" s="44">
        <f>(L15/1000)</f>
        <v/>
      </c>
      <c r="D15" s="44">
        <f>((M15+N15)/1000)</f>
        <v/>
      </c>
      <c r="E15" s="44">
        <f>((O15+P15)/1000)</f>
        <v/>
      </c>
      <c r="F15" s="44">
        <f>(Q15/1000)</f>
        <v/>
      </c>
      <c r="G15" s="44">
        <f>(R15/1000)</f>
        <v/>
      </c>
      <c r="H15" s="44">
        <f>(S15/1000)</f>
        <v/>
      </c>
      <c r="I15" s="44">
        <f>(T15/1000)</f>
        <v/>
      </c>
      <c r="J15" s="44">
        <f>(((((((U15/1000)-I15)-H15)-G15)-F15)-E15)-D15)</f>
        <v/>
      </c>
      <c r="K15" s="44">
        <f>(V15/1000)</f>
        <v/>
      </c>
      <c r="L15" s="44" t="n">
        <v>102837.0641991336</v>
      </c>
      <c r="M15" s="44" t="n">
        <v>1245598.75636121</v>
      </c>
      <c r="N15" s="44" t="n">
        <v>88256.71798617767</v>
      </c>
      <c r="O15" s="44" t="n">
        <v>468688.8421073754</v>
      </c>
      <c r="P15" s="44" t="n">
        <v>357464.6123107264</v>
      </c>
      <c r="Q15" s="44" t="n">
        <v>808240.4255515237</v>
      </c>
      <c r="R15" s="44" t="n">
        <v>581491.159158799</v>
      </c>
      <c r="S15" s="44" t="n">
        <v>375710.6857101015</v>
      </c>
      <c r="T15" s="44" t="n">
        <v>-347273.8004383777</v>
      </c>
      <c r="U15" s="44" t="n">
        <v>3722592.33532732</v>
      </c>
      <c r="V15" s="44" t="n">
        <v>150438.6922295953</v>
      </c>
    </row>
    <row r="16" ht="14" customHeight="1">
      <c r="A16" s="21" t="n">
        <v>2012</v>
      </c>
      <c r="B16" s="45">
        <f>((((((((C16+D16)+E16)+F16)+G16)+H16)+I16)+J16)+(K16*0.6374552000704592))</f>
        <v/>
      </c>
      <c r="C16" s="46">
        <f>(L16/1000)</f>
        <v/>
      </c>
      <c r="D16" s="46">
        <f>((M16+N16)/1000)</f>
        <v/>
      </c>
      <c r="E16" s="46">
        <f>((O16+P16)/1000)</f>
        <v/>
      </c>
      <c r="F16" s="46">
        <f>(Q16/1000)</f>
        <v/>
      </c>
      <c r="G16" s="46">
        <f>(R16/1000)</f>
        <v/>
      </c>
      <c r="H16" s="46">
        <f>(S16/1000)</f>
        <v/>
      </c>
      <c r="I16" s="46">
        <f>(T16/1000)</f>
        <v/>
      </c>
      <c r="J16" s="46">
        <f>(((((((U16/1000)-I16)-H16)-G16)-F16)-E16)-D16)</f>
        <v/>
      </c>
      <c r="K16" s="46">
        <f>(V16/1000)</f>
        <v/>
      </c>
      <c r="L16" s="46" t="n">
        <v>101711.2712350216</v>
      </c>
      <c r="M16" s="46" t="n">
        <v>1228497.283589192</v>
      </c>
      <c r="N16" s="46" t="n">
        <v>87382.27090351634</v>
      </c>
      <c r="O16" s="46" t="n">
        <v>450892.5625642318</v>
      </c>
      <c r="P16" s="46" t="n">
        <v>344777.8719775737</v>
      </c>
      <c r="Q16" s="46" t="n">
        <v>778706.749671909</v>
      </c>
      <c r="R16" s="46" t="n">
        <v>589570.9624305605</v>
      </c>
      <c r="S16" s="46" t="n">
        <v>375535.1288160273</v>
      </c>
      <c r="T16" s="46" t="n">
        <v>-342633.5989882683</v>
      </c>
      <c r="U16" s="46" t="n">
        <v>3652676.458347446</v>
      </c>
      <c r="V16" s="46" t="n">
        <v>140076.7945914176</v>
      </c>
    </row>
    <row r="17" ht="14" customHeight="1">
      <c r="A17" s="15" t="n">
        <v>2013</v>
      </c>
      <c r="B17" s="43">
        <f>((((((((C17+D17)+E17)+F17)+G17)+H17)+I17)+J17)+(K17*0.6374552000704592))</f>
        <v/>
      </c>
      <c r="C17" s="44">
        <f>(L17/1000)</f>
        <v/>
      </c>
      <c r="D17" s="44">
        <f>((M17+N17)/1000)</f>
        <v/>
      </c>
      <c r="E17" s="44">
        <f>((O17+P17)/1000)</f>
        <v/>
      </c>
      <c r="F17" s="44">
        <f>(Q17/1000)</f>
        <v/>
      </c>
      <c r="G17" s="44">
        <f>(R17/1000)</f>
        <v/>
      </c>
      <c r="H17" s="44">
        <f>(S17/1000)</f>
        <v/>
      </c>
      <c r="I17" s="44">
        <f>(T17/1000)</f>
        <v/>
      </c>
      <c r="J17" s="44">
        <f>(((((((U17/1000)-I17)-H17)-G17)-F17)-E17)-D17)</f>
        <v/>
      </c>
      <c r="K17" s="44">
        <f>(V17/1000)</f>
        <v/>
      </c>
      <c r="L17" s="44" t="n">
        <v>102661.527717858</v>
      </c>
      <c r="M17" s="44" t="n">
        <v>1167766.627856105</v>
      </c>
      <c r="N17" s="44" t="n">
        <v>86244.80117624416</v>
      </c>
      <c r="O17" s="44" t="n">
        <v>432830.4669897874</v>
      </c>
      <c r="P17" s="44" t="n">
        <v>342701.8740429208</v>
      </c>
      <c r="Q17" s="44" t="n">
        <v>772714.0098053934</v>
      </c>
      <c r="R17" s="44" t="n">
        <v>593898.5478671879</v>
      </c>
      <c r="S17" s="44" t="n">
        <v>377711.0600038942</v>
      </c>
      <c r="T17" s="44" t="n">
        <v>-342604.9051712324</v>
      </c>
      <c r="U17" s="44" t="n">
        <v>3565971.851813179</v>
      </c>
      <c r="V17" s="44" t="n">
        <v>132216.8364301119</v>
      </c>
    </row>
    <row r="18" ht="14" customHeight="1">
      <c r="A18" s="21" t="n">
        <v>2014</v>
      </c>
      <c r="B18" s="45">
        <f>((((((((C18+D18)+E18)+F18)+G18)+H18)+I18)+J18)+(K18*0.6374552000704592))</f>
        <v/>
      </c>
      <c r="C18" s="46">
        <f>(L18/1000)</f>
        <v/>
      </c>
      <c r="D18" s="46">
        <f>((M18+N18)/1000)</f>
        <v/>
      </c>
      <c r="E18" s="46">
        <f>((O18+P18)/1000)</f>
        <v/>
      </c>
      <c r="F18" s="46">
        <f>(Q18/1000)</f>
        <v/>
      </c>
      <c r="G18" s="46">
        <f>(R18/1000)</f>
        <v/>
      </c>
      <c r="H18" s="46">
        <f>(S18/1000)</f>
        <v/>
      </c>
      <c r="I18" s="46">
        <f>(T18/1000)</f>
        <v/>
      </c>
      <c r="J18" s="46">
        <f>(((((((U18/1000)-I18)-H18)-G18)-F18)-E18)-D18)</f>
        <v/>
      </c>
      <c r="K18" s="46">
        <f>(V18/1000)</f>
        <v/>
      </c>
      <c r="L18" s="46" t="n">
        <v>104670.2515866599</v>
      </c>
      <c r="M18" s="46" t="n">
        <v>1106411.952567341</v>
      </c>
      <c r="N18" s="46" t="n">
        <v>83315.75412458043</v>
      </c>
      <c r="O18" s="46" t="n">
        <v>419987.1953761611</v>
      </c>
      <c r="P18" s="46" t="n">
        <v>349178.2009048872</v>
      </c>
      <c r="Q18" s="46" t="n">
        <v>778078.2800394794</v>
      </c>
      <c r="R18" s="46" t="n">
        <v>517774.6481601744</v>
      </c>
      <c r="S18" s="46" t="n">
        <v>382763.2323365848</v>
      </c>
      <c r="T18" s="46" t="n">
        <v>-327802.7208805995</v>
      </c>
      <c r="U18" s="46" t="n">
        <v>3439936.605301883</v>
      </c>
      <c r="V18" s="46" t="n">
        <v>128504.2723115443</v>
      </c>
    </row>
    <row r="19" ht="14" customHeight="1">
      <c r="A19" s="15" t="n">
        <v>2015</v>
      </c>
      <c r="B19" s="43">
        <f>((((((((C19+D19)+E19)+F19)+G19)+H19)+I19)+J19)+(K19*0.6374552000704592))</f>
        <v/>
      </c>
      <c r="C19" s="44">
        <f>(L19/1000)</f>
        <v/>
      </c>
      <c r="D19" s="44">
        <f>((M19+N19)/1000)</f>
        <v/>
      </c>
      <c r="E19" s="44">
        <f>((O19+P19)/1000)</f>
        <v/>
      </c>
      <c r="F19" s="44">
        <f>(Q19/1000)</f>
        <v/>
      </c>
      <c r="G19" s="44">
        <f>(R19/1000)</f>
        <v/>
      </c>
      <c r="H19" s="44">
        <f>(S19/1000)</f>
        <v/>
      </c>
      <c r="I19" s="44">
        <f>(T19/1000)</f>
        <v/>
      </c>
      <c r="J19" s="44">
        <f>(((((((U19/1000)-I19)-H19)-G19)-F19)-E19)-D19)</f>
        <v/>
      </c>
      <c r="K19" s="44">
        <f>(V19/1000)</f>
        <v/>
      </c>
      <c r="L19" s="44" t="n">
        <v>108530.225575632</v>
      </c>
      <c r="M19" s="44" t="n">
        <v>1113952.039429784</v>
      </c>
      <c r="N19" s="44" t="n">
        <v>82722.17581126672</v>
      </c>
      <c r="O19" s="44" t="n">
        <v>428994.7046756293</v>
      </c>
      <c r="P19" s="44" t="n">
        <v>339854.3406348636</v>
      </c>
      <c r="Q19" s="44" t="n">
        <v>793239.5374683889</v>
      </c>
      <c r="R19" s="44" t="n">
        <v>541000.8190923381</v>
      </c>
      <c r="S19" s="44" t="n">
        <v>384280.2404336713</v>
      </c>
      <c r="T19" s="44" t="n">
        <v>-322423.8390120481</v>
      </c>
      <c r="U19" s="44" t="n">
        <v>3489991.78684447</v>
      </c>
      <c r="V19" s="44" t="n">
        <v>129161.6247826884</v>
      </c>
    </row>
    <row r="20" ht="14" customHeight="1">
      <c r="A20" s="21" t="n">
        <v>2016</v>
      </c>
      <c r="B20" s="45">
        <f>((((((((C20+D20)+E20)+F20)+G20)+H20)+I20)+J20)+(K20*0.6374552000704592))</f>
        <v/>
      </c>
      <c r="C20" s="46">
        <f>(L20/1000)</f>
        <v/>
      </c>
      <c r="D20" s="46">
        <f>((M20+N20)/1000)</f>
        <v/>
      </c>
      <c r="E20" s="46">
        <f>((O20+P20)/1000)</f>
        <v/>
      </c>
      <c r="F20" s="46">
        <f>(Q20/1000)</f>
        <v/>
      </c>
      <c r="G20" s="46">
        <f>(R20/1000)</f>
        <v/>
      </c>
      <c r="H20" s="46">
        <f>(S20/1000)</f>
        <v/>
      </c>
      <c r="I20" s="46">
        <f>(T20/1000)</f>
        <v/>
      </c>
      <c r="J20" s="46">
        <f>(((((((U20/1000)-I20)-H20)-G20)-F20)-E20)-D20)</f>
        <v/>
      </c>
      <c r="K20" s="46">
        <f>(V20/1000)</f>
        <v/>
      </c>
      <c r="L20" s="46" t="n">
        <v>115073.9625731744</v>
      </c>
      <c r="M20" s="46" t="n">
        <v>1089116.588723411</v>
      </c>
      <c r="N20" s="46" t="n">
        <v>79398.29508330715</v>
      </c>
      <c r="O20" s="46" t="n">
        <v>434138.4673306638</v>
      </c>
      <c r="P20" s="46" t="n">
        <v>342081.2033069766</v>
      </c>
      <c r="Q20" s="46" t="n">
        <v>810749.1666258904</v>
      </c>
      <c r="R20" s="46" t="n">
        <v>547734.6214553677</v>
      </c>
      <c r="S20" s="46" t="n">
        <v>386350.863086234</v>
      </c>
      <c r="T20" s="46" t="n">
        <v>-318486.5248315362</v>
      </c>
      <c r="U20" s="46" t="n">
        <v>3496207.047471587</v>
      </c>
      <c r="V20" s="46" t="n">
        <v>132878.7115343804</v>
      </c>
    </row>
    <row r="21" ht="14" customHeight="1">
      <c r="A21" s="15" t="n">
        <v>2017</v>
      </c>
      <c r="B21" s="43">
        <f>((((((((C21+D21)+E21)+F21)+G21)+H21)+I21)+J21)+(K21*0.6374552000704592))</f>
        <v/>
      </c>
      <c r="C21" s="44">
        <f>(L21/1000)</f>
        <v/>
      </c>
      <c r="D21" s="44">
        <f>((M21+N21)/1000)</f>
        <v/>
      </c>
      <c r="E21" s="44">
        <f>((O21+P21)/1000)</f>
        <v/>
      </c>
      <c r="F21" s="44">
        <f>(Q21/1000)</f>
        <v/>
      </c>
      <c r="G21" s="44">
        <f>(R21/1000)</f>
        <v/>
      </c>
      <c r="H21" s="44">
        <f>(S21/1000)</f>
        <v/>
      </c>
      <c r="I21" s="44">
        <f>(T21/1000)</f>
        <v/>
      </c>
      <c r="J21" s="44">
        <f>(((((((U21/1000)-I21)-H21)-G21)-F21)-E21)-D21)</f>
        <v/>
      </c>
      <c r="K21" s="44">
        <f>(V21/1000)</f>
        <v/>
      </c>
      <c r="L21" s="44" t="n">
        <v>124162.2531613785</v>
      </c>
      <c r="M21" s="44" t="n">
        <v>1083340.062104683</v>
      </c>
      <c r="N21" s="44" t="n">
        <v>78797.86218157514</v>
      </c>
      <c r="O21" s="44" t="n">
        <v>441345.5467568766</v>
      </c>
      <c r="P21" s="44" t="n">
        <v>349690.552885406</v>
      </c>
      <c r="Q21" s="44" t="n">
        <v>824980.6709826406</v>
      </c>
      <c r="R21" s="44" t="n">
        <v>545728.3094760611</v>
      </c>
      <c r="S21" s="44" t="n">
        <v>388162.7465621477</v>
      </c>
      <c r="T21" s="44" t="n">
        <v>-249795.8911803428</v>
      </c>
      <c r="U21" s="44" t="n">
        <v>3586270.555416179</v>
      </c>
      <c r="V21" s="44" t="n">
        <v>134673.0537708645</v>
      </c>
    </row>
    <row r="22" ht="14" customHeight="1">
      <c r="A22" s="21" t="n">
        <v>2018</v>
      </c>
      <c r="B22" s="45">
        <f>((((((((C22+D22)+E22)+F22)+G22)+H22)+I22)+J22)+(K22*0.6374552000704592))</f>
        <v/>
      </c>
      <c r="C22" s="46">
        <f>(L22/1000)</f>
        <v/>
      </c>
      <c r="D22" s="46">
        <f>((M22+N22)/1000)</f>
        <v/>
      </c>
      <c r="E22" s="46">
        <f>((O22+P22)/1000)</f>
        <v/>
      </c>
      <c r="F22" s="46">
        <f>(Q22/1000)</f>
        <v/>
      </c>
      <c r="G22" s="46">
        <f>(R22/1000)</f>
        <v/>
      </c>
      <c r="H22" s="46">
        <f>(S22/1000)</f>
        <v/>
      </c>
      <c r="I22" s="46">
        <f>(T22/1000)</f>
        <v/>
      </c>
      <c r="J22" s="46">
        <f>(((((((U22/1000)-I22)-H22)-G22)-F22)-E22)-D22)</f>
        <v/>
      </c>
      <c r="K22" s="46">
        <f>(V22/1000)</f>
        <v/>
      </c>
      <c r="L22" s="46" t="n">
        <v>130358.3122343503</v>
      </c>
      <c r="M22" s="46" t="n">
        <v>1023654.369042464</v>
      </c>
      <c r="N22" s="46" t="n">
        <v>75127.80479899461</v>
      </c>
      <c r="O22" s="46" t="n">
        <v>442369.9182363944</v>
      </c>
      <c r="P22" s="46" t="n">
        <v>342906.689601974</v>
      </c>
      <c r="Q22" s="46" t="n">
        <v>826483.0160983559</v>
      </c>
      <c r="R22" s="46" t="n">
        <v>532932.2957141745</v>
      </c>
      <c r="S22" s="46" t="n">
        <v>385144.0777511664</v>
      </c>
      <c r="T22" s="46" t="n">
        <v>-257789.0407210758</v>
      </c>
      <c r="U22" s="46" t="n">
        <v>3492981.769437353</v>
      </c>
      <c r="V22" s="46" t="n">
        <v>137835.7627343526</v>
      </c>
    </row>
    <row r="23" ht="14" customHeight="1">
      <c r="A23" s="15" t="n">
        <v>2019</v>
      </c>
      <c r="B23" s="43">
        <f>((((((((C23+D23)+E23)+F23)+G23)+H23)+I23)+J23)+(K23*0.6374552000704592))</f>
        <v/>
      </c>
      <c r="C23" s="44">
        <f>(L23/1000)</f>
        <v/>
      </c>
      <c r="D23" s="44">
        <f>((M23+N23)/1000)</f>
        <v/>
      </c>
      <c r="E23" s="44">
        <f>((O23+P23)/1000)</f>
        <v/>
      </c>
      <c r="F23" s="44">
        <f>(Q23/1000)</f>
        <v/>
      </c>
      <c r="G23" s="44">
        <f>(R23/1000)</f>
        <v/>
      </c>
      <c r="H23" s="44">
        <f>(S23/1000)</f>
        <v/>
      </c>
      <c r="I23" s="44">
        <f>(T23/1000)</f>
        <v/>
      </c>
      <c r="J23" s="44">
        <f>(((((((U23/1000)-I23)-H23)-G23)-F23)-E23)-D23)</f>
        <v/>
      </c>
      <c r="K23" s="44">
        <f>(V23/1000)</f>
        <v/>
      </c>
      <c r="L23" s="44" t="n">
        <v>132976.6899599499</v>
      </c>
      <c r="M23" s="44" t="n">
        <v>905334.0532878421</v>
      </c>
      <c r="N23" s="44" t="n">
        <v>68470.86858615991</v>
      </c>
      <c r="O23" s="44" t="n">
        <v>428579.8953015269</v>
      </c>
      <c r="P23" s="44" t="n">
        <v>331548.2341144778</v>
      </c>
      <c r="Q23" s="44" t="n">
        <v>832732.9627801805</v>
      </c>
      <c r="R23" s="44" t="n">
        <v>522823.0782422734</v>
      </c>
      <c r="S23" s="44" t="n">
        <v>380247.9630183178</v>
      </c>
      <c r="T23" s="44" t="n">
        <v>-247317.6236412184</v>
      </c>
      <c r="U23" s="44" t="n">
        <v>3343976.001711879</v>
      </c>
      <c r="V23" s="44" t="n">
        <v>136597.1927971829</v>
      </c>
    </row>
    <row r="24" ht="14" customHeight="1">
      <c r="A24" s="21" t="n">
        <v>2020</v>
      </c>
      <c r="B24" s="45">
        <f>((((((((C24+D24)+E24)+F24)+G24)+H24)+I24)+J24)+(K24*0.6374552000704592))</f>
        <v/>
      </c>
      <c r="C24" s="46">
        <f>(L24/1000)</f>
        <v/>
      </c>
      <c r="D24" s="46">
        <f>((M24+N24)/1000)</f>
        <v/>
      </c>
      <c r="E24" s="46">
        <f>((O24+P24)/1000)</f>
        <v/>
      </c>
      <c r="F24" s="46">
        <f>(Q24/1000)</f>
        <v/>
      </c>
      <c r="G24" s="46">
        <f>(R24/1000)</f>
        <v/>
      </c>
      <c r="H24" s="46">
        <f>(S24/1000)</f>
        <v/>
      </c>
      <c r="I24" s="46">
        <f>(T24/1000)</f>
        <v/>
      </c>
      <c r="J24" s="46">
        <f>(((((((U24/1000)-I24)-H24)-G24)-F24)-E24)-D24)</f>
        <v/>
      </c>
      <c r="K24" s="46">
        <f>(V24/1000)</f>
        <v/>
      </c>
      <c r="L24" s="46" t="n">
        <v>56110.15386994078</v>
      </c>
      <c r="M24" s="46" t="n">
        <v>778122.0885059792</v>
      </c>
      <c r="N24" s="46" t="n">
        <v>63396.09017103456</v>
      </c>
      <c r="O24" s="46" t="n">
        <v>412771.8756989454</v>
      </c>
      <c r="P24" s="46" t="n">
        <v>306828.453320871</v>
      </c>
      <c r="Q24" s="46" t="n">
        <v>720181.5179737462</v>
      </c>
      <c r="R24" s="46" t="n">
        <v>519713.6736162479</v>
      </c>
      <c r="S24" s="46" t="n">
        <v>381956.8334369566</v>
      </c>
      <c r="T24" s="46" t="n">
        <v>-241038.0579270464</v>
      </c>
      <c r="U24" s="46" t="n">
        <v>3062562.485365232</v>
      </c>
      <c r="V24" s="46" t="n">
        <v>121030.6700531797</v>
      </c>
    </row>
    <row r="25" ht="14" customHeight="1">
      <c r="A25" s="15" t="n">
        <v>2021</v>
      </c>
      <c r="B25" s="43">
        <f>((((((((C25+D25)+E25)+F25)+G25)+H25)+I25)+J25)+(K25*0.6374552000704592))</f>
        <v/>
      </c>
      <c r="C25" s="44">
        <f>(L25/1000)</f>
        <v/>
      </c>
      <c r="D25" s="44">
        <f>((M25+N25)/1000)</f>
        <v/>
      </c>
      <c r="E25" s="44">
        <f>((O25+P25)/1000)</f>
        <v/>
      </c>
      <c r="F25" s="44">
        <f>(Q25/1000)</f>
        <v/>
      </c>
      <c r="G25" s="44">
        <f>(R25/1000)</f>
        <v/>
      </c>
      <c r="H25" s="44">
        <f>(S25/1000)</f>
        <v/>
      </c>
      <c r="I25" s="44">
        <f>(T25/1000)</f>
        <v/>
      </c>
      <c r="J25" s="44">
        <f>(((((((U25/1000)-I25)-H25)-G25)-F25)-E25)-D25)</f>
        <v/>
      </c>
      <c r="K25" s="44">
        <f>(V25/1000)</f>
        <v/>
      </c>
      <c r="L25" s="44" t="n">
        <v>69754.33288629929</v>
      </c>
      <c r="M25" s="44" t="n">
        <v>840446.6098716129</v>
      </c>
      <c r="N25" s="44" t="n">
        <v>61178.10452410704</v>
      </c>
      <c r="O25" s="44" t="n">
        <v>439540.132456479</v>
      </c>
      <c r="P25" s="44" t="n">
        <v>317933.961339561</v>
      </c>
      <c r="Q25" s="44" t="n">
        <v>782100.6927128381</v>
      </c>
      <c r="R25" s="44" t="n">
        <v>532533.8870926787</v>
      </c>
      <c r="S25" s="44" t="n">
        <v>378430.4732188581</v>
      </c>
      <c r="T25" s="44" t="n">
        <v>-229984.6664172722</v>
      </c>
      <c r="U25" s="44" t="n">
        <v>3241715.645399727</v>
      </c>
      <c r="V25" s="44" t="n">
        <v>129086.0910553474</v>
      </c>
    </row>
    <row r="26" ht="14" customHeight="1">
      <c r="A26" s="21" t="n">
        <v>2022</v>
      </c>
      <c r="B26" s="45">
        <f>((((((((C26+D26)+E26)+F26)+G26)+H26)+I26)+J26)+(K26*0.6374552000704592))</f>
        <v/>
      </c>
      <c r="C26" s="46">
        <f>(L26/1000)</f>
        <v/>
      </c>
      <c r="D26" s="46">
        <f>((M26+N26)/1000)</f>
        <v/>
      </c>
      <c r="E26" s="46">
        <f>((O26+P26)/1000)</f>
        <v/>
      </c>
      <c r="F26" s="46">
        <f>(Q26/1000)</f>
        <v/>
      </c>
      <c r="G26" s="46">
        <f>(R26/1000)</f>
        <v/>
      </c>
      <c r="H26" s="46">
        <f>(S26/1000)</f>
        <v/>
      </c>
      <c r="I26" s="46">
        <f>(T26/1000)</f>
        <v/>
      </c>
      <c r="J26" s="46">
        <f>(((((((U26/1000)-I26)-H26)-G26)-F26)-E26)-D26)</f>
        <v/>
      </c>
      <c r="K26" s="46">
        <f>(V26/1000)</f>
        <v/>
      </c>
      <c r="L26" s="46" t="n">
        <v>103282.33849</v>
      </c>
      <c r="M26" s="46" t="n">
        <v>863591.50089</v>
      </c>
      <c r="N26" s="46" t="n">
        <v>60742.65651</v>
      </c>
      <c r="O26" s="46" t="n">
        <v>398202.32207</v>
      </c>
      <c r="P26" s="46" t="n">
        <v>293126.49118</v>
      </c>
      <c r="Q26" s="46" t="n">
        <v>803300.64018</v>
      </c>
      <c r="R26" s="46" t="n">
        <v>481832.07029</v>
      </c>
      <c r="S26" s="46" t="n">
        <v>370649.49145</v>
      </c>
      <c r="T26" s="46" t="n">
        <v>-243767.28937</v>
      </c>
      <c r="U26" s="46" t="n">
        <v>3142824.65786</v>
      </c>
      <c r="V26" s="46" t="n">
        <v>137742.68167</v>
      </c>
    </row>
    <row r="27" ht="14" customHeight="1">
      <c r="A27" s="15" t="n">
        <v>2023</v>
      </c>
      <c r="B27" s="43">
        <f>((((((((C27+D27)+E27)+F27)+G27)+H27)+I27)+J27)+(K27*0.6374552000704592))</f>
        <v/>
      </c>
      <c r="C27" s="44">
        <f>(L27/1000)</f>
        <v/>
      </c>
      <c r="D27" s="44">
        <f>((M27+N27)/1000)</f>
        <v/>
      </c>
      <c r="E27" s="44">
        <f>((O27+P27)/1000)</f>
        <v/>
      </c>
      <c r="F27" s="44">
        <f>(Q27/1000)</f>
        <v/>
      </c>
      <c r="G27" s="44">
        <f>(R27/1000)</f>
        <v/>
      </c>
      <c r="H27" s="44">
        <f>(S27/1000)</f>
        <v/>
      </c>
      <c r="I27" s="44">
        <f>(T27/1000)</f>
        <v/>
      </c>
      <c r="J27" s="44">
        <f>(((((((U27/1000)-I27)-H27)-G27)-F27)-E27)-D27)</f>
        <v/>
      </c>
      <c r="K27" s="44">
        <f>(V27/1000)</f>
        <v/>
      </c>
      <c r="L27" s="44" t="n">
        <v>122755.95</v>
      </c>
      <c r="M27" s="44" t="n">
        <v>698415.59</v>
      </c>
      <c r="N27" s="44" t="n">
        <v>47890.66</v>
      </c>
      <c r="O27" s="44" t="n">
        <v>358770.37</v>
      </c>
      <c r="P27" s="44" t="n">
        <v>263328.47</v>
      </c>
      <c r="Q27" s="44" t="n">
        <v>795640.38</v>
      </c>
      <c r="R27" s="44" t="n">
        <v>437337.17</v>
      </c>
      <c r="S27" s="44" t="n">
        <v>363238.13</v>
      </c>
      <c r="T27" s="44" t="n">
        <v>-215514.95</v>
      </c>
      <c r="U27" s="44" t="n">
        <v>2872831.69</v>
      </c>
      <c r="V27" s="44" t="n">
        <v>122385.65</v>
      </c>
    </row>
    <row r="28" ht="14" customHeight="1">
      <c r="A28" s="21" t="n">
        <v>2024</v>
      </c>
      <c r="B28" s="45">
        <f>((((((((C28+D28)+E28)+F28)+G28)+H28)+I28)+J28)+(K28*0.6374552000704592))</f>
        <v/>
      </c>
      <c r="C28" s="46">
        <f>(L28/1000)</f>
        <v/>
      </c>
      <c r="D28" s="46">
        <f>((M28+N28)/1000)</f>
        <v/>
      </c>
      <c r="E28" s="46">
        <f>((O28+P28)/1000)</f>
        <v/>
      </c>
      <c r="F28" s="46">
        <f>(Q28/1000)</f>
        <v/>
      </c>
      <c r="G28" s="46">
        <f>(R28/1000)</f>
        <v/>
      </c>
      <c r="H28" s="46">
        <f>(S28/1000)</f>
        <v/>
      </c>
      <c r="I28" s="46">
        <f>(T28/1000)</f>
        <v/>
      </c>
      <c r="J28" s="46">
        <f>(((((((U28/1000)-I28)-H28)-G28)-F28)-E28)-D28)</f>
        <v/>
      </c>
      <c r="K28" s="46">
        <f>(V28/1000)</f>
        <v/>
      </c>
      <c r="L28" s="46" t="n">
        <v>129981.66</v>
      </c>
      <c r="M28" s="46" t="n">
        <v>642414.8100000001</v>
      </c>
      <c r="N28" s="46" t="n">
        <v>46712.11</v>
      </c>
      <c r="O28" s="46" t="n">
        <v>351562.16</v>
      </c>
      <c r="P28" s="46" t="n">
        <v>259866.27</v>
      </c>
      <c r="Q28" s="46" t="n">
        <v>804764.05</v>
      </c>
      <c r="R28" s="46" t="n">
        <v>430706</v>
      </c>
      <c r="S28" s="46" t="n">
        <v>359085.59</v>
      </c>
      <c r="T28" s="46" t="n">
        <v>-230985.16</v>
      </c>
      <c r="U28" s="46" t="n">
        <v>2786202.81</v>
      </c>
      <c r="V28" s="46" t="n">
        <v>127020.67</v>
      </c>
    </row>
    <row r="31">
      <c r="A31" s="47" t="inlineStr">
        <is>
          <t>E1 · Energy supply GHG emissions  (Mt CO₂eq)</t>
        </is>
      </c>
    </row>
    <row r="32" ht="26" customHeight="1">
      <c r="A32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33" ht="22" customHeight="1">
      <c r="A33" s="3" t="inlineStr">
        <is>
          <t>Refreshed for 2023, 2024: Total (reported, no breakdown)</t>
        </is>
      </c>
    </row>
    <row r="34" ht="24" customHeight="1">
      <c r="A34" s="3" t="inlineStr">
        <is>
          <t>Derivation:  Value = ([Power and heat]+[Petroleum refineries]+[Other (mining, gas transport, …)]+[Fugitive emissions]+[Total (reported, no breakdown)])</t>
        </is>
      </c>
    </row>
    <row r="35" ht="42" customHeight="1">
      <c r="A35" s="42" t="inlineStr">
        <is>
          <t>Year</t>
        </is>
      </c>
      <c r="B35" s="42" t="inlineStr">
        <is>
          <t>Value</t>
        </is>
      </c>
      <c r="C35" s="42" t="inlineStr">
        <is>
          <t>Power and heat</t>
        </is>
      </c>
      <c r="D35" s="42" t="inlineStr">
        <is>
          <t>Petroleum refineries</t>
        </is>
      </c>
      <c r="E35" s="42" t="inlineStr">
        <is>
          <t>Other (mining, gas transport, …)</t>
        </is>
      </c>
      <c r="F35" s="42" t="inlineStr">
        <is>
          <t>Fugitive emissions</t>
        </is>
      </c>
      <c r="G35" s="42" t="inlineStr">
        <is>
          <t>Total (reported, no breakdown)</t>
        </is>
      </c>
    </row>
    <row r="36" ht="14" customHeight="1">
      <c r="A36" s="15" t="n">
        <v>2005</v>
      </c>
      <c r="B36" s="43">
        <f>((((C36+D36)+E36)+F36)+G36)</f>
        <v/>
      </c>
      <c r="C36" s="44" t="n">
        <v>1196.758245846026</v>
      </c>
      <c r="D36" s="44" t="n">
        <v>123.9870596101241</v>
      </c>
      <c r="E36" s="44" t="n">
        <v>63.04660429109262</v>
      </c>
      <c r="F36" s="44" t="n">
        <v>105.4389538</v>
      </c>
      <c r="G36" s="44" t="n">
        <v>0</v>
      </c>
    </row>
    <row r="37" ht="14" customHeight="1">
      <c r="A37" s="21" t="n">
        <v>2006</v>
      </c>
      <c r="B37" s="45">
        <f>((((C37+D37)+E37)+F37)+G37)</f>
        <v/>
      </c>
      <c r="C37" s="46" t="n">
        <v>1202.287158688667</v>
      </c>
      <c r="D37" s="46" t="n">
        <v>124.1365710393262</v>
      </c>
      <c r="E37" s="46" t="n">
        <v>64.87433775459844</v>
      </c>
      <c r="F37" s="46" t="n">
        <v>102.8544484</v>
      </c>
      <c r="G37" s="46" t="n">
        <v>0</v>
      </c>
    </row>
    <row r="38" ht="14" customHeight="1">
      <c r="A38" s="15" t="n">
        <v>2007</v>
      </c>
      <c r="B38" s="43">
        <f>((((C38+D38)+E38)+F38)+G38)</f>
        <v/>
      </c>
      <c r="C38" s="44" t="n">
        <v>1217.033778045102</v>
      </c>
      <c r="D38" s="44" t="n">
        <v>126.0325001798641</v>
      </c>
      <c r="E38" s="44" t="n">
        <v>62.44737177387138</v>
      </c>
      <c r="F38" s="44" t="n">
        <v>98.1548097</v>
      </c>
      <c r="G38" s="44" t="n">
        <v>0</v>
      </c>
    </row>
    <row r="39" ht="14" customHeight="1">
      <c r="A39" s="21" t="n">
        <v>2008</v>
      </c>
      <c r="B39" s="45">
        <f>((((C39+D39)+E39)+F39)+G39)</f>
        <v/>
      </c>
      <c r="C39" s="46" t="n">
        <v>1154.090287704243</v>
      </c>
      <c r="D39" s="46" t="n">
        <v>123.850140695121</v>
      </c>
      <c r="E39" s="46" t="n">
        <v>58.66350905272446</v>
      </c>
      <c r="F39" s="46" t="n">
        <v>96.63965675999999</v>
      </c>
      <c r="G39" s="46" t="n">
        <v>0</v>
      </c>
    </row>
    <row r="40" ht="14" customHeight="1">
      <c r="A40" s="15" t="n">
        <v>2009</v>
      </c>
      <c r="B40" s="43">
        <f>((((C40+D40)+E40)+F40)+G40)</f>
        <v/>
      </c>
      <c r="C40" s="44" t="n">
        <v>1071.723628773908</v>
      </c>
      <c r="D40" s="44" t="n">
        <v>116.4991543655994</v>
      </c>
      <c r="E40" s="44" t="n">
        <v>47.5994345354952</v>
      </c>
      <c r="F40" s="44" t="n">
        <v>89.39584094999999</v>
      </c>
      <c r="G40" s="44" t="n">
        <v>0</v>
      </c>
    </row>
    <row r="41" ht="14" customHeight="1">
      <c r="A41" s="21" t="n">
        <v>2010</v>
      </c>
      <c r="B41" s="45">
        <f>((((C41+D41)+E41)+F41)+G41)</f>
        <v/>
      </c>
      <c r="C41" s="46" t="n">
        <v>1083.159785618806</v>
      </c>
      <c r="D41" s="46" t="n">
        <v>115.7643596914695</v>
      </c>
      <c r="E41" s="46" t="n">
        <v>55.27381875955815</v>
      </c>
      <c r="F41" s="46" t="n">
        <v>88.94211788000001</v>
      </c>
      <c r="G41" s="46" t="n">
        <v>0</v>
      </c>
    </row>
    <row r="42" ht="14" customHeight="1">
      <c r="A42" s="15" t="n">
        <v>2011</v>
      </c>
      <c r="B42" s="43">
        <f>((((C42+D42)+E42)+F42)+G42)</f>
        <v/>
      </c>
      <c r="C42" s="44" t="n">
        <v>1078.116924470295</v>
      </c>
      <c r="D42" s="44" t="n">
        <v>113.0561118340927</v>
      </c>
      <c r="E42" s="44" t="n">
        <v>54.42572005682139</v>
      </c>
      <c r="F42" s="44" t="n">
        <v>88.25671799</v>
      </c>
      <c r="G42" s="44" t="n">
        <v>0</v>
      </c>
    </row>
    <row r="43" ht="14" customHeight="1">
      <c r="A43" s="21" t="n">
        <v>2012</v>
      </c>
      <c r="B43" s="45">
        <f>((((C43+D43)+E43)+F43)+G43)</f>
        <v/>
      </c>
      <c r="C43" s="46" t="n">
        <v>1073.885467423855</v>
      </c>
      <c r="D43" s="46" t="n">
        <v>109.9061579609855</v>
      </c>
      <c r="E43" s="46" t="n">
        <v>44.70565820435123</v>
      </c>
      <c r="F43" s="46" t="n">
        <v>87.38227090000001</v>
      </c>
      <c r="G43" s="46" t="n">
        <v>0</v>
      </c>
    </row>
    <row r="44" ht="14" customHeight="1">
      <c r="A44" s="15" t="n">
        <v>2013</v>
      </c>
      <c r="B44" s="43">
        <f>((((C44+D44)+E44)+F44)+G44)</f>
        <v/>
      </c>
      <c r="C44" s="44" t="n">
        <v>1017.828197834809</v>
      </c>
      <c r="D44" s="44" t="n">
        <v>107.8915398301622</v>
      </c>
      <c r="E44" s="44" t="n">
        <v>42.0468901911337</v>
      </c>
      <c r="F44" s="44" t="n">
        <v>86.24480118</v>
      </c>
      <c r="G44" s="44" t="n">
        <v>0</v>
      </c>
    </row>
    <row r="45" ht="14" customHeight="1">
      <c r="A45" s="21" t="n">
        <v>2014</v>
      </c>
      <c r="B45" s="45">
        <f>((((C45+D45)+E45)+F45)+G45)</f>
        <v/>
      </c>
      <c r="C45" s="46" t="n">
        <v>959.9153430101976</v>
      </c>
      <c r="D45" s="46" t="n">
        <v>104.8373214979622</v>
      </c>
      <c r="E45" s="46" t="n">
        <v>41.65928805918095</v>
      </c>
      <c r="F45" s="46" t="n">
        <v>83.31575411999999</v>
      </c>
      <c r="G45" s="46" t="n">
        <v>0</v>
      </c>
    </row>
    <row r="46" ht="14" customHeight="1">
      <c r="A46" s="15" t="n">
        <v>2015</v>
      </c>
      <c r="B46" s="43">
        <f>((((C46+D46)+E46)+F46)+G46)</f>
        <v/>
      </c>
      <c r="C46" s="44" t="n">
        <v>968.478226654539</v>
      </c>
      <c r="D46" s="44" t="n">
        <v>105.9232176692684</v>
      </c>
      <c r="E46" s="44" t="n">
        <v>39.55059510597678</v>
      </c>
      <c r="F46" s="44" t="n">
        <v>82.72217581</v>
      </c>
      <c r="G46" s="44" t="n">
        <v>0</v>
      </c>
    </row>
    <row r="47" ht="14" customHeight="1">
      <c r="A47" s="21" t="n">
        <v>2016</v>
      </c>
      <c r="B47" s="45">
        <f>((((C47+D47)+E47)+F47)+G47)</f>
        <v/>
      </c>
      <c r="C47" s="46" t="n">
        <v>943.7780432166106</v>
      </c>
      <c r="D47" s="46" t="n">
        <v>105.3676318303479</v>
      </c>
      <c r="E47" s="46" t="n">
        <v>39.97091367645223</v>
      </c>
      <c r="F47" s="46" t="n">
        <v>79.39829508</v>
      </c>
      <c r="G47" s="46" t="n">
        <v>0</v>
      </c>
    </row>
    <row r="48" ht="14" customHeight="1">
      <c r="A48" s="15" t="n">
        <v>2017</v>
      </c>
      <c r="B48" s="43">
        <f>((((C48+D48)+E48)+F48)+G48)</f>
        <v/>
      </c>
      <c r="C48" s="44" t="n">
        <v>941.4613738822286</v>
      </c>
      <c r="D48" s="44" t="n">
        <v>103.0793338102074</v>
      </c>
      <c r="E48" s="44" t="n">
        <v>38.79935441224699</v>
      </c>
      <c r="F48" s="44" t="n">
        <v>78.79786218</v>
      </c>
      <c r="G48" s="44" t="n">
        <v>0</v>
      </c>
    </row>
    <row r="49" ht="14" customHeight="1">
      <c r="A49" s="21" t="n">
        <v>2018</v>
      </c>
      <c r="B49" s="45">
        <f>((((C49+D49)+E49)+F49)+G49)</f>
        <v/>
      </c>
      <c r="C49" s="46" t="n">
        <v>882.6337398417216</v>
      </c>
      <c r="D49" s="46" t="n">
        <v>99.76282735267915</v>
      </c>
      <c r="E49" s="46" t="n">
        <v>41.25780184806324</v>
      </c>
      <c r="F49" s="46" t="n">
        <v>75.12780479999999</v>
      </c>
      <c r="G49" s="46" t="n">
        <v>0</v>
      </c>
    </row>
    <row r="50" ht="14" customHeight="1">
      <c r="A50" s="15" t="n">
        <v>2019</v>
      </c>
      <c r="B50" s="43">
        <f>((((C50+D50)+E50)+F50)+G50)</f>
        <v/>
      </c>
      <c r="C50" s="44" t="n">
        <v>765.3394265641642</v>
      </c>
      <c r="D50" s="44" t="n">
        <v>100.0629083064018</v>
      </c>
      <c r="E50" s="44" t="n">
        <v>39.93171841727609</v>
      </c>
      <c r="F50" s="44" t="n">
        <v>68.47086858999999</v>
      </c>
      <c r="G50" s="44" t="n">
        <v>0</v>
      </c>
    </row>
    <row r="51" ht="14" customHeight="1">
      <c r="A51" s="21" t="n">
        <v>2020</v>
      </c>
      <c r="B51" s="45">
        <f>((((C51+D51)+E51)+F51)+G51)</f>
        <v/>
      </c>
      <c r="C51" s="46" t="n">
        <v>652.2738549169003</v>
      </c>
      <c r="D51" s="46" t="n">
        <v>93.1745498914046</v>
      </c>
      <c r="E51" s="46" t="n">
        <v>32.67368369767437</v>
      </c>
      <c r="F51" s="46" t="n">
        <v>63.39609017</v>
      </c>
      <c r="G51" s="46" t="n">
        <v>0</v>
      </c>
    </row>
    <row r="52" ht="14" customHeight="1">
      <c r="A52" s="15" t="n">
        <v>2021</v>
      </c>
      <c r="B52" s="43">
        <f>((((C52+D52)+E52)+F52)+G52)</f>
        <v/>
      </c>
      <c r="C52" s="44" t="n">
        <v>716.9830013629618</v>
      </c>
      <c r="D52" s="44" t="n">
        <v>92.82853754286684</v>
      </c>
      <c r="E52" s="44" t="n">
        <v>30.63507096578415</v>
      </c>
      <c r="F52" s="44" t="n">
        <v>61.17810452</v>
      </c>
      <c r="G52" s="44" t="n">
        <v>0</v>
      </c>
    </row>
    <row r="53" ht="14" customHeight="1">
      <c r="A53" s="21" t="n">
        <v>2022</v>
      </c>
      <c r="B53" s="45">
        <f>((((C53+D53)+E53)+F53)+G53)</f>
        <v/>
      </c>
      <c r="C53" s="46" t="n">
        <v>0</v>
      </c>
      <c r="D53" s="46" t="n">
        <v>0</v>
      </c>
      <c r="E53" s="46" t="n">
        <v>0</v>
      </c>
      <c r="F53" s="46" t="n">
        <v>0</v>
      </c>
      <c r="G53" s="46" t="n">
        <v>924.3341574</v>
      </c>
    </row>
    <row r="54" ht="14" customHeight="1">
      <c r="A54" s="15" t="n">
        <v>2023</v>
      </c>
      <c r="B54" s="43">
        <f>((((C54+D54)+E54)+F54)+G54)</f>
        <v/>
      </c>
      <c r="C54" s="44" t="n">
        <v>0</v>
      </c>
      <c r="D54" s="44" t="n">
        <v>0</v>
      </c>
      <c r="E54" s="44" t="n">
        <v>0</v>
      </c>
      <c r="F54" s="44" t="n">
        <v>0</v>
      </c>
      <c r="G54" s="44" t="n">
        <v>746.30625</v>
      </c>
    </row>
    <row r="55" ht="14" customHeight="1">
      <c r="A55" s="21" t="n">
        <v>2024</v>
      </c>
      <c r="B55" s="45">
        <f>((((C55+D55)+E55)+F55)+G55)</f>
        <v/>
      </c>
      <c r="C55" s="46" t="n">
        <v>0</v>
      </c>
      <c r="D55" s="46" t="n">
        <v>0</v>
      </c>
      <c r="E55" s="46" t="n">
        <v>0</v>
      </c>
      <c r="F55" s="46" t="n">
        <v>0</v>
      </c>
      <c r="G55" s="46" t="n">
        <v>689.12692</v>
      </c>
    </row>
    <row r="58">
      <c r="A58" s="47" t="inlineStr">
        <is>
          <t>E2 (RES) · Non-biomass renewable share of EU electricity mix  (%)</t>
        </is>
      </c>
    </row>
    <row r="59" ht="26" customHeight="1">
      <c r="A59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60" ht="22" customHeight="1">
      <c r="A60" s="3" t="inlineStr">
        <is>
          <t>Refreshed for 2023, 2024: Renewable - hydro, Renewable - solar, Renewable - wind, Renewable - other non-bio, Total</t>
        </is>
      </c>
    </row>
    <row r="61" ht="24" customHeight="1">
      <c r="A61" s="3" t="inlineStr">
        <is>
          <t>Derivation:  Value = ([Renewable - hydro]+[Renewable - solar]+[Renewable - wind]+[Renewable - other non-bio]) / [Total]</t>
        </is>
      </c>
    </row>
    <row r="62" ht="42" customHeight="1">
      <c r="A62" s="42" t="inlineStr">
        <is>
          <t>Year</t>
        </is>
      </c>
      <c r="B62" s="42" t="inlineStr">
        <is>
          <t>Value</t>
        </is>
      </c>
      <c r="C62" s="42" t="inlineStr">
        <is>
          <t>Renewable - hydro</t>
        </is>
      </c>
      <c r="D62" s="42" t="inlineStr">
        <is>
          <t>Renewable - solar</t>
        </is>
      </c>
      <c r="E62" s="42" t="inlineStr">
        <is>
          <t>Renewable - wind</t>
        </is>
      </c>
      <c r="F62" s="42" t="inlineStr">
        <is>
          <t>Renewable - other non-bio</t>
        </is>
      </c>
      <c r="G62" s="42" t="inlineStr">
        <is>
          <t>Total</t>
        </is>
      </c>
    </row>
    <row r="63" ht="14" customHeight="1">
      <c r="A63" s="15" t="n">
        <v>2005</v>
      </c>
      <c r="B63" s="43">
        <f>((((C63+D63)+E63)+F63)/G63)</f>
        <v/>
      </c>
      <c r="C63" s="44" t="n">
        <v>340.546184</v>
      </c>
      <c r="D63" s="44" t="n">
        <v>1.458688</v>
      </c>
      <c r="E63" s="44" t="n">
        <v>68.094587</v>
      </c>
      <c r="F63" s="44" t="n">
        <v>5.878568</v>
      </c>
      <c r="G63" s="44" t="n">
        <v>2916.31008</v>
      </c>
    </row>
    <row r="64" ht="14" customHeight="1">
      <c r="A64" s="21" t="n">
        <v>2006</v>
      </c>
      <c r="B64" s="45">
        <f>((((C64+D64)+E64)+F64)/G64)</f>
        <v/>
      </c>
      <c r="C64" s="46" t="n">
        <v>342.707881</v>
      </c>
      <c r="D64" s="46" t="n">
        <v>2.48947</v>
      </c>
      <c r="E64" s="46" t="n">
        <v>78.711461</v>
      </c>
      <c r="F64" s="46" t="n">
        <v>6.079915</v>
      </c>
      <c r="G64" s="46" t="n">
        <v>2967.633772</v>
      </c>
    </row>
    <row r="65" ht="14" customHeight="1">
      <c r="A65" s="15" t="n">
        <v>2007</v>
      </c>
      <c r="B65" s="43">
        <f>((((C65+D65)+E65)+F65)/G65)</f>
        <v/>
      </c>
      <c r="C65" s="44" t="n">
        <v>338.893876</v>
      </c>
      <c r="D65" s="44" t="n">
        <v>3.774527</v>
      </c>
      <c r="E65" s="44" t="n">
        <v>99.907526</v>
      </c>
      <c r="F65" s="44" t="n">
        <v>6.237820000000001</v>
      </c>
      <c r="G65" s="44" t="n">
        <v>2982.779542999999</v>
      </c>
    </row>
    <row r="66" ht="14" customHeight="1">
      <c r="A66" s="21" t="n">
        <v>2008</v>
      </c>
      <c r="B66" s="45">
        <f>((((C66+D66)+E66)+F66)/G66)</f>
        <v/>
      </c>
      <c r="C66" s="46" t="n">
        <v>354.877833</v>
      </c>
      <c r="D66" s="46" t="n">
        <v>7.437621</v>
      </c>
      <c r="E66" s="46" t="n">
        <v>113.234843</v>
      </c>
      <c r="F66" s="46" t="n">
        <v>6.196697</v>
      </c>
      <c r="G66" s="46" t="n">
        <v>2994.069288</v>
      </c>
    </row>
    <row r="67" ht="14" customHeight="1">
      <c r="A67" s="15" t="n">
        <v>2009</v>
      </c>
      <c r="B67" s="43">
        <f>((((C67+D67)+E67)+F67)/G67)</f>
        <v/>
      </c>
      <c r="C67" s="44" t="n">
        <v>357.662569</v>
      </c>
      <c r="D67" s="44" t="n">
        <v>14.103981</v>
      </c>
      <c r="E67" s="44" t="n">
        <v>124.555918</v>
      </c>
      <c r="F67" s="44" t="n">
        <v>5.994467</v>
      </c>
      <c r="G67" s="44" t="n">
        <v>2842.476761000001</v>
      </c>
    </row>
    <row r="68" ht="14" customHeight="1">
      <c r="A68" s="21" t="n">
        <v>2010</v>
      </c>
      <c r="B68" s="45">
        <f>((((C68+D68)+E68)+F68)/G68)</f>
        <v/>
      </c>
      <c r="C68" s="46" t="n">
        <v>401.279583</v>
      </c>
      <c r="D68" s="46" t="n">
        <v>23.224063</v>
      </c>
      <c r="E68" s="46" t="n">
        <v>139.842164</v>
      </c>
      <c r="F68" s="46" t="n">
        <v>6.078805999999999</v>
      </c>
      <c r="G68" s="46" t="n">
        <v>2979.660478</v>
      </c>
    </row>
    <row r="69" ht="14" customHeight="1">
      <c r="A69" s="15" t="n">
        <v>2011</v>
      </c>
      <c r="B69" s="43">
        <f>((((C69+D69)+E69)+F69)/G69)</f>
        <v/>
      </c>
      <c r="C69" s="44" t="n">
        <v>332.848797</v>
      </c>
      <c r="D69" s="44" t="n">
        <v>47.288533</v>
      </c>
      <c r="E69" s="44" t="n">
        <v>165.346899</v>
      </c>
      <c r="F69" s="44" t="n">
        <v>6.424249</v>
      </c>
      <c r="G69" s="44" t="n">
        <v>2937.062106</v>
      </c>
    </row>
    <row r="70" ht="14" customHeight="1">
      <c r="A70" s="21" t="n">
        <v>2012</v>
      </c>
      <c r="B70" s="45">
        <f>((((C70+D70)+E70)+F70)/G70)</f>
        <v/>
      </c>
      <c r="C70" s="46" t="n">
        <v>359.551397</v>
      </c>
      <c r="D70" s="46" t="n">
        <v>70.14140800000001</v>
      </c>
      <c r="E70" s="46" t="n">
        <v>187.468916</v>
      </c>
      <c r="F70" s="46" t="n">
        <v>6.278327999999999</v>
      </c>
      <c r="G70" s="46" t="n">
        <v>2934.338138</v>
      </c>
    </row>
    <row r="71" ht="14" customHeight="1">
      <c r="A71" s="15" t="n">
        <v>2013</v>
      </c>
      <c r="B71" s="43">
        <f>((((C71+D71)+E71)+F71)/G71)</f>
        <v/>
      </c>
      <c r="C71" s="44" t="n">
        <v>396.650775</v>
      </c>
      <c r="D71" s="44" t="n">
        <v>84.13560100000001</v>
      </c>
      <c r="E71" s="44" t="n">
        <v>209.474806</v>
      </c>
      <c r="F71" s="44" t="n">
        <v>6.439842</v>
      </c>
      <c r="G71" s="44" t="n">
        <v>2916.392271000001</v>
      </c>
    </row>
    <row r="72" ht="14" customHeight="1">
      <c r="A72" s="21" t="n">
        <v>2014</v>
      </c>
      <c r="B72" s="45">
        <f>((((C72+D72)+E72)+F72)/G72)</f>
        <v/>
      </c>
      <c r="C72" s="46" t="n">
        <v>398.608494</v>
      </c>
      <c r="D72" s="46" t="n">
        <v>94.172878</v>
      </c>
      <c r="E72" s="46" t="n">
        <v>222.356661</v>
      </c>
      <c r="F72" s="46" t="n">
        <v>6.783885000000001</v>
      </c>
      <c r="G72" s="46" t="n">
        <v>2856.506539</v>
      </c>
    </row>
    <row r="73" ht="14" customHeight="1">
      <c r="A73" s="15" t="n">
        <v>2015</v>
      </c>
      <c r="B73" s="43">
        <f>((((C73+D73)+E73)+F73)/G73)</f>
        <v/>
      </c>
      <c r="C73" s="44" t="n">
        <v>363.237628</v>
      </c>
      <c r="D73" s="44" t="n">
        <v>100.856862</v>
      </c>
      <c r="E73" s="44" t="n">
        <v>263.204743</v>
      </c>
      <c r="F73" s="44" t="n">
        <v>7.101067</v>
      </c>
      <c r="G73" s="44" t="n">
        <v>2900.551886000001</v>
      </c>
    </row>
    <row r="74" ht="14" customHeight="1">
      <c r="A74" s="21" t="n">
        <v>2016</v>
      </c>
      <c r="B74" s="45">
        <f>((((C74+D74)+E74)+F74)/G74)</f>
        <v/>
      </c>
      <c r="C74" s="46" t="n">
        <v>372.711195</v>
      </c>
      <c r="D74" s="46" t="n">
        <v>101.036686</v>
      </c>
      <c r="E74" s="46" t="n">
        <v>266.814627</v>
      </c>
      <c r="F74" s="46" t="n">
        <v>7.23339</v>
      </c>
      <c r="G74" s="46" t="n">
        <v>2922.01605</v>
      </c>
    </row>
    <row r="75" ht="14" customHeight="1">
      <c r="A75" s="15" t="n">
        <v>2017</v>
      </c>
      <c r="B75" s="43">
        <f>((((C75+D75)+E75)+F75)/G75)</f>
        <v/>
      </c>
      <c r="C75" s="44" t="n">
        <v>322.463411</v>
      </c>
      <c r="D75" s="44" t="n">
        <v>107.934943</v>
      </c>
      <c r="E75" s="44" t="n">
        <v>312.313129</v>
      </c>
      <c r="F75" s="44" t="n">
        <v>7.236751</v>
      </c>
      <c r="G75" s="44" t="n">
        <v>2954.523595000001</v>
      </c>
    </row>
    <row r="76" ht="14" customHeight="1">
      <c r="A76" s="21" t="n">
        <v>2018</v>
      </c>
      <c r="B76" s="45">
        <f>((((C76+D76)+E76)+F76)/G76)</f>
        <v/>
      </c>
      <c r="C76" s="46" t="n">
        <v>370.234436</v>
      </c>
      <c r="D76" s="46" t="n">
        <v>113.066624</v>
      </c>
      <c r="E76" s="46" t="n">
        <v>320.615898</v>
      </c>
      <c r="F76" s="46" t="n">
        <v>7.134921</v>
      </c>
      <c r="G76" s="46" t="n">
        <v>2938.030121</v>
      </c>
    </row>
    <row r="77" ht="14" customHeight="1">
      <c r="A77" s="15" t="n">
        <v>2019</v>
      </c>
      <c r="B77" s="43">
        <f>((((C77+D77)+E77)+F77)/G77)</f>
        <v/>
      </c>
      <c r="C77" s="44" t="n">
        <v>345.642675</v>
      </c>
      <c r="D77" s="44" t="n">
        <v>123.884579</v>
      </c>
      <c r="E77" s="44" t="n">
        <v>367.117813</v>
      </c>
      <c r="F77" s="44" t="n">
        <v>7.224769999999999</v>
      </c>
      <c r="G77" s="44" t="n">
        <v>2902.370047</v>
      </c>
    </row>
    <row r="78" ht="14" customHeight="1">
      <c r="A78" s="21" t="n">
        <v>2020</v>
      </c>
      <c r="B78" s="45">
        <f>((((C78+D78)+E78)+F78)/G78)</f>
        <v/>
      </c>
      <c r="C78" s="46" t="n">
        <v>375.486539</v>
      </c>
      <c r="D78" s="46" t="n">
        <v>145.116756</v>
      </c>
      <c r="E78" s="46" t="n">
        <v>397.481079</v>
      </c>
      <c r="F78" s="46" t="n">
        <v>7.22602</v>
      </c>
      <c r="G78" s="46" t="n">
        <v>2784.553903</v>
      </c>
    </row>
    <row r="79" ht="14" customHeight="1">
      <c r="A79" s="15" t="n">
        <v>2021</v>
      </c>
      <c r="B79" s="43">
        <f>((((C79+D79)+E79)+F79)/G79)</f>
        <v/>
      </c>
      <c r="C79" s="44" t="n">
        <v>374.849021</v>
      </c>
      <c r="D79" s="44" t="n">
        <v>163.764273</v>
      </c>
      <c r="E79" s="44" t="n">
        <v>386.539564</v>
      </c>
      <c r="F79" s="44" t="n">
        <v>7.041166</v>
      </c>
      <c r="G79" s="44" t="n">
        <v>2906.186482</v>
      </c>
    </row>
    <row r="80" ht="14" customHeight="1">
      <c r="A80" s="21" t="n">
        <v>2022</v>
      </c>
      <c r="B80" s="45">
        <f>((((C80+D80)+E80)+F80)/G80)</f>
        <v/>
      </c>
      <c r="C80" s="46" t="n">
        <v>308.581133</v>
      </c>
      <c r="D80" s="46" t="n">
        <v>209.644287</v>
      </c>
      <c r="E80" s="46" t="n">
        <v>421.26459</v>
      </c>
      <c r="F80" s="46" t="n">
        <v>6.946363</v>
      </c>
      <c r="G80" s="46" t="n">
        <v>2803.796039</v>
      </c>
    </row>
    <row r="81" ht="14" customHeight="1">
      <c r="A81" s="15" t="n">
        <v>2023</v>
      </c>
      <c r="B81" s="43">
        <f>((((C81+D81)+E81)+F81)/G81)</f>
        <v/>
      </c>
      <c r="C81" s="44" t="n">
        <v>330.438319</v>
      </c>
      <c r="D81" s="44" t="n">
        <v>254.459334</v>
      </c>
      <c r="E81" s="44" t="n">
        <v>480.450777</v>
      </c>
      <c r="F81" s="44" t="n">
        <v>6.721399</v>
      </c>
      <c r="G81" s="44" t="n">
        <v>2760.944843</v>
      </c>
    </row>
    <row r="82" ht="14" customHeight="1">
      <c r="A82" s="21" t="n">
        <v>2024</v>
      </c>
      <c r="B82" s="45">
        <f>((((C82+D82)+E82)+F82)/G82)</f>
        <v/>
      </c>
      <c r="C82" s="46" t="n">
        <v>369.659291</v>
      </c>
      <c r="D82" s="46" t="n">
        <v>308.516899</v>
      </c>
      <c r="E82" s="46" t="n">
        <v>490.037497</v>
      </c>
      <c r="F82" s="46" t="n">
        <v>6.681308</v>
      </c>
      <c r="G82" s="46" t="n">
        <v>2828.734401</v>
      </c>
    </row>
    <row r="85">
      <c r="A85" s="47" t="inlineStr">
        <is>
          <t>E2 (fossil) · Fossil share of EU electricity mix  (%)</t>
        </is>
      </c>
    </row>
    <row r="86" ht="26" customHeight="1">
      <c r="A86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87" ht="22" customHeight="1">
      <c r="A87" s="3" t="inlineStr">
        <is>
          <t>Refreshed for 2023, 2024: Solid fossil fuels, Natural &amp; manufactured gases, Oil products &amp; other fossils, Total</t>
        </is>
      </c>
    </row>
    <row r="88" ht="24" customHeight="1">
      <c r="A88" s="3" t="inlineStr">
        <is>
          <t>Derivation:  Value = ([Solid fossil fuels]+[Natural &amp; manufactured gases]+[Oil products &amp; other fossils]) / [Total]</t>
        </is>
      </c>
    </row>
    <row r="89" ht="42" customHeight="1">
      <c r="A89" s="42" t="inlineStr">
        <is>
          <t>Year</t>
        </is>
      </c>
      <c r="B89" s="42" t="inlineStr">
        <is>
          <t>Value</t>
        </is>
      </c>
      <c r="C89" s="42" t="inlineStr">
        <is>
          <t>Solid fossil fuels</t>
        </is>
      </c>
      <c r="D89" s="42" t="inlineStr">
        <is>
          <t>Natural &amp; manufactured gases</t>
        </is>
      </c>
      <c r="E89" s="42" t="inlineStr">
        <is>
          <t>Oil products &amp; other fossils</t>
        </is>
      </c>
      <c r="F89" s="42" t="inlineStr">
        <is>
          <t>Total</t>
        </is>
      </c>
    </row>
    <row r="90" ht="14" customHeight="1">
      <c r="A90" s="15" t="n">
        <v>2005</v>
      </c>
      <c r="B90" s="43">
        <f>(((C90+D90)+E90)/F90)</f>
        <v/>
      </c>
      <c r="C90" s="44" t="n">
        <v>808.8822210000001</v>
      </c>
      <c r="D90" s="44" t="n">
        <v>548.315303</v>
      </c>
      <c r="E90" s="44" t="n">
        <v>154.208875</v>
      </c>
      <c r="F90" s="44" t="n">
        <v>2916.31008</v>
      </c>
    </row>
    <row r="91" ht="14" customHeight="1">
      <c r="A91" s="21" t="n">
        <v>2006</v>
      </c>
      <c r="B91" s="45">
        <f>(((C91+D91)+E91)/F91)</f>
        <v/>
      </c>
      <c r="C91" s="46" t="n">
        <v>816.4990429999999</v>
      </c>
      <c r="D91" s="46" t="n">
        <v>575.616132</v>
      </c>
      <c r="E91" s="46" t="n">
        <v>148.089791</v>
      </c>
      <c r="F91" s="46" t="n">
        <v>2967.633772</v>
      </c>
    </row>
    <row r="92" ht="14" customHeight="1">
      <c r="A92" s="15" t="n">
        <v>2007</v>
      </c>
      <c r="B92" s="43">
        <f>(((C92+D92)+E92)/F92)</f>
        <v/>
      </c>
      <c r="C92" s="44" t="n">
        <v>828.805419</v>
      </c>
      <c r="D92" s="44" t="n">
        <v>609.4216759999999</v>
      </c>
      <c r="E92" s="44" t="n">
        <v>130.798327</v>
      </c>
      <c r="F92" s="44" t="n">
        <v>2982.779542999999</v>
      </c>
    </row>
    <row r="93" ht="14" customHeight="1">
      <c r="A93" s="21" t="n">
        <v>2008</v>
      </c>
      <c r="B93" s="45">
        <f>(((C93+D93)+E93)/F93)</f>
        <v/>
      </c>
      <c r="C93" s="46" t="n">
        <v>757.053054</v>
      </c>
      <c r="D93" s="46" t="n">
        <v>647.726098</v>
      </c>
      <c r="E93" s="46" t="n">
        <v>119.772171</v>
      </c>
      <c r="F93" s="46" t="n">
        <v>2994.069288</v>
      </c>
    </row>
    <row r="94" ht="14" customHeight="1">
      <c r="A94" s="15" t="n">
        <v>2009</v>
      </c>
      <c r="B94" s="43">
        <f>(((C94+D94)+E94)/F94)</f>
        <v/>
      </c>
      <c r="C94" s="44" t="n">
        <v>703.574826</v>
      </c>
      <c r="D94" s="44" t="n">
        <v>590.1233000000001</v>
      </c>
      <c r="E94" s="44" t="n">
        <v>108.367097</v>
      </c>
      <c r="F94" s="44" t="n">
        <v>2842.476761000001</v>
      </c>
    </row>
    <row r="95" ht="14" customHeight="1">
      <c r="A95" s="21" t="n">
        <v>2010</v>
      </c>
      <c r="B95" s="45">
        <f>(((C95+D95)+E95)/F95)</f>
        <v/>
      </c>
      <c r="C95" s="46" t="n">
        <v>701.230144</v>
      </c>
      <c r="D95" s="46" t="n">
        <v>622.051201</v>
      </c>
      <c r="E95" s="46" t="n">
        <v>102.466548</v>
      </c>
      <c r="F95" s="46" t="n">
        <v>2979.660478</v>
      </c>
    </row>
    <row r="96" ht="14" customHeight="1">
      <c r="A96" s="15" t="n">
        <v>2011</v>
      </c>
      <c r="B96" s="43">
        <f>(((C96+D96)+E96)/F96)</f>
        <v/>
      </c>
      <c r="C96" s="44" t="n">
        <v>724.8267979999999</v>
      </c>
      <c r="D96" s="44" t="n">
        <v>591.3915999999999</v>
      </c>
      <c r="E96" s="44" t="n">
        <v>93.754159</v>
      </c>
      <c r="F96" s="44" t="n">
        <v>2937.062106</v>
      </c>
    </row>
    <row r="97" ht="14" customHeight="1">
      <c r="A97" s="21" t="n">
        <v>2012</v>
      </c>
      <c r="B97" s="45">
        <f>(((C97+D97)+E97)/F97)</f>
        <v/>
      </c>
      <c r="C97" s="46" t="n">
        <v>742.7146720000001</v>
      </c>
      <c r="D97" s="46" t="n">
        <v>516.165104</v>
      </c>
      <c r="E97" s="46" t="n">
        <v>88.87544200000001</v>
      </c>
      <c r="F97" s="46" t="n">
        <v>2934.338138</v>
      </c>
    </row>
    <row r="98" ht="14" customHeight="1">
      <c r="A98" s="15" t="n">
        <v>2013</v>
      </c>
      <c r="B98" s="43">
        <f>(((C98+D98)+E98)/F98)</f>
        <v/>
      </c>
      <c r="C98" s="44" t="n">
        <v>728.930201</v>
      </c>
      <c r="D98" s="44" t="n">
        <v>446.6026879999999</v>
      </c>
      <c r="E98" s="44" t="n">
        <v>80.468727</v>
      </c>
      <c r="F98" s="44" t="n">
        <v>2916.392271000001</v>
      </c>
    </row>
    <row r="99" ht="14" customHeight="1">
      <c r="A99" s="21" t="n">
        <v>2014</v>
      </c>
      <c r="B99" s="45">
        <f>(((C99+D99)+E99)/F99)</f>
        <v/>
      </c>
      <c r="C99" s="46" t="n">
        <v>692.768867</v>
      </c>
      <c r="D99" s="46" t="n">
        <v>388.686239</v>
      </c>
      <c r="E99" s="46" t="n">
        <v>76.98636399999999</v>
      </c>
      <c r="F99" s="46" t="n">
        <v>2856.506539</v>
      </c>
    </row>
    <row r="100" ht="14" customHeight="1">
      <c r="A100" s="15" t="n">
        <v>2015</v>
      </c>
      <c r="B100" s="43">
        <f>(((C100+D100)+E100)/F100)</f>
        <v/>
      </c>
      <c r="C100" s="44" t="n">
        <v>705.028993</v>
      </c>
      <c r="D100" s="44" t="n">
        <v>428.5298340000001</v>
      </c>
      <c r="E100" s="44" t="n">
        <v>77.023162</v>
      </c>
      <c r="F100" s="44" t="n">
        <v>2900.551886000001</v>
      </c>
    </row>
    <row r="101" ht="14" customHeight="1">
      <c r="A101" s="21" t="n">
        <v>2016</v>
      </c>
      <c r="B101" s="45">
        <f>(((C101+D101)+E101)/F101)</f>
        <v/>
      </c>
      <c r="C101" s="46" t="n">
        <v>659.0611759999999</v>
      </c>
      <c r="D101" s="46" t="n">
        <v>498.1137</v>
      </c>
      <c r="E101" s="46" t="n">
        <v>77.09005499999999</v>
      </c>
      <c r="F101" s="46" t="n">
        <v>2922.01605</v>
      </c>
    </row>
    <row r="102" ht="14" customHeight="1">
      <c r="A102" s="15" t="n">
        <v>2017</v>
      </c>
      <c r="B102" s="43">
        <f>(((C102+D102)+E102)/F102)</f>
        <v/>
      </c>
      <c r="C102" s="44" t="n">
        <v>638.838938</v>
      </c>
      <c r="D102" s="44" t="n">
        <v>557.9138810000001</v>
      </c>
      <c r="E102" s="44" t="n">
        <v>73.831413</v>
      </c>
      <c r="F102" s="44" t="n">
        <v>2954.523595000001</v>
      </c>
    </row>
    <row r="103" ht="14" customHeight="1">
      <c r="A103" s="21" t="n">
        <v>2018</v>
      </c>
      <c r="B103" s="45">
        <f>(((C103+D103)+E103)/F103)</f>
        <v/>
      </c>
      <c r="C103" s="46" t="n">
        <v>595.5069999999999</v>
      </c>
      <c r="D103" s="46" t="n">
        <v>522.4296000000001</v>
      </c>
      <c r="E103" s="46" t="n">
        <v>69.824422</v>
      </c>
      <c r="F103" s="46" t="n">
        <v>2938.030121</v>
      </c>
    </row>
    <row r="104" ht="14" customHeight="1">
      <c r="A104" s="15" t="n">
        <v>2019</v>
      </c>
      <c r="B104" s="43">
        <f>(((C104+D104)+E104)/F104)</f>
        <v/>
      </c>
      <c r="C104" s="44" t="n">
        <v>450.933123</v>
      </c>
      <c r="D104" s="44" t="n">
        <v>599.577544</v>
      </c>
      <c r="E104" s="44" t="n">
        <v>61.430867</v>
      </c>
      <c r="F104" s="44" t="n">
        <v>2902.370047</v>
      </c>
    </row>
    <row r="105" ht="14" customHeight="1">
      <c r="A105" s="21" t="n">
        <v>2020</v>
      </c>
      <c r="B105" s="45">
        <f>(((C105+D105)+E105)/F105)</f>
        <v/>
      </c>
      <c r="C105" s="46" t="n">
        <v>352.405128</v>
      </c>
      <c r="D105" s="46" t="n">
        <v>586.4874719999999</v>
      </c>
      <c r="E105" s="46" t="n">
        <v>53.223137</v>
      </c>
      <c r="F105" s="46" t="n">
        <v>2784.553903</v>
      </c>
    </row>
    <row r="106" ht="14" customHeight="1">
      <c r="A106" s="15" t="n">
        <v>2021</v>
      </c>
      <c r="B106" s="43">
        <f>(((C106+D106)+E106)/F106)</f>
        <v/>
      </c>
      <c r="C106" s="44" t="n">
        <v>419.003888</v>
      </c>
      <c r="D106" s="44" t="n">
        <v>579.8584930000001</v>
      </c>
      <c r="E106" s="44" t="n">
        <v>52.69121</v>
      </c>
      <c r="F106" s="44" t="n">
        <v>2906.186482</v>
      </c>
    </row>
    <row r="107" ht="14" customHeight="1">
      <c r="A107" s="21" t="n">
        <v>2022</v>
      </c>
      <c r="B107" s="45">
        <f>(((C107+D107)+E107)/F107)</f>
        <v/>
      </c>
      <c r="C107" s="46" t="n">
        <v>453.1799990000001</v>
      </c>
      <c r="D107" s="46" t="n">
        <v>571.6867760000001</v>
      </c>
      <c r="E107" s="46" t="n">
        <v>61.78648</v>
      </c>
      <c r="F107" s="46" t="n">
        <v>2803.796039</v>
      </c>
    </row>
    <row r="108" ht="14" customHeight="1">
      <c r="A108" s="15" t="n">
        <v>2023</v>
      </c>
      <c r="B108" s="43">
        <f>(((C108+D108)+E108)/F108)</f>
        <v/>
      </c>
      <c r="C108" s="44" t="n">
        <v>322.019936</v>
      </c>
      <c r="D108" s="44" t="n">
        <v>462.535657</v>
      </c>
      <c r="E108" s="44" t="n">
        <v>47.866955</v>
      </c>
      <c r="F108" s="44" t="n">
        <v>2760.944843</v>
      </c>
    </row>
    <row r="109" ht="14" customHeight="1">
      <c r="A109" s="21" t="n">
        <v>2024</v>
      </c>
      <c r="B109" s="45">
        <f>(((C109+D109)+E109)/F109)</f>
        <v/>
      </c>
      <c r="C109" s="46" t="n">
        <v>274.190922</v>
      </c>
      <c r="D109" s="46" t="n">
        <v>443.188995</v>
      </c>
      <c r="E109" s="46" t="n">
        <v>45.73424</v>
      </c>
      <c r="F109" s="46" t="n">
        <v>2828.734401</v>
      </c>
    </row>
    <row r="112">
      <c r="A112" s="47" t="inlineStr">
        <is>
          <t>E3 · Average GHG intensity of EU electricity  (g CO₂eq/kWh)</t>
        </is>
      </c>
    </row>
    <row r="113" ht="26" customHeight="1">
      <c r="A113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14" ht="24" customHeight="1">
      <c r="A114" s="3" t="inlineStr">
        <is>
          <t>Derivation:  Value = IF(A &gt;= 2023, ROUND([Report baseline 2022 (g CO₂eq/kWh)] * ([Numerator · env_air_gge CRF1A1]) / ([Denominator · nrg_bal_peh TOTAL]) / [Live source at 2022 (same basis as the columns left)], 1), [Historical])</t>
        </is>
      </c>
    </row>
    <row r="115" ht="42" customHeight="1">
      <c r="A115" s="42" t="inlineStr">
        <is>
          <t>Year</t>
        </is>
      </c>
      <c r="B115" s="42" t="inlineStr">
        <is>
          <t>Value</t>
        </is>
      </c>
      <c r="C115" s="42" t="inlineStr">
        <is>
          <t>Historical</t>
        </is>
      </c>
      <c r="D115" s="42" t="inlineStr">
        <is>
          <t>Numerator · env_air_gge CRF1A1</t>
        </is>
      </c>
      <c r="E115" s="42" t="inlineStr">
        <is>
          <t>Denominator · nrg_bal_peh TOTAL</t>
        </is>
      </c>
      <c r="F115" s="42" t="inlineStr">
        <is>
          <t>Report baseline 2022 (g CO₂eq/kWh)</t>
        </is>
      </c>
      <c r="G115" s="42" t="inlineStr">
        <is>
          <t>Live source at 2022 (same basis as the columns left)</t>
        </is>
      </c>
    </row>
    <row r="116" ht="14" customHeight="1">
      <c r="A116" s="15" t="n">
        <v>2005</v>
      </c>
      <c r="B116" s="43">
        <f>IF((A116&gt;=2023),ROUND((((F116*D116)/E116)/G116),1),C116)</f>
        <v/>
      </c>
      <c r="C116" s="44" t="n">
        <v>379</v>
      </c>
      <c r="D116" s="44" t="n"/>
      <c r="E116" s="44" t="n"/>
      <c r="F116" s="44" t="n"/>
      <c r="G116" s="44" t="n"/>
    </row>
    <row r="117" ht="14" customHeight="1">
      <c r="A117" s="21" t="n">
        <v>2006</v>
      </c>
      <c r="B117" s="45">
        <f>IF((A117&gt;=2023),ROUND((((F117*D117)/E117)/G117),1),C117)</f>
        <v/>
      </c>
      <c r="C117" s="46" t="n">
        <v>377</v>
      </c>
      <c r="D117" s="46" t="n"/>
      <c r="E117" s="46" t="n"/>
      <c r="F117" s="46" t="n"/>
      <c r="G117" s="46" t="n"/>
    </row>
    <row r="118" ht="14" customHeight="1">
      <c r="A118" s="15" t="n">
        <v>2007</v>
      </c>
      <c r="B118" s="43">
        <f>IF((A118&gt;=2023),ROUND((((F118*D118)/E118)/G118),1),C118)</f>
        <v/>
      </c>
      <c r="C118" s="44" t="n">
        <v>386</v>
      </c>
      <c r="D118" s="44" t="n"/>
      <c r="E118" s="44" t="n"/>
      <c r="F118" s="44" t="n"/>
      <c r="G118" s="44" t="n"/>
    </row>
    <row r="119" ht="14" customHeight="1">
      <c r="A119" s="21" t="n">
        <v>2008</v>
      </c>
      <c r="B119" s="45">
        <f>IF((A119&gt;=2023),ROUND((((F119*D119)/E119)/G119),1),C119)</f>
        <v/>
      </c>
      <c r="C119" s="46" t="n">
        <v>363</v>
      </c>
      <c r="D119" s="46" t="n"/>
      <c r="E119" s="46" t="n"/>
      <c r="F119" s="46" t="n"/>
      <c r="G119" s="46" t="n"/>
    </row>
    <row r="120" ht="14" customHeight="1">
      <c r="A120" s="15" t="n">
        <v>2009</v>
      </c>
      <c r="B120" s="43">
        <f>IF((A120&gt;=2023),ROUND((((F120*D120)/E120)/G120),1),C120)</f>
        <v/>
      </c>
      <c r="C120" s="44" t="n">
        <v>350</v>
      </c>
      <c r="D120" s="44" t="n"/>
      <c r="E120" s="44" t="n"/>
      <c r="F120" s="44" t="n"/>
      <c r="G120" s="44" t="n"/>
    </row>
    <row r="121" ht="14" customHeight="1">
      <c r="A121" s="21" t="n">
        <v>2010</v>
      </c>
      <c r="B121" s="45">
        <f>IF((A121&gt;=2023),ROUND((((F121*D121)/E121)/G121),1),C121)</f>
        <v/>
      </c>
      <c r="C121" s="46" t="n">
        <v>335</v>
      </c>
      <c r="D121" s="46" t="n"/>
      <c r="E121" s="46" t="n"/>
      <c r="F121" s="46" t="n"/>
      <c r="G121" s="46" t="n"/>
    </row>
    <row r="122" ht="14" customHeight="1">
      <c r="A122" s="15" t="n">
        <v>2011</v>
      </c>
      <c r="B122" s="43">
        <f>IF((A122&gt;=2023),ROUND((((F122*D122)/E122)/G122),1),C122)</f>
        <v/>
      </c>
      <c r="C122" s="44" t="n">
        <v>342</v>
      </c>
      <c r="D122" s="44" t="n"/>
      <c r="E122" s="44" t="n"/>
      <c r="F122" s="44" t="n"/>
      <c r="G122" s="44" t="n"/>
    </row>
    <row r="123" ht="14" customHeight="1">
      <c r="A123" s="21" t="n">
        <v>2012</v>
      </c>
      <c r="B123" s="45">
        <f>IF((A123&gt;=2023),ROUND((((F123*D123)/E123)/G123),1),C123)</f>
        <v/>
      </c>
      <c r="C123" s="46" t="n">
        <v>339</v>
      </c>
      <c r="D123" s="46" t="n"/>
      <c r="E123" s="46" t="n"/>
      <c r="F123" s="46" t="n"/>
      <c r="G123" s="46" t="n"/>
    </row>
    <row r="124" ht="14" customHeight="1">
      <c r="A124" s="15" t="n">
        <v>2013</v>
      </c>
      <c r="B124" s="43">
        <f>IF((A124&gt;=2023),ROUND((((F124*D124)/E124)/G124),1),C124)</f>
        <v/>
      </c>
      <c r="C124" s="44" t="n">
        <v>322</v>
      </c>
      <c r="D124" s="44" t="n"/>
      <c r="E124" s="44" t="n"/>
      <c r="F124" s="44" t="n"/>
      <c r="G124" s="44" t="n"/>
    </row>
    <row r="125" ht="14" customHeight="1">
      <c r="A125" s="21" t="n">
        <v>2014</v>
      </c>
      <c r="B125" s="45">
        <f>IF((A125&gt;=2023),ROUND((((F125*D125)/E125)/G125),1),C125)</f>
        <v/>
      </c>
      <c r="C125" s="46" t="n">
        <v>313</v>
      </c>
      <c r="D125" s="46" t="n"/>
      <c r="E125" s="46" t="n"/>
      <c r="F125" s="46" t="n"/>
      <c r="G125" s="46" t="n"/>
    </row>
    <row r="126" ht="14" customHeight="1">
      <c r="A126" s="15" t="n">
        <v>2015</v>
      </c>
      <c r="B126" s="43">
        <f>IF((A126&gt;=2023),ROUND((((F126*D126)/E126)/G126),1),C126)</f>
        <v/>
      </c>
      <c r="C126" s="44" t="n">
        <v>313</v>
      </c>
      <c r="D126" s="44" t="n"/>
      <c r="E126" s="44" t="n"/>
      <c r="F126" s="44" t="n"/>
      <c r="G126" s="44" t="n"/>
    </row>
    <row r="127" ht="14" customHeight="1">
      <c r="A127" s="21" t="n">
        <v>2016</v>
      </c>
      <c r="B127" s="45">
        <f>IF((A127&gt;=2023),ROUND((((F127*D127)/E127)/G127),1),C127)</f>
        <v/>
      </c>
      <c r="C127" s="46" t="n">
        <v>303</v>
      </c>
      <c r="D127" s="46" t="n"/>
      <c r="E127" s="46" t="n"/>
      <c r="F127" s="46" t="n"/>
      <c r="G127" s="46" t="n"/>
    </row>
    <row r="128" ht="14" customHeight="1">
      <c r="A128" s="15" t="n">
        <v>2017</v>
      </c>
      <c r="B128" s="43">
        <f>IF((A128&gt;=2023),ROUND((((F128*D128)/E128)/G128),1),C128)</f>
        <v/>
      </c>
      <c r="C128" s="44" t="n">
        <v>302</v>
      </c>
      <c r="D128" s="44" t="n"/>
      <c r="E128" s="44" t="n"/>
      <c r="F128" s="44" t="n"/>
      <c r="G128" s="44" t="n"/>
    </row>
    <row r="129" ht="14" customHeight="1">
      <c r="A129" s="21" t="n">
        <v>2018</v>
      </c>
      <c r="B129" s="45">
        <f>IF((A129&gt;=2023),ROUND((((F129*D129)/E129)/G129),1),C129)</f>
        <v/>
      </c>
      <c r="C129" s="46" t="n">
        <v>289</v>
      </c>
      <c r="D129" s="46" t="n"/>
      <c r="E129" s="46" t="n"/>
      <c r="F129" s="46" t="n"/>
      <c r="G129" s="46" t="n"/>
    </row>
    <row r="130" ht="14" customHeight="1">
      <c r="A130" s="15" t="n">
        <v>2019</v>
      </c>
      <c r="B130" s="43">
        <f>IF((A130&gt;=2023),ROUND((((F130*D130)/E130)/G130),1),C130)</f>
        <v/>
      </c>
      <c r="C130" s="44" t="n">
        <v>255</v>
      </c>
      <c r="D130" s="44" t="n"/>
      <c r="E130" s="44" t="n"/>
      <c r="F130" s="44" t="n"/>
      <c r="G130" s="44" t="n"/>
    </row>
    <row r="131" ht="14" customHeight="1">
      <c r="A131" s="21" t="n">
        <v>2020</v>
      </c>
      <c r="B131" s="45">
        <f>IF((A131&gt;=2023),ROUND((((F131*D131)/E131)/G131),1),C131)</f>
        <v/>
      </c>
      <c r="C131" s="46" t="n">
        <v>228</v>
      </c>
      <c r="D131" s="46" t="n"/>
      <c r="E131" s="46" t="n"/>
      <c r="F131" s="46" t="n"/>
      <c r="G131" s="46" t="n"/>
    </row>
    <row r="132" ht="14" customHeight="1">
      <c r="A132" s="15" t="n">
        <v>2021</v>
      </c>
      <c r="B132" s="43">
        <f>IF((A132&gt;=2023),ROUND((((F132*D132)/E132)/G132),1),C132)</f>
        <v/>
      </c>
      <c r="C132" s="44" t="n">
        <v>238</v>
      </c>
      <c r="D132" s="44" t="n"/>
      <c r="E132" s="44" t="n"/>
      <c r="F132" s="44" t="n"/>
      <c r="G132" s="44" t="n"/>
    </row>
    <row r="133" ht="14" customHeight="1">
      <c r="A133" s="21" t="n">
        <v>2022</v>
      </c>
      <c r="B133" s="45">
        <f>IF((A133&gt;=2023),ROUND((((F133*D133)/E133)/G133),1),C133)</f>
        <v/>
      </c>
      <c r="C133" s="46" t="n">
        <v>251</v>
      </c>
      <c r="D133" s="46" t="n"/>
      <c r="E133" s="46" t="n"/>
      <c r="F133" s="46" t="n"/>
      <c r="G133" s="46" t="n"/>
    </row>
    <row r="134" ht="14" customHeight="1">
      <c r="A134" s="15" t="n">
        <v>2023</v>
      </c>
      <c r="B134" s="43">
        <f>IF((A134&gt;=2023),ROUND((((F134*D134)/E134)/G134),1),C134)</f>
        <v/>
      </c>
      <c r="C134" s="44" t="n"/>
      <c r="D134" s="44" t="n">
        <v>698.41559</v>
      </c>
      <c r="E134" s="44" t="n">
        <v>2760944.843</v>
      </c>
      <c r="F134" s="44" t="n">
        <v>251</v>
      </c>
      <c r="G134" s="44" t="n">
        <v>0.000304</v>
      </c>
    </row>
    <row r="135" ht="14" customHeight="1">
      <c r="A135" s="21" t="n">
        <v>2024</v>
      </c>
      <c r="B135" s="45">
        <f>IF((A135&gt;=2023),ROUND((((F135*D135)/E135)/G135),1),C135)</f>
        <v/>
      </c>
      <c r="C135" s="46" t="n"/>
      <c r="D135" s="46" t="n">
        <v>642.41481</v>
      </c>
      <c r="E135" s="46" t="n">
        <v>2828734.401</v>
      </c>
      <c r="F135" s="46" t="n">
        <v>251</v>
      </c>
      <c r="G135" s="46" t="n">
        <v>0.000304</v>
      </c>
    </row>
    <row r="138">
      <c r="A138" s="47" t="inlineStr">
        <is>
          <t>E4a · Annual solar PV capacity additions (EU)  (GW/yr)</t>
        </is>
      </c>
    </row>
    <row r="139" ht="26" customHeight="1">
      <c r="A139" s="48" t="inlineStr">
        <is>
          <t>No derivation for the later years — the figure is the publication's own.</t>
        </is>
      </c>
    </row>
    <row r="140" ht="24" customHeight="1">
      <c r="A140" s="3" t="inlineStr">
        <is>
          <t>Derivation:  Value = IF(A &gt;= 2023, [Post-report figure as published], ([Solar PV cumulative capacity (MW)] - [Solar PV cumulative capacity (MW) (previous year)]) / 1000.0)</t>
        </is>
      </c>
    </row>
    <row r="141" ht="42" customHeight="1">
      <c r="A141" s="42" t="inlineStr">
        <is>
          <t>Year</t>
        </is>
      </c>
      <c r="B141" s="42" t="inlineStr">
        <is>
          <t>Value</t>
        </is>
      </c>
      <c r="C141" s="42" t="inlineStr">
        <is>
          <t>Solar PV cumulative capacity (MW)</t>
        </is>
      </c>
      <c r="D141" s="42" t="inlineStr">
        <is>
          <t>Solar PV cumulative capacity (MW) (previous year)</t>
        </is>
      </c>
      <c r="E141" s="42" t="inlineStr">
        <is>
          <t>Post-report figure as published</t>
        </is>
      </c>
    </row>
    <row r="142" ht="14" customHeight="1">
      <c r="A142" s="15" t="n">
        <v>2006</v>
      </c>
      <c r="B142" s="43">
        <f>IF((A142&gt;=2023),E142,((C142-D142)/1000))</f>
        <v/>
      </c>
      <c r="C142" s="44" t="n">
        <v>3213.924</v>
      </c>
      <c r="D142" s="44" t="n">
        <v>2269.187</v>
      </c>
      <c r="E142" s="44" t="n"/>
    </row>
    <row r="143" ht="14" customHeight="1">
      <c r="A143" s="21" t="n">
        <v>2007</v>
      </c>
      <c r="B143" s="45">
        <f>IF((A143&gt;=2023),E143,((C143-D143)/1000))</f>
        <v/>
      </c>
      <c r="C143" s="46" t="n">
        <v>4975.133</v>
      </c>
      <c r="D143" s="46" t="n">
        <v>3213.924</v>
      </c>
      <c r="E143" s="46" t="n"/>
    </row>
    <row r="144" ht="14" customHeight="1">
      <c r="A144" s="15" t="n">
        <v>2008</v>
      </c>
      <c r="B144" s="43">
        <f>IF((A144&gt;=2023),E144,((C144-D144)/1000))</f>
        <v/>
      </c>
      <c r="C144" s="44" t="n">
        <v>10374.182</v>
      </c>
      <c r="D144" s="44" t="n">
        <v>4975.133</v>
      </c>
      <c r="E144" s="44" t="n"/>
    </row>
    <row r="145" ht="14" customHeight="1">
      <c r="A145" s="21" t="n">
        <v>2009</v>
      </c>
      <c r="B145" s="45">
        <f>IF((A145&gt;=2023),E145,((C145-D145)/1000))</f>
        <v/>
      </c>
      <c r="C145" s="46" t="n">
        <v>16715.489</v>
      </c>
      <c r="D145" s="46" t="n">
        <v>10374.182</v>
      </c>
      <c r="E145" s="46" t="n"/>
    </row>
    <row r="146" ht="14" customHeight="1">
      <c r="A146" s="15" t="n">
        <v>2010</v>
      </c>
      <c r="B146" s="43">
        <f>IF((A146&gt;=2023),E146,((C146-D146)/1000))</f>
        <v/>
      </c>
      <c r="C146" s="44" t="n">
        <v>29882.357</v>
      </c>
      <c r="D146" s="44" t="n">
        <v>16715.489</v>
      </c>
      <c r="E146" s="44" t="n"/>
    </row>
    <row r="147" ht="14" customHeight="1">
      <c r="A147" s="21" t="n">
        <v>2011</v>
      </c>
      <c r="B147" s="45">
        <f>IF((A147&gt;=2023),E147,((C147-D147)/1000))</f>
        <v/>
      </c>
      <c r="C147" s="46" t="n">
        <v>52136.109</v>
      </c>
      <c r="D147" s="46" t="n">
        <v>29882.357</v>
      </c>
      <c r="E147" s="46" t="n"/>
    </row>
    <row r="148" ht="14" customHeight="1">
      <c r="A148" s="15" t="n">
        <v>2012</v>
      </c>
      <c r="B148" s="43">
        <f>IF((A148&gt;=2023),E148,((C148-D148)/1000))</f>
        <v/>
      </c>
      <c r="C148" s="44" t="n">
        <v>69039.41800000001</v>
      </c>
      <c r="D148" s="44" t="n">
        <v>52136.109</v>
      </c>
      <c r="E148" s="44" t="n"/>
    </row>
    <row r="149" ht="14" customHeight="1">
      <c r="A149" s="21" t="n">
        <v>2013</v>
      </c>
      <c r="B149" s="45">
        <f>IF((A149&gt;=2023),E149,((C149-D149)/1000))</f>
        <v/>
      </c>
      <c r="C149" s="46" t="n">
        <v>77402.829</v>
      </c>
      <c r="D149" s="46" t="n">
        <v>69039.41800000001</v>
      </c>
      <c r="E149" s="46" t="n"/>
    </row>
    <row r="150" ht="14" customHeight="1">
      <c r="A150" s="15" t="n">
        <v>2014</v>
      </c>
      <c r="B150" s="43">
        <f>IF((A150&gt;=2023),E150,((C150-D150)/1000))</f>
        <v/>
      </c>
      <c r="C150" s="44" t="n">
        <v>81313.29300000001</v>
      </c>
      <c r="D150" s="44" t="n">
        <v>77402.829</v>
      </c>
      <c r="E150" s="44" t="n"/>
    </row>
    <row r="151" ht="14" customHeight="1">
      <c r="A151" s="21" t="n">
        <v>2015</v>
      </c>
      <c r="B151" s="45">
        <f>IF((A151&gt;=2023),E151,((C151-D151)/1000))</f>
        <v/>
      </c>
      <c r="C151" s="46" t="n">
        <v>85379.371</v>
      </c>
      <c r="D151" s="46" t="n">
        <v>81313.29300000001</v>
      </c>
      <c r="E151" s="46" t="n"/>
    </row>
    <row r="152" ht="14" customHeight="1">
      <c r="A152" s="15" t="n">
        <v>2016</v>
      </c>
      <c r="B152" s="43">
        <f>IF((A152&gt;=2023),E152,((C152-D152)/1000))</f>
        <v/>
      </c>
      <c r="C152" s="44" t="n">
        <v>89194.64</v>
      </c>
      <c r="D152" s="44" t="n">
        <v>85379.371</v>
      </c>
      <c r="E152" s="44" t="n"/>
    </row>
    <row r="153" ht="14" customHeight="1">
      <c r="A153" s="21" t="n">
        <v>2017</v>
      </c>
      <c r="B153" s="45">
        <f>IF((A153&gt;=2023),E153,((C153-D153)/1000))</f>
        <v/>
      </c>
      <c r="C153" s="46" t="n">
        <v>93926.95600000001</v>
      </c>
      <c r="D153" s="46" t="n">
        <v>89194.64</v>
      </c>
      <c r="E153" s="46" t="n"/>
    </row>
    <row r="154" ht="14" customHeight="1">
      <c r="A154" s="15" t="n">
        <v>2018</v>
      </c>
      <c r="B154" s="43">
        <f>IF((A154&gt;=2023),E154,((C154-D154)/1000))</f>
        <v/>
      </c>
      <c r="C154" s="44" t="n">
        <v>101752.858</v>
      </c>
      <c r="D154" s="44" t="n">
        <v>93926.95600000001</v>
      </c>
      <c r="E154" s="44" t="n"/>
    </row>
    <row r="155" ht="14" customHeight="1">
      <c r="A155" s="21" t="n">
        <v>2019</v>
      </c>
      <c r="B155" s="45">
        <f>IF((A155&gt;=2023),E155,((C155-D155)/1000))</f>
        <v/>
      </c>
      <c r="C155" s="46" t="n">
        <v>117903.535</v>
      </c>
      <c r="D155" s="46" t="n">
        <v>101752.858</v>
      </c>
      <c r="E155" s="46" t="n"/>
    </row>
    <row r="156" ht="14" customHeight="1">
      <c r="A156" s="15" t="n">
        <v>2020</v>
      </c>
      <c r="B156" s="43">
        <f>IF((A156&gt;=2023),E156,((C156-D156)/1000))</f>
        <v/>
      </c>
      <c r="C156" s="44" t="n">
        <v>136176.363</v>
      </c>
      <c r="D156" s="44" t="n">
        <v>117903.535</v>
      </c>
      <c r="E156" s="44" t="n"/>
    </row>
    <row r="157" ht="14" customHeight="1">
      <c r="A157" s="21" t="n">
        <v>2021</v>
      </c>
      <c r="B157" s="45">
        <f>IF((A157&gt;=2023),E157,((C157-D157)/1000))</f>
        <v/>
      </c>
      <c r="C157" s="46" t="n">
        <v>161879.223</v>
      </c>
      <c r="D157" s="46" t="n">
        <v>136176.363</v>
      </c>
      <c r="E157" s="46" t="n"/>
    </row>
    <row r="158" ht="14" customHeight="1">
      <c r="A158" s="15" t="n">
        <v>2023</v>
      </c>
      <c r="B158" s="43">
        <f>IF((A158&gt;=2023),E158,((C158-D158)/1000))</f>
        <v/>
      </c>
      <c r="C158" s="44" t="n"/>
      <c r="D158" s="44" t="n"/>
      <c r="E158" s="44" t="n">
        <v>56</v>
      </c>
    </row>
    <row r="159" ht="14" customHeight="1">
      <c r="A159" s="21" t="n">
        <v>2024</v>
      </c>
      <c r="B159" s="45">
        <f>IF((A159&gt;=2023),E159,((C159-D159)/1000))</f>
        <v/>
      </c>
      <c r="C159" s="46" t="n"/>
      <c r="D159" s="46" t="n"/>
      <c r="E159" s="46" t="n">
        <v>65.5</v>
      </c>
    </row>
    <row r="160" ht="14" customHeight="1">
      <c r="A160" s="15" t="n">
        <v>2025</v>
      </c>
      <c r="B160" s="43">
        <f>IF((A160&gt;=2023),E160,((C160-D160)/1000))</f>
        <v/>
      </c>
      <c r="C160" s="44" t="n"/>
      <c r="D160" s="44" t="n"/>
      <c r="E160" s="44" t="n">
        <v>65.09999999999999</v>
      </c>
    </row>
    <row r="163">
      <c r="A163" s="47" t="inlineStr">
        <is>
          <t>E4b/c · Annual wind capacity additions (EU)  (GW/yr)</t>
        </is>
      </c>
    </row>
    <row r="164" ht="26" customHeight="1">
      <c r="A164" s="48" t="inlineStr">
        <is>
          <t>No derivation for the later years — the figure is the publication's own.</t>
        </is>
      </c>
    </row>
    <row r="165" ht="24" customHeight="1">
      <c r="A165" s="3" t="inlineStr">
        <is>
          <t>Derivation:  Value = IF(A &gt;= 2023, [Post-report figure as published], ([Onshore wind cumulative capacity (MW)] - [Onshore wind cumulative capacity (MW) (previous year)]) / 1000.0)</t>
        </is>
      </c>
    </row>
    <row r="166" ht="42" customHeight="1">
      <c r="A166" s="42" t="inlineStr">
        <is>
          <t>Year</t>
        </is>
      </c>
      <c r="B166" s="42" t="inlineStr">
        <is>
          <t>Value</t>
        </is>
      </c>
      <c r="C166" s="42" t="inlineStr">
        <is>
          <t>Onshore wind cumulative capacity (MW)</t>
        </is>
      </c>
      <c r="D166" s="42" t="inlineStr">
        <is>
          <t>Onshore wind cumulative capacity (MW) (previous year)</t>
        </is>
      </c>
      <c r="E166" s="42" t="inlineStr">
        <is>
          <t>Post-report figure as published</t>
        </is>
      </c>
    </row>
    <row r="167" ht="14" customHeight="1">
      <c r="A167" s="15" t="n">
        <v>2006</v>
      </c>
      <c r="B167" s="43">
        <f>IF((A167&gt;=2023),E167,((C167-D167)/1000))</f>
        <v/>
      </c>
      <c r="C167" s="44" t="n">
        <v>43350.74</v>
      </c>
      <c r="D167" s="44" t="n">
        <v>37419.13</v>
      </c>
      <c r="E167" s="44" t="n"/>
    </row>
    <row r="168" ht="14" customHeight="1">
      <c r="A168" s="21" t="n">
        <v>2007</v>
      </c>
      <c r="B168" s="45">
        <f>IF((A168&gt;=2023),E168,((C168-D168)/1000))</f>
        <v/>
      </c>
      <c r="C168" s="46" t="n">
        <v>50171.448</v>
      </c>
      <c r="D168" s="46" t="n">
        <v>43350.74</v>
      </c>
      <c r="E168" s="46" t="n"/>
    </row>
    <row r="169" ht="14" customHeight="1">
      <c r="A169" s="15" t="n">
        <v>2008</v>
      </c>
      <c r="B169" s="43">
        <f>IF((A169&gt;=2023),E169,((C169-D169)/1000))</f>
        <v/>
      </c>
      <c r="C169" s="44" t="n">
        <v>55480.934</v>
      </c>
      <c r="D169" s="44" t="n">
        <v>50171.448</v>
      </c>
      <c r="E169" s="44" t="n"/>
    </row>
    <row r="170" ht="14" customHeight="1">
      <c r="A170" s="21" t="n">
        <v>2009</v>
      </c>
      <c r="B170" s="45">
        <f>IF((A170&gt;=2023),E170,((C170-D170)/1000))</f>
        <v/>
      </c>
      <c r="C170" s="46" t="n">
        <v>64803.677</v>
      </c>
      <c r="D170" s="46" t="n">
        <v>55480.934</v>
      </c>
      <c r="E170" s="46" t="n"/>
    </row>
    <row r="171" ht="14" customHeight="1">
      <c r="A171" s="15" t="n">
        <v>2010</v>
      </c>
      <c r="B171" s="43">
        <f>IF((A171&gt;=2023),E171,((C171-D171)/1000))</f>
        <v/>
      </c>
      <c r="C171" s="44" t="n">
        <v>70610.359</v>
      </c>
      <c r="D171" s="44" t="n">
        <v>64803.677</v>
      </c>
      <c r="E171" s="44" t="n"/>
    </row>
    <row r="172" ht="14" customHeight="1">
      <c r="A172" s="21" t="n">
        <v>2011</v>
      </c>
      <c r="B172" s="45">
        <f>IF((A172&gt;=2023),E172,((C172-D172)/1000))</f>
        <v/>
      </c>
      <c r="C172" s="46" t="n">
        <v>84226.42</v>
      </c>
      <c r="D172" s="46" t="n">
        <v>70610.359</v>
      </c>
      <c r="E172" s="46" t="n"/>
    </row>
    <row r="173" ht="14" customHeight="1">
      <c r="A173" s="15" t="n">
        <v>2012</v>
      </c>
      <c r="B173" s="43">
        <f>IF((A173&gt;=2023),E173,((C173-D173)/1000))</f>
        <v/>
      </c>
      <c r="C173" s="44" t="n">
        <v>92679.891</v>
      </c>
      <c r="D173" s="44" t="n">
        <v>84226.42</v>
      </c>
      <c r="E173" s="44" t="n"/>
    </row>
    <row r="174" ht="14" customHeight="1">
      <c r="A174" s="21" t="n">
        <v>2013</v>
      </c>
      <c r="B174" s="45">
        <f>IF((A174&gt;=2023),E174,((C174-D174)/1000))</f>
        <v/>
      </c>
      <c r="C174" s="46" t="n">
        <v>99239.16499999999</v>
      </c>
      <c r="D174" s="46" t="n">
        <v>92679.891</v>
      </c>
      <c r="E174" s="46" t="n"/>
    </row>
    <row r="175" ht="14" customHeight="1">
      <c r="A175" s="15" t="n">
        <v>2014</v>
      </c>
      <c r="B175" s="43">
        <f>IF((A175&gt;=2023),E175,((C175-D175)/1000))</f>
        <v/>
      </c>
      <c r="C175" s="44" t="n">
        <v>108256.141</v>
      </c>
      <c r="D175" s="44" t="n">
        <v>99239.16499999999</v>
      </c>
      <c r="E175" s="44" t="n"/>
    </row>
    <row r="176" ht="14" customHeight="1">
      <c r="A176" s="21" t="n">
        <v>2015</v>
      </c>
      <c r="B176" s="45">
        <f>IF((A176&gt;=2023),E176,((C176-D176)/1000))</f>
        <v/>
      </c>
      <c r="C176" s="46" t="n">
        <v>117502.431</v>
      </c>
      <c r="D176" s="46" t="n">
        <v>108256.141</v>
      </c>
      <c r="E176" s="46" t="n"/>
    </row>
    <row r="177" ht="14" customHeight="1">
      <c r="A177" s="15" t="n">
        <v>2016</v>
      </c>
      <c r="B177" s="43">
        <f>IF((A177&gt;=2023),E177,((C177-D177)/1000))</f>
        <v/>
      </c>
      <c r="C177" s="44" t="n">
        <v>126951.247</v>
      </c>
      <c r="D177" s="44" t="n">
        <v>117502.431</v>
      </c>
      <c r="E177" s="44" t="n"/>
    </row>
    <row r="178" ht="14" customHeight="1">
      <c r="A178" s="21" t="n">
        <v>2017</v>
      </c>
      <c r="B178" s="45">
        <f>IF((A178&gt;=2023),E178,((C178-D178)/1000))</f>
        <v/>
      </c>
      <c r="C178" s="46" t="n">
        <v>140132.585</v>
      </c>
      <c r="D178" s="46" t="n">
        <v>126951.247</v>
      </c>
      <c r="E178" s="46" t="n"/>
    </row>
    <row r="179" ht="14" customHeight="1">
      <c r="A179" s="15" t="n">
        <v>2018</v>
      </c>
      <c r="B179" s="43">
        <f>IF((A179&gt;=2023),E179,((C179-D179)/1000))</f>
        <v/>
      </c>
      <c r="C179" s="44" t="n">
        <v>146699.078</v>
      </c>
      <c r="D179" s="44" t="n">
        <v>140132.585</v>
      </c>
      <c r="E179" s="44" t="n"/>
    </row>
    <row r="180" ht="14" customHeight="1">
      <c r="A180" s="21" t="n">
        <v>2019</v>
      </c>
      <c r="B180" s="45">
        <f>IF((A180&gt;=2023),E180,((C180-D180)/1000))</f>
        <v/>
      </c>
      <c r="C180" s="46" t="n">
        <v>155094.764</v>
      </c>
      <c r="D180" s="46" t="n">
        <v>146699.078</v>
      </c>
      <c r="E180" s="46" t="n"/>
    </row>
    <row r="181" ht="14" customHeight="1">
      <c r="A181" s="15" t="n">
        <v>2020</v>
      </c>
      <c r="B181" s="43">
        <f>IF((A181&gt;=2023),E181,((C181-D181)/1000))</f>
        <v/>
      </c>
      <c r="C181" s="44" t="n">
        <v>162548.749</v>
      </c>
      <c r="D181" s="44" t="n">
        <v>155094.764</v>
      </c>
      <c r="E181" s="44" t="n"/>
    </row>
    <row r="182" ht="14" customHeight="1">
      <c r="A182" s="21" t="n">
        <v>2021</v>
      </c>
      <c r="B182" s="45">
        <f>IF((A182&gt;=2023),E182,((C182-D182)/1000))</f>
        <v/>
      </c>
      <c r="C182" s="46" t="n">
        <v>173265.863</v>
      </c>
      <c r="D182" s="46" t="n">
        <v>162548.749</v>
      </c>
      <c r="E182" s="46" t="n"/>
    </row>
    <row r="183" ht="14" customHeight="1">
      <c r="A183" s="15" t="n">
        <v>2023</v>
      </c>
      <c r="B183" s="43">
        <f>IF((A183&gt;=2023),E183,((C183-D183)/1000))</f>
        <v/>
      </c>
      <c r="C183" s="44" t="n"/>
      <c r="D183" s="44" t="n"/>
      <c r="E183" s="44" t="n">
        <v>16.2</v>
      </c>
    </row>
    <row r="184" ht="14" customHeight="1">
      <c r="A184" s="21" t="n">
        <v>2024</v>
      </c>
      <c r="B184" s="45">
        <f>IF((A184&gt;=2023),E184,((C184-D184)/1000))</f>
        <v/>
      </c>
      <c r="C184" s="46" t="n"/>
      <c r="D184" s="46" t="n"/>
      <c r="E184" s="46" t="n">
        <v>12.9</v>
      </c>
    </row>
    <row r="185" ht="14" customHeight="1">
      <c r="A185" s="15" t="n">
        <v>2025</v>
      </c>
      <c r="B185" s="43">
        <f>IF((A185&gt;=2023),E185,((C185-D185)/1000))</f>
        <v/>
      </c>
      <c r="C185" s="44" t="n"/>
      <c r="D185" s="44" t="n"/>
      <c r="E185" s="44" t="n">
        <v>15.1</v>
      </c>
    </row>
    <row r="188">
      <c r="A188" s="47" t="inlineStr">
        <is>
          <t>E6 · Energy-related methane emissions (EU-27)  (Mt CO₂eq)</t>
        </is>
      </c>
    </row>
    <row r="189" ht="26" customHeight="1">
      <c r="A189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90" ht="24" customHeight="1">
      <c r="A190" s="3" t="inlineStr">
        <is>
          <t>Derivation:  Value = IF(A &gt;= 2022, ROUND([Report baseline 2021 (Mt CO₂eq)] * [env_air_gge CRF1 CH4] / [Live source at 2021 (same basis as the columns left)], 2), ([Fuel combustion]+[Fugitive - solid fuels]+[Fugitive - other]))</t>
        </is>
      </c>
    </row>
    <row r="191" ht="42" customHeight="1">
      <c r="A191" s="42" t="inlineStr">
        <is>
          <t>Year</t>
        </is>
      </c>
      <c r="B191" s="42" t="inlineStr">
        <is>
          <t>Value</t>
        </is>
      </c>
      <c r="C191" s="42" t="inlineStr">
        <is>
          <t>Fuel combustion</t>
        </is>
      </c>
      <c r="D191" s="42" t="inlineStr">
        <is>
          <t>Fugitive - solid fuels</t>
        </is>
      </c>
      <c r="E191" s="42" t="inlineStr">
        <is>
          <t>Fugitive - other</t>
        </is>
      </c>
      <c r="F191" s="42" t="inlineStr">
        <is>
          <t>env_air_gge CRF1 CH4</t>
        </is>
      </c>
      <c r="G191" s="42" t="inlineStr">
        <is>
          <t>Report baseline 2021 (Mt CO₂eq)</t>
        </is>
      </c>
      <c r="H191" s="42" t="inlineStr">
        <is>
          <t>Live source at 2021 (same basis as the columns left)</t>
        </is>
      </c>
    </row>
    <row r="192" ht="14" customHeight="1">
      <c r="A192" s="15" t="n">
        <v>2005</v>
      </c>
      <c r="B192" s="43">
        <f>IF((A192&gt;=2022),ROUND(((G192*F192)/H192),2),((C192+D192)+E192))</f>
        <v/>
      </c>
      <c r="C192" s="44" t="n">
        <v>25.69913121828941</v>
      </c>
      <c r="D192" s="44" t="n">
        <v>52.8315854181241</v>
      </c>
      <c r="E192" s="44" t="n">
        <v>31.6165845699223</v>
      </c>
      <c r="F192" s="44" t="n"/>
      <c r="G192" s="44" t="n"/>
      <c r="H192" s="44" t="n"/>
    </row>
    <row r="193" ht="14" customHeight="1">
      <c r="A193" s="21" t="n">
        <v>2006</v>
      </c>
      <c r="B193" s="45">
        <f>IF((A193&gt;=2022),ROUND(((G193*F193)/H193),2),((C193+D193)+E193))</f>
        <v/>
      </c>
      <c r="C193" s="46" t="n">
        <v>25.88645840097239</v>
      </c>
      <c r="D193" s="46" t="n">
        <v>49.49190640968661</v>
      </c>
      <c r="E193" s="46" t="n">
        <v>30.42661730524428</v>
      </c>
      <c r="F193" s="46" t="n"/>
      <c r="G193" s="46" t="n"/>
      <c r="H193" s="46" t="n"/>
    </row>
    <row r="194" ht="14" customHeight="1">
      <c r="A194" s="15" t="n">
        <v>2007</v>
      </c>
      <c r="B194" s="43">
        <f>IF((A194&gt;=2022),ROUND(((G194*F194)/H194),2),((C194+D194)+E194))</f>
        <v/>
      </c>
      <c r="C194" s="44" t="n">
        <v>26.44340852708844</v>
      </c>
      <c r="D194" s="44" t="n">
        <v>46.35706082534897</v>
      </c>
      <c r="E194" s="44" t="n">
        <v>29.05688421787791</v>
      </c>
      <c r="F194" s="44" t="n"/>
      <c r="G194" s="44" t="n"/>
      <c r="H194" s="44" t="n"/>
    </row>
    <row r="195" ht="14" customHeight="1">
      <c r="A195" s="21" t="n">
        <v>2008</v>
      </c>
      <c r="B195" s="45">
        <f>IF((A195&gt;=2022),ROUND(((G195*F195)/H195),2),((C195+D195)+E195))</f>
        <v/>
      </c>
      <c r="C195" s="46" t="n">
        <v>27.93711041395692</v>
      </c>
      <c r="D195" s="46" t="n">
        <v>45.6097659020955</v>
      </c>
      <c r="E195" s="46" t="n">
        <v>28.52187349951384</v>
      </c>
      <c r="F195" s="46" t="n"/>
      <c r="G195" s="46" t="n"/>
      <c r="H195" s="46" t="n"/>
    </row>
    <row r="196" ht="14" customHeight="1">
      <c r="A196" s="15" t="n">
        <v>2009</v>
      </c>
      <c r="B196" s="43">
        <f>IF((A196&gt;=2022),ROUND(((G196*F196)/H196),2),((C196+D196)+E196))</f>
        <v/>
      </c>
      <c r="C196" s="44" t="n">
        <v>27.64360515860903</v>
      </c>
      <c r="D196" s="44" t="n">
        <v>41.59625229511023</v>
      </c>
      <c r="E196" s="44" t="n">
        <v>27.20921554389038</v>
      </c>
      <c r="F196" s="44" t="n"/>
      <c r="G196" s="44" t="n"/>
      <c r="H196" s="44" t="n"/>
    </row>
    <row r="197" ht="14" customHeight="1">
      <c r="A197" s="21" t="n">
        <v>2010</v>
      </c>
      <c r="B197" s="45">
        <f>IF((A197&gt;=2022),ROUND(((G197*F197)/H197),2),((C197+D197)+E197))</f>
        <v/>
      </c>
      <c r="C197" s="46" t="n">
        <v>29.33178661169264</v>
      </c>
      <c r="D197" s="46" t="n">
        <v>40.16641671519278</v>
      </c>
      <c r="E197" s="46" t="n">
        <v>27.51972070102189</v>
      </c>
      <c r="F197" s="46" t="n"/>
      <c r="G197" s="46" t="n"/>
      <c r="H197" s="46" t="n"/>
    </row>
    <row r="198" ht="14" customHeight="1">
      <c r="A198" s="15" t="n">
        <v>2011</v>
      </c>
      <c r="B198" s="43">
        <f>IF((A198&gt;=2022),ROUND(((G198*F198)/H198),2),((C198+D198)+E198))</f>
        <v/>
      </c>
      <c r="C198" s="44" t="n">
        <v>26.57230662709831</v>
      </c>
      <c r="D198" s="44" t="n">
        <v>39.84312604488972</v>
      </c>
      <c r="E198" s="44" t="n">
        <v>26.65063962254466</v>
      </c>
      <c r="F198" s="44" t="n"/>
      <c r="G198" s="44" t="n"/>
      <c r="H198" s="44" t="n"/>
    </row>
    <row r="199" ht="14" customHeight="1">
      <c r="A199" s="21" t="n">
        <v>2012</v>
      </c>
      <c r="B199" s="45">
        <f>IF((A199&gt;=2022),ROUND(((G199*F199)/H199),2),((C199+D199)+E199))</f>
        <v/>
      </c>
      <c r="C199" s="46" t="n">
        <v>28.15329352862047</v>
      </c>
      <c r="D199" s="46" t="n">
        <v>40.07079647107277</v>
      </c>
      <c r="E199" s="46" t="n">
        <v>25.6343658127353</v>
      </c>
      <c r="F199" s="46" t="n"/>
      <c r="G199" s="46" t="n"/>
      <c r="H199" s="46" t="n"/>
    </row>
    <row r="200" ht="14" customHeight="1">
      <c r="A200" s="15" t="n">
        <v>2013</v>
      </c>
      <c r="B200" s="43">
        <f>IF((A200&gt;=2022),ROUND(((G200*F200)/H200),2),((C200+D200)+E200))</f>
        <v/>
      </c>
      <c r="C200" s="44" t="n">
        <v>28.02216466422844</v>
      </c>
      <c r="D200" s="44" t="n">
        <v>37.68075968792657</v>
      </c>
      <c r="E200" s="44" t="n">
        <v>25.23866328163211</v>
      </c>
      <c r="F200" s="44" t="n"/>
      <c r="G200" s="44" t="n"/>
      <c r="H200" s="44" t="n"/>
    </row>
    <row r="201" ht="14" customHeight="1">
      <c r="A201" s="21" t="n">
        <v>2014</v>
      </c>
      <c r="B201" s="45">
        <f>IF((A201&gt;=2022),ROUND(((G201*F201)/H201),2),((C201+D201)+E201))</f>
        <v/>
      </c>
      <c r="C201" s="46" t="n">
        <v>25.17152560061331</v>
      </c>
      <c r="D201" s="46" t="n">
        <v>36.39667748713047</v>
      </c>
      <c r="E201" s="46" t="n">
        <v>24.25620946708074</v>
      </c>
      <c r="F201" s="46" t="n"/>
      <c r="G201" s="46" t="n"/>
      <c r="H201" s="46" t="n"/>
    </row>
    <row r="202" ht="14" customHeight="1">
      <c r="A202" s="15" t="n">
        <v>2015</v>
      </c>
      <c r="B202" s="43">
        <f>IF((A202&gt;=2022),ROUND(((G202*F202)/H202),2),((C202+D202)+E202))</f>
        <v/>
      </c>
      <c r="C202" s="44" t="n">
        <v>25.86973603354605</v>
      </c>
      <c r="D202" s="44" t="n">
        <v>37.40270435291585</v>
      </c>
      <c r="E202" s="44" t="n">
        <v>23.0256932298698</v>
      </c>
      <c r="F202" s="44" t="n"/>
      <c r="G202" s="44" t="n"/>
      <c r="H202" s="44" t="n"/>
    </row>
    <row r="203" ht="14" customHeight="1">
      <c r="A203" s="21" t="n">
        <v>2016</v>
      </c>
      <c r="B203" s="45">
        <f>IF((A203&gt;=2022),ROUND(((G203*F203)/H203),2),((C203+D203)+E203))</f>
        <v/>
      </c>
      <c r="C203" s="46" t="n">
        <v>25.95711318460804</v>
      </c>
      <c r="D203" s="46" t="n">
        <v>35.33477220579638</v>
      </c>
      <c r="E203" s="46" t="n">
        <v>22.23766194622106</v>
      </c>
      <c r="F203" s="46" t="n"/>
      <c r="G203" s="46" t="n"/>
      <c r="H203" s="46" t="n"/>
    </row>
    <row r="204" ht="14" customHeight="1">
      <c r="A204" s="15" t="n">
        <v>2017</v>
      </c>
      <c r="B204" s="43">
        <f>IF((A204&gt;=2022),ROUND(((G204*F204)/H204),2),((C204+D204)+E204))</f>
        <v/>
      </c>
      <c r="C204" s="44" t="n">
        <v>26.25607488050714</v>
      </c>
      <c r="D204" s="44" t="n">
        <v>34.71967149637995</v>
      </c>
      <c r="E204" s="44" t="n">
        <v>21.72320950375489</v>
      </c>
      <c r="F204" s="44" t="n"/>
      <c r="G204" s="44" t="n"/>
      <c r="H204" s="44" t="n"/>
    </row>
    <row r="205" ht="14" customHeight="1">
      <c r="A205" s="21" t="n">
        <v>2018</v>
      </c>
      <c r="B205" s="45">
        <f>IF((A205&gt;=2022),ROUND(((G205*F205)/H205),2),((C205+D205)+E205))</f>
        <v/>
      </c>
      <c r="C205" s="46" t="n">
        <v>26.58688958737584</v>
      </c>
      <c r="D205" s="46" t="n">
        <v>32.41012205897192</v>
      </c>
      <c r="E205" s="46" t="n">
        <v>20.69434369051864</v>
      </c>
      <c r="F205" s="46" t="n"/>
      <c r="G205" s="46" t="n"/>
      <c r="H205" s="46" t="n"/>
    </row>
    <row r="206" ht="14" customHeight="1">
      <c r="A206" s="15" t="n">
        <v>2019</v>
      </c>
      <c r="B206" s="43">
        <f>IF((A206&gt;=2022),ROUND(((G206*F206)/H206),2),((C206+D206)+E206))</f>
        <v/>
      </c>
      <c r="C206" s="44" t="n">
        <v>25.94378265274558</v>
      </c>
      <c r="D206" s="44" t="n">
        <v>28.01834710880188</v>
      </c>
      <c r="E206" s="44" t="n">
        <v>19.2516119641467</v>
      </c>
      <c r="F206" s="44" t="n"/>
      <c r="G206" s="44" t="n"/>
      <c r="H206" s="44" t="n"/>
    </row>
    <row r="207" ht="14" customHeight="1">
      <c r="A207" s="21" t="n">
        <v>2020</v>
      </c>
      <c r="B207" s="45">
        <f>IF((A207&gt;=2022),ROUND(((G207*F207)/H207),2),((C207+D207)+E207))</f>
        <v/>
      </c>
      <c r="C207" s="46" t="n">
        <v>25.26746562288206</v>
      </c>
      <c r="D207" s="46" t="n">
        <v>26.12143927772557</v>
      </c>
      <c r="E207" s="46" t="n">
        <v>18.23598185588754</v>
      </c>
      <c r="F207" s="46" t="n"/>
      <c r="G207" s="46" t="n"/>
      <c r="H207" s="46" t="n"/>
    </row>
    <row r="208" ht="14" customHeight="1">
      <c r="A208" s="15" t="n">
        <v>2021</v>
      </c>
      <c r="B208" s="43">
        <f>IF((A208&gt;=2022),ROUND(((G208*F208)/H208),2),((C208+D208)+E208))</f>
        <v/>
      </c>
      <c r="C208" s="44" t="n">
        <v>26.52328217715002</v>
      </c>
      <c r="D208" s="44" t="n">
        <v>25.62160457337648</v>
      </c>
      <c r="E208" s="44" t="n">
        <v>17.76021328091393</v>
      </c>
      <c r="F208" s="44" t="n"/>
      <c r="G208" s="44" t="n"/>
      <c r="H208" s="44" t="n"/>
    </row>
    <row r="209" ht="14" customHeight="1">
      <c r="A209" s="21" t="n">
        <v>2022</v>
      </c>
      <c r="B209" s="45">
        <f>IF((A209&gt;=2022),ROUND(((G209*F209)/H209),2),((C209+D209)+E209))</f>
        <v/>
      </c>
      <c r="C209" s="46" t="n"/>
      <c r="D209" s="46" t="n"/>
      <c r="E209" s="46" t="n"/>
      <c r="F209" s="46" t="n">
        <v>2.07953</v>
      </c>
      <c r="G209" s="46" t="n">
        <v>69.91</v>
      </c>
      <c r="H209" s="46" t="n">
        <v>2.2554</v>
      </c>
    </row>
    <row r="210" ht="14" customHeight="1">
      <c r="A210" s="15" t="n">
        <v>2023</v>
      </c>
      <c r="B210" s="43">
        <f>IF((A210&gt;=2022),ROUND(((G210*F210)/H210),2),((C210+D210)+E210))</f>
        <v/>
      </c>
      <c r="C210" s="44" t="n"/>
      <c r="D210" s="44" t="n"/>
      <c r="E210" s="44" t="n"/>
      <c r="F210" s="44" t="n">
        <v>1.93717</v>
      </c>
      <c r="G210" s="44" t="n">
        <v>69.91</v>
      </c>
      <c r="H210" s="44" t="n">
        <v>2.2554</v>
      </c>
    </row>
    <row r="211" ht="14" customHeight="1">
      <c r="A211" s="21" t="n">
        <v>2024</v>
      </c>
      <c r="B211" s="45">
        <f>IF((A211&gt;=2022),ROUND(((G211*F211)/H211),2),((C211+D211)+E211))</f>
        <v/>
      </c>
      <c r="C211" s="46" t="n"/>
      <c r="D211" s="46" t="n"/>
      <c r="E211" s="46" t="n"/>
      <c r="F211" s="46" t="n">
        <v>1.8637</v>
      </c>
      <c r="G211" s="46" t="n">
        <v>69.91</v>
      </c>
      <c r="H211" s="46" t="n">
        <v>2.2554</v>
      </c>
    </row>
    <row r="214">
      <c r="A214" s="49" t="inlineStr">
        <is>
          <t>E5 · Electrification rate of final energy use  (%)</t>
        </is>
      </c>
    </row>
    <row r="215" ht="26" customHeight="1">
      <c r="A215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216" ht="24" customHeight="1">
      <c r="A216" s="3" t="inlineStr">
        <is>
          <t>Derivation:  Value = ([FEC - electricity]/[FEC - total]) * [fraction → % (× 100)]</t>
        </is>
      </c>
    </row>
    <row r="217" ht="42" customHeight="1">
      <c r="A217" s="42" t="inlineStr">
        <is>
          <t>Year</t>
        </is>
      </c>
      <c r="B217" s="42" t="inlineStr">
        <is>
          <t>Value</t>
        </is>
      </c>
      <c r="C217" s="42" t="inlineStr">
        <is>
          <t>FEC - electricity</t>
        </is>
      </c>
      <c r="D217" s="42" t="inlineStr">
        <is>
          <t>FEC - total</t>
        </is>
      </c>
      <c r="E217" s="42" t="inlineStr">
        <is>
          <t>fraction → % (× 100)</t>
        </is>
      </c>
    </row>
    <row r="218" ht="14" customHeight="1">
      <c r="A218" s="15" t="n">
        <v>2005</v>
      </c>
      <c r="B218" s="43">
        <f>((C218/D218)*E218)</f>
        <v/>
      </c>
      <c r="C218" s="44" t="n">
        <v>2435673.703</v>
      </c>
      <c r="D218" s="44" t="n">
        <v>11474916.915</v>
      </c>
      <c r="E218" s="44" t="n">
        <v>100</v>
      </c>
    </row>
    <row r="219" ht="14" customHeight="1">
      <c r="A219" s="21" t="n">
        <v>2006</v>
      </c>
      <c r="B219" s="45">
        <f>((C219/D219)*E219)</f>
        <v/>
      </c>
      <c r="C219" s="46" t="n">
        <v>2487965.274</v>
      </c>
      <c r="D219" s="46" t="n">
        <v>11513134.525</v>
      </c>
      <c r="E219" s="46" t="n">
        <v>100</v>
      </c>
    </row>
    <row r="220" ht="14" customHeight="1">
      <c r="A220" s="15" t="n">
        <v>2007</v>
      </c>
      <c r="B220" s="43">
        <f>((C220/D220)*E220)</f>
        <v/>
      </c>
      <c r="C220" s="44" t="n">
        <v>2507601.539</v>
      </c>
      <c r="D220" s="44" t="n">
        <v>11296437.815</v>
      </c>
      <c r="E220" s="44" t="n">
        <v>100</v>
      </c>
    </row>
    <row r="221" ht="14" customHeight="1">
      <c r="A221" s="21" t="n">
        <v>2008</v>
      </c>
      <c r="B221" s="45">
        <f>((C221/D221)*E221)</f>
        <v/>
      </c>
      <c r="C221" s="46" t="n">
        <v>2521047.666</v>
      </c>
      <c r="D221" s="46" t="n">
        <v>11405137.115</v>
      </c>
      <c r="E221" s="46" t="n">
        <v>100</v>
      </c>
    </row>
    <row r="222" ht="14" customHeight="1">
      <c r="A222" s="15" t="n">
        <v>2009</v>
      </c>
      <c r="B222" s="43">
        <f>((C222/D222)*E222)</f>
        <v/>
      </c>
      <c r="C222" s="44" t="n">
        <v>2392832.602</v>
      </c>
      <c r="D222" s="44" t="n">
        <v>10876339.92</v>
      </c>
      <c r="E222" s="44" t="n">
        <v>100</v>
      </c>
    </row>
    <row r="223" ht="14" customHeight="1">
      <c r="A223" s="21" t="n">
        <v>2010</v>
      </c>
      <c r="B223" s="45">
        <f>((C223/D223)*E223)</f>
        <v/>
      </c>
      <c r="C223" s="46" t="n">
        <v>2510655.33</v>
      </c>
      <c r="D223" s="46" t="n">
        <v>11318762.988</v>
      </c>
      <c r="E223" s="46" t="n">
        <v>100</v>
      </c>
    </row>
    <row r="224" ht="14" customHeight="1">
      <c r="A224" s="15" t="n">
        <v>2011</v>
      </c>
      <c r="B224" s="43">
        <f>((C224/D224)*E224)</f>
        <v/>
      </c>
      <c r="C224" s="44" t="n">
        <v>2475454.023</v>
      </c>
      <c r="D224" s="44" t="n">
        <v>10860092.741</v>
      </c>
      <c r="E224" s="44" t="n">
        <v>100</v>
      </c>
    </row>
    <row r="225" ht="14" customHeight="1">
      <c r="A225" s="21" t="n">
        <v>2012</v>
      </c>
      <c r="B225" s="45">
        <f>((C225/D225)*E225)</f>
        <v/>
      </c>
      <c r="C225" s="46" t="n">
        <v>2484050.673</v>
      </c>
      <c r="D225" s="46" t="n">
        <v>10852755.326</v>
      </c>
      <c r="E225" s="46" t="n">
        <v>100</v>
      </c>
    </row>
    <row r="226" ht="14" customHeight="1">
      <c r="A226" s="15" t="n">
        <v>2013</v>
      </c>
      <c r="B226" s="43">
        <f>((C226/D226)*E226)</f>
        <v/>
      </c>
      <c r="C226" s="44" t="n">
        <v>2461276.146</v>
      </c>
      <c r="D226" s="44" t="n">
        <v>10832088.71</v>
      </c>
      <c r="E226" s="44" t="n">
        <v>100</v>
      </c>
    </row>
    <row r="227" ht="14" customHeight="1">
      <c r="A227" s="21" t="n">
        <v>2014</v>
      </c>
      <c r="B227" s="45">
        <f>((C227/D227)*E227)</f>
        <v/>
      </c>
      <c r="C227" s="46" t="n">
        <v>2409216.082</v>
      </c>
      <c r="D227" s="46" t="n">
        <v>10350977.682</v>
      </c>
      <c r="E227" s="46" t="n">
        <v>100</v>
      </c>
    </row>
    <row r="228" ht="14" customHeight="1">
      <c r="A228" s="15" t="n">
        <v>2015</v>
      </c>
      <c r="B228" s="43">
        <f>((C228/D228)*E228)</f>
        <v/>
      </c>
      <c r="C228" s="44" t="n">
        <v>2449964.432</v>
      </c>
      <c r="D228" s="44" t="n">
        <v>10571485.683</v>
      </c>
      <c r="E228" s="44" t="n">
        <v>100</v>
      </c>
    </row>
    <row r="229" ht="14" customHeight="1">
      <c r="A229" s="21" t="n">
        <v>2016</v>
      </c>
      <c r="B229" s="45">
        <f>((C229/D229)*E229)</f>
        <v/>
      </c>
      <c r="C229" s="46" t="n">
        <v>2481183.966</v>
      </c>
      <c r="D229" s="46" t="n">
        <v>10784102.813</v>
      </c>
      <c r="E229" s="46" t="n">
        <v>100</v>
      </c>
    </row>
    <row r="230" ht="14" customHeight="1">
      <c r="A230" s="15" t="n">
        <v>2017</v>
      </c>
      <c r="B230" s="43">
        <f>((C230/D230)*E230)</f>
        <v/>
      </c>
      <c r="C230" s="44" t="n">
        <v>2505582.737</v>
      </c>
      <c r="D230" s="44" t="n">
        <v>10934153.267</v>
      </c>
      <c r="E230" s="44" t="n">
        <v>100</v>
      </c>
    </row>
    <row r="231" ht="14" customHeight="1">
      <c r="A231" s="21" t="n">
        <v>2018</v>
      </c>
      <c r="B231" s="45">
        <f>((C231/D231)*E231)</f>
        <v/>
      </c>
      <c r="C231" s="46" t="n">
        <v>2505721.003</v>
      </c>
      <c r="D231" s="46" t="n">
        <v>10957545.699</v>
      </c>
      <c r="E231" s="46" t="n">
        <v>100</v>
      </c>
    </row>
    <row r="232" ht="14" customHeight="1">
      <c r="A232" s="15" t="n">
        <v>2019</v>
      </c>
      <c r="B232" s="43">
        <f>((C232/D232)*E232)</f>
        <v/>
      </c>
      <c r="C232" s="44" t="n">
        <v>2478845.571</v>
      </c>
      <c r="D232" s="44" t="n">
        <v>10903199.973</v>
      </c>
      <c r="E232" s="44" t="n">
        <v>100</v>
      </c>
    </row>
    <row r="233" ht="14" customHeight="1">
      <c r="A233" s="21" t="n">
        <v>2020</v>
      </c>
      <c r="B233" s="45">
        <f>((C233/D233)*E233)</f>
        <v/>
      </c>
      <c r="C233" s="46" t="n">
        <v>2384326.183</v>
      </c>
      <c r="D233" s="46" t="n">
        <v>10293548.316</v>
      </c>
      <c r="E233" s="46" t="n">
        <v>100</v>
      </c>
    </row>
    <row r="234" ht="14" customHeight="1">
      <c r="A234" s="15" t="n">
        <v>2021</v>
      </c>
      <c r="B234" s="43">
        <f>((C234/D234)*E234)</f>
        <v/>
      </c>
      <c r="C234" s="44" t="n">
        <v>2487203.789</v>
      </c>
      <c r="D234" s="44" t="n">
        <v>10930884.652</v>
      </c>
      <c r="E234" s="44" t="n">
        <v>100</v>
      </c>
    </row>
    <row r="237">
      <c r="A237" s="49" t="inlineStr">
        <is>
          <t>O2 (FEC) · Final energy consumption (EU-27)  (TWh)</t>
        </is>
      </c>
    </row>
    <row r="238" ht="26" customHeight="1">
      <c r="A238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239" ht="22" customHeight="1">
      <c r="A239" s="3" t="inlineStr">
        <is>
          <t>Refreshed for 2022, 2023, 2024: FEC (Mtoe)</t>
        </is>
      </c>
    </row>
    <row r="240" ht="24" customHeight="1">
      <c r="A240" s="3" t="inlineStr">
        <is>
          <t>Derivation:  Value = [FEC (Mtoe)] * [Mtoe → TWh]</t>
        </is>
      </c>
    </row>
    <row r="241" ht="42" customHeight="1">
      <c r="A241" s="42" t="inlineStr">
        <is>
          <t>Year</t>
        </is>
      </c>
      <c r="B241" s="42" t="inlineStr">
        <is>
          <t>Value</t>
        </is>
      </c>
      <c r="C241" s="42" t="inlineStr">
        <is>
          <t>FEC (Mtoe)</t>
        </is>
      </c>
      <c r="D241" s="42" t="inlineStr">
        <is>
          <t>Mtoe → TWh</t>
        </is>
      </c>
    </row>
    <row r="242" ht="14" customHeight="1">
      <c r="A242" s="15" t="n">
        <v>2005</v>
      </c>
      <c r="B242" s="43">
        <f>(C242*D242)</f>
        <v/>
      </c>
      <c r="C242" s="44" t="n">
        <v>1041.257368</v>
      </c>
      <c r="D242" s="44" t="n">
        <v>11.63</v>
      </c>
    </row>
    <row r="243" ht="14" customHeight="1">
      <c r="A243" s="21" t="n">
        <v>2006</v>
      </c>
      <c r="B243" s="45">
        <f>(C243*D243)</f>
        <v/>
      </c>
      <c r="C243" s="46" t="n">
        <v>1045.846092</v>
      </c>
      <c r="D243" s="46" t="n">
        <v>11.63</v>
      </c>
    </row>
    <row r="244" ht="14" customHeight="1">
      <c r="A244" s="15" t="n">
        <v>2007</v>
      </c>
      <c r="B244" s="43">
        <f>(C244*D244)</f>
        <v/>
      </c>
      <c r="C244" s="44" t="n">
        <v>1028.516726</v>
      </c>
      <c r="D244" s="44" t="n">
        <v>11.63</v>
      </c>
    </row>
    <row r="245" ht="14" customHeight="1">
      <c r="A245" s="21" t="n">
        <v>2008</v>
      </c>
      <c r="B245" s="45">
        <f>(C245*D245)</f>
        <v/>
      </c>
      <c r="C245" s="46" t="n">
        <v>1036.712465</v>
      </c>
      <c r="D245" s="46" t="n">
        <v>11.63</v>
      </c>
    </row>
    <row r="246" ht="14" customHeight="1">
      <c r="A246" s="15" t="n">
        <v>2009</v>
      </c>
      <c r="B246" s="43">
        <f>(C246*D246)</f>
        <v/>
      </c>
      <c r="C246" s="44" t="n">
        <v>980.8299129999999</v>
      </c>
      <c r="D246" s="44" t="n">
        <v>11.63</v>
      </c>
    </row>
    <row r="247" ht="14" customHeight="1">
      <c r="A247" s="21" t="n">
        <v>2010</v>
      </c>
      <c r="B247" s="45">
        <f>(C247*D247)</f>
        <v/>
      </c>
      <c r="C247" s="46" t="n">
        <v>1024.503136</v>
      </c>
      <c r="D247" s="46" t="n">
        <v>11.63</v>
      </c>
    </row>
    <row r="248" ht="14" customHeight="1">
      <c r="A248" s="15" t="n">
        <v>2011</v>
      </c>
      <c r="B248" s="43">
        <f>(C248*D248)</f>
        <v/>
      </c>
      <c r="C248" s="44" t="n">
        <v>984.6013909999999</v>
      </c>
      <c r="D248" s="44" t="n">
        <v>11.63</v>
      </c>
    </row>
    <row r="249" ht="14" customHeight="1">
      <c r="A249" s="21" t="n">
        <v>2012</v>
      </c>
      <c r="B249" s="45">
        <f>(C249*D249)</f>
        <v/>
      </c>
      <c r="C249" s="46" t="n">
        <v>982.5625729999999</v>
      </c>
      <c r="D249" s="46" t="n">
        <v>11.63</v>
      </c>
    </row>
    <row r="250" ht="14" customHeight="1">
      <c r="A250" s="15" t="n">
        <v>2013</v>
      </c>
      <c r="B250" s="43">
        <f>(C250*D250)</f>
        <v/>
      </c>
      <c r="C250" s="44" t="n">
        <v>980.3490159999999</v>
      </c>
      <c r="D250" s="44" t="n">
        <v>11.63</v>
      </c>
    </row>
    <row r="251" ht="14" customHeight="1">
      <c r="A251" s="21" t="n">
        <v>2014</v>
      </c>
      <c r="B251" s="45">
        <f>(C251*D251)</f>
        <v/>
      </c>
      <c r="C251" s="46" t="n">
        <v>938.785753</v>
      </c>
      <c r="D251" s="46" t="n">
        <v>11.63</v>
      </c>
    </row>
    <row r="252" ht="14" customHeight="1">
      <c r="A252" s="15" t="n">
        <v>2015</v>
      </c>
      <c r="B252" s="43">
        <f>(C252*D252)</f>
        <v/>
      </c>
      <c r="C252" s="44" t="n">
        <v>957.870041</v>
      </c>
      <c r="D252" s="44" t="n">
        <v>11.63</v>
      </c>
    </row>
    <row r="253" ht="14" customHeight="1">
      <c r="A253" s="21" t="n">
        <v>2016</v>
      </c>
      <c r="B253" s="45">
        <f>(C253*D253)</f>
        <v/>
      </c>
      <c r="C253" s="46" t="n">
        <v>976.8839250000001</v>
      </c>
      <c r="D253" s="46" t="n">
        <v>11.63</v>
      </c>
    </row>
    <row r="254" ht="14" customHeight="1">
      <c r="A254" s="15" t="n">
        <v>2017</v>
      </c>
      <c r="B254" s="43">
        <f>(C254*D254)</f>
        <v/>
      </c>
      <c r="C254" s="44" t="n">
        <v>989.0002589999999</v>
      </c>
      <c r="D254" s="44" t="n">
        <v>11.63</v>
      </c>
    </row>
    <row r="255" ht="14" customHeight="1">
      <c r="A255" s="21" t="n">
        <v>2018</v>
      </c>
      <c r="B255" s="45">
        <f>(C255*D255)</f>
        <v/>
      </c>
      <c r="C255" s="46" t="n">
        <v>991.5633220000001</v>
      </c>
      <c r="D255" s="46" t="n">
        <v>11.63</v>
      </c>
    </row>
    <row r="256" ht="14" customHeight="1">
      <c r="A256" s="15" t="n">
        <v>2019</v>
      </c>
      <c r="B256" s="43">
        <f>(C256*D256)</f>
        <v/>
      </c>
      <c r="C256" s="44" t="n">
        <v>985.968015</v>
      </c>
      <c r="D256" s="44" t="n">
        <v>11.63</v>
      </c>
    </row>
    <row r="257" ht="14" customHeight="1">
      <c r="A257" s="21" t="n">
        <v>2020</v>
      </c>
      <c r="B257" s="45">
        <f>(C257*D257)</f>
        <v/>
      </c>
      <c r="C257" s="46" t="n">
        <v>906.253179</v>
      </c>
      <c r="D257" s="46" t="n">
        <v>11.63</v>
      </c>
    </row>
    <row r="258" ht="14" customHeight="1">
      <c r="A258" s="15" t="n">
        <v>2021</v>
      </c>
      <c r="B258" s="43">
        <f>(C258*D258)</f>
        <v/>
      </c>
      <c r="C258" s="44" t="n">
        <v>968.426336</v>
      </c>
      <c r="D258" s="44" t="n">
        <v>11.63</v>
      </c>
    </row>
    <row r="259" ht="14" customHeight="1">
      <c r="A259" s="21" t="n">
        <v>2022</v>
      </c>
      <c r="B259" s="45">
        <f>(C259*D259)</f>
        <v/>
      </c>
      <c r="C259" s="46" t="n">
        <v>920.4400000000001</v>
      </c>
      <c r="D259" s="46" t="n">
        <v>11.63</v>
      </c>
    </row>
    <row r="260" ht="14" customHeight="1">
      <c r="A260" s="15" t="n">
        <v>2023</v>
      </c>
      <c r="B260" s="43">
        <f>(C260*D260)</f>
        <v/>
      </c>
      <c r="C260" s="44" t="n">
        <v>893.27</v>
      </c>
      <c r="D260" s="44" t="n">
        <v>11.63</v>
      </c>
    </row>
    <row r="261" ht="14" customHeight="1">
      <c r="A261" s="21" t="n">
        <v>2024</v>
      </c>
      <c r="B261" s="45">
        <f>(C261*D261)</f>
        <v/>
      </c>
      <c r="C261" s="46" t="n">
        <v>900.41</v>
      </c>
      <c r="D261" s="46" t="n">
        <v>11.63</v>
      </c>
    </row>
    <row r="264">
      <c r="A264" s="49" t="inlineStr">
        <is>
          <t>O2 (PEC) · Primary energy consumption (EU-27)  (TWh)</t>
        </is>
      </c>
    </row>
    <row r="265" ht="26" customHeight="1">
      <c r="A265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266" ht="22" customHeight="1">
      <c r="A266" s="3" t="inlineStr">
        <is>
          <t>Refreshed for 2022, 2023, 2024: PEC (Mtoe)</t>
        </is>
      </c>
    </row>
    <row r="267" ht="24" customHeight="1">
      <c r="A267" s="3" t="inlineStr">
        <is>
          <t>Derivation:  Value = [PEC (Mtoe)] * [Mtoe → TWh]</t>
        </is>
      </c>
    </row>
    <row r="268" ht="42" customHeight="1">
      <c r="A268" s="42" t="inlineStr">
        <is>
          <t>Year</t>
        </is>
      </c>
      <c r="B268" s="42" t="inlineStr">
        <is>
          <t>Value</t>
        </is>
      </c>
      <c r="C268" s="42" t="inlineStr">
        <is>
          <t>PEC (Mtoe)</t>
        </is>
      </c>
      <c r="D268" s="42" t="inlineStr">
        <is>
          <t>Mtoe → TWh</t>
        </is>
      </c>
    </row>
    <row r="269" ht="14" customHeight="1">
      <c r="A269" s="15" t="n">
        <v>2005</v>
      </c>
      <c r="B269" s="43">
        <f>(C269*D269)</f>
        <v/>
      </c>
      <c r="C269" s="44" t="n">
        <v>1497.759101</v>
      </c>
      <c r="D269" s="44" t="n">
        <v>11.63</v>
      </c>
    </row>
    <row r="270" ht="14" customHeight="1">
      <c r="A270" s="21" t="n">
        <v>2006</v>
      </c>
      <c r="B270" s="45">
        <f>(C270*D270)</f>
        <v/>
      </c>
      <c r="C270" s="46" t="n">
        <v>1511.018519</v>
      </c>
      <c r="D270" s="46" t="n">
        <v>11.63</v>
      </c>
    </row>
    <row r="271" ht="14" customHeight="1">
      <c r="A271" s="15" t="n">
        <v>2007</v>
      </c>
      <c r="B271" s="43">
        <f>(C271*D271)</f>
        <v/>
      </c>
      <c r="C271" s="44" t="n">
        <v>1490.164968</v>
      </c>
      <c r="D271" s="44" t="n">
        <v>11.63</v>
      </c>
    </row>
    <row r="272" ht="14" customHeight="1">
      <c r="A272" s="21" t="n">
        <v>2008</v>
      </c>
      <c r="B272" s="45">
        <f>(C272*D272)</f>
        <v/>
      </c>
      <c r="C272" s="46" t="n">
        <v>1488.763745</v>
      </c>
      <c r="D272" s="46" t="n">
        <v>11.63</v>
      </c>
    </row>
    <row r="273" ht="14" customHeight="1">
      <c r="A273" s="15" t="n">
        <v>2009</v>
      </c>
      <c r="B273" s="43">
        <f>(C273*D273)</f>
        <v/>
      </c>
      <c r="C273" s="44" t="n">
        <v>1403.207705</v>
      </c>
      <c r="D273" s="44" t="n">
        <v>11.63</v>
      </c>
    </row>
    <row r="274" ht="14" customHeight="1">
      <c r="A274" s="21" t="n">
        <v>2010</v>
      </c>
      <c r="B274" s="45">
        <f>(C274*D274)</f>
        <v/>
      </c>
      <c r="C274" s="46" t="n">
        <v>1457.55401</v>
      </c>
      <c r="D274" s="46" t="n">
        <v>11.63</v>
      </c>
    </row>
    <row r="275" ht="14" customHeight="1">
      <c r="A275" s="15" t="n">
        <v>2011</v>
      </c>
      <c r="B275" s="43">
        <f>(C275*D275)</f>
        <v/>
      </c>
      <c r="C275" s="44" t="n">
        <v>1412.129338</v>
      </c>
      <c r="D275" s="44" t="n">
        <v>11.63</v>
      </c>
    </row>
    <row r="276" ht="14" customHeight="1">
      <c r="A276" s="21" t="n">
        <v>2012</v>
      </c>
      <c r="B276" s="45">
        <f>(C276*D276)</f>
        <v/>
      </c>
      <c r="C276" s="46" t="n">
        <v>1396.182626</v>
      </c>
      <c r="D276" s="46" t="n">
        <v>11.63</v>
      </c>
    </row>
    <row r="277" ht="14" customHeight="1">
      <c r="A277" s="15" t="n">
        <v>2013</v>
      </c>
      <c r="B277" s="43">
        <f>(C277*D277)</f>
        <v/>
      </c>
      <c r="C277" s="44" t="n">
        <v>1384.150057</v>
      </c>
      <c r="D277" s="44" t="n">
        <v>11.63</v>
      </c>
    </row>
    <row r="278" ht="14" customHeight="1">
      <c r="A278" s="21" t="n">
        <v>2014</v>
      </c>
      <c r="B278" s="45">
        <f>(C278*D278)</f>
        <v/>
      </c>
      <c r="C278" s="46" t="n">
        <v>1330.45645</v>
      </c>
      <c r="D278" s="46" t="n">
        <v>11.63</v>
      </c>
    </row>
    <row r="279" ht="14" customHeight="1">
      <c r="A279" s="15" t="n">
        <v>2015</v>
      </c>
      <c r="B279" s="43">
        <f>(C279*D279)</f>
        <v/>
      </c>
      <c r="C279" s="44" t="n">
        <v>1352.70504</v>
      </c>
      <c r="D279" s="44" t="n">
        <v>11.63</v>
      </c>
    </row>
    <row r="280" ht="14" customHeight="1">
      <c r="A280" s="21" t="n">
        <v>2016</v>
      </c>
      <c r="B280" s="45">
        <f>(C280*D280)</f>
        <v/>
      </c>
      <c r="C280" s="46" t="n">
        <v>1364.069118</v>
      </c>
      <c r="D280" s="46" t="n">
        <v>11.63</v>
      </c>
    </row>
    <row r="281" ht="14" customHeight="1">
      <c r="A281" s="15" t="n">
        <v>2017</v>
      </c>
      <c r="B281" s="43">
        <f>(C281*D281)</f>
        <v/>
      </c>
      <c r="C281" s="44" t="n">
        <v>1383.798104</v>
      </c>
      <c r="D281" s="44" t="n">
        <v>11.63</v>
      </c>
    </row>
    <row r="282" ht="14" customHeight="1">
      <c r="A282" s="21" t="n">
        <v>2018</v>
      </c>
      <c r="B282" s="45">
        <f>(C282*D282)</f>
        <v/>
      </c>
      <c r="C282" s="46" t="n">
        <v>1377.339165</v>
      </c>
      <c r="D282" s="46" t="n">
        <v>11.63</v>
      </c>
    </row>
    <row r="283" ht="14" customHeight="1">
      <c r="A283" s="15" t="n">
        <v>2019</v>
      </c>
      <c r="B283" s="43">
        <f>(C283*D283)</f>
        <v/>
      </c>
      <c r="C283" s="44" t="n">
        <v>1354.076044</v>
      </c>
      <c r="D283" s="44" t="n">
        <v>11.63</v>
      </c>
    </row>
    <row r="284" ht="14" customHeight="1">
      <c r="A284" s="21" t="n">
        <v>2020</v>
      </c>
      <c r="B284" s="45">
        <f>(C284*D284)</f>
        <v/>
      </c>
      <c r="C284" s="46" t="n">
        <v>1235.780674</v>
      </c>
      <c r="D284" s="46" t="n">
        <v>11.63</v>
      </c>
    </row>
    <row r="285" ht="14" customHeight="1">
      <c r="A285" s="15" t="n">
        <v>2021</v>
      </c>
      <c r="B285" s="43">
        <f>(C285*D285)</f>
        <v/>
      </c>
      <c r="C285" s="44" t="n">
        <v>1311.113312</v>
      </c>
      <c r="D285" s="44" t="n">
        <v>11.63</v>
      </c>
    </row>
    <row r="286" ht="14" customHeight="1">
      <c r="A286" s="21" t="n">
        <v>2022</v>
      </c>
      <c r="B286" s="45">
        <f>(C286*D286)</f>
        <v/>
      </c>
      <c r="C286" s="46" t="n">
        <v>1259.22</v>
      </c>
      <c r="D286" s="46" t="n">
        <v>11.63</v>
      </c>
    </row>
    <row r="287" ht="14" customHeight="1">
      <c r="A287" s="15" t="n">
        <v>2023</v>
      </c>
      <c r="B287" s="43">
        <f>(C287*D287)</f>
        <v/>
      </c>
      <c r="C287" s="44" t="n">
        <v>1207.67</v>
      </c>
      <c r="D287" s="44" t="n">
        <v>11.63</v>
      </c>
    </row>
    <row r="288" ht="14" customHeight="1">
      <c r="A288" s="21" t="n">
        <v>2024</v>
      </c>
      <c r="B288" s="45">
        <f>(C288*D288)</f>
        <v/>
      </c>
      <c r="C288" s="46" t="n">
        <v>1193.72</v>
      </c>
      <c r="D288" s="46" t="n">
        <v>11.63</v>
      </c>
    </row>
    <row r="291">
      <c r="A291" s="49" t="inlineStr">
        <is>
          <t>O3 · Gross inland energy consumption (EU-27)  (TWh)</t>
        </is>
      </c>
    </row>
    <row r="292" ht="26" customHeight="1">
      <c r="A292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293" ht="22" customHeight="1">
      <c r="A293" s="3" t="inlineStr">
        <is>
          <t>Refreshed for 2022, 2023: Gross inland (ktoe)</t>
        </is>
      </c>
    </row>
    <row r="294" ht="24" customHeight="1">
      <c r="A294" s="3" t="inlineStr">
        <is>
          <t>Derivation:  Value = [Gross inland (ktoe)] * [ktoe → TWh]</t>
        </is>
      </c>
    </row>
    <row r="295" ht="42" customHeight="1">
      <c r="A295" s="42" t="inlineStr">
        <is>
          <t>Year</t>
        </is>
      </c>
      <c r="B295" s="42" t="inlineStr">
        <is>
          <t>Value</t>
        </is>
      </c>
      <c r="C295" s="42" t="inlineStr">
        <is>
          <t>Gross inland (ktoe)</t>
        </is>
      </c>
      <c r="D295" s="42" t="inlineStr">
        <is>
          <t>ktoe → TWh</t>
        </is>
      </c>
    </row>
    <row r="296" ht="14" customHeight="1">
      <c r="A296" s="15" t="n">
        <v>2005</v>
      </c>
      <c r="B296" s="43">
        <f>(C296*D296)</f>
        <v/>
      </c>
      <c r="C296" s="44" t="n">
        <v>1603791.592</v>
      </c>
      <c r="D296" s="44" t="n">
        <v>0.01163</v>
      </c>
    </row>
    <row r="297" ht="14" customHeight="1">
      <c r="A297" s="21" t="n">
        <v>2006</v>
      </c>
      <c r="B297" s="45">
        <f>(C297*D297)</f>
        <v/>
      </c>
      <c r="C297" s="46" t="n">
        <v>1617264.749</v>
      </c>
      <c r="D297" s="46" t="n">
        <v>0.01163</v>
      </c>
    </row>
    <row r="298" ht="14" customHeight="1">
      <c r="A298" s="15" t="n">
        <v>2007</v>
      </c>
      <c r="B298" s="43">
        <f>(C298*D298)</f>
        <v/>
      </c>
      <c r="C298" s="44" t="n">
        <v>1596724.141</v>
      </c>
      <c r="D298" s="44" t="n">
        <v>0.01163</v>
      </c>
    </row>
    <row r="299" ht="14" customHeight="1">
      <c r="A299" s="21" t="n">
        <v>2008</v>
      </c>
      <c r="B299" s="45">
        <f>(C299*D299)</f>
        <v/>
      </c>
      <c r="C299" s="46" t="n">
        <v>1592798.076</v>
      </c>
      <c r="D299" s="46" t="n">
        <v>0.01163</v>
      </c>
    </row>
    <row r="300" ht="14" customHeight="1">
      <c r="A300" s="15" t="n">
        <v>2009</v>
      </c>
      <c r="B300" s="43">
        <f>(C300*D300)</f>
        <v/>
      </c>
      <c r="C300" s="44" t="n">
        <v>1498735.408</v>
      </c>
      <c r="D300" s="44" t="n">
        <v>0.01163</v>
      </c>
    </row>
    <row r="301" ht="14" customHeight="1">
      <c r="A301" s="21" t="n">
        <v>2010</v>
      </c>
      <c r="B301" s="45">
        <f>(C301*D301)</f>
        <v/>
      </c>
      <c r="C301" s="46" t="n">
        <v>1558965.547</v>
      </c>
      <c r="D301" s="46" t="n">
        <v>0.01163</v>
      </c>
    </row>
    <row r="302" ht="14" customHeight="1">
      <c r="A302" s="15" t="n">
        <v>2011</v>
      </c>
      <c r="B302" s="43">
        <f>(C302*D302)</f>
        <v/>
      </c>
      <c r="C302" s="44" t="n">
        <v>1513097.724</v>
      </c>
      <c r="D302" s="44" t="n">
        <v>0.01163</v>
      </c>
    </row>
    <row r="303" ht="14" customHeight="1">
      <c r="A303" s="21" t="n">
        <v>2012</v>
      </c>
      <c r="B303" s="45">
        <f>(C303*D303)</f>
        <v/>
      </c>
      <c r="C303" s="46" t="n">
        <v>1493743.176</v>
      </c>
      <c r="D303" s="46" t="n">
        <v>0.01163</v>
      </c>
    </row>
    <row r="304" ht="14" customHeight="1">
      <c r="A304" s="15" t="n">
        <v>2013</v>
      </c>
      <c r="B304" s="43">
        <f>(C304*D304)</f>
        <v/>
      </c>
      <c r="C304" s="44" t="n">
        <v>1478955.067</v>
      </c>
      <c r="D304" s="44" t="n">
        <v>0.01163</v>
      </c>
    </row>
    <row r="305" ht="14" customHeight="1">
      <c r="A305" s="21" t="n">
        <v>2014</v>
      </c>
      <c r="B305" s="45">
        <f>(C305*D305)</f>
        <v/>
      </c>
      <c r="C305" s="46" t="n">
        <v>1428215.209</v>
      </c>
      <c r="D305" s="46" t="n">
        <v>0.01163</v>
      </c>
    </row>
    <row r="306" ht="14" customHeight="1">
      <c r="A306" s="15" t="n">
        <v>2015</v>
      </c>
      <c r="B306" s="43">
        <f>(C306*D306)</f>
        <v/>
      </c>
      <c r="C306" s="44" t="n">
        <v>1448169.923</v>
      </c>
      <c r="D306" s="44" t="n">
        <v>0.01163</v>
      </c>
    </row>
    <row r="307" ht="14" customHeight="1">
      <c r="A307" s="21" t="n">
        <v>2016</v>
      </c>
      <c r="B307" s="45">
        <f>(C307*D307)</f>
        <v/>
      </c>
      <c r="C307" s="46" t="n">
        <v>1460169.976</v>
      </c>
      <c r="D307" s="46" t="n">
        <v>0.01163</v>
      </c>
    </row>
    <row r="308" ht="14" customHeight="1">
      <c r="A308" s="15" t="n">
        <v>2017</v>
      </c>
      <c r="B308" s="43">
        <f>(C308*D308)</f>
        <v/>
      </c>
      <c r="C308" s="44" t="n">
        <v>1490808.62</v>
      </c>
      <c r="D308" s="44" t="n">
        <v>0.01163</v>
      </c>
    </row>
    <row r="309" ht="14" customHeight="1">
      <c r="A309" s="21" t="n">
        <v>2018</v>
      </c>
      <c r="B309" s="45">
        <f>(C309*D309)</f>
        <v/>
      </c>
      <c r="C309" s="46" t="n">
        <v>1481330.978</v>
      </c>
      <c r="D309" s="46" t="n">
        <v>0.01163</v>
      </c>
    </row>
    <row r="310" ht="14" customHeight="1">
      <c r="A310" s="15" t="n">
        <v>2019</v>
      </c>
      <c r="B310" s="43">
        <f>(C310*D310)</f>
        <v/>
      </c>
      <c r="C310" s="44" t="n">
        <v>1458297.436</v>
      </c>
      <c r="D310" s="44" t="n">
        <v>0.01163</v>
      </c>
    </row>
    <row r="311" ht="14" customHeight="1">
      <c r="A311" s="21" t="n">
        <v>2020</v>
      </c>
      <c r="B311" s="45">
        <f>(C311*D311)</f>
        <v/>
      </c>
      <c r="C311" s="46" t="n">
        <v>1340095.609</v>
      </c>
      <c r="D311" s="46" t="n">
        <v>0.01163</v>
      </c>
    </row>
    <row r="312" ht="14" customHeight="1">
      <c r="A312" s="15" t="n">
        <v>2021</v>
      </c>
      <c r="B312" s="43">
        <f>(C312*D312)</f>
        <v/>
      </c>
      <c r="C312" s="44" t="n">
        <v>1421666.07</v>
      </c>
      <c r="D312" s="44" t="n">
        <v>0.01163</v>
      </c>
    </row>
    <row r="313" ht="14" customHeight="1">
      <c r="A313" s="21" t="n">
        <v>2022</v>
      </c>
      <c r="B313" s="45">
        <f>(C313*D313)</f>
        <v/>
      </c>
      <c r="C313" s="46" t="n">
        <v>1354389.897</v>
      </c>
      <c r="D313" s="46" t="n">
        <v>0.01163</v>
      </c>
    </row>
    <row r="314" ht="14" customHeight="1">
      <c r="A314" s="15" t="n">
        <v>2023</v>
      </c>
      <c r="B314" s="43">
        <f>(C314*D314)</f>
        <v/>
      </c>
      <c r="C314" s="44" t="n">
        <v>1299325.698</v>
      </c>
      <c r="D314" s="44" t="n">
        <v>0.01163</v>
      </c>
    </row>
    <row r="317">
      <c r="A317" s="50" t="inlineStr">
        <is>
          <t>I1 · Industrial GHG emissions  (Mt CO₂eq)</t>
        </is>
      </c>
    </row>
    <row r="318" ht="26" customHeight="1">
      <c r="A318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319" ht="22" customHeight="1">
      <c r="A319" s="3" t="inlineStr">
        <is>
          <t>Refreshed for 2023, 2024: 1.A.2 - Manufacturing Industries and Construction, 2 - Industrial Processes and Product Use</t>
        </is>
      </c>
    </row>
    <row r="320" ht="24" customHeight="1">
      <c r="A320" s="3" t="inlineStr">
        <is>
          <t>Derivation:  Value = ([1.A.2 - Manufacturing Industries and Construction]+[2 - Industrial Processes and Product Use])/1000</t>
        </is>
      </c>
    </row>
    <row r="321" ht="42" customHeight="1">
      <c r="A321" s="42" t="inlineStr">
        <is>
          <t>Year</t>
        </is>
      </c>
      <c r="B321" s="42" t="inlineStr">
        <is>
          <t>Value</t>
        </is>
      </c>
      <c r="C321" s="42" t="inlineStr">
        <is>
          <t>1.A.2 - Manufacturing Industries and Construction</t>
        </is>
      </c>
      <c r="D321" s="42" t="inlineStr">
        <is>
          <t>2 - Industrial Processes and Product Use</t>
        </is>
      </c>
    </row>
    <row r="322" ht="14" customHeight="1">
      <c r="A322" s="15" t="n">
        <v>2005</v>
      </c>
      <c r="B322" s="43">
        <f>((C322+D322)/1000)</f>
        <v/>
      </c>
      <c r="C322" s="44" t="n">
        <v>556523.7994334318</v>
      </c>
      <c r="D322" s="44" t="n">
        <v>424749.9573243055</v>
      </c>
    </row>
    <row r="323" ht="14" customHeight="1">
      <c r="A323" s="21" t="n">
        <v>2006</v>
      </c>
      <c r="B323" s="45">
        <f>((C323+D323)/1000)</f>
        <v/>
      </c>
      <c r="C323" s="46" t="n">
        <v>546025.3443937633</v>
      </c>
      <c r="D323" s="46" t="n">
        <v>427761.119956169</v>
      </c>
    </row>
    <row r="324" ht="14" customHeight="1">
      <c r="A324" s="15" t="n">
        <v>2007</v>
      </c>
      <c r="B324" s="43">
        <f>((C324+D324)/1000)</f>
        <v/>
      </c>
      <c r="C324" s="44" t="n">
        <v>558821.7373136887</v>
      </c>
      <c r="D324" s="44" t="n">
        <v>436796.397234523</v>
      </c>
    </row>
    <row r="325" ht="14" customHeight="1">
      <c r="A325" s="21" t="n">
        <v>2008</v>
      </c>
      <c r="B325" s="45">
        <f>((C325+D325)/1000)</f>
        <v/>
      </c>
      <c r="C325" s="46" t="n">
        <v>539298.5581894323</v>
      </c>
      <c r="D325" s="46" t="n">
        <v>413039.8886742173</v>
      </c>
    </row>
    <row r="326" ht="14" customHeight="1">
      <c r="A326" s="15" t="n">
        <v>2009</v>
      </c>
      <c r="B326" s="43">
        <f>((C326+D326)/1000)</f>
        <v/>
      </c>
      <c r="C326" s="44" t="n">
        <v>447681.1654271635</v>
      </c>
      <c r="D326" s="44" t="n">
        <v>341747.1408288951</v>
      </c>
    </row>
    <row r="327" ht="14" customHeight="1">
      <c r="A327" s="21" t="n">
        <v>2010</v>
      </c>
      <c r="B327" s="45">
        <f>((C327+D327)/1000)</f>
        <v/>
      </c>
      <c r="C327" s="46" t="n">
        <v>480724.9666168753</v>
      </c>
      <c r="D327" s="46" t="n">
        <v>358089.4760762021</v>
      </c>
    </row>
    <row r="328" ht="14" customHeight="1">
      <c r="A328" s="15" t="n">
        <v>2011</v>
      </c>
      <c r="B328" s="43">
        <f>((C328+D328)/1000)</f>
        <v/>
      </c>
      <c r="C328" s="44" t="n">
        <v>468688.8421073754</v>
      </c>
      <c r="D328" s="44" t="n">
        <v>357464.6123107264</v>
      </c>
    </row>
    <row r="329" ht="14" customHeight="1">
      <c r="A329" s="21" t="n">
        <v>2012</v>
      </c>
      <c r="B329" s="45">
        <f>((C329+D329)/1000)</f>
        <v/>
      </c>
      <c r="C329" s="46" t="n">
        <v>450892.5625642318</v>
      </c>
      <c r="D329" s="46" t="n">
        <v>344777.8719775737</v>
      </c>
    </row>
    <row r="330" ht="14" customHeight="1">
      <c r="A330" s="15" t="n">
        <v>2013</v>
      </c>
      <c r="B330" s="43">
        <f>((C330+D330)/1000)</f>
        <v/>
      </c>
      <c r="C330" s="44" t="n">
        <v>432830.4669897874</v>
      </c>
      <c r="D330" s="44" t="n">
        <v>342701.8740429208</v>
      </c>
    </row>
    <row r="331" ht="14" customHeight="1">
      <c r="A331" s="21" t="n">
        <v>2014</v>
      </c>
      <c r="B331" s="45">
        <f>((C331+D331)/1000)</f>
        <v/>
      </c>
      <c r="C331" s="46" t="n">
        <v>419987.1953761611</v>
      </c>
      <c r="D331" s="46" t="n">
        <v>349178.2009048872</v>
      </c>
    </row>
    <row r="332" ht="14" customHeight="1">
      <c r="A332" s="15" t="n">
        <v>2015</v>
      </c>
      <c r="B332" s="43">
        <f>((C332+D332)/1000)</f>
        <v/>
      </c>
      <c r="C332" s="44" t="n">
        <v>428994.7046756293</v>
      </c>
      <c r="D332" s="44" t="n">
        <v>339854.3406348636</v>
      </c>
    </row>
    <row r="333" ht="14" customHeight="1">
      <c r="A333" s="21" t="n">
        <v>2016</v>
      </c>
      <c r="B333" s="45">
        <f>((C333+D333)/1000)</f>
        <v/>
      </c>
      <c r="C333" s="46" t="n">
        <v>434138.4673306638</v>
      </c>
      <c r="D333" s="46" t="n">
        <v>342081.2033069766</v>
      </c>
    </row>
    <row r="334" ht="14" customHeight="1">
      <c r="A334" s="15" t="n">
        <v>2017</v>
      </c>
      <c r="B334" s="43">
        <f>((C334+D334)/1000)</f>
        <v/>
      </c>
      <c r="C334" s="44" t="n">
        <v>441345.5467568766</v>
      </c>
      <c r="D334" s="44" t="n">
        <v>349690.552885406</v>
      </c>
    </row>
    <row r="335" ht="14" customHeight="1">
      <c r="A335" s="21" t="n">
        <v>2018</v>
      </c>
      <c r="B335" s="45">
        <f>((C335+D335)/1000)</f>
        <v/>
      </c>
      <c r="C335" s="46" t="n">
        <v>442369.9182363944</v>
      </c>
      <c r="D335" s="46" t="n">
        <v>342906.689601974</v>
      </c>
    </row>
    <row r="336" ht="14" customHeight="1">
      <c r="A336" s="15" t="n">
        <v>2019</v>
      </c>
      <c r="B336" s="43">
        <f>((C336+D336)/1000)</f>
        <v/>
      </c>
      <c r="C336" s="44" t="n">
        <v>428579.8953015269</v>
      </c>
      <c r="D336" s="44" t="n">
        <v>331548.2341144778</v>
      </c>
    </row>
    <row r="337" ht="14" customHeight="1">
      <c r="A337" s="21" t="n">
        <v>2020</v>
      </c>
      <c r="B337" s="45">
        <f>((C337+D337)/1000)</f>
        <v/>
      </c>
      <c r="C337" s="46" t="n">
        <v>412771.8756989454</v>
      </c>
      <c r="D337" s="46" t="n">
        <v>306828.453320871</v>
      </c>
    </row>
    <row r="338" ht="14" customHeight="1">
      <c r="A338" s="15" t="n">
        <v>2021</v>
      </c>
      <c r="B338" s="43">
        <f>((C338+D338)/1000)</f>
        <v/>
      </c>
      <c r="C338" s="44" t="n">
        <v>439540.132456479</v>
      </c>
      <c r="D338" s="44" t="n">
        <v>317933.961339561</v>
      </c>
    </row>
    <row r="339" ht="14" customHeight="1">
      <c r="A339" s="21" t="n">
        <v>2022</v>
      </c>
      <c r="B339" s="45">
        <f>((C339+D339)/1000)</f>
        <v/>
      </c>
      <c r="C339" s="46" t="n">
        <v>398202.32207</v>
      </c>
      <c r="D339" s="46" t="n">
        <v>293126.49118</v>
      </c>
    </row>
    <row r="340" ht="14" customHeight="1">
      <c r="A340" s="15" t="n">
        <v>2023</v>
      </c>
      <c r="B340" s="43">
        <f>((C340+D340)/1000)</f>
        <v/>
      </c>
      <c r="C340" s="44" t="n">
        <v>358770.37</v>
      </c>
      <c r="D340" s="44" t="n">
        <v>263328.47</v>
      </c>
    </row>
    <row r="341" ht="14" customHeight="1">
      <c r="A341" s="21" t="n">
        <v>2024</v>
      </c>
      <c r="B341" s="45">
        <f>((C341+D341)/1000)</f>
        <v/>
      </c>
      <c r="C341" s="46" t="n">
        <v>351562.16</v>
      </c>
      <c r="D341" s="46" t="n">
        <v>259866.27</v>
      </c>
    </row>
    <row r="344">
      <c r="A344" s="50" t="inlineStr">
        <is>
          <t>I2 (cement, production) · Cement production (EU)  (Mt)</t>
        </is>
      </c>
    </row>
    <row r="345" ht="26" customHeight="1">
      <c r="A345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346" ht="24" customHeight="1">
      <c r="A346" s="3" t="inlineStr">
        <is>
          <t>Derivation:  Value = IF(A &gt;= 2022, ROUND([Report baseline 2021 (Mt)] * [sts_inpr_a C235] / [Live source at 2021 (same basis as the columns left)], 1), [Report figure (2024 report underlying data)])</t>
        </is>
      </c>
    </row>
    <row r="347" ht="42" customHeight="1">
      <c r="A347" s="42" t="inlineStr">
        <is>
          <t>Year</t>
        </is>
      </c>
      <c r="B347" s="42" t="inlineStr">
        <is>
          <t>Value</t>
        </is>
      </c>
      <c r="C347" s="42" t="inlineStr">
        <is>
          <t>Report figure (2024 report underlying data)</t>
        </is>
      </c>
      <c r="D347" s="42" t="inlineStr">
        <is>
          <t>sts_inpr_a C235</t>
        </is>
      </c>
      <c r="E347" s="42" t="inlineStr">
        <is>
          <t>Report baseline 2021 (Mt)</t>
        </is>
      </c>
      <c r="F347" s="42" t="inlineStr">
        <is>
          <t>Live source at 2021 (same basis as the columns left)</t>
        </is>
      </c>
    </row>
    <row r="348" ht="14" customHeight="1">
      <c r="A348" s="15" t="n">
        <v>2005</v>
      </c>
      <c r="B348" s="43">
        <f>IF((A348&gt;=2022),ROUND(((E348*D348)/F348),1),C348)</f>
        <v/>
      </c>
      <c r="C348" s="44" t="n">
        <v>239.5</v>
      </c>
      <c r="D348" s="44" t="n"/>
      <c r="E348" s="44" t="n"/>
      <c r="F348" s="44" t="n"/>
    </row>
    <row r="349" ht="14" customHeight="1">
      <c r="A349" s="21" t="n">
        <v>2006</v>
      </c>
      <c r="B349" s="45">
        <f>IF((A349&gt;=2022),ROUND(((E349*D349)/F349),1),C349)</f>
        <v/>
      </c>
      <c r="C349" s="46" t="n">
        <v>256.2</v>
      </c>
      <c r="D349" s="46" t="n"/>
      <c r="E349" s="46" t="n"/>
      <c r="F349" s="46" t="n"/>
    </row>
    <row r="350" ht="14" customHeight="1">
      <c r="A350" s="15" t="n">
        <v>2007</v>
      </c>
      <c r="B350" s="43">
        <f>IF((A350&gt;=2022),ROUND(((E350*D350)/F350),1),C350)</f>
        <v/>
      </c>
      <c r="C350" s="44" t="n">
        <v>261.8</v>
      </c>
      <c r="D350" s="44" t="n"/>
      <c r="E350" s="44" t="n"/>
      <c r="F350" s="44" t="n"/>
    </row>
    <row r="351" ht="14" customHeight="1">
      <c r="A351" s="21" t="n">
        <v>2008</v>
      </c>
      <c r="B351" s="45">
        <f>IF((A351&gt;=2022),ROUND(((E351*D351)/F351),1),C351)</f>
        <v/>
      </c>
      <c r="C351" s="46" t="n">
        <v>244.4</v>
      </c>
      <c r="D351" s="46" t="n"/>
      <c r="E351" s="46" t="n"/>
      <c r="F351" s="46" t="n"/>
    </row>
    <row r="352" ht="14" customHeight="1">
      <c r="A352" s="15" t="n">
        <v>2009</v>
      </c>
      <c r="B352" s="43">
        <f>IF((A352&gt;=2022),ROUND(((E352*D352)/F352),1),C352)</f>
        <v/>
      </c>
      <c r="C352" s="44" t="n">
        <v>197.9</v>
      </c>
      <c r="D352" s="44" t="n"/>
      <c r="E352" s="44" t="n"/>
      <c r="F352" s="44" t="n"/>
    </row>
    <row r="353" ht="14" customHeight="1">
      <c r="A353" s="21" t="n">
        <v>2010</v>
      </c>
      <c r="B353" s="45">
        <f>IF((A353&gt;=2022),ROUND(((E353*D353)/F353),1),C353)</f>
        <v/>
      </c>
      <c r="C353" s="46" t="n">
        <v>185.6</v>
      </c>
      <c r="D353" s="46" t="n"/>
      <c r="E353" s="46" t="n"/>
      <c r="F353" s="46" t="n"/>
    </row>
    <row r="354" ht="14" customHeight="1">
      <c r="A354" s="15" t="n">
        <v>2011</v>
      </c>
      <c r="B354" s="43">
        <f>IF((A354&gt;=2022),ROUND(((E354*D354)/F354),1),C354)</f>
        <v/>
      </c>
      <c r="C354" s="44" t="n">
        <v>187.2</v>
      </c>
      <c r="D354" s="44" t="n"/>
      <c r="E354" s="44" t="n"/>
      <c r="F354" s="44" t="n"/>
    </row>
    <row r="355" ht="14" customHeight="1">
      <c r="A355" s="21" t="n">
        <v>2012</v>
      </c>
      <c r="B355" s="45">
        <f>IF((A355&gt;=2022),ROUND(((E355*D355)/F355),1),C355)</f>
        <v/>
      </c>
      <c r="C355" s="46" t="n">
        <v>164.7</v>
      </c>
      <c r="D355" s="46" t="n"/>
      <c r="E355" s="46" t="n"/>
      <c r="F355" s="46" t="n"/>
    </row>
    <row r="356" ht="14" customHeight="1">
      <c r="A356" s="15" t="n">
        <v>2013</v>
      </c>
      <c r="B356" s="43">
        <f>IF((A356&gt;=2022),ROUND(((E356*D356)/F356),1),C356)</f>
        <v/>
      </c>
      <c r="C356" s="44" t="n">
        <v>157</v>
      </c>
      <c r="D356" s="44" t="n"/>
      <c r="E356" s="44" t="n"/>
      <c r="F356" s="44" t="n"/>
    </row>
    <row r="357" ht="14" customHeight="1">
      <c r="A357" s="21" t="n">
        <v>2014</v>
      </c>
      <c r="B357" s="45">
        <f>IF((A357&gt;=2022),ROUND(((E357*D357)/F357),1),C357)</f>
        <v/>
      </c>
      <c r="C357" s="46" t="n">
        <v>157.5</v>
      </c>
      <c r="D357" s="46" t="n"/>
      <c r="E357" s="46" t="n"/>
      <c r="F357" s="46" t="n"/>
    </row>
    <row r="358" ht="14" customHeight="1">
      <c r="A358" s="15" t="n">
        <v>2015</v>
      </c>
      <c r="B358" s="43">
        <f>IF((A358&gt;=2022),ROUND(((E358*D358)/F358),1),C358)</f>
        <v/>
      </c>
      <c r="C358" s="44" t="n">
        <v>158.1</v>
      </c>
      <c r="D358" s="44" t="n"/>
      <c r="E358" s="44" t="n"/>
      <c r="F358" s="44" t="n"/>
    </row>
    <row r="359" ht="14" customHeight="1">
      <c r="A359" s="21" t="n">
        <v>2016</v>
      </c>
      <c r="B359" s="45">
        <f>IF((A359&gt;=2022),ROUND(((E359*D359)/F359),1),C359)</f>
        <v/>
      </c>
      <c r="C359" s="46" t="n">
        <v>159.9</v>
      </c>
      <c r="D359" s="46" t="n"/>
      <c r="E359" s="46" t="n"/>
      <c r="F359" s="46" t="n"/>
    </row>
    <row r="360" ht="14" customHeight="1">
      <c r="A360" s="15" t="n">
        <v>2017</v>
      </c>
      <c r="B360" s="43">
        <f>IF((A360&gt;=2022),ROUND(((E360*D360)/F360),1),C360)</f>
        <v/>
      </c>
      <c r="C360" s="44" t="n">
        <v>165.7</v>
      </c>
      <c r="D360" s="44" t="n"/>
      <c r="E360" s="44" t="n"/>
      <c r="F360" s="44" t="n"/>
    </row>
    <row r="361" ht="14" customHeight="1">
      <c r="A361" s="21" t="n">
        <v>2018</v>
      </c>
      <c r="B361" s="45">
        <f>IF((A361&gt;=2022),ROUND(((E361*D361)/F361),1),C361)</f>
        <v/>
      </c>
      <c r="C361" s="46" t="n">
        <v>179.8</v>
      </c>
      <c r="D361" s="46" t="n"/>
      <c r="E361" s="46" t="n"/>
      <c r="F361" s="46" t="n"/>
    </row>
    <row r="362" ht="14" customHeight="1">
      <c r="A362" s="15" t="n">
        <v>2019</v>
      </c>
      <c r="B362" s="43">
        <f>IF((A362&gt;=2022),ROUND(((E362*D362)/F362),1),C362)</f>
        <v/>
      </c>
      <c r="C362" s="44" t="n">
        <v>173.1</v>
      </c>
      <c r="D362" s="44" t="n"/>
      <c r="E362" s="44" t="n"/>
      <c r="F362" s="44" t="n"/>
    </row>
    <row r="363" ht="14" customHeight="1">
      <c r="A363" s="21" t="n">
        <v>2020</v>
      </c>
      <c r="B363" s="45">
        <f>IF((A363&gt;=2022),ROUND(((E363*D363)/F363),1),C363)</f>
        <v/>
      </c>
      <c r="C363" s="46" t="n">
        <v>172.2</v>
      </c>
      <c r="D363" s="46" t="n"/>
      <c r="E363" s="46" t="n"/>
      <c r="F363" s="46" t="n"/>
    </row>
    <row r="364" ht="14" customHeight="1">
      <c r="A364" s="15" t="n">
        <v>2021</v>
      </c>
      <c r="B364" s="43">
        <f>IF((A364&gt;=2022),ROUND(((E364*D364)/F364),1),C364)</f>
        <v/>
      </c>
      <c r="C364" s="44" t="n">
        <v>182.5</v>
      </c>
      <c r="D364" s="44" t="n"/>
      <c r="E364" s="44" t="n"/>
      <c r="F364" s="44" t="n"/>
    </row>
    <row r="365" ht="14" customHeight="1">
      <c r="A365" s="21" t="n">
        <v>2022</v>
      </c>
      <c r="B365" s="45">
        <f>IF((A365&gt;=2022),ROUND(((E365*D365)/F365),1),C365)</f>
        <v/>
      </c>
      <c r="C365" s="46" t="n"/>
      <c r="D365" s="46" t="n">
        <v>95.7</v>
      </c>
      <c r="E365" s="46" t="n">
        <v>182.5</v>
      </c>
      <c r="F365" s="46" t="n">
        <v>100</v>
      </c>
    </row>
    <row r="366" ht="14" customHeight="1">
      <c r="A366" s="15" t="n">
        <v>2023</v>
      </c>
      <c r="B366" s="43">
        <f>IF((A366&gt;=2022),ROUND(((E366*D366)/F366),1),C366)</f>
        <v/>
      </c>
      <c r="C366" s="44" t="n"/>
      <c r="D366" s="44" t="n">
        <v>88.09999999999999</v>
      </c>
      <c r="E366" s="44" t="n">
        <v>182.5</v>
      </c>
      <c r="F366" s="44" t="n">
        <v>100</v>
      </c>
    </row>
    <row r="367" ht="14" customHeight="1">
      <c r="A367" s="21" t="n">
        <v>2024</v>
      </c>
      <c r="B367" s="45">
        <f>IF((A367&gt;=2022),ROUND(((E367*D367)/F367),1),C367)</f>
        <v/>
      </c>
      <c r="C367" s="46" t="n"/>
      <c r="D367" s="46" t="n">
        <v>87.2</v>
      </c>
      <c r="E367" s="46" t="n">
        <v>182.5</v>
      </c>
      <c r="F367" s="46" t="n">
        <v>100</v>
      </c>
    </row>
    <row r="370">
      <c r="A370" s="50" t="inlineStr">
        <is>
          <t>I2 (chemicals, production) · Chemicals production (EU)  (Mt)</t>
        </is>
      </c>
    </row>
    <row r="371" ht="26" customHeight="1">
      <c r="A371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372" ht="24" customHeight="1">
      <c r="A372" s="3" t="inlineStr">
        <is>
          <t>Derivation:  Value = IF(A &gt;= 2022, ROUND([Report baseline 2021 (Mt)] * [sts_inpr_a C201] / [Live source at 2021 (same basis as the columns left)], 2), [Report figure (2024 report underlying data)])</t>
        </is>
      </c>
    </row>
    <row r="373" ht="42" customHeight="1">
      <c r="A373" s="42" t="inlineStr">
        <is>
          <t>Year</t>
        </is>
      </c>
      <c r="B373" s="42" t="inlineStr">
        <is>
          <t>Value</t>
        </is>
      </c>
      <c r="C373" s="42" t="inlineStr">
        <is>
          <t>Report figure (2024 report underlying data)</t>
        </is>
      </c>
      <c r="D373" s="42" t="inlineStr">
        <is>
          <t>sts_inpr_a C201</t>
        </is>
      </c>
      <c r="E373" s="42" t="inlineStr">
        <is>
          <t>Report baseline 2021 (Mt)</t>
        </is>
      </c>
      <c r="F373" s="42" t="inlineStr">
        <is>
          <t>Live source at 2021 (same basis as the columns left)</t>
        </is>
      </c>
    </row>
    <row r="374" ht="14" customHeight="1">
      <c r="A374" s="15" t="n">
        <v>2005</v>
      </c>
      <c r="B374" s="43">
        <f>IF((A374&gt;=2022),ROUND(((E374*D374)/F374),2),C374)</f>
        <v/>
      </c>
      <c r="C374" s="44" t="n">
        <v>33.52</v>
      </c>
      <c r="D374" s="44" t="n"/>
      <c r="E374" s="44" t="n"/>
      <c r="F374" s="44" t="n"/>
    </row>
    <row r="375" ht="14" customHeight="1">
      <c r="A375" s="21" t="n">
        <v>2006</v>
      </c>
      <c r="B375" s="45">
        <f>IF((A375&gt;=2022),ROUND(((E375*D375)/F375),2),C375)</f>
        <v/>
      </c>
      <c r="C375" s="46" t="n">
        <v>36.25</v>
      </c>
      <c r="D375" s="46" t="n"/>
      <c r="E375" s="46" t="n"/>
      <c r="F375" s="46" t="n"/>
    </row>
    <row r="376" ht="14" customHeight="1">
      <c r="A376" s="15" t="n">
        <v>2007</v>
      </c>
      <c r="B376" s="43">
        <f>IF((A376&gt;=2022),ROUND(((E376*D376)/F376),2),C376)</f>
        <v/>
      </c>
      <c r="C376" s="44" t="n">
        <v>31.12</v>
      </c>
      <c r="D376" s="44" t="n"/>
      <c r="E376" s="44" t="n"/>
      <c r="F376" s="44" t="n"/>
    </row>
    <row r="377" ht="14" customHeight="1">
      <c r="A377" s="21" t="n">
        <v>2008</v>
      </c>
      <c r="B377" s="45">
        <f>IF((A377&gt;=2022),ROUND(((E377*D377)/F377),2),C377)</f>
        <v/>
      </c>
      <c r="C377" s="46" t="n">
        <v>28.08</v>
      </c>
      <c r="D377" s="46" t="n"/>
      <c r="E377" s="46" t="n"/>
      <c r="F377" s="46" t="n"/>
    </row>
    <row r="378" ht="14" customHeight="1">
      <c r="A378" s="15" t="n">
        <v>2009</v>
      </c>
      <c r="B378" s="43">
        <f>IF((A378&gt;=2022),ROUND(((E378*D378)/F378),2),C378)</f>
        <v/>
      </c>
      <c r="C378" s="44" t="n">
        <v>30.66</v>
      </c>
      <c r="D378" s="44" t="n"/>
      <c r="E378" s="44" t="n"/>
      <c r="F378" s="44" t="n"/>
    </row>
    <row r="379" ht="14" customHeight="1">
      <c r="A379" s="21" t="n">
        <v>2010</v>
      </c>
      <c r="B379" s="45">
        <f>IF((A379&gt;=2022),ROUND(((E379*D379)/F379),2),C379)</f>
        <v/>
      </c>
      <c r="C379" s="46" t="n">
        <v>32.08</v>
      </c>
      <c r="D379" s="46" t="n"/>
      <c r="E379" s="46" t="n"/>
      <c r="F379" s="46" t="n"/>
    </row>
    <row r="380" ht="14" customHeight="1">
      <c r="A380" s="15" t="n">
        <v>2011</v>
      </c>
      <c r="B380" s="43">
        <f>IF((A380&gt;=2022),ROUND(((E380*D380)/F380),2),C380)</f>
        <v/>
      </c>
      <c r="C380" s="44" t="n">
        <v>31.2</v>
      </c>
      <c r="D380" s="44" t="n"/>
      <c r="E380" s="44" t="n"/>
      <c r="F380" s="44" t="n"/>
    </row>
    <row r="381" ht="14" customHeight="1">
      <c r="A381" s="21" t="n">
        <v>2012</v>
      </c>
      <c r="B381" s="45">
        <f>IF((A381&gt;=2022),ROUND(((E381*D381)/F381),2),C381)</f>
        <v/>
      </c>
      <c r="C381" s="46" t="n">
        <v>29.59</v>
      </c>
      <c r="D381" s="46" t="n"/>
      <c r="E381" s="46" t="n"/>
      <c r="F381" s="46" t="n"/>
    </row>
    <row r="382" ht="14" customHeight="1">
      <c r="A382" s="15" t="n">
        <v>2013</v>
      </c>
      <c r="B382" s="43">
        <f>IF((A382&gt;=2022),ROUND(((E382*D382)/F382),2),C382)</f>
        <v/>
      </c>
      <c r="C382" s="44" t="n">
        <v>30.58</v>
      </c>
      <c r="D382" s="44" t="n"/>
      <c r="E382" s="44" t="n"/>
      <c r="F382" s="44" t="n"/>
    </row>
    <row r="383" ht="14" customHeight="1">
      <c r="A383" s="21" t="n">
        <v>2014</v>
      </c>
      <c r="B383" s="45">
        <f>IF((A383&gt;=2022),ROUND(((E383*D383)/F383),2),C383)</f>
        <v/>
      </c>
      <c r="C383" s="46" t="n">
        <v>30.13</v>
      </c>
      <c r="D383" s="46" t="n"/>
      <c r="E383" s="46" t="n"/>
      <c r="F383" s="46" t="n"/>
    </row>
    <row r="384" ht="14" customHeight="1">
      <c r="A384" s="15" t="n">
        <v>2015</v>
      </c>
      <c r="B384" s="43">
        <f>IF((A384&gt;=2022),ROUND(((E384*D384)/F384),2),C384)</f>
        <v/>
      </c>
      <c r="C384" s="44" t="n">
        <v>30.14</v>
      </c>
      <c r="D384" s="44" t="n"/>
      <c r="E384" s="44" t="n"/>
      <c r="F384" s="44" t="n"/>
    </row>
    <row r="385" ht="14" customHeight="1">
      <c r="A385" s="21" t="n">
        <v>2016</v>
      </c>
      <c r="B385" s="45">
        <f>IF((A385&gt;=2022),ROUND(((E385*D385)/F385),2),C385)</f>
        <v/>
      </c>
      <c r="C385" s="46" t="n">
        <v>31.96</v>
      </c>
      <c r="D385" s="46" t="n"/>
      <c r="E385" s="46" t="n"/>
      <c r="F385" s="46" t="n"/>
    </row>
    <row r="386" ht="14" customHeight="1">
      <c r="A386" s="15" t="n">
        <v>2017</v>
      </c>
      <c r="B386" s="43">
        <f>IF((A386&gt;=2022),ROUND(((E386*D386)/F386),2),C386)</f>
        <v/>
      </c>
      <c r="C386" s="44" t="n">
        <v>29.64</v>
      </c>
      <c r="D386" s="44" t="n"/>
      <c r="E386" s="44" t="n"/>
      <c r="F386" s="44" t="n"/>
    </row>
    <row r="387" ht="14" customHeight="1">
      <c r="A387" s="21" t="n">
        <v>2018</v>
      </c>
      <c r="B387" s="45">
        <f>IF((A387&gt;=2022),ROUND(((E387*D387)/F387),2),C387)</f>
        <v/>
      </c>
      <c r="C387" s="46" t="n">
        <v>28.35</v>
      </c>
      <c r="D387" s="46" t="n"/>
      <c r="E387" s="46" t="n"/>
      <c r="F387" s="46" t="n"/>
    </row>
    <row r="388" ht="14" customHeight="1">
      <c r="A388" s="15" t="n">
        <v>2019</v>
      </c>
      <c r="B388" s="43">
        <f>IF((A388&gt;=2022),ROUND(((E388*D388)/F388),2),C388)</f>
        <v/>
      </c>
      <c r="C388" s="44" t="n">
        <v>28.01</v>
      </c>
      <c r="D388" s="44" t="n"/>
      <c r="E388" s="44" t="n"/>
      <c r="F388" s="44" t="n"/>
    </row>
    <row r="389" ht="14" customHeight="1">
      <c r="A389" s="21" t="n">
        <v>2020</v>
      </c>
      <c r="B389" s="45">
        <f>IF((A389&gt;=2022),ROUND(((E389*D389)/F389),2),C389)</f>
        <v/>
      </c>
      <c r="C389" s="46" t="n">
        <v>28.72</v>
      </c>
      <c r="D389" s="46" t="n"/>
      <c r="E389" s="46" t="n"/>
      <c r="F389" s="46" t="n"/>
    </row>
    <row r="390" ht="14" customHeight="1">
      <c r="A390" s="15" t="n">
        <v>2021</v>
      </c>
      <c r="B390" s="43">
        <f>IF((A390&gt;=2022),ROUND(((E390*D390)/F390),2),C390)</f>
        <v/>
      </c>
      <c r="C390" s="44" t="n">
        <v>26.84</v>
      </c>
      <c r="D390" s="44" t="n"/>
      <c r="E390" s="44" t="n"/>
      <c r="F390" s="44" t="n"/>
    </row>
    <row r="391" ht="14" customHeight="1">
      <c r="A391" s="21" t="n">
        <v>2022</v>
      </c>
      <c r="B391" s="45">
        <f>IF((A391&gt;=2022),ROUND(((E391*D391)/F391),2),C391)</f>
        <v/>
      </c>
      <c r="C391" s="46" t="n"/>
      <c r="D391" s="46" t="n">
        <v>94.5</v>
      </c>
      <c r="E391" s="46" t="n">
        <v>26.84</v>
      </c>
      <c r="F391" s="46" t="n">
        <v>100</v>
      </c>
    </row>
    <row r="392" ht="14" customHeight="1">
      <c r="A392" s="15" t="n">
        <v>2023</v>
      </c>
      <c r="B392" s="43">
        <f>IF((A392&gt;=2022),ROUND(((E392*D392)/F392),2),C392)</f>
        <v/>
      </c>
      <c r="C392" s="44" t="n"/>
      <c r="D392" s="44" t="n">
        <v>79.90000000000001</v>
      </c>
      <c r="E392" s="44" t="n">
        <v>26.84</v>
      </c>
      <c r="F392" s="44" t="n">
        <v>100</v>
      </c>
    </row>
    <row r="393" ht="14" customHeight="1">
      <c r="A393" s="21" t="n">
        <v>2024</v>
      </c>
      <c r="B393" s="45">
        <f>IF((A393&gt;=2022),ROUND(((E393*D393)/F393),2),C393)</f>
        <v/>
      </c>
      <c r="C393" s="46" t="n"/>
      <c r="D393" s="46" t="n">
        <v>74.09999999999999</v>
      </c>
      <c r="E393" s="46" t="n">
        <v>26.84</v>
      </c>
      <c r="F393" s="46" t="n">
        <v>100</v>
      </c>
    </row>
    <row r="394" ht="14" customHeight="1">
      <c r="A394" s="15" t="n">
        <v>2025</v>
      </c>
      <c r="B394" s="43">
        <f>IF((A394&gt;=2022),ROUND(((E394*D394)/F394),2),C394)</f>
        <v/>
      </c>
      <c r="C394" s="44" t="n"/>
      <c r="D394" s="44" t="n">
        <v>69.09999999999999</v>
      </c>
      <c r="E394" s="44" t="n">
        <v>26.84</v>
      </c>
      <c r="F394" s="44" t="n">
        <v>100</v>
      </c>
    </row>
    <row r="397">
      <c r="A397" s="50" t="inlineStr">
        <is>
          <t>I2 (steel, production) · Steel production (EU)  (Mt)</t>
        </is>
      </c>
    </row>
    <row r="398" ht="26" customHeight="1">
      <c r="A398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399" ht="24" customHeight="1">
      <c r="A399" s="3" t="inlineStr">
        <is>
          <t>Derivation:  Value = [Report figure (2024 report underlying data)]</t>
        </is>
      </c>
    </row>
    <row r="400" ht="42" customHeight="1">
      <c r="A400" s="42" t="inlineStr">
        <is>
          <t>Year</t>
        </is>
      </c>
      <c r="B400" s="42" t="inlineStr">
        <is>
          <t>Value</t>
        </is>
      </c>
      <c r="C400" s="42" t="inlineStr">
        <is>
          <t>Report figure (2024 report underlying data)</t>
        </is>
      </c>
    </row>
    <row r="401" ht="14" customHeight="1">
      <c r="A401" s="15" t="n">
        <v>2008</v>
      </c>
      <c r="B401" s="43">
        <f>C401</f>
        <v/>
      </c>
      <c r="C401" s="44" t="n">
        <v>185</v>
      </c>
    </row>
    <row r="402" ht="14" customHeight="1">
      <c r="A402" s="21" t="n">
        <v>2009</v>
      </c>
      <c r="B402" s="45">
        <f>C402</f>
        <v/>
      </c>
      <c r="C402" s="46" t="n">
        <v>129.3</v>
      </c>
    </row>
    <row r="403" ht="14" customHeight="1">
      <c r="A403" s="15" t="n">
        <v>2010</v>
      </c>
      <c r="B403" s="43">
        <f>C403</f>
        <v/>
      </c>
      <c r="C403" s="44" t="n">
        <v>163.1</v>
      </c>
    </row>
    <row r="404" ht="14" customHeight="1">
      <c r="A404" s="21" t="n">
        <v>2011</v>
      </c>
      <c r="B404" s="45">
        <f>C404</f>
        <v/>
      </c>
      <c r="C404" s="46" t="n">
        <v>168.1</v>
      </c>
    </row>
    <row r="405" ht="14" customHeight="1">
      <c r="A405" s="15" t="n">
        <v>2012</v>
      </c>
      <c r="B405" s="43">
        <f>C405</f>
        <v/>
      </c>
      <c r="C405" s="44" t="n">
        <v>159</v>
      </c>
    </row>
    <row r="406" ht="14" customHeight="1">
      <c r="A406" s="21" t="n">
        <v>2013</v>
      </c>
      <c r="B406" s="45">
        <f>C406</f>
        <v/>
      </c>
      <c r="C406" s="46" t="n">
        <v>154.3</v>
      </c>
    </row>
    <row r="407" ht="14" customHeight="1">
      <c r="A407" s="15" t="n">
        <v>2014</v>
      </c>
      <c r="B407" s="43">
        <f>C407</f>
        <v/>
      </c>
      <c r="C407" s="44" t="n">
        <v>157.1</v>
      </c>
    </row>
    <row r="408" ht="14" customHeight="1">
      <c r="A408" s="21" t="n">
        <v>2015</v>
      </c>
      <c r="B408" s="45">
        <f>C408</f>
        <v/>
      </c>
      <c r="C408" s="46" t="n">
        <v>155.1</v>
      </c>
    </row>
    <row r="409" ht="14" customHeight="1">
      <c r="A409" s="15" t="n">
        <v>2016</v>
      </c>
      <c r="B409" s="43">
        <f>C409</f>
        <v/>
      </c>
      <c r="C409" s="44" t="n">
        <v>154.3</v>
      </c>
    </row>
    <row r="410" ht="14" customHeight="1">
      <c r="A410" s="21" t="n">
        <v>2017</v>
      </c>
      <c r="B410" s="45">
        <f>C410</f>
        <v/>
      </c>
      <c r="C410" s="46" t="n">
        <v>160.9</v>
      </c>
    </row>
    <row r="411" ht="14" customHeight="1">
      <c r="A411" s="15" t="n">
        <v>2018</v>
      </c>
      <c r="B411" s="43">
        <f>C411</f>
        <v/>
      </c>
      <c r="C411" s="44" t="n">
        <v>160.1</v>
      </c>
    </row>
    <row r="412" ht="14" customHeight="1">
      <c r="A412" s="21" t="n">
        <v>2019</v>
      </c>
      <c r="B412" s="45">
        <f>C412</f>
        <v/>
      </c>
      <c r="C412" s="46" t="n">
        <v>150.2</v>
      </c>
    </row>
    <row r="413" ht="14" customHeight="1">
      <c r="A413" s="15" t="n">
        <v>2020</v>
      </c>
      <c r="B413" s="43">
        <f>C413</f>
        <v/>
      </c>
      <c r="C413" s="44" t="n">
        <v>132.2</v>
      </c>
    </row>
    <row r="414" ht="14" customHeight="1">
      <c r="A414" s="21" t="n">
        <v>2021</v>
      </c>
      <c r="B414" s="45">
        <f>C414</f>
        <v/>
      </c>
      <c r="C414" s="46" t="n">
        <v>152.8</v>
      </c>
    </row>
    <row r="415" ht="14" customHeight="1">
      <c r="A415" s="15" t="n">
        <v>2022</v>
      </c>
      <c r="B415" s="43">
        <f>C415</f>
        <v/>
      </c>
      <c r="C415" s="44" t="n">
        <v>136.3</v>
      </c>
    </row>
    <row r="416" ht="14" customHeight="1">
      <c r="A416" s="21" t="n">
        <v>2023</v>
      </c>
      <c r="B416" s="45">
        <f>C416</f>
        <v/>
      </c>
      <c r="C416" s="46" t="n">
        <v>125.9</v>
      </c>
    </row>
    <row r="417" ht="14" customHeight="1">
      <c r="A417" s="15" t="n">
        <v>2024</v>
      </c>
      <c r="B417" s="43">
        <f>C417</f>
        <v/>
      </c>
      <c r="C417" s="44" t="n">
        <v>128.8</v>
      </c>
    </row>
    <row r="418" ht="14" customHeight="1">
      <c r="A418" s="21" t="n">
        <v>2025</v>
      </c>
      <c r="B418" s="45">
        <f>C418</f>
        <v/>
      </c>
      <c r="C418" s="46" t="n">
        <v>126.2</v>
      </c>
    </row>
    <row r="421">
      <c r="A421" s="50" t="inlineStr">
        <is>
          <t>I3 · Circular material use rate (EU)  (%)</t>
        </is>
      </c>
    </row>
    <row r="422" ht="26" customHeight="1">
      <c r="A422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423" ht="24" customHeight="1">
      <c r="A423" s="3" t="inlineStr">
        <is>
          <t>Derivation:  Value = IF(A &gt;= 2022, ROUND([cei_srm030 PC], 1), ([Report figure (2024 report underlying data)]) * [fraction → % (× 100)])</t>
        </is>
      </c>
    </row>
    <row r="424" ht="42" customHeight="1">
      <c r="A424" s="42" t="inlineStr">
        <is>
          <t>Year</t>
        </is>
      </c>
      <c r="B424" s="42" t="inlineStr">
        <is>
          <t>Value</t>
        </is>
      </c>
      <c r="C424" s="42" t="inlineStr">
        <is>
          <t>Report figure (2024 report underlying data)</t>
        </is>
      </c>
      <c r="D424" s="42" t="inlineStr">
        <is>
          <t>cei_srm030 PC</t>
        </is>
      </c>
      <c r="E424" s="42" t="inlineStr">
        <is>
          <t>fraction → % (× 100)</t>
        </is>
      </c>
    </row>
    <row r="425" ht="14" customHeight="1">
      <c r="A425" s="15" t="n">
        <v>2010</v>
      </c>
      <c r="B425" s="43">
        <f>IF((A425&gt;=2022),ROUND(D425,1),(C425*E425))</f>
        <v/>
      </c>
      <c r="C425" s="44" t="n">
        <v>0.108</v>
      </c>
      <c r="D425" s="44" t="n"/>
      <c r="E425" s="44" t="n">
        <v>100</v>
      </c>
    </row>
    <row r="426" ht="14" customHeight="1">
      <c r="A426" s="21" t="n">
        <v>2011</v>
      </c>
      <c r="B426" s="45">
        <f>IF((A426&gt;=2022),ROUND(D426,1),(C426*E426))</f>
        <v/>
      </c>
      <c r="C426" s="46" t="n">
        <v>0.103</v>
      </c>
      <c r="D426" s="46" t="n"/>
      <c r="E426" s="46" t="n">
        <v>100</v>
      </c>
    </row>
    <row r="427" ht="14" customHeight="1">
      <c r="A427" s="15" t="n">
        <v>2012</v>
      </c>
      <c r="B427" s="43">
        <f>IF((A427&gt;=2022),ROUND(D427,1),(C427*E427))</f>
        <v/>
      </c>
      <c r="C427" s="44" t="n">
        <v>0.111</v>
      </c>
      <c r="D427" s="44" t="n"/>
      <c r="E427" s="44" t="n">
        <v>100</v>
      </c>
    </row>
    <row r="428" ht="14" customHeight="1">
      <c r="A428" s="21" t="n">
        <v>2013</v>
      </c>
      <c r="B428" s="45">
        <f>IF((A428&gt;=2022),ROUND(D428,1),(C428*E428))</f>
        <v/>
      </c>
      <c r="C428" s="46" t="n">
        <v>0.113</v>
      </c>
      <c r="D428" s="46" t="n"/>
      <c r="E428" s="46" t="n">
        <v>100</v>
      </c>
    </row>
    <row r="429" ht="14" customHeight="1">
      <c r="A429" s="15" t="n">
        <v>2014</v>
      </c>
      <c r="B429" s="43">
        <f>IF((A429&gt;=2022),ROUND(D429,1),(C429*E429))</f>
        <v/>
      </c>
      <c r="C429" s="44" t="n">
        <v>0.112</v>
      </c>
      <c r="D429" s="44" t="n"/>
      <c r="E429" s="44" t="n">
        <v>100</v>
      </c>
    </row>
    <row r="430" ht="14" customHeight="1">
      <c r="A430" s="21" t="n">
        <v>2015</v>
      </c>
      <c r="B430" s="45">
        <f>IF((A430&gt;=2022),ROUND(D430,1),(C430*E430))</f>
        <v/>
      </c>
      <c r="C430" s="46" t="n">
        <v>0.113</v>
      </c>
      <c r="D430" s="46" t="n"/>
      <c r="E430" s="46" t="n">
        <v>100</v>
      </c>
    </row>
    <row r="431" ht="14" customHeight="1">
      <c r="A431" s="15" t="n">
        <v>2016</v>
      </c>
      <c r="B431" s="43">
        <f>IF((A431&gt;=2022),ROUND(D431,1),(C431*E431))</f>
        <v/>
      </c>
      <c r="C431" s="44" t="n">
        <v>0.115</v>
      </c>
      <c r="D431" s="44" t="n"/>
      <c r="E431" s="44" t="n">
        <v>100</v>
      </c>
    </row>
    <row r="432" ht="14" customHeight="1">
      <c r="A432" s="21" t="n">
        <v>2017</v>
      </c>
      <c r="B432" s="45">
        <f>IF((A432&gt;=2022),ROUND(D432,1),(C432*E432))</f>
        <v/>
      </c>
      <c r="C432" s="46" t="n">
        <v>0.115</v>
      </c>
      <c r="D432" s="46" t="n"/>
      <c r="E432" s="46" t="n">
        <v>100</v>
      </c>
    </row>
    <row r="433" ht="14" customHeight="1">
      <c r="A433" s="15" t="n">
        <v>2018</v>
      </c>
      <c r="B433" s="43">
        <f>IF((A433&gt;=2022),ROUND(D433,1),(C433*E433))</f>
        <v/>
      </c>
      <c r="C433" s="44" t="n">
        <v>0.117</v>
      </c>
      <c r="D433" s="44" t="n"/>
      <c r="E433" s="44" t="n">
        <v>100</v>
      </c>
    </row>
    <row r="434" ht="14" customHeight="1">
      <c r="A434" s="21" t="n">
        <v>2019</v>
      </c>
      <c r="B434" s="45">
        <f>IF((A434&gt;=2022),ROUND(D434,1),(C434*E434))</f>
        <v/>
      </c>
      <c r="C434" s="46" t="n">
        <v>0.12</v>
      </c>
      <c r="D434" s="46" t="n"/>
      <c r="E434" s="46" t="n">
        <v>100</v>
      </c>
    </row>
    <row r="435" ht="14" customHeight="1">
      <c r="A435" s="15" t="n">
        <v>2020</v>
      </c>
      <c r="B435" s="43">
        <f>IF((A435&gt;=2022),ROUND(D435,1),(C435*E435))</f>
        <v/>
      </c>
      <c r="C435" s="44" t="n">
        <v>0.117</v>
      </c>
      <c r="D435" s="44" t="n"/>
      <c r="E435" s="44" t="n">
        <v>100</v>
      </c>
    </row>
    <row r="436" ht="14" customHeight="1">
      <c r="A436" s="21" t="n">
        <v>2021</v>
      </c>
      <c r="B436" s="45">
        <f>IF((A436&gt;=2022),ROUND(D436,1),(C436*E436))</f>
        <v/>
      </c>
      <c r="C436" s="46" t="n">
        <v>0.117</v>
      </c>
      <c r="D436" s="46" t="n"/>
      <c r="E436" s="46" t="n">
        <v>100</v>
      </c>
    </row>
    <row r="437" ht="14" customHeight="1">
      <c r="A437" s="15" t="n">
        <v>2022</v>
      </c>
      <c r="B437" s="43">
        <f>IF((A437&gt;=2022),ROUND(D437,1),(C437*E437))</f>
        <v/>
      </c>
      <c r="C437" s="44" t="n"/>
      <c r="D437" s="44" t="n">
        <v>11.4</v>
      </c>
      <c r="E437" s="44" t="n">
        <v>100</v>
      </c>
    </row>
    <row r="438" ht="14" customHeight="1">
      <c r="A438" s="21" t="n">
        <v>2023</v>
      </c>
      <c r="B438" s="45">
        <f>IF((A438&gt;=2022),ROUND(D438,1),(C438*E438))</f>
        <v/>
      </c>
      <c r="C438" s="46" t="n"/>
      <c r="D438" s="46" t="n">
        <v>12.1</v>
      </c>
      <c r="E438" s="46" t="n">
        <v>100</v>
      </c>
    </row>
    <row r="439" ht="14" customHeight="1">
      <c r="A439" s="15" t="n">
        <v>2024</v>
      </c>
      <c r="B439" s="43">
        <f>IF((A439&gt;=2022),ROUND(D439,1),(C439*E439))</f>
        <v/>
      </c>
      <c r="C439" s="44" t="n"/>
      <c r="D439" s="44" t="n">
        <v>12.2</v>
      </c>
      <c r="E439" s="44" t="n">
        <v>100</v>
      </c>
    </row>
    <row r="442">
      <c r="A442" s="50" t="inlineStr">
        <is>
          <t>I5 · Industrial final energy consumption (EU)  (TWh)</t>
        </is>
      </c>
    </row>
    <row r="443" ht="26" customHeight="1">
      <c r="A443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444" ht="24" customHeight="1">
      <c r="A444" s="3" t="inlineStr">
        <is>
          <t>Derivation:  Value = [Total]*(11.630000000000003)</t>
        </is>
      </c>
    </row>
    <row r="445" ht="42" customHeight="1">
      <c r="A445" s="42" t="inlineStr">
        <is>
          <t>Year</t>
        </is>
      </c>
      <c r="B445" s="42" t="inlineStr">
        <is>
          <t>Value</t>
        </is>
      </c>
      <c r="C445" s="42" t="inlineStr">
        <is>
          <t>Total</t>
        </is>
      </c>
    </row>
    <row r="446" ht="14" customHeight="1">
      <c r="A446" s="15" t="n">
        <v>2005</v>
      </c>
      <c r="B446" s="43">
        <f>(C446*11.630000000000003)</f>
        <v/>
      </c>
      <c r="C446" s="44" t="n">
        <v>275.125254</v>
      </c>
    </row>
    <row r="447" ht="14" customHeight="1">
      <c r="A447" s="21" t="n">
        <v>2006</v>
      </c>
      <c r="B447" s="45">
        <f>(C447*11.630000000000003)</f>
        <v/>
      </c>
      <c r="C447" s="46" t="n">
        <v>269.576383</v>
      </c>
    </row>
    <row r="448" ht="14" customHeight="1">
      <c r="A448" s="15" t="n">
        <v>2007</v>
      </c>
      <c r="B448" s="43">
        <f>(C448*11.630000000000003)</f>
        <v/>
      </c>
      <c r="C448" s="44" t="n">
        <v>274.275846</v>
      </c>
    </row>
    <row r="449" ht="14" customHeight="1">
      <c r="A449" s="21" t="n">
        <v>2008</v>
      </c>
      <c r="B449" s="45">
        <f>(C449*11.630000000000003)</f>
        <v/>
      </c>
      <c r="C449" s="46" t="n">
        <v>265.108074</v>
      </c>
    </row>
    <row r="450" ht="14" customHeight="1">
      <c r="A450" s="15" t="n">
        <v>2009</v>
      </c>
      <c r="B450" s="43">
        <f>(C450*11.630000000000003)</f>
        <v/>
      </c>
      <c r="C450" s="44" t="n">
        <v>229.18046</v>
      </c>
    </row>
    <row r="451" ht="14" customHeight="1">
      <c r="A451" s="21" t="n">
        <v>2010</v>
      </c>
      <c r="B451" s="45">
        <f>(C451*11.630000000000003)</f>
        <v/>
      </c>
      <c r="C451" s="46" t="n">
        <v>243.873111</v>
      </c>
    </row>
    <row r="452" ht="14" customHeight="1">
      <c r="A452" s="15" t="n">
        <v>2011</v>
      </c>
      <c r="B452" s="43">
        <f>(C452*11.630000000000003)</f>
        <v/>
      </c>
      <c r="C452" s="44" t="n">
        <v>244.295556</v>
      </c>
    </row>
    <row r="453" ht="14" customHeight="1">
      <c r="A453" s="21" t="n">
        <v>2012</v>
      </c>
      <c r="B453" s="45">
        <f>(C453*11.630000000000003)</f>
        <v/>
      </c>
      <c r="C453" s="46" t="n">
        <v>239.702695</v>
      </c>
    </row>
    <row r="454" ht="14" customHeight="1">
      <c r="A454" s="15" t="n">
        <v>2013</v>
      </c>
      <c r="B454" s="43">
        <f>(C454*11.630000000000003)</f>
        <v/>
      </c>
      <c r="C454" s="44" t="n">
        <v>236.748516</v>
      </c>
    </row>
    <row r="455" ht="14" customHeight="1">
      <c r="A455" s="21" t="n">
        <v>2014</v>
      </c>
      <c r="B455" s="45">
        <f>(C455*11.630000000000003)</f>
        <v/>
      </c>
      <c r="C455" s="46" t="n">
        <v>233.297767</v>
      </c>
    </row>
    <row r="456" ht="14" customHeight="1">
      <c r="A456" s="15" t="n">
        <v>2015</v>
      </c>
      <c r="B456" s="43">
        <f>(C456*11.630000000000003)</f>
        <v/>
      </c>
      <c r="C456" s="44" t="n">
        <v>233.507663</v>
      </c>
    </row>
    <row r="457" ht="14" customHeight="1">
      <c r="A457" s="21" t="n">
        <v>2016</v>
      </c>
      <c r="B457" s="45">
        <f>(C457*11.630000000000003)</f>
        <v/>
      </c>
      <c r="C457" s="46" t="n">
        <v>237.799203</v>
      </c>
    </row>
    <row r="458" ht="14" customHeight="1">
      <c r="A458" s="15" t="n">
        <v>2017</v>
      </c>
      <c r="B458" s="43">
        <f>(C458*11.630000000000003)</f>
        <v/>
      </c>
      <c r="C458" s="44" t="n">
        <v>240.063508</v>
      </c>
    </row>
    <row r="459" ht="14" customHeight="1">
      <c r="A459" s="21" t="n">
        <v>2018</v>
      </c>
      <c r="B459" s="45">
        <f>(C459*11.630000000000003)</f>
        <v/>
      </c>
      <c r="C459" s="46" t="n">
        <v>242.46632</v>
      </c>
    </row>
    <row r="460" ht="14" customHeight="1">
      <c r="A460" s="15" t="n">
        <v>2019</v>
      </c>
      <c r="B460" s="43">
        <f>(C460*11.630000000000003)</f>
        <v/>
      </c>
      <c r="C460" s="44" t="n">
        <v>239.239595</v>
      </c>
    </row>
    <row r="461" ht="14" customHeight="1">
      <c r="A461" s="21" t="n">
        <v>2020</v>
      </c>
      <c r="B461" s="45">
        <f>(C461*11.630000000000003)</f>
        <v/>
      </c>
      <c r="C461" s="46" t="n">
        <v>230.923308</v>
      </c>
    </row>
    <row r="462" ht="14" customHeight="1">
      <c r="A462" s="15" t="n">
        <v>2021</v>
      </c>
      <c r="B462" s="43">
        <f>(C462*11.630000000000003)</f>
        <v/>
      </c>
      <c r="C462" s="44" t="n">
        <v>240.343849</v>
      </c>
    </row>
    <row r="463" ht="14" customHeight="1">
      <c r="A463" s="21" t="n">
        <v>2022</v>
      </c>
      <c r="B463" s="45">
        <f>(C463*11.630000000000003)</f>
        <v/>
      </c>
      <c r="C463" s="46" t="n">
        <v>225.9501289767842</v>
      </c>
    </row>
    <row r="464" ht="14" customHeight="1">
      <c r="A464" s="15" t="n">
        <v>2023</v>
      </c>
      <c r="B464" s="43">
        <f>(C464*11.630000000000003)</f>
        <v/>
      </c>
      <c r="C464" s="44" t="n">
        <v>214.7205503009458</v>
      </c>
    </row>
    <row r="467">
      <c r="A467" s="50" t="inlineStr">
        <is>
          <t>I6 · Electricity share of industrial final energy use  (%)</t>
        </is>
      </c>
    </row>
    <row r="468" ht="26" customHeight="1">
      <c r="A468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469" ht="22" customHeight="1">
      <c r="A469" s="3" t="inlineStr">
        <is>
          <t>Refreshed for 2022, 2023: Electricity (raw input), Total</t>
        </is>
      </c>
    </row>
    <row r="470" ht="24" customHeight="1">
      <c r="A470" s="3" t="inlineStr">
        <is>
          <t>Derivation:  Value = [electricity]/[Total energy use]</t>
        </is>
      </c>
    </row>
    <row r="471" ht="42" customHeight="1">
      <c r="A471" s="42" t="inlineStr">
        <is>
          <t>Year</t>
        </is>
      </c>
      <c r="B471" s="42" t="inlineStr">
        <is>
          <t>Value</t>
        </is>
      </c>
      <c r="C471" s="42" t="inlineStr">
        <is>
          <t>electricity</t>
        </is>
      </c>
      <c r="D471" s="42" t="inlineStr">
        <is>
          <t>Total energy use</t>
        </is>
      </c>
      <c r="E471" s="42" t="inlineStr">
        <is>
          <t>Electricity (raw input)</t>
        </is>
      </c>
      <c r="F471" s="42" t="inlineStr">
        <is>
          <t>Total</t>
        </is>
      </c>
    </row>
    <row r="472" ht="14" customHeight="1">
      <c r="A472" s="15" t="n">
        <v>2005</v>
      </c>
      <c r="B472" s="43">
        <f>(C472/D472)</f>
        <v/>
      </c>
      <c r="C472" s="44">
        <f>E472</f>
        <v/>
      </c>
      <c r="D472" s="44">
        <f>F472</f>
        <v/>
      </c>
      <c r="E472" s="44" t="n">
        <v>87.25259</v>
      </c>
      <c r="F472" s="44" t="n">
        <v>275.125254</v>
      </c>
    </row>
    <row r="473" ht="14" customHeight="1">
      <c r="A473" s="21" t="n">
        <v>2006</v>
      </c>
      <c r="B473" s="45">
        <f>(C473/D473)</f>
        <v/>
      </c>
      <c r="C473" s="46">
        <f>E473</f>
        <v/>
      </c>
      <c r="D473" s="46">
        <f>F473</f>
        <v/>
      </c>
      <c r="E473" s="46" t="n">
        <v>87.20215300000001</v>
      </c>
      <c r="F473" s="46" t="n">
        <v>269.576383</v>
      </c>
    </row>
    <row r="474" ht="14" customHeight="1">
      <c r="A474" s="15" t="n">
        <v>2007</v>
      </c>
      <c r="B474" s="43">
        <f>(C474/D474)</f>
        <v/>
      </c>
      <c r="C474" s="44">
        <f>E474</f>
        <v/>
      </c>
      <c r="D474" s="44">
        <f>F474</f>
        <v/>
      </c>
      <c r="E474" s="44" t="n">
        <v>88.35837600000001</v>
      </c>
      <c r="F474" s="44" t="n">
        <v>274.275846</v>
      </c>
    </row>
    <row r="475" ht="14" customHeight="1">
      <c r="A475" s="21" t="n">
        <v>2008</v>
      </c>
      <c r="B475" s="45">
        <f>(C475/D475)</f>
        <v/>
      </c>
      <c r="C475" s="46">
        <f>E475</f>
        <v/>
      </c>
      <c r="D475" s="46">
        <f>F475</f>
        <v/>
      </c>
      <c r="E475" s="46" t="n">
        <v>86.265145</v>
      </c>
      <c r="F475" s="46" t="n">
        <v>265.108074</v>
      </c>
    </row>
    <row r="476" ht="14" customHeight="1">
      <c r="A476" s="15" t="n">
        <v>2009</v>
      </c>
      <c r="B476" s="43">
        <f>(C476/D476)</f>
        <v/>
      </c>
      <c r="C476" s="44">
        <f>E476</f>
        <v/>
      </c>
      <c r="D476" s="44">
        <f>F476</f>
        <v/>
      </c>
      <c r="E476" s="44" t="n">
        <v>74.30082399999999</v>
      </c>
      <c r="F476" s="44" t="n">
        <v>229.18046</v>
      </c>
    </row>
    <row r="477" ht="14" customHeight="1">
      <c r="A477" s="21" t="n">
        <v>2010</v>
      </c>
      <c r="B477" s="45">
        <f>(C477/D477)</f>
        <v/>
      </c>
      <c r="C477" s="46">
        <f>E477</f>
        <v/>
      </c>
      <c r="D477" s="46">
        <f>F477</f>
        <v/>
      </c>
      <c r="E477" s="46" t="n">
        <v>79.58803</v>
      </c>
      <c r="F477" s="46" t="n">
        <v>243.873111</v>
      </c>
    </row>
    <row r="478" ht="14" customHeight="1">
      <c r="A478" s="15" t="n">
        <v>2011</v>
      </c>
      <c r="B478" s="43">
        <f>(C478/D478)</f>
        <v/>
      </c>
      <c r="C478" s="44">
        <f>E478</f>
        <v/>
      </c>
      <c r="D478" s="44">
        <f>F478</f>
        <v/>
      </c>
      <c r="E478" s="44" t="n">
        <v>80.52822</v>
      </c>
      <c r="F478" s="44" t="n">
        <v>244.295556</v>
      </c>
    </row>
    <row r="479" ht="14" customHeight="1">
      <c r="A479" s="21" t="n">
        <v>2012</v>
      </c>
      <c r="B479" s="45">
        <f>(C479/D479)</f>
        <v/>
      </c>
      <c r="C479" s="46">
        <f>E479</f>
        <v/>
      </c>
      <c r="D479" s="46">
        <f>F479</f>
        <v/>
      </c>
      <c r="E479" s="46" t="n">
        <v>79.12993700000001</v>
      </c>
      <c r="F479" s="46" t="n">
        <v>239.702695</v>
      </c>
    </row>
    <row r="480" ht="14" customHeight="1">
      <c r="A480" s="15" t="n">
        <v>2013</v>
      </c>
      <c r="B480" s="43">
        <f>(C480/D480)</f>
        <v/>
      </c>
      <c r="C480" s="44">
        <f>E480</f>
        <v/>
      </c>
      <c r="D480" s="44">
        <f>F480</f>
        <v/>
      </c>
      <c r="E480" s="44" t="n">
        <v>77.933983</v>
      </c>
      <c r="F480" s="44" t="n">
        <v>236.748516</v>
      </c>
    </row>
    <row r="481" ht="14" customHeight="1">
      <c r="A481" s="21" t="n">
        <v>2014</v>
      </c>
      <c r="B481" s="45">
        <f>(C481/D481)</f>
        <v/>
      </c>
      <c r="C481" s="46">
        <f>E481</f>
        <v/>
      </c>
      <c r="D481" s="46">
        <f>F481</f>
        <v/>
      </c>
      <c r="E481" s="46" t="n">
        <v>78.25137699999999</v>
      </c>
      <c r="F481" s="46" t="n">
        <v>233.297767</v>
      </c>
    </row>
    <row r="482" ht="14" customHeight="1">
      <c r="A482" s="15" t="n">
        <v>2015</v>
      </c>
      <c r="B482" s="43">
        <f>(C482/D482)</f>
        <v/>
      </c>
      <c r="C482" s="44">
        <f>E482</f>
        <v/>
      </c>
      <c r="D482" s="44">
        <f>F482</f>
        <v/>
      </c>
      <c r="E482" s="44" t="n">
        <v>78.580682</v>
      </c>
      <c r="F482" s="44" t="n">
        <v>233.507663</v>
      </c>
    </row>
    <row r="483" ht="14" customHeight="1">
      <c r="A483" s="21" t="n">
        <v>2016</v>
      </c>
      <c r="B483" s="45">
        <f>(C483/D483)</f>
        <v/>
      </c>
      <c r="C483" s="46">
        <f>E483</f>
        <v/>
      </c>
      <c r="D483" s="46">
        <f>F483</f>
        <v/>
      </c>
      <c r="E483" s="46" t="n">
        <v>79.61735499999999</v>
      </c>
      <c r="F483" s="46" t="n">
        <v>237.799203</v>
      </c>
    </row>
    <row r="484" ht="14" customHeight="1">
      <c r="A484" s="15" t="n">
        <v>2017</v>
      </c>
      <c r="B484" s="43">
        <f>(C484/D484)</f>
        <v/>
      </c>
      <c r="C484" s="44">
        <f>E484</f>
        <v/>
      </c>
      <c r="D484" s="44">
        <f>F484</f>
        <v/>
      </c>
      <c r="E484" s="44" t="n">
        <v>81.03699499999999</v>
      </c>
      <c r="F484" s="44" t="n">
        <v>240.063508</v>
      </c>
    </row>
    <row r="485" ht="14" customHeight="1">
      <c r="A485" s="21" t="n">
        <v>2018</v>
      </c>
      <c r="B485" s="45">
        <f>(C485/D485)</f>
        <v/>
      </c>
      <c r="C485" s="46">
        <f>E485</f>
        <v/>
      </c>
      <c r="D485" s="46">
        <f>F485</f>
        <v/>
      </c>
      <c r="E485" s="46" t="n">
        <v>81.292179</v>
      </c>
      <c r="F485" s="46" t="n">
        <v>242.46632</v>
      </c>
    </row>
    <row r="486" ht="14" customHeight="1">
      <c r="A486" s="15" t="n">
        <v>2019</v>
      </c>
      <c r="B486" s="43">
        <f>(C486/D486)</f>
        <v/>
      </c>
      <c r="C486" s="44">
        <f>E486</f>
        <v/>
      </c>
      <c r="D486" s="44">
        <f>F486</f>
        <v/>
      </c>
      <c r="E486" s="44" t="n">
        <v>80.233557</v>
      </c>
      <c r="F486" s="44" t="n">
        <v>239.239595</v>
      </c>
    </row>
    <row r="487" ht="14" customHeight="1">
      <c r="A487" s="21" t="n">
        <v>2020</v>
      </c>
      <c r="B487" s="45">
        <f>(C487/D487)</f>
        <v/>
      </c>
      <c r="C487" s="46">
        <f>E487</f>
        <v/>
      </c>
      <c r="D487" s="46">
        <f>F487</f>
        <v/>
      </c>
      <c r="E487" s="46" t="n">
        <v>76.03787699999999</v>
      </c>
      <c r="F487" s="46" t="n">
        <v>230.923308</v>
      </c>
    </row>
    <row r="488" ht="14" customHeight="1">
      <c r="A488" s="15" t="n">
        <v>2021</v>
      </c>
      <c r="B488" s="43">
        <f>(C488/D488)</f>
        <v/>
      </c>
      <c r="C488" s="44">
        <f>E488</f>
        <v/>
      </c>
      <c r="D488" s="44">
        <f>F488</f>
        <v/>
      </c>
      <c r="E488" s="44" t="n">
        <v>79.831363</v>
      </c>
      <c r="F488" s="44" t="n">
        <v>240.343849</v>
      </c>
    </row>
    <row r="489" ht="14" customHeight="1">
      <c r="A489" s="21" t="n">
        <v>2022</v>
      </c>
      <c r="B489" s="45">
        <f>(C489/D489)</f>
        <v/>
      </c>
      <c r="C489" s="46">
        <f>E489</f>
        <v/>
      </c>
      <c r="D489" s="46">
        <f>F489</f>
        <v/>
      </c>
      <c r="E489" s="46" t="n">
        <v>74.70652699999999</v>
      </c>
      <c r="F489" s="46" t="n">
        <v>226.90747</v>
      </c>
    </row>
    <row r="490" ht="14" customHeight="1">
      <c r="A490" s="15" t="n">
        <v>2023</v>
      </c>
      <c r="B490" s="43">
        <f>(C490/D490)</f>
        <v/>
      </c>
      <c r="C490" s="44">
        <f>E490</f>
        <v/>
      </c>
      <c r="D490" s="44">
        <f>F490</f>
        <v/>
      </c>
      <c r="E490" s="44" t="n">
        <v>70.75010899999999</v>
      </c>
      <c r="F490" s="44" t="n">
        <v>215.070029</v>
      </c>
    </row>
    <row r="493">
      <c r="A493" s="51" t="inlineStr">
        <is>
          <t>T1 · Transport GHG emissions (EU)  (Mt CO₂eq)</t>
        </is>
      </c>
    </row>
    <row r="494" ht="26" customHeight="1">
      <c r="A494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495" ht="24" customHeight="1">
      <c r="A495" s="3" t="inlineStr">
        <is>
          <t>Derivation:  Value = IF(A &gt;= 2022, IF(A &gt;= 2023, ROUND(([env_air_gge CRF1A3] + [env_air_gge CRF1D1A]), 1), [Report figure — row missing from the seeded grid]), [Road - cars and motorcycles]+[Road - HDV and buses]+[Road - Light Duty Trucks]+[- of which Railways, IWW]+[Aviation]+[- of which Other])</t>
        </is>
      </c>
    </row>
    <row r="496" ht="42" customHeight="1">
      <c r="A496" s="42" t="inlineStr">
        <is>
          <t>Year</t>
        </is>
      </c>
      <c r="B496" s="42" t="inlineStr">
        <is>
          <t>Value</t>
        </is>
      </c>
      <c r="C496" s="42" t="inlineStr">
        <is>
          <t>Road - cars and motorcycles</t>
        </is>
      </c>
      <c r="D496" s="42" t="inlineStr">
        <is>
          <t>Road - HDV and buses</t>
        </is>
      </c>
      <c r="E496" s="42" t="inlineStr">
        <is>
          <t>Road - Light Duty Trucks</t>
        </is>
      </c>
      <c r="F496" s="42" t="inlineStr">
        <is>
          <t>- of which Railways, IWW</t>
        </is>
      </c>
      <c r="G496" s="42" t="inlineStr">
        <is>
          <t>Aviation</t>
        </is>
      </c>
      <c r="H496" s="42" t="inlineStr">
        <is>
          <t>- of which Other</t>
        </is>
      </c>
      <c r="I496" s="42" t="inlineStr">
        <is>
          <t>1.A.3.b.i - Cars</t>
        </is>
      </c>
      <c r="J496" s="42" t="inlineStr">
        <is>
          <t>1.A.3.b.iv - Motorcycles</t>
        </is>
      </c>
      <c r="K496" s="42" t="inlineStr">
        <is>
          <t>1.A.3.b.iii - Heavy duty trucks and buses</t>
        </is>
      </c>
      <c r="L496" s="42" t="inlineStr">
        <is>
          <t>1.A.3.b.ii - Light duty trucks</t>
        </is>
      </c>
      <c r="M496" s="42" t="inlineStr">
        <is>
          <t>1.A.3.c - Railways</t>
        </is>
      </c>
      <c r="N496" s="42" t="inlineStr">
        <is>
          <t>1.A.3.d - Domestic Navigation</t>
        </is>
      </c>
      <c r="O496" s="42" t="inlineStr">
        <is>
          <t>- of which domestic</t>
        </is>
      </c>
      <c r="P496" s="42" t="inlineStr">
        <is>
          <t>- of which international</t>
        </is>
      </c>
      <c r="Q496" s="42" t="inlineStr">
        <is>
          <t>1.A.3.b.v - Other Road Transportation</t>
        </is>
      </c>
      <c r="R496" s="42" t="inlineStr">
        <is>
          <t>1.A.3.e - Other Transportation</t>
        </is>
      </c>
      <c r="S496" s="42" t="inlineStr">
        <is>
          <t>1.A.3.a - Domestic Aviation</t>
        </is>
      </c>
      <c r="T496" s="42" t="inlineStr">
        <is>
          <t>1.D.1.a - International Aviation</t>
        </is>
      </c>
      <c r="U496" s="42" t="inlineStr">
        <is>
          <t>Report figure — row missing from the seeded grid</t>
        </is>
      </c>
      <c r="V496" s="42" t="inlineStr">
        <is>
          <t>env_air_gge CRF1A3</t>
        </is>
      </c>
      <c r="W496" s="42" t="inlineStr">
        <is>
          <t>env_air_gge CRF1D1A</t>
        </is>
      </c>
    </row>
    <row r="497" ht="14" customHeight="1">
      <c r="A497" s="15" t="n">
        <v>2005</v>
      </c>
      <c r="B497" s="43">
        <f>IF((A497&gt;=2022),IF((A497&gt;=2023),ROUND((V497+W497),1),U497),(((((C497+D497)+E497)+F497)+G497)+H497))</f>
        <v/>
      </c>
      <c r="C497" s="44">
        <f>((I497+J497)/1000)</f>
        <v/>
      </c>
      <c r="D497" s="44">
        <f>(K497/1000)</f>
        <v/>
      </c>
      <c r="E497" s="44">
        <f>(L497/1000)</f>
        <v/>
      </c>
      <c r="F497" s="44">
        <f>((M497+N497)/1000)</f>
        <v/>
      </c>
      <c r="G497" s="44">
        <f>(O497+P497)</f>
        <v/>
      </c>
      <c r="H497" s="44">
        <f>((Q497+R497)/1000)</f>
        <v/>
      </c>
      <c r="I497" s="44" t="n">
        <v>480541.4195306973</v>
      </c>
      <c r="J497" s="44" t="n">
        <v>11046.9162294182</v>
      </c>
      <c r="K497" s="44" t="n">
        <v>212730.2574256924</v>
      </c>
      <c r="L497" s="44" t="n">
        <v>92042.30337506154</v>
      </c>
      <c r="M497" s="44" t="n">
        <v>6282.695167411506</v>
      </c>
      <c r="N497" s="44" t="n">
        <v>19667.63120979702</v>
      </c>
      <c r="O497" s="44">
        <f>(S497/1000)</f>
        <v/>
      </c>
      <c r="P497" s="44">
        <f>(T497/1000)</f>
        <v/>
      </c>
      <c r="Q497" s="44" t="n">
        <v>180.6838115240363</v>
      </c>
      <c r="R497" s="44" t="n">
        <v>8159.599929271587</v>
      </c>
      <c r="S497" s="44" t="n">
        <v>16734.38838332025</v>
      </c>
      <c r="T497" s="44" t="n">
        <v>96093.5467867558</v>
      </c>
      <c r="U497" s="44" t="n"/>
      <c r="V497" s="44" t="n"/>
      <c r="W497" s="44" t="n"/>
    </row>
    <row r="498" ht="14" customHeight="1">
      <c r="A498" s="21" t="n">
        <v>2006</v>
      </c>
      <c r="B498" s="45">
        <f>IF((A498&gt;=2022),IF((A498&gt;=2023),ROUND((V498+W498),1),U498),(((((C498+D498)+E498)+F498)+G498)+H498))</f>
        <v/>
      </c>
      <c r="C498" s="46">
        <f>((I498+J498)/1000)</f>
        <v/>
      </c>
      <c r="D498" s="46">
        <f>(K498/1000)</f>
        <v/>
      </c>
      <c r="E498" s="46">
        <f>(L498/1000)</f>
        <v/>
      </c>
      <c r="F498" s="46">
        <f>((M498+N498)/1000)</f>
        <v/>
      </c>
      <c r="G498" s="46">
        <f>(O498+P498)</f>
        <v/>
      </c>
      <c r="H498" s="46">
        <f>((Q498+R498)/1000)</f>
        <v/>
      </c>
      <c r="I498" s="46" t="n">
        <v>482224.7537565306</v>
      </c>
      <c r="J498" s="46" t="n">
        <v>10949.38312180254</v>
      </c>
      <c r="K498" s="46" t="n">
        <v>217249.4479288239</v>
      </c>
      <c r="L498" s="46" t="n">
        <v>93929.94691200832</v>
      </c>
      <c r="M498" s="46" t="n">
        <v>6156.417396309589</v>
      </c>
      <c r="N498" s="46" t="n">
        <v>20000.15057251003</v>
      </c>
      <c r="O498" s="46">
        <f>(S498/1000)</f>
        <v/>
      </c>
      <c r="P498" s="46">
        <f>(T498/1000)</f>
        <v/>
      </c>
      <c r="Q498" s="46" t="n">
        <v>157.3326033718289</v>
      </c>
      <c r="R498" s="46" t="n">
        <v>8134.056410529875</v>
      </c>
      <c r="S498" s="46" t="n">
        <v>16692.10988452465</v>
      </c>
      <c r="T498" s="46" t="n">
        <v>101161.5316416803</v>
      </c>
      <c r="U498" s="46" t="n"/>
      <c r="V498" s="46" t="n"/>
      <c r="W498" s="46" t="n"/>
    </row>
    <row r="499" ht="14" customHeight="1">
      <c r="A499" s="15" t="n">
        <v>2007</v>
      </c>
      <c r="B499" s="43">
        <f>IF((A499&gt;=2022),IF((A499&gt;=2023),ROUND((V499+W499),1),U499),(((((C499+D499)+E499)+F499)+G499)+H499))</f>
        <v/>
      </c>
      <c r="C499" s="44">
        <f>((I499+J499)/1000)</f>
        <v/>
      </c>
      <c r="D499" s="44">
        <f>(K499/1000)</f>
        <v/>
      </c>
      <c r="E499" s="44">
        <f>(L499/1000)</f>
        <v/>
      </c>
      <c r="F499" s="44">
        <f>((M499+N499)/1000)</f>
        <v/>
      </c>
      <c r="G499" s="44">
        <f>(O499+P499)</f>
        <v/>
      </c>
      <c r="H499" s="44">
        <f>((Q499+R499)/1000)</f>
        <v/>
      </c>
      <c r="I499" s="44" t="n">
        <v>488774.5431278974</v>
      </c>
      <c r="J499" s="44" t="n">
        <v>10898.22662126159</v>
      </c>
      <c r="K499" s="44" t="n">
        <v>217801.829453462</v>
      </c>
      <c r="L499" s="44" t="n">
        <v>96305.67083674808</v>
      </c>
      <c r="M499" s="44" t="n">
        <v>6401.818138696881</v>
      </c>
      <c r="N499" s="44" t="n">
        <v>19039.84950103229</v>
      </c>
      <c r="O499" s="44">
        <f>(S499/1000)</f>
        <v/>
      </c>
      <c r="P499" s="44">
        <f>(T499/1000)</f>
        <v/>
      </c>
      <c r="Q499" s="44" t="n">
        <v>163.8315653621737</v>
      </c>
      <c r="R499" s="44" t="n">
        <v>7497.60617722514</v>
      </c>
      <c r="S499" s="44" t="n">
        <v>17103.98704857998</v>
      </c>
      <c r="T499" s="44" t="n">
        <v>105830.0665252898</v>
      </c>
      <c r="U499" s="44" t="n"/>
      <c r="V499" s="44" t="n"/>
      <c r="W499" s="44" t="n"/>
    </row>
    <row r="500" ht="14" customHeight="1">
      <c r="A500" s="21" t="n">
        <v>2008</v>
      </c>
      <c r="B500" s="45">
        <f>IF((A500&gt;=2022),IF((A500&gt;=2023),ROUND((V500+W500),1),U500),(((((C500+D500)+E500)+F500)+G500)+H500))</f>
        <v/>
      </c>
      <c r="C500" s="46">
        <f>((I500+J500)/1000)</f>
        <v/>
      </c>
      <c r="D500" s="46">
        <f>(K500/1000)</f>
        <v/>
      </c>
      <c r="E500" s="46">
        <f>(L500/1000)</f>
        <v/>
      </c>
      <c r="F500" s="46">
        <f>((M500+N500)/1000)</f>
        <v/>
      </c>
      <c r="G500" s="46">
        <f>(O500+P500)</f>
        <v/>
      </c>
      <c r="H500" s="46">
        <f>((Q500+R500)/1000)</f>
        <v/>
      </c>
      <c r="I500" s="46" t="n">
        <v>480951.2322424596</v>
      </c>
      <c r="J500" s="46" t="n">
        <v>11369.17784186646</v>
      </c>
      <c r="K500" s="46" t="n">
        <v>211140.0423809844</v>
      </c>
      <c r="L500" s="46" t="n">
        <v>91879.21238634594</v>
      </c>
      <c r="M500" s="46" t="n">
        <v>6161.826653202413</v>
      </c>
      <c r="N500" s="46" t="n">
        <v>18461.00120047764</v>
      </c>
      <c r="O500" s="46">
        <f>(S500/1000)</f>
        <v/>
      </c>
      <c r="P500" s="46">
        <f>(T500/1000)</f>
        <v/>
      </c>
      <c r="Q500" s="46" t="n">
        <v>186.5147739878819</v>
      </c>
      <c r="R500" s="46" t="n">
        <v>8046.77357797751</v>
      </c>
      <c r="S500" s="46" t="n">
        <v>16728.47941104744</v>
      </c>
      <c r="T500" s="46" t="n">
        <v>107394.2293441508</v>
      </c>
      <c r="U500" s="46" t="n"/>
      <c r="V500" s="46" t="n"/>
      <c r="W500" s="46" t="n"/>
    </row>
    <row r="501" ht="14" customHeight="1">
      <c r="A501" s="15" t="n">
        <v>2009</v>
      </c>
      <c r="B501" s="43">
        <f>IF((A501&gt;=2022),IF((A501&gt;=2023),ROUND((V501+W501),1),U501),(((((C501+D501)+E501)+F501)+G501)+H501))</f>
        <v/>
      </c>
      <c r="C501" s="44">
        <f>((I501+J501)/1000)</f>
        <v/>
      </c>
      <c r="D501" s="44">
        <f>(K501/1000)</f>
        <v/>
      </c>
      <c r="E501" s="44">
        <f>(L501/1000)</f>
        <v/>
      </c>
      <c r="F501" s="44">
        <f>((M501+N501)/1000)</f>
        <v/>
      </c>
      <c r="G501" s="44">
        <f>(O501+P501)</f>
        <v/>
      </c>
      <c r="H501" s="44">
        <f>((Q501+R501)/1000)</f>
        <v/>
      </c>
      <c r="I501" s="44" t="n">
        <v>476868.1113292528</v>
      </c>
      <c r="J501" s="44" t="n">
        <v>11052.93697323029</v>
      </c>
      <c r="K501" s="44" t="n">
        <v>199942.5153686436</v>
      </c>
      <c r="L501" s="44" t="n">
        <v>88318.86645627057</v>
      </c>
      <c r="M501" s="44" t="n">
        <v>5442.484407282776</v>
      </c>
      <c r="N501" s="44" t="n">
        <v>18499.95835661965</v>
      </c>
      <c r="O501" s="44">
        <f>(S501/1000)</f>
        <v/>
      </c>
      <c r="P501" s="44">
        <f>(T501/1000)</f>
        <v/>
      </c>
      <c r="Q501" s="44" t="n">
        <v>198.4096436006812</v>
      </c>
      <c r="R501" s="44" t="n">
        <v>6958.351885305405</v>
      </c>
      <c r="S501" s="44" t="n">
        <v>15841.39622316232</v>
      </c>
      <c r="T501" s="44" t="n">
        <v>98727.74136248264</v>
      </c>
      <c r="U501" s="44" t="n"/>
      <c r="V501" s="44" t="n"/>
      <c r="W501" s="44" t="n"/>
    </row>
    <row r="502" ht="14" customHeight="1">
      <c r="A502" s="21" t="n">
        <v>2010</v>
      </c>
      <c r="B502" s="45">
        <f>IF((A502&gt;=2022),IF((A502&gt;=2023),ROUND((V502+W502),1),U502),(((((C502+D502)+E502)+F502)+G502)+H502))</f>
        <v/>
      </c>
      <c r="C502" s="46">
        <f>((I502+J502)/1000)</f>
        <v/>
      </c>
      <c r="D502" s="46">
        <f>(K502/1000)</f>
        <v/>
      </c>
      <c r="E502" s="46">
        <f>(L502/1000)</f>
        <v/>
      </c>
      <c r="F502" s="46">
        <f>((M502+N502)/1000)</f>
        <v/>
      </c>
      <c r="G502" s="46">
        <f>(O502+P502)</f>
        <v/>
      </c>
      <c r="H502" s="46">
        <f>((Q502+R502)/1000)</f>
        <v/>
      </c>
      <c r="I502" s="46" t="n">
        <v>470814.6376809535</v>
      </c>
      <c r="J502" s="46" t="n">
        <v>10876.1538939472</v>
      </c>
      <c r="K502" s="46" t="n">
        <v>201980.2144096809</v>
      </c>
      <c r="L502" s="46" t="n">
        <v>87236.19763399899</v>
      </c>
      <c r="M502" s="46" t="n">
        <v>5426.968491217282</v>
      </c>
      <c r="N502" s="46" t="n">
        <v>18613.81651013615</v>
      </c>
      <c r="O502" s="46">
        <f>(S502/1000)</f>
        <v/>
      </c>
      <c r="P502" s="46">
        <f>(T502/1000)</f>
        <v/>
      </c>
      <c r="Q502" s="46" t="n">
        <v>136.7485342182449</v>
      </c>
      <c r="R502" s="46" t="n">
        <v>6746.827739532908</v>
      </c>
      <c r="S502" s="46" t="n">
        <v>15807.76351830229</v>
      </c>
      <c r="T502" s="46" t="n">
        <v>100367.703168101</v>
      </c>
      <c r="U502" s="46" t="n"/>
      <c r="V502" s="46" t="n"/>
      <c r="W502" s="46" t="n"/>
    </row>
    <row r="503" ht="14" customHeight="1">
      <c r="A503" s="15" t="n">
        <v>2011</v>
      </c>
      <c r="B503" s="43">
        <f>IF((A503&gt;=2022),IF((A503&gt;=2023),ROUND((V503+W503),1),U503),(((((C503+D503)+E503)+F503)+G503)+H503))</f>
        <v/>
      </c>
      <c r="C503" s="44">
        <f>((I503+J503)/1000)</f>
        <v/>
      </c>
      <c r="D503" s="44">
        <f>(K503/1000)</f>
        <v/>
      </c>
      <c r="E503" s="44">
        <f>(L503/1000)</f>
        <v/>
      </c>
      <c r="F503" s="44">
        <f>((M503+N503)/1000)</f>
        <v/>
      </c>
      <c r="G503" s="44">
        <f>(O503+P503)</f>
        <v/>
      </c>
      <c r="H503" s="44">
        <f>((Q503+R503)/1000)</f>
        <v/>
      </c>
      <c r="I503" s="44" t="n">
        <v>464550.594446394</v>
      </c>
      <c r="J503" s="44" t="n">
        <v>10663.06526666333</v>
      </c>
      <c r="K503" s="44" t="n">
        <v>201561.4929994726</v>
      </c>
      <c r="L503" s="44" t="n">
        <v>86850.32675061244</v>
      </c>
      <c r="M503" s="44" t="n">
        <v>5457.213375383851</v>
      </c>
      <c r="N503" s="44" t="n">
        <v>16854.76284116273</v>
      </c>
      <c r="O503" s="44">
        <f>(S503/1000)</f>
        <v/>
      </c>
      <c r="P503" s="44">
        <f>(T503/1000)</f>
        <v/>
      </c>
      <c r="Q503" s="44" t="n">
        <v>136.6343876429492</v>
      </c>
      <c r="R503" s="44" t="n">
        <v>6542.327235843891</v>
      </c>
      <c r="S503" s="44" t="n">
        <v>15624.00824834788</v>
      </c>
      <c r="T503" s="44" t="n">
        <v>102837.0641991336</v>
      </c>
      <c r="U503" s="44" t="n"/>
      <c r="V503" s="44" t="n"/>
      <c r="W503" s="44" t="n"/>
    </row>
    <row r="504" ht="14" customHeight="1">
      <c r="A504" s="21" t="n">
        <v>2012</v>
      </c>
      <c r="B504" s="45">
        <f>IF((A504&gt;=2022),IF((A504&gt;=2023),ROUND((V504+W504),1),U504),(((((C504+D504)+E504)+F504)+G504)+H504))</f>
        <v/>
      </c>
      <c r="C504" s="46">
        <f>((I504+J504)/1000)</f>
        <v/>
      </c>
      <c r="D504" s="46">
        <f>(K504/1000)</f>
        <v/>
      </c>
      <c r="E504" s="46">
        <f>(L504/1000)</f>
        <v/>
      </c>
      <c r="F504" s="46">
        <f>((M504+N504)/1000)</f>
        <v/>
      </c>
      <c r="G504" s="46">
        <f>(O504+P504)</f>
        <v/>
      </c>
      <c r="H504" s="46">
        <f>((Q504+R504)/1000)</f>
        <v/>
      </c>
      <c r="I504" s="46" t="n">
        <v>446069.6603040501</v>
      </c>
      <c r="J504" s="46" t="n">
        <v>10434.27695043798</v>
      </c>
      <c r="K504" s="46" t="n">
        <v>196460.0254851693</v>
      </c>
      <c r="L504" s="46" t="n">
        <v>83852.26061375874</v>
      </c>
      <c r="M504" s="46" t="n">
        <v>5276.009745269003</v>
      </c>
      <c r="N504" s="46" t="n">
        <v>16063.16671642914</v>
      </c>
      <c r="O504" s="46">
        <f>(S504/1000)</f>
        <v/>
      </c>
      <c r="P504" s="46">
        <f>(T504/1000)</f>
        <v/>
      </c>
      <c r="Q504" s="46" t="n">
        <v>127.1093837856459</v>
      </c>
      <c r="R504" s="46" t="n">
        <v>5944.59443163521</v>
      </c>
      <c r="S504" s="46" t="n">
        <v>14479.64604137401</v>
      </c>
      <c r="T504" s="46" t="n">
        <v>101711.2712350216</v>
      </c>
      <c r="U504" s="46" t="n"/>
      <c r="V504" s="46" t="n"/>
      <c r="W504" s="46" t="n"/>
    </row>
    <row r="505" ht="14" customHeight="1">
      <c r="A505" s="15" t="n">
        <v>2013</v>
      </c>
      <c r="B505" s="43">
        <f>IF((A505&gt;=2022),IF((A505&gt;=2023),ROUND((V505+W505),1),U505),(((((C505+D505)+E505)+F505)+G505)+H505))</f>
        <v/>
      </c>
      <c r="C505" s="44">
        <f>((I505+J505)/1000)</f>
        <v/>
      </c>
      <c r="D505" s="44">
        <f>(K505/1000)</f>
        <v/>
      </c>
      <c r="E505" s="44">
        <f>(L505/1000)</f>
        <v/>
      </c>
      <c r="F505" s="44">
        <f>((M505+N505)/1000)</f>
        <v/>
      </c>
      <c r="G505" s="44">
        <f>(O505+P505)</f>
        <v/>
      </c>
      <c r="H505" s="44">
        <f>((Q505+R505)/1000)</f>
        <v/>
      </c>
      <c r="I505" s="44" t="n">
        <v>448657.4457588319</v>
      </c>
      <c r="J505" s="44" t="n">
        <v>10133.1246484716</v>
      </c>
      <c r="K505" s="44" t="n">
        <v>194031.3210427841</v>
      </c>
      <c r="L505" s="44" t="n">
        <v>80353.77327952888</v>
      </c>
      <c r="M505" s="44" t="n">
        <v>4953.910265344102</v>
      </c>
      <c r="N505" s="44" t="n">
        <v>14694.89008832424</v>
      </c>
      <c r="O505" s="44">
        <f>(S505/1000)</f>
        <v/>
      </c>
      <c r="P505" s="44">
        <f>(T505/1000)</f>
        <v/>
      </c>
      <c r="Q505" s="44" t="n">
        <v>114.2692752323638</v>
      </c>
      <c r="R505" s="44" t="n">
        <v>6495.348440844533</v>
      </c>
      <c r="S505" s="44" t="n">
        <v>13279.9270060317</v>
      </c>
      <c r="T505" s="44" t="n">
        <v>102661.527717858</v>
      </c>
      <c r="U505" s="44" t="n"/>
      <c r="V505" s="44" t="n"/>
      <c r="W505" s="44" t="n"/>
    </row>
    <row r="506" ht="14" customHeight="1">
      <c r="A506" s="21" t="n">
        <v>2014</v>
      </c>
      <c r="B506" s="45">
        <f>IF((A506&gt;=2022),IF((A506&gt;=2023),ROUND((V506+W506),1),U506),(((((C506+D506)+E506)+F506)+G506)+H506))</f>
        <v/>
      </c>
      <c r="C506" s="46">
        <f>((I506+J506)/1000)</f>
        <v/>
      </c>
      <c r="D506" s="46">
        <f>(K506/1000)</f>
        <v/>
      </c>
      <c r="E506" s="46">
        <f>(L506/1000)</f>
        <v/>
      </c>
      <c r="F506" s="46">
        <f>((M506+N506)/1000)</f>
        <v/>
      </c>
      <c r="G506" s="46">
        <f>(O506+P506)</f>
        <v/>
      </c>
      <c r="H506" s="46">
        <f>((Q506+R506)/1000)</f>
        <v/>
      </c>
      <c r="I506" s="46" t="n">
        <v>458349.5111173873</v>
      </c>
      <c r="J506" s="46" t="n">
        <v>10417.87077557057</v>
      </c>
      <c r="K506" s="46" t="n">
        <v>191775.9318901639</v>
      </c>
      <c r="L506" s="46" t="n">
        <v>80458.77839013461</v>
      </c>
      <c r="M506" s="46" t="n">
        <v>4537.944268875722</v>
      </c>
      <c r="N506" s="46" t="n">
        <v>13946.77236602893</v>
      </c>
      <c r="O506" s="46">
        <f>(S506/1000)</f>
        <v/>
      </c>
      <c r="P506" s="46">
        <f>(T506/1000)</f>
        <v/>
      </c>
      <c r="Q506" s="46" t="n">
        <v>92.23786169576029</v>
      </c>
      <c r="R506" s="46" t="n">
        <v>5426.008108538639</v>
      </c>
      <c r="S506" s="46" t="n">
        <v>13073.22526108408</v>
      </c>
      <c r="T506" s="46" t="n">
        <v>104670.2515866599</v>
      </c>
      <c r="U506" s="46" t="n"/>
      <c r="V506" s="46" t="n"/>
      <c r="W506" s="46" t="n"/>
    </row>
    <row r="507" ht="14" customHeight="1">
      <c r="A507" s="15" t="n">
        <v>2015</v>
      </c>
      <c r="B507" s="43">
        <f>IF((A507&gt;=2022),IF((A507&gt;=2023),ROUND((V507+W507),1),U507),(((((C507+D507)+E507)+F507)+G507)+H507))</f>
        <v/>
      </c>
      <c r="C507" s="44">
        <f>((I507+J507)/1000)</f>
        <v/>
      </c>
      <c r="D507" s="44">
        <f>(K507/1000)</f>
        <v/>
      </c>
      <c r="E507" s="44">
        <f>(L507/1000)</f>
        <v/>
      </c>
      <c r="F507" s="44">
        <f>((M507+N507)/1000)</f>
        <v/>
      </c>
      <c r="G507" s="44">
        <f>(O507+P507)</f>
        <v/>
      </c>
      <c r="H507" s="44">
        <f>((Q507+R507)/1000)</f>
        <v/>
      </c>
      <c r="I507" s="44" t="n">
        <v>466627.8646851056</v>
      </c>
      <c r="J507" s="44" t="n">
        <v>10389.46464269595</v>
      </c>
      <c r="K507" s="44" t="n">
        <v>196116.1691848404</v>
      </c>
      <c r="L507" s="44" t="n">
        <v>82200.36075816839</v>
      </c>
      <c r="M507" s="44" t="n">
        <v>4540.918845670133</v>
      </c>
      <c r="N507" s="44" t="n">
        <v>14695.95268452451</v>
      </c>
      <c r="O507" s="44">
        <f>(S507/1000)</f>
        <v/>
      </c>
      <c r="P507" s="44">
        <f>(T507/1000)</f>
        <v/>
      </c>
      <c r="Q507" s="44" t="n">
        <v>92.8007694897789</v>
      </c>
      <c r="R507" s="44" t="n">
        <v>5424.7605925366</v>
      </c>
      <c r="S507" s="44" t="n">
        <v>13151.24530535753</v>
      </c>
      <c r="T507" s="44" t="n">
        <v>108530.225575632</v>
      </c>
      <c r="U507" s="44" t="n"/>
      <c r="V507" s="44" t="n"/>
      <c r="W507" s="44" t="n"/>
    </row>
    <row r="508" ht="14" customHeight="1">
      <c r="A508" s="21" t="n">
        <v>2016</v>
      </c>
      <c r="B508" s="45">
        <f>IF((A508&gt;=2022),IF((A508&gt;=2023),ROUND((V508+W508),1),U508),(((((C508+D508)+E508)+F508)+G508)+H508))</f>
        <v/>
      </c>
      <c r="C508" s="46">
        <f>((I508+J508)/1000)</f>
        <v/>
      </c>
      <c r="D508" s="46">
        <f>(K508/1000)</f>
        <v/>
      </c>
      <c r="E508" s="46">
        <f>(L508/1000)</f>
        <v/>
      </c>
      <c r="F508" s="46">
        <f>((M508+N508)/1000)</f>
        <v/>
      </c>
      <c r="G508" s="46">
        <f>(O508+P508)</f>
        <v/>
      </c>
      <c r="H508" s="46">
        <f>((Q508+R508)/1000)</f>
        <v/>
      </c>
      <c r="I508" s="46" t="n">
        <v>477579.9281676082</v>
      </c>
      <c r="J508" s="46" t="n">
        <v>10156.17112805583</v>
      </c>
      <c r="K508" s="46" t="n">
        <v>200624.424101592</v>
      </c>
      <c r="L508" s="46" t="n">
        <v>83344.27680641123</v>
      </c>
      <c r="M508" s="46" t="n">
        <v>4409.64316114178</v>
      </c>
      <c r="N508" s="46" t="n">
        <v>15513.01820303854</v>
      </c>
      <c r="O508" s="46">
        <f>(S508/1000)</f>
        <v/>
      </c>
      <c r="P508" s="46">
        <f>(T508/1000)</f>
        <v/>
      </c>
      <c r="Q508" s="46" t="n">
        <v>103.7253198588534</v>
      </c>
      <c r="R508" s="46" t="n">
        <v>5394.812618473869</v>
      </c>
      <c r="S508" s="46" t="n">
        <v>13623.16711971013</v>
      </c>
      <c r="T508" s="46" t="n">
        <v>115073.9625731744</v>
      </c>
      <c r="U508" s="46" t="n"/>
      <c r="V508" s="46" t="n"/>
      <c r="W508" s="46" t="n"/>
    </row>
    <row r="509" ht="14" customHeight="1">
      <c r="A509" s="15" t="n">
        <v>2017</v>
      </c>
      <c r="B509" s="43">
        <f>IF((A509&gt;=2022),IF((A509&gt;=2023),ROUND((V509+W509),1),U509),(((((C509+D509)+E509)+F509)+G509)+H509))</f>
        <v/>
      </c>
      <c r="C509" s="44">
        <f>((I509+J509)/1000)</f>
        <v/>
      </c>
      <c r="D509" s="44">
        <f>(K509/1000)</f>
        <v/>
      </c>
      <c r="E509" s="44">
        <f>(L509/1000)</f>
        <v/>
      </c>
      <c r="F509" s="44">
        <f>((M509+N509)/1000)</f>
        <v/>
      </c>
      <c r="G509" s="44">
        <f>(O509+P509)</f>
        <v/>
      </c>
      <c r="H509" s="44">
        <f>((Q509+R509)/1000)</f>
        <v/>
      </c>
      <c r="I509" s="44" t="n">
        <v>483452.2724814751</v>
      </c>
      <c r="J509" s="44" t="n">
        <v>10030.51849872875</v>
      </c>
      <c r="K509" s="44" t="n">
        <v>206072.8606619386</v>
      </c>
      <c r="L509" s="44" t="n">
        <v>84587.23581226081</v>
      </c>
      <c r="M509" s="44" t="n">
        <v>4337.338002892178</v>
      </c>
      <c r="N509" s="44" t="n">
        <v>16469.91469824284</v>
      </c>
      <c r="O509" s="44">
        <f>(S509/1000)</f>
        <v/>
      </c>
      <c r="P509" s="44">
        <f>(T509/1000)</f>
        <v/>
      </c>
      <c r="Q509" s="44" t="n">
        <v>110.3166881292349</v>
      </c>
      <c r="R509" s="44" t="n">
        <v>5917.340847083199</v>
      </c>
      <c r="S509" s="44" t="n">
        <v>14002.87329188981</v>
      </c>
      <c r="T509" s="44" t="n">
        <v>124162.2531613785</v>
      </c>
      <c r="U509" s="44" t="n"/>
      <c r="V509" s="44" t="n"/>
      <c r="W509" s="44" t="n"/>
    </row>
    <row r="510" ht="14" customHeight="1">
      <c r="A510" s="21" t="n">
        <v>2018</v>
      </c>
      <c r="B510" s="45">
        <f>IF((A510&gt;=2022),IF((A510&gt;=2023),ROUND((V510+W510),1),U510),(((((C510+D510)+E510)+F510)+G510)+H510))</f>
        <v/>
      </c>
      <c r="C510" s="46">
        <f>((I510+J510)/1000)</f>
        <v/>
      </c>
      <c r="D510" s="46">
        <f>(K510/1000)</f>
        <v/>
      </c>
      <c r="E510" s="46">
        <f>(L510/1000)</f>
        <v/>
      </c>
      <c r="F510" s="46">
        <f>((M510+N510)/1000)</f>
        <v/>
      </c>
      <c r="G510" s="46">
        <f>(O510+P510)</f>
        <v/>
      </c>
      <c r="H510" s="46">
        <f>((Q510+R510)/1000)</f>
        <v/>
      </c>
      <c r="I510" s="46" t="n">
        <v>480336.4333123153</v>
      </c>
      <c r="J510" s="46" t="n">
        <v>9818.065177598211</v>
      </c>
      <c r="K510" s="46" t="n">
        <v>208220.8162255524</v>
      </c>
      <c r="L510" s="46" t="n">
        <v>85923.18140081303</v>
      </c>
      <c r="M510" s="46" t="n">
        <v>4142.605103300223</v>
      </c>
      <c r="N510" s="46" t="n">
        <v>17265.78740677839</v>
      </c>
      <c r="O510" s="46">
        <f>(S510/1000)</f>
        <v/>
      </c>
      <c r="P510" s="46">
        <f>(T510/1000)</f>
        <v/>
      </c>
      <c r="Q510" s="46" t="n">
        <v>108.9928640036318</v>
      </c>
      <c r="R510" s="46" t="n">
        <v>6045.428949767484</v>
      </c>
      <c r="S510" s="46" t="n">
        <v>14621.70565822709</v>
      </c>
      <c r="T510" s="46" t="n">
        <v>130358.3122343503</v>
      </c>
      <c r="U510" s="46" t="n"/>
      <c r="V510" s="46" t="n"/>
      <c r="W510" s="46" t="n"/>
    </row>
    <row r="511" ht="14" customHeight="1">
      <c r="A511" s="15" t="n">
        <v>2019</v>
      </c>
      <c r="B511" s="43">
        <f>IF((A511&gt;=2022),IF((A511&gt;=2023),ROUND((V511+W511),1),U511),(((((C511+D511)+E511)+F511)+G511)+H511))</f>
        <v/>
      </c>
      <c r="C511" s="44">
        <f>((I511+J511)/1000)</f>
        <v/>
      </c>
      <c r="D511" s="44">
        <f>(K511/1000)</f>
        <v/>
      </c>
      <c r="E511" s="44">
        <f>(L511/1000)</f>
        <v/>
      </c>
      <c r="F511" s="44">
        <f>((M511+N511)/1000)</f>
        <v/>
      </c>
      <c r="G511" s="44">
        <f>(O511+P511)</f>
        <v/>
      </c>
      <c r="H511" s="44">
        <f>((Q511+R511)/1000)</f>
        <v/>
      </c>
      <c r="I511" s="44" t="n">
        <v>483220.2505014302</v>
      </c>
      <c r="J511" s="44" t="n">
        <v>10171.73690057964</v>
      </c>
      <c r="K511" s="44" t="n">
        <v>210357.032593334</v>
      </c>
      <c r="L511" s="44" t="n">
        <v>86143.86612410132</v>
      </c>
      <c r="M511" s="44" t="n">
        <v>4107.969264214858</v>
      </c>
      <c r="N511" s="44" t="n">
        <v>17941.24912100423</v>
      </c>
      <c r="O511" s="44">
        <f>(S511/1000)</f>
        <v/>
      </c>
      <c r="P511" s="44">
        <f>(T511/1000)</f>
        <v/>
      </c>
      <c r="Q511" s="44" t="n">
        <v>102.5636790047715</v>
      </c>
      <c r="R511" s="44" t="n">
        <v>5761.91235357339</v>
      </c>
      <c r="S511" s="44" t="n">
        <v>14926.38224293806</v>
      </c>
      <c r="T511" s="44" t="n">
        <v>132976.6899599499</v>
      </c>
      <c r="U511" s="44" t="n"/>
      <c r="V511" s="44" t="n"/>
      <c r="W511" s="44" t="n"/>
    </row>
    <row r="512" ht="14" customHeight="1">
      <c r="A512" s="21" t="n">
        <v>2020</v>
      </c>
      <c r="B512" s="45">
        <f>IF((A512&gt;=2022),IF((A512&gt;=2023),ROUND((V512+W512),1),U512),(((((C512+D512)+E512)+F512)+G512)+H512))</f>
        <v/>
      </c>
      <c r="C512" s="46">
        <f>((I512+J512)/1000)</f>
        <v/>
      </c>
      <c r="D512" s="46">
        <f>(K512/1000)</f>
        <v/>
      </c>
      <c r="E512" s="46">
        <f>(L512/1000)</f>
        <v/>
      </c>
      <c r="F512" s="46">
        <f>((M512+N512)/1000)</f>
        <v/>
      </c>
      <c r="G512" s="46">
        <f>(O512+P512)</f>
        <v/>
      </c>
      <c r="H512" s="46">
        <f>((Q512+R512)/1000)</f>
        <v/>
      </c>
      <c r="I512" s="46" t="n">
        <v>406560.9239682709</v>
      </c>
      <c r="J512" s="46" t="n">
        <v>8991.798144639868</v>
      </c>
      <c r="K512" s="46" t="n">
        <v>194382.6212657854</v>
      </c>
      <c r="L512" s="46" t="n">
        <v>77538.64236736868</v>
      </c>
      <c r="M512" s="46" t="n">
        <v>3660.556040153515</v>
      </c>
      <c r="N512" s="46" t="n">
        <v>16386.00470699061</v>
      </c>
      <c r="O512" s="46">
        <f>(S512/1000)</f>
        <v/>
      </c>
      <c r="P512" s="46">
        <f>(T512/1000)</f>
        <v/>
      </c>
      <c r="Q512" s="46" t="n">
        <v>103.4819511785051</v>
      </c>
      <c r="R512" s="46" t="n">
        <v>4635.344689535795</v>
      </c>
      <c r="S512" s="46" t="n">
        <v>7922.144839822689</v>
      </c>
      <c r="T512" s="46" t="n">
        <v>56110.15386994078</v>
      </c>
      <c r="U512" s="46" t="n"/>
      <c r="V512" s="46" t="n"/>
      <c r="W512" s="46" t="n"/>
    </row>
    <row r="513" ht="14" customHeight="1">
      <c r="A513" s="15" t="n">
        <v>2021</v>
      </c>
      <c r="B513" s="43">
        <f>IF((A513&gt;=2022),IF((A513&gt;=2023),ROUND((V513+W513),1),U513),(((((C513+D513)+E513)+F513)+G513)+H513))</f>
        <v/>
      </c>
      <c r="C513" s="44">
        <f>((I513+J513)/1000)</f>
        <v/>
      </c>
      <c r="D513" s="44">
        <f>(K513/1000)</f>
        <v/>
      </c>
      <c r="E513" s="44">
        <f>(L513/1000)</f>
        <v/>
      </c>
      <c r="F513" s="44">
        <f>((M513+N513)/1000)</f>
        <v/>
      </c>
      <c r="G513" s="44">
        <f>(O513+P513)</f>
        <v/>
      </c>
      <c r="H513" s="44">
        <f>((Q513+R513)/1000)</f>
        <v/>
      </c>
      <c r="I513" s="44" t="n">
        <v>440486.9945554133</v>
      </c>
      <c r="J513" s="44" t="n">
        <v>9766.083034944579</v>
      </c>
      <c r="K513" s="44" t="n">
        <v>209370.6145083884</v>
      </c>
      <c r="L513" s="44" t="n">
        <v>88121.01624361766</v>
      </c>
      <c r="M513" s="44" t="n">
        <v>3751.154061693234</v>
      </c>
      <c r="N513" s="44" t="n">
        <v>15975.46154971628</v>
      </c>
      <c r="O513" s="44">
        <f>(S513/1000)</f>
        <v/>
      </c>
      <c r="P513" s="44">
        <f>(T513/1000)</f>
        <v/>
      </c>
      <c r="Q513" s="44" t="n">
        <v>121.3041059004118</v>
      </c>
      <c r="R513" s="44" t="n">
        <v>4691.600607100246</v>
      </c>
      <c r="S513" s="44" t="n">
        <v>9816.464046063951</v>
      </c>
      <c r="T513" s="44" t="n">
        <v>69754.33288629929</v>
      </c>
      <c r="U513" s="44" t="n"/>
      <c r="V513" s="44" t="n"/>
      <c r="W513" s="44" t="n"/>
    </row>
    <row r="514" ht="14" customHeight="1">
      <c r="A514" s="21" t="n">
        <v>2022</v>
      </c>
      <c r="B514" s="45">
        <f>IF((A514&gt;=2022),IF((A514&gt;=2023),ROUND((V514+W514),1),U514),(((((C514+D514)+E514)+F514)+G514)+H514))</f>
        <v/>
      </c>
      <c r="C514" s="46">
        <f>((I514+J514)/1000)</f>
        <v/>
      </c>
      <c r="D514" s="46">
        <f>(K514/1000)</f>
        <v/>
      </c>
      <c r="E514" s="46">
        <f>(L514/1000)</f>
        <v/>
      </c>
      <c r="F514" s="46">
        <f>((M514+N514)/1000)</f>
        <v/>
      </c>
      <c r="G514" s="46">
        <f>(O514+P514)</f>
        <v/>
      </c>
      <c r="H514" s="46">
        <f>((Q514+R514)/1000)</f>
        <v/>
      </c>
      <c r="I514" s="46" t="n"/>
      <c r="J514" s="46" t="n"/>
      <c r="K514" s="46" t="n"/>
      <c r="L514" s="46" t="n"/>
      <c r="M514" s="46" t="n"/>
      <c r="N514" s="46" t="n"/>
      <c r="O514" s="46">
        <f>(S514/1000)</f>
        <v/>
      </c>
      <c r="P514" s="46">
        <f>(T514/1000)</f>
        <v/>
      </c>
      <c r="Q514" s="46" t="n"/>
      <c r="R514" s="46" t="n"/>
      <c r="S514" s="46" t="n"/>
      <c r="T514" s="46" t="n"/>
      <c r="U514" s="46" t="n">
        <v>906.6</v>
      </c>
      <c r="V514" s="46" t="n"/>
      <c r="W514" s="46" t="n"/>
    </row>
    <row r="515" ht="14" customHeight="1">
      <c r="A515" s="15" t="n">
        <v>2023</v>
      </c>
      <c r="B515" s="43">
        <f>IF((A515&gt;=2022),IF((A515&gt;=2023),ROUND((V515+W515),1),U515),(((((C515+D515)+E515)+F515)+G515)+H515))</f>
        <v/>
      </c>
      <c r="C515" s="44">
        <f>((I515+J515)/1000)</f>
        <v/>
      </c>
      <c r="D515" s="44">
        <f>(K515/1000)</f>
        <v/>
      </c>
      <c r="E515" s="44">
        <f>(L515/1000)</f>
        <v/>
      </c>
      <c r="F515" s="44">
        <f>((M515+N515)/1000)</f>
        <v/>
      </c>
      <c r="G515" s="44">
        <f>(O515+P515)</f>
        <v/>
      </c>
      <c r="H515" s="44">
        <f>((Q515+R515)/1000)</f>
        <v/>
      </c>
      <c r="I515" s="44" t="n"/>
      <c r="J515" s="44" t="n"/>
      <c r="K515" s="44" t="n"/>
      <c r="L515" s="44" t="n"/>
      <c r="M515" s="44" t="n"/>
      <c r="N515" s="44" t="n"/>
      <c r="O515" s="44">
        <f>(S515/1000)</f>
        <v/>
      </c>
      <c r="P515" s="44">
        <f>(T515/1000)</f>
        <v/>
      </c>
      <c r="Q515" s="44" t="n"/>
      <c r="R515" s="44" t="n"/>
      <c r="S515" s="44" t="n"/>
      <c r="T515" s="44" t="n"/>
      <c r="U515" s="44" t="n"/>
      <c r="V515" s="44" t="n">
        <v>795.6403800000001</v>
      </c>
      <c r="W515" s="44" t="n">
        <v>122.75595</v>
      </c>
    </row>
    <row r="516" ht="14" customHeight="1">
      <c r="A516" s="21" t="n">
        <v>2024</v>
      </c>
      <c r="B516" s="45">
        <f>IF((A516&gt;=2022),IF((A516&gt;=2023),ROUND((V516+W516),1),U516),(((((C516+D516)+E516)+F516)+G516)+H516))</f>
        <v/>
      </c>
      <c r="C516" s="46">
        <f>((I516+J516)/1000)</f>
        <v/>
      </c>
      <c r="D516" s="46">
        <f>(K516/1000)</f>
        <v/>
      </c>
      <c r="E516" s="46">
        <f>(L516/1000)</f>
        <v/>
      </c>
      <c r="F516" s="46">
        <f>((M516+N516)/1000)</f>
        <v/>
      </c>
      <c r="G516" s="46">
        <f>(O516+P516)</f>
        <v/>
      </c>
      <c r="H516" s="46">
        <f>((Q516+R516)/1000)</f>
        <v/>
      </c>
      <c r="I516" s="46" t="n"/>
      <c r="J516" s="46" t="n"/>
      <c r="K516" s="46" t="n"/>
      <c r="L516" s="46" t="n"/>
      <c r="M516" s="46" t="n"/>
      <c r="N516" s="46" t="n"/>
      <c r="O516" s="46">
        <f>(S516/1000)</f>
        <v/>
      </c>
      <c r="P516" s="46">
        <f>(T516/1000)</f>
        <v/>
      </c>
      <c r="Q516" s="46" t="n"/>
      <c r="R516" s="46" t="n"/>
      <c r="S516" s="46" t="n"/>
      <c r="T516" s="46" t="n"/>
      <c r="U516" s="46" t="n"/>
      <c r="V516" s="46" t="n">
        <v>804.76405</v>
      </c>
      <c r="W516" s="46" t="n">
        <v>129.98166</v>
      </c>
    </row>
    <row r="519">
      <c r="A519" s="51" t="inlineStr">
        <is>
          <t>T2a · Total passenger transport demand  (Gpkm)</t>
        </is>
      </c>
    </row>
    <row r="520" ht="26" customHeight="1">
      <c r="A520" s="48" t="inlineStr">
        <is>
          <t>No derivation for the later years — the figure is the publication's own.</t>
        </is>
      </c>
    </row>
    <row r="521" ht="24" customHeight="1">
      <c r="A521" s="3" t="inlineStr">
        <is>
          <t>Derivation:  Value = IF(A &gt;= 2022, [Post-report figure as published], [cars and 2-wheels]+[buses and coaches]+[rail]+[aviation])</t>
        </is>
      </c>
    </row>
    <row r="522" ht="42" customHeight="1">
      <c r="A522" s="42" t="inlineStr">
        <is>
          <t>Year</t>
        </is>
      </c>
      <c r="B522" s="42" t="inlineStr">
        <is>
          <t>Value</t>
        </is>
      </c>
      <c r="C522" s="42" t="inlineStr">
        <is>
          <t>cars and 2-wheels</t>
        </is>
      </c>
      <c r="D522" s="42" t="inlineStr">
        <is>
          <t>buses and coaches</t>
        </is>
      </c>
      <c r="E522" s="42" t="inlineStr">
        <is>
          <t>rail</t>
        </is>
      </c>
      <c r="F522" s="42" t="inlineStr">
        <is>
          <t>aviation</t>
        </is>
      </c>
      <c r="G522" s="42" t="inlineStr">
        <is>
          <t>Passenger Cars</t>
        </is>
      </c>
      <c r="H522" s="42" t="inlineStr">
        <is>
          <t>Powered 2-wheelers</t>
        </is>
      </c>
      <c r="I522" s="42" t="inlineStr">
        <is>
          <t>Buses &amp; Coaches</t>
        </is>
      </c>
      <c r="J522" s="42" t="inlineStr">
        <is>
          <t>Railways</t>
        </is>
      </c>
      <c r="K522" s="42" t="inlineStr">
        <is>
          <t>Tram &amp; Metro</t>
        </is>
      </c>
      <c r="L522" s="42" t="inlineStr">
        <is>
          <t>Air</t>
        </is>
      </c>
      <c r="M522" s="42" t="inlineStr">
        <is>
          <t>Post-report figure as published</t>
        </is>
      </c>
    </row>
    <row r="523" ht="14" customHeight="1">
      <c r="A523" s="15" t="n">
        <v>2005</v>
      </c>
      <c r="B523" s="43">
        <f>IF((A523&gt;=2022),M523,(((C523+D523)+E523)+F523))</f>
        <v/>
      </c>
      <c r="C523" s="44">
        <f>(G523+H523)</f>
        <v/>
      </c>
      <c r="D523" s="44">
        <f>I523</f>
        <v/>
      </c>
      <c r="E523" s="44">
        <f>(J523+K523)</f>
        <v/>
      </c>
      <c r="F523" s="44">
        <f>L523</f>
        <v/>
      </c>
      <c r="G523" s="44" t="n">
        <v>3839.2</v>
      </c>
      <c r="H523" s="44" t="n">
        <v>114.6</v>
      </c>
      <c r="I523" s="44" t="n">
        <v>497.8</v>
      </c>
      <c r="J523" s="44" t="n">
        <v>339.8</v>
      </c>
      <c r="K523" s="44" t="n">
        <v>73.2</v>
      </c>
      <c r="L523" s="44" t="n">
        <v>361.3</v>
      </c>
      <c r="M523" s="44" t="n"/>
    </row>
    <row r="524" ht="14" customHeight="1">
      <c r="A524" s="21" t="n">
        <v>2006</v>
      </c>
      <c r="B524" s="45">
        <f>IF((A524&gt;=2022),M524,(((C524+D524)+E524)+F524))</f>
        <v/>
      </c>
      <c r="C524" s="46">
        <f>(G524+H524)</f>
        <v/>
      </c>
      <c r="D524" s="46">
        <f>I524</f>
        <v/>
      </c>
      <c r="E524" s="46">
        <f>(J524+K524)</f>
        <v/>
      </c>
      <c r="F524" s="46">
        <f>L524</f>
        <v/>
      </c>
      <c r="G524" s="46" t="n">
        <v>3875.3</v>
      </c>
      <c r="H524" s="46" t="n">
        <v>113.6</v>
      </c>
      <c r="I524" s="46" t="n">
        <v>497.8</v>
      </c>
      <c r="J524" s="46" t="n">
        <v>349.4</v>
      </c>
      <c r="K524" s="46" t="n">
        <v>74.59999999999999</v>
      </c>
      <c r="L524" s="46" t="n">
        <v>376.4</v>
      </c>
      <c r="M524" s="46" t="n"/>
    </row>
    <row r="525" ht="14" customHeight="1">
      <c r="A525" s="15" t="n">
        <v>2007</v>
      </c>
      <c r="B525" s="43">
        <f>IF((A525&gt;=2022),M525,(((C525+D525)+E525)+F525))</f>
        <v/>
      </c>
      <c r="C525" s="44">
        <f>(G525+H525)</f>
        <v/>
      </c>
      <c r="D525" s="44">
        <f>I525</f>
        <v/>
      </c>
      <c r="E525" s="44">
        <f>(J525+K525)</f>
        <v/>
      </c>
      <c r="F525" s="44">
        <f>L525</f>
        <v/>
      </c>
      <c r="G525" s="44" t="n">
        <v>3921.3</v>
      </c>
      <c r="H525" s="44" t="n">
        <v>109.6</v>
      </c>
      <c r="I525" s="44" t="n">
        <v>507.9</v>
      </c>
      <c r="J525" s="44" t="n">
        <v>353.4</v>
      </c>
      <c r="K525" s="44" t="n">
        <v>76.40000000000001</v>
      </c>
      <c r="L525" s="44" t="n">
        <v>392.2</v>
      </c>
      <c r="M525" s="44" t="n"/>
    </row>
    <row r="526" ht="14" customHeight="1">
      <c r="A526" s="21" t="n">
        <v>2008</v>
      </c>
      <c r="B526" s="45">
        <f>IF((A526&gt;=2022),M526,(((C526+D526)+E526)+F526))</f>
        <v/>
      </c>
      <c r="C526" s="46">
        <f>(G526+H526)</f>
        <v/>
      </c>
      <c r="D526" s="46">
        <f>I526</f>
        <v/>
      </c>
      <c r="E526" s="46">
        <f>(J526+K526)</f>
        <v/>
      </c>
      <c r="F526" s="46">
        <f>L526</f>
        <v/>
      </c>
      <c r="G526" s="46" t="n">
        <v>3931.6</v>
      </c>
      <c r="H526" s="46" t="n">
        <v>114.5</v>
      </c>
      <c r="I526" s="46" t="n">
        <v>514.1</v>
      </c>
      <c r="J526" s="46" t="n">
        <v>366.6</v>
      </c>
      <c r="K526" s="46" t="n">
        <v>79.3</v>
      </c>
      <c r="L526" s="46" t="n">
        <v>383.8</v>
      </c>
      <c r="M526" s="46" t="n"/>
    </row>
    <row r="527" ht="14" customHeight="1">
      <c r="A527" s="15" t="n">
        <v>2009</v>
      </c>
      <c r="B527" s="43">
        <f>IF((A527&gt;=2022),M527,(((C527+D527)+E527)+F527))</f>
        <v/>
      </c>
      <c r="C527" s="44">
        <f>(G527+H527)</f>
        <v/>
      </c>
      <c r="D527" s="44">
        <f>I527</f>
        <v/>
      </c>
      <c r="E527" s="44">
        <f>(J527+K527)</f>
        <v/>
      </c>
      <c r="F527" s="44">
        <f>L527</f>
        <v/>
      </c>
      <c r="G527" s="44" t="n">
        <v>4009.2</v>
      </c>
      <c r="H527" s="44" t="n">
        <v>112</v>
      </c>
      <c r="I527" s="44" t="n">
        <v>489.7</v>
      </c>
      <c r="J527" s="44" t="n">
        <v>359.3</v>
      </c>
      <c r="K527" s="44" t="n">
        <v>78.59999999999999</v>
      </c>
      <c r="L527" s="44" t="n">
        <v>361.8</v>
      </c>
      <c r="M527" s="44" t="n"/>
    </row>
    <row r="528" ht="14" customHeight="1">
      <c r="A528" s="21" t="n">
        <v>2010</v>
      </c>
      <c r="B528" s="45">
        <f>IF((A528&gt;=2022),M528,(((C528+D528)+E528)+F528))</f>
        <v/>
      </c>
      <c r="C528" s="46">
        <f>(G528+H528)</f>
        <v/>
      </c>
      <c r="D528" s="46">
        <f>I528</f>
        <v/>
      </c>
      <c r="E528" s="46">
        <f>(J528+K528)</f>
        <v/>
      </c>
      <c r="F528" s="46">
        <f>L528</f>
        <v/>
      </c>
      <c r="G528" s="46" t="n">
        <v>3975.9</v>
      </c>
      <c r="H528" s="46" t="n">
        <v>113.8</v>
      </c>
      <c r="I528" s="46" t="n">
        <v>482.2</v>
      </c>
      <c r="J528" s="46" t="n">
        <v>358.3</v>
      </c>
      <c r="K528" s="46" t="n">
        <v>80.7</v>
      </c>
      <c r="L528" s="46" t="n">
        <v>377.3</v>
      </c>
      <c r="M528" s="46" t="n"/>
    </row>
    <row r="529" ht="14" customHeight="1">
      <c r="A529" s="15" t="n">
        <v>2011</v>
      </c>
      <c r="B529" s="43">
        <f>IF((A529&gt;=2022),M529,(((C529+D529)+E529)+F529))</f>
        <v/>
      </c>
      <c r="C529" s="44">
        <f>(G529+H529)</f>
        <v/>
      </c>
      <c r="D529" s="44">
        <f>I529</f>
        <v/>
      </c>
      <c r="E529" s="44">
        <f>(J529+K529)</f>
        <v/>
      </c>
      <c r="F529" s="44">
        <f>L529</f>
        <v/>
      </c>
      <c r="G529" s="44" t="n">
        <v>3943.6</v>
      </c>
      <c r="H529" s="44" t="n">
        <v>117.7</v>
      </c>
      <c r="I529" s="44" t="n">
        <v>485.6</v>
      </c>
      <c r="J529" s="44" t="n">
        <v>364.1</v>
      </c>
      <c r="K529" s="44" t="n">
        <v>81.09999999999999</v>
      </c>
      <c r="L529" s="44" t="n">
        <v>408.5</v>
      </c>
      <c r="M529" s="44" t="n"/>
    </row>
    <row r="530" ht="14" customHeight="1">
      <c r="A530" s="21" t="n">
        <v>2012</v>
      </c>
      <c r="B530" s="45">
        <f>IF((A530&gt;=2022),M530,(((C530+D530)+E530)+F530))</f>
        <v/>
      </c>
      <c r="C530" s="46">
        <f>(G530+H530)</f>
        <v/>
      </c>
      <c r="D530" s="46">
        <f>I530</f>
        <v/>
      </c>
      <c r="E530" s="46">
        <f>(J530+K530)</f>
        <v/>
      </c>
      <c r="F530" s="46">
        <f>L530</f>
        <v/>
      </c>
      <c r="G530" s="46" t="n">
        <v>3898.5</v>
      </c>
      <c r="H530" s="46" t="n">
        <v>115.1</v>
      </c>
      <c r="I530" s="46" t="n">
        <v>481.6</v>
      </c>
      <c r="J530" s="46" t="n">
        <v>367.3</v>
      </c>
      <c r="K530" s="46" t="n">
        <v>82.2</v>
      </c>
      <c r="L530" s="46" t="n">
        <v>402.1</v>
      </c>
      <c r="M530" s="46" t="n"/>
    </row>
    <row r="531" ht="14" customHeight="1">
      <c r="A531" s="15" t="n">
        <v>2013</v>
      </c>
      <c r="B531" s="43">
        <f>IF((A531&gt;=2022),M531,(((C531+D531)+E531)+F531))</f>
        <v/>
      </c>
      <c r="C531" s="44">
        <f>(G531+H531)</f>
        <v/>
      </c>
      <c r="D531" s="44">
        <f>I531</f>
        <v/>
      </c>
      <c r="E531" s="44">
        <f>(J531+K531)</f>
        <v/>
      </c>
      <c r="F531" s="44">
        <f>L531</f>
        <v/>
      </c>
      <c r="G531" s="44" t="n">
        <v>3957.2</v>
      </c>
      <c r="H531" s="44" t="n">
        <v>114.7</v>
      </c>
      <c r="I531" s="44" t="n">
        <v>480.5</v>
      </c>
      <c r="J531" s="44" t="n">
        <v>371.8</v>
      </c>
      <c r="K531" s="44" t="n">
        <v>82</v>
      </c>
      <c r="L531" s="44" t="n">
        <v>406</v>
      </c>
      <c r="M531" s="44" t="n"/>
    </row>
    <row r="532" ht="14" customHeight="1">
      <c r="A532" s="21" t="n">
        <v>2014</v>
      </c>
      <c r="B532" s="45">
        <f>IF((A532&gt;=2022),M532,(((C532+D532)+E532)+F532))</f>
        <v/>
      </c>
      <c r="C532" s="46">
        <f>(G532+H532)</f>
        <v/>
      </c>
      <c r="D532" s="46">
        <f>I532</f>
        <v/>
      </c>
      <c r="E532" s="46">
        <f>(J532+K532)</f>
        <v/>
      </c>
      <c r="F532" s="46">
        <f>L532</f>
        <v/>
      </c>
      <c r="G532" s="46" t="n">
        <v>4012.5</v>
      </c>
      <c r="H532" s="46" t="n">
        <v>117.4</v>
      </c>
      <c r="I532" s="46" t="n">
        <v>476.2</v>
      </c>
      <c r="J532" s="46" t="n">
        <v>376.3</v>
      </c>
      <c r="K532" s="46" t="n">
        <v>82.2</v>
      </c>
      <c r="L532" s="46" t="n">
        <v>425.6</v>
      </c>
      <c r="M532" s="46" t="n"/>
    </row>
    <row r="533" ht="14" customHeight="1">
      <c r="A533" s="15" t="n">
        <v>2015</v>
      </c>
      <c r="B533" s="43">
        <f>IF((A533&gt;=2022),M533,(((C533+D533)+E533)+F533))</f>
        <v/>
      </c>
      <c r="C533" s="44">
        <f>(G533+H533)</f>
        <v/>
      </c>
      <c r="D533" s="44">
        <f>I533</f>
        <v/>
      </c>
      <c r="E533" s="44">
        <f>(J533+K533)</f>
        <v/>
      </c>
      <c r="F533" s="44">
        <f>L533</f>
        <v/>
      </c>
      <c r="G533" s="44" t="n">
        <v>4101</v>
      </c>
      <c r="H533" s="44" t="n">
        <v>117.4</v>
      </c>
      <c r="I533" s="44" t="n">
        <v>493.4</v>
      </c>
      <c r="J533" s="44" t="n">
        <v>381.6</v>
      </c>
      <c r="K533" s="44" t="n">
        <v>80.2</v>
      </c>
      <c r="L533" s="44" t="n">
        <v>451.8</v>
      </c>
      <c r="M533" s="44" t="n"/>
    </row>
    <row r="534" ht="14" customHeight="1">
      <c r="A534" s="21" t="n">
        <v>2016</v>
      </c>
      <c r="B534" s="45">
        <f>IF((A534&gt;=2022),M534,(((C534+D534)+E534)+F534))</f>
        <v/>
      </c>
      <c r="C534" s="46">
        <f>(G534+H534)</f>
        <v/>
      </c>
      <c r="D534" s="46">
        <f>I534</f>
        <v/>
      </c>
      <c r="E534" s="46">
        <f>(J534+K534)</f>
        <v/>
      </c>
      <c r="F534" s="46">
        <f>L534</f>
        <v/>
      </c>
      <c r="G534" s="46" t="n">
        <v>4185</v>
      </c>
      <c r="H534" s="46" t="n">
        <v>118.7</v>
      </c>
      <c r="I534" s="46" t="n">
        <v>498.3</v>
      </c>
      <c r="J534" s="46" t="n">
        <v>386.5</v>
      </c>
      <c r="K534" s="46" t="n">
        <v>82.59999999999999</v>
      </c>
      <c r="L534" s="46" t="n">
        <v>492.6</v>
      </c>
      <c r="M534" s="46" t="n"/>
    </row>
    <row r="535" ht="14" customHeight="1">
      <c r="A535" s="15" t="n">
        <v>2017</v>
      </c>
      <c r="B535" s="43">
        <f>IF((A535&gt;=2022),M535,(((C535+D535)+E535)+F535))</f>
        <v/>
      </c>
      <c r="C535" s="44">
        <f>(G535+H535)</f>
        <v/>
      </c>
      <c r="D535" s="44">
        <f>I535</f>
        <v/>
      </c>
      <c r="E535" s="44">
        <f>(J535+K535)</f>
        <v/>
      </c>
      <c r="F535" s="44">
        <f>L535</f>
        <v/>
      </c>
      <c r="G535" s="44" t="n">
        <v>4228.5</v>
      </c>
      <c r="H535" s="44" t="n">
        <v>112.2</v>
      </c>
      <c r="I535" s="44" t="n">
        <v>479</v>
      </c>
      <c r="J535" s="44" t="n">
        <v>400.8</v>
      </c>
      <c r="K535" s="44" t="n">
        <v>84.3</v>
      </c>
      <c r="L535" s="44" t="n">
        <v>538.4</v>
      </c>
      <c r="M535" s="44" t="n"/>
    </row>
    <row r="536" ht="14" customHeight="1">
      <c r="A536" s="21" t="n">
        <v>2018</v>
      </c>
      <c r="B536" s="45">
        <f>IF((A536&gt;=2022),M536,(((C536+D536)+E536)+F536))</f>
        <v/>
      </c>
      <c r="C536" s="46">
        <f>(G536+H536)</f>
        <v/>
      </c>
      <c r="D536" s="46">
        <f>I536</f>
        <v/>
      </c>
      <c r="E536" s="46">
        <f>(J536+K536)</f>
        <v/>
      </c>
      <c r="F536" s="46">
        <f>L536</f>
        <v/>
      </c>
      <c r="G536" s="46" t="n">
        <v>4257</v>
      </c>
      <c r="H536" s="46" t="n">
        <v>106.8</v>
      </c>
      <c r="I536" s="46" t="n">
        <v>484.1</v>
      </c>
      <c r="J536" s="46" t="n">
        <v>407.3</v>
      </c>
      <c r="K536" s="46" t="n">
        <v>86.90000000000001</v>
      </c>
      <c r="L536" s="46" t="n">
        <v>571.8</v>
      </c>
      <c r="M536" s="46" t="n"/>
    </row>
    <row r="537" ht="14" customHeight="1">
      <c r="A537" s="15" t="n">
        <v>2019</v>
      </c>
      <c r="B537" s="43">
        <f>IF((A537&gt;=2022),M537,(((C537+D537)+E537)+F537))</f>
        <v/>
      </c>
      <c r="C537" s="44">
        <f>(G537+H537)</f>
        <v/>
      </c>
      <c r="D537" s="44">
        <f>I537</f>
        <v/>
      </c>
      <c r="E537" s="44">
        <f>(J537+K537)</f>
        <v/>
      </c>
      <c r="F537" s="44">
        <f>L537</f>
        <v/>
      </c>
      <c r="G537" s="44" t="n">
        <v>4299.9</v>
      </c>
      <c r="H537" s="44" t="n">
        <v>111.3</v>
      </c>
      <c r="I537" s="44" t="n">
        <v>487.5</v>
      </c>
      <c r="J537" s="44" t="n">
        <v>420.9</v>
      </c>
      <c r="K537" s="44" t="n">
        <v>87.09999999999999</v>
      </c>
      <c r="L537" s="44" t="n">
        <v>585.5</v>
      </c>
      <c r="M537" s="44" t="n"/>
    </row>
    <row r="538" ht="14" customHeight="1">
      <c r="A538" s="21" t="n">
        <v>2020</v>
      </c>
      <c r="B538" s="45">
        <f>IF((A538&gt;=2022),M538,(((C538+D538)+E538)+F538))</f>
        <v/>
      </c>
      <c r="C538" s="46">
        <f>(G538+H538)</f>
        <v/>
      </c>
      <c r="D538" s="46">
        <f>I538</f>
        <v/>
      </c>
      <c r="E538" s="46">
        <f>(J538+K538)</f>
        <v/>
      </c>
      <c r="F538" s="46">
        <f>L538</f>
        <v/>
      </c>
      <c r="G538" s="46" t="n">
        <v>3583</v>
      </c>
      <c r="H538" s="46" t="n">
        <v>100.1</v>
      </c>
      <c r="I538" s="46" t="n">
        <v>293.6</v>
      </c>
      <c r="J538" s="46" t="n">
        <v>227.3</v>
      </c>
      <c r="K538" s="46" t="n">
        <v>53.9</v>
      </c>
      <c r="L538" s="46" t="n">
        <v>177.9</v>
      </c>
      <c r="M538" s="46" t="n"/>
    </row>
    <row r="539" ht="14" customHeight="1">
      <c r="A539" s="15" t="n">
        <v>2022</v>
      </c>
      <c r="B539" s="43">
        <f>IF((A539&gt;=2022),M539,(((C539+D539)+E539)+F539))</f>
        <v/>
      </c>
      <c r="C539" s="44">
        <f>(G539+H539)</f>
        <v/>
      </c>
      <c r="D539" s="44">
        <f>I539</f>
        <v/>
      </c>
      <c r="E539" s="44">
        <f>(J539+K539)</f>
        <v/>
      </c>
      <c r="F539" s="44">
        <f>L539</f>
        <v/>
      </c>
      <c r="G539" s="44" t="n"/>
      <c r="H539" s="44" t="n"/>
      <c r="I539" s="44" t="n"/>
      <c r="J539" s="44" t="n"/>
      <c r="K539" s="44" t="n"/>
      <c r="L539" s="44" t="n"/>
      <c r="M539" s="44" t="n">
        <v>5617</v>
      </c>
    </row>
    <row r="540" ht="14" customHeight="1">
      <c r="A540" s="21" t="n">
        <v>2023</v>
      </c>
      <c r="B540" s="45">
        <f>IF((A540&gt;=2022),M540,(((C540+D540)+E540)+F540))</f>
        <v/>
      </c>
      <c r="C540" s="46">
        <f>(G540+H540)</f>
        <v/>
      </c>
      <c r="D540" s="46">
        <f>I540</f>
        <v/>
      </c>
      <c r="E540" s="46">
        <f>(J540+K540)</f>
        <v/>
      </c>
      <c r="F540" s="46">
        <f>L540</f>
        <v/>
      </c>
      <c r="G540" s="46" t="n"/>
      <c r="H540" s="46" t="n"/>
      <c r="I540" s="46" t="n"/>
      <c r="J540" s="46" t="n"/>
      <c r="K540" s="46" t="n"/>
      <c r="L540" s="46" t="n"/>
      <c r="M540" s="46" t="n">
        <v>5932</v>
      </c>
    </row>
    <row r="543">
      <c r="A543" s="51" t="inlineStr">
        <is>
          <t>T2b · Total freight transport demand  (Gtkm)</t>
        </is>
      </c>
    </row>
    <row r="544" ht="26" customHeight="1">
      <c r="A544" s="48" t="inlineStr">
        <is>
          <t>No derivation for the later years — the figure is the publication's own.</t>
        </is>
      </c>
    </row>
    <row r="545" ht="24" customHeight="1">
      <c r="A545" s="3" t="inlineStr">
        <is>
          <t>Derivation:  Value = IF(A &gt;= 2023, [Post-report figure as published], [Road]+[Rail]+[IWW])</t>
        </is>
      </c>
    </row>
    <row r="546" ht="42" customHeight="1">
      <c r="A546" s="42" t="inlineStr">
        <is>
          <t>Year</t>
        </is>
      </c>
      <c r="B546" s="42" t="inlineStr">
        <is>
          <t>Value</t>
        </is>
      </c>
      <c r="C546" s="42" t="inlineStr">
        <is>
          <t>Road</t>
        </is>
      </c>
      <c r="D546" s="42" t="inlineStr">
        <is>
          <t>Rail</t>
        </is>
      </c>
      <c r="E546" s="42" t="inlineStr">
        <is>
          <t>IWW</t>
        </is>
      </c>
      <c r="F546" s="42" t="inlineStr">
        <is>
          <t>Road (2)</t>
        </is>
      </c>
      <c r="G546" s="42" t="inlineStr">
        <is>
          <t>Rail (2)</t>
        </is>
      </c>
      <c r="H546" s="42" t="inlineStr">
        <is>
          <t>Inland Waterway</t>
        </is>
      </c>
      <c r="I546" s="42" t="inlineStr">
        <is>
          <t>Post-report figure as published</t>
        </is>
      </c>
    </row>
    <row r="547" ht="14" customHeight="1">
      <c r="A547" s="15" t="n">
        <v>2005</v>
      </c>
      <c r="B547" s="43">
        <f>IF((A547&gt;=2023),I547,((C547+D547)+E547))</f>
        <v/>
      </c>
      <c r="C547" s="44">
        <f>F547</f>
        <v/>
      </c>
      <c r="D547" s="44">
        <f>G547</f>
        <v/>
      </c>
      <c r="E547" s="44">
        <f>H547</f>
        <v/>
      </c>
      <c r="F547" s="44" t="n">
        <v>1588.154065574329</v>
      </c>
      <c r="G547" s="44" t="n">
        <v>394.597</v>
      </c>
      <c r="H547" s="44" t="n">
        <v>138.6109744</v>
      </c>
      <c r="I547" s="44" t="n"/>
    </row>
    <row r="548" ht="14" customHeight="1">
      <c r="A548" s="21" t="n">
        <v>2006</v>
      </c>
      <c r="B548" s="45">
        <f>IF((A548&gt;=2023),I548,((C548+D548)+E548))</f>
        <v/>
      </c>
      <c r="C548" s="46">
        <f>F548</f>
        <v/>
      </c>
      <c r="D548" s="46">
        <f>G548</f>
        <v/>
      </c>
      <c r="E548" s="46">
        <f>H548</f>
        <v/>
      </c>
      <c r="F548" s="46" t="n">
        <v>1638.794582238671</v>
      </c>
      <c r="G548" s="46" t="n">
        <v>416.246</v>
      </c>
      <c r="H548" s="46" t="n">
        <v>138.4169691</v>
      </c>
      <c r="I548" s="46" t="n"/>
    </row>
    <row r="549" ht="14" customHeight="1">
      <c r="A549" s="15" t="n">
        <v>2007</v>
      </c>
      <c r="B549" s="43">
        <f>IF((A549&gt;=2023),I549,((C549+D549)+E549))</f>
        <v/>
      </c>
      <c r="C549" s="44">
        <f>F549</f>
        <v/>
      </c>
      <c r="D549" s="44">
        <f>G549</f>
        <v/>
      </c>
      <c r="E549" s="44">
        <f>H549</f>
        <v/>
      </c>
      <c r="F549" s="44" t="n">
        <v>1697.644038975535</v>
      </c>
      <c r="G549" s="44" t="n">
        <v>430.724</v>
      </c>
      <c r="H549" s="44" t="n">
        <v>145.402</v>
      </c>
      <c r="I549" s="44" t="n"/>
    </row>
    <row r="550" ht="14" customHeight="1">
      <c r="A550" s="21" t="n">
        <v>2008</v>
      </c>
      <c r="B550" s="45">
        <f>IF((A550&gt;=2023),I550,((C550+D550)+E550))</f>
        <v/>
      </c>
      <c r="C550" s="46">
        <f>F550</f>
        <v/>
      </c>
      <c r="D550" s="46">
        <f>G550</f>
        <v/>
      </c>
      <c r="E550" s="46">
        <f>H550</f>
        <v/>
      </c>
      <c r="F550" s="46" t="n">
        <v>1676.461640882639</v>
      </c>
      <c r="G550" s="46" t="n">
        <v>421.6859999999999</v>
      </c>
      <c r="H550" s="46" t="n">
        <v>146.903</v>
      </c>
      <c r="I550" s="46" t="n"/>
    </row>
    <row r="551" ht="14" customHeight="1">
      <c r="A551" s="15" t="n">
        <v>2009</v>
      </c>
      <c r="B551" s="43">
        <f>IF((A551&gt;=2023),I551,((C551+D551)+E551))</f>
        <v/>
      </c>
      <c r="C551" s="44">
        <f>F551</f>
        <v/>
      </c>
      <c r="D551" s="44">
        <f>G551</f>
        <v/>
      </c>
      <c r="E551" s="44">
        <f>H551</f>
        <v/>
      </c>
      <c r="F551" s="44" t="n">
        <v>1515.316586063559</v>
      </c>
      <c r="G551" s="44" t="n">
        <v>344.369</v>
      </c>
      <c r="H551" s="44" t="n">
        <v>132.606</v>
      </c>
      <c r="I551" s="44" t="n"/>
    </row>
    <row r="552" ht="14" customHeight="1">
      <c r="A552" s="21" t="n">
        <v>2010</v>
      </c>
      <c r="B552" s="45">
        <f>IF((A552&gt;=2023),I552,((C552+D552)+E552))</f>
        <v/>
      </c>
      <c r="C552" s="46">
        <f>F552</f>
        <v/>
      </c>
      <c r="D552" s="46">
        <f>G552</f>
        <v/>
      </c>
      <c r="E552" s="46">
        <f>H552</f>
        <v/>
      </c>
      <c r="F552" s="46" t="n">
        <v>1558.292534426257</v>
      </c>
      <c r="G552" s="46" t="n">
        <v>374.955</v>
      </c>
      <c r="H552" s="46" t="n">
        <v>155.365</v>
      </c>
      <c r="I552" s="46" t="n"/>
    </row>
    <row r="553" ht="14" customHeight="1">
      <c r="A553" s="15" t="n">
        <v>2011</v>
      </c>
      <c r="B553" s="43">
        <f>IF((A553&gt;=2023),I553,((C553+D553)+E553))</f>
        <v/>
      </c>
      <c r="C553" s="44">
        <f>F553</f>
        <v/>
      </c>
      <c r="D553" s="44">
        <f>G553</f>
        <v/>
      </c>
      <c r="E553" s="44">
        <f>H553</f>
        <v/>
      </c>
      <c r="F553" s="44" t="n">
        <v>1541.631199373764</v>
      </c>
      <c r="G553" s="44" t="n">
        <v>401.1219999999998</v>
      </c>
      <c r="H553" s="44" t="n">
        <v>141.825</v>
      </c>
      <c r="I553" s="44" t="n"/>
    </row>
    <row r="554" ht="14" customHeight="1">
      <c r="A554" s="21" t="n">
        <v>2012</v>
      </c>
      <c r="B554" s="45">
        <f>IF((A554&gt;=2023),I554,((C554+D554)+E554))</f>
        <v/>
      </c>
      <c r="C554" s="46">
        <f>F554</f>
        <v/>
      </c>
      <c r="D554" s="46">
        <f>G554</f>
        <v/>
      </c>
      <c r="E554" s="46">
        <f>H554</f>
        <v/>
      </c>
      <c r="F554" s="46" t="n">
        <v>1481.690412046742</v>
      </c>
      <c r="G554" s="46" t="n">
        <v>385.189</v>
      </c>
      <c r="H554" s="46" t="n">
        <v>149.822</v>
      </c>
      <c r="I554" s="46" t="n"/>
    </row>
    <row r="555" ht="14" customHeight="1">
      <c r="A555" s="15" t="n">
        <v>2013</v>
      </c>
      <c r="B555" s="43">
        <f>IF((A555&gt;=2023),I555,((C555+D555)+E555))</f>
        <v/>
      </c>
      <c r="C555" s="44">
        <f>F555</f>
        <v/>
      </c>
      <c r="D555" s="44">
        <f>G555</f>
        <v/>
      </c>
      <c r="E555" s="44">
        <f>H555</f>
        <v/>
      </c>
      <c r="F555" s="44" t="n">
        <v>1516.36403982845</v>
      </c>
      <c r="G555" s="44" t="n">
        <v>384.3190000000001</v>
      </c>
      <c r="H555" s="44" t="n">
        <v>152.584</v>
      </c>
      <c r="I555" s="44" t="n"/>
    </row>
    <row r="556" ht="14" customHeight="1">
      <c r="A556" s="21" t="n">
        <v>2014</v>
      </c>
      <c r="B556" s="45">
        <f>IF((A556&gt;=2023),I556,((C556+D556)+E556))</f>
        <v/>
      </c>
      <c r="C556" s="46">
        <f>F556</f>
        <v/>
      </c>
      <c r="D556" s="46">
        <f>G556</f>
        <v/>
      </c>
      <c r="E556" s="46">
        <f>H556</f>
        <v/>
      </c>
      <c r="F556" s="46" t="n">
        <v>1527.434623579993</v>
      </c>
      <c r="G556" s="46" t="n">
        <v>388.932</v>
      </c>
      <c r="H556" s="46" t="n">
        <v>150.707</v>
      </c>
      <c r="I556" s="46" t="n"/>
    </row>
    <row r="557" ht="14" customHeight="1">
      <c r="A557" s="15" t="n">
        <v>2015</v>
      </c>
      <c r="B557" s="43">
        <f>IF((A557&gt;=2023),I557,((C557+D557)+E557))</f>
        <v/>
      </c>
      <c r="C557" s="44">
        <f>F557</f>
        <v/>
      </c>
      <c r="D557" s="44">
        <f>G557</f>
        <v/>
      </c>
      <c r="E557" s="44">
        <f>H557</f>
        <v/>
      </c>
      <c r="F557" s="44" t="n">
        <v>1561.987682770911</v>
      </c>
      <c r="G557" s="44" t="n">
        <v>398.5170000000001</v>
      </c>
      <c r="H557" s="44" t="n">
        <v>147.351</v>
      </c>
      <c r="I557" s="44" t="n"/>
    </row>
    <row r="558" ht="14" customHeight="1">
      <c r="A558" s="21" t="n">
        <v>2016</v>
      </c>
      <c r="B558" s="45">
        <f>IF((A558&gt;=2023),I558,((C558+D558)+E558))</f>
        <v/>
      </c>
      <c r="C558" s="46">
        <f>F558</f>
        <v/>
      </c>
      <c r="D558" s="46">
        <f>G558</f>
        <v/>
      </c>
      <c r="E558" s="46">
        <f>H558</f>
        <v/>
      </c>
      <c r="F558" s="46" t="n">
        <v>1619.747730095177</v>
      </c>
      <c r="G558" s="46" t="n">
        <v>407.4580000000001</v>
      </c>
      <c r="H558" s="46" t="n">
        <v>146.609</v>
      </c>
      <c r="I558" s="46" t="n"/>
    </row>
    <row r="559" ht="14" customHeight="1">
      <c r="A559" s="15" t="n">
        <v>2017</v>
      </c>
      <c r="B559" s="43">
        <f>IF((A559&gt;=2023),I559,((C559+D559)+E559))</f>
        <v/>
      </c>
      <c r="C559" s="44">
        <f>F559</f>
        <v/>
      </c>
      <c r="D559" s="44">
        <f>G559</f>
        <v/>
      </c>
      <c r="E559" s="44">
        <f>H559</f>
        <v/>
      </c>
      <c r="F559" s="44" t="n">
        <v>1707.313863416839</v>
      </c>
      <c r="G559" s="44" t="n">
        <v>411.278</v>
      </c>
      <c r="H559" s="44" t="n">
        <v>147.2233333333333</v>
      </c>
      <c r="I559" s="44" t="n"/>
    </row>
    <row r="560" ht="14" customHeight="1">
      <c r="A560" s="21" t="n">
        <v>2018</v>
      </c>
      <c r="B560" s="45">
        <f>IF((A560&gt;=2023),I560,((C560+D560)+E560))</f>
        <v/>
      </c>
      <c r="C560" s="46">
        <f>F560</f>
        <v/>
      </c>
      <c r="D560" s="46">
        <f>G560</f>
        <v/>
      </c>
      <c r="E560" s="46">
        <f>H560</f>
        <v/>
      </c>
      <c r="F560" s="46" t="n">
        <v>1707.496</v>
      </c>
      <c r="G560" s="46" t="n">
        <v>418.314</v>
      </c>
      <c r="H560" s="46" t="n">
        <v>131.3027777777778</v>
      </c>
      <c r="I560" s="46" t="n"/>
    </row>
    <row r="561" ht="14" customHeight="1">
      <c r="A561" s="15" t="n">
        <v>2019</v>
      </c>
      <c r="B561" s="43">
        <f>IF((A561&gt;=2023),I561,((C561+D561)+E561))</f>
        <v/>
      </c>
      <c r="C561" s="44">
        <f>F561</f>
        <v/>
      </c>
      <c r="D561" s="44">
        <f>G561</f>
        <v/>
      </c>
      <c r="E561" s="44">
        <f>H561</f>
        <v/>
      </c>
      <c r="F561" s="44" t="n">
        <v>1764.787</v>
      </c>
      <c r="G561" s="44" t="n">
        <v>407.921</v>
      </c>
      <c r="H561" s="44" t="n">
        <v>139.697</v>
      </c>
      <c r="I561" s="44" t="n"/>
    </row>
    <row r="562" ht="14" customHeight="1">
      <c r="A562" s="21" t="n">
        <v>2020</v>
      </c>
      <c r="B562" s="45">
        <f>IF((A562&gt;=2023),I562,((C562+D562)+E562))</f>
        <v/>
      </c>
      <c r="C562" s="46">
        <f>F562</f>
        <v/>
      </c>
      <c r="D562" s="46">
        <f>G562</f>
        <v/>
      </c>
      <c r="E562" s="46">
        <f>H562</f>
        <v/>
      </c>
      <c r="F562" s="46" t="n">
        <v>1744.986</v>
      </c>
      <c r="G562" s="46" t="n">
        <v>377.3070000000001</v>
      </c>
      <c r="H562" s="46" t="n">
        <v>131.741</v>
      </c>
      <c r="I562" s="46" t="n"/>
    </row>
    <row r="563" ht="14" customHeight="1">
      <c r="A563" s="15" t="n">
        <v>2023</v>
      </c>
      <c r="B563" s="43">
        <f>IF((A563&gt;=2023),I563,((C563+D563)+E563))</f>
        <v/>
      </c>
      <c r="C563" s="44">
        <f>F563</f>
        <v/>
      </c>
      <c r="D563" s="44">
        <f>G563</f>
        <v/>
      </c>
      <c r="E563" s="44">
        <f>H563</f>
        <v/>
      </c>
      <c r="F563" s="44" t="n"/>
      <c r="G563" s="44" t="n"/>
      <c r="H563" s="44" t="n"/>
      <c r="I563" s="44" t="n">
        <v>2319</v>
      </c>
    </row>
    <row r="566">
      <c r="A566" s="51" t="inlineStr">
        <is>
          <t>T3a · Road share of motorised inland passenger transport  (%)</t>
        </is>
      </c>
    </row>
    <row r="567" ht="26" customHeight="1">
      <c r="A567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568" ht="24" customHeight="1">
      <c r="A568" s="3" t="inlineStr">
        <is>
          <t>Derivation:  Value = (([Passenger Cars]+[Powered 2-wheelers])/([Passenger Cars]+[Powered 2-wheelers]+[Buses &amp; Coaches]+[Railways]+[Tram &amp; Metro])) * [fraction → % (× 100)]</t>
        </is>
      </c>
    </row>
    <row r="569" ht="42" customHeight="1">
      <c r="A569" s="42" t="inlineStr">
        <is>
          <t>Year</t>
        </is>
      </c>
      <c r="B569" s="42" t="inlineStr">
        <is>
          <t>Value</t>
        </is>
      </c>
      <c r="C569" s="42" t="inlineStr">
        <is>
          <t>Passenger Cars</t>
        </is>
      </c>
      <c r="D569" s="42" t="inlineStr">
        <is>
          <t>Powered 2-wheelers</t>
        </is>
      </c>
      <c r="E569" s="42" t="inlineStr">
        <is>
          <t>Buses &amp; Coaches</t>
        </is>
      </c>
      <c r="F569" s="42" t="inlineStr">
        <is>
          <t>Railways</t>
        </is>
      </c>
      <c r="G569" s="42" t="inlineStr">
        <is>
          <t>Tram &amp; Metro</t>
        </is>
      </c>
      <c r="H569" s="42" t="inlineStr">
        <is>
          <t>fraction → % (× 100)</t>
        </is>
      </c>
    </row>
    <row r="570" ht="14" customHeight="1">
      <c r="A570" s="15" t="n">
        <v>2005</v>
      </c>
      <c r="B570" s="43">
        <f>(((C570+D570)/((((C570+D570)+E570)+F570)+G570))*H570)</f>
        <v/>
      </c>
      <c r="C570" s="44" t="n">
        <v>3839.2</v>
      </c>
      <c r="D570" s="44" t="n">
        <v>114.6</v>
      </c>
      <c r="E570" s="44" t="n">
        <v>497.8</v>
      </c>
      <c r="F570" s="44" t="n">
        <v>339.8</v>
      </c>
      <c r="G570" s="44" t="n">
        <v>73.2</v>
      </c>
      <c r="H570" s="44" t="n">
        <v>100</v>
      </c>
    </row>
    <row r="571" ht="14" customHeight="1">
      <c r="A571" s="21" t="n">
        <v>2006</v>
      </c>
      <c r="B571" s="45">
        <f>(((C571+D571)/((((C571+D571)+E571)+F571)+G571))*H571)</f>
        <v/>
      </c>
      <c r="C571" s="46" t="n">
        <v>3875.3</v>
      </c>
      <c r="D571" s="46" t="n">
        <v>113.6</v>
      </c>
      <c r="E571" s="46" t="n">
        <v>497.8</v>
      </c>
      <c r="F571" s="46" t="n">
        <v>349.4</v>
      </c>
      <c r="G571" s="46" t="n">
        <v>74.59999999999999</v>
      </c>
      <c r="H571" s="46" t="n">
        <v>100</v>
      </c>
    </row>
    <row r="572" ht="14" customHeight="1">
      <c r="A572" s="15" t="n">
        <v>2007</v>
      </c>
      <c r="B572" s="43">
        <f>(((C572+D572)/((((C572+D572)+E572)+F572)+G572))*H572)</f>
        <v/>
      </c>
      <c r="C572" s="44" t="n">
        <v>3921.3</v>
      </c>
      <c r="D572" s="44" t="n">
        <v>109.6</v>
      </c>
      <c r="E572" s="44" t="n">
        <v>507.9</v>
      </c>
      <c r="F572" s="44" t="n">
        <v>353.4</v>
      </c>
      <c r="G572" s="44" t="n">
        <v>76.40000000000001</v>
      </c>
      <c r="H572" s="44" t="n">
        <v>100</v>
      </c>
    </row>
    <row r="573" ht="14" customHeight="1">
      <c r="A573" s="21" t="n">
        <v>2008</v>
      </c>
      <c r="B573" s="45">
        <f>(((C573+D573)/((((C573+D573)+E573)+F573)+G573))*H573)</f>
        <v/>
      </c>
      <c r="C573" s="46" t="n">
        <v>3931.6</v>
      </c>
      <c r="D573" s="46" t="n">
        <v>114.5</v>
      </c>
      <c r="E573" s="46" t="n">
        <v>514.1</v>
      </c>
      <c r="F573" s="46" t="n">
        <v>366.6</v>
      </c>
      <c r="G573" s="46" t="n">
        <v>79.3</v>
      </c>
      <c r="H573" s="46" t="n">
        <v>100</v>
      </c>
    </row>
    <row r="574" ht="14" customHeight="1">
      <c r="A574" s="15" t="n">
        <v>2009</v>
      </c>
      <c r="B574" s="43">
        <f>(((C574+D574)/((((C574+D574)+E574)+F574)+G574))*H574)</f>
        <v/>
      </c>
      <c r="C574" s="44" t="n">
        <v>4009.2</v>
      </c>
      <c r="D574" s="44" t="n">
        <v>112</v>
      </c>
      <c r="E574" s="44" t="n">
        <v>489.7</v>
      </c>
      <c r="F574" s="44" t="n">
        <v>359.3</v>
      </c>
      <c r="G574" s="44" t="n">
        <v>78.59999999999999</v>
      </c>
      <c r="H574" s="44" t="n">
        <v>100</v>
      </c>
    </row>
    <row r="575" ht="14" customHeight="1">
      <c r="A575" s="21" t="n">
        <v>2010</v>
      </c>
      <c r="B575" s="45">
        <f>(((C575+D575)/((((C575+D575)+E575)+F575)+G575))*H575)</f>
        <v/>
      </c>
      <c r="C575" s="46" t="n">
        <v>3975.9</v>
      </c>
      <c r="D575" s="46" t="n">
        <v>113.8</v>
      </c>
      <c r="E575" s="46" t="n">
        <v>482.2</v>
      </c>
      <c r="F575" s="46" t="n">
        <v>358.3</v>
      </c>
      <c r="G575" s="46" t="n">
        <v>80.7</v>
      </c>
      <c r="H575" s="46" t="n">
        <v>100</v>
      </c>
    </row>
    <row r="576" ht="14" customHeight="1">
      <c r="A576" s="15" t="n">
        <v>2011</v>
      </c>
      <c r="B576" s="43">
        <f>(((C576+D576)/((((C576+D576)+E576)+F576)+G576))*H576)</f>
        <v/>
      </c>
      <c r="C576" s="44" t="n">
        <v>3943.6</v>
      </c>
      <c r="D576" s="44" t="n">
        <v>117.7</v>
      </c>
      <c r="E576" s="44" t="n">
        <v>485.6</v>
      </c>
      <c r="F576" s="44" t="n">
        <v>364.1</v>
      </c>
      <c r="G576" s="44" t="n">
        <v>81.09999999999999</v>
      </c>
      <c r="H576" s="44" t="n">
        <v>100</v>
      </c>
    </row>
    <row r="577" ht="14" customHeight="1">
      <c r="A577" s="21" t="n">
        <v>2012</v>
      </c>
      <c r="B577" s="45">
        <f>(((C577+D577)/((((C577+D577)+E577)+F577)+G577))*H577)</f>
        <v/>
      </c>
      <c r="C577" s="46" t="n">
        <v>3898.5</v>
      </c>
      <c r="D577" s="46" t="n">
        <v>115.1</v>
      </c>
      <c r="E577" s="46" t="n">
        <v>481.6</v>
      </c>
      <c r="F577" s="46" t="n">
        <v>367.3</v>
      </c>
      <c r="G577" s="46" t="n">
        <v>82.2</v>
      </c>
      <c r="H577" s="46" t="n">
        <v>100</v>
      </c>
    </row>
    <row r="578" ht="14" customHeight="1">
      <c r="A578" s="15" t="n">
        <v>2013</v>
      </c>
      <c r="B578" s="43">
        <f>(((C578+D578)/((((C578+D578)+E578)+F578)+G578))*H578)</f>
        <v/>
      </c>
      <c r="C578" s="44" t="n">
        <v>3957.2</v>
      </c>
      <c r="D578" s="44" t="n">
        <v>114.7</v>
      </c>
      <c r="E578" s="44" t="n">
        <v>480.5</v>
      </c>
      <c r="F578" s="44" t="n">
        <v>371.8</v>
      </c>
      <c r="G578" s="44" t="n">
        <v>82</v>
      </c>
      <c r="H578" s="44" t="n">
        <v>100</v>
      </c>
    </row>
    <row r="579" ht="14" customHeight="1">
      <c r="A579" s="21" t="n">
        <v>2014</v>
      </c>
      <c r="B579" s="45">
        <f>(((C579+D579)/((((C579+D579)+E579)+F579)+G579))*H579)</f>
        <v/>
      </c>
      <c r="C579" s="46" t="n">
        <v>4012.5</v>
      </c>
      <c r="D579" s="46" t="n">
        <v>117.4</v>
      </c>
      <c r="E579" s="46" t="n">
        <v>476.2</v>
      </c>
      <c r="F579" s="46" t="n">
        <v>376.3</v>
      </c>
      <c r="G579" s="46" t="n">
        <v>82.2</v>
      </c>
      <c r="H579" s="46" t="n">
        <v>100</v>
      </c>
    </row>
    <row r="580" ht="14" customHeight="1">
      <c r="A580" s="15" t="n">
        <v>2015</v>
      </c>
      <c r="B580" s="43">
        <f>(((C580+D580)/((((C580+D580)+E580)+F580)+G580))*H580)</f>
        <v/>
      </c>
      <c r="C580" s="44" t="n">
        <v>4101</v>
      </c>
      <c r="D580" s="44" t="n">
        <v>117.4</v>
      </c>
      <c r="E580" s="44" t="n">
        <v>493.4</v>
      </c>
      <c r="F580" s="44" t="n">
        <v>381.6</v>
      </c>
      <c r="G580" s="44" t="n">
        <v>80.2</v>
      </c>
      <c r="H580" s="44" t="n">
        <v>100</v>
      </c>
    </row>
    <row r="581" ht="14" customHeight="1">
      <c r="A581" s="21" t="n">
        <v>2016</v>
      </c>
      <c r="B581" s="45">
        <f>(((C581+D581)/((((C581+D581)+E581)+F581)+G581))*H581)</f>
        <v/>
      </c>
      <c r="C581" s="46" t="n">
        <v>4185</v>
      </c>
      <c r="D581" s="46" t="n">
        <v>118.7</v>
      </c>
      <c r="E581" s="46" t="n">
        <v>498.3</v>
      </c>
      <c r="F581" s="46" t="n">
        <v>386.5</v>
      </c>
      <c r="G581" s="46" t="n">
        <v>82.59999999999999</v>
      </c>
      <c r="H581" s="46" t="n">
        <v>100</v>
      </c>
    </row>
    <row r="582" ht="14" customHeight="1">
      <c r="A582" s="15" t="n">
        <v>2017</v>
      </c>
      <c r="B582" s="43">
        <f>(((C582+D582)/((((C582+D582)+E582)+F582)+G582))*H582)</f>
        <v/>
      </c>
      <c r="C582" s="44" t="n">
        <v>4228.5</v>
      </c>
      <c r="D582" s="44" t="n">
        <v>112.2</v>
      </c>
      <c r="E582" s="44" t="n">
        <v>479</v>
      </c>
      <c r="F582" s="44" t="n">
        <v>400.8</v>
      </c>
      <c r="G582" s="44" t="n">
        <v>84.3</v>
      </c>
      <c r="H582" s="44" t="n">
        <v>100</v>
      </c>
    </row>
    <row r="583" ht="14" customHeight="1">
      <c r="A583" s="21" t="n">
        <v>2018</v>
      </c>
      <c r="B583" s="45">
        <f>(((C583+D583)/((((C583+D583)+E583)+F583)+G583))*H583)</f>
        <v/>
      </c>
      <c r="C583" s="46" t="n">
        <v>4257</v>
      </c>
      <c r="D583" s="46" t="n">
        <v>106.8</v>
      </c>
      <c r="E583" s="46" t="n">
        <v>484.1</v>
      </c>
      <c r="F583" s="46" t="n">
        <v>407.3</v>
      </c>
      <c r="G583" s="46" t="n">
        <v>86.90000000000001</v>
      </c>
      <c r="H583" s="46" t="n">
        <v>100</v>
      </c>
    </row>
    <row r="584" ht="14" customHeight="1">
      <c r="A584" s="15" t="n">
        <v>2019</v>
      </c>
      <c r="B584" s="43">
        <f>(((C584+D584)/((((C584+D584)+E584)+F584)+G584))*H584)</f>
        <v/>
      </c>
      <c r="C584" s="44" t="n">
        <v>4299.9</v>
      </c>
      <c r="D584" s="44" t="n">
        <v>111.3</v>
      </c>
      <c r="E584" s="44" t="n">
        <v>487.5</v>
      </c>
      <c r="F584" s="44" t="n">
        <v>420.9</v>
      </c>
      <c r="G584" s="44" t="n">
        <v>87.09999999999999</v>
      </c>
      <c r="H584" s="44" t="n">
        <v>100</v>
      </c>
    </row>
    <row r="585" ht="14" customHeight="1">
      <c r="A585" s="21" t="n">
        <v>2020</v>
      </c>
      <c r="B585" s="45">
        <f>(((C585+D585)/((((C585+D585)+E585)+F585)+G585))*H585)</f>
        <v/>
      </c>
      <c r="C585" s="46" t="n">
        <v>3583</v>
      </c>
      <c r="D585" s="46" t="n">
        <v>100.1</v>
      </c>
      <c r="E585" s="46" t="n">
        <v>293.6</v>
      </c>
      <c r="F585" s="46" t="n">
        <v>227.3</v>
      </c>
      <c r="G585" s="46" t="n">
        <v>53.9</v>
      </c>
      <c r="H585" s="46" t="n">
        <v>100</v>
      </c>
    </row>
    <row r="588">
      <c r="A588" s="51" t="inlineStr">
        <is>
          <t>T3b · Intra-EU air passenger transport  (Gpkm)</t>
        </is>
      </c>
    </row>
    <row r="589" ht="26" customHeight="1">
      <c r="A589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590" ht="24" customHeight="1">
      <c r="A590" s="3" t="inlineStr">
        <is>
          <t>Derivation:  Value = [Air passenger demand (Gpkm)]</t>
        </is>
      </c>
    </row>
    <row r="591" ht="42" customHeight="1">
      <c r="A591" s="42" t="inlineStr">
        <is>
          <t>Year</t>
        </is>
      </c>
      <c r="B591" s="42" t="inlineStr">
        <is>
          <t>Value</t>
        </is>
      </c>
      <c r="C591" s="42" t="inlineStr">
        <is>
          <t>Air passenger demand (Gpkm)</t>
        </is>
      </c>
    </row>
    <row r="592" ht="14" customHeight="1">
      <c r="A592" s="15" t="n">
        <v>2005</v>
      </c>
      <c r="B592" s="43">
        <f>C592</f>
        <v/>
      </c>
      <c r="C592" s="44" t="n">
        <v>361.3</v>
      </c>
    </row>
    <row r="593" ht="14" customHeight="1">
      <c r="A593" s="21" t="n">
        <v>2006</v>
      </c>
      <c r="B593" s="45">
        <f>C593</f>
        <v/>
      </c>
      <c r="C593" s="46" t="n">
        <v>376.4</v>
      </c>
    </row>
    <row r="594" ht="14" customHeight="1">
      <c r="A594" s="15" t="n">
        <v>2007</v>
      </c>
      <c r="B594" s="43">
        <f>C594</f>
        <v/>
      </c>
      <c r="C594" s="44" t="n">
        <v>392.2</v>
      </c>
    </row>
    <row r="595" ht="14" customHeight="1">
      <c r="A595" s="21" t="n">
        <v>2008</v>
      </c>
      <c r="B595" s="45">
        <f>C595</f>
        <v/>
      </c>
      <c r="C595" s="46" t="n">
        <v>383.8</v>
      </c>
    </row>
    <row r="596" ht="14" customHeight="1">
      <c r="A596" s="15" t="n">
        <v>2009</v>
      </c>
      <c r="B596" s="43">
        <f>C596</f>
        <v/>
      </c>
      <c r="C596" s="44" t="n">
        <v>361.8</v>
      </c>
    </row>
    <row r="597" ht="14" customHeight="1">
      <c r="A597" s="21" t="n">
        <v>2010</v>
      </c>
      <c r="B597" s="45">
        <f>C597</f>
        <v/>
      </c>
      <c r="C597" s="46" t="n">
        <v>377.3</v>
      </c>
    </row>
    <row r="598" ht="14" customHeight="1">
      <c r="A598" s="15" t="n">
        <v>2011</v>
      </c>
      <c r="B598" s="43">
        <f>C598</f>
        <v/>
      </c>
      <c r="C598" s="44" t="n">
        <v>408.5</v>
      </c>
    </row>
    <row r="599" ht="14" customHeight="1">
      <c r="A599" s="21" t="n">
        <v>2012</v>
      </c>
      <c r="B599" s="45">
        <f>C599</f>
        <v/>
      </c>
      <c r="C599" s="46" t="n">
        <v>402.1</v>
      </c>
    </row>
    <row r="600" ht="14" customHeight="1">
      <c r="A600" s="15" t="n">
        <v>2013</v>
      </c>
      <c r="B600" s="43">
        <f>C600</f>
        <v/>
      </c>
      <c r="C600" s="44" t="n">
        <v>406</v>
      </c>
    </row>
    <row r="601" ht="14" customHeight="1">
      <c r="A601" s="21" t="n">
        <v>2014</v>
      </c>
      <c r="B601" s="45">
        <f>C601</f>
        <v/>
      </c>
      <c r="C601" s="46" t="n">
        <v>425.6</v>
      </c>
    </row>
    <row r="602" ht="14" customHeight="1">
      <c r="A602" s="15" t="n">
        <v>2015</v>
      </c>
      <c r="B602" s="43">
        <f>C602</f>
        <v/>
      </c>
      <c r="C602" s="44" t="n">
        <v>451.8</v>
      </c>
    </row>
    <row r="603" ht="14" customHeight="1">
      <c r="A603" s="21" t="n">
        <v>2016</v>
      </c>
      <c r="B603" s="45">
        <f>C603</f>
        <v/>
      </c>
      <c r="C603" s="46" t="n">
        <v>492.6</v>
      </c>
    </row>
    <row r="604" ht="14" customHeight="1">
      <c r="A604" s="15" t="n">
        <v>2017</v>
      </c>
      <c r="B604" s="43">
        <f>C604</f>
        <v/>
      </c>
      <c r="C604" s="44" t="n">
        <v>538.4</v>
      </c>
    </row>
    <row r="605" ht="14" customHeight="1">
      <c r="A605" s="21" t="n">
        <v>2018</v>
      </c>
      <c r="B605" s="45">
        <f>C605</f>
        <v/>
      </c>
      <c r="C605" s="46" t="n">
        <v>571.8</v>
      </c>
    </row>
    <row r="606" ht="14" customHeight="1">
      <c r="A606" s="15" t="n">
        <v>2019</v>
      </c>
      <c r="B606" s="43">
        <f>C606</f>
        <v/>
      </c>
      <c r="C606" s="44" t="n">
        <v>585.5</v>
      </c>
    </row>
    <row r="607" ht="14" customHeight="1">
      <c r="A607" s="21" t="n">
        <v>2020</v>
      </c>
      <c r="B607" s="45">
        <f>C607</f>
        <v/>
      </c>
      <c r="C607" s="46" t="n">
        <v>177.9</v>
      </c>
    </row>
    <row r="608" ht="14" customHeight="1">
      <c r="A608" s="15" t="n">
        <v>2022</v>
      </c>
      <c r="B608" s="43">
        <f>C608</f>
        <v/>
      </c>
      <c r="C608" s="44" t="n">
        <v>512</v>
      </c>
    </row>
    <row r="609" ht="14" customHeight="1">
      <c r="A609" s="21" t="n">
        <v>2023</v>
      </c>
      <c r="B609" s="45">
        <f>C609</f>
        <v/>
      </c>
      <c r="C609" s="46" t="n">
        <v>582</v>
      </c>
    </row>
    <row r="612">
      <c r="A612" s="51" t="inlineStr">
        <is>
          <t>T4 · Average CO₂ intensity of new passenger cars (WLTP)  (g CO₂/km)</t>
        </is>
      </c>
    </row>
    <row r="613" ht="26" customHeight="1">
      <c r="A613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614" ht="24" customHeight="1">
      <c r="A614" s="3" t="inlineStr">
        <is>
          <t>Derivation:  Value = [New-car CO2 intensity WLTP (gCO2/km)]</t>
        </is>
      </c>
    </row>
    <row r="615" ht="42" customHeight="1">
      <c r="A615" s="42" t="inlineStr">
        <is>
          <t>Year</t>
        </is>
      </c>
      <c r="B615" s="42" t="inlineStr">
        <is>
          <t>Value</t>
        </is>
      </c>
      <c r="C615" s="42" t="inlineStr">
        <is>
          <t>New-car CO2 intensity WLTP (gCO2/km)</t>
        </is>
      </c>
    </row>
    <row r="616" ht="14" customHeight="1">
      <c r="A616" s="15" t="n">
        <v>2020</v>
      </c>
      <c r="B616" s="43">
        <f>C616</f>
        <v/>
      </c>
      <c r="C616" s="44" t="n">
        <v>130.3</v>
      </c>
    </row>
    <row r="617" ht="14" customHeight="1">
      <c r="A617" s="21" t="n">
        <v>2021</v>
      </c>
      <c r="B617" s="45">
        <f>C617</f>
        <v/>
      </c>
      <c r="C617" s="46" t="n">
        <v>114.1</v>
      </c>
    </row>
    <row r="618" ht="14" customHeight="1">
      <c r="A618" s="15" t="n">
        <v>2022</v>
      </c>
      <c r="B618" s="43">
        <f>C618</f>
        <v/>
      </c>
      <c r="C618" s="44" t="n">
        <v>108.2</v>
      </c>
    </row>
    <row r="619" ht="14" customHeight="1">
      <c r="A619" s="21" t="n">
        <v>2023</v>
      </c>
      <c r="B619" s="45">
        <f>C619</f>
        <v/>
      </c>
      <c r="C619" s="46" t="n">
        <v>106.4</v>
      </c>
    </row>
    <row r="620" ht="14" customHeight="1">
      <c r="A620" s="15" t="n">
        <v>2024</v>
      </c>
      <c r="B620" s="43">
        <f>C620</f>
        <v/>
      </c>
      <c r="C620" s="44" t="n">
        <v>106.8</v>
      </c>
    </row>
    <row r="621" ht="14" customHeight="1">
      <c r="A621" s="21" t="n">
        <v>2025</v>
      </c>
      <c r="B621" s="45">
        <f>C621</f>
        <v/>
      </c>
      <c r="C621" s="46" t="n">
        <v>96.7</v>
      </c>
    </row>
    <row r="624">
      <c r="A624" s="51" t="inlineStr">
        <is>
          <t>T5a · ZEV share of new passenger car registrations  (%)</t>
        </is>
      </c>
    </row>
    <row r="625" ht="26" customHeight="1">
      <c r="A625" s="48" t="inlineStr">
        <is>
          <t>No derivation for the later years — the figure is the publication's own.</t>
        </is>
      </c>
    </row>
    <row r="626" ht="24" customHeight="1">
      <c r="A626" s="3" t="inlineStr">
        <is>
          <t>Derivation:  Value = IF(A &gt;= 2023, [Post-report figure as published], ([ZEV]) * [fraction → % (× 100)])</t>
        </is>
      </c>
    </row>
    <row r="627" ht="42" customHeight="1">
      <c r="A627" s="42" t="inlineStr">
        <is>
          <t>Year</t>
        </is>
      </c>
      <c r="B627" s="42" t="inlineStr">
        <is>
          <t>Value</t>
        </is>
      </c>
      <c r="C627" s="42" t="inlineStr">
        <is>
          <t>ZEV</t>
        </is>
      </c>
      <c r="D627" s="42" t="inlineStr">
        <is>
          <t>BEV</t>
        </is>
      </c>
      <c r="E627" s="42" t="inlineStr">
        <is>
          <t>H2</t>
        </is>
      </c>
      <c r="F627" s="42" t="inlineStr">
        <is>
          <t>Post-report figure as published</t>
        </is>
      </c>
      <c r="G627" s="42" t="inlineStr">
        <is>
          <t>fraction → % (× 100)</t>
        </is>
      </c>
    </row>
    <row r="628" ht="14" customHeight="1">
      <c r="A628" s="15" t="n">
        <v>2010</v>
      </c>
      <c r="B628" s="43">
        <f>IF((A628&gt;=2023),F628,(C628*G628))</f>
        <v/>
      </c>
      <c r="C628" s="44">
        <f>(D628+E628)</f>
        <v/>
      </c>
      <c r="D628" s="44" t="n">
        <v>0.0001</v>
      </c>
      <c r="E628" s="44" t="n">
        <v>0</v>
      </c>
      <c r="F628" s="44" t="n"/>
      <c r="G628" s="44" t="n">
        <v>100</v>
      </c>
    </row>
    <row r="629" ht="14" customHeight="1">
      <c r="A629" s="21" t="n">
        <v>2011</v>
      </c>
      <c r="B629" s="45">
        <f>IF((A629&gt;=2023),F629,(C629*G629))</f>
        <v/>
      </c>
      <c r="C629" s="46">
        <f>(D629+E629)</f>
        <v/>
      </c>
      <c r="D629" s="46" t="n">
        <v>0.0007000000000000001</v>
      </c>
      <c r="E629" s="46" t="n">
        <v>0</v>
      </c>
      <c r="F629" s="46" t="n"/>
      <c r="G629" s="46" t="n">
        <v>100</v>
      </c>
    </row>
    <row r="630" ht="14" customHeight="1">
      <c r="A630" s="15" t="n">
        <v>2012</v>
      </c>
      <c r="B630" s="43">
        <f>IF((A630&gt;=2023),F630,(C630*G630))</f>
        <v/>
      </c>
      <c r="C630" s="44">
        <f>(D630+E630)</f>
        <v/>
      </c>
      <c r="D630" s="44" t="n">
        <v>0.0013</v>
      </c>
      <c r="E630" s="44" t="n">
        <v>0</v>
      </c>
      <c r="F630" s="44" t="n"/>
      <c r="G630" s="44" t="n">
        <v>100</v>
      </c>
    </row>
    <row r="631" ht="14" customHeight="1">
      <c r="A631" s="21" t="n">
        <v>2013</v>
      </c>
      <c r="B631" s="45">
        <f>IF((A631&gt;=2023),F631,(C631*G631))</f>
        <v/>
      </c>
      <c r="C631" s="46">
        <f>(D631+E631)</f>
        <v/>
      </c>
      <c r="D631" s="46" t="n">
        <v>0.0022</v>
      </c>
      <c r="E631" s="46" t="n">
        <v>0</v>
      </c>
      <c r="F631" s="46" t="n"/>
      <c r="G631" s="46" t="n">
        <v>100</v>
      </c>
    </row>
    <row r="632" ht="14" customHeight="1">
      <c r="A632" s="15" t="n">
        <v>2014</v>
      </c>
      <c r="B632" s="43">
        <f>IF((A632&gt;=2023),F632,(C632*G632))</f>
        <v/>
      </c>
      <c r="C632" s="44">
        <f>(D632+E632)</f>
        <v/>
      </c>
      <c r="D632" s="44" t="n">
        <v>0.0033</v>
      </c>
      <c r="E632" s="44" t="n">
        <v>0</v>
      </c>
      <c r="F632" s="44" t="n"/>
      <c r="G632" s="44" t="n">
        <v>100</v>
      </c>
    </row>
    <row r="633" ht="14" customHeight="1">
      <c r="A633" s="21" t="n">
        <v>2015</v>
      </c>
      <c r="B633" s="45">
        <f>IF((A633&gt;=2023),F633,(C633*G633))</f>
        <v/>
      </c>
      <c r="C633" s="46">
        <f>(D633+E633)</f>
        <v/>
      </c>
      <c r="D633" s="46" t="n">
        <v>0.0046</v>
      </c>
      <c r="E633" s="46" t="n">
        <v>0</v>
      </c>
      <c r="F633" s="46" t="n"/>
      <c r="G633" s="46" t="n">
        <v>100</v>
      </c>
    </row>
    <row r="634" ht="14" customHeight="1">
      <c r="A634" s="15" t="n">
        <v>2016</v>
      </c>
      <c r="B634" s="43">
        <f>IF((A634&gt;=2023),F634,(C634*G634))</f>
        <v/>
      </c>
      <c r="C634" s="44">
        <f>(D634+E634)</f>
        <v/>
      </c>
      <c r="D634" s="44" t="n">
        <v>0.004699999999999999</v>
      </c>
      <c r="E634" s="44" t="n">
        <v>0</v>
      </c>
      <c r="F634" s="44" t="n"/>
      <c r="G634" s="44" t="n">
        <v>100</v>
      </c>
    </row>
    <row r="635" ht="14" customHeight="1">
      <c r="A635" s="21" t="n">
        <v>2017</v>
      </c>
      <c r="B635" s="45">
        <f>IF((A635&gt;=2023),F635,(C635*G635))</f>
        <v/>
      </c>
      <c r="C635" s="46">
        <f>(D635+E635)</f>
        <v/>
      </c>
      <c r="D635" s="46" t="n">
        <v>0.0068</v>
      </c>
      <c r="E635" s="46" t="n">
        <v>0</v>
      </c>
      <c r="F635" s="46" t="n"/>
      <c r="G635" s="46" t="n">
        <v>100</v>
      </c>
    </row>
    <row r="636" ht="14" customHeight="1">
      <c r="A636" s="15" t="n">
        <v>2018</v>
      </c>
      <c r="B636" s="43">
        <f>IF((A636&gt;=2023),F636,(C636*G636))</f>
        <v/>
      </c>
      <c r="C636" s="44">
        <f>(D636+E636)</f>
        <v/>
      </c>
      <c r="D636" s="44" t="n">
        <v>0.0106</v>
      </c>
      <c r="E636" s="44" t="n">
        <v>0</v>
      </c>
      <c r="F636" s="44" t="n"/>
      <c r="G636" s="44" t="n">
        <v>100</v>
      </c>
    </row>
    <row r="637" ht="14" customHeight="1">
      <c r="A637" s="21" t="n">
        <v>2019</v>
      </c>
      <c r="B637" s="45">
        <f>IF((A637&gt;=2023),F637,(C637*G637))</f>
        <v/>
      </c>
      <c r="C637" s="46">
        <f>(D637+E637)</f>
        <v/>
      </c>
      <c r="D637" s="46" t="n">
        <v>0.019</v>
      </c>
      <c r="E637" s="46" t="n">
        <v>0</v>
      </c>
      <c r="F637" s="46" t="n"/>
      <c r="G637" s="46" t="n">
        <v>100</v>
      </c>
    </row>
    <row r="638" ht="14" customHeight="1">
      <c r="A638" s="15" t="n">
        <v>2020</v>
      </c>
      <c r="B638" s="43">
        <f>IF((A638&gt;=2023),F638,(C638*G638))</f>
        <v/>
      </c>
      <c r="C638" s="44">
        <f>(D638+E638)</f>
        <v/>
      </c>
      <c r="D638" s="44" t="n">
        <v>0.0538</v>
      </c>
      <c r="E638" s="44" t="n">
        <v>0.0001</v>
      </c>
      <c r="F638" s="44" t="n"/>
      <c r="G638" s="44" t="n">
        <v>100</v>
      </c>
    </row>
    <row r="639" ht="14" customHeight="1">
      <c r="A639" s="21" t="n">
        <v>2021</v>
      </c>
      <c r="B639" s="45">
        <f>IF((A639&gt;=2023),F639,(C639*G639))</f>
        <v/>
      </c>
      <c r="C639" s="46">
        <f>(D639+E639)</f>
        <v/>
      </c>
      <c r="D639" s="46" t="n">
        <v>0.0886</v>
      </c>
      <c r="E639" s="46" t="n">
        <v>0.0001</v>
      </c>
      <c r="F639" s="46" t="n"/>
      <c r="G639" s="46" t="n">
        <v>100</v>
      </c>
    </row>
    <row r="640" ht="14" customHeight="1">
      <c r="A640" s="15" t="n">
        <v>2022</v>
      </c>
      <c r="B640" s="43">
        <f>IF((A640&gt;=2023),F640,(C640*G640))</f>
        <v/>
      </c>
      <c r="C640" s="44">
        <f>(D640+E640)</f>
        <v/>
      </c>
      <c r="D640" s="44" t="n">
        <v>0.134</v>
      </c>
      <c r="E640" s="44" t="n">
        <v>0.0001</v>
      </c>
      <c r="F640" s="44" t="n"/>
      <c r="G640" s="44" t="n">
        <v>100</v>
      </c>
    </row>
    <row r="641" ht="14" customHeight="1">
      <c r="A641" s="21" t="n">
        <v>2023</v>
      </c>
      <c r="B641" s="45">
        <f>IF((A641&gt;=2023),F641,(C641*G641))</f>
        <v/>
      </c>
      <c r="C641" s="46">
        <f>(D641+E641)</f>
        <v/>
      </c>
      <c r="D641" s="46" t="n"/>
      <c r="E641" s="46" t="n"/>
      <c r="F641" s="46" t="n">
        <v>14.6</v>
      </c>
      <c r="G641" s="46" t="n">
        <v>100</v>
      </c>
    </row>
    <row r="642" ht="14" customHeight="1">
      <c r="A642" s="15" t="n">
        <v>2024</v>
      </c>
      <c r="B642" s="43">
        <f>IF((A642&gt;=2023),F642,(C642*G642))</f>
        <v/>
      </c>
      <c r="C642" s="44">
        <f>(D642+E642)</f>
        <v/>
      </c>
      <c r="D642" s="44" t="n"/>
      <c r="E642" s="44" t="n"/>
      <c r="F642" s="44" t="n">
        <v>13.6</v>
      </c>
      <c r="G642" s="44" t="n">
        <v>100</v>
      </c>
    </row>
    <row r="643" ht="14" customHeight="1">
      <c r="A643" s="21" t="n">
        <v>2025</v>
      </c>
      <c r="B643" s="45">
        <f>IF((A643&gt;=2023),F643,(C643*G643))</f>
        <v/>
      </c>
      <c r="C643" s="46">
        <f>(D643+E643)</f>
        <v/>
      </c>
      <c r="D643" s="46" t="n"/>
      <c r="E643" s="46" t="n"/>
      <c r="F643" s="46" t="n">
        <v>17.4</v>
      </c>
      <c r="G643" s="46" t="n">
        <v>100</v>
      </c>
    </row>
    <row r="646">
      <c r="A646" s="51" t="inlineStr">
        <is>
          <t>T6a · Fossil share of transport energy use  (%)</t>
        </is>
      </c>
    </row>
    <row r="647" ht="26" customHeight="1">
      <c r="A647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648" ht="24" customHeight="1">
      <c r="A648" s="3" t="inlineStr">
        <is>
          <t>Derivation:  Value = IF(A &gt;= 2022, ROUND([Report baseline 2021 (%)] * ([Numerator · nrg_bal_s O4000XBIO] + [Numerator · nrg_bal_s G3000] + [Numerator · nrg_bal_s C0000X0350-0370]) / ([Denominator · nrg_bal_s TOTAL]) / [Live source at 2021 (same basis as the columns left)], 2), ([% fossil]) * [fraction → % (× 100)])</t>
        </is>
      </c>
    </row>
    <row r="649" ht="42" customHeight="1">
      <c r="A649" s="42" t="inlineStr">
        <is>
          <t>Year</t>
        </is>
      </c>
      <c r="B649" s="42" t="inlineStr">
        <is>
          <t>Value</t>
        </is>
      </c>
      <c r="C649" s="42" t="inlineStr">
        <is>
          <t>% fossil</t>
        </is>
      </c>
      <c r="D649" s="42" t="inlineStr">
        <is>
          <t>Solid fossil fuels</t>
        </is>
      </c>
      <c r="E649" s="42" t="inlineStr">
        <is>
          <t>Manufactured gases</t>
        </is>
      </c>
      <c r="F649" s="42" t="inlineStr">
        <is>
          <t>Peat and peat products</t>
        </is>
      </c>
      <c r="G649" s="42" t="inlineStr">
        <is>
          <t>Natural gas</t>
        </is>
      </c>
      <c r="H649" s="42" t="inlineStr">
        <is>
          <t>Oil and petroleum products (excluding biofuel portion)</t>
        </is>
      </c>
      <c r="I649" s="42" t="inlineStr">
        <is>
          <t>Solid fossil fuels (2)</t>
        </is>
      </c>
      <c r="J649" s="42" t="inlineStr">
        <is>
          <t>Manufactured gases (2)</t>
        </is>
      </c>
      <c r="K649" s="42" t="inlineStr">
        <is>
          <t>Peat and peat products (2)</t>
        </is>
      </c>
      <c r="L649" s="42" t="inlineStr">
        <is>
          <t>Natural gas (2)</t>
        </is>
      </c>
      <c r="M649" s="42" t="inlineStr">
        <is>
          <t>Oil and petroleum products (excluding biofuel portion) (2)</t>
        </is>
      </c>
      <c r="N649" s="42" t="inlineStr">
        <is>
          <t>Solid fossil fuels (3)</t>
        </is>
      </c>
      <c r="O649" s="42" t="inlineStr">
        <is>
          <t>Manufactured gases (3)</t>
        </is>
      </c>
      <c r="P649" s="42" t="inlineStr">
        <is>
          <t>Peat and peat products (3)</t>
        </is>
      </c>
      <c r="Q649" s="42" t="inlineStr">
        <is>
          <t>Natural gas (3)</t>
        </is>
      </c>
      <c r="R649" s="42" t="inlineStr">
        <is>
          <t>Oil and petroleum products (excluding biofuel portion) (3)</t>
        </is>
      </c>
      <c r="S649" s="42" t="inlineStr">
        <is>
          <t>Total</t>
        </is>
      </c>
      <c r="T649" s="42" t="inlineStr">
        <is>
          <t>Total (2)</t>
        </is>
      </c>
      <c r="U649" s="42" t="inlineStr">
        <is>
          <t>Total (3)</t>
        </is>
      </c>
      <c r="V649" s="42" t="inlineStr">
        <is>
          <t>Numerator · nrg_bal_s O4000XBIO</t>
        </is>
      </c>
      <c r="W649" s="42" t="inlineStr">
        <is>
          <t>Numerator · nrg_bal_s G3000</t>
        </is>
      </c>
      <c r="X649" s="42" t="inlineStr">
        <is>
          <t>Numerator · nrg_bal_s C0000X0350-0370</t>
        </is>
      </c>
      <c r="Y649" s="42" t="inlineStr">
        <is>
          <t>Denominator · nrg_bal_s TOTAL</t>
        </is>
      </c>
      <c r="Z649" s="42" t="inlineStr">
        <is>
          <t>Report baseline 2021 (%)</t>
        </is>
      </c>
      <c r="AA649" s="42" t="inlineStr">
        <is>
          <t>Live source at 2021 (same basis as the columns left)</t>
        </is>
      </c>
      <c r="AB649" s="42" t="inlineStr">
        <is>
          <t>fraction → % (× 100)</t>
        </is>
      </c>
    </row>
    <row r="650" ht="14" customHeight="1">
      <c r="A650" s="15" t="n">
        <v>2005</v>
      </c>
      <c r="B650" s="43">
        <f>IF((A650&gt;=2022),ROUND((((Z650*((V650+W650)+X650))/Y650)/AA650),2),(C650*AB650))</f>
        <v/>
      </c>
      <c r="C650" s="44">
        <f>(((((((((((((((D650+E650)+F650)+G650)+H650)+I650)+J650)+K650)+L650)+M650)+N650)+O650)+P650)+Q650)+R650)/((S650+T650)+U650))</f>
        <v/>
      </c>
      <c r="D650" s="44" t="n">
        <v>5.489</v>
      </c>
      <c r="E650" s="44" t="n">
        <v>0</v>
      </c>
      <c r="F650" s="44" t="n">
        <v>0</v>
      </c>
      <c r="G650" s="44" t="n">
        <v>2787.873</v>
      </c>
      <c r="H650" s="44" t="n">
        <v>270483.07</v>
      </c>
      <c r="I650" s="44" t="n">
        <v>0</v>
      </c>
      <c r="J650" s="44" t="n">
        <v>0</v>
      </c>
      <c r="K650" s="44" t="n">
        <v>0</v>
      </c>
      <c r="L650" s="44" t="n">
        <v>0</v>
      </c>
      <c r="M650" s="44" t="n">
        <v>47197.778</v>
      </c>
      <c r="N650" s="44" t="n">
        <v>0</v>
      </c>
      <c r="O650" s="44" t="n">
        <v>0</v>
      </c>
      <c r="P650" s="44" t="n">
        <v>0</v>
      </c>
      <c r="Q650" s="44" t="n">
        <v>0</v>
      </c>
      <c r="R650" s="44" t="n">
        <v>31148.203</v>
      </c>
      <c r="S650" s="44" t="n">
        <v>281578.768</v>
      </c>
      <c r="T650" s="44" t="n">
        <v>47197.778</v>
      </c>
      <c r="U650" s="44" t="n">
        <v>31148.203</v>
      </c>
      <c r="V650" s="44" t="n"/>
      <c r="W650" s="44" t="n"/>
      <c r="X650" s="44" t="n"/>
      <c r="Y650" s="44" t="n"/>
      <c r="Z650" s="44" t="n"/>
      <c r="AA650" s="44" t="n"/>
      <c r="AB650" s="44" t="n">
        <v>100</v>
      </c>
    </row>
    <row r="651" ht="14" customHeight="1">
      <c r="A651" s="21" t="n">
        <v>2006</v>
      </c>
      <c r="B651" s="45">
        <f>IF((A651&gt;=2022),ROUND((((Z651*((V651+W651)+X651))/Y651)/AA651),2),(C651*AB651))</f>
        <v/>
      </c>
      <c r="C651" s="46">
        <f>(((((((((((((((D651+E651)+F651)+G651)+H651)+I651)+J651)+K651)+L651)+M651)+N651)+O651)+P651)+Q651)+R651)/((S651+T651)+U651))</f>
        <v/>
      </c>
      <c r="D651" s="46" t="n">
        <v>1.116</v>
      </c>
      <c r="E651" s="46" t="n">
        <v>0</v>
      </c>
      <c r="F651" s="46" t="n">
        <v>0</v>
      </c>
      <c r="G651" s="46" t="n">
        <v>2679.47</v>
      </c>
      <c r="H651" s="46" t="n">
        <v>274348.895</v>
      </c>
      <c r="I651" s="46" t="n">
        <v>0</v>
      </c>
      <c r="J651" s="46" t="n">
        <v>0</v>
      </c>
      <c r="K651" s="46" t="n">
        <v>0</v>
      </c>
      <c r="L651" s="46" t="n">
        <v>0</v>
      </c>
      <c r="M651" s="46" t="n">
        <v>50311.868</v>
      </c>
      <c r="N651" s="46" t="n">
        <v>0</v>
      </c>
      <c r="O651" s="46" t="n">
        <v>0</v>
      </c>
      <c r="P651" s="46" t="n">
        <v>0</v>
      </c>
      <c r="Q651" s="46" t="n">
        <v>0</v>
      </c>
      <c r="R651" s="46" t="n">
        <v>32737.146</v>
      </c>
      <c r="S651" s="46" t="n">
        <v>287221.113</v>
      </c>
      <c r="T651" s="46" t="n">
        <v>50311.868</v>
      </c>
      <c r="U651" s="46" t="n">
        <v>32737.146</v>
      </c>
      <c r="V651" s="46" t="n"/>
      <c r="W651" s="46" t="n"/>
      <c r="X651" s="46" t="n"/>
      <c r="Y651" s="46" t="n"/>
      <c r="Z651" s="46" t="n"/>
      <c r="AA651" s="46" t="n"/>
      <c r="AB651" s="46" t="n">
        <v>100</v>
      </c>
    </row>
    <row r="652" ht="14" customHeight="1">
      <c r="A652" s="15" t="n">
        <v>2007</v>
      </c>
      <c r="B652" s="43">
        <f>IF((A652&gt;=2022),ROUND((((Z652*((V652+W652)+X652))/Y652)/AA652),2),(C652*AB652))</f>
        <v/>
      </c>
      <c r="C652" s="44">
        <f>(((((((((((((((D652+E652)+F652)+G652)+H652)+I652)+J652)+K652)+L652)+M652)+N652)+O652)+P652)+Q652)+R652)/((S652+T652)+U652))</f>
        <v/>
      </c>
      <c r="D652" s="44" t="n">
        <v>0.993</v>
      </c>
      <c r="E652" s="44" t="n">
        <v>0</v>
      </c>
      <c r="F652" s="44" t="n">
        <v>0</v>
      </c>
      <c r="G652" s="44" t="n">
        <v>2770.754</v>
      </c>
      <c r="H652" s="44" t="n">
        <v>276889.839</v>
      </c>
      <c r="I652" s="44" t="n">
        <v>0</v>
      </c>
      <c r="J652" s="44" t="n">
        <v>0</v>
      </c>
      <c r="K652" s="44" t="n">
        <v>0</v>
      </c>
      <c r="L652" s="44" t="n">
        <v>0</v>
      </c>
      <c r="M652" s="44" t="n">
        <v>52464.315</v>
      </c>
      <c r="N652" s="44" t="n">
        <v>0</v>
      </c>
      <c r="O652" s="44" t="n">
        <v>0</v>
      </c>
      <c r="P652" s="44" t="n">
        <v>0</v>
      </c>
      <c r="Q652" s="44" t="n">
        <v>0</v>
      </c>
      <c r="R652" s="44" t="n">
        <v>34156.138</v>
      </c>
      <c r="S652" s="44" t="n">
        <v>291835.11</v>
      </c>
      <c r="T652" s="44" t="n">
        <v>52464.315</v>
      </c>
      <c r="U652" s="44" t="n">
        <v>34156.138</v>
      </c>
      <c r="V652" s="44" t="n"/>
      <c r="W652" s="44" t="n"/>
      <c r="X652" s="44" t="n"/>
      <c r="Y652" s="44" t="n"/>
      <c r="Z652" s="44" t="n"/>
      <c r="AA652" s="44" t="n"/>
      <c r="AB652" s="44" t="n">
        <v>100</v>
      </c>
    </row>
    <row r="653" ht="14" customHeight="1">
      <c r="A653" s="21" t="n">
        <v>2008</v>
      </c>
      <c r="B653" s="45">
        <f>IF((A653&gt;=2022),ROUND((((Z653*((V653+W653)+X653))/Y653)/AA653),2),(C653*AB653))</f>
        <v/>
      </c>
      <c r="C653" s="46">
        <f>(((((((((((((((D653+E653)+F653)+G653)+H653)+I653)+J653)+K653)+L653)+M653)+N653)+O653)+P653)+Q653)+R653)/((S653+T653)+U653))</f>
        <v/>
      </c>
      <c r="D653" s="46" t="n">
        <v>1.021</v>
      </c>
      <c r="E653" s="46" t="n">
        <v>0</v>
      </c>
      <c r="F653" s="46" t="n">
        <v>0</v>
      </c>
      <c r="G653" s="46" t="n">
        <v>2895.259</v>
      </c>
      <c r="H653" s="46" t="n">
        <v>271182.008</v>
      </c>
      <c r="I653" s="46" t="n">
        <v>0</v>
      </c>
      <c r="J653" s="46" t="n">
        <v>0</v>
      </c>
      <c r="K653" s="46" t="n">
        <v>0</v>
      </c>
      <c r="L653" s="46" t="n">
        <v>0</v>
      </c>
      <c r="M653" s="46" t="n">
        <v>51884.183</v>
      </c>
      <c r="N653" s="46" t="n">
        <v>0</v>
      </c>
      <c r="O653" s="46" t="n">
        <v>0</v>
      </c>
      <c r="P653" s="46" t="n">
        <v>0</v>
      </c>
      <c r="Q653" s="46" t="n">
        <v>0</v>
      </c>
      <c r="R653" s="46" t="n">
        <v>34790.878</v>
      </c>
      <c r="S653" s="46" t="n">
        <v>287886.204</v>
      </c>
      <c r="T653" s="46" t="n">
        <v>51884.183</v>
      </c>
      <c r="U653" s="46" t="n">
        <v>34790.878</v>
      </c>
      <c r="V653" s="46" t="n"/>
      <c r="W653" s="46" t="n"/>
      <c r="X653" s="46" t="n"/>
      <c r="Y653" s="46" t="n"/>
      <c r="Z653" s="46" t="n"/>
      <c r="AA653" s="46" t="n"/>
      <c r="AB653" s="46" t="n">
        <v>100</v>
      </c>
    </row>
    <row r="654" ht="14" customHeight="1">
      <c r="A654" s="15" t="n">
        <v>2009</v>
      </c>
      <c r="B654" s="43">
        <f>IF((A654&gt;=2022),ROUND((((Z654*((V654+W654)+X654))/Y654)/AA654),2),(C654*AB654))</f>
        <v/>
      </c>
      <c r="C654" s="44">
        <f>(((((((((((((((D654+E654)+F654)+G654)+H654)+I654)+J654)+K654)+L654)+M654)+N654)+O654)+P654)+Q654)+R654)/((S654+T654)+U654))</f>
        <v/>
      </c>
      <c r="D654" s="44" t="n">
        <v>0.483</v>
      </c>
      <c r="E654" s="44" t="n">
        <v>0</v>
      </c>
      <c r="F654" s="44" t="n">
        <v>0</v>
      </c>
      <c r="G654" s="44" t="n">
        <v>2537.443</v>
      </c>
      <c r="H654" s="44" t="n">
        <v>262752.135</v>
      </c>
      <c r="I654" s="44" t="n">
        <v>0</v>
      </c>
      <c r="J654" s="44" t="n">
        <v>0</v>
      </c>
      <c r="K654" s="44" t="n">
        <v>0</v>
      </c>
      <c r="L654" s="44" t="n">
        <v>0</v>
      </c>
      <c r="M654" s="44" t="n">
        <v>46334.866</v>
      </c>
      <c r="N654" s="44" t="n">
        <v>0</v>
      </c>
      <c r="O654" s="44" t="n">
        <v>0</v>
      </c>
      <c r="P654" s="44" t="n">
        <v>0</v>
      </c>
      <c r="Q654" s="44" t="n">
        <v>0</v>
      </c>
      <c r="R654" s="44" t="n">
        <v>31853.638</v>
      </c>
      <c r="S654" s="44" t="n">
        <v>280641.743</v>
      </c>
      <c r="T654" s="44" t="n">
        <v>46334.866</v>
      </c>
      <c r="U654" s="44" t="n">
        <v>31853.638</v>
      </c>
      <c r="V654" s="44" t="n"/>
      <c r="W654" s="44" t="n"/>
      <c r="X654" s="44" t="n"/>
      <c r="Y654" s="44" t="n"/>
      <c r="Z654" s="44" t="n"/>
      <c r="AA654" s="44" t="n"/>
      <c r="AB654" s="44" t="n">
        <v>100</v>
      </c>
    </row>
    <row r="655" ht="14" customHeight="1">
      <c r="A655" s="21" t="n">
        <v>2010</v>
      </c>
      <c r="B655" s="45">
        <f>IF((A655&gt;=2022),ROUND((((Z655*((V655+W655)+X655))/Y655)/AA655),2),(C655*AB655))</f>
        <v/>
      </c>
      <c r="C655" s="46">
        <f>(((((((((((((((D655+E655)+F655)+G655)+H655)+I655)+J655)+K655)+L655)+M655)+N655)+O655)+P655)+Q655)+R655)/((S655+T655)+U655))</f>
        <v/>
      </c>
      <c r="D655" s="46" t="n">
        <v>0.476</v>
      </c>
      <c r="E655" s="46" t="n">
        <v>0</v>
      </c>
      <c r="F655" s="46" t="n">
        <v>0</v>
      </c>
      <c r="G655" s="46" t="n">
        <v>2660.352</v>
      </c>
      <c r="H655" s="46" t="n">
        <v>260489.882</v>
      </c>
      <c r="I655" s="46" t="n">
        <v>0</v>
      </c>
      <c r="J655" s="46" t="n">
        <v>0</v>
      </c>
      <c r="K655" s="46" t="n">
        <v>0</v>
      </c>
      <c r="L655" s="46" t="n">
        <v>0</v>
      </c>
      <c r="M655" s="46" t="n">
        <v>46700.957</v>
      </c>
      <c r="N655" s="46" t="n">
        <v>0</v>
      </c>
      <c r="O655" s="46" t="n">
        <v>0</v>
      </c>
      <c r="P655" s="46" t="n">
        <v>0</v>
      </c>
      <c r="Q655" s="46" t="n">
        <v>0</v>
      </c>
      <c r="R655" s="46" t="n">
        <v>32120.035</v>
      </c>
      <c r="S655" s="46" t="n">
        <v>279992.442</v>
      </c>
      <c r="T655" s="46" t="n">
        <v>46700.957</v>
      </c>
      <c r="U655" s="46" t="n">
        <v>32120.035</v>
      </c>
      <c r="V655" s="46" t="n"/>
      <c r="W655" s="46" t="n"/>
      <c r="X655" s="46" t="n"/>
      <c r="Y655" s="46" t="n"/>
      <c r="Z655" s="46" t="n"/>
      <c r="AA655" s="46" t="n"/>
      <c r="AB655" s="46" t="n">
        <v>100</v>
      </c>
    </row>
    <row r="656" ht="14" customHeight="1">
      <c r="A656" s="15" t="n">
        <v>2011</v>
      </c>
      <c r="B656" s="43">
        <f>IF((A656&gt;=2022),ROUND((((Z656*((V656+W656)+X656))/Y656)/AA656),2),(C656*AB656))</f>
        <v/>
      </c>
      <c r="C656" s="44">
        <f>(((((((((((((((D656+E656)+F656)+G656)+H656)+I656)+J656)+K656)+L656)+M656)+N656)+O656)+P656)+Q656)+R656)/((S656+T656)+U656))</f>
        <v/>
      </c>
      <c r="D656" s="44" t="n">
        <v>0.469</v>
      </c>
      <c r="E656" s="44" t="n">
        <v>0</v>
      </c>
      <c r="F656" s="44" t="n">
        <v>0</v>
      </c>
      <c r="G656" s="44" t="n">
        <v>3032.095</v>
      </c>
      <c r="H656" s="44" t="n">
        <v>258278.301</v>
      </c>
      <c r="I656" s="44" t="n">
        <v>0</v>
      </c>
      <c r="J656" s="44" t="n">
        <v>0</v>
      </c>
      <c r="K656" s="44" t="n">
        <v>0</v>
      </c>
      <c r="L656" s="44" t="n">
        <v>0</v>
      </c>
      <c r="M656" s="44" t="n">
        <v>46535.697</v>
      </c>
      <c r="N656" s="44" t="n">
        <v>0</v>
      </c>
      <c r="O656" s="44" t="n">
        <v>0</v>
      </c>
      <c r="P656" s="44" t="n">
        <v>0</v>
      </c>
      <c r="Q656" s="44" t="n">
        <v>0</v>
      </c>
      <c r="R656" s="44" t="n">
        <v>33070.273</v>
      </c>
      <c r="S656" s="44" t="n">
        <v>278951.01</v>
      </c>
      <c r="T656" s="44" t="n">
        <v>46535.697</v>
      </c>
      <c r="U656" s="44" t="n">
        <v>33070.273</v>
      </c>
      <c r="V656" s="44" t="n"/>
      <c r="W656" s="44" t="n"/>
      <c r="X656" s="44" t="n"/>
      <c r="Y656" s="44" t="n"/>
      <c r="Z656" s="44" t="n"/>
      <c r="AA656" s="44" t="n"/>
      <c r="AB656" s="44" t="n">
        <v>100</v>
      </c>
    </row>
    <row r="657" ht="14" customHeight="1">
      <c r="A657" s="21" t="n">
        <v>2012</v>
      </c>
      <c r="B657" s="45">
        <f>IF((A657&gt;=2022),ROUND((((Z657*((V657+W657)+X657))/Y657)/AA657),2),(C657*AB657))</f>
        <v/>
      </c>
      <c r="C657" s="46">
        <f>(((((((((((((((D657+E657)+F657)+G657)+H657)+I657)+J657)+K657)+L657)+M657)+N657)+O657)+P657)+Q657)+R657)/((S657+T657)+U657))</f>
        <v/>
      </c>
      <c r="D657" s="46" t="n">
        <v>0.477</v>
      </c>
      <c r="E657" s="46" t="n">
        <v>0</v>
      </c>
      <c r="F657" s="46" t="n">
        <v>0</v>
      </c>
      <c r="G657" s="46" t="n">
        <v>2833.788</v>
      </c>
      <c r="H657" s="46" t="n">
        <v>247925.899</v>
      </c>
      <c r="I657" s="46" t="n">
        <v>0</v>
      </c>
      <c r="J657" s="46" t="n">
        <v>0</v>
      </c>
      <c r="K657" s="46" t="n">
        <v>0</v>
      </c>
      <c r="L657" s="46" t="n">
        <v>0</v>
      </c>
      <c r="M657" s="46" t="n">
        <v>43487.329</v>
      </c>
      <c r="N657" s="46" t="n">
        <v>0</v>
      </c>
      <c r="O657" s="46" t="n">
        <v>0</v>
      </c>
      <c r="P657" s="46" t="n">
        <v>0</v>
      </c>
      <c r="Q657" s="46" t="n">
        <v>0</v>
      </c>
      <c r="R657" s="46" t="n">
        <v>32613.426</v>
      </c>
      <c r="S657" s="46" t="n">
        <v>269187.624</v>
      </c>
      <c r="T657" s="46" t="n">
        <v>43487.329</v>
      </c>
      <c r="U657" s="46" t="n">
        <v>32613.426</v>
      </c>
      <c r="V657" s="46" t="n"/>
      <c r="W657" s="46" t="n"/>
      <c r="X657" s="46" t="n"/>
      <c r="Y657" s="46" t="n"/>
      <c r="Z657" s="46" t="n"/>
      <c r="AA657" s="46" t="n"/>
      <c r="AB657" s="46" t="n">
        <v>100</v>
      </c>
    </row>
    <row r="658" ht="14" customHeight="1">
      <c r="A658" s="15" t="n">
        <v>2013</v>
      </c>
      <c r="B658" s="43">
        <f>IF((A658&gt;=2022),ROUND((((Z658*((V658+W658)+X658))/Y658)/AA658),2),(C658*AB658))</f>
        <v/>
      </c>
      <c r="C658" s="44">
        <f>(((((((((((((((D658+E658)+F658)+G658)+H658)+I658)+J658)+K658)+L658)+M658)+N658)+O658)+P658)+Q658)+R658)/((S658+T658)+U658))</f>
        <v/>
      </c>
      <c r="D658" s="44" t="n">
        <v>0.488</v>
      </c>
      <c r="E658" s="44" t="n">
        <v>0</v>
      </c>
      <c r="F658" s="44" t="n">
        <v>0</v>
      </c>
      <c r="G658" s="44" t="n">
        <v>3119.998</v>
      </c>
      <c r="H658" s="44" t="n">
        <v>245368.584</v>
      </c>
      <c r="I658" s="44" t="n">
        <v>0</v>
      </c>
      <c r="J658" s="44" t="n">
        <v>0</v>
      </c>
      <c r="K658" s="44" t="n">
        <v>0</v>
      </c>
      <c r="L658" s="44" t="n">
        <v>0.315</v>
      </c>
      <c r="M658" s="44" t="n">
        <v>41030.449</v>
      </c>
      <c r="N658" s="44" t="n">
        <v>0</v>
      </c>
      <c r="O658" s="44" t="n">
        <v>0</v>
      </c>
      <c r="P658" s="44" t="n">
        <v>0</v>
      </c>
      <c r="Q658" s="44" t="n">
        <v>0</v>
      </c>
      <c r="R658" s="44" t="n">
        <v>32756.397</v>
      </c>
      <c r="S658" s="44" t="n">
        <v>265449.955</v>
      </c>
      <c r="T658" s="44" t="n">
        <v>41030.763</v>
      </c>
      <c r="U658" s="44" t="n">
        <v>32756.397</v>
      </c>
      <c r="V658" s="44" t="n"/>
      <c r="W658" s="44" t="n"/>
      <c r="X658" s="44" t="n"/>
      <c r="Y658" s="44" t="n"/>
      <c r="Z658" s="44" t="n"/>
      <c r="AA658" s="44" t="n"/>
      <c r="AB658" s="44" t="n">
        <v>100</v>
      </c>
    </row>
    <row r="659" ht="14" customHeight="1">
      <c r="A659" s="21" t="n">
        <v>2014</v>
      </c>
      <c r="B659" s="45">
        <f>IF((A659&gt;=2022),ROUND((((Z659*((V659+W659)+X659))/Y659)/AA659),2),(C659*AB659))</f>
        <v/>
      </c>
      <c r="C659" s="46">
        <f>(((((((((((((((D659+E659)+F659)+G659)+H659)+I659)+J659)+K659)+L659)+M659)+N659)+O659)+P659)+Q659)+R659)/((S659+T659)+U659))</f>
        <v/>
      </c>
      <c r="D659" s="46" t="n">
        <v>1.154</v>
      </c>
      <c r="E659" s="46" t="n">
        <v>0</v>
      </c>
      <c r="F659" s="46" t="n">
        <v>0</v>
      </c>
      <c r="G659" s="46" t="n">
        <v>2993.783</v>
      </c>
      <c r="H659" s="46" t="n">
        <v>248039.318</v>
      </c>
      <c r="I659" s="46" t="n">
        <v>0</v>
      </c>
      <c r="J659" s="46" t="n">
        <v>0</v>
      </c>
      <c r="K659" s="46" t="n">
        <v>0</v>
      </c>
      <c r="L659" s="46" t="n">
        <v>0.523</v>
      </c>
      <c r="M659" s="46" t="n">
        <v>39835.806</v>
      </c>
      <c r="N659" s="46" t="n">
        <v>0</v>
      </c>
      <c r="O659" s="46" t="n">
        <v>0</v>
      </c>
      <c r="P659" s="46" t="n">
        <v>0</v>
      </c>
      <c r="Q659" s="46" t="n">
        <v>0</v>
      </c>
      <c r="R659" s="46" t="n">
        <v>33171.779</v>
      </c>
      <c r="S659" s="46" t="n">
        <v>268808.993</v>
      </c>
      <c r="T659" s="46" t="n">
        <v>39836.329</v>
      </c>
      <c r="U659" s="46" t="n">
        <v>33171.779</v>
      </c>
      <c r="V659" s="46" t="n"/>
      <c r="W659" s="46" t="n"/>
      <c r="X659" s="46" t="n"/>
      <c r="Y659" s="46" t="n"/>
      <c r="Z659" s="46" t="n"/>
      <c r="AA659" s="46" t="n"/>
      <c r="AB659" s="46" t="n">
        <v>100</v>
      </c>
    </row>
    <row r="660" ht="14" customHeight="1">
      <c r="A660" s="15" t="n">
        <v>2015</v>
      </c>
      <c r="B660" s="43">
        <f>IF((A660&gt;=2022),ROUND((((Z660*((V660+W660)+X660))/Y660)/AA660),2),(C660*AB660))</f>
        <v/>
      </c>
      <c r="C660" s="44">
        <f>(((((((((((((((D660+E660)+F660)+G660)+H660)+I660)+J660)+K660)+L660)+M660)+N660)+O660)+P660)+Q660)+R660)/((S660+T660)+U660))</f>
        <v/>
      </c>
      <c r="D660" s="44" t="n">
        <v>1.192</v>
      </c>
      <c r="E660" s="44" t="n">
        <v>0</v>
      </c>
      <c r="F660" s="44" t="n">
        <v>0</v>
      </c>
      <c r="G660" s="44" t="n">
        <v>3031.348</v>
      </c>
      <c r="H660" s="44" t="n">
        <v>251580.015</v>
      </c>
      <c r="I660" s="44" t="n">
        <v>0</v>
      </c>
      <c r="J660" s="44" t="n">
        <v>0</v>
      </c>
      <c r="K660" s="44" t="n">
        <v>0</v>
      </c>
      <c r="L660" s="44" t="n">
        <v>5.384</v>
      </c>
      <c r="M660" s="44" t="n">
        <v>40306.194</v>
      </c>
      <c r="N660" s="44" t="n">
        <v>0</v>
      </c>
      <c r="O660" s="44" t="n">
        <v>0</v>
      </c>
      <c r="P660" s="44" t="n">
        <v>0</v>
      </c>
      <c r="Q660" s="44" t="n">
        <v>0</v>
      </c>
      <c r="R660" s="44" t="n">
        <v>34568.166</v>
      </c>
      <c r="S660" s="44" t="n">
        <v>272463.417</v>
      </c>
      <c r="T660" s="44" t="n">
        <v>40311.578</v>
      </c>
      <c r="U660" s="44" t="n">
        <v>34568.166</v>
      </c>
      <c r="V660" s="44" t="n"/>
      <c r="W660" s="44" t="n"/>
      <c r="X660" s="44" t="n"/>
      <c r="Y660" s="44" t="n"/>
      <c r="Z660" s="44" t="n"/>
      <c r="AA660" s="44" t="n"/>
      <c r="AB660" s="44" t="n">
        <v>100</v>
      </c>
    </row>
    <row r="661" ht="14" customHeight="1">
      <c r="A661" s="21" t="n">
        <v>2016</v>
      </c>
      <c r="B661" s="45">
        <f>IF((A661&gt;=2022),ROUND((((Z661*((V661+W661)+X661))/Y661)/AA661),2),(C661*AB661))</f>
        <v/>
      </c>
      <c r="C661" s="46">
        <f>(((((((((((((((D661+E661)+F661)+G661)+H661)+I661)+J661)+K661)+L661)+M661)+N661)+O661)+P661)+Q661)+R661)/((S661+T661)+U661))</f>
        <v/>
      </c>
      <c r="D661" s="46" t="n">
        <v>1.159</v>
      </c>
      <c r="E661" s="46" t="n">
        <v>0</v>
      </c>
      <c r="F661" s="46" t="n">
        <v>0</v>
      </c>
      <c r="G661" s="46" t="n">
        <v>3198.345</v>
      </c>
      <c r="H661" s="46" t="n">
        <v>257911.861</v>
      </c>
      <c r="I661" s="46" t="n">
        <v>0</v>
      </c>
      <c r="J661" s="46" t="n">
        <v>0</v>
      </c>
      <c r="K661" s="46" t="n">
        <v>0</v>
      </c>
      <c r="L661" s="46" t="n">
        <v>1.771</v>
      </c>
      <c r="M661" s="46" t="n">
        <v>41538.432</v>
      </c>
      <c r="N661" s="46" t="n">
        <v>0</v>
      </c>
      <c r="O661" s="46" t="n">
        <v>0</v>
      </c>
      <c r="P661" s="46" t="n">
        <v>0</v>
      </c>
      <c r="Q661" s="46" t="n">
        <v>0</v>
      </c>
      <c r="R661" s="46" t="n">
        <v>36227.853</v>
      </c>
      <c r="S661" s="46" t="n">
        <v>278736.337</v>
      </c>
      <c r="T661" s="46" t="n">
        <v>41540.203</v>
      </c>
      <c r="U661" s="46" t="n">
        <v>36227.853</v>
      </c>
      <c r="V661" s="46" t="n"/>
      <c r="W661" s="46" t="n"/>
      <c r="X661" s="46" t="n"/>
      <c r="Y661" s="46" t="n"/>
      <c r="Z661" s="46" t="n"/>
      <c r="AA661" s="46" t="n"/>
      <c r="AB661" s="46" t="n">
        <v>100</v>
      </c>
    </row>
    <row r="662" ht="14" customHeight="1">
      <c r="A662" s="15" t="n">
        <v>2017</v>
      </c>
      <c r="B662" s="43">
        <f>IF((A662&gt;=2022),ROUND((((Z662*((V662+W662)+X662))/Y662)/AA662),2),(C662*AB662))</f>
        <v/>
      </c>
      <c r="C662" s="44">
        <f>(((((((((((((((D662+E662)+F662)+G662)+H662)+I662)+J662)+K662)+L662)+M662)+N662)+O662)+P662)+Q662)+R662)/((S662+T662)+U662))</f>
        <v/>
      </c>
      <c r="D662" s="44" t="n">
        <v>1.357</v>
      </c>
      <c r="E662" s="44" t="n">
        <v>0</v>
      </c>
      <c r="F662" s="44" t="n">
        <v>0</v>
      </c>
      <c r="G662" s="44" t="n">
        <v>3304.196</v>
      </c>
      <c r="H662" s="44" t="n">
        <v>262345.946</v>
      </c>
      <c r="I662" s="44" t="n">
        <v>0</v>
      </c>
      <c r="J662" s="44" t="n">
        <v>0</v>
      </c>
      <c r="K662" s="44" t="n">
        <v>0</v>
      </c>
      <c r="L662" s="44" t="n">
        <v>49.946</v>
      </c>
      <c r="M662" s="44" t="n">
        <v>42128.09</v>
      </c>
      <c r="N662" s="44" t="n">
        <v>0</v>
      </c>
      <c r="O662" s="44" t="n">
        <v>0</v>
      </c>
      <c r="P662" s="44" t="n">
        <v>0</v>
      </c>
      <c r="Q662" s="44" t="n">
        <v>0</v>
      </c>
      <c r="R662" s="44" t="n">
        <v>38957.262</v>
      </c>
      <c r="S662" s="44" t="n">
        <v>284509.207</v>
      </c>
      <c r="T662" s="44" t="n">
        <v>42178.037</v>
      </c>
      <c r="U662" s="44" t="n">
        <v>38957.262</v>
      </c>
      <c r="V662" s="44" t="n"/>
      <c r="W662" s="44" t="n"/>
      <c r="X662" s="44" t="n"/>
      <c r="Y662" s="44" t="n"/>
      <c r="Z662" s="44" t="n"/>
      <c r="AA662" s="44" t="n"/>
      <c r="AB662" s="44" t="n">
        <v>100</v>
      </c>
    </row>
    <row r="663" ht="14" customHeight="1">
      <c r="A663" s="21" t="n">
        <v>2018</v>
      </c>
      <c r="B663" s="45">
        <f>IF((A663&gt;=2022),ROUND((((Z663*((V663+W663)+X663))/Y663)/AA663),2),(C663*AB663))</f>
        <v/>
      </c>
      <c r="C663" s="46">
        <f>(((((((((((((((D663+E663)+F663)+G663)+H663)+I663)+J663)+K663)+L663)+M663)+N663)+O663)+P663)+Q663)+R663)/((S663+T663)+U663))</f>
        <v/>
      </c>
      <c r="D663" s="46" t="n">
        <v>1</v>
      </c>
      <c r="E663" s="46" t="n">
        <v>0</v>
      </c>
      <c r="F663" s="46" t="n">
        <v>0</v>
      </c>
      <c r="G663" s="46" t="n">
        <v>3488.227</v>
      </c>
      <c r="H663" s="46" t="n">
        <v>262127.378</v>
      </c>
      <c r="I663" s="46" t="n">
        <v>0</v>
      </c>
      <c r="J663" s="46" t="n">
        <v>0</v>
      </c>
      <c r="K663" s="46" t="n">
        <v>0</v>
      </c>
      <c r="L663" s="46" t="n">
        <v>62.757</v>
      </c>
      <c r="M663" s="46" t="n">
        <v>43336.539</v>
      </c>
      <c r="N663" s="46" t="n">
        <v>0</v>
      </c>
      <c r="O663" s="46" t="n">
        <v>0</v>
      </c>
      <c r="P663" s="46" t="n">
        <v>0</v>
      </c>
      <c r="Q663" s="46" t="n">
        <v>0</v>
      </c>
      <c r="R663" s="46" t="n">
        <v>41014.912</v>
      </c>
      <c r="S663" s="46" t="n">
        <v>285944.665</v>
      </c>
      <c r="T663" s="46" t="n">
        <v>43415.986</v>
      </c>
      <c r="U663" s="46" t="n">
        <v>41014.917</v>
      </c>
      <c r="V663" s="46" t="n"/>
      <c r="W663" s="46" t="n"/>
      <c r="X663" s="46" t="n"/>
      <c r="Y663" s="46" t="n"/>
      <c r="Z663" s="46" t="n"/>
      <c r="AA663" s="46" t="n"/>
      <c r="AB663" s="46" t="n">
        <v>100</v>
      </c>
    </row>
    <row r="664" ht="14" customHeight="1">
      <c r="A664" s="15" t="n">
        <v>2019</v>
      </c>
      <c r="B664" s="43">
        <f>IF((A664&gt;=2022),ROUND((((Z664*((V664+W664)+X664))/Y664)/AA664),2),(C664*AB664))</f>
        <v/>
      </c>
      <c r="C664" s="44">
        <f>(((((((((((((((D664+E664)+F664)+G664)+H664)+I664)+J664)+K664)+L664)+M664)+N664)+O664)+P664)+Q664)+R664)/((S664+T664)+U664))</f>
        <v/>
      </c>
      <c r="D664" s="44" t="n">
        <v>0.581</v>
      </c>
      <c r="E664" s="44" t="n">
        <v>0</v>
      </c>
      <c r="F664" s="44" t="n">
        <v>0</v>
      </c>
      <c r="G664" s="44" t="n">
        <v>3705.199</v>
      </c>
      <c r="H664" s="44" t="n">
        <v>264124.082</v>
      </c>
      <c r="I664" s="44" t="n">
        <v>0</v>
      </c>
      <c r="J664" s="44" t="n">
        <v>0</v>
      </c>
      <c r="K664" s="44" t="n">
        <v>0</v>
      </c>
      <c r="L664" s="44" t="n">
        <v>142.47</v>
      </c>
      <c r="M664" s="44" t="n">
        <v>42915.162</v>
      </c>
      <c r="N664" s="44" t="n">
        <v>0</v>
      </c>
      <c r="O664" s="44" t="n">
        <v>0</v>
      </c>
      <c r="P664" s="44" t="n">
        <v>0</v>
      </c>
      <c r="Q664" s="44" t="n">
        <v>0</v>
      </c>
      <c r="R664" s="44" t="n">
        <v>41791.909</v>
      </c>
      <c r="S664" s="44" t="n">
        <v>288722.807</v>
      </c>
      <c r="T664" s="44" t="n">
        <v>43105.004</v>
      </c>
      <c r="U664" s="44" t="n">
        <v>41791.909</v>
      </c>
      <c r="V664" s="44" t="n"/>
      <c r="W664" s="44" t="n"/>
      <c r="X664" s="44" t="n"/>
      <c r="Y664" s="44" t="n"/>
      <c r="Z664" s="44" t="n"/>
      <c r="AA664" s="44" t="n"/>
      <c r="AB664" s="44" t="n">
        <v>100</v>
      </c>
    </row>
    <row r="665" ht="14" customHeight="1">
      <c r="A665" s="21" t="n">
        <v>2020</v>
      </c>
      <c r="B665" s="45">
        <f>IF((A665&gt;=2022),ROUND((((Z665*((V665+W665)+X665))/Y665)/AA665),2),(C665*AB665))</f>
        <v/>
      </c>
      <c r="C665" s="46">
        <f>(((((((((((((((D665+E665)+F665)+G665)+H665)+I665)+J665)+K665)+L665)+M665)+N665)+O665)+P665)+Q665)+R665)/((S665+T665)+U665))</f>
        <v/>
      </c>
      <c r="D665" s="46" t="n">
        <v>0.351</v>
      </c>
      <c r="E665" s="46" t="n">
        <v>0</v>
      </c>
      <c r="F665" s="46" t="n">
        <v>0</v>
      </c>
      <c r="G665" s="46" t="n">
        <v>3066.1</v>
      </c>
      <c r="H665" s="46" t="n">
        <v>227702.745</v>
      </c>
      <c r="I665" s="46" t="n">
        <v>0</v>
      </c>
      <c r="J665" s="46" t="n">
        <v>0</v>
      </c>
      <c r="K665" s="46" t="n">
        <v>0</v>
      </c>
      <c r="L665" s="46" t="n">
        <v>180.764</v>
      </c>
      <c r="M665" s="46" t="n">
        <v>38583.15</v>
      </c>
      <c r="N665" s="46" t="n">
        <v>0</v>
      </c>
      <c r="O665" s="46" t="n">
        <v>0</v>
      </c>
      <c r="P665" s="46" t="n">
        <v>0</v>
      </c>
      <c r="Q665" s="46" t="n">
        <v>0</v>
      </c>
      <c r="R665" s="46" t="n">
        <v>18041.534</v>
      </c>
      <c r="S665" s="46" t="n">
        <v>251439.587</v>
      </c>
      <c r="T665" s="46" t="n">
        <v>39000.265</v>
      </c>
      <c r="U665" s="46" t="n">
        <v>18041.534</v>
      </c>
      <c r="V665" s="46" t="n"/>
      <c r="W665" s="46" t="n"/>
      <c r="X665" s="46" t="n"/>
      <c r="Y665" s="46" t="n"/>
      <c r="Z665" s="46" t="n"/>
      <c r="AA665" s="46" t="n"/>
      <c r="AB665" s="46" t="n">
        <v>100</v>
      </c>
    </row>
    <row r="666" ht="14" customHeight="1">
      <c r="A666" s="15" t="n">
        <v>2021</v>
      </c>
      <c r="B666" s="43">
        <f>IF((A666&gt;=2022),ROUND((((Z666*((V666+W666)+X666))/Y666)/AA666),2),(C666*AB666))</f>
        <v/>
      </c>
      <c r="C666" s="44">
        <f>(((((((((((((((D666+E666)+F666)+G666)+H666)+I666)+J666)+K666)+L666)+M666)+N666)+O666)+P666)+Q666)+R666)/((S666+T666)+U666))</f>
        <v/>
      </c>
      <c r="D666" s="44" t="n">
        <v>0.412</v>
      </c>
      <c r="E666" s="44" t="n">
        <v>0</v>
      </c>
      <c r="F666" s="44" t="n">
        <v>0</v>
      </c>
      <c r="G666" s="44" t="n">
        <v>3718.087</v>
      </c>
      <c r="H666" s="44" t="n">
        <v>249154.434</v>
      </c>
      <c r="I666" s="44" t="n">
        <v>0</v>
      </c>
      <c r="J666" s="44" t="n">
        <v>0</v>
      </c>
      <c r="K666" s="44" t="n">
        <v>0</v>
      </c>
      <c r="L666" s="44" t="n">
        <v>264.047</v>
      </c>
      <c r="M666" s="44" t="n">
        <v>40330.599</v>
      </c>
      <c r="N666" s="44" t="n">
        <v>0</v>
      </c>
      <c r="O666" s="44" t="n">
        <v>0</v>
      </c>
      <c r="P666" s="44" t="n">
        <v>0</v>
      </c>
      <c r="Q666" s="44" t="n">
        <v>0</v>
      </c>
      <c r="R666" s="44" t="n">
        <v>21496.071</v>
      </c>
      <c r="S666" s="44" t="n">
        <v>274834.948</v>
      </c>
      <c r="T666" s="44" t="n">
        <v>40760.758</v>
      </c>
      <c r="U666" s="44" t="n">
        <v>21496.071</v>
      </c>
      <c r="V666" s="44" t="n"/>
      <c r="W666" s="44" t="n"/>
      <c r="X666" s="44" t="n"/>
      <c r="Y666" s="44" t="n"/>
      <c r="Z666" s="44" t="n"/>
      <c r="AA666" s="44" t="n"/>
      <c r="AB666" s="44" t="n">
        <v>100</v>
      </c>
    </row>
    <row r="667" ht="14" customHeight="1">
      <c r="A667" s="21" t="n">
        <v>2022</v>
      </c>
      <c r="B667" s="45">
        <f>IF((A667&gt;=2022),ROUND((((Z667*((V667+W667)+X667))/Y667)/AA667),2),(C667*AB667))</f>
        <v/>
      </c>
      <c r="C667" s="46">
        <f>(((((((((((((((D667+E667)+F667)+G667)+H667)+I667)+J667)+K667)+L667)+M667)+N667)+O667)+P667)+Q667)+R667)/((S667+T667)+U667))</f>
        <v/>
      </c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>
        <v>2963833.369</v>
      </c>
      <c r="W667" s="46" t="n">
        <v>38675.108</v>
      </c>
      <c r="X667" s="46" t="n">
        <v>5.322</v>
      </c>
      <c r="Y667" s="46" t="n">
        <v>3262504.29</v>
      </c>
      <c r="Z667" s="46" t="n">
        <v>93.44</v>
      </c>
      <c r="AA667" s="46" t="n">
        <v>0.920608</v>
      </c>
      <c r="AB667" s="46" t="n">
        <v>100</v>
      </c>
    </row>
    <row r="668" ht="14" customHeight="1">
      <c r="A668" s="15" t="n">
        <v>2023</v>
      </c>
      <c r="B668" s="43">
        <f>IF((A668&gt;=2022),ROUND((((Z668*((V668+W668)+X668))/Y668)/AA668),2),(C668*AB668))</f>
        <v/>
      </c>
      <c r="C668" s="44">
        <f>(((((((((((((((D668+E668)+F668)+G668)+H668)+I668)+J668)+K668)+L668)+M668)+N668)+O668)+P668)+Q668)+R668)/((S668+T668)+U668))</f>
        <v/>
      </c>
      <c r="D668" s="44" t="n"/>
      <c r="E668" s="44" t="n"/>
      <c r="F668" s="44" t="n"/>
      <c r="G668" s="44" t="n"/>
      <c r="H668" s="44" t="n"/>
      <c r="I668" s="44" t="n"/>
      <c r="J668" s="44" t="n"/>
      <c r="K668" s="44" t="n"/>
      <c r="L668" s="44" t="n"/>
      <c r="M668" s="44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>
        <v>2942574.626</v>
      </c>
      <c r="W668" s="44" t="n">
        <v>37106.605</v>
      </c>
      <c r="X668" s="44" t="n">
        <v>4.452</v>
      </c>
      <c r="Y668" s="44" t="n">
        <v>3254970.995</v>
      </c>
      <c r="Z668" s="44" t="n">
        <v>93.44</v>
      </c>
      <c r="AA668" s="44" t="n">
        <v>0.920608</v>
      </c>
      <c r="AB668" s="44" t="n">
        <v>100</v>
      </c>
    </row>
    <row r="669" ht="14" customHeight="1">
      <c r="A669" s="21" t="n">
        <v>2024</v>
      </c>
      <c r="B669" s="45">
        <f>IF((A669&gt;=2022),ROUND((((Z669*((V669+W669)+X669))/Y669)/AA669),2),(C669*AB669))</f>
        <v/>
      </c>
      <c r="C669" s="46">
        <f>(((((((((((((((D669+E669)+F669)+G669)+H669)+I669)+J669)+K669)+L669)+M669)+N669)+O669)+P669)+Q669)+R669)/((S669+T669)+U669))</f>
        <v/>
      </c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>
        <v>2991857.74</v>
      </c>
      <c r="W669" s="46" t="n">
        <v>37201.655</v>
      </c>
      <c r="X669" s="46" t="n">
        <v>5.083</v>
      </c>
      <c r="Y669" s="46" t="n">
        <v>3299731.965</v>
      </c>
      <c r="Z669" s="46" t="n">
        <v>93.44</v>
      </c>
      <c r="AA669" s="46" t="n">
        <v>0.920608</v>
      </c>
      <c r="AB669" s="46" t="n">
        <v>100</v>
      </c>
    </row>
    <row r="672">
      <c r="A672" s="52" t="inlineStr">
        <is>
          <t>B1 · Residential + tertiary building GHG emissions  (Mt CO₂eq)</t>
        </is>
      </c>
    </row>
    <row r="673" ht="26" customHeight="1">
      <c r="A673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674" ht="22" customHeight="1">
      <c r="A674" s="3" t="inlineStr">
        <is>
          <t>Refreshed for 2022, 2023, 2024: Residential (CRF 1.A.4.b), Tertiary (CRF 1.A.4.a), Agriculture &amp; fisheries energy (CRF 1.A.4.c)</t>
        </is>
      </c>
    </row>
    <row r="675" ht="24" customHeight="1">
      <c r="A675" s="3" t="inlineStr">
        <is>
          <t>Derivation:  Value = [Residential (CRF 1.A.4.b)]+[Tertiary (CRF 1.A.4.a)]+[Agriculture &amp; fisheries energy (CRF 1.A.4.c)]</t>
        </is>
      </c>
    </row>
    <row r="676" ht="42" customHeight="1">
      <c r="A676" s="42" t="inlineStr">
        <is>
          <t>Year</t>
        </is>
      </c>
      <c r="B676" s="42" t="inlineStr">
        <is>
          <t>Value</t>
        </is>
      </c>
      <c r="C676" s="42" t="inlineStr">
        <is>
          <t>Residential (CRF 1.A.4.b)</t>
        </is>
      </c>
      <c r="D676" s="42" t="inlineStr">
        <is>
          <t>Tertiary (CRF 1.A.4.a)</t>
        </is>
      </c>
      <c r="E676" s="42" t="inlineStr">
        <is>
          <t>Agriculture &amp; fisheries energy (CRF 1.A.4.c)</t>
        </is>
      </c>
    </row>
    <row r="677" ht="14" customHeight="1">
      <c r="A677" s="15" t="n">
        <v>2005</v>
      </c>
      <c r="B677" s="43">
        <f>((C677+D677)+E677)</f>
        <v/>
      </c>
      <c r="C677" s="44" t="n">
        <v>426.8048486219644</v>
      </c>
      <c r="D677" s="44" t="n">
        <v>154.3626039143487</v>
      </c>
      <c r="E677" s="44" t="n">
        <v>83.87178846132228</v>
      </c>
    </row>
    <row r="678" ht="14" customHeight="1">
      <c r="A678" s="21" t="n">
        <v>2006</v>
      </c>
      <c r="B678" s="45">
        <f>((C678+D678)+E678)</f>
        <v/>
      </c>
      <c r="C678" s="46" t="n">
        <v>420.478847350464</v>
      </c>
      <c r="D678" s="46" t="n">
        <v>162.0164488697727</v>
      </c>
      <c r="E678" s="46" t="n">
        <v>80.95253645933205</v>
      </c>
    </row>
    <row r="679" ht="14" customHeight="1">
      <c r="A679" s="15" t="n">
        <v>2007</v>
      </c>
      <c r="B679" s="43">
        <f>((C679+D679)+E679)</f>
        <v/>
      </c>
      <c r="C679" s="44" t="n">
        <v>368.5614683549124</v>
      </c>
      <c r="D679" s="44" t="n">
        <v>142.7845651177743</v>
      </c>
      <c r="E679" s="44" t="n">
        <v>78.14862778170493</v>
      </c>
    </row>
    <row r="680" ht="14" customHeight="1">
      <c r="A680" s="21" t="n">
        <v>2008</v>
      </c>
      <c r="B680" s="45">
        <f>((C680+D680)+E680)</f>
        <v/>
      </c>
      <c r="C680" s="46" t="n">
        <v>399.005212707691</v>
      </c>
      <c r="D680" s="46" t="n">
        <v>157.0020964387047</v>
      </c>
      <c r="E680" s="46" t="n">
        <v>79.06271212250992</v>
      </c>
    </row>
    <row r="681" ht="14" customHeight="1">
      <c r="A681" s="15" t="n">
        <v>2009</v>
      </c>
      <c r="B681" s="43">
        <f>((C681+D681)+E681)</f>
        <v/>
      </c>
      <c r="C681" s="44" t="n">
        <v>389.5100356724113</v>
      </c>
      <c r="D681" s="44" t="n">
        <v>154.306085680938</v>
      </c>
      <c r="E681" s="44" t="n">
        <v>77.57093120676474</v>
      </c>
    </row>
    <row r="682" ht="14" customHeight="1">
      <c r="A682" s="21" t="n">
        <v>2010</v>
      </c>
      <c r="B682" s="45">
        <f>((C682+D682)+E682)</f>
        <v/>
      </c>
      <c r="C682" s="46" t="n">
        <v>412.9524927561005</v>
      </c>
      <c r="D682" s="46" t="n">
        <v>163.297379133882</v>
      </c>
      <c r="E682" s="46" t="n">
        <v>79.84155483279135</v>
      </c>
    </row>
    <row r="683" ht="14" customHeight="1">
      <c r="A683" s="15" t="n">
        <v>2011</v>
      </c>
      <c r="B683" s="43">
        <f>((C683+D683)+E683)</f>
        <v/>
      </c>
      <c r="C683" s="44" t="n">
        <v>362.0069820055989</v>
      </c>
      <c r="D683" s="44" t="n">
        <v>140.5700923362301</v>
      </c>
      <c r="E683" s="44" t="n">
        <v>78.9140848169699</v>
      </c>
    </row>
    <row r="684" ht="14" customHeight="1">
      <c r="A684" s="21" t="n">
        <v>2012</v>
      </c>
      <c r="B684" s="45">
        <f>((C684+D684)+E684)</f>
        <v/>
      </c>
      <c r="C684" s="46" t="n">
        <v>372.5484894975496</v>
      </c>
      <c r="D684" s="46" t="n">
        <v>140.7154890030444</v>
      </c>
      <c r="E684" s="46" t="n">
        <v>76.30698392996658</v>
      </c>
    </row>
    <row r="685" ht="14" customHeight="1">
      <c r="A685" s="15" t="n">
        <v>2013</v>
      </c>
      <c r="B685" s="43">
        <f>((C685+D685)+E685)</f>
        <v/>
      </c>
      <c r="C685" s="44" t="n">
        <v>375.1238761026113</v>
      </c>
      <c r="D685" s="44" t="n">
        <v>142.4791693585502</v>
      </c>
      <c r="E685" s="44" t="n">
        <v>76.29550240602613</v>
      </c>
    </row>
    <row r="686" ht="14" customHeight="1">
      <c r="A686" s="21" t="n">
        <v>2014</v>
      </c>
      <c r="B686" s="45">
        <f>((C686+D686)+E686)</f>
        <v/>
      </c>
      <c r="C686" s="46" t="n">
        <v>316.9145959151957</v>
      </c>
      <c r="D686" s="46" t="n">
        <v>124.8706464175849</v>
      </c>
      <c r="E686" s="46" t="n">
        <v>75.98940582739368</v>
      </c>
    </row>
    <row r="687" ht="14" customHeight="1">
      <c r="A687" s="15" t="n">
        <v>2015</v>
      </c>
      <c r="B687" s="43">
        <f>((C687+D687)+E687)</f>
        <v/>
      </c>
      <c r="C687" s="44" t="n">
        <v>335.1602553423199</v>
      </c>
      <c r="D687" s="44" t="n">
        <v>130.4853067684094</v>
      </c>
      <c r="E687" s="44" t="n">
        <v>75.35525698160882</v>
      </c>
    </row>
    <row r="688" ht="14" customHeight="1">
      <c r="A688" s="21" t="n">
        <v>2016</v>
      </c>
      <c r="B688" s="45">
        <f>((C688+D688)+E688)</f>
        <v/>
      </c>
      <c r="C688" s="46" t="n">
        <v>341.3184800347113</v>
      </c>
      <c r="D688" s="46" t="n">
        <v>130.8935711253598</v>
      </c>
      <c r="E688" s="46" t="n">
        <v>75.52257029529639</v>
      </c>
    </row>
    <row r="689" ht="14" customHeight="1">
      <c r="A689" s="15" t="n">
        <v>2017</v>
      </c>
      <c r="B689" s="43">
        <f>((C689+D689)+E689)</f>
        <v/>
      </c>
      <c r="C689" s="44" t="n">
        <v>338.5408877789356</v>
      </c>
      <c r="D689" s="44" t="n">
        <v>131.2843559092179</v>
      </c>
      <c r="E689" s="44" t="n">
        <v>75.90306578790768</v>
      </c>
    </row>
    <row r="690" ht="14" customHeight="1">
      <c r="A690" s="21" t="n">
        <v>2018</v>
      </c>
      <c r="B690" s="45">
        <f>((C690+D690)+E690)</f>
        <v/>
      </c>
      <c r="C690" s="46" t="n">
        <v>328.3919622628258</v>
      </c>
      <c r="D690" s="46" t="n">
        <v>127.5894355856332</v>
      </c>
      <c r="E690" s="46" t="n">
        <v>76.95089786571549</v>
      </c>
    </row>
    <row r="691" ht="14" customHeight="1">
      <c r="A691" s="15" t="n">
        <v>2019</v>
      </c>
      <c r="B691" s="43">
        <f>((C691+D691)+E691)</f>
        <v/>
      </c>
      <c r="C691" s="44" t="n">
        <v>321.1751820670957</v>
      </c>
      <c r="D691" s="44" t="n">
        <v>125.150353485651</v>
      </c>
      <c r="E691" s="44" t="n">
        <v>76.49754268952675</v>
      </c>
    </row>
    <row r="692" ht="14" customHeight="1">
      <c r="A692" s="21" t="n">
        <v>2020</v>
      </c>
      <c r="B692" s="45">
        <f>((C692+D692)+E692)</f>
        <v/>
      </c>
      <c r="C692" s="46" t="n">
        <v>319.384213034966</v>
      </c>
      <c r="D692" s="46" t="n">
        <v>122.105883957125</v>
      </c>
      <c r="E692" s="46" t="n">
        <v>78.223576624157</v>
      </c>
    </row>
    <row r="693" ht="14" customHeight="1">
      <c r="A693" s="15" t="n">
        <v>2021</v>
      </c>
      <c r="B693" s="43">
        <f>((C693+D693)+E693)</f>
        <v/>
      </c>
      <c r="C693" s="44" t="n">
        <v>324.7367614058028</v>
      </c>
      <c r="D693" s="44" t="n">
        <v>129.9027976967366</v>
      </c>
      <c r="E693" s="44" t="n">
        <v>77.89432799013916</v>
      </c>
    </row>
    <row r="694" ht="14" customHeight="1">
      <c r="A694" s="21" t="n">
        <v>2022</v>
      </c>
      <c r="B694" s="45">
        <f>((C694+D694)+E694)</f>
        <v/>
      </c>
      <c r="C694" s="46" t="n">
        <v>294.29886</v>
      </c>
      <c r="D694" s="46" t="n">
        <v>101.83575</v>
      </c>
      <c r="E694" s="46" t="n">
        <v>72.38525</v>
      </c>
    </row>
    <row r="695" ht="14" customHeight="1">
      <c r="A695" s="15" t="n">
        <v>2023</v>
      </c>
      <c r="B695" s="43">
        <f>((C695+D695)+E695)</f>
        <v/>
      </c>
      <c r="C695" s="44" t="n">
        <v>268.82398</v>
      </c>
      <c r="D695" s="44" t="n">
        <v>96.49506</v>
      </c>
      <c r="E695" s="44" t="n">
        <v>72.01813</v>
      </c>
    </row>
    <row r="696" ht="14" customHeight="1">
      <c r="A696" s="21" t="n">
        <v>2024</v>
      </c>
      <c r="B696" s="45">
        <f>((C696+D696)+E696)</f>
        <v/>
      </c>
      <c r="C696" s="46" t="n">
        <v>263.39558</v>
      </c>
      <c r="D696" s="46" t="n">
        <v>96.43300000000001</v>
      </c>
      <c r="E696" s="46" t="n">
        <v>70.87742</v>
      </c>
    </row>
    <row r="699">
      <c r="A699" s="52" t="inlineStr">
        <is>
          <t>B2 · Final energy consumption in buildings  (TWh)</t>
        </is>
      </c>
    </row>
    <row r="700" ht="26" customHeight="1">
      <c r="A700" s="48" t="inlineStr">
        <is>
          <t>No derivation for the later years — the figure is the publication's own.</t>
        </is>
      </c>
    </row>
    <row r="701" ht="24" customHeight="1">
      <c r="A701" s="3" t="inlineStr">
        <is>
          <t>Derivation:  Value = IF(A &gt;= 2022, [Post-report figure as published], ([Residential households (TJ)]+[Tertiary commercial &amp; public services (TJ)]+[Agriculture &amp; forestry (TJ)]) * [TJ → TWh (EJ2TWh/1e6)])</t>
        </is>
      </c>
    </row>
    <row r="702" ht="42" customHeight="1">
      <c r="A702" s="42" t="inlineStr">
        <is>
          <t>Year</t>
        </is>
      </c>
      <c r="B702" s="42" t="inlineStr">
        <is>
          <t>Value</t>
        </is>
      </c>
      <c r="C702" s="42" t="inlineStr">
        <is>
          <t>Tertiary commercial &amp; public services (TJ)</t>
        </is>
      </c>
      <c r="D702" s="42" t="inlineStr">
        <is>
          <t>Residential households (TJ)</t>
        </is>
      </c>
      <c r="E702" s="42" t="inlineStr">
        <is>
          <t>Agriculture &amp; forestry (TJ)</t>
        </is>
      </c>
      <c r="F702" s="42" t="inlineStr">
        <is>
          <t>TJ → TWh (EJ2TWh/1e6)</t>
        </is>
      </c>
      <c r="G702" s="42" t="inlineStr">
        <is>
          <t>Post-report figure as published</t>
        </is>
      </c>
    </row>
    <row r="703" ht="14" customHeight="1">
      <c r="A703" s="15" t="n">
        <v>2005</v>
      </c>
      <c r="B703" s="43">
        <f>IF((A703&gt;=2022),G703,(((D703+C703)+E703)*F703))</f>
        <v/>
      </c>
      <c r="C703" s="44" t="n">
        <v>5358277.234</v>
      </c>
      <c r="D703" s="44" t="n">
        <v>11150492.886</v>
      </c>
      <c r="E703" s="44" t="n">
        <v>1129993.538</v>
      </c>
      <c r="F703" s="44" t="n">
        <v>0.00027778</v>
      </c>
      <c r="G703" s="44" t="n"/>
    </row>
    <row r="704" ht="14" customHeight="1">
      <c r="A704" s="21" t="n">
        <v>2006</v>
      </c>
      <c r="B704" s="45">
        <f>IF((A704&gt;=2022),G704,(((D704+C704)+E704)*F704))</f>
        <v/>
      </c>
      <c r="C704" s="46" t="n">
        <v>5568843.689</v>
      </c>
      <c r="D704" s="46" t="n">
        <v>11111542.839</v>
      </c>
      <c r="E704" s="46" t="n">
        <v>1061267.68</v>
      </c>
      <c r="F704" s="46" t="n">
        <v>0.00027778</v>
      </c>
      <c r="G704" s="46" t="n"/>
    </row>
    <row r="705" ht="14" customHeight="1">
      <c r="A705" s="15" t="n">
        <v>2007</v>
      </c>
      <c r="B705" s="43">
        <f>IF((A705&gt;=2022),G705,(((D705+C705)+E705)*F705))</f>
        <v/>
      </c>
      <c r="C705" s="44" t="n">
        <v>5287873.17</v>
      </c>
      <c r="D705" s="44" t="n">
        <v>10435067.658</v>
      </c>
      <c r="E705" s="44" t="n">
        <v>1040200.112</v>
      </c>
      <c r="F705" s="44" t="n">
        <v>0.00027778</v>
      </c>
      <c r="G705" s="44" t="n"/>
    </row>
    <row r="706" ht="14" customHeight="1">
      <c r="A706" s="21" t="n">
        <v>2008</v>
      </c>
      <c r="B706" s="45">
        <f>IF((A706&gt;=2022),G706,(((D706+C706)+E706)*F706))</f>
        <v/>
      </c>
      <c r="C706" s="46" t="n">
        <v>5617879.957</v>
      </c>
      <c r="D706" s="46" t="n">
        <v>11064263.457</v>
      </c>
      <c r="E706" s="46" t="n">
        <v>1034996.489</v>
      </c>
      <c r="F706" s="46" t="n">
        <v>0.00027778</v>
      </c>
      <c r="G706" s="46" t="n"/>
    </row>
    <row r="707" ht="14" customHeight="1">
      <c r="A707" s="15" t="n">
        <v>2009</v>
      </c>
      <c r="B707" s="43">
        <f>IF((A707&gt;=2022),G707,(((D707+C707)+E707)*F707))</f>
        <v/>
      </c>
      <c r="C707" s="44" t="n">
        <v>5624745.467</v>
      </c>
      <c r="D707" s="44" t="n">
        <v>10985678.508</v>
      </c>
      <c r="E707" s="44" t="n">
        <v>1009232.24</v>
      </c>
      <c r="F707" s="44" t="n">
        <v>0.00027778</v>
      </c>
      <c r="G707" s="44" t="n"/>
    </row>
    <row r="708" ht="14" customHeight="1">
      <c r="A708" s="21" t="n">
        <v>2010</v>
      </c>
      <c r="B708" s="45">
        <f>IF((A708&gt;=2022),G708,(((D708+C708)+E708)*F708))</f>
        <v/>
      </c>
      <c r="C708" s="46" t="n">
        <v>5860782.63</v>
      </c>
      <c r="D708" s="46" t="n">
        <v>11678549.973</v>
      </c>
      <c r="E708" s="46" t="n">
        <v>1067822.521</v>
      </c>
      <c r="F708" s="46" t="n">
        <v>0.00027778</v>
      </c>
      <c r="G708" s="46" t="n"/>
    </row>
    <row r="709" ht="14" customHeight="1">
      <c r="A709" s="15" t="n">
        <v>2011</v>
      </c>
      <c r="B709" s="43">
        <f>IF((A709&gt;=2022),G709,(((D709+C709)+E709)*F709))</f>
        <v/>
      </c>
      <c r="C709" s="44" t="n">
        <v>5371888.051</v>
      </c>
      <c r="D709" s="44" t="n">
        <v>10546610.545</v>
      </c>
      <c r="E709" s="44" t="n">
        <v>1044721.374</v>
      </c>
      <c r="F709" s="44" t="n">
        <v>0.00027778</v>
      </c>
      <c r="G709" s="44" t="n"/>
    </row>
    <row r="710" ht="14" customHeight="1">
      <c r="A710" s="21" t="n">
        <v>2012</v>
      </c>
      <c r="B710" s="45">
        <f>IF((A710&gt;=2022),G710,(((D710+C710)+E710)*F710))</f>
        <v/>
      </c>
      <c r="C710" s="46" t="n">
        <v>5490871.928</v>
      </c>
      <c r="D710" s="46" t="n">
        <v>11012084.043</v>
      </c>
      <c r="E710" s="46" t="n">
        <v>1033812.946</v>
      </c>
      <c r="F710" s="46" t="n">
        <v>0.00027778</v>
      </c>
      <c r="G710" s="46" t="n"/>
    </row>
    <row r="711" ht="14" customHeight="1">
      <c r="A711" s="15" t="n">
        <v>2013</v>
      </c>
      <c r="B711" s="43">
        <f>IF((A711&gt;=2022),G711,(((D711+C711)+E711)*F711))</f>
        <v/>
      </c>
      <c r="C711" s="44" t="n">
        <v>5556912.212</v>
      </c>
      <c r="D711" s="44" t="n">
        <v>11141041.576</v>
      </c>
      <c r="E711" s="44" t="n">
        <v>1049292.596</v>
      </c>
      <c r="F711" s="44" t="n">
        <v>0.00027778</v>
      </c>
      <c r="G711" s="44" t="n"/>
    </row>
    <row r="712" ht="14" customHeight="1">
      <c r="A712" s="21" t="n">
        <v>2014</v>
      </c>
      <c r="B712" s="45">
        <f>IF((A712&gt;=2022),G712,(((D712+C712)+E712)*F712))</f>
        <v/>
      </c>
      <c r="C712" s="46" t="n">
        <v>5167985.017</v>
      </c>
      <c r="D712" s="46" t="n">
        <v>9824051.512</v>
      </c>
      <c r="E712" s="46" t="n">
        <v>1026576.209</v>
      </c>
      <c r="F712" s="46" t="n">
        <v>0.00027778</v>
      </c>
      <c r="G712" s="46" t="n"/>
    </row>
    <row r="713" ht="14" customHeight="1">
      <c r="A713" s="15" t="n">
        <v>2015</v>
      </c>
      <c r="B713" s="43">
        <f>IF((A713&gt;=2022),G713,(((D713+C713)+E713)*F713))</f>
        <v/>
      </c>
      <c r="C713" s="44" t="n">
        <v>5380841.638</v>
      </c>
      <c r="D713" s="44" t="n">
        <v>10259138.645</v>
      </c>
      <c r="E713" s="44" t="n">
        <v>1027088.119</v>
      </c>
      <c r="F713" s="44" t="n">
        <v>0.00027778</v>
      </c>
      <c r="G713" s="44" t="n"/>
    </row>
    <row r="714" ht="14" customHeight="1">
      <c r="A714" s="21" t="n">
        <v>2016</v>
      </c>
      <c r="B714" s="45">
        <f>IF((A714&gt;=2022),G714,(((D714+C714)+E714)*F714))</f>
        <v/>
      </c>
      <c r="C714" s="46" t="n">
        <v>5450012.051</v>
      </c>
      <c r="D714" s="46" t="n">
        <v>10503570.81</v>
      </c>
      <c r="E714" s="46" t="n">
        <v>1045031.442</v>
      </c>
      <c r="F714" s="46" t="n">
        <v>0.00027778</v>
      </c>
      <c r="G714" s="46" t="n"/>
    </row>
    <row r="715" ht="14" customHeight="1">
      <c r="A715" s="15" t="n">
        <v>2017</v>
      </c>
      <c r="B715" s="43">
        <f>IF((A715&gt;=2022),G715,(((D715+C715)+E715)*F715))</f>
        <v/>
      </c>
      <c r="C715" s="44" t="n">
        <v>5605356.875</v>
      </c>
      <c r="D715" s="44" t="n">
        <v>10538533.582</v>
      </c>
      <c r="E715" s="44" t="n">
        <v>1057853.894</v>
      </c>
      <c r="F715" s="44" t="n">
        <v>0.00027778</v>
      </c>
      <c r="G715" s="44" t="n"/>
    </row>
    <row r="716" ht="14" customHeight="1">
      <c r="A716" s="21" t="n">
        <v>2018</v>
      </c>
      <c r="B716" s="45">
        <f>IF((A716&gt;=2022),G716,(((D716+C716)+E716)*F716))</f>
        <v/>
      </c>
      <c r="C716" s="46" t="n">
        <v>5512433.223</v>
      </c>
      <c r="D716" s="46" t="n">
        <v>10456263.458</v>
      </c>
      <c r="E716" s="46" t="n">
        <v>1156192.751</v>
      </c>
      <c r="F716" s="46" t="n">
        <v>0.00027778</v>
      </c>
      <c r="G716" s="46" t="n"/>
    </row>
    <row r="717" ht="14" customHeight="1">
      <c r="A717" s="15" t="n">
        <v>2019</v>
      </c>
      <c r="B717" s="43">
        <f>IF((A717&gt;=2022),G717,(((D717+C717)+E717)*F717))</f>
        <v/>
      </c>
      <c r="C717" s="44" t="n">
        <v>5382855.9</v>
      </c>
      <c r="D717" s="44" t="n">
        <v>10390886.484</v>
      </c>
      <c r="E717" s="44" t="n">
        <v>1173620.877</v>
      </c>
      <c r="F717" s="44" t="n">
        <v>0.00027778</v>
      </c>
      <c r="G717" s="44" t="n"/>
    </row>
    <row r="718" ht="14" customHeight="1">
      <c r="A718" s="21" t="n">
        <v>2020</v>
      </c>
      <c r="B718" s="45">
        <f>IF((A718&gt;=2022),G718,(((D718+C718)+E718)*F718))</f>
        <v/>
      </c>
      <c r="C718" s="46" t="n">
        <v>5074802.382</v>
      </c>
      <c r="D718" s="46" t="n">
        <v>10388387.813</v>
      </c>
      <c r="E718" s="46" t="n">
        <v>1189811.129</v>
      </c>
      <c r="F718" s="46" t="n">
        <v>0.00027778</v>
      </c>
      <c r="G718" s="46" t="n"/>
    </row>
    <row r="719" ht="14" customHeight="1">
      <c r="A719" s="15" t="n">
        <v>2021</v>
      </c>
      <c r="B719" s="43">
        <f>IF((A719&gt;=2022),G719,(((D719+C719)+E719)*F719))</f>
        <v/>
      </c>
      <c r="C719" s="44" t="n">
        <v>5416746.214</v>
      </c>
      <c r="D719" s="44" t="n">
        <v>10959828.581</v>
      </c>
      <c r="E719" s="44" t="n">
        <v>1186691.457</v>
      </c>
      <c r="F719" s="44" t="n">
        <v>0.00027778</v>
      </c>
      <c r="G719" s="44" t="n"/>
    </row>
    <row r="720" ht="14" customHeight="1">
      <c r="A720" s="21" t="n">
        <v>2022</v>
      </c>
      <c r="B720" s="45">
        <f>IF((A720&gt;=2022),G720,(((D720+C720)+E720)*F720))</f>
        <v/>
      </c>
      <c r="C720" s="46" t="n"/>
      <c r="D720" s="46" t="n"/>
      <c r="E720" s="46" t="n"/>
      <c r="F720" s="46" t="n"/>
      <c r="G720" s="46" t="n">
        <v>4213.6</v>
      </c>
    </row>
    <row r="721" ht="14" customHeight="1">
      <c r="A721" s="15" t="n">
        <v>2023</v>
      </c>
      <c r="B721" s="43">
        <f>IF((A721&gt;=2022),G721,(((D721+C721)+E721)*F721))</f>
        <v/>
      </c>
      <c r="C721" s="44" t="n"/>
      <c r="D721" s="44" t="n"/>
      <c r="E721" s="44" t="n"/>
      <c r="F721" s="44" t="n"/>
      <c r="G721" s="44" t="n">
        <v>4037.9</v>
      </c>
    </row>
    <row r="724">
      <c r="A724" s="52" t="inlineStr">
        <is>
          <t>B4 (population) · EU population (index, 2005 = 1.0)  (index (2005 = 1.0))</t>
        </is>
      </c>
    </row>
    <row r="725" ht="26" customHeight="1">
      <c r="A725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726" ht="24" customHeight="1">
      <c r="A726" s="3" t="inlineStr">
        <is>
          <t>Derivation:  Value = IF(A &gt;= 2021, ROUND([Report baseline 2020 (index (2005 = 1.0))] * [demo_gind AVG] / [Live source at 2020 (same basis as the columns left)], 3), [Report figure (2024 report underlying data)])</t>
        </is>
      </c>
    </row>
    <row r="727" ht="42" customHeight="1">
      <c r="A727" s="42" t="inlineStr">
        <is>
          <t>Year</t>
        </is>
      </c>
      <c r="B727" s="42" t="inlineStr">
        <is>
          <t>Value</t>
        </is>
      </c>
      <c r="C727" s="42" t="inlineStr">
        <is>
          <t>Report figure (2024 report underlying data)</t>
        </is>
      </c>
      <c r="D727" s="42" t="inlineStr">
        <is>
          <t>demo_gind AVG</t>
        </is>
      </c>
      <c r="E727" s="42" t="inlineStr">
        <is>
          <t>Report baseline 2020 (index (2005 = 1.0))</t>
        </is>
      </c>
      <c r="F727" s="42" t="inlineStr">
        <is>
          <t>Live source at 2020 (same basis as the columns left)</t>
        </is>
      </c>
    </row>
    <row r="728" ht="14" customHeight="1">
      <c r="A728" s="15" t="n">
        <v>2005</v>
      </c>
      <c r="B728" s="43">
        <f>IF((A728&gt;=2021),ROUND(((E728*D728)/F728),3),C728)</f>
        <v/>
      </c>
      <c r="C728" s="44" t="n">
        <v>1</v>
      </c>
      <c r="D728" s="44" t="n"/>
      <c r="E728" s="44" t="n"/>
      <c r="F728" s="44" t="n"/>
    </row>
    <row r="729" ht="14" customHeight="1">
      <c r="A729" s="21" t="n">
        <v>2006</v>
      </c>
      <c r="B729" s="45">
        <f>IF((A729&gt;=2021),ROUND(((E729*D729)/F729),3),C729)</f>
        <v/>
      </c>
      <c r="C729" s="46" t="n">
        <v>1.003</v>
      </c>
      <c r="D729" s="46" t="n"/>
      <c r="E729" s="46" t="n"/>
      <c r="F729" s="46" t="n"/>
    </row>
    <row r="730" ht="14" customHeight="1">
      <c r="A730" s="15" t="n">
        <v>2007</v>
      </c>
      <c r="B730" s="43">
        <f>IF((A730&gt;=2021),ROUND(((E730*D730)/F730),3),C730)</f>
        <v/>
      </c>
      <c r="C730" s="44" t="n">
        <v>1.007</v>
      </c>
      <c r="D730" s="44" t="n"/>
      <c r="E730" s="44" t="n"/>
      <c r="F730" s="44" t="n"/>
    </row>
    <row r="731" ht="14" customHeight="1">
      <c r="A731" s="21" t="n">
        <v>2008</v>
      </c>
      <c r="B731" s="45">
        <f>IF((A731&gt;=2021),ROUND(((E731*D731)/F731),3),C731)</f>
        <v/>
      </c>
      <c r="C731" s="46" t="n">
        <v>1.01</v>
      </c>
      <c r="D731" s="46" t="n"/>
      <c r="E731" s="46" t="n"/>
      <c r="F731" s="46" t="n"/>
    </row>
    <row r="732" ht="14" customHeight="1">
      <c r="A732" s="15" t="n">
        <v>2009</v>
      </c>
      <c r="B732" s="43">
        <f>IF((A732&gt;=2021),ROUND(((E732*D732)/F732),3),C732)</f>
        <v/>
      </c>
      <c r="C732" s="44" t="n">
        <v>1.012</v>
      </c>
      <c r="D732" s="44" t="n"/>
      <c r="E732" s="44" t="n"/>
      <c r="F732" s="44" t="n"/>
    </row>
    <row r="733" ht="14" customHeight="1">
      <c r="A733" s="21" t="n">
        <v>2010</v>
      </c>
      <c r="B733" s="45">
        <f>IF((A733&gt;=2021),ROUND(((E733*D733)/F733),3),C733)</f>
        <v/>
      </c>
      <c r="C733" s="46" t="n">
        <v>1.014</v>
      </c>
      <c r="D733" s="46" t="n"/>
      <c r="E733" s="46" t="n"/>
      <c r="F733" s="46" t="n"/>
    </row>
    <row r="734" ht="14" customHeight="1">
      <c r="A734" s="15" t="n">
        <v>2011</v>
      </c>
      <c r="B734" s="43">
        <f>IF((A734&gt;=2021),ROUND(((E734*D734)/F734),3),C734)</f>
        <v/>
      </c>
      <c r="C734" s="44" t="n">
        <v>1.012</v>
      </c>
      <c r="D734" s="44" t="n"/>
      <c r="E734" s="44" t="n"/>
      <c r="F734" s="44" t="n"/>
    </row>
    <row r="735" ht="14" customHeight="1">
      <c r="A735" s="21" t="n">
        <v>2012</v>
      </c>
      <c r="B735" s="45">
        <f>IF((A735&gt;=2021),ROUND(((E735*D735)/F735),3),C735)</f>
        <v/>
      </c>
      <c r="C735" s="46" t="n">
        <v>1.013</v>
      </c>
      <c r="D735" s="46" t="n"/>
      <c r="E735" s="46" t="n"/>
      <c r="F735" s="46" t="n"/>
    </row>
    <row r="736" ht="14" customHeight="1">
      <c r="A736" s="15" t="n">
        <v>2013</v>
      </c>
      <c r="B736" s="43">
        <f>IF((A736&gt;=2021),ROUND(((E736*D736)/F736),3),C736)</f>
        <v/>
      </c>
      <c r="C736" s="44" t="n">
        <v>1.016</v>
      </c>
      <c r="D736" s="44" t="n"/>
      <c r="E736" s="44" t="n"/>
      <c r="F736" s="44" t="n"/>
    </row>
    <row r="737" ht="14" customHeight="1">
      <c r="A737" s="21" t="n">
        <v>2014</v>
      </c>
      <c r="B737" s="45">
        <f>IF((A737&gt;=2021),ROUND(((E737*D737)/F737),3),C737)</f>
        <v/>
      </c>
      <c r="C737" s="46" t="n">
        <v>1.019</v>
      </c>
      <c r="D737" s="46" t="n"/>
      <c r="E737" s="46" t="n"/>
      <c r="F737" s="46" t="n"/>
    </row>
    <row r="738" ht="14" customHeight="1">
      <c r="A738" s="15" t="n">
        <v>2015</v>
      </c>
      <c r="B738" s="43">
        <f>IF((A738&gt;=2021),ROUND(((E738*D738)/F738),3),C738)</f>
        <v/>
      </c>
      <c r="C738" s="44" t="n">
        <v>1.021</v>
      </c>
      <c r="D738" s="44" t="n"/>
      <c r="E738" s="44" t="n"/>
      <c r="F738" s="44" t="n"/>
    </row>
    <row r="739" ht="14" customHeight="1">
      <c r="A739" s="21" t="n">
        <v>2016</v>
      </c>
      <c r="B739" s="45">
        <f>IF((A739&gt;=2021),ROUND(((E739*D739)/F739),3),C739)</f>
        <v/>
      </c>
      <c r="C739" s="46" t="n">
        <v>1.023</v>
      </c>
      <c r="D739" s="46" t="n"/>
      <c r="E739" s="46" t="n"/>
      <c r="F739" s="46" t="n"/>
    </row>
    <row r="740" ht="14" customHeight="1">
      <c r="A740" s="15" t="n">
        <v>2017</v>
      </c>
      <c r="B740" s="43">
        <f>IF((A740&gt;=2021),ROUND(((E740*D740)/F740),3),C740)</f>
        <v/>
      </c>
      <c r="C740" s="44" t="n">
        <v>1.025</v>
      </c>
      <c r="D740" s="44" t="n"/>
      <c r="E740" s="44" t="n"/>
      <c r="F740" s="44" t="n"/>
    </row>
    <row r="741" ht="14" customHeight="1">
      <c r="A741" s="21" t="n">
        <v>2018</v>
      </c>
      <c r="B741" s="45">
        <f>IF((A741&gt;=2021),ROUND(((E741*D741)/F741),3),C741)</f>
        <v/>
      </c>
      <c r="C741" s="46" t="n">
        <v>1.027</v>
      </c>
      <c r="D741" s="46" t="n"/>
      <c r="E741" s="46" t="n"/>
      <c r="F741" s="46" t="n"/>
    </row>
    <row r="742" ht="14" customHeight="1">
      <c r="A742" s="15" t="n">
        <v>2019</v>
      </c>
      <c r="B742" s="43">
        <f>IF((A742&gt;=2021),ROUND(((E742*D742)/F742),3),C742)</f>
        <v/>
      </c>
      <c r="C742" s="44" t="n">
        <v>1.027</v>
      </c>
      <c r="D742" s="44" t="n"/>
      <c r="E742" s="44" t="n"/>
      <c r="F742" s="44" t="n"/>
    </row>
    <row r="743" ht="14" customHeight="1">
      <c r="A743" s="21" t="n">
        <v>2020</v>
      </c>
      <c r="B743" s="45">
        <f>IF((A743&gt;=2021),ROUND(((E743*D743)/F743),3),C743)</f>
        <v/>
      </c>
      <c r="C743" s="46" t="n">
        <v>1.028</v>
      </c>
      <c r="D743" s="46" t="n"/>
      <c r="E743" s="46" t="n"/>
      <c r="F743" s="46" t="n"/>
    </row>
    <row r="744" ht="14" customHeight="1">
      <c r="A744" s="15" t="n">
        <v>2021</v>
      </c>
      <c r="B744" s="43">
        <f>IF((A744&gt;=2021),ROUND(((E744*D744)/F744),3),C744)</f>
        <v/>
      </c>
      <c r="C744" s="44" t="n"/>
      <c r="D744" s="44" t="n">
        <v>445883647</v>
      </c>
      <c r="E744" s="44" t="n">
        <v>1.028</v>
      </c>
      <c r="F744" s="44" t="n">
        <v>446437975</v>
      </c>
    </row>
    <row r="745" ht="14" customHeight="1">
      <c r="A745" s="21" t="n">
        <v>2022</v>
      </c>
      <c r="B745" s="45">
        <f>IF((A745&gt;=2021),ROUND(((E745*D745)/F745),3),C745)</f>
        <v/>
      </c>
      <c r="C745" s="46" t="n"/>
      <c r="D745" s="46" t="n">
        <v>446940424</v>
      </c>
      <c r="E745" s="46" t="n">
        <v>1.028</v>
      </c>
      <c r="F745" s="46" t="n">
        <v>446437975</v>
      </c>
    </row>
    <row r="746" ht="14" customHeight="1">
      <c r="A746" s="15" t="n">
        <v>2023</v>
      </c>
      <c r="B746" s="43">
        <f>IF((A746&gt;=2021),ROUND(((E746*D746)/F746),3),C746)</f>
        <v/>
      </c>
      <c r="C746" s="44" t="n"/>
      <c r="D746" s="44" t="n">
        <v>448647774</v>
      </c>
      <c r="E746" s="44" t="n">
        <v>1.028</v>
      </c>
      <c r="F746" s="44" t="n">
        <v>446437975</v>
      </c>
    </row>
    <row r="747" ht="14" customHeight="1">
      <c r="A747" s="21" t="n">
        <v>2024</v>
      </c>
      <c r="B747" s="45">
        <f>IF((A747&gt;=2021),ROUND(((E747*D747)/F747),3),C747)</f>
        <v/>
      </c>
      <c r="C747" s="46" t="n"/>
      <c r="D747" s="46" t="n">
        <v>450068417</v>
      </c>
      <c r="E747" s="46" t="n">
        <v>1.028</v>
      </c>
      <c r="F747" s="46" t="n">
        <v>446437975</v>
      </c>
    </row>
    <row r="748" ht="14" customHeight="1">
      <c r="A748" s="15" t="n">
        <v>2025</v>
      </c>
      <c r="B748" s="43">
        <f>IF((A748&gt;=2021),ROUND(((E748*D748)/F748),3),C748)</f>
        <v/>
      </c>
      <c r="C748" s="44" t="n"/>
      <c r="D748" s="44" t="n">
        <v>451637436</v>
      </c>
      <c r="E748" s="44" t="n">
        <v>1.028</v>
      </c>
      <c r="F748" s="44" t="n">
        <v>446437975</v>
      </c>
    </row>
    <row r="751">
      <c r="A751" s="52" t="inlineStr">
        <is>
          <t>B5a · Fossil share of residential energy mix  (%)</t>
        </is>
      </c>
    </row>
    <row r="752" ht="26" customHeight="1">
      <c r="A752" s="48" t="inlineStr">
        <is>
          <t>No derivation for the later years — the figure is the publication's own.</t>
        </is>
      </c>
    </row>
    <row r="753" ht="24" customHeight="1">
      <c r="A753" s="3" t="inlineStr">
        <is>
          <t>Derivation:  Value = IF(A &gt;= 2023, [Post-report figure as published], (([Other fossils (solids, …)]+[Liquid fossils]+[Natural gas])/[Total]) * [fraction → % (× 100)])</t>
        </is>
      </c>
    </row>
    <row r="754" ht="42" customHeight="1">
      <c r="A754" s="42" t="inlineStr">
        <is>
          <t>Year</t>
        </is>
      </c>
      <c r="B754" s="42" t="inlineStr">
        <is>
          <t>Value</t>
        </is>
      </c>
      <c r="C754" s="42" t="inlineStr">
        <is>
          <t>Other fossils (solids, …)</t>
        </is>
      </c>
      <c r="D754" s="42" t="inlineStr">
        <is>
          <t>Liquid fossils</t>
        </is>
      </c>
      <c r="E754" s="42" t="inlineStr">
        <is>
          <t>Natural gas</t>
        </is>
      </c>
      <c r="F754" s="42" t="inlineStr">
        <is>
          <t>Total</t>
        </is>
      </c>
      <c r="G754" s="42" t="inlineStr">
        <is>
          <t>Electricity</t>
        </is>
      </c>
      <c r="H754" s="42" t="inlineStr">
        <is>
          <t>District heating</t>
        </is>
      </c>
      <c r="I754" s="42" t="inlineStr">
        <is>
          <t>Renewables - bio</t>
        </is>
      </c>
      <c r="J754" s="42" t="inlineStr">
        <is>
          <t>Renewables - other</t>
        </is>
      </c>
      <c r="K754" s="42" t="inlineStr">
        <is>
          <t>Post-report figure as published</t>
        </is>
      </c>
      <c r="L754" s="42" t="inlineStr">
        <is>
          <t>fraction → % (× 100)</t>
        </is>
      </c>
    </row>
    <row r="755" ht="14" customHeight="1">
      <c r="A755" s="15" t="n">
        <v>2005</v>
      </c>
      <c r="B755" s="43">
        <f>IF((A755&gt;=2023),K755,((((C755+D755)+E755)/F755)*L755))</f>
        <v/>
      </c>
      <c r="C755" s="44" t="n">
        <v>9237.906000000001</v>
      </c>
      <c r="D755" s="44" t="n">
        <v>52606.552</v>
      </c>
      <c r="E755" s="44" t="n">
        <v>88923.519</v>
      </c>
      <c r="F755" s="44">
        <f>((((((C755+D755)+E755)+G755)+H755)+I755)+J755)</f>
        <v/>
      </c>
      <c r="G755" s="44" t="n">
        <v>57535.929</v>
      </c>
      <c r="H755" s="44" t="n">
        <v>22254.138</v>
      </c>
      <c r="I755" s="44" t="n">
        <v>34654.51499999999</v>
      </c>
      <c r="J755" s="44" t="n">
        <v>1103.851</v>
      </c>
      <c r="K755" s="44" t="n"/>
      <c r="L755" s="44" t="n">
        <v>100</v>
      </c>
    </row>
    <row r="756" ht="14" customHeight="1">
      <c r="A756" s="21" t="n">
        <v>2006</v>
      </c>
      <c r="B756" s="45">
        <f>IF((A756&gt;=2023),K756,((((C756+D756)+E756)/F756)*L756))</f>
        <v/>
      </c>
      <c r="C756" s="46" t="n">
        <v>10214.345</v>
      </c>
      <c r="D756" s="46" t="n">
        <v>50544.129</v>
      </c>
      <c r="E756" s="46" t="n">
        <v>87134.815</v>
      </c>
      <c r="F756" s="46">
        <f>((((((C756+D756)+E756)+G756)+H756)+I756)+J756)</f>
        <v/>
      </c>
      <c r="G756" s="46" t="n">
        <v>58934.424</v>
      </c>
      <c r="H756" s="46" t="n">
        <v>21313.442</v>
      </c>
      <c r="I756" s="46" t="n">
        <v>35862.283</v>
      </c>
      <c r="J756" s="46" t="n">
        <v>1388.608</v>
      </c>
      <c r="K756" s="46" t="n"/>
      <c r="L756" s="46" t="n">
        <v>100</v>
      </c>
    </row>
    <row r="757" ht="14" customHeight="1">
      <c r="A757" s="15" t="n">
        <v>2007</v>
      </c>
      <c r="B757" s="43">
        <f>IF((A757&gt;=2023),K757,((((C757+D757)+E757)/F757)*L757))</f>
        <v/>
      </c>
      <c r="C757" s="44" t="n">
        <v>9163.504999999999</v>
      </c>
      <c r="D757" s="44" t="n">
        <v>39674.239</v>
      </c>
      <c r="E757" s="44" t="n">
        <v>80121.40700000001</v>
      </c>
      <c r="F757" s="44">
        <f>((((((C757+D757)+E757)+G757)+H757)+I757)+J757)</f>
        <v/>
      </c>
      <c r="G757" s="44" t="n">
        <v>58535.992</v>
      </c>
      <c r="H757" s="44" t="n">
        <v>21659.582</v>
      </c>
      <c r="I757" s="44" t="n">
        <v>38347.466</v>
      </c>
      <c r="J757" s="44" t="n">
        <v>1730.66</v>
      </c>
      <c r="K757" s="44" t="n"/>
      <c r="L757" s="44" t="n">
        <v>100</v>
      </c>
    </row>
    <row r="758" ht="14" customHeight="1">
      <c r="A758" s="21" t="n">
        <v>2008</v>
      </c>
      <c r="B758" s="45">
        <f>IF((A758&gt;=2023),K758,((((C758+D758)+E758)/F758)*L758))</f>
        <v/>
      </c>
      <c r="C758" s="46" t="n">
        <v>9724.203</v>
      </c>
      <c r="D758" s="46" t="n">
        <v>45449.054</v>
      </c>
      <c r="E758" s="46" t="n">
        <v>83938.626</v>
      </c>
      <c r="F758" s="46">
        <f>((((((C758+D758)+E758)+G758)+H758)+I758)+J758)</f>
        <v/>
      </c>
      <c r="G758" s="46" t="n">
        <v>59852.566</v>
      </c>
      <c r="H758" s="46" t="n">
        <v>21413.184</v>
      </c>
      <c r="I758" s="46" t="n">
        <v>41687.748</v>
      </c>
      <c r="J758" s="46" t="n">
        <v>2195.509</v>
      </c>
      <c r="K758" s="46" t="n"/>
      <c r="L758" s="46" t="n">
        <v>100</v>
      </c>
    </row>
    <row r="759" ht="14" customHeight="1">
      <c r="A759" s="15" t="n">
        <v>2009</v>
      </c>
      <c r="B759" s="43">
        <f>IF((A759&gt;=2023),K759,((((C759+D759)+E759)/F759)*L759))</f>
        <v/>
      </c>
      <c r="C759" s="44" t="n">
        <v>9878.538999999999</v>
      </c>
      <c r="D759" s="44" t="n">
        <v>41516.874</v>
      </c>
      <c r="E759" s="44" t="n">
        <v>84730.833</v>
      </c>
      <c r="F759" s="44">
        <f>((((((C759+D759)+E759)+G759)+H759)+I759)+J759)</f>
        <v/>
      </c>
      <c r="G759" s="44" t="n">
        <v>60152.637</v>
      </c>
      <c r="H759" s="44" t="n">
        <v>21360.257</v>
      </c>
      <c r="I759" s="44" t="n">
        <v>42011.50599999999</v>
      </c>
      <c r="J759" s="44" t="n">
        <v>2730.558</v>
      </c>
      <c r="K759" s="44" t="n"/>
      <c r="L759" s="44" t="n">
        <v>100</v>
      </c>
    </row>
    <row r="760" ht="14" customHeight="1">
      <c r="A760" s="21" t="n">
        <v>2010</v>
      </c>
      <c r="B760" s="45">
        <f>IF((A760&gt;=2023),K760,((((C760+D760)+E760)/F760)*L760))</f>
        <v/>
      </c>
      <c r="C760" s="46" t="n">
        <v>11416.98</v>
      </c>
      <c r="D760" s="46" t="n">
        <v>41083.057</v>
      </c>
      <c r="E760" s="46" t="n">
        <v>92180.353</v>
      </c>
      <c r="F760" s="46">
        <f>((((((C760+D760)+E760)+G760)+H760)+I760)+J760)</f>
        <v/>
      </c>
      <c r="G760" s="46" t="n">
        <v>62776.295</v>
      </c>
      <c r="H760" s="46" t="n">
        <v>23677.195</v>
      </c>
      <c r="I760" s="46" t="n">
        <v>44508.72300000001</v>
      </c>
      <c r="J760" s="46" t="n">
        <v>3286.879</v>
      </c>
      <c r="K760" s="46" t="n"/>
      <c r="L760" s="46" t="n">
        <v>100</v>
      </c>
    </row>
    <row r="761" ht="14" customHeight="1">
      <c r="A761" s="15" t="n">
        <v>2011</v>
      </c>
      <c r="B761" s="43">
        <f>IF((A761&gt;=2023),K761,((((C761+D761)+E761)/F761)*L761))</f>
        <v/>
      </c>
      <c r="C761" s="44" t="n">
        <v>9900.838000000002</v>
      </c>
      <c r="D761" s="44" t="n">
        <v>36193.663</v>
      </c>
      <c r="E761" s="44" t="n">
        <v>80771.228</v>
      </c>
      <c r="F761" s="44">
        <f>((((((C761+D761)+E761)+G761)+H761)+I761)+J761)</f>
        <v/>
      </c>
      <c r="G761" s="44" t="n">
        <v>60526.228</v>
      </c>
      <c r="H761" s="44" t="n">
        <v>21267.579</v>
      </c>
      <c r="I761" s="44" t="n">
        <v>39968.785</v>
      </c>
      <c r="J761" s="44" t="n">
        <v>3266.111</v>
      </c>
      <c r="K761" s="44" t="n"/>
      <c r="L761" s="44" t="n">
        <v>100</v>
      </c>
    </row>
    <row r="762" ht="14" customHeight="1">
      <c r="A762" s="21" t="n">
        <v>2012</v>
      </c>
      <c r="B762" s="45">
        <f>IF((A762&gt;=2023),K762,((((C762+D762)+E762)/F762)*L762))</f>
        <v/>
      </c>
      <c r="C762" s="46" t="n">
        <v>10161.539</v>
      </c>
      <c r="D762" s="46" t="n">
        <v>35601.929</v>
      </c>
      <c r="E762" s="46" t="n">
        <v>85062.74000000001</v>
      </c>
      <c r="F762" s="46">
        <f>((((((C762+D762)+E762)+G762)+H762)+I762)+J762)</f>
        <v/>
      </c>
      <c r="G762" s="46" t="n">
        <v>61813.091</v>
      </c>
      <c r="H762" s="46" t="n">
        <v>21519.539</v>
      </c>
      <c r="I762" s="46" t="n">
        <v>45132.963</v>
      </c>
      <c r="J762" s="46" t="n">
        <v>3720.348</v>
      </c>
      <c r="K762" s="46" t="n"/>
      <c r="L762" s="46" t="n">
        <v>100</v>
      </c>
    </row>
    <row r="763" ht="14" customHeight="1">
      <c r="A763" s="15" t="n">
        <v>2013</v>
      </c>
      <c r="B763" s="43">
        <f>IF((A763&gt;=2023),K763,((((C763+D763)+E763)/F763)*L763))</f>
        <v/>
      </c>
      <c r="C763" s="44" t="n">
        <v>9821.436</v>
      </c>
      <c r="D763" s="44" t="n">
        <v>35792.314</v>
      </c>
      <c r="E763" s="44" t="n">
        <v>86508.378</v>
      </c>
      <c r="F763" s="44">
        <f>((((((C763+D763)+E763)+G763)+H763)+I763)+J763)</f>
        <v/>
      </c>
      <c r="G763" s="44" t="n">
        <v>61544.727</v>
      </c>
      <c r="H763" s="44" t="n">
        <v>22623.038</v>
      </c>
      <c r="I763" s="44" t="n">
        <v>45665.02499999999</v>
      </c>
      <c r="J763" s="44" t="n">
        <v>4136.387</v>
      </c>
      <c r="K763" s="44" t="n"/>
      <c r="L763" s="44" t="n">
        <v>100</v>
      </c>
    </row>
    <row r="764" ht="14" customHeight="1">
      <c r="A764" s="21" t="n">
        <v>2014</v>
      </c>
      <c r="B764" s="45">
        <f>IF((A764&gt;=2023),K764,((((C764+D764)+E764)/F764)*L764))</f>
        <v/>
      </c>
      <c r="C764" s="46" t="n">
        <v>8804.607</v>
      </c>
      <c r="D764" s="46" t="n">
        <v>31221.26</v>
      </c>
      <c r="E764" s="46" t="n">
        <v>70920.886</v>
      </c>
      <c r="F764" s="46">
        <f>((((((C764+D764)+E764)+G764)+H764)+I764)+J764)</f>
        <v/>
      </c>
      <c r="G764" s="46" t="n">
        <v>58618.234</v>
      </c>
      <c r="H764" s="46" t="n">
        <v>20186.481</v>
      </c>
      <c r="I764" s="46" t="n">
        <v>40391.96399999999</v>
      </c>
      <c r="J764" s="46" t="n">
        <v>4493.715</v>
      </c>
      <c r="K764" s="46" t="n"/>
      <c r="L764" s="46" t="n">
        <v>100</v>
      </c>
    </row>
    <row r="765" ht="14" customHeight="1">
      <c r="A765" s="15" t="n">
        <v>2015</v>
      </c>
      <c r="B765" s="43">
        <f>IF((A765&gt;=2023),K765,((((C765+D765)+E765)/F765)*L765))</f>
        <v/>
      </c>
      <c r="C765" s="44" t="n">
        <v>8701.244999999999</v>
      </c>
      <c r="D765" s="44" t="n">
        <v>32054.46</v>
      </c>
      <c r="E765" s="44" t="n">
        <v>76833.89599999999</v>
      </c>
      <c r="F765" s="44">
        <f>((((((C765+D765)+E765)+G765)+H765)+I765)+J765)</f>
        <v/>
      </c>
      <c r="G765" s="44" t="n">
        <v>59488.019</v>
      </c>
      <c r="H765" s="44" t="n">
        <v>21084.388</v>
      </c>
      <c r="I765" s="44" t="n">
        <v>41850.10600000001</v>
      </c>
      <c r="J765" s="44" t="n">
        <v>5015.878000000001</v>
      </c>
      <c r="K765" s="44" t="n"/>
      <c r="L765" s="44" t="n">
        <v>100</v>
      </c>
    </row>
    <row r="766" ht="14" customHeight="1">
      <c r="A766" s="21" t="n">
        <v>2016</v>
      </c>
      <c r="B766" s="45">
        <f>IF((A766&gt;=2023),K766,((((C766+D766)+E766)/F766)*L766))</f>
        <v/>
      </c>
      <c r="C766" s="46" t="n">
        <v>9006.828</v>
      </c>
      <c r="D766" s="46" t="n">
        <v>30787.212</v>
      </c>
      <c r="E766" s="46" t="n">
        <v>81737.671</v>
      </c>
      <c r="F766" s="46">
        <f>((((((C766+D766)+E766)+G766)+H766)+I766)+J766)</f>
        <v/>
      </c>
      <c r="G766" s="46" t="n">
        <v>60514.434</v>
      </c>
      <c r="H766" s="46" t="n">
        <v>22096.583</v>
      </c>
      <c r="I766" s="46" t="n">
        <v>41199.444</v>
      </c>
      <c r="J766" s="46" t="n">
        <v>5534.556</v>
      </c>
      <c r="K766" s="46" t="n"/>
      <c r="L766" s="46" t="n">
        <v>100</v>
      </c>
    </row>
    <row r="767" ht="14" customHeight="1">
      <c r="A767" s="15" t="n">
        <v>2017</v>
      </c>
      <c r="B767" s="43">
        <f>IF((A767&gt;=2023),K767,((((C767+D767)+E767)/F767)*L767))</f>
        <v/>
      </c>
      <c r="C767" s="44" t="n">
        <v>8917.467000000001</v>
      </c>
      <c r="D767" s="44" t="n">
        <v>30221.252</v>
      </c>
      <c r="E767" s="44" t="n">
        <v>81410.204</v>
      </c>
      <c r="F767" s="44">
        <f>((((((C767+D767)+E767)+G767)+H767)+I767)+J767)</f>
        <v/>
      </c>
      <c r="G767" s="44" t="n">
        <v>60921.992</v>
      </c>
      <c r="H767" s="44" t="n">
        <v>22151.031</v>
      </c>
      <c r="I767" s="44" t="n">
        <v>41537.78</v>
      </c>
      <c r="J767" s="44" t="n">
        <v>6553.349</v>
      </c>
      <c r="K767" s="44" t="n"/>
      <c r="L767" s="44" t="n">
        <v>100</v>
      </c>
    </row>
    <row r="768" ht="14" customHeight="1">
      <c r="A768" s="21" t="n">
        <v>2018</v>
      </c>
      <c r="B768" s="45">
        <f>IF((A768&gt;=2023),K768,((((C768+D768)+E768)/F768)*L768))</f>
        <v/>
      </c>
      <c r="C768" s="46" t="n">
        <v>8344.016</v>
      </c>
      <c r="D768" s="46" t="n">
        <v>28508.875</v>
      </c>
      <c r="E768" s="46" t="n">
        <v>80473.87300000001</v>
      </c>
      <c r="F768" s="46">
        <f>((((((C768+D768)+E768)+G768)+H768)+I768)+J768)</f>
        <v/>
      </c>
      <c r="G768" s="46" t="n">
        <v>60699.591</v>
      </c>
      <c r="H768" s="46" t="n">
        <v>21103.143</v>
      </c>
      <c r="I768" s="46" t="n">
        <v>43508.32</v>
      </c>
      <c r="J768" s="46" t="n">
        <v>7109.3</v>
      </c>
      <c r="K768" s="46" t="n"/>
      <c r="L768" s="46" t="n">
        <v>100</v>
      </c>
    </row>
    <row r="769" ht="14" customHeight="1">
      <c r="A769" s="15" t="n">
        <v>2019</v>
      </c>
      <c r="B769" s="43">
        <f>IF((A769&gt;=2023),K769,((((C769+D769)+E769)/F769)*L769))</f>
        <v/>
      </c>
      <c r="C769" s="44" t="n">
        <v>6776.026</v>
      </c>
      <c r="D769" s="44" t="n">
        <v>29071.42</v>
      </c>
      <c r="E769" s="44" t="n">
        <v>79623.462</v>
      </c>
      <c r="F769" s="44">
        <f>((((((C769+D769)+E769)+G769)+H769)+I769)+J769)</f>
        <v/>
      </c>
      <c r="G769" s="44" t="n">
        <v>60522.618</v>
      </c>
      <c r="H769" s="44" t="n">
        <v>20857.857</v>
      </c>
      <c r="I769" s="44" t="n">
        <v>43573.318</v>
      </c>
      <c r="J769" s="44" t="n">
        <v>7764.447</v>
      </c>
      <c r="K769" s="44" t="n"/>
      <c r="L769" s="44" t="n">
        <v>100</v>
      </c>
    </row>
    <row r="770" ht="14" customHeight="1">
      <c r="A770" s="21" t="n">
        <v>2020</v>
      </c>
      <c r="B770" s="45">
        <f>IF((A770&gt;=2023),K770,((((C770+D770)+E770)/F770)*L770))</f>
        <v/>
      </c>
      <c r="C770" s="46" t="n">
        <v>6925.547</v>
      </c>
      <c r="D770" s="46" t="n">
        <v>30460.023</v>
      </c>
      <c r="E770" s="46" t="n">
        <v>78599.93399999999</v>
      </c>
      <c r="F770" s="46">
        <f>((((((C770+D770)+E770)+G770)+H770)+I770)+J770)</f>
        <v/>
      </c>
      <c r="G770" s="46" t="n">
        <v>61271.582</v>
      </c>
      <c r="H770" s="46" t="n">
        <v>20414.4</v>
      </c>
      <c r="I770" s="46" t="n">
        <v>42105.459</v>
      </c>
      <c r="J770" s="46" t="n">
        <v>8350.866</v>
      </c>
      <c r="K770" s="46" t="n"/>
      <c r="L770" s="46" t="n">
        <v>100</v>
      </c>
    </row>
    <row r="771" ht="14" customHeight="1">
      <c r="A771" s="15" t="n">
        <v>2021</v>
      </c>
      <c r="B771" s="43">
        <f>IF((A771&gt;=2023),K771,((((C771+D771)+E771)/F771)*L771))</f>
        <v/>
      </c>
      <c r="C771" s="44" t="n">
        <v>6630.588</v>
      </c>
      <c r="D771" s="44" t="n">
        <v>24998.342</v>
      </c>
      <c r="E771" s="44" t="n">
        <v>87709.745</v>
      </c>
      <c r="F771" s="44">
        <f>((((((C771+D771)+E771)+G771)+H771)+I771)+J771)</f>
        <v/>
      </c>
      <c r="G771" s="44" t="n">
        <v>64265.362</v>
      </c>
      <c r="H771" s="44" t="n">
        <v>22600.253</v>
      </c>
      <c r="I771" s="44" t="n">
        <v>45777.601</v>
      </c>
      <c r="J771" s="44" t="n">
        <v>9830.799999999999</v>
      </c>
      <c r="K771" s="44" t="n"/>
      <c r="L771" s="44" t="n">
        <v>100</v>
      </c>
    </row>
    <row r="772" ht="14" customHeight="1">
      <c r="A772" s="21" t="n">
        <v>2023</v>
      </c>
      <c r="B772" s="45">
        <f>IF((A772&gt;=2023),K772,((((C772+D772)+E772)/F772)*L772))</f>
        <v/>
      </c>
      <c r="C772" s="46" t="n"/>
      <c r="D772" s="46" t="n"/>
      <c r="E772" s="46" t="n"/>
      <c r="F772" s="46">
        <f>((((((C772+D772)+E772)+G772)+H772)+I772)+J772)</f>
        <v/>
      </c>
      <c r="G772" s="46" t="n"/>
      <c r="H772" s="46" t="n"/>
      <c r="I772" s="46" t="n"/>
      <c r="J772" s="46" t="n"/>
      <c r="K772" s="46" t="n">
        <v>42</v>
      </c>
      <c r="L772" s="46" t="n">
        <v>100</v>
      </c>
    </row>
    <row r="775">
      <c r="A775" s="52" t="inlineStr">
        <is>
          <t>B5b · Fossil share of tertiary energy mix  (%)</t>
        </is>
      </c>
    </row>
    <row r="776" ht="26" customHeight="1">
      <c r="A776" s="48" t="inlineStr">
        <is>
          <t>No derivation for the later years — the figure is the publication's own.</t>
        </is>
      </c>
    </row>
    <row r="777" ht="24" customHeight="1">
      <c r="A777" s="3" t="inlineStr">
        <is>
          <t>Derivation:  Value = IF(A &gt;= 2023, [Post-report figure as published], (([Other fossils (solids/liquid) (tertiary, ktoe)]+[Liquid fossils (tertiary, ktoe)]+[Natural gas (tertiary, ktoe)]) / ([Other fossils (solids/liquid) (tertiary, ktoe)]+[Liquid fossils (tertiary, ktoe)]+[Natural gas (tertiary, ktoe)]+[Electricity (tertiary, ktoe)]+[District heating (tertiary, ktoe)]+[Renewables - bio (tertiary, ktoe)]+[Renewables - other (tertiary, ktoe)])) * [fraction → % (× 100)])</t>
        </is>
      </c>
    </row>
    <row r="778" ht="42" customHeight="1">
      <c r="A778" s="42" t="inlineStr">
        <is>
          <t>Year</t>
        </is>
      </c>
      <c r="B778" s="42" t="inlineStr">
        <is>
          <t>Value</t>
        </is>
      </c>
      <c r="C778" s="42" t="inlineStr">
        <is>
          <t>Other fossils (solids/liquid) (tertiary, ktoe)</t>
        </is>
      </c>
      <c r="D778" s="42" t="inlineStr">
        <is>
          <t>Liquid fossils (tertiary, ktoe)</t>
        </is>
      </c>
      <c r="E778" s="42" t="inlineStr">
        <is>
          <t>Natural gas (tertiary, ktoe)</t>
        </is>
      </c>
      <c r="F778" s="42" t="inlineStr">
        <is>
          <t>Electricity (tertiary, ktoe)</t>
        </is>
      </c>
      <c r="G778" s="42" t="inlineStr">
        <is>
          <t>District heating (tertiary, ktoe)</t>
        </is>
      </c>
      <c r="H778" s="42" t="inlineStr">
        <is>
          <t>Renewables - bio (tertiary, ktoe)</t>
        </is>
      </c>
      <c r="I778" s="42" t="inlineStr">
        <is>
          <t>Renewables - other (tertiary, ktoe)</t>
        </is>
      </c>
      <c r="J778" s="42" t="inlineStr">
        <is>
          <t>Post-report figure as published</t>
        </is>
      </c>
      <c r="K778" s="42" t="inlineStr">
        <is>
          <t>fraction → % (× 100)</t>
        </is>
      </c>
    </row>
    <row r="779" ht="14" customHeight="1">
      <c r="A779" s="15" t="n">
        <v>2005</v>
      </c>
      <c r="B779" s="43">
        <f>IF((A779&gt;=2023),J779,((((C779+D779)+E779)/((((((C779+D779)+E779)+F779)+G779)+H779)+I779))*K779))</f>
        <v/>
      </c>
      <c r="C779" s="44" t="n">
        <v>1365.466</v>
      </c>
      <c r="D779" s="44" t="n">
        <v>22059.443</v>
      </c>
      <c r="E779" s="44" t="n">
        <v>36697.19</v>
      </c>
      <c r="F779" s="44" t="n">
        <v>55783.099</v>
      </c>
      <c r="G779" s="44" t="n">
        <v>9443.121999999999</v>
      </c>
      <c r="H779" s="44" t="n">
        <v>2077.313</v>
      </c>
      <c r="I779" s="44" t="n">
        <v>554.9050000000002</v>
      </c>
      <c r="J779" s="44" t="n"/>
      <c r="K779" s="44" t="n">
        <v>100</v>
      </c>
    </row>
    <row r="780" ht="14" customHeight="1">
      <c r="A780" s="21" t="n">
        <v>2006</v>
      </c>
      <c r="B780" s="45">
        <f>IF((A780&gt;=2023),J780,((((C780+D780)+E780)/((((((C780+D780)+E780)+F780)+G780)+H780)+I780))*K780))</f>
        <v/>
      </c>
      <c r="C780" s="46" t="n">
        <v>1615.042</v>
      </c>
      <c r="D780" s="46" t="n">
        <v>21220.915</v>
      </c>
      <c r="E780" s="46" t="n">
        <v>39219.694</v>
      </c>
      <c r="F780" s="46" t="n">
        <v>58875.454</v>
      </c>
      <c r="G780" s="46" t="n">
        <v>9269.039000000001</v>
      </c>
      <c r="H780" s="46" t="n">
        <v>2218.231</v>
      </c>
      <c r="I780" s="46" t="n">
        <v>591.556</v>
      </c>
      <c r="J780" s="46" t="n"/>
      <c r="K780" s="46" t="n">
        <v>100</v>
      </c>
    </row>
    <row r="781" ht="14" customHeight="1">
      <c r="A781" s="15" t="n">
        <v>2007</v>
      </c>
      <c r="B781" s="43">
        <f>IF((A781&gt;=2023),J781,((((C781+D781)+E781)/((((((C781+D781)+E781)+F781)+G781)+H781)+I781))*K781))</f>
        <v/>
      </c>
      <c r="C781" s="44" t="n">
        <v>1588.832</v>
      </c>
      <c r="D781" s="44" t="n">
        <v>17277.784</v>
      </c>
      <c r="E781" s="44" t="n">
        <v>35257.868</v>
      </c>
      <c r="F781" s="44" t="n">
        <v>59786.689</v>
      </c>
      <c r="G781" s="44" t="n">
        <v>9313.546</v>
      </c>
      <c r="H781" s="44" t="n">
        <v>2435.158</v>
      </c>
      <c r="I781" s="44" t="n">
        <v>639.1439999999998</v>
      </c>
      <c r="J781" s="44" t="n"/>
      <c r="K781" s="44" t="n">
        <v>100</v>
      </c>
    </row>
    <row r="782" ht="14" customHeight="1">
      <c r="A782" s="21" t="n">
        <v>2008</v>
      </c>
      <c r="B782" s="45">
        <f>IF((A782&gt;=2023),J782,((((C782+D782)+E782)/((((((C782+D782)+E782)+F782)+G782)+H782)+I782))*K782))</f>
        <v/>
      </c>
      <c r="C782" s="46" t="n">
        <v>1689.481</v>
      </c>
      <c r="D782" s="46" t="n">
        <v>19699.341</v>
      </c>
      <c r="E782" s="46" t="n">
        <v>37508.152</v>
      </c>
      <c r="F782" s="46" t="n">
        <v>61733.909</v>
      </c>
      <c r="G782" s="46" t="n">
        <v>10028.203</v>
      </c>
      <c r="H782" s="46" t="n">
        <v>2786.481</v>
      </c>
      <c r="I782" s="46" t="n">
        <v>734.8850000000002</v>
      </c>
      <c r="J782" s="46" t="n"/>
      <c r="K782" s="46" t="n">
        <v>100</v>
      </c>
    </row>
    <row r="783" ht="14" customHeight="1">
      <c r="A783" s="15" t="n">
        <v>2009</v>
      </c>
      <c r="B783" s="43">
        <f>IF((A783&gt;=2023),J783,((((C783+D783)+E783)/((((((C783+D783)+E783)+F783)+G783)+H783)+I783))*K783))</f>
        <v/>
      </c>
      <c r="C783" s="44" t="n">
        <v>1920.997</v>
      </c>
      <c r="D783" s="44" t="n">
        <v>18082.639</v>
      </c>
      <c r="E783" s="44" t="n">
        <v>38108.172</v>
      </c>
      <c r="F783" s="44" t="n">
        <v>62379.792</v>
      </c>
      <c r="G783" s="44" t="n">
        <v>10075.193</v>
      </c>
      <c r="H783" s="44" t="n">
        <v>2999.496000000001</v>
      </c>
      <c r="I783" s="44" t="n">
        <v>777.2789999999995</v>
      </c>
      <c r="J783" s="44" t="n"/>
      <c r="K783" s="44" t="n">
        <v>100</v>
      </c>
    </row>
    <row r="784" ht="14" customHeight="1">
      <c r="A784" s="21" t="n">
        <v>2010</v>
      </c>
      <c r="B784" s="45">
        <f>IF((A784&gt;=2023),J784,((((C784+D784)+E784)/((((((C784+D784)+E784)+F784)+G784)+H784)+I784))*K784))</f>
        <v/>
      </c>
      <c r="C784" s="46" t="n">
        <v>1842.405</v>
      </c>
      <c r="D784" s="46" t="n">
        <v>17761.063</v>
      </c>
      <c r="E784" s="46" t="n">
        <v>40361.891</v>
      </c>
      <c r="F784" s="46" t="n">
        <v>63959.279</v>
      </c>
      <c r="G784" s="46" t="n">
        <v>11765.404</v>
      </c>
      <c r="H784" s="46" t="n">
        <v>3452.172</v>
      </c>
      <c r="I784" s="46" t="n">
        <v>840.8110000000006</v>
      </c>
      <c r="J784" s="46" t="n"/>
      <c r="K784" s="46" t="n">
        <v>100</v>
      </c>
    </row>
    <row r="785" ht="14" customHeight="1">
      <c r="A785" s="15" t="n">
        <v>2011</v>
      </c>
      <c r="B785" s="43">
        <f>IF((A785&gt;=2023),J785,((((C785+D785)+E785)/((((((C785+D785)+E785)+F785)+G785)+H785)+I785))*K785))</f>
        <v/>
      </c>
      <c r="C785" s="44" t="n">
        <v>1564.914</v>
      </c>
      <c r="D785" s="44" t="n">
        <v>15799.021</v>
      </c>
      <c r="E785" s="44" t="n">
        <v>34980.884</v>
      </c>
      <c r="F785" s="44" t="n">
        <v>62312.395</v>
      </c>
      <c r="G785" s="44" t="n">
        <v>9739.004000000001</v>
      </c>
      <c r="H785" s="44" t="n">
        <v>2889.965</v>
      </c>
      <c r="I785" s="44" t="n">
        <v>1020.196</v>
      </c>
      <c r="J785" s="44" t="n"/>
      <c r="K785" s="44" t="n">
        <v>100</v>
      </c>
    </row>
    <row r="786" ht="14" customHeight="1">
      <c r="A786" s="21" t="n">
        <v>2012</v>
      </c>
      <c r="B786" s="45">
        <f>IF((A786&gt;=2023),J786,((((C786+D786)+E786)/((((((C786+D786)+E786)+F786)+G786)+H786)+I786))*K786))</f>
        <v/>
      </c>
      <c r="C786" s="46" t="n">
        <v>1322.272</v>
      </c>
      <c r="D786" s="46" t="n">
        <v>15811.523</v>
      </c>
      <c r="E786" s="46" t="n">
        <v>36505.94</v>
      </c>
      <c r="F786" s="46" t="n">
        <v>63101.616</v>
      </c>
      <c r="G786" s="46" t="n">
        <v>10016.038</v>
      </c>
      <c r="H786" s="46" t="n">
        <v>3259.626000000001</v>
      </c>
      <c r="I786" s="46" t="n">
        <v>1131.107999999999</v>
      </c>
      <c r="J786" s="46" t="n"/>
      <c r="K786" s="46" t="n">
        <v>100</v>
      </c>
    </row>
    <row r="787" ht="14" customHeight="1">
      <c r="A787" s="15" t="n">
        <v>2013</v>
      </c>
      <c r="B787" s="43">
        <f>IF((A787&gt;=2023),J787,((((C787+D787)+E787)/((((((C787+D787)+E787)+F787)+G787)+H787)+I787))*K787))</f>
        <v/>
      </c>
      <c r="C787" s="44" t="n">
        <v>1342.061</v>
      </c>
      <c r="D787" s="44" t="n">
        <v>16352.81</v>
      </c>
      <c r="E787" s="44" t="n">
        <v>38608.582</v>
      </c>
      <c r="F787" s="44" t="n">
        <v>62667.405</v>
      </c>
      <c r="G787" s="44" t="n">
        <v>9072.083000000001</v>
      </c>
      <c r="H787" s="44" t="n">
        <v>3441.186999999999</v>
      </c>
      <c r="I787" s="44" t="n">
        <v>1241.308</v>
      </c>
      <c r="J787" s="44" t="n"/>
      <c r="K787" s="44" t="n">
        <v>100</v>
      </c>
    </row>
    <row r="788" ht="14" customHeight="1">
      <c r="A788" s="21" t="n">
        <v>2014</v>
      </c>
      <c r="B788" s="45">
        <f>IF((A788&gt;=2023),J788,((((C788+D788)+E788)/((((((C788+D788)+E788)+F788)+G788)+H788)+I788))*K788))</f>
        <v/>
      </c>
      <c r="C788" s="46" t="n">
        <v>1176.151</v>
      </c>
      <c r="D788" s="46" t="n">
        <v>14633.463</v>
      </c>
      <c r="E788" s="46" t="n">
        <v>33536.068</v>
      </c>
      <c r="F788" s="46" t="n">
        <v>60735.267</v>
      </c>
      <c r="G788" s="46" t="n">
        <v>8517.166999999999</v>
      </c>
      <c r="H788" s="46" t="n">
        <v>3135.737</v>
      </c>
      <c r="I788" s="46" t="n">
        <v>1702.07</v>
      </c>
      <c r="J788" s="46" t="n"/>
      <c r="K788" s="46" t="n">
        <v>100</v>
      </c>
    </row>
    <row r="789" ht="14" customHeight="1">
      <c r="A789" s="15" t="n">
        <v>2015</v>
      </c>
      <c r="B789" s="43">
        <f>IF((A789&gt;=2023),J789,((((C789+D789)+E789)/((((((C789+D789)+E789)+F789)+G789)+H789)+I789))*K789))</f>
        <v/>
      </c>
      <c r="C789" s="44" t="n">
        <v>1213.214</v>
      </c>
      <c r="D789" s="44" t="n">
        <v>14666.912</v>
      </c>
      <c r="E789" s="44" t="n">
        <v>35996.272</v>
      </c>
      <c r="F789" s="44" t="n">
        <v>63039.824</v>
      </c>
      <c r="G789" s="44" t="n">
        <v>8460.624</v>
      </c>
      <c r="H789" s="44" t="n">
        <v>3336.378</v>
      </c>
      <c r="I789" s="44" t="n">
        <v>1806.172</v>
      </c>
      <c r="J789" s="44" t="n"/>
      <c r="K789" s="44" t="n">
        <v>100</v>
      </c>
    </row>
    <row r="790" ht="14" customHeight="1">
      <c r="A790" s="21" t="n">
        <v>2016</v>
      </c>
      <c r="B790" s="45">
        <f>IF((A790&gt;=2023),J790,((((C790+D790)+E790)/((((((C790+D790)+E790)+F790)+G790)+H790)+I790))*K790))</f>
        <v/>
      </c>
      <c r="C790" s="46" t="n">
        <v>1079.346</v>
      </c>
      <c r="D790" s="46" t="n">
        <v>14633.104</v>
      </c>
      <c r="E790" s="46" t="n">
        <v>36530.9</v>
      </c>
      <c r="F790" s="46" t="n">
        <v>63580.814</v>
      </c>
      <c r="G790" s="46" t="n">
        <v>8854.486999999999</v>
      </c>
      <c r="H790" s="46" t="n">
        <v>3525.547</v>
      </c>
      <c r="I790" s="46" t="n">
        <v>1967.197</v>
      </c>
      <c r="J790" s="46" t="n"/>
      <c r="K790" s="46" t="n">
        <v>100</v>
      </c>
    </row>
    <row r="791" ht="14" customHeight="1">
      <c r="A791" s="15" t="n">
        <v>2017</v>
      </c>
      <c r="B791" s="43">
        <f>IF((A791&gt;=2023),J791,((((C791+D791)+E791)/((((((C791+D791)+E791)+F791)+G791)+H791)+I791))*K791))</f>
        <v/>
      </c>
      <c r="C791" s="44" t="n">
        <v>1093.064</v>
      </c>
      <c r="D791" s="44" t="n">
        <v>14667.041</v>
      </c>
      <c r="E791" s="44" t="n">
        <v>36409.67</v>
      </c>
      <c r="F791" s="44" t="n">
        <v>63711.05</v>
      </c>
      <c r="G791" s="44" t="n">
        <v>9236.059999999999</v>
      </c>
      <c r="H791" s="44" t="n">
        <v>3795.445</v>
      </c>
      <c r="I791" s="44" t="n">
        <v>4969.719000000001</v>
      </c>
      <c r="J791" s="44" t="n"/>
      <c r="K791" s="44" t="n">
        <v>100</v>
      </c>
    </row>
    <row r="792" ht="14" customHeight="1">
      <c r="A792" s="21" t="n">
        <v>2018</v>
      </c>
      <c r="B792" s="45">
        <f>IF((A792&gt;=2023),J792,((((C792+D792)+E792)/((((((C792+D792)+E792)+F792)+G792)+H792)+I792))*K792))</f>
        <v/>
      </c>
      <c r="C792" s="46" t="n">
        <v>1016.742</v>
      </c>
      <c r="D792" s="46" t="n">
        <v>10804.322</v>
      </c>
      <c r="E792" s="46" t="n">
        <v>37823.474</v>
      </c>
      <c r="F792" s="46" t="n">
        <v>63646.466</v>
      </c>
      <c r="G792" s="46" t="n">
        <v>9247.382</v>
      </c>
      <c r="H792" s="46" t="n">
        <v>3986.427</v>
      </c>
      <c r="I792" s="46" t="n">
        <v>5137.679</v>
      </c>
      <c r="J792" s="46" t="n"/>
      <c r="K792" s="46" t="n">
        <v>100</v>
      </c>
    </row>
    <row r="793" ht="14" customHeight="1">
      <c r="A793" s="15" t="n">
        <v>2019</v>
      </c>
      <c r="B793" s="43">
        <f>IF((A793&gt;=2023),J793,((((C793+D793)+E793)/((((((C793+D793)+E793)+F793)+G793)+H793)+I793))*K793))</f>
        <v/>
      </c>
      <c r="C793" s="44" t="n">
        <v>927.1109999999999</v>
      </c>
      <c r="D793" s="44" t="n">
        <v>10633.18</v>
      </c>
      <c r="E793" s="44" t="n">
        <v>36170.811</v>
      </c>
      <c r="F793" s="44" t="n">
        <v>62403.236</v>
      </c>
      <c r="G793" s="44" t="n">
        <v>9116.665999999999</v>
      </c>
      <c r="H793" s="44" t="n">
        <v>4037.052000000001</v>
      </c>
      <c r="I793" s="44" t="n">
        <v>5279.806</v>
      </c>
      <c r="J793" s="44" t="n"/>
      <c r="K793" s="44" t="n">
        <v>100</v>
      </c>
    </row>
    <row r="794" ht="14" customHeight="1">
      <c r="A794" s="21" t="n">
        <v>2020</v>
      </c>
      <c r="B794" s="45">
        <f>IF((A794&gt;=2023),J794,((((C794+D794)+E794)/((((((C794+D794)+E794)+F794)+G794)+H794)+I794))*K794))</f>
        <v/>
      </c>
      <c r="C794" s="46" t="n">
        <v>897.6719999999999</v>
      </c>
      <c r="D794" s="46" t="n">
        <v>9736.805</v>
      </c>
      <c r="E794" s="46" t="n">
        <v>34561.708</v>
      </c>
      <c r="F794" s="46" t="n">
        <v>58248.449</v>
      </c>
      <c r="G794" s="46" t="n">
        <v>8468.085999999999</v>
      </c>
      <c r="H794" s="46" t="n">
        <v>3966.825</v>
      </c>
      <c r="I794" s="46" t="n">
        <v>5344.861999999999</v>
      </c>
      <c r="J794" s="46" t="n"/>
      <c r="K794" s="46" t="n">
        <v>100</v>
      </c>
    </row>
    <row r="795" ht="14" customHeight="1">
      <c r="A795" s="15" t="n">
        <v>2021</v>
      </c>
      <c r="B795" s="43">
        <f>IF((A795&gt;=2023),J795,((((C795+D795)+E795)/((((((C795+D795)+E795)+F795)+G795)+H795)+I795))*K795))</f>
        <v/>
      </c>
      <c r="C795" s="44" t="n">
        <v>1067.861</v>
      </c>
      <c r="D795" s="44" t="n">
        <v>10844.84</v>
      </c>
      <c r="E795" s="44" t="n">
        <v>38176.16</v>
      </c>
      <c r="F795" s="44" t="n">
        <v>59875.546</v>
      </c>
      <c r="G795" s="44" t="n">
        <v>9396.939</v>
      </c>
      <c r="H795" s="44" t="n">
        <v>4288.104</v>
      </c>
      <c r="I795" s="44" t="n">
        <v>5657.164</v>
      </c>
      <c r="J795" s="44" t="n"/>
      <c r="K795" s="44" t="n">
        <v>100</v>
      </c>
    </row>
    <row r="796" ht="14" customHeight="1">
      <c r="A796" s="21" t="n">
        <v>2023</v>
      </c>
      <c r="B796" s="45">
        <f>IF((A796&gt;=2023),J796,((((C796+D796)+E796)/((((((C796+D796)+E796)+F796)+G796)+H796)+I796))*K796))</f>
        <v/>
      </c>
      <c r="C796" s="46" t="n"/>
      <c r="D796" s="46" t="n"/>
      <c r="E796" s="46" t="n"/>
      <c r="F796" s="46" t="n"/>
      <c r="G796" s="46" t="n"/>
      <c r="H796" s="46" t="n"/>
      <c r="I796" s="46" t="n"/>
      <c r="J796" s="46" t="n">
        <v>32.2</v>
      </c>
      <c r="K796" s="46" t="n">
        <v>100</v>
      </c>
    </row>
    <row r="799">
      <c r="A799" s="52" t="inlineStr">
        <is>
          <t>B6 · EU stock of installed heat pumps  (million units)</t>
        </is>
      </c>
    </row>
    <row r="800" ht="26" customHeight="1">
      <c r="A800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801" ht="24" customHeight="1">
      <c r="A801" s="3" t="inlineStr">
        <is>
          <t>Derivation:  Value = [Total heat-pump stock (thousand units)] * [thousand → million (/1000)]</t>
        </is>
      </c>
    </row>
    <row r="802" ht="42" customHeight="1">
      <c r="A802" s="42" t="inlineStr">
        <is>
          <t>Year</t>
        </is>
      </c>
      <c r="B802" s="42" t="inlineStr">
        <is>
          <t>Value</t>
        </is>
      </c>
      <c r="C802" s="42" t="inlineStr">
        <is>
          <t>Total heat-pump stock (thousand units)</t>
        </is>
      </c>
      <c r="D802" s="42" t="inlineStr">
        <is>
          <t>thousand → million (/1000)</t>
        </is>
      </c>
    </row>
    <row r="803" ht="14" customHeight="1">
      <c r="A803" s="15" t="n">
        <v>2005</v>
      </c>
      <c r="B803" s="43">
        <f>(C803*D803)</f>
        <v/>
      </c>
      <c r="C803" s="44" t="n">
        <v>1100</v>
      </c>
      <c r="D803" s="44" t="n">
        <v>0.001</v>
      </c>
    </row>
    <row r="804" ht="14" customHeight="1">
      <c r="A804" s="21" t="n">
        <v>2006</v>
      </c>
      <c r="B804" s="45">
        <f>(C804*D804)</f>
        <v/>
      </c>
      <c r="C804" s="46" t="n">
        <v>1600</v>
      </c>
      <c r="D804" s="46" t="n">
        <v>0.001</v>
      </c>
    </row>
    <row r="805" ht="14" customHeight="1">
      <c r="A805" s="15" t="n">
        <v>2007</v>
      </c>
      <c r="B805" s="43">
        <f>(C805*D805)</f>
        <v/>
      </c>
      <c r="C805" s="44" t="n">
        <v>2170</v>
      </c>
      <c r="D805" s="44" t="n">
        <v>0.001</v>
      </c>
    </row>
    <row r="806" ht="14" customHeight="1">
      <c r="A806" s="21" t="n">
        <v>2008</v>
      </c>
      <c r="B806" s="45">
        <f>(C806*D806)</f>
        <v/>
      </c>
      <c r="C806" s="46" t="n">
        <v>2980</v>
      </c>
      <c r="D806" s="46" t="n">
        <v>0.001</v>
      </c>
    </row>
    <row r="807" ht="14" customHeight="1">
      <c r="A807" s="15" t="n">
        <v>2009</v>
      </c>
      <c r="B807" s="43">
        <f>(C807*D807)</f>
        <v/>
      </c>
      <c r="C807" s="44" t="n">
        <v>3710</v>
      </c>
      <c r="D807" s="44" t="n">
        <v>0.001</v>
      </c>
    </row>
    <row r="808" ht="14" customHeight="1">
      <c r="A808" s="21" t="n">
        <v>2010</v>
      </c>
      <c r="B808" s="45">
        <f>(C808*D808)</f>
        <v/>
      </c>
      <c r="C808" s="46" t="n">
        <v>4500</v>
      </c>
      <c r="D808" s="46" t="n">
        <v>0.001</v>
      </c>
    </row>
    <row r="809" ht="14" customHeight="1">
      <c r="A809" s="15" t="n">
        <v>2011</v>
      </c>
      <c r="B809" s="43">
        <f>(C809*D809)</f>
        <v/>
      </c>
      <c r="C809" s="44" t="n">
        <v>5300</v>
      </c>
      <c r="D809" s="44" t="n">
        <v>0.001</v>
      </c>
    </row>
    <row r="810" ht="14" customHeight="1">
      <c r="A810" s="21" t="n">
        <v>2012</v>
      </c>
      <c r="B810" s="45">
        <f>(C810*D810)</f>
        <v/>
      </c>
      <c r="C810" s="46" t="n">
        <v>6030</v>
      </c>
      <c r="D810" s="46" t="n">
        <v>0.001</v>
      </c>
    </row>
    <row r="811" ht="14" customHeight="1">
      <c r="A811" s="15" t="n">
        <v>2013</v>
      </c>
      <c r="B811" s="43">
        <f>(C811*D811)</f>
        <v/>
      </c>
      <c r="C811" s="44" t="n">
        <v>6780</v>
      </c>
      <c r="D811" s="44" t="n">
        <v>0.001</v>
      </c>
    </row>
    <row r="812" ht="14" customHeight="1">
      <c r="A812" s="21" t="n">
        <v>2014</v>
      </c>
      <c r="B812" s="45">
        <f>(C812*D812)</f>
        <v/>
      </c>
      <c r="C812" s="46" t="n">
        <v>7550</v>
      </c>
      <c r="D812" s="46" t="n">
        <v>0.001</v>
      </c>
    </row>
    <row r="813" ht="14" customHeight="1">
      <c r="A813" s="15" t="n">
        <v>2015</v>
      </c>
      <c r="B813" s="43">
        <f>(C813*D813)</f>
        <v/>
      </c>
      <c r="C813" s="44" t="n">
        <v>8430</v>
      </c>
      <c r="D813" s="44" t="n">
        <v>0.001</v>
      </c>
    </row>
    <row r="814" ht="14" customHeight="1">
      <c r="A814" s="21" t="n">
        <v>2016</v>
      </c>
      <c r="B814" s="45">
        <f>(C814*D814)</f>
        <v/>
      </c>
      <c r="C814" s="46" t="n">
        <v>9410</v>
      </c>
      <c r="D814" s="46" t="n">
        <v>0.001</v>
      </c>
    </row>
    <row r="815" ht="14" customHeight="1">
      <c r="A815" s="15" t="n">
        <v>2017</v>
      </c>
      <c r="B815" s="43">
        <f>(C815*D815)</f>
        <v/>
      </c>
      <c r="C815" s="44" t="n">
        <v>10500</v>
      </c>
      <c r="D815" s="44" t="n">
        <v>0.001</v>
      </c>
    </row>
    <row r="816" ht="14" customHeight="1">
      <c r="A816" s="21" t="n">
        <v>2018</v>
      </c>
      <c r="B816" s="45">
        <f>(C816*D816)</f>
        <v/>
      </c>
      <c r="C816" s="46" t="n">
        <v>11780</v>
      </c>
      <c r="D816" s="46" t="n">
        <v>0.001</v>
      </c>
    </row>
    <row r="817" ht="14" customHeight="1">
      <c r="A817" s="15" t="n">
        <v>2019</v>
      </c>
      <c r="B817" s="43">
        <f>(C817*D817)</f>
        <v/>
      </c>
      <c r="C817" s="44" t="n">
        <v>13210</v>
      </c>
      <c r="D817" s="44" t="n">
        <v>0.001</v>
      </c>
    </row>
    <row r="818" ht="14" customHeight="1">
      <c r="A818" s="21" t="n">
        <v>2020</v>
      </c>
      <c r="B818" s="45">
        <f>(C818*D818)</f>
        <v/>
      </c>
      <c r="C818" s="46" t="n">
        <v>14770</v>
      </c>
      <c r="D818" s="46" t="n">
        <v>0.001</v>
      </c>
    </row>
    <row r="819" ht="14" customHeight="1">
      <c r="A819" s="15" t="n">
        <v>2021</v>
      </c>
      <c r="B819" s="43">
        <f>(C819*D819)</f>
        <v/>
      </c>
      <c r="C819" s="44" t="n">
        <v>16870</v>
      </c>
      <c r="D819" s="44" t="n">
        <v>0.001</v>
      </c>
    </row>
    <row r="820" ht="14" customHeight="1">
      <c r="A820" s="21" t="n">
        <v>2022</v>
      </c>
      <c r="B820" s="45">
        <f>(C820*D820)</f>
        <v/>
      </c>
      <c r="C820" s="46" t="n">
        <v>19790</v>
      </c>
      <c r="D820" s="46" t="n">
        <v>0.001</v>
      </c>
    </row>
    <row r="821" ht="14" customHeight="1">
      <c r="A821" s="15" t="n">
        <v>2023</v>
      </c>
      <c r="B821" s="43">
        <f>(C821*D821)</f>
        <v/>
      </c>
      <c r="C821" s="44" t="n">
        <v>23960</v>
      </c>
      <c r="D821" s="44" t="n">
        <v>0.001</v>
      </c>
    </row>
    <row r="822" ht="14" customHeight="1">
      <c r="A822" s="21" t="n">
        <v>2024</v>
      </c>
      <c r="B822" s="45">
        <f>(C822*D822)</f>
        <v/>
      </c>
      <c r="C822" s="46" t="n">
        <v>25500</v>
      </c>
      <c r="D822" s="46" t="n">
        <v>0.001</v>
      </c>
    </row>
    <row r="825">
      <c r="A825" s="53" t="inlineStr">
        <is>
          <t>A1 · Agricultural non-CO₂ emissions  (Mt CO₂eq)</t>
        </is>
      </c>
    </row>
    <row r="826" ht="26" customHeight="1">
      <c r="A826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827" ht="24" customHeight="1">
      <c r="A827" s="3" t="inlineStr">
        <is>
          <t>Derivation:  Value = IF(A &gt;= 2022, IF(A &gt;= 2023, ROUND([Report baseline 2022 (Mt CO₂eq)] * ([env_air_gge CRF3 CH4] * 28 + [env_air_gge CRF3 N2O] * 265) / [Live source at 2022 (same basis as the columns left)], 1), [Report figure — row missing from the seeded grid]), [Enteric fermentation]+[Manure management]+[Fertilizer use]+[Other])</t>
        </is>
      </c>
    </row>
    <row r="828" ht="42" customHeight="1">
      <c r="A828" s="42" t="inlineStr">
        <is>
          <t>Year</t>
        </is>
      </c>
      <c r="B828" s="42" t="inlineStr">
        <is>
          <t>Value</t>
        </is>
      </c>
      <c r="C828" s="42" t="inlineStr">
        <is>
          <t>Enteric fermentation</t>
        </is>
      </c>
      <c r="D828" s="42" t="inlineStr">
        <is>
          <t>Manure management</t>
        </is>
      </c>
      <c r="E828" s="42" t="inlineStr">
        <is>
          <t>Fertilizer use</t>
        </is>
      </c>
      <c r="F828" s="42" t="inlineStr">
        <is>
          <t>Other</t>
        </is>
      </c>
      <c r="G828" s="42" t="inlineStr">
        <is>
          <t>Report figure — row missing from the seeded grid</t>
        </is>
      </c>
      <c r="H828" s="42" t="inlineStr">
        <is>
          <t>env_air_gge CRF3 CH4</t>
        </is>
      </c>
      <c r="I828" s="42" t="inlineStr">
        <is>
          <t>env_air_gge CRF3 N2O</t>
        </is>
      </c>
      <c r="J828" s="42" t="inlineStr">
        <is>
          <t>Report baseline 2022 (Mt CO₂eq)</t>
        </is>
      </c>
      <c r="K828" s="42" t="inlineStr">
        <is>
          <t>Live source at 2022 (same basis as the columns left)</t>
        </is>
      </c>
    </row>
    <row r="829" ht="14" customHeight="1">
      <c r="A829" s="15" t="n">
        <v>2005</v>
      </c>
      <c r="B829" s="43">
        <f>IF((A829&gt;=2022),IF((A829&gt;=2023),ROUND(((J829*((H829*28)+(I829*265)))/K829),1),G829),(((C829+D829)+E829)+F829))</f>
        <v/>
      </c>
      <c r="C829" s="44" t="n">
        <v>189.0104274914156</v>
      </c>
      <c r="D829" s="44" t="n">
        <v>69.08823467669878</v>
      </c>
      <c r="E829" s="44" t="n">
        <v>117.6797244894114</v>
      </c>
      <c r="F829" s="44" t="n">
        <v>4.277784065454455</v>
      </c>
      <c r="G829" s="44" t="n"/>
      <c r="H829" s="44" t="n"/>
      <c r="I829" s="44" t="n"/>
      <c r="J829" s="44" t="n"/>
      <c r="K829" s="44" t="n"/>
    </row>
    <row r="830" ht="14" customHeight="1">
      <c r="A830" s="21" t="n">
        <v>2006</v>
      </c>
      <c r="B830" s="45">
        <f>IF((A830&gt;=2022),IF((A830&gt;=2023),ROUND(((J830*((H830*28)+(I830*265)))/K830),1),G830),(((C830+D830)+E830)+F830))</f>
        <v/>
      </c>
      <c r="C830" s="46" t="n">
        <v>187.9827115136918</v>
      </c>
      <c r="D830" s="46" t="n">
        <v>68.59881916912724</v>
      </c>
      <c r="E830" s="46" t="n">
        <v>116.3645705357525</v>
      </c>
      <c r="F830" s="46" t="n">
        <v>4.348400847231289</v>
      </c>
      <c r="G830" s="46" t="n"/>
      <c r="H830" s="46" t="n"/>
      <c r="I830" s="46" t="n"/>
      <c r="J830" s="46" t="n"/>
      <c r="K830" s="46" t="n"/>
    </row>
    <row r="831" ht="14" customHeight="1">
      <c r="A831" s="15" t="n">
        <v>2007</v>
      </c>
      <c r="B831" s="43">
        <f>IF((A831&gt;=2022),IF((A831&gt;=2023),ROUND(((J831*((H831*28)+(I831*265)))/K831),1),G831),(((C831+D831)+E831)+F831))</f>
        <v/>
      </c>
      <c r="C831" s="44" t="n">
        <v>188.920788936153</v>
      </c>
      <c r="D831" s="44" t="n">
        <v>68.89885160712971</v>
      </c>
      <c r="E831" s="44" t="n">
        <v>117.1594485150589</v>
      </c>
      <c r="F831" s="44" t="n">
        <v>5.233100482022394</v>
      </c>
      <c r="G831" s="44" t="n"/>
      <c r="H831" s="44" t="n"/>
      <c r="I831" s="44" t="n"/>
      <c r="J831" s="44" t="n"/>
      <c r="K831" s="44" t="n"/>
    </row>
    <row r="832" ht="14" customHeight="1">
      <c r="A832" s="21" t="n">
        <v>2008</v>
      </c>
      <c r="B832" s="45">
        <f>IF((A832&gt;=2022),IF((A832&gt;=2023),ROUND(((J832*((H832*28)+(I832*265)))/K832),1),G832),(((C832+D832)+E832)+F832))</f>
        <v/>
      </c>
      <c r="C832" s="46" t="n">
        <v>188.1232118479337</v>
      </c>
      <c r="D832" s="46" t="n">
        <v>67.31439187545898</v>
      </c>
      <c r="E832" s="46" t="n">
        <v>117.8719523230649</v>
      </c>
      <c r="F832" s="46" t="n">
        <v>4.451932104627133</v>
      </c>
      <c r="G832" s="46" t="n"/>
      <c r="H832" s="46" t="n"/>
      <c r="I832" s="46" t="n"/>
      <c r="J832" s="46" t="n"/>
      <c r="K832" s="46" t="n"/>
    </row>
    <row r="833" ht="14" customHeight="1">
      <c r="A833" s="15" t="n">
        <v>2009</v>
      </c>
      <c r="B833" s="43">
        <f>IF((A833&gt;=2022),IF((A833&gt;=2023),ROUND(((J833*((H833*28)+(I833*265)))/K833),1),G833),(((C833+D833)+E833)+F833))</f>
        <v/>
      </c>
      <c r="C833" s="44" t="n">
        <v>186.4029792560558</v>
      </c>
      <c r="D833" s="44" t="n">
        <v>66.94339492744402</v>
      </c>
      <c r="E833" s="44" t="n">
        <v>114.334742527751</v>
      </c>
      <c r="F833" s="44" t="n">
        <v>5.064266110154932</v>
      </c>
      <c r="G833" s="44" t="n"/>
      <c r="H833" s="44" t="n"/>
      <c r="I833" s="44" t="n"/>
      <c r="J833" s="44" t="n"/>
      <c r="K833" s="44" t="n"/>
    </row>
    <row r="834" ht="14" customHeight="1">
      <c r="A834" s="21" t="n">
        <v>2010</v>
      </c>
      <c r="B834" s="45">
        <f>IF((A834&gt;=2022),IF((A834&gt;=2023),ROUND(((J834*((H834*28)+(I834*265)))/K834),1),G834),(((C834+D834)+E834)+F834))</f>
        <v/>
      </c>
      <c r="C834" s="46" t="n">
        <v>184.3182547366107</v>
      </c>
      <c r="D834" s="46" t="n">
        <v>64.59833355888863</v>
      </c>
      <c r="E834" s="46" t="n">
        <v>113.4443415161126</v>
      </c>
      <c r="F834" s="46" t="n">
        <v>5.122191446205193</v>
      </c>
      <c r="G834" s="46" t="n"/>
      <c r="H834" s="46" t="n"/>
      <c r="I834" s="46" t="n"/>
      <c r="J834" s="46" t="n"/>
      <c r="K834" s="46" t="n"/>
    </row>
    <row r="835" ht="14" customHeight="1">
      <c r="A835" s="15" t="n">
        <v>2011</v>
      </c>
      <c r="B835" s="43">
        <f>IF((A835&gt;=2022),IF((A835&gt;=2023),ROUND(((J835*((H835*28)+(I835*265)))/K835),1),G835),(((C835+D835)+E835)+F835))</f>
        <v/>
      </c>
      <c r="C835" s="44" t="n">
        <v>182.1059946206142</v>
      </c>
      <c r="D835" s="44" t="n">
        <v>64.68538725850802</v>
      </c>
      <c r="E835" s="44" t="n">
        <v>114.5572651084525</v>
      </c>
      <c r="F835" s="44" t="n">
        <v>5.378086020221744</v>
      </c>
      <c r="G835" s="44" t="n"/>
      <c r="H835" s="44" t="n"/>
      <c r="I835" s="44" t="n"/>
      <c r="J835" s="44" t="n"/>
      <c r="K835" s="44" t="n"/>
    </row>
    <row r="836" ht="14" customHeight="1">
      <c r="A836" s="21" t="n">
        <v>2012</v>
      </c>
      <c r="B836" s="45">
        <f>IF((A836&gt;=2022),IF((A836&gt;=2023),ROUND(((J836*((H836*28)+(I836*265)))/K836),1),G836),(((C836+D836)+E836)+F836))</f>
        <v/>
      </c>
      <c r="C836" s="46" t="n">
        <v>182.0959930222771</v>
      </c>
      <c r="D836" s="46" t="n">
        <v>63.78344635322895</v>
      </c>
      <c r="E836" s="46" t="n">
        <v>114.6218369449119</v>
      </c>
      <c r="F836" s="46" t="n">
        <v>5.773434257803146</v>
      </c>
      <c r="G836" s="46" t="n"/>
      <c r="H836" s="46" t="n"/>
      <c r="I836" s="46" t="n"/>
      <c r="J836" s="46" t="n"/>
      <c r="K836" s="46" t="n"/>
    </row>
    <row r="837" ht="14" customHeight="1">
      <c r="A837" s="15" t="n">
        <v>2013</v>
      </c>
      <c r="B837" s="43">
        <f>IF((A837&gt;=2022),IF((A837&gt;=2023),ROUND(((J837*((H837*28)+(I837*265)))/K837),1),G837),(((C837+D837)+E837)+F837))</f>
        <v/>
      </c>
      <c r="C837" s="44" t="n">
        <v>182.8748767022805</v>
      </c>
      <c r="D837" s="44" t="n">
        <v>63.01164458656165</v>
      </c>
      <c r="E837" s="44" t="n">
        <v>116.6233638797818</v>
      </c>
      <c r="F837" s="44" t="n">
        <v>5.393396404100073</v>
      </c>
      <c r="G837" s="44" t="n"/>
      <c r="H837" s="44" t="n"/>
      <c r="I837" s="44" t="n"/>
      <c r="J837" s="44" t="n"/>
      <c r="K837" s="44" t="n"/>
    </row>
    <row r="838" ht="14" customHeight="1">
      <c r="A838" s="21" t="n">
        <v>2014</v>
      </c>
      <c r="B838" s="45">
        <f>IF((A838&gt;=2022),IF((A838&gt;=2023),ROUND(((J838*((H838*28)+(I838*265)))/K838),1),G838),(((C838+D838)+E838)+F838))</f>
        <v/>
      </c>
      <c r="C838" s="46" t="n">
        <v>184.1684888516399</v>
      </c>
      <c r="D838" s="46" t="n">
        <v>63.61213189740968</v>
      </c>
      <c r="E838" s="46" t="n">
        <v>119.7377682240044</v>
      </c>
      <c r="F838" s="46" t="n">
        <v>5.345964152657757</v>
      </c>
      <c r="G838" s="46" t="n"/>
      <c r="H838" s="46" t="n"/>
      <c r="I838" s="46" t="n"/>
      <c r="J838" s="46" t="n"/>
      <c r="K838" s="46" t="n"/>
    </row>
    <row r="839" ht="14" customHeight="1">
      <c r="A839" s="15" t="n">
        <v>2015</v>
      </c>
      <c r="B839" s="43">
        <f>IF((A839&gt;=2022),IF((A839&gt;=2023),ROUND(((J839*((H839*28)+(I839*265)))/K839),1),G839),(((C839+D839)+E839)+F839))</f>
        <v/>
      </c>
      <c r="C839" s="44" t="n">
        <v>185.8812770994882</v>
      </c>
      <c r="D839" s="44" t="n">
        <v>64.25818752651736</v>
      </c>
      <c r="E839" s="44" t="n">
        <v>118.7361371573253</v>
      </c>
      <c r="F839" s="44" t="n">
        <v>5.605471507217175</v>
      </c>
      <c r="G839" s="44" t="n"/>
      <c r="H839" s="44" t="n"/>
      <c r="I839" s="44" t="n"/>
      <c r="J839" s="44" t="n"/>
      <c r="K839" s="44" t="n"/>
    </row>
    <row r="840" ht="14" customHeight="1">
      <c r="A840" s="21" t="n">
        <v>2016</v>
      </c>
      <c r="B840" s="45">
        <f>IF((A840&gt;=2022),IF((A840&gt;=2023),ROUND(((J840*((H840*28)+(I840*265)))/K840),1),G840),(((C840+D840)+E840)+F840))</f>
        <v/>
      </c>
      <c r="C840" s="46" t="n">
        <v>186.477187072414</v>
      </c>
      <c r="D840" s="46" t="n">
        <v>64.24736803751625</v>
      </c>
      <c r="E840" s="46" t="n">
        <v>119.6150193989715</v>
      </c>
      <c r="F840" s="46" t="n">
        <v>5.585625728374154</v>
      </c>
      <c r="G840" s="46" t="n"/>
      <c r="H840" s="46" t="n"/>
      <c r="I840" s="46" t="n"/>
      <c r="J840" s="46" t="n"/>
      <c r="K840" s="46" t="n"/>
    </row>
    <row r="841" ht="14" customHeight="1">
      <c r="A841" s="15" t="n">
        <v>2017</v>
      </c>
      <c r="B841" s="43">
        <f>IF((A841&gt;=2022),IF((A841&gt;=2023),ROUND(((J841*((H841*28)+(I841*265)))/K841),1),G841),(((C841+D841)+E841)+F841))</f>
        <v/>
      </c>
      <c r="C841" s="44" t="n">
        <v>186.645793745861</v>
      </c>
      <c r="D841" s="44" t="n">
        <v>64.51316552423758</v>
      </c>
      <c r="E841" s="44" t="n">
        <v>121.7385748473323</v>
      </c>
      <c r="F841" s="44" t="n">
        <v>5.258822740697056</v>
      </c>
      <c r="G841" s="44" t="n"/>
      <c r="H841" s="44" t="n"/>
      <c r="I841" s="44" t="n"/>
      <c r="J841" s="44" t="n"/>
      <c r="K841" s="44" t="n"/>
    </row>
    <row r="842" ht="14" customHeight="1">
      <c r="A842" s="21" t="n">
        <v>2018</v>
      </c>
      <c r="B842" s="45">
        <f>IF((A842&gt;=2022),IF((A842&gt;=2023),ROUND(((J842*((H842*28)+(I842*265)))/K842),1),G842),(((C842+D842)+E842)+F842))</f>
        <v/>
      </c>
      <c r="C842" s="46" t="n">
        <v>185.6382219273156</v>
      </c>
      <c r="D842" s="46" t="n">
        <v>64.26715709564823</v>
      </c>
      <c r="E842" s="46" t="n">
        <v>119.9945432157956</v>
      </c>
      <c r="F842" s="46" t="n">
        <v>5.089209956103801</v>
      </c>
      <c r="G842" s="46" t="n"/>
      <c r="H842" s="46" t="n"/>
      <c r="I842" s="46" t="n"/>
      <c r="J842" s="46" t="n"/>
      <c r="K842" s="46" t="n"/>
    </row>
    <row r="843" ht="14" customHeight="1">
      <c r="A843" s="15" t="n">
        <v>2019</v>
      </c>
      <c r="B843" s="43">
        <f>IF((A843&gt;=2022),IF((A843&gt;=2023),ROUND(((J843*((H843*28)+(I843*265)))/K843),1),G843),(((C843+D843)+E843)+F843))</f>
        <v/>
      </c>
      <c r="C843" s="44" t="n">
        <v>183.8156398954151</v>
      </c>
      <c r="D843" s="44" t="n">
        <v>63.77767373217581</v>
      </c>
      <c r="E843" s="44" t="n">
        <v>118.1370322990841</v>
      </c>
      <c r="F843" s="44" t="n">
        <v>5.138738660767601</v>
      </c>
      <c r="G843" s="44" t="n"/>
      <c r="H843" s="44" t="n"/>
      <c r="I843" s="44" t="n"/>
      <c r="J843" s="44" t="n"/>
      <c r="K843" s="44" t="n"/>
    </row>
    <row r="844" ht="14" customHeight="1">
      <c r="A844" s="21" t="n">
        <v>2020</v>
      </c>
      <c r="B844" s="45">
        <f>IF((A844&gt;=2022),IF((A844&gt;=2023),ROUND(((J844*((H844*28)+(I844*265)))/K844),1),G844),(((C844+D844)+E844)+F844))</f>
        <v/>
      </c>
      <c r="C844" s="46" t="n">
        <v>183.7484125647313</v>
      </c>
      <c r="D844" s="46" t="n">
        <v>64.09086899450296</v>
      </c>
      <c r="E844" s="46" t="n">
        <v>118.629474528699</v>
      </c>
      <c r="F844" s="46" t="n">
        <v>5.431864621189746</v>
      </c>
      <c r="G844" s="46" t="n"/>
      <c r="H844" s="46" t="n"/>
      <c r="I844" s="46" t="n"/>
      <c r="J844" s="46" t="n"/>
      <c r="K844" s="46" t="n"/>
    </row>
    <row r="845" ht="14" customHeight="1">
      <c r="A845" s="15" t="n">
        <v>2021</v>
      </c>
      <c r="B845" s="43">
        <f>IF((A845&gt;=2022),IF((A845&gt;=2023),ROUND(((J845*((H845*28)+(I845*265)))/K845),1),G845),(((C845+D845)+E845)+F845))</f>
        <v/>
      </c>
      <c r="C845" s="44" t="n">
        <v>182.5454973719479</v>
      </c>
      <c r="D845" s="44" t="n">
        <v>62.90260958350251</v>
      </c>
      <c r="E845" s="44" t="n">
        <v>117.9941278462921</v>
      </c>
      <c r="F845" s="44" t="n">
        <v>5.16966544042242</v>
      </c>
      <c r="G845" s="44" t="n"/>
      <c r="H845" s="44" t="n"/>
      <c r="I845" s="44" t="n"/>
      <c r="J845" s="44" t="n"/>
      <c r="K845" s="44" t="n"/>
    </row>
    <row r="846" ht="14" customHeight="1">
      <c r="A846" s="21" t="n">
        <v>2022</v>
      </c>
      <c r="B846" s="45">
        <f>IF((A846&gt;=2022),IF((A846&gt;=2023),ROUND(((J846*((H846*28)+(I846*265)))/K846),1),G846),(((C846+D846)+E846)+F846))</f>
        <v/>
      </c>
      <c r="C846" s="46" t="n"/>
      <c r="D846" s="46" t="n"/>
      <c r="E846" s="46" t="n"/>
      <c r="F846" s="46" t="n"/>
      <c r="G846" s="46" t="n">
        <v>360.9</v>
      </c>
      <c r="H846" s="46" t="n"/>
      <c r="I846" s="46" t="n"/>
      <c r="J846" s="46" t="n"/>
      <c r="K846" s="46" t="n"/>
    </row>
    <row r="847" ht="14" customHeight="1">
      <c r="A847" s="15" t="n">
        <v>2023</v>
      </c>
      <c r="B847" s="43">
        <f>IF((A847&gt;=2022),IF((A847&gt;=2023),ROUND(((J847*((H847*28)+(I847*265)))/K847),1),G847),(((C847+D847)+E847)+F847))</f>
        <v/>
      </c>
      <c r="C847" s="44" t="n"/>
      <c r="D847" s="44" t="n"/>
      <c r="E847" s="44" t="n"/>
      <c r="F847" s="44" t="n"/>
      <c r="G847" s="44" t="n"/>
      <c r="H847" s="44" t="n">
        <v>8.172219999999999</v>
      </c>
      <c r="I847" s="44" t="n">
        <v>0.47204</v>
      </c>
      <c r="J847" s="44" t="n">
        <v>360.9</v>
      </c>
      <c r="K847" s="44" t="n">
        <v>354.85225</v>
      </c>
    </row>
    <row r="848" ht="14" customHeight="1">
      <c r="A848" s="21" t="n">
        <v>2024</v>
      </c>
      <c r="B848" s="45">
        <f>IF((A848&gt;=2022),IF((A848&gt;=2023),ROUND(((J848*((H848*28)+(I848*265)))/K848),1),G848),(((C848+D848)+E848)+F848))</f>
        <v/>
      </c>
      <c r="C848" s="46" t="n"/>
      <c r="D848" s="46" t="n"/>
      <c r="E848" s="46" t="n"/>
      <c r="F848" s="46" t="n"/>
      <c r="G848" s="46" t="n"/>
      <c r="H848" s="46" t="n">
        <v>8.071619999999999</v>
      </c>
      <c r="I848" s="46" t="n">
        <v>0.46684</v>
      </c>
      <c r="J848" s="46" t="n">
        <v>360.9</v>
      </c>
      <c r="K848" s="46" t="n">
        <v>354.85225</v>
      </c>
    </row>
    <row r="851">
      <c r="A851" s="53" t="inlineStr">
        <is>
          <t>A2 (bovine, production) · Bovine meat: production (EU)  (Mt)</t>
        </is>
      </c>
    </row>
    <row r="852" ht="26" customHeight="1">
      <c r="A852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853" ht="24" customHeight="1">
      <c r="A853" s="3" t="inlineStr">
        <is>
          <t>Derivation:  Value = IF(A &gt;= 2021, ROUND([apro_mt_pann B1000] * [Unit conversion (× 0.001)], 3), [Report figure (2024 report underlying data)])</t>
        </is>
      </c>
    </row>
    <row r="854" ht="42" customHeight="1">
      <c r="A854" s="42" t="inlineStr">
        <is>
          <t>Year</t>
        </is>
      </c>
      <c r="B854" s="42" t="inlineStr">
        <is>
          <t>Value</t>
        </is>
      </c>
      <c r="C854" s="42" t="inlineStr">
        <is>
          <t>Report figure (2024 report underlying data)</t>
        </is>
      </c>
      <c r="D854" s="42" t="inlineStr">
        <is>
          <t>apro_mt_pann B1000</t>
        </is>
      </c>
      <c r="E854" s="42" t="inlineStr">
        <is>
          <t>Unit conversion (× 0.001)</t>
        </is>
      </c>
    </row>
    <row r="855" ht="14" customHeight="1">
      <c r="A855" s="15" t="n">
        <v>2010</v>
      </c>
      <c r="B855" s="43">
        <f>IF((A855&gt;=2021),ROUND((D855*E855),3),C855)</f>
        <v/>
      </c>
      <c r="C855" s="44" t="n">
        <v>7.257</v>
      </c>
      <c r="D855" s="44" t="n"/>
      <c r="E855" s="44" t="n"/>
    </row>
    <row r="856" ht="14" customHeight="1">
      <c r="A856" s="21" t="n">
        <v>2011</v>
      </c>
      <c r="B856" s="45">
        <f>IF((A856&gt;=2021),ROUND((D856*E856),3),C856)</f>
        <v/>
      </c>
      <c r="C856" s="46" t="n">
        <v>7.126</v>
      </c>
      <c r="D856" s="46" t="n"/>
      <c r="E856" s="46" t="n"/>
    </row>
    <row r="857" ht="14" customHeight="1">
      <c r="A857" s="15" t="n">
        <v>2012</v>
      </c>
      <c r="B857" s="43">
        <f>IF((A857&gt;=2021),ROUND((D857*E857),3),C857)</f>
        <v/>
      </c>
      <c r="C857" s="44" t="n">
        <v>6.857</v>
      </c>
      <c r="D857" s="44" t="n"/>
      <c r="E857" s="44" t="n"/>
    </row>
    <row r="858" ht="14" customHeight="1">
      <c r="A858" s="21" t="n">
        <v>2013</v>
      </c>
      <c r="B858" s="45">
        <f>IF((A858&gt;=2021),ROUND((D858*E858),3),C858)</f>
        <v/>
      </c>
      <c r="C858" s="46" t="n">
        <v>6.567</v>
      </c>
      <c r="D858" s="46" t="n"/>
      <c r="E858" s="46" t="n"/>
    </row>
    <row r="859" ht="14" customHeight="1">
      <c r="A859" s="15" t="n">
        <v>2014</v>
      </c>
      <c r="B859" s="43">
        <f>IF((A859&gt;=2021),ROUND((D859*E859),3),C859)</f>
        <v/>
      </c>
      <c r="C859" s="44" t="n">
        <v>6.597</v>
      </c>
      <c r="D859" s="44" t="n"/>
      <c r="E859" s="44" t="n"/>
    </row>
    <row r="860" ht="14" customHeight="1">
      <c r="A860" s="21" t="n">
        <v>2015</v>
      </c>
      <c r="B860" s="45">
        <f>IF((A860&gt;=2021),ROUND((D860*E860),3),C860)</f>
        <v/>
      </c>
      <c r="C860" s="46" t="n">
        <v>6.827</v>
      </c>
      <c r="D860" s="46" t="n"/>
      <c r="E860" s="46" t="n"/>
    </row>
    <row r="861" ht="14" customHeight="1">
      <c r="A861" s="15" t="n">
        <v>2016</v>
      </c>
      <c r="B861" s="43">
        <f>IF((A861&gt;=2021),ROUND((D861*E861),3),C861)</f>
        <v/>
      </c>
      <c r="C861" s="44" t="n">
        <v>6.999</v>
      </c>
      <c r="D861" s="44" t="n"/>
      <c r="E861" s="44" t="n"/>
    </row>
    <row r="862" ht="14" customHeight="1">
      <c r="A862" s="21" t="n">
        <v>2017</v>
      </c>
      <c r="B862" s="45">
        <f>IF((A862&gt;=2021),ROUND((D862*E862),3),C862)</f>
        <v/>
      </c>
      <c r="C862" s="46" t="n">
        <v>6.993</v>
      </c>
      <c r="D862" s="46" t="n"/>
      <c r="E862" s="46" t="n"/>
    </row>
    <row r="863" ht="14" customHeight="1">
      <c r="A863" s="15" t="n">
        <v>2018</v>
      </c>
      <c r="B863" s="43">
        <f>IF((A863&gt;=2021),ROUND((D863*E863),3),C863)</f>
        <v/>
      </c>
      <c r="C863" s="44" t="n">
        <v>7.112</v>
      </c>
      <c r="D863" s="44" t="n"/>
      <c r="E863" s="44" t="n"/>
    </row>
    <row r="864" ht="14" customHeight="1">
      <c r="A864" s="21" t="n">
        <v>2019</v>
      </c>
      <c r="B864" s="45">
        <f>IF((A864&gt;=2021),ROUND((D864*E864),3),C864)</f>
        <v/>
      </c>
      <c r="C864" s="46" t="n">
        <v>6.999</v>
      </c>
      <c r="D864" s="46" t="n"/>
      <c r="E864" s="46" t="n"/>
    </row>
    <row r="865" ht="14" customHeight="1">
      <c r="A865" s="15" t="n">
        <v>2020</v>
      </c>
      <c r="B865" s="43">
        <f>IF((A865&gt;=2021),ROUND((D865*E865),3),C865)</f>
        <v/>
      </c>
      <c r="C865" s="44" t="n">
        <v>6.936</v>
      </c>
      <c r="D865" s="44" t="n"/>
      <c r="E865" s="44" t="n"/>
    </row>
    <row r="866" ht="14" customHeight="1">
      <c r="A866" s="21" t="n">
        <v>2021</v>
      </c>
      <c r="B866" s="45">
        <f>IF((A866&gt;=2021),ROUND((D866*E866),3),C866)</f>
        <v/>
      </c>
      <c r="C866" s="46" t="n"/>
      <c r="D866" s="46" t="n">
        <v>6801.91</v>
      </c>
      <c r="E866" s="46" t="n">
        <v>0.001</v>
      </c>
    </row>
    <row r="867" ht="14" customHeight="1">
      <c r="A867" s="15" t="n">
        <v>2022</v>
      </c>
      <c r="B867" s="43">
        <f>IF((A867&gt;=2021),ROUND((D867*E867),3),C867)</f>
        <v/>
      </c>
      <c r="C867" s="44" t="n"/>
      <c r="D867" s="44" t="n">
        <v>6640.26</v>
      </c>
      <c r="E867" s="44" t="n">
        <v>0.001</v>
      </c>
    </row>
    <row r="868" ht="14" customHeight="1">
      <c r="A868" s="21" t="n">
        <v>2023</v>
      </c>
      <c r="B868" s="45">
        <f>IF((A868&gt;=2021),ROUND((D868*E868),3),C868)</f>
        <v/>
      </c>
      <c r="C868" s="46" t="n"/>
      <c r="D868" s="46" t="n">
        <v>6384.77</v>
      </c>
      <c r="E868" s="46" t="n">
        <v>0.001</v>
      </c>
    </row>
    <row r="869" ht="14" customHeight="1">
      <c r="A869" s="15" t="n">
        <v>2024</v>
      </c>
      <c r="B869" s="43">
        <f>IF((A869&gt;=2021),ROUND((D869*E869),3),C869)</f>
        <v/>
      </c>
      <c r="C869" s="44" t="n"/>
      <c r="D869" s="44" t="n">
        <v>6584.01</v>
      </c>
      <c r="E869" s="44" t="n">
        <v>0.001</v>
      </c>
    </row>
    <row r="870" ht="14" customHeight="1">
      <c r="A870" s="21" t="n">
        <v>2025</v>
      </c>
      <c r="B870" s="45">
        <f>IF((A870&gt;=2021),ROUND((D870*E870),3),C870)</f>
        <v/>
      </c>
      <c r="C870" s="46" t="n"/>
      <c r="D870" s="46" t="n">
        <v>6319.82</v>
      </c>
      <c r="E870" s="46" t="n">
        <v>0.001</v>
      </c>
    </row>
    <row r="873">
      <c r="A873" s="53" t="inlineStr">
        <is>
          <t>A2 (dairy, production) · Dairy products: production (EU)  (Mt)</t>
        </is>
      </c>
    </row>
    <row r="874" ht="26" customHeight="1">
      <c r="A874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875" ht="24" customHeight="1">
      <c r="A875" s="3" t="inlineStr">
        <is>
          <t>Derivation:  Value = IF(A &gt;= 2021, ROUND([Report baseline 2020 (Mt)] * [apro_mk_farm D1100A] / [Live source at 2020 (same basis as the columns left)], 1), [Report figure (2024 report underlying data)])</t>
        </is>
      </c>
    </row>
    <row r="876" ht="42" customHeight="1">
      <c r="A876" s="42" t="inlineStr">
        <is>
          <t>Year</t>
        </is>
      </c>
      <c r="B876" s="42" t="inlineStr">
        <is>
          <t>Value</t>
        </is>
      </c>
      <c r="C876" s="42" t="inlineStr">
        <is>
          <t>Report figure (2024 report underlying data)</t>
        </is>
      </c>
      <c r="D876" s="42" t="inlineStr">
        <is>
          <t>apro_mk_farm D1100A</t>
        </is>
      </c>
      <c r="E876" s="42" t="inlineStr">
        <is>
          <t>Report baseline 2020 (Mt)</t>
        </is>
      </c>
      <c r="F876" s="42" t="inlineStr">
        <is>
          <t>Live source at 2020 (same basis as the columns left)</t>
        </is>
      </c>
    </row>
    <row r="877" ht="14" customHeight="1">
      <c r="A877" s="15" t="n">
        <v>2010</v>
      </c>
      <c r="B877" s="43">
        <f>IF((A877&gt;=2021),ROUND(((E877*D877)/F877),1),C877)</f>
        <v/>
      </c>
      <c r="C877" s="44" t="n">
        <v>141.1</v>
      </c>
      <c r="D877" s="44" t="n"/>
      <c r="E877" s="44" t="n"/>
      <c r="F877" s="44" t="n"/>
    </row>
    <row r="878" ht="14" customHeight="1">
      <c r="A878" s="21" t="n">
        <v>2011</v>
      </c>
      <c r="B878" s="45">
        <f>IF((A878&gt;=2021),ROUND(((E878*D878)/F878),1),C878)</f>
        <v/>
      </c>
      <c r="C878" s="46" t="n">
        <v>143.4</v>
      </c>
      <c r="D878" s="46" t="n"/>
      <c r="E878" s="46" t="n"/>
      <c r="F878" s="46" t="n"/>
    </row>
    <row r="879" ht="14" customHeight="1">
      <c r="A879" s="15" t="n">
        <v>2012</v>
      </c>
      <c r="B879" s="43">
        <f>IF((A879&gt;=2021),ROUND(((E879*D879)/F879),1),C879)</f>
        <v/>
      </c>
      <c r="C879" s="44" t="n">
        <v>143.8</v>
      </c>
      <c r="D879" s="44" t="n"/>
      <c r="E879" s="44" t="n"/>
      <c r="F879" s="44" t="n"/>
    </row>
    <row r="880" ht="14" customHeight="1">
      <c r="A880" s="21" t="n">
        <v>2013</v>
      </c>
      <c r="B880" s="45">
        <f>IF((A880&gt;=2021),ROUND(((E880*D880)/F880),1),C880)</f>
        <v/>
      </c>
      <c r="C880" s="46" t="n">
        <v>145.3</v>
      </c>
      <c r="D880" s="46" t="n"/>
      <c r="E880" s="46" t="n"/>
      <c r="F880" s="46" t="n"/>
    </row>
    <row r="881" ht="14" customHeight="1">
      <c r="A881" s="15" t="n">
        <v>2014</v>
      </c>
      <c r="B881" s="43">
        <f>IF((A881&gt;=2021),ROUND(((E881*D881)/F881),1),C881)</f>
        <v/>
      </c>
      <c r="C881" s="44" t="n">
        <v>150.1</v>
      </c>
      <c r="D881" s="44" t="n"/>
      <c r="E881" s="44" t="n"/>
      <c r="F881" s="44" t="n"/>
    </row>
    <row r="882" ht="14" customHeight="1">
      <c r="A882" s="21" t="n">
        <v>2015</v>
      </c>
      <c r="B882" s="45">
        <f>IF((A882&gt;=2021),ROUND(((E882*D882)/F882),1),C882)</f>
        <v/>
      </c>
      <c r="C882" s="46" t="n">
        <v>153.2</v>
      </c>
      <c r="D882" s="46" t="n"/>
      <c r="E882" s="46" t="n"/>
      <c r="F882" s="46" t="n"/>
    </row>
    <row r="883" ht="14" customHeight="1">
      <c r="A883" s="15" t="n">
        <v>2016</v>
      </c>
      <c r="B883" s="43">
        <f>IF((A883&gt;=2021),ROUND(((E883*D883)/F883),1),C883)</f>
        <v/>
      </c>
      <c r="C883" s="44" t="n">
        <v>154.8</v>
      </c>
      <c r="D883" s="44" t="n"/>
      <c r="E883" s="44" t="n"/>
      <c r="F883" s="44" t="n"/>
    </row>
    <row r="884" ht="14" customHeight="1">
      <c r="A884" s="21" t="n">
        <v>2017</v>
      </c>
      <c r="B884" s="45">
        <f>IF((A884&gt;=2021),ROUND(((E884*D884)/F884),1),C884)</f>
        <v/>
      </c>
      <c r="C884" s="46" t="n">
        <v>156</v>
      </c>
      <c r="D884" s="46" t="n"/>
      <c r="E884" s="46" t="n"/>
      <c r="F884" s="46" t="n"/>
    </row>
    <row r="885" ht="14" customHeight="1">
      <c r="A885" s="15" t="n">
        <v>2018</v>
      </c>
      <c r="B885" s="43">
        <f>IF((A885&gt;=2021),ROUND(((E885*D885)/F885),1),C885)</f>
        <v/>
      </c>
      <c r="C885" s="44" t="n">
        <v>158.3</v>
      </c>
      <c r="D885" s="44" t="n"/>
      <c r="E885" s="44" t="n"/>
      <c r="F885" s="44" t="n"/>
    </row>
    <row r="886" ht="14" customHeight="1">
      <c r="A886" s="21" t="n">
        <v>2019</v>
      </c>
      <c r="B886" s="45">
        <f>IF((A886&gt;=2021),ROUND(((E886*D886)/F886),1),C886)</f>
        <v/>
      </c>
      <c r="C886" s="46" t="n">
        <v>161.2</v>
      </c>
      <c r="D886" s="46" t="n"/>
      <c r="E886" s="46" t="n"/>
      <c r="F886" s="46" t="n"/>
    </row>
    <row r="887" ht="14" customHeight="1">
      <c r="A887" s="15" t="n">
        <v>2020</v>
      </c>
      <c r="B887" s="43">
        <f>IF((A887&gt;=2021),ROUND(((E887*D887)/F887),1),C887)</f>
        <v/>
      </c>
      <c r="C887" s="44" t="n">
        <v>163.1</v>
      </c>
      <c r="D887" s="44" t="n"/>
      <c r="E887" s="44" t="n"/>
      <c r="F887" s="44" t="n"/>
    </row>
    <row r="888" ht="14" customHeight="1">
      <c r="A888" s="21" t="n">
        <v>2021</v>
      </c>
      <c r="B888" s="45">
        <f>IF((A888&gt;=2021),ROUND(((E888*D888)/F888),1),C888)</f>
        <v/>
      </c>
      <c r="C888" s="46" t="n"/>
      <c r="D888" s="46" t="n">
        <v>159772.68</v>
      </c>
      <c r="E888" s="46" t="n">
        <v>163.1</v>
      </c>
      <c r="F888" s="46" t="n">
        <v>160281.96</v>
      </c>
    </row>
    <row r="889" ht="14" customHeight="1">
      <c r="A889" s="15" t="n">
        <v>2022</v>
      </c>
      <c r="B889" s="43">
        <f>IF((A889&gt;=2021),ROUND(((E889*D889)/F889),1),C889)</f>
        <v/>
      </c>
      <c r="C889" s="44" t="n"/>
      <c r="D889" s="44" t="n">
        <v>159996.09</v>
      </c>
      <c r="E889" s="44" t="n">
        <v>163.1</v>
      </c>
      <c r="F889" s="44" t="n">
        <v>160281.96</v>
      </c>
    </row>
    <row r="890" ht="14" customHeight="1">
      <c r="A890" s="21" t="n">
        <v>2023</v>
      </c>
      <c r="B890" s="45">
        <f>IF((A890&gt;=2021),ROUND(((E890*D890)/F890),1),C890)</f>
        <v/>
      </c>
      <c r="C890" s="46" t="n"/>
      <c r="D890" s="46" t="n">
        <v>160887.23</v>
      </c>
      <c r="E890" s="46" t="n">
        <v>163.1</v>
      </c>
      <c r="F890" s="46" t="n">
        <v>160281.96</v>
      </c>
    </row>
    <row r="891" ht="14" customHeight="1">
      <c r="A891" s="15" t="n">
        <v>2024</v>
      </c>
      <c r="B891" s="43">
        <f>IF((A891&gt;=2021),ROUND(((E891*D891)/F891),1),C891)</f>
        <v/>
      </c>
      <c r="C891" s="44" t="n"/>
      <c r="D891" s="44" t="n">
        <v>161798.04</v>
      </c>
      <c r="E891" s="44" t="n">
        <v>163.1</v>
      </c>
      <c r="F891" s="44" t="n">
        <v>160281.96</v>
      </c>
    </row>
    <row r="894">
      <c r="A894" s="53" t="inlineStr">
        <is>
          <t>A2 (pig, GHG) · Pig meat: GHG emissions (EU)  (Mt CO₂eq)</t>
        </is>
      </c>
    </row>
    <row r="895" ht="26" customHeight="1">
      <c r="A895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896" ht="24" customHeight="1">
      <c r="A896" s="3" t="inlineStr">
        <is>
          <t>Derivation:  Value = IF(A &gt;= 2022, ROUND([Report baseline 2021 (Mt CO₂eq)] * ([env_air_gge CRF3A3] + [env_air_gge CRF3B3]) / [Live source at 2021 (same basis as the columns left)], 2), [Report figure (2024 report underlying data)])</t>
        </is>
      </c>
    </row>
    <row r="897" ht="42" customHeight="1">
      <c r="A897" s="42" t="inlineStr">
        <is>
          <t>Year</t>
        </is>
      </c>
      <c r="B897" s="42" t="inlineStr">
        <is>
          <t>Value</t>
        </is>
      </c>
      <c r="C897" s="42" t="inlineStr">
        <is>
          <t>Report figure (2024 report underlying data)</t>
        </is>
      </c>
      <c r="D897" s="42" t="inlineStr">
        <is>
          <t>env_air_gge CRF3A3</t>
        </is>
      </c>
      <c r="E897" s="42" t="inlineStr">
        <is>
          <t>env_air_gge CRF3B3</t>
        </is>
      </c>
      <c r="F897" s="42" t="inlineStr">
        <is>
          <t>Report baseline 2021 (Mt CO₂eq)</t>
        </is>
      </c>
      <c r="G897" s="42" t="inlineStr">
        <is>
          <t>Live source at 2021 (same basis as the columns left)</t>
        </is>
      </c>
    </row>
    <row r="898" ht="14" customHeight="1">
      <c r="A898" s="15" t="n">
        <v>2010</v>
      </c>
      <c r="B898" s="43">
        <f>IF((A898&gt;=2022),ROUND(((F898*(D898+E898))/G898),2),C898)</f>
        <v/>
      </c>
      <c r="C898" s="44" t="n">
        <v>30.02</v>
      </c>
      <c r="D898" s="44" t="n"/>
      <c r="E898" s="44" t="n"/>
      <c r="F898" s="44" t="n"/>
      <c r="G898" s="44" t="n"/>
    </row>
    <row r="899" ht="14" customHeight="1">
      <c r="A899" s="21" t="n">
        <v>2011</v>
      </c>
      <c r="B899" s="45">
        <f>IF((A899&gt;=2022),ROUND(((F899*(D899+E899))/G899),2),C899)</f>
        <v/>
      </c>
      <c r="C899" s="46" t="n">
        <v>30.07</v>
      </c>
      <c r="D899" s="46" t="n"/>
      <c r="E899" s="46" t="n"/>
      <c r="F899" s="46" t="n"/>
      <c r="G899" s="46" t="n"/>
    </row>
    <row r="900" ht="14" customHeight="1">
      <c r="A900" s="15" t="n">
        <v>2012</v>
      </c>
      <c r="B900" s="43">
        <f>IF((A900&gt;=2022),ROUND(((F900*(D900+E900))/G900),2),C900)</f>
        <v/>
      </c>
      <c r="C900" s="44" t="n">
        <v>29.05</v>
      </c>
      <c r="D900" s="44" t="n"/>
      <c r="E900" s="44" t="n"/>
      <c r="F900" s="44" t="n"/>
      <c r="G900" s="44" t="n"/>
    </row>
    <row r="901" ht="14" customHeight="1">
      <c r="A901" s="21" t="n">
        <v>2013</v>
      </c>
      <c r="B901" s="45">
        <f>IF((A901&gt;=2022),ROUND(((F901*(D901+E901))/G901),2),C901)</f>
        <v/>
      </c>
      <c r="C901" s="46" t="n">
        <v>28.24</v>
      </c>
      <c r="D901" s="46" t="n"/>
      <c r="E901" s="46" t="n"/>
      <c r="F901" s="46" t="n"/>
      <c r="G901" s="46" t="n"/>
    </row>
    <row r="902" ht="14" customHeight="1">
      <c r="A902" s="15" t="n">
        <v>2014</v>
      </c>
      <c r="B902" s="43">
        <f>IF((A902&gt;=2022),ROUND(((F902*(D902+E902))/G902),2),C902)</f>
        <v/>
      </c>
      <c r="C902" s="44" t="n">
        <v>28.73</v>
      </c>
      <c r="D902" s="44" t="n"/>
      <c r="E902" s="44" t="n"/>
      <c r="F902" s="44" t="n"/>
      <c r="G902" s="44" t="n"/>
    </row>
    <row r="903" ht="14" customHeight="1">
      <c r="A903" s="21" t="n">
        <v>2015</v>
      </c>
      <c r="B903" s="45">
        <f>IF((A903&gt;=2022),ROUND(((F903*(D903+E903))/G903),2),C903)</f>
        <v/>
      </c>
      <c r="C903" s="46" t="n">
        <v>29</v>
      </c>
      <c r="D903" s="46" t="n"/>
      <c r="E903" s="46" t="n"/>
      <c r="F903" s="46" t="n"/>
      <c r="G903" s="46" t="n"/>
    </row>
    <row r="904" ht="14" customHeight="1">
      <c r="A904" s="15" t="n">
        <v>2016</v>
      </c>
      <c r="B904" s="43">
        <f>IF((A904&gt;=2022),ROUND(((F904*(D904+E904))/G904),2),C904)</f>
        <v/>
      </c>
      <c r="C904" s="44" t="n">
        <v>28.76</v>
      </c>
      <c r="D904" s="44" t="n"/>
      <c r="E904" s="44" t="n"/>
      <c r="F904" s="44" t="n"/>
      <c r="G904" s="44" t="n"/>
    </row>
    <row r="905" ht="14" customHeight="1">
      <c r="A905" s="21" t="n">
        <v>2017</v>
      </c>
      <c r="B905" s="45">
        <f>IF((A905&gt;=2022),ROUND(((F905*(D905+E905))/G905),2),C905)</f>
        <v/>
      </c>
      <c r="C905" s="46" t="n">
        <v>29.03</v>
      </c>
      <c r="D905" s="46" t="n"/>
      <c r="E905" s="46" t="n"/>
      <c r="F905" s="46" t="n"/>
      <c r="G905" s="46" t="n"/>
    </row>
    <row r="906" ht="14" customHeight="1">
      <c r="A906" s="15" t="n">
        <v>2018</v>
      </c>
      <c r="B906" s="43">
        <f>IF((A906&gt;=2022),ROUND(((F906*(D906+E906))/G906),2),C906)</f>
        <v/>
      </c>
      <c r="C906" s="44" t="n">
        <v>28.99</v>
      </c>
      <c r="D906" s="44" t="n"/>
      <c r="E906" s="44" t="n"/>
      <c r="F906" s="44" t="n"/>
      <c r="G906" s="44" t="n"/>
    </row>
    <row r="907" ht="14" customHeight="1">
      <c r="A907" s="21" t="n">
        <v>2019</v>
      </c>
      <c r="B907" s="45">
        <f>IF((A907&gt;=2022),ROUND(((F907*(D907+E907))/G907),2),C907)</f>
        <v/>
      </c>
      <c r="C907" s="46" t="n">
        <v>28.78</v>
      </c>
      <c r="D907" s="46" t="n"/>
      <c r="E907" s="46" t="n"/>
      <c r="F907" s="46" t="n"/>
      <c r="G907" s="46" t="n"/>
    </row>
    <row r="908" ht="14" customHeight="1">
      <c r="A908" s="15" t="n">
        <v>2020</v>
      </c>
      <c r="B908" s="43">
        <f>IF((A908&gt;=2022),ROUND(((F908*(D908+E908))/G908),2),C908)</f>
        <v/>
      </c>
      <c r="C908" s="44" t="n">
        <v>29.34</v>
      </c>
      <c r="D908" s="44" t="n"/>
      <c r="E908" s="44" t="n"/>
      <c r="F908" s="44" t="n"/>
      <c r="G908" s="44" t="n"/>
    </row>
    <row r="909" ht="14" customHeight="1">
      <c r="A909" s="21" t="n">
        <v>2021</v>
      </c>
      <c r="B909" s="45">
        <f>IF((A909&gt;=2022),ROUND(((F909*(D909+E909))/G909),2),C909)</f>
        <v/>
      </c>
      <c r="C909" s="46" t="n">
        <v>28.58</v>
      </c>
      <c r="D909" s="46" t="n"/>
      <c r="E909" s="46" t="n"/>
      <c r="F909" s="46" t="n"/>
      <c r="G909" s="46" t="n"/>
    </row>
    <row r="910" ht="14" customHeight="1">
      <c r="A910" s="15" t="n">
        <v>2022</v>
      </c>
      <c r="B910" s="43">
        <f>IF((A910&gt;=2022),ROUND(((F910*(D910+E910))/G910),2),C910)</f>
        <v/>
      </c>
      <c r="C910" s="44" t="n"/>
      <c r="D910" s="44" t="n">
        <v>4.06167</v>
      </c>
      <c r="E910" s="44" t="n">
        <v>21.96053</v>
      </c>
      <c r="F910" s="44" t="n">
        <v>28.58</v>
      </c>
      <c r="G910" s="44" t="n">
        <v>26.55012</v>
      </c>
    </row>
    <row r="911" ht="14" customHeight="1">
      <c r="A911" s="21" t="n">
        <v>2023</v>
      </c>
      <c r="B911" s="45">
        <f>IF((A911&gt;=2022),ROUND(((F911*(D911+E911))/G911),2),C911)</f>
        <v/>
      </c>
      <c r="C911" s="46" t="n"/>
      <c r="D911" s="46" t="n">
        <v>3.97275</v>
      </c>
      <c r="E911" s="46" t="n">
        <v>20.93875</v>
      </c>
      <c r="F911" s="46" t="n">
        <v>28.58</v>
      </c>
      <c r="G911" s="46" t="n">
        <v>26.55012</v>
      </c>
    </row>
    <row r="912" ht="14" customHeight="1">
      <c r="A912" s="15" t="n">
        <v>2024</v>
      </c>
      <c r="B912" s="43">
        <f>IF((A912&gt;=2022),ROUND(((F912*(D912+E912))/G912),2),C912)</f>
        <v/>
      </c>
      <c r="C912" s="44" t="n"/>
      <c r="D912" s="44" t="n">
        <v>3.90006</v>
      </c>
      <c r="E912" s="44" t="n">
        <v>20.42516</v>
      </c>
      <c r="F912" s="44" t="n">
        <v>28.58</v>
      </c>
      <c r="G912" s="44" t="n">
        <v>26.55012</v>
      </c>
    </row>
    <row r="915">
      <c r="A915" s="53" t="inlineStr">
        <is>
          <t>A2 (pig, intensity) · Pig meat: GHG intensity (EU)  (t CO₂eq/t)</t>
        </is>
      </c>
    </row>
    <row r="916" ht="26" customHeight="1">
      <c r="A916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917" ht="24" customHeight="1">
      <c r="A917" s="3" t="inlineStr">
        <is>
          <t>Derivation:  Value = IF(A &gt;= 2021, ROUND([Report baseline 2020 (t CO₂eq/t)] * ([Numerator · env_air_gge CRF3A3] + [Numerator · env_air_gge CRF3B3]) / ([Denominator · apro_mt_pann B3100]) / [Live source at 2020 (same basis as the columns left)], 3), [Report figure (2024 report underlying data)])</t>
        </is>
      </c>
    </row>
    <row r="918" ht="42" customHeight="1">
      <c r="A918" s="42" t="inlineStr">
        <is>
          <t>Year</t>
        </is>
      </c>
      <c r="B918" s="42" t="inlineStr">
        <is>
          <t>Value</t>
        </is>
      </c>
      <c r="C918" s="42" t="inlineStr">
        <is>
          <t>Report figure (2024 report underlying data)</t>
        </is>
      </c>
      <c r="D918" s="42" t="inlineStr">
        <is>
          <t>Numerator · env_air_gge CRF3A3</t>
        </is>
      </c>
      <c r="E918" s="42" t="inlineStr">
        <is>
          <t>Numerator · env_air_gge CRF3B3</t>
        </is>
      </c>
      <c r="F918" s="42" t="inlineStr">
        <is>
          <t>Denominator · apro_mt_pann B3100</t>
        </is>
      </c>
      <c r="G918" s="42" t="inlineStr">
        <is>
          <t>Report baseline 2020 (t CO₂eq/t)</t>
        </is>
      </c>
      <c r="H918" s="42" t="inlineStr">
        <is>
          <t>Live source at 2020 (same basis as the columns left)</t>
        </is>
      </c>
    </row>
    <row r="919" ht="14" customHeight="1">
      <c r="A919" s="15" t="n">
        <v>2010</v>
      </c>
      <c r="B919" s="43">
        <f>IF((A919&gt;=2021),ROUND((((G919*(D919+E919))/F919)/H919),3),C919)</f>
        <v/>
      </c>
      <c r="C919" s="44" t="n">
        <v>1.351</v>
      </c>
      <c r="D919" s="44" t="n"/>
      <c r="E919" s="44" t="n"/>
      <c r="F919" s="44" t="n"/>
      <c r="G919" s="44" t="n"/>
      <c r="H919" s="44" t="n"/>
    </row>
    <row r="920" ht="14" customHeight="1">
      <c r="A920" s="21" t="n">
        <v>2011</v>
      </c>
      <c r="B920" s="45">
        <f>IF((A920&gt;=2021),ROUND((((G920*(D920+E920))/F920)/H920),3),C920)</f>
        <v/>
      </c>
      <c r="C920" s="46" t="n">
        <v>1.339</v>
      </c>
      <c r="D920" s="46" t="n"/>
      <c r="E920" s="46" t="n"/>
      <c r="F920" s="46" t="n"/>
      <c r="G920" s="46" t="n"/>
      <c r="H920" s="46" t="n"/>
    </row>
    <row r="921" ht="14" customHeight="1">
      <c r="A921" s="15" t="n">
        <v>2012</v>
      </c>
      <c r="B921" s="43">
        <f>IF((A921&gt;=2021),ROUND((((G921*(D921+E921))/F921)/H921),3),C921)</f>
        <v/>
      </c>
      <c r="C921" s="44" t="n">
        <v>1.32</v>
      </c>
      <c r="D921" s="44" t="n"/>
      <c r="E921" s="44" t="n"/>
      <c r="F921" s="44" t="n"/>
      <c r="G921" s="44" t="n"/>
      <c r="H921" s="44" t="n"/>
    </row>
    <row r="922" ht="14" customHeight="1">
      <c r="A922" s="21" t="n">
        <v>2013</v>
      </c>
      <c r="B922" s="45">
        <f>IF((A922&gt;=2021),ROUND((((G922*(D922+E922))/F922)/H922),3),C922)</f>
        <v/>
      </c>
      <c r="C922" s="46" t="n">
        <v>1.302</v>
      </c>
      <c r="D922" s="46" t="n"/>
      <c r="E922" s="46" t="n"/>
      <c r="F922" s="46" t="n"/>
      <c r="G922" s="46" t="n"/>
      <c r="H922" s="46" t="n"/>
    </row>
    <row r="923" ht="14" customHeight="1">
      <c r="A923" s="15" t="n">
        <v>2014</v>
      </c>
      <c r="B923" s="43">
        <f>IF((A923&gt;=2021),ROUND((((G923*(D923+E923))/F923)/H923),3),C923)</f>
        <v/>
      </c>
      <c r="C923" s="44" t="n">
        <v>1.321</v>
      </c>
      <c r="D923" s="44" t="n"/>
      <c r="E923" s="44" t="n"/>
      <c r="F923" s="44" t="n"/>
      <c r="G923" s="44" t="n"/>
      <c r="H923" s="44" t="n"/>
    </row>
    <row r="924" ht="14" customHeight="1">
      <c r="A924" s="21" t="n">
        <v>2015</v>
      </c>
      <c r="B924" s="45">
        <f>IF((A924&gt;=2021),ROUND((((G924*(D924+E924))/F924)/H924),3),C924)</f>
        <v/>
      </c>
      <c r="C924" s="46" t="n">
        <v>1.285</v>
      </c>
      <c r="D924" s="46" t="n"/>
      <c r="E924" s="46" t="n"/>
      <c r="F924" s="46" t="n"/>
      <c r="G924" s="46" t="n"/>
      <c r="H924" s="46" t="n"/>
    </row>
    <row r="925" ht="14" customHeight="1">
      <c r="A925" s="15" t="n">
        <v>2016</v>
      </c>
      <c r="B925" s="43">
        <f>IF((A925&gt;=2021),ROUND((((G925*(D925+E925))/F925)/H925),3),C925)</f>
        <v/>
      </c>
      <c r="C925" s="44" t="n">
        <v>1.253</v>
      </c>
      <c r="D925" s="44" t="n"/>
      <c r="E925" s="44" t="n"/>
      <c r="F925" s="44" t="n"/>
      <c r="G925" s="44" t="n"/>
      <c r="H925" s="44" t="n"/>
    </row>
    <row r="926" ht="14" customHeight="1">
      <c r="A926" s="21" t="n">
        <v>2017</v>
      </c>
      <c r="B926" s="45">
        <f>IF((A926&gt;=2021),ROUND((((G926*(D926+E926))/F926)/H926),3),C926)</f>
        <v/>
      </c>
      <c r="C926" s="46" t="n">
        <v>1.272</v>
      </c>
      <c r="D926" s="46" t="n"/>
      <c r="E926" s="46" t="n"/>
      <c r="F926" s="46" t="n"/>
      <c r="G926" s="46" t="n"/>
      <c r="H926" s="46" t="n"/>
    </row>
    <row r="927" ht="14" customHeight="1">
      <c r="A927" s="15" t="n">
        <v>2018</v>
      </c>
      <c r="B927" s="43">
        <f>IF((A927&gt;=2021),ROUND((((G927*(D927+E927))/F927)/H927),3),C927)</f>
        <v/>
      </c>
      <c r="C927" s="44" t="n">
        <v>1.248</v>
      </c>
      <c r="D927" s="44" t="n"/>
      <c r="E927" s="44" t="n"/>
      <c r="F927" s="44" t="n"/>
      <c r="G927" s="44" t="n"/>
      <c r="H927" s="44" t="n"/>
    </row>
    <row r="928" ht="14" customHeight="1">
      <c r="A928" s="21" t="n">
        <v>2019</v>
      </c>
      <c r="B928" s="45">
        <f>IF((A928&gt;=2021),ROUND((((G928*(D928+E928))/F928)/H928),3),C928)</f>
        <v/>
      </c>
      <c r="C928" s="46" t="n">
        <v>1.251</v>
      </c>
      <c r="D928" s="46" t="n"/>
      <c r="E928" s="46" t="n"/>
      <c r="F928" s="46" t="n"/>
      <c r="G928" s="46" t="n"/>
      <c r="H928" s="46" t="n"/>
    </row>
    <row r="929" ht="14" customHeight="1">
      <c r="A929" s="15" t="n">
        <v>2020</v>
      </c>
      <c r="B929" s="43">
        <f>IF((A929&gt;=2021),ROUND((((G929*(D929+E929))/F929)/H929),3),C929)</f>
        <v/>
      </c>
      <c r="C929" s="44" t="n">
        <v>1.264</v>
      </c>
      <c r="D929" s="44" t="n"/>
      <c r="E929" s="44" t="n"/>
      <c r="F929" s="44" t="n"/>
      <c r="G929" s="44" t="n"/>
      <c r="H929" s="44" t="n"/>
    </row>
    <row r="930" ht="14" customHeight="1">
      <c r="A930" s="21" t="n">
        <v>2021</v>
      </c>
      <c r="B930" s="45">
        <f>IF((A930&gt;=2021),ROUND((((G930*(D930+E930))/F930)/H930),3),C930)</f>
        <v/>
      </c>
      <c r="C930" s="46" t="n"/>
      <c r="D930" s="46" t="n">
        <v>4.28352</v>
      </c>
      <c r="E930" s="46" t="n">
        <v>22.2666</v>
      </c>
      <c r="F930" s="46" t="n">
        <v>23393.67</v>
      </c>
      <c r="G930" s="46" t="n">
        <v>1.264</v>
      </c>
      <c r="H930" s="46" t="n">
        <v>0.001177</v>
      </c>
    </row>
    <row r="931" ht="14" customHeight="1">
      <c r="A931" s="15" t="n">
        <v>2022</v>
      </c>
      <c r="B931" s="43">
        <f>IF((A931&gt;=2021),ROUND((((G931*(D931+E931))/F931)/H931),3),C931)</f>
        <v/>
      </c>
      <c r="C931" s="44" t="n"/>
      <c r="D931" s="44" t="n">
        <v>4.06167</v>
      </c>
      <c r="E931" s="44" t="n">
        <v>21.96053</v>
      </c>
      <c r="F931" s="44" t="n">
        <v>22065.92</v>
      </c>
      <c r="G931" s="44" t="n">
        <v>1.264</v>
      </c>
      <c r="H931" s="44" t="n">
        <v>0.001177</v>
      </c>
    </row>
    <row r="932" ht="14" customHeight="1">
      <c r="A932" s="21" t="n">
        <v>2023</v>
      </c>
      <c r="B932" s="45">
        <f>IF((A932&gt;=2021),ROUND((((G932*(D932+E932))/F932)/H932),3),C932)</f>
        <v/>
      </c>
      <c r="C932" s="46" t="n"/>
      <c r="D932" s="46" t="n">
        <v>3.97275</v>
      </c>
      <c r="E932" s="46" t="n">
        <v>20.93875</v>
      </c>
      <c r="F932" s="46" t="n">
        <v>20641.09</v>
      </c>
      <c r="G932" s="46" t="n">
        <v>1.264</v>
      </c>
      <c r="H932" s="46" t="n">
        <v>0.001177</v>
      </c>
    </row>
    <row r="933" ht="14" customHeight="1">
      <c r="A933" s="15" t="n">
        <v>2024</v>
      </c>
      <c r="B933" s="43">
        <f>IF((A933&gt;=2021),ROUND((((G933*(D933+E933))/F933)/H933),3),C933)</f>
        <v/>
      </c>
      <c r="C933" s="44" t="n"/>
      <c r="D933" s="44" t="n">
        <v>3.90006</v>
      </c>
      <c r="E933" s="44" t="n">
        <v>20.42516</v>
      </c>
      <c r="F933" s="44" t="n">
        <v>21091.62</v>
      </c>
      <c r="G933" s="44" t="n">
        <v>1.264</v>
      </c>
      <c r="H933" s="44" t="n">
        <v>0.001177</v>
      </c>
    </row>
    <row r="936">
      <c r="A936" s="53" t="inlineStr">
        <is>
          <t>A2 (pig, production) · Pig meat: production (EU)  (Mt)</t>
        </is>
      </c>
    </row>
    <row r="937" ht="26" customHeight="1">
      <c r="A937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938" ht="24" customHeight="1">
      <c r="A938" s="3" t="inlineStr">
        <is>
          <t>Derivation:  Value = IF(A &gt;= 2021, ROUND([apro_mt_pann B3100] * [Unit conversion (× 0.001)], 2), [Report figure (2024 report underlying data)])</t>
        </is>
      </c>
    </row>
    <row r="939" ht="42" customHeight="1">
      <c r="A939" s="42" t="inlineStr">
        <is>
          <t>Year</t>
        </is>
      </c>
      <c r="B939" s="42" t="inlineStr">
        <is>
          <t>Value</t>
        </is>
      </c>
      <c r="C939" s="42" t="inlineStr">
        <is>
          <t>Report figure (2024 report underlying data)</t>
        </is>
      </c>
      <c r="D939" s="42" t="inlineStr">
        <is>
          <t>apro_mt_pann B3100</t>
        </is>
      </c>
      <c r="E939" s="42" t="inlineStr">
        <is>
          <t>Unit conversion (× 0.001)</t>
        </is>
      </c>
    </row>
    <row r="940" ht="14" customHeight="1">
      <c r="A940" s="15" t="n">
        <v>2010</v>
      </c>
      <c r="B940" s="43">
        <f>IF((A940&gt;=2021),ROUND((D940*E940),2),C940)</f>
        <v/>
      </c>
      <c r="C940" s="44" t="n">
        <v>22.22</v>
      </c>
      <c r="D940" s="44" t="n"/>
      <c r="E940" s="44" t="n"/>
    </row>
    <row r="941" ht="14" customHeight="1">
      <c r="A941" s="21" t="n">
        <v>2011</v>
      </c>
      <c r="B941" s="45">
        <f>IF((A941&gt;=2021),ROUND((D941*E941),2),C941)</f>
        <v/>
      </c>
      <c r="C941" s="46" t="n">
        <v>22.46</v>
      </c>
      <c r="D941" s="46" t="n"/>
      <c r="E941" s="46" t="n"/>
    </row>
    <row r="942" ht="14" customHeight="1">
      <c r="A942" s="15" t="n">
        <v>2012</v>
      </c>
      <c r="B942" s="43">
        <f>IF((A942&gt;=2021),ROUND((D942*E942),2),C942)</f>
        <v/>
      </c>
      <c r="C942" s="44" t="n">
        <v>22</v>
      </c>
      <c r="D942" s="44" t="n"/>
      <c r="E942" s="44" t="n"/>
    </row>
    <row r="943" ht="14" customHeight="1">
      <c r="A943" s="21" t="n">
        <v>2013</v>
      </c>
      <c r="B943" s="45">
        <f>IF((A943&gt;=2021),ROUND((D943*E943),2),C943)</f>
        <v/>
      </c>
      <c r="C943" s="46" t="n">
        <v>21.69</v>
      </c>
      <c r="D943" s="46" t="n"/>
      <c r="E943" s="46" t="n"/>
    </row>
    <row r="944" ht="14" customHeight="1">
      <c r="A944" s="15" t="n">
        <v>2014</v>
      </c>
      <c r="B944" s="43">
        <f>IF((A944&gt;=2021),ROUND((D944*E944),2),C944)</f>
        <v/>
      </c>
      <c r="C944" s="44" t="n">
        <v>21.75</v>
      </c>
      <c r="D944" s="44" t="n"/>
      <c r="E944" s="44" t="n"/>
    </row>
    <row r="945" ht="14" customHeight="1">
      <c r="A945" s="21" t="n">
        <v>2015</v>
      </c>
      <c r="B945" s="45">
        <f>IF((A945&gt;=2021),ROUND((D945*E945),2),C945)</f>
        <v/>
      </c>
      <c r="C945" s="46" t="n">
        <v>22.57</v>
      </c>
      <c r="D945" s="46" t="n"/>
      <c r="E945" s="46" t="n"/>
    </row>
    <row r="946" ht="14" customHeight="1">
      <c r="A946" s="15" t="n">
        <v>2016</v>
      </c>
      <c r="B946" s="43">
        <f>IF((A946&gt;=2021),ROUND((D946*E946),2),C946)</f>
        <v/>
      </c>
      <c r="C946" s="44" t="n">
        <v>22.95</v>
      </c>
      <c r="D946" s="44" t="n"/>
      <c r="E946" s="44" t="n"/>
    </row>
    <row r="947" ht="14" customHeight="1">
      <c r="A947" s="21" t="n">
        <v>2017</v>
      </c>
      <c r="B947" s="45">
        <f>IF((A947&gt;=2021),ROUND((D947*E947),2),C947)</f>
        <v/>
      </c>
      <c r="C947" s="46" t="n">
        <v>22.82</v>
      </c>
      <c r="D947" s="46" t="n"/>
      <c r="E947" s="46" t="n"/>
    </row>
    <row r="948" ht="14" customHeight="1">
      <c r="A948" s="15" t="n">
        <v>2018</v>
      </c>
      <c r="B948" s="43">
        <f>IF((A948&gt;=2021),ROUND((D948*E948),2),C948)</f>
        <v/>
      </c>
      <c r="C948" s="44" t="n">
        <v>23.22</v>
      </c>
      <c r="D948" s="44" t="n"/>
      <c r="E948" s="44" t="n"/>
    </row>
    <row r="949" ht="14" customHeight="1">
      <c r="A949" s="21" t="n">
        <v>2019</v>
      </c>
      <c r="B949" s="45">
        <f>IF((A949&gt;=2021),ROUND((D949*E949),2),C949)</f>
        <v/>
      </c>
      <c r="C949" s="46" t="n">
        <v>23</v>
      </c>
      <c r="D949" s="46" t="n"/>
      <c r="E949" s="46" t="n"/>
    </row>
    <row r="950" ht="14" customHeight="1">
      <c r="A950" s="15" t="n">
        <v>2020</v>
      </c>
      <c r="B950" s="43">
        <f>IF((A950&gt;=2021),ROUND((D950*E950),2),C950)</f>
        <v/>
      </c>
      <c r="C950" s="44" t="n">
        <v>23.22</v>
      </c>
      <c r="D950" s="44" t="n"/>
      <c r="E950" s="44" t="n"/>
    </row>
    <row r="951" ht="14" customHeight="1">
      <c r="A951" s="21" t="n">
        <v>2021</v>
      </c>
      <c r="B951" s="45">
        <f>IF((A951&gt;=2021),ROUND((D951*E951),2),C951)</f>
        <v/>
      </c>
      <c r="C951" s="46" t="n"/>
      <c r="D951" s="46" t="n">
        <v>23393.67</v>
      </c>
      <c r="E951" s="46" t="n">
        <v>0.001</v>
      </c>
    </row>
    <row r="952" ht="14" customHeight="1">
      <c r="A952" s="15" t="n">
        <v>2022</v>
      </c>
      <c r="B952" s="43">
        <f>IF((A952&gt;=2021),ROUND((D952*E952),2),C952)</f>
        <v/>
      </c>
      <c r="C952" s="44" t="n"/>
      <c r="D952" s="44" t="n">
        <v>22065.92</v>
      </c>
      <c r="E952" s="44" t="n">
        <v>0.001</v>
      </c>
    </row>
    <row r="953" ht="14" customHeight="1">
      <c r="A953" s="21" t="n">
        <v>2023</v>
      </c>
      <c r="B953" s="45">
        <f>IF((A953&gt;=2021),ROUND((D953*E953),2),C953)</f>
        <v/>
      </c>
      <c r="C953" s="46" t="n"/>
      <c r="D953" s="46" t="n">
        <v>20641.09</v>
      </c>
      <c r="E953" s="46" t="n">
        <v>0.001</v>
      </c>
    </row>
    <row r="954" ht="14" customHeight="1">
      <c r="A954" s="15" t="n">
        <v>2024</v>
      </c>
      <c r="B954" s="43">
        <f>IF((A954&gt;=2021),ROUND((D954*E954),2),C954)</f>
        <v/>
      </c>
      <c r="C954" s="44" t="n"/>
      <c r="D954" s="44" t="n">
        <v>21091.62</v>
      </c>
      <c r="E954" s="44" t="n">
        <v>0.001</v>
      </c>
    </row>
    <row r="955" ht="14" customHeight="1">
      <c r="A955" s="21" t="n">
        <v>2025</v>
      </c>
      <c r="B955" s="45">
        <f>IF((A955&gt;=2021),ROUND((D955*E955),2),C955)</f>
        <v/>
      </c>
      <c r="C955" s="46" t="n"/>
      <c r="D955" s="46" t="n">
        <v>21837.73</v>
      </c>
      <c r="E955" s="46" t="n">
        <v>0.001</v>
      </c>
    </row>
    <row r="958">
      <c r="A958" s="53" t="inlineStr">
        <is>
          <t>A4 (bovine, herd) · Bovine meat: herd size (EU)  (million heads)</t>
        </is>
      </c>
    </row>
    <row r="959" ht="26" customHeight="1">
      <c r="A959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960" ht="24" customHeight="1">
      <c r="A960" s="3" t="inlineStr">
        <is>
          <t>Derivation:  Value = IF(A &gt;= 2021, ROUND([Report baseline 2020 (million heads)] * [apro_mt_lscatl A2000] / [Live source at 2020 (same basis as the columns left)], 2), [Report figure (2024 report underlying data)])</t>
        </is>
      </c>
    </row>
    <row r="961" ht="42" customHeight="1">
      <c r="A961" s="42" t="inlineStr">
        <is>
          <t>Year</t>
        </is>
      </c>
      <c r="B961" s="42" t="inlineStr">
        <is>
          <t>Value</t>
        </is>
      </c>
      <c r="C961" s="42" t="inlineStr">
        <is>
          <t>Report figure (2024 report underlying data)</t>
        </is>
      </c>
      <c r="D961" s="42" t="inlineStr">
        <is>
          <t>apro_mt_lscatl A2000</t>
        </is>
      </c>
      <c r="E961" s="42" t="inlineStr">
        <is>
          <t>Report baseline 2020 (million heads)</t>
        </is>
      </c>
      <c r="F961" s="42" t="inlineStr">
        <is>
          <t>Live source at 2020 (same basis as the columns left)</t>
        </is>
      </c>
    </row>
    <row r="962" ht="14" customHeight="1">
      <c r="A962" s="15" t="n">
        <v>2010</v>
      </c>
      <c r="B962" s="43">
        <f>IF((A962&gt;=2021),ROUND(((E962*D962)/F962),2),C962)</f>
        <v/>
      </c>
      <c r="C962" s="44" t="n">
        <v>60.59</v>
      </c>
      <c r="D962" s="44" t="n"/>
      <c r="E962" s="44" t="n"/>
      <c r="F962" s="44" t="n"/>
    </row>
    <row r="963" ht="14" customHeight="1">
      <c r="A963" s="21" t="n">
        <v>2011</v>
      </c>
      <c r="B963" s="45">
        <f>IF((A963&gt;=2021),ROUND(((E963*D963)/F963),2),C963)</f>
        <v/>
      </c>
      <c r="C963" s="46" t="n">
        <v>59.66</v>
      </c>
      <c r="D963" s="46" t="n"/>
      <c r="E963" s="46" t="n"/>
      <c r="F963" s="46" t="n"/>
    </row>
    <row r="964" ht="14" customHeight="1">
      <c r="A964" s="15" t="n">
        <v>2012</v>
      </c>
      <c r="B964" s="43">
        <f>IF((A964&gt;=2021),ROUND(((E964*D964)/F964),2),C964)</f>
        <v/>
      </c>
      <c r="C964" s="44" t="n">
        <v>59.61</v>
      </c>
      <c r="D964" s="44" t="n"/>
      <c r="E964" s="44" t="n"/>
      <c r="F964" s="44" t="n"/>
    </row>
    <row r="965" ht="14" customHeight="1">
      <c r="A965" s="21" t="n">
        <v>2013</v>
      </c>
      <c r="B965" s="45">
        <f>IF((A965&gt;=2021),ROUND(((E965*D965)/F965),2),C965)</f>
        <v/>
      </c>
      <c r="C965" s="46" t="n">
        <v>60.17</v>
      </c>
      <c r="D965" s="46" t="n"/>
      <c r="E965" s="46" t="n"/>
      <c r="F965" s="46" t="n"/>
    </row>
    <row r="966" ht="14" customHeight="1">
      <c r="A966" s="15" t="n">
        <v>2014</v>
      </c>
      <c r="B966" s="43">
        <f>IF((A966&gt;=2021),ROUND(((E966*D966)/F966),2),C966)</f>
        <v/>
      </c>
      <c r="C966" s="44" t="n">
        <v>60.89</v>
      </c>
      <c r="D966" s="44" t="n"/>
      <c r="E966" s="44" t="n"/>
      <c r="F966" s="44" t="n"/>
    </row>
    <row r="967" ht="14" customHeight="1">
      <c r="A967" s="21" t="n">
        <v>2015</v>
      </c>
      <c r="B967" s="45">
        <f>IF((A967&gt;=2021),ROUND(((E967*D967)/F967),2),C967)</f>
        <v/>
      </c>
      <c r="C967" s="46" t="n">
        <v>61.36</v>
      </c>
      <c r="D967" s="46" t="n"/>
      <c r="E967" s="46" t="n"/>
      <c r="F967" s="46" t="n"/>
    </row>
    <row r="968" ht="14" customHeight="1">
      <c r="A968" s="15" t="n">
        <v>2016</v>
      </c>
      <c r="B968" s="43">
        <f>IF((A968&gt;=2021),ROUND(((E968*D968)/F968),2),C968)</f>
        <v/>
      </c>
      <c r="C968" s="44" t="n">
        <v>62.01</v>
      </c>
      <c r="D968" s="44" t="n"/>
      <c r="E968" s="44" t="n"/>
      <c r="F968" s="44" t="n"/>
    </row>
    <row r="969" ht="14" customHeight="1">
      <c r="A969" s="21" t="n">
        <v>2017</v>
      </c>
      <c r="B969" s="45">
        <f>IF((A969&gt;=2021),ROUND(((E969*D969)/F969),2),C969)</f>
        <v/>
      </c>
      <c r="C969" s="46" t="n">
        <v>61.87</v>
      </c>
      <c r="D969" s="46" t="n"/>
      <c r="E969" s="46" t="n"/>
      <c r="F969" s="46" t="n"/>
    </row>
    <row r="970" ht="14" customHeight="1">
      <c r="A970" s="15" t="n">
        <v>2018</v>
      </c>
      <c r="B970" s="43">
        <f>IF((A970&gt;=2021),ROUND(((E970*D970)/F970),2),C970)</f>
        <v/>
      </c>
      <c r="C970" s="44" t="n">
        <v>61.28</v>
      </c>
      <c r="D970" s="44" t="n"/>
      <c r="E970" s="44" t="n"/>
      <c r="F970" s="44" t="n"/>
    </row>
    <row r="971" ht="14" customHeight="1">
      <c r="A971" s="21" t="n">
        <v>2019</v>
      </c>
      <c r="B971" s="45">
        <f>IF((A971&gt;=2021),ROUND(((E971*D971)/F971),2),C971)</f>
        <v/>
      </c>
      <c r="C971" s="46" t="n">
        <v>60.59</v>
      </c>
      <c r="D971" s="46" t="n"/>
      <c r="E971" s="46" t="n"/>
      <c r="F971" s="46" t="n"/>
    </row>
    <row r="972" ht="14" customHeight="1">
      <c r="A972" s="15" t="n">
        <v>2020</v>
      </c>
      <c r="B972" s="43">
        <f>IF((A972&gt;=2021),ROUND(((E972*D972)/F972),2),C972)</f>
        <v/>
      </c>
      <c r="C972" s="44" t="n">
        <v>60.16</v>
      </c>
      <c r="D972" s="44" t="n"/>
      <c r="E972" s="44" t="n"/>
      <c r="F972" s="44" t="n"/>
    </row>
    <row r="973" ht="14" customHeight="1">
      <c r="A973" s="21" t="n">
        <v>2021</v>
      </c>
      <c r="B973" s="45">
        <f>IF((A973&gt;=2021),ROUND(((E973*D973)/F973),2),C973)</f>
        <v/>
      </c>
      <c r="C973" s="46" t="n"/>
      <c r="D973" s="46" t="n">
        <v>75705.3</v>
      </c>
      <c r="E973" s="46" t="n">
        <v>60.16</v>
      </c>
      <c r="F973" s="46" t="n">
        <v>76551.10000000001</v>
      </c>
    </row>
    <row r="974" ht="14" customHeight="1">
      <c r="A974" s="15" t="n">
        <v>2022</v>
      </c>
      <c r="B974" s="43">
        <f>IF((A974&gt;=2021),ROUND(((E974*D974)/F974),2),C974)</f>
        <v/>
      </c>
      <c r="C974" s="44" t="n"/>
      <c r="D974" s="44" t="n">
        <v>74807.63</v>
      </c>
      <c r="E974" s="44" t="n">
        <v>60.16</v>
      </c>
      <c r="F974" s="44" t="n">
        <v>76551.10000000001</v>
      </c>
    </row>
    <row r="975" ht="14" customHeight="1">
      <c r="A975" s="21" t="n">
        <v>2023</v>
      </c>
      <c r="B975" s="45">
        <f>IF((A975&gt;=2021),ROUND(((E975*D975)/F975),2),C975)</f>
        <v/>
      </c>
      <c r="C975" s="46" t="n"/>
      <c r="D975" s="46" t="n">
        <v>73761.42999999999</v>
      </c>
      <c r="E975" s="46" t="n">
        <v>60.16</v>
      </c>
      <c r="F975" s="46" t="n">
        <v>76551.10000000001</v>
      </c>
    </row>
    <row r="976" ht="14" customHeight="1">
      <c r="A976" s="15" t="n">
        <v>2024</v>
      </c>
      <c r="B976" s="43">
        <f>IF((A976&gt;=2021),ROUND(((E976*D976)/F976),2),C976)</f>
        <v/>
      </c>
      <c r="C976" s="44" t="n"/>
      <c r="D976" s="44" t="n">
        <v>71896.32000000001</v>
      </c>
      <c r="E976" s="44" t="n">
        <v>60.16</v>
      </c>
      <c r="F976" s="44" t="n">
        <v>76551.10000000001</v>
      </c>
    </row>
    <row r="977" ht="14" customHeight="1">
      <c r="A977" s="21" t="n">
        <v>2025</v>
      </c>
      <c r="B977" s="45">
        <f>IF((A977&gt;=2021),ROUND(((E977*D977)/F977),2),C977)</f>
        <v/>
      </c>
      <c r="C977" s="46" t="n"/>
      <c r="D977" s="46" t="n">
        <v>71583.23</v>
      </c>
      <c r="E977" s="46" t="n">
        <v>60.16</v>
      </c>
      <c r="F977" s="46" t="n">
        <v>76551.10000000001</v>
      </c>
    </row>
    <row r="980">
      <c r="A980" s="53" t="inlineStr">
        <is>
          <t>A4 (bovine, production) · Bovine meat: production (EU)  (Mt)</t>
        </is>
      </c>
    </row>
    <row r="981" ht="26" customHeight="1">
      <c r="A981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982" ht="24" customHeight="1">
      <c r="A982" s="3" t="inlineStr">
        <is>
          <t>Derivation:  Value = IF(A &gt;= 2021, ROUND([apro_mt_pann B1000] * [Unit conversion (× 0.001)], 3), [Report figure (2024 report underlying data)])</t>
        </is>
      </c>
    </row>
    <row r="983" ht="42" customHeight="1">
      <c r="A983" s="42" t="inlineStr">
        <is>
          <t>Year</t>
        </is>
      </c>
      <c r="B983" s="42" t="inlineStr">
        <is>
          <t>Value</t>
        </is>
      </c>
      <c r="C983" s="42" t="inlineStr">
        <is>
          <t>Report figure (2024 report underlying data)</t>
        </is>
      </c>
      <c r="D983" s="42" t="inlineStr">
        <is>
          <t>apro_mt_pann B1000</t>
        </is>
      </c>
      <c r="E983" s="42" t="inlineStr">
        <is>
          <t>Unit conversion (× 0.001)</t>
        </is>
      </c>
    </row>
    <row r="984" ht="14" customHeight="1">
      <c r="A984" s="15" t="n">
        <v>2010</v>
      </c>
      <c r="B984" s="43">
        <f>IF((A984&gt;=2021),ROUND((D984*E984),3),C984)</f>
        <v/>
      </c>
      <c r="C984" s="44" t="n">
        <v>7.257</v>
      </c>
      <c r="D984" s="44" t="n"/>
      <c r="E984" s="44" t="n"/>
    </row>
    <row r="985" ht="14" customHeight="1">
      <c r="A985" s="21" t="n">
        <v>2011</v>
      </c>
      <c r="B985" s="45">
        <f>IF((A985&gt;=2021),ROUND((D985*E985),3),C985)</f>
        <v/>
      </c>
      <c r="C985" s="46" t="n">
        <v>7.126</v>
      </c>
      <c r="D985" s="46" t="n"/>
      <c r="E985" s="46" t="n"/>
    </row>
    <row r="986" ht="14" customHeight="1">
      <c r="A986" s="15" t="n">
        <v>2012</v>
      </c>
      <c r="B986" s="43">
        <f>IF((A986&gt;=2021),ROUND((D986*E986),3),C986)</f>
        <v/>
      </c>
      <c r="C986" s="44" t="n">
        <v>6.857</v>
      </c>
      <c r="D986" s="44" t="n"/>
      <c r="E986" s="44" t="n"/>
    </row>
    <row r="987" ht="14" customHeight="1">
      <c r="A987" s="21" t="n">
        <v>2013</v>
      </c>
      <c r="B987" s="45">
        <f>IF((A987&gt;=2021),ROUND((D987*E987),3),C987)</f>
        <v/>
      </c>
      <c r="C987" s="46" t="n">
        <v>6.567</v>
      </c>
      <c r="D987" s="46" t="n"/>
      <c r="E987" s="46" t="n"/>
    </row>
    <row r="988" ht="14" customHeight="1">
      <c r="A988" s="15" t="n">
        <v>2014</v>
      </c>
      <c r="B988" s="43">
        <f>IF((A988&gt;=2021),ROUND((D988*E988),3),C988)</f>
        <v/>
      </c>
      <c r="C988" s="44" t="n">
        <v>6.597</v>
      </c>
      <c r="D988" s="44" t="n"/>
      <c r="E988" s="44" t="n"/>
    </row>
    <row r="989" ht="14" customHeight="1">
      <c r="A989" s="21" t="n">
        <v>2015</v>
      </c>
      <c r="B989" s="45">
        <f>IF((A989&gt;=2021),ROUND((D989*E989),3),C989)</f>
        <v/>
      </c>
      <c r="C989" s="46" t="n">
        <v>6.827</v>
      </c>
      <c r="D989" s="46" t="n"/>
      <c r="E989" s="46" t="n"/>
    </row>
    <row r="990" ht="14" customHeight="1">
      <c r="A990" s="15" t="n">
        <v>2016</v>
      </c>
      <c r="B990" s="43">
        <f>IF((A990&gt;=2021),ROUND((D990*E990),3),C990)</f>
        <v/>
      </c>
      <c r="C990" s="44" t="n">
        <v>6.999</v>
      </c>
      <c r="D990" s="44" t="n"/>
      <c r="E990" s="44" t="n"/>
    </row>
    <row r="991" ht="14" customHeight="1">
      <c r="A991" s="21" t="n">
        <v>2017</v>
      </c>
      <c r="B991" s="45">
        <f>IF((A991&gt;=2021),ROUND((D991*E991),3),C991)</f>
        <v/>
      </c>
      <c r="C991" s="46" t="n">
        <v>6.993</v>
      </c>
      <c r="D991" s="46" t="n"/>
      <c r="E991" s="46" t="n"/>
    </row>
    <row r="992" ht="14" customHeight="1">
      <c r="A992" s="15" t="n">
        <v>2018</v>
      </c>
      <c r="B992" s="43">
        <f>IF((A992&gt;=2021),ROUND((D992*E992),3),C992)</f>
        <v/>
      </c>
      <c r="C992" s="44" t="n">
        <v>7.112</v>
      </c>
      <c r="D992" s="44" t="n"/>
      <c r="E992" s="44" t="n"/>
    </row>
    <row r="993" ht="14" customHeight="1">
      <c r="A993" s="21" t="n">
        <v>2019</v>
      </c>
      <c r="B993" s="45">
        <f>IF((A993&gt;=2021),ROUND((D993*E993),3),C993)</f>
        <v/>
      </c>
      <c r="C993" s="46" t="n">
        <v>6.999</v>
      </c>
      <c r="D993" s="46" t="n"/>
      <c r="E993" s="46" t="n"/>
    </row>
    <row r="994" ht="14" customHeight="1">
      <c r="A994" s="15" t="n">
        <v>2020</v>
      </c>
      <c r="B994" s="43">
        <f>IF((A994&gt;=2021),ROUND((D994*E994),3),C994)</f>
        <v/>
      </c>
      <c r="C994" s="44" t="n">
        <v>6.936</v>
      </c>
      <c r="D994" s="44" t="n"/>
      <c r="E994" s="44" t="n"/>
    </row>
    <row r="995" ht="14" customHeight="1">
      <c r="A995" s="21" t="n">
        <v>2021</v>
      </c>
      <c r="B995" s="45">
        <f>IF((A995&gt;=2021),ROUND((D995*E995),3),C995)</f>
        <v/>
      </c>
      <c r="C995" s="46" t="n"/>
      <c r="D995" s="46" t="n">
        <v>6801.91</v>
      </c>
      <c r="E995" s="46" t="n">
        <v>0.001</v>
      </c>
    </row>
    <row r="996" ht="14" customHeight="1">
      <c r="A996" s="15" t="n">
        <v>2022</v>
      </c>
      <c r="B996" s="43">
        <f>IF((A996&gt;=2021),ROUND((D996*E996),3),C996)</f>
        <v/>
      </c>
      <c r="C996" s="44" t="n"/>
      <c r="D996" s="44" t="n">
        <v>6640.26</v>
      </c>
      <c r="E996" s="44" t="n">
        <v>0.001</v>
      </c>
    </row>
    <row r="997" ht="14" customHeight="1">
      <c r="A997" s="21" t="n">
        <v>2023</v>
      </c>
      <c r="B997" s="45">
        <f>IF((A997&gt;=2021),ROUND((D997*E997),3),C997)</f>
        <v/>
      </c>
      <c r="C997" s="46" t="n"/>
      <c r="D997" s="46" t="n">
        <v>6384.77</v>
      </c>
      <c r="E997" s="46" t="n">
        <v>0.001</v>
      </c>
    </row>
    <row r="998" ht="14" customHeight="1">
      <c r="A998" s="15" t="n">
        <v>2024</v>
      </c>
      <c r="B998" s="43">
        <f>IF((A998&gt;=2021),ROUND((D998*E998),3),C998)</f>
        <v/>
      </c>
      <c r="C998" s="44" t="n"/>
      <c r="D998" s="44" t="n">
        <v>6584.01</v>
      </c>
      <c r="E998" s="44" t="n">
        <v>0.001</v>
      </c>
    </row>
    <row r="999" ht="14" customHeight="1">
      <c r="A999" s="21" t="n">
        <v>2025</v>
      </c>
      <c r="B999" s="45">
        <f>IF((A999&gt;=2021),ROUND((D999*E999),3),C999)</f>
        <v/>
      </c>
      <c r="C999" s="46" t="n"/>
      <c r="D999" s="46" t="n">
        <v>6319.82</v>
      </c>
      <c r="E999" s="46" t="n">
        <v>0.001</v>
      </c>
    </row>
    <row r="1002">
      <c r="A1002" s="53" t="inlineStr">
        <is>
          <t>A4 (dairy, herd) · Dairy products: herd size (EU)  (million heads)</t>
        </is>
      </c>
    </row>
    <row r="1003" ht="26" customHeight="1">
      <c r="A1003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004" ht="24" customHeight="1">
      <c r="A1004" s="3" t="inlineStr">
        <is>
          <t>Derivation:  Value = IF(A &gt;= 2021, ROUND([apro_mt_lscatl A2300F] * [Unit conversion (× 0.001)], 2), [Report figure (2024 report underlying data)])</t>
        </is>
      </c>
    </row>
    <row r="1005" ht="42" customHeight="1">
      <c r="A1005" s="42" t="inlineStr">
        <is>
          <t>Year</t>
        </is>
      </c>
      <c r="B1005" s="42" t="inlineStr">
        <is>
          <t>Value</t>
        </is>
      </c>
      <c r="C1005" s="42" t="inlineStr">
        <is>
          <t>Report figure (2024 report underlying data)</t>
        </is>
      </c>
      <c r="D1005" s="42" t="inlineStr">
        <is>
          <t>apro_mt_lscatl A2300F</t>
        </is>
      </c>
      <c r="E1005" s="42" t="inlineStr">
        <is>
          <t>Unit conversion (× 0.001)</t>
        </is>
      </c>
    </row>
    <row r="1006" ht="14" customHeight="1">
      <c r="A1006" s="15" t="n">
        <v>2010</v>
      </c>
      <c r="B1006" s="43">
        <f>IF((A1006&gt;=2021),ROUND((D1006*E1006),2),C1006)</f>
        <v/>
      </c>
      <c r="C1006" s="44" t="n">
        <v>21.55</v>
      </c>
      <c r="D1006" s="44" t="n"/>
      <c r="E1006" s="44" t="n"/>
    </row>
    <row r="1007" ht="14" customHeight="1">
      <c r="A1007" s="21" t="n">
        <v>2011</v>
      </c>
      <c r="B1007" s="45">
        <f>IF((A1007&gt;=2021),ROUND((D1007*E1007),2),C1007)</f>
        <v/>
      </c>
      <c r="C1007" s="46" t="n">
        <v>21.36</v>
      </c>
      <c r="D1007" s="46" t="n"/>
      <c r="E1007" s="46" t="n"/>
    </row>
    <row r="1008" ht="14" customHeight="1">
      <c r="A1008" s="15" t="n">
        <v>2012</v>
      </c>
      <c r="B1008" s="43">
        <f>IF((A1008&gt;=2021),ROUND((D1008*E1008),2),C1008)</f>
        <v/>
      </c>
      <c r="C1008" s="44" t="n">
        <v>21.45</v>
      </c>
      <c r="D1008" s="44" t="n"/>
      <c r="E1008" s="44" t="n"/>
    </row>
    <row r="1009" ht="14" customHeight="1">
      <c r="A1009" s="21" t="n">
        <v>2013</v>
      </c>
      <c r="B1009" s="45">
        <f>IF((A1009&gt;=2021),ROUND((D1009*E1009),2),C1009)</f>
        <v/>
      </c>
      <c r="C1009" s="46" t="n">
        <v>21.59</v>
      </c>
      <c r="D1009" s="46" t="n"/>
      <c r="E1009" s="46" t="n"/>
    </row>
    <row r="1010" ht="14" customHeight="1">
      <c r="A1010" s="15" t="n">
        <v>2014</v>
      </c>
      <c r="B1010" s="43">
        <f>IF((A1010&gt;=2021),ROUND((D1010*E1010),2),C1010)</f>
        <v/>
      </c>
      <c r="C1010" s="44" t="n">
        <v>21.64</v>
      </c>
      <c r="D1010" s="44" t="n"/>
      <c r="E1010" s="44" t="n"/>
    </row>
    <row r="1011" ht="14" customHeight="1">
      <c r="A1011" s="21" t="n">
        <v>2015</v>
      </c>
      <c r="B1011" s="45">
        <f>IF((A1011&gt;=2021),ROUND((D1011*E1011),2),C1011)</f>
        <v/>
      </c>
      <c r="C1011" s="46" t="n">
        <v>21.64</v>
      </c>
      <c r="D1011" s="46" t="n"/>
      <c r="E1011" s="46" t="n"/>
    </row>
    <row r="1012" ht="14" customHeight="1">
      <c r="A1012" s="15" t="n">
        <v>2016</v>
      </c>
      <c r="B1012" s="43">
        <f>IF((A1012&gt;=2021),ROUND((D1012*E1012),2),C1012)</f>
        <v/>
      </c>
      <c r="C1012" s="44" t="n">
        <v>21.58</v>
      </c>
      <c r="D1012" s="44" t="n"/>
      <c r="E1012" s="44" t="n"/>
    </row>
    <row r="1013" ht="14" customHeight="1">
      <c r="A1013" s="21" t="n">
        <v>2017</v>
      </c>
      <c r="B1013" s="45">
        <f>IF((A1013&gt;=2021),ROUND((D1013*E1013),2),C1013)</f>
        <v/>
      </c>
      <c r="C1013" s="46" t="n">
        <v>21.39</v>
      </c>
      <c r="D1013" s="46" t="n"/>
      <c r="E1013" s="46" t="n"/>
    </row>
    <row r="1014" ht="14" customHeight="1">
      <c r="A1014" s="15" t="n">
        <v>2018</v>
      </c>
      <c r="B1014" s="43">
        <f>IF((A1014&gt;=2021),ROUND((D1014*E1014),2),C1014)</f>
        <v/>
      </c>
      <c r="C1014" s="44" t="n">
        <v>21.08</v>
      </c>
      <c r="D1014" s="44" t="n"/>
      <c r="E1014" s="44" t="n"/>
    </row>
    <row r="1015" ht="14" customHeight="1">
      <c r="A1015" s="21" t="n">
        <v>2019</v>
      </c>
      <c r="B1015" s="45">
        <f>IF((A1015&gt;=2021),ROUND((D1015*E1015),2),C1015)</f>
        <v/>
      </c>
      <c r="C1015" s="46" t="n">
        <v>20.82</v>
      </c>
      <c r="D1015" s="46" t="n"/>
      <c r="E1015" s="46" t="n"/>
    </row>
    <row r="1016" ht="14" customHeight="1">
      <c r="A1016" s="15" t="n">
        <v>2020</v>
      </c>
      <c r="B1016" s="43">
        <f>IF((A1016&gt;=2021),ROUND((D1016*E1016),2),C1016)</f>
        <v/>
      </c>
      <c r="C1016" s="44" t="n">
        <v>20.63</v>
      </c>
      <c r="D1016" s="44" t="n"/>
      <c r="E1016" s="44" t="n"/>
    </row>
    <row r="1017" ht="14" customHeight="1">
      <c r="A1017" s="21" t="n">
        <v>2021</v>
      </c>
      <c r="B1017" s="45">
        <f>IF((A1017&gt;=2021),ROUND((D1017*E1017),2),C1017)</f>
        <v/>
      </c>
      <c r="C1017" s="46" t="n"/>
      <c r="D1017" s="46" t="n">
        <v>20212.53</v>
      </c>
      <c r="E1017" s="46" t="n">
        <v>0.001</v>
      </c>
    </row>
    <row r="1018" ht="14" customHeight="1">
      <c r="A1018" s="15" t="n">
        <v>2022</v>
      </c>
      <c r="B1018" s="43">
        <f>IF((A1018&gt;=2021),ROUND((D1018*E1018),2),C1018)</f>
        <v/>
      </c>
      <c r="C1018" s="44" t="n"/>
      <c r="D1018" s="44" t="n">
        <v>20073.77</v>
      </c>
      <c r="E1018" s="44" t="n">
        <v>0.001</v>
      </c>
    </row>
    <row r="1019" ht="14" customHeight="1">
      <c r="A1019" s="21" t="n">
        <v>2023</v>
      </c>
      <c r="B1019" s="45">
        <f>IF((A1019&gt;=2021),ROUND((D1019*E1019),2),C1019)</f>
        <v/>
      </c>
      <c r="C1019" s="46" t="n"/>
      <c r="D1019" s="46" t="n">
        <v>19911.96</v>
      </c>
      <c r="E1019" s="46" t="n">
        <v>0.001</v>
      </c>
    </row>
    <row r="1020" ht="14" customHeight="1">
      <c r="A1020" s="15" t="n">
        <v>2024</v>
      </c>
      <c r="B1020" s="43">
        <f>IF((A1020&gt;=2021),ROUND((D1020*E1020),2),C1020)</f>
        <v/>
      </c>
      <c r="C1020" s="44" t="n"/>
      <c r="D1020" s="44" t="n">
        <v>19221.66</v>
      </c>
      <c r="E1020" s="44" t="n">
        <v>0.001</v>
      </c>
    </row>
    <row r="1021" ht="14" customHeight="1">
      <c r="A1021" s="21" t="n">
        <v>2025</v>
      </c>
      <c r="B1021" s="45">
        <f>IF((A1021&gt;=2021),ROUND((D1021*E1021),2),C1021)</f>
        <v/>
      </c>
      <c r="C1021" s="46" t="n"/>
      <c r="D1021" s="46" t="n">
        <v>19015.37</v>
      </c>
      <c r="E1021" s="46" t="n">
        <v>0.001</v>
      </c>
    </row>
    <row r="1024">
      <c r="A1024" s="53" t="inlineStr">
        <is>
          <t>A4 (dairy, production) · Dairy products: production (EU)  (Mt)</t>
        </is>
      </c>
    </row>
    <row r="1025" ht="26" customHeight="1">
      <c r="A1025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026" ht="24" customHeight="1">
      <c r="A1026" s="3" t="inlineStr">
        <is>
          <t>Derivation:  Value = IF(A &gt;= 2021, ROUND([Report baseline 2020 (Mt)] * [apro_mk_farm D1100A] / [Live source at 2020 (same basis as the columns left)], 1), [Report figure (2024 report underlying data)])</t>
        </is>
      </c>
    </row>
    <row r="1027" ht="42" customHeight="1">
      <c r="A1027" s="42" t="inlineStr">
        <is>
          <t>Year</t>
        </is>
      </c>
      <c r="B1027" s="42" t="inlineStr">
        <is>
          <t>Value</t>
        </is>
      </c>
      <c r="C1027" s="42" t="inlineStr">
        <is>
          <t>Report figure (2024 report underlying data)</t>
        </is>
      </c>
      <c r="D1027" s="42" t="inlineStr">
        <is>
          <t>apro_mk_farm D1100A</t>
        </is>
      </c>
      <c r="E1027" s="42" t="inlineStr">
        <is>
          <t>Report baseline 2020 (Mt)</t>
        </is>
      </c>
      <c r="F1027" s="42" t="inlineStr">
        <is>
          <t>Live source at 2020 (same basis as the columns left)</t>
        </is>
      </c>
    </row>
    <row r="1028" ht="14" customHeight="1">
      <c r="A1028" s="15" t="n">
        <v>2010</v>
      </c>
      <c r="B1028" s="43">
        <f>IF((A1028&gt;=2021),ROUND(((E1028*D1028)/F1028),1),C1028)</f>
        <v/>
      </c>
      <c r="C1028" s="44" t="n">
        <v>141.1</v>
      </c>
      <c r="D1028" s="44" t="n"/>
      <c r="E1028" s="44" t="n"/>
      <c r="F1028" s="44" t="n"/>
    </row>
    <row r="1029" ht="14" customHeight="1">
      <c r="A1029" s="21" t="n">
        <v>2011</v>
      </c>
      <c r="B1029" s="45">
        <f>IF((A1029&gt;=2021),ROUND(((E1029*D1029)/F1029),1),C1029)</f>
        <v/>
      </c>
      <c r="C1029" s="46" t="n">
        <v>143.4</v>
      </c>
      <c r="D1029" s="46" t="n"/>
      <c r="E1029" s="46" t="n"/>
      <c r="F1029" s="46" t="n"/>
    </row>
    <row r="1030" ht="14" customHeight="1">
      <c r="A1030" s="15" t="n">
        <v>2012</v>
      </c>
      <c r="B1030" s="43">
        <f>IF((A1030&gt;=2021),ROUND(((E1030*D1030)/F1030),1),C1030)</f>
        <v/>
      </c>
      <c r="C1030" s="44" t="n">
        <v>143.8</v>
      </c>
      <c r="D1030" s="44" t="n"/>
      <c r="E1030" s="44" t="n"/>
      <c r="F1030" s="44" t="n"/>
    </row>
    <row r="1031" ht="14" customHeight="1">
      <c r="A1031" s="21" t="n">
        <v>2013</v>
      </c>
      <c r="B1031" s="45">
        <f>IF((A1031&gt;=2021),ROUND(((E1031*D1031)/F1031),1),C1031)</f>
        <v/>
      </c>
      <c r="C1031" s="46" t="n">
        <v>145.3</v>
      </c>
      <c r="D1031" s="46" t="n"/>
      <c r="E1031" s="46" t="n"/>
      <c r="F1031" s="46" t="n"/>
    </row>
    <row r="1032" ht="14" customHeight="1">
      <c r="A1032" s="15" t="n">
        <v>2014</v>
      </c>
      <c r="B1032" s="43">
        <f>IF((A1032&gt;=2021),ROUND(((E1032*D1032)/F1032),1),C1032)</f>
        <v/>
      </c>
      <c r="C1032" s="44" t="n">
        <v>150.1</v>
      </c>
      <c r="D1032" s="44" t="n"/>
      <c r="E1032" s="44" t="n"/>
      <c r="F1032" s="44" t="n"/>
    </row>
    <row r="1033" ht="14" customHeight="1">
      <c r="A1033" s="21" t="n">
        <v>2015</v>
      </c>
      <c r="B1033" s="45">
        <f>IF((A1033&gt;=2021),ROUND(((E1033*D1033)/F1033),1),C1033)</f>
        <v/>
      </c>
      <c r="C1033" s="46" t="n">
        <v>153.2</v>
      </c>
      <c r="D1033" s="46" t="n"/>
      <c r="E1033" s="46" t="n"/>
      <c r="F1033" s="46" t="n"/>
    </row>
    <row r="1034" ht="14" customHeight="1">
      <c r="A1034" s="15" t="n">
        <v>2016</v>
      </c>
      <c r="B1034" s="43">
        <f>IF((A1034&gt;=2021),ROUND(((E1034*D1034)/F1034),1),C1034)</f>
        <v/>
      </c>
      <c r="C1034" s="44" t="n">
        <v>154.8</v>
      </c>
      <c r="D1034" s="44" t="n"/>
      <c r="E1034" s="44" t="n"/>
      <c r="F1034" s="44" t="n"/>
    </row>
    <row r="1035" ht="14" customHeight="1">
      <c r="A1035" s="21" t="n">
        <v>2017</v>
      </c>
      <c r="B1035" s="45">
        <f>IF((A1035&gt;=2021),ROUND(((E1035*D1035)/F1035),1),C1035)</f>
        <v/>
      </c>
      <c r="C1035" s="46" t="n">
        <v>156</v>
      </c>
      <c r="D1035" s="46" t="n"/>
      <c r="E1035" s="46" t="n"/>
      <c r="F1035" s="46" t="n"/>
    </row>
    <row r="1036" ht="14" customHeight="1">
      <c r="A1036" s="15" t="n">
        <v>2018</v>
      </c>
      <c r="B1036" s="43">
        <f>IF((A1036&gt;=2021),ROUND(((E1036*D1036)/F1036),1),C1036)</f>
        <v/>
      </c>
      <c r="C1036" s="44" t="n">
        <v>158.3</v>
      </c>
      <c r="D1036" s="44" t="n"/>
      <c r="E1036" s="44" t="n"/>
      <c r="F1036" s="44" t="n"/>
    </row>
    <row r="1037" ht="14" customHeight="1">
      <c r="A1037" s="21" t="n">
        <v>2019</v>
      </c>
      <c r="B1037" s="45">
        <f>IF((A1037&gt;=2021),ROUND(((E1037*D1037)/F1037),1),C1037)</f>
        <v/>
      </c>
      <c r="C1037" s="46" t="n">
        <v>161.2</v>
      </c>
      <c r="D1037" s="46" t="n"/>
      <c r="E1037" s="46" t="n"/>
      <c r="F1037" s="46" t="n"/>
    </row>
    <row r="1038" ht="14" customHeight="1">
      <c r="A1038" s="15" t="n">
        <v>2020</v>
      </c>
      <c r="B1038" s="43">
        <f>IF((A1038&gt;=2021),ROUND(((E1038*D1038)/F1038),1),C1038)</f>
        <v/>
      </c>
      <c r="C1038" s="44" t="n">
        <v>163.1</v>
      </c>
      <c r="D1038" s="44" t="n"/>
      <c r="E1038" s="44" t="n"/>
      <c r="F1038" s="44" t="n"/>
    </row>
    <row r="1039" ht="14" customHeight="1">
      <c r="A1039" s="21" t="n">
        <v>2021</v>
      </c>
      <c r="B1039" s="45">
        <f>IF((A1039&gt;=2021),ROUND(((E1039*D1039)/F1039),1),C1039)</f>
        <v/>
      </c>
      <c r="C1039" s="46" t="n"/>
      <c r="D1039" s="46" t="n">
        <v>159772.68</v>
      </c>
      <c r="E1039" s="46" t="n">
        <v>163.1</v>
      </c>
      <c r="F1039" s="46" t="n">
        <v>160281.96</v>
      </c>
    </row>
    <row r="1040" ht="14" customHeight="1">
      <c r="A1040" s="15" t="n">
        <v>2022</v>
      </c>
      <c r="B1040" s="43">
        <f>IF((A1040&gt;=2021),ROUND(((E1040*D1040)/F1040),1),C1040)</f>
        <v/>
      </c>
      <c r="C1040" s="44" t="n"/>
      <c r="D1040" s="44" t="n">
        <v>159996.09</v>
      </c>
      <c r="E1040" s="44" t="n">
        <v>163.1</v>
      </c>
      <c r="F1040" s="44" t="n">
        <v>160281.96</v>
      </c>
    </row>
    <row r="1041" ht="14" customHeight="1">
      <c r="A1041" s="21" t="n">
        <v>2023</v>
      </c>
      <c r="B1041" s="45">
        <f>IF((A1041&gt;=2021),ROUND(((E1041*D1041)/F1041),1),C1041)</f>
        <v/>
      </c>
      <c r="C1041" s="46" t="n"/>
      <c r="D1041" s="46" t="n">
        <v>160887.23</v>
      </c>
      <c r="E1041" s="46" t="n">
        <v>163.1</v>
      </c>
      <c r="F1041" s="46" t="n">
        <v>160281.96</v>
      </c>
    </row>
    <row r="1042" ht="14" customHeight="1">
      <c r="A1042" s="15" t="n">
        <v>2024</v>
      </c>
      <c r="B1042" s="43">
        <f>IF((A1042&gt;=2021),ROUND(((E1042*D1042)/F1042),1),C1042)</f>
        <v/>
      </c>
      <c r="C1042" s="44" t="n"/>
      <c r="D1042" s="44" t="n">
        <v>161798.04</v>
      </c>
      <c r="E1042" s="44" t="n">
        <v>163.1</v>
      </c>
      <c r="F1042" s="44" t="n">
        <v>160281.96</v>
      </c>
    </row>
    <row r="1045">
      <c r="A1045" s="53" t="inlineStr">
        <is>
          <t>A4 (pig, herd) · Pig meat: herd size (EU)  (million heads)</t>
        </is>
      </c>
    </row>
    <row r="1046" ht="26" customHeight="1">
      <c r="A1046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047" ht="24" customHeight="1">
      <c r="A1047" s="3" t="inlineStr">
        <is>
          <t>Derivation:  Value = IF(A &gt;= 2021, ROUND([Report baseline 2020 (million heads)] * [apro_mt_lspig A3100] / [Live source at 2020 (same basis as the columns left)], 1), [Report figure (2024 report underlying data)])</t>
        </is>
      </c>
    </row>
    <row r="1048" ht="42" customHeight="1">
      <c r="A1048" s="42" t="inlineStr">
        <is>
          <t>Year</t>
        </is>
      </c>
      <c r="B1048" s="42" t="inlineStr">
        <is>
          <t>Value</t>
        </is>
      </c>
      <c r="C1048" s="42" t="inlineStr">
        <is>
          <t>Report figure (2024 report underlying data)</t>
        </is>
      </c>
      <c r="D1048" s="42" t="inlineStr">
        <is>
          <t>apro_mt_lspig A3100</t>
        </is>
      </c>
      <c r="E1048" s="42" t="inlineStr">
        <is>
          <t>Report baseline 2020 (million heads)</t>
        </is>
      </c>
      <c r="F1048" s="42" t="inlineStr">
        <is>
          <t>Live source at 2020 (same basis as the columns left)</t>
        </is>
      </c>
    </row>
    <row r="1049" ht="14" customHeight="1">
      <c r="A1049" s="15" t="n">
        <v>2010</v>
      </c>
      <c r="B1049" s="43">
        <f>IF((A1049&gt;=2021),ROUND(((E1049*D1049)/F1049),1),C1049)</f>
        <v/>
      </c>
      <c r="C1049" s="44" t="n">
        <v>144.1</v>
      </c>
      <c r="D1049" s="44" t="n"/>
      <c r="E1049" s="44" t="n"/>
      <c r="F1049" s="44" t="n"/>
    </row>
    <row r="1050" ht="14" customHeight="1">
      <c r="A1050" s="21" t="n">
        <v>2011</v>
      </c>
      <c r="B1050" s="45">
        <f>IF((A1050&gt;=2021),ROUND(((E1050*D1050)/F1050),1),C1050)</f>
        <v/>
      </c>
      <c r="C1050" s="46" t="n">
        <v>142.3</v>
      </c>
      <c r="D1050" s="46" t="n"/>
      <c r="E1050" s="46" t="n"/>
      <c r="F1050" s="46" t="n"/>
    </row>
    <row r="1051" ht="14" customHeight="1">
      <c r="A1051" s="15" t="n">
        <v>2012</v>
      </c>
      <c r="B1051" s="43">
        <f>IF((A1051&gt;=2021),ROUND(((E1051*D1051)/F1051),1),C1051)</f>
        <v/>
      </c>
      <c r="C1051" s="44" t="n">
        <v>138.3</v>
      </c>
      <c r="D1051" s="44" t="n"/>
      <c r="E1051" s="44" t="n"/>
      <c r="F1051" s="44" t="n"/>
    </row>
    <row r="1052" ht="14" customHeight="1">
      <c r="A1052" s="21" t="n">
        <v>2013</v>
      </c>
      <c r="B1052" s="45">
        <f>IF((A1052&gt;=2021),ROUND(((E1052*D1052)/F1052),1),C1052)</f>
        <v/>
      </c>
      <c r="C1052" s="46" t="n">
        <v>136.5</v>
      </c>
      <c r="D1052" s="46" t="n"/>
      <c r="E1052" s="46" t="n"/>
      <c r="F1052" s="46" t="n"/>
    </row>
    <row r="1053" ht="14" customHeight="1">
      <c r="A1053" s="15" t="n">
        <v>2014</v>
      </c>
      <c r="B1053" s="43">
        <f>IF((A1053&gt;=2021),ROUND(((E1053*D1053)/F1053),1),C1053)</f>
        <v/>
      </c>
      <c r="C1053" s="44" t="n">
        <v>138.4</v>
      </c>
      <c r="D1053" s="44" t="n"/>
      <c r="E1053" s="44" t="n"/>
      <c r="F1053" s="44" t="n"/>
    </row>
    <row r="1054" ht="14" customHeight="1">
      <c r="A1054" s="21" t="n">
        <v>2015</v>
      </c>
      <c r="B1054" s="45">
        <f>IF((A1054&gt;=2021),ROUND(((E1054*D1054)/F1054),1),C1054)</f>
        <v/>
      </c>
      <c r="C1054" s="46" t="n">
        <v>139.4</v>
      </c>
      <c r="D1054" s="46" t="n"/>
      <c r="E1054" s="46" t="n"/>
      <c r="F1054" s="46" t="n"/>
    </row>
    <row r="1055" ht="14" customHeight="1">
      <c r="A1055" s="15" t="n">
        <v>2016</v>
      </c>
      <c r="B1055" s="43">
        <f>IF((A1055&gt;=2021),ROUND(((E1055*D1055)/F1055),1),C1055)</f>
        <v/>
      </c>
      <c r="C1055" s="44" t="n">
        <v>137.7</v>
      </c>
      <c r="D1055" s="44" t="n"/>
      <c r="E1055" s="44" t="n"/>
      <c r="F1055" s="44" t="n"/>
    </row>
    <row r="1056" ht="14" customHeight="1">
      <c r="A1056" s="21" t="n">
        <v>2017</v>
      </c>
      <c r="B1056" s="45">
        <f>IF((A1056&gt;=2021),ROUND(((E1056*D1056)/F1056),1),C1056)</f>
        <v/>
      </c>
      <c r="C1056" s="46" t="n">
        <v>138.8</v>
      </c>
      <c r="D1056" s="46" t="n"/>
      <c r="E1056" s="46" t="n"/>
      <c r="F1056" s="46" t="n"/>
    </row>
    <row r="1057" ht="14" customHeight="1">
      <c r="A1057" s="15" t="n">
        <v>2018</v>
      </c>
      <c r="B1057" s="43">
        <f>IF((A1057&gt;=2021),ROUND(((E1057*D1057)/F1057),1),C1057)</f>
        <v/>
      </c>
      <c r="C1057" s="44" t="n">
        <v>139.7</v>
      </c>
      <c r="D1057" s="44" t="n"/>
      <c r="E1057" s="44" t="n"/>
      <c r="F1057" s="44" t="n"/>
    </row>
    <row r="1058" ht="14" customHeight="1">
      <c r="A1058" s="21" t="n">
        <v>2019</v>
      </c>
      <c r="B1058" s="45">
        <f>IF((A1058&gt;=2021),ROUND(((E1058*D1058)/F1058),1),C1058)</f>
        <v/>
      </c>
      <c r="C1058" s="46" t="n">
        <v>137.4</v>
      </c>
      <c r="D1058" s="46" t="n"/>
      <c r="E1058" s="46" t="n"/>
      <c r="F1058" s="46" t="n"/>
    </row>
    <row r="1059" ht="14" customHeight="1">
      <c r="A1059" s="15" t="n">
        <v>2020</v>
      </c>
      <c r="B1059" s="43">
        <f>IF((A1059&gt;=2021),ROUND(((E1059*D1059)/F1059),1),C1059)</f>
        <v/>
      </c>
      <c r="C1059" s="44" t="n">
        <v>140</v>
      </c>
      <c r="D1059" s="44" t="n"/>
      <c r="E1059" s="44" t="n"/>
      <c r="F1059" s="44" t="n"/>
    </row>
    <row r="1060" ht="14" customHeight="1">
      <c r="A1060" s="21" t="n">
        <v>2021</v>
      </c>
      <c r="B1060" s="45">
        <f>IF((A1060&gt;=2021),ROUND(((E1060*D1060)/F1060),1),C1060)</f>
        <v/>
      </c>
      <c r="C1060" s="46" t="n"/>
      <c r="D1060" s="46" t="n">
        <v>141681.38</v>
      </c>
      <c r="E1060" s="46" t="n">
        <v>140</v>
      </c>
      <c r="F1060" s="46" t="n">
        <v>145918.6</v>
      </c>
    </row>
    <row r="1061" ht="14" customHeight="1">
      <c r="A1061" s="15" t="n">
        <v>2022</v>
      </c>
      <c r="B1061" s="43">
        <f>IF((A1061&gt;=2021),ROUND(((E1061*D1061)/F1061),1),C1061)</f>
        <v/>
      </c>
      <c r="C1061" s="44" t="n"/>
      <c r="D1061" s="44" t="n">
        <v>134410.04</v>
      </c>
      <c r="E1061" s="44" t="n">
        <v>140</v>
      </c>
      <c r="F1061" s="44" t="n">
        <v>145918.6</v>
      </c>
    </row>
    <row r="1062" ht="14" customHeight="1">
      <c r="A1062" s="21" t="n">
        <v>2023</v>
      </c>
      <c r="B1062" s="45">
        <f>IF((A1062&gt;=2021),ROUND(((E1062*D1062)/F1062),1),C1062)</f>
        <v/>
      </c>
      <c r="C1062" s="46" t="n"/>
      <c r="D1062" s="46" t="n">
        <v>132845.67</v>
      </c>
      <c r="E1062" s="46" t="n">
        <v>140</v>
      </c>
      <c r="F1062" s="46" t="n">
        <v>145918.6</v>
      </c>
    </row>
    <row r="1063" ht="14" customHeight="1">
      <c r="A1063" s="15" t="n">
        <v>2024</v>
      </c>
      <c r="B1063" s="43">
        <f>IF((A1063&gt;=2021),ROUND(((E1063*D1063)/F1063),1),C1063)</f>
        <v/>
      </c>
      <c r="C1063" s="44" t="n"/>
      <c r="D1063" s="44" t="n">
        <v>132135.52</v>
      </c>
      <c r="E1063" s="44" t="n">
        <v>140</v>
      </c>
      <c r="F1063" s="44" t="n">
        <v>145918.6</v>
      </c>
    </row>
    <row r="1064" ht="14" customHeight="1">
      <c r="A1064" s="21" t="n">
        <v>2025</v>
      </c>
      <c r="B1064" s="45">
        <f>IF((A1064&gt;=2021),ROUND(((E1064*D1064)/F1064),1),C1064)</f>
        <v/>
      </c>
      <c r="C1064" s="46" t="n"/>
      <c r="D1064" s="46" t="n">
        <v>131450.44</v>
      </c>
      <c r="E1064" s="46" t="n">
        <v>140</v>
      </c>
      <c r="F1064" s="46" t="n">
        <v>145918.6</v>
      </c>
    </row>
    <row r="1067">
      <c r="A1067" s="53" t="inlineStr">
        <is>
          <t>A4 (pig, production) · Pig meat: production (EU)  (Mt)</t>
        </is>
      </c>
    </row>
    <row r="1068" ht="26" customHeight="1">
      <c r="A1068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069" ht="24" customHeight="1">
      <c r="A1069" s="3" t="inlineStr">
        <is>
          <t>Derivation:  Value = IF(A &gt;= 2021, ROUND([apro_mt_pann B3100] * [Unit conversion (× 0.001)], 2), [Report figure (2024 report underlying data)])</t>
        </is>
      </c>
    </row>
    <row r="1070" ht="42" customHeight="1">
      <c r="A1070" s="42" t="inlineStr">
        <is>
          <t>Year</t>
        </is>
      </c>
      <c r="B1070" s="42" t="inlineStr">
        <is>
          <t>Value</t>
        </is>
      </c>
      <c r="C1070" s="42" t="inlineStr">
        <is>
          <t>Report figure (2024 report underlying data)</t>
        </is>
      </c>
      <c r="D1070" s="42" t="inlineStr">
        <is>
          <t>apro_mt_pann B3100</t>
        </is>
      </c>
      <c r="E1070" s="42" t="inlineStr">
        <is>
          <t>Unit conversion (× 0.001)</t>
        </is>
      </c>
    </row>
    <row r="1071" ht="14" customHeight="1">
      <c r="A1071" s="15" t="n">
        <v>2010</v>
      </c>
      <c r="B1071" s="43">
        <f>IF((A1071&gt;=2021),ROUND((D1071*E1071),2),C1071)</f>
        <v/>
      </c>
      <c r="C1071" s="44" t="n">
        <v>22.22</v>
      </c>
      <c r="D1071" s="44" t="n"/>
      <c r="E1071" s="44" t="n"/>
    </row>
    <row r="1072" ht="14" customHeight="1">
      <c r="A1072" s="21" t="n">
        <v>2011</v>
      </c>
      <c r="B1072" s="45">
        <f>IF((A1072&gt;=2021),ROUND((D1072*E1072),2),C1072)</f>
        <v/>
      </c>
      <c r="C1072" s="46" t="n">
        <v>22.46</v>
      </c>
      <c r="D1072" s="46" t="n"/>
      <c r="E1072" s="46" t="n"/>
    </row>
    <row r="1073" ht="14" customHeight="1">
      <c r="A1073" s="15" t="n">
        <v>2012</v>
      </c>
      <c r="B1073" s="43">
        <f>IF((A1073&gt;=2021),ROUND((D1073*E1073),2),C1073)</f>
        <v/>
      </c>
      <c r="C1073" s="44" t="n">
        <v>22</v>
      </c>
      <c r="D1073" s="44" t="n"/>
      <c r="E1073" s="44" t="n"/>
    </row>
    <row r="1074" ht="14" customHeight="1">
      <c r="A1074" s="21" t="n">
        <v>2013</v>
      </c>
      <c r="B1074" s="45">
        <f>IF((A1074&gt;=2021),ROUND((D1074*E1074),2),C1074)</f>
        <v/>
      </c>
      <c r="C1074" s="46" t="n">
        <v>21.69</v>
      </c>
      <c r="D1074" s="46" t="n"/>
      <c r="E1074" s="46" t="n"/>
    </row>
    <row r="1075" ht="14" customHeight="1">
      <c r="A1075" s="15" t="n">
        <v>2014</v>
      </c>
      <c r="B1075" s="43">
        <f>IF((A1075&gt;=2021),ROUND((D1075*E1075),2),C1075)</f>
        <v/>
      </c>
      <c r="C1075" s="44" t="n">
        <v>21.75</v>
      </c>
      <c r="D1075" s="44" t="n"/>
      <c r="E1075" s="44" t="n"/>
    </row>
    <row r="1076" ht="14" customHeight="1">
      <c r="A1076" s="21" t="n">
        <v>2015</v>
      </c>
      <c r="B1076" s="45">
        <f>IF((A1076&gt;=2021),ROUND((D1076*E1076),2),C1076)</f>
        <v/>
      </c>
      <c r="C1076" s="46" t="n">
        <v>22.57</v>
      </c>
      <c r="D1076" s="46" t="n"/>
      <c r="E1076" s="46" t="n"/>
    </row>
    <row r="1077" ht="14" customHeight="1">
      <c r="A1077" s="15" t="n">
        <v>2016</v>
      </c>
      <c r="B1077" s="43">
        <f>IF((A1077&gt;=2021),ROUND((D1077*E1077),2),C1077)</f>
        <v/>
      </c>
      <c r="C1077" s="44" t="n">
        <v>22.95</v>
      </c>
      <c r="D1077" s="44" t="n"/>
      <c r="E1077" s="44" t="n"/>
    </row>
    <row r="1078" ht="14" customHeight="1">
      <c r="A1078" s="21" t="n">
        <v>2017</v>
      </c>
      <c r="B1078" s="45">
        <f>IF((A1078&gt;=2021),ROUND((D1078*E1078),2),C1078)</f>
        <v/>
      </c>
      <c r="C1078" s="46" t="n">
        <v>22.82</v>
      </c>
      <c r="D1078" s="46" t="n"/>
      <c r="E1078" s="46" t="n"/>
    </row>
    <row r="1079" ht="14" customHeight="1">
      <c r="A1079" s="15" t="n">
        <v>2018</v>
      </c>
      <c r="B1079" s="43">
        <f>IF((A1079&gt;=2021),ROUND((D1079*E1079),2),C1079)</f>
        <v/>
      </c>
      <c r="C1079" s="44" t="n">
        <v>23.22</v>
      </c>
      <c r="D1079" s="44" t="n"/>
      <c r="E1079" s="44" t="n"/>
    </row>
    <row r="1080" ht="14" customHeight="1">
      <c r="A1080" s="21" t="n">
        <v>2019</v>
      </c>
      <c r="B1080" s="45">
        <f>IF((A1080&gt;=2021),ROUND((D1080*E1080),2),C1080)</f>
        <v/>
      </c>
      <c r="C1080" s="46" t="n">
        <v>23</v>
      </c>
      <c r="D1080" s="46" t="n"/>
      <c r="E1080" s="46" t="n"/>
    </row>
    <row r="1081" ht="14" customHeight="1">
      <c r="A1081" s="15" t="n">
        <v>2020</v>
      </c>
      <c r="B1081" s="43">
        <f>IF((A1081&gt;=2021),ROUND((D1081*E1081),2),C1081)</f>
        <v/>
      </c>
      <c r="C1081" s="44" t="n">
        <v>23.22</v>
      </c>
      <c r="D1081" s="44" t="n"/>
      <c r="E1081" s="44" t="n"/>
    </row>
    <row r="1082" ht="14" customHeight="1">
      <c r="A1082" s="21" t="n">
        <v>2021</v>
      </c>
      <c r="B1082" s="45">
        <f>IF((A1082&gt;=2021),ROUND((D1082*E1082),2),C1082)</f>
        <v/>
      </c>
      <c r="C1082" s="46" t="n"/>
      <c r="D1082" s="46" t="n">
        <v>23393.67</v>
      </c>
      <c r="E1082" s="46" t="n">
        <v>0.001</v>
      </c>
    </row>
    <row r="1083" ht="14" customHeight="1">
      <c r="A1083" s="15" t="n">
        <v>2022</v>
      </c>
      <c r="B1083" s="43">
        <f>IF((A1083&gt;=2021),ROUND((D1083*E1083),2),C1083)</f>
        <v/>
      </c>
      <c r="C1083" s="44" t="n"/>
      <c r="D1083" s="44" t="n">
        <v>22065.92</v>
      </c>
      <c r="E1083" s="44" t="n">
        <v>0.001</v>
      </c>
    </row>
    <row r="1084" ht="14" customHeight="1">
      <c r="A1084" s="21" t="n">
        <v>2023</v>
      </c>
      <c r="B1084" s="45">
        <f>IF((A1084&gt;=2021),ROUND((D1084*E1084),2),C1084)</f>
        <v/>
      </c>
      <c r="C1084" s="46" t="n"/>
      <c r="D1084" s="46" t="n">
        <v>20641.09</v>
      </c>
      <c r="E1084" s="46" t="n">
        <v>0.001</v>
      </c>
    </row>
    <row r="1085" ht="14" customHeight="1">
      <c r="A1085" s="15" t="n">
        <v>2024</v>
      </c>
      <c r="B1085" s="43">
        <f>IF((A1085&gt;=2021),ROUND((D1085*E1085),2),C1085)</f>
        <v/>
      </c>
      <c r="C1085" s="44" t="n"/>
      <c r="D1085" s="44" t="n">
        <v>21091.62</v>
      </c>
      <c r="E1085" s="44" t="n">
        <v>0.001</v>
      </c>
    </row>
    <row r="1086" ht="14" customHeight="1">
      <c r="A1086" s="21" t="n">
        <v>2025</v>
      </c>
      <c r="B1086" s="45">
        <f>IF((A1086&gt;=2021),ROUND((D1086*E1086),2),C1086)</f>
        <v/>
      </c>
      <c r="C1086" s="46" t="n"/>
      <c r="D1086" s="46" t="n">
        <v>21837.73</v>
      </c>
      <c r="E1086" s="46" t="n">
        <v>0.001</v>
      </c>
    </row>
    <row r="1089">
      <c r="A1089" s="53" t="inlineStr">
        <is>
          <t>A6 · Food waste per capita (EU)  (kg/cap/year)</t>
        </is>
      </c>
    </row>
    <row r="1090" ht="26" customHeight="1">
      <c r="A1090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091" ht="24" customHeight="1">
      <c r="A1091" s="3" t="inlineStr">
        <is>
          <t>Derivation:  Value = IF(A &gt;= 2021, ROUND([env_wasfw TOT], 0), [Report figure (2024 report underlying data)])</t>
        </is>
      </c>
    </row>
    <row r="1092" ht="42" customHeight="1">
      <c r="A1092" s="42" t="inlineStr">
        <is>
          <t>Year</t>
        </is>
      </c>
      <c r="B1092" s="42" t="inlineStr">
        <is>
          <t>Value</t>
        </is>
      </c>
      <c r="C1092" s="42" t="inlineStr">
        <is>
          <t>Report figure (2024 report underlying data)</t>
        </is>
      </c>
      <c r="D1092" s="42" t="inlineStr">
        <is>
          <t>env_wasfw TOT</t>
        </is>
      </c>
    </row>
    <row r="1093" ht="14" customHeight="1">
      <c r="A1093" s="15" t="n">
        <v>2020</v>
      </c>
      <c r="B1093" s="43">
        <f>IF((A1093&gt;=2021),ROUND(D1093,0),C1093)</f>
        <v/>
      </c>
      <c r="C1093" s="44" t="n">
        <v>131</v>
      </c>
      <c r="D1093" s="44" t="n"/>
    </row>
    <row r="1094" ht="14" customHeight="1">
      <c r="A1094" s="21" t="n">
        <v>2021</v>
      </c>
      <c r="B1094" s="45">
        <f>IF((A1094&gt;=2021),ROUND(D1094,0),C1094)</f>
        <v/>
      </c>
      <c r="C1094" s="46" t="n"/>
      <c r="D1094" s="46" t="n">
        <v>129</v>
      </c>
    </row>
    <row r="1095" ht="14" customHeight="1">
      <c r="A1095" s="15" t="n">
        <v>2022</v>
      </c>
      <c r="B1095" s="43">
        <f>IF((A1095&gt;=2021),ROUND(D1095,0),C1095)</f>
        <v/>
      </c>
      <c r="C1095" s="44" t="n"/>
      <c r="D1095" s="44" t="n">
        <v>129</v>
      </c>
    </row>
    <row r="1096" ht="14" customHeight="1">
      <c r="A1096" s="21" t="n">
        <v>2023</v>
      </c>
      <c r="B1096" s="45">
        <f>IF((A1096&gt;=2021),ROUND(D1096,0),C1096)</f>
        <v/>
      </c>
      <c r="C1096" s="46" t="n"/>
      <c r="D1096" s="46" t="n">
        <v>129</v>
      </c>
    </row>
    <row r="1099">
      <c r="A1099" s="54" t="inlineStr">
        <is>
          <t>L1 · LULUCF net GHG balance  (Mt CO₂eq)</t>
        </is>
      </c>
    </row>
    <row r="1100" ht="26" customHeight="1">
      <c r="A1100" s="41" t="inlineStr">
        <is>
          <t>SAME DERIVATION AS THE REPORT — the report's own formula, with its own input columns refreshed from the same publisher for the later years. Nothing about the calculation changes across the join.</t>
        </is>
      </c>
    </row>
    <row r="1101" ht="22" customHeight="1">
      <c r="A1101" s="3" t="inlineStr">
        <is>
          <t>Refreshed for 2023, 2024: 4 - Land Use, Land-Use Change and Forestry</t>
        </is>
      </c>
    </row>
    <row r="1102" ht="24" customHeight="1">
      <c r="A1102" s="3" t="inlineStr">
        <is>
          <t>Derivation:  Value = [4 - Land Use, Land-Use Change and Forestry] / 1000</t>
        </is>
      </c>
    </row>
    <row r="1103" ht="42" customHeight="1">
      <c r="A1103" s="42" t="inlineStr">
        <is>
          <t>Year</t>
        </is>
      </c>
      <c r="B1103" s="42" t="inlineStr">
        <is>
          <t>Value</t>
        </is>
      </c>
      <c r="C1103" s="42" t="inlineStr">
        <is>
          <t>4 - Land Use, Land-Use Change and Forestry</t>
        </is>
      </c>
    </row>
    <row r="1104" ht="14" customHeight="1">
      <c r="A1104" s="15" t="n">
        <v>2005</v>
      </c>
      <c r="B1104" s="43">
        <f>(C1104/1000)</f>
        <v/>
      </c>
      <c r="C1104" s="44" t="n">
        <v>-342109.4761312911</v>
      </c>
    </row>
    <row r="1105" ht="14" customHeight="1">
      <c r="A1105" s="21" t="n">
        <v>2006</v>
      </c>
      <c r="B1105" s="45">
        <f>(C1105/1000)</f>
        <v/>
      </c>
      <c r="C1105" s="46" t="n">
        <v>-351296.38360007</v>
      </c>
    </row>
    <row r="1106" ht="14" customHeight="1">
      <c r="A1106" s="15" t="n">
        <v>2007</v>
      </c>
      <c r="B1106" s="43">
        <f>(C1106/1000)</f>
        <v/>
      </c>
      <c r="C1106" s="44" t="n">
        <v>-300617.2864973615</v>
      </c>
    </row>
    <row r="1107" ht="14" customHeight="1">
      <c r="A1107" s="21" t="n">
        <v>2008</v>
      </c>
      <c r="B1107" s="45">
        <f>(C1107/1000)</f>
        <v/>
      </c>
      <c r="C1107" s="46" t="n">
        <v>-344262.7716834369</v>
      </c>
    </row>
    <row r="1108" ht="14" customHeight="1">
      <c r="A1108" s="15" t="n">
        <v>2009</v>
      </c>
      <c r="B1108" s="43">
        <f>(C1108/1000)</f>
        <v/>
      </c>
      <c r="C1108" s="44" t="n">
        <v>-347022.328623644</v>
      </c>
    </row>
    <row r="1109" ht="14" customHeight="1">
      <c r="A1109" s="21" t="n">
        <v>2010</v>
      </c>
      <c r="B1109" s="45">
        <f>(C1109/1000)</f>
        <v/>
      </c>
      <c r="C1109" s="46" t="n">
        <v>-352590.1909498173</v>
      </c>
    </row>
    <row r="1110" ht="14" customHeight="1">
      <c r="A1110" s="15" t="n">
        <v>2011</v>
      </c>
      <c r="B1110" s="43">
        <f>(C1110/1000)</f>
        <v/>
      </c>
      <c r="C1110" s="44" t="n">
        <v>-347273.8004383777</v>
      </c>
    </row>
    <row r="1111" ht="14" customHeight="1">
      <c r="A1111" s="21" t="n">
        <v>2012</v>
      </c>
      <c r="B1111" s="45">
        <f>(C1111/1000)</f>
        <v/>
      </c>
      <c r="C1111" s="46" t="n">
        <v>-342633.5989882683</v>
      </c>
    </row>
    <row r="1112" ht="14" customHeight="1">
      <c r="A1112" s="15" t="n">
        <v>2013</v>
      </c>
      <c r="B1112" s="43">
        <f>(C1112/1000)</f>
        <v/>
      </c>
      <c r="C1112" s="44" t="n">
        <v>-342604.9051712324</v>
      </c>
    </row>
    <row r="1113" ht="14" customHeight="1">
      <c r="A1113" s="21" t="n">
        <v>2014</v>
      </c>
      <c r="B1113" s="45">
        <f>(C1113/1000)</f>
        <v/>
      </c>
      <c r="C1113" s="46" t="n">
        <v>-327802.7208805995</v>
      </c>
    </row>
    <row r="1114" ht="14" customHeight="1">
      <c r="A1114" s="15" t="n">
        <v>2015</v>
      </c>
      <c r="B1114" s="43">
        <f>(C1114/1000)</f>
        <v/>
      </c>
      <c r="C1114" s="44" t="n">
        <v>-322423.8390120481</v>
      </c>
    </row>
    <row r="1115" ht="14" customHeight="1">
      <c r="A1115" s="21" t="n">
        <v>2016</v>
      </c>
      <c r="B1115" s="45">
        <f>(C1115/1000)</f>
        <v/>
      </c>
      <c r="C1115" s="46" t="n">
        <v>-318486.5248315362</v>
      </c>
    </row>
    <row r="1116" ht="14" customHeight="1">
      <c r="A1116" s="15" t="n">
        <v>2017</v>
      </c>
      <c r="B1116" s="43">
        <f>(C1116/1000)</f>
        <v/>
      </c>
      <c r="C1116" s="44" t="n">
        <v>-249795.8911803428</v>
      </c>
    </row>
    <row r="1117" ht="14" customHeight="1">
      <c r="A1117" s="21" t="n">
        <v>2018</v>
      </c>
      <c r="B1117" s="45">
        <f>(C1117/1000)</f>
        <v/>
      </c>
      <c r="C1117" s="46" t="n">
        <v>-257789.0407210758</v>
      </c>
    </row>
    <row r="1118" ht="14" customHeight="1">
      <c r="A1118" s="15" t="n">
        <v>2019</v>
      </c>
      <c r="B1118" s="43">
        <f>(C1118/1000)</f>
        <v/>
      </c>
      <c r="C1118" s="44" t="n">
        <v>-247317.6236412184</v>
      </c>
    </row>
    <row r="1119" ht="14" customHeight="1">
      <c r="A1119" s="21" t="n">
        <v>2020</v>
      </c>
      <c r="B1119" s="45">
        <f>(C1119/1000)</f>
        <v/>
      </c>
      <c r="C1119" s="46" t="n">
        <v>-241038.0579270464</v>
      </c>
    </row>
    <row r="1120" ht="14" customHeight="1">
      <c r="A1120" s="15" t="n">
        <v>2021</v>
      </c>
      <c r="B1120" s="43">
        <f>(C1120/1000)</f>
        <v/>
      </c>
      <c r="C1120" s="44" t="n">
        <v>-229984.6664172722</v>
      </c>
    </row>
    <row r="1121" ht="14" customHeight="1">
      <c r="A1121" s="21" t="n">
        <v>2022</v>
      </c>
      <c r="B1121" s="45">
        <f>(C1121/1000)</f>
        <v/>
      </c>
      <c r="C1121" s="46" t="n">
        <v>-243767.28937</v>
      </c>
    </row>
    <row r="1122" ht="14" customHeight="1">
      <c r="A1122" s="15" t="n">
        <v>2023</v>
      </c>
      <c r="B1122" s="43">
        <f>(C1122/1000)</f>
        <v/>
      </c>
      <c r="C1122" s="44" t="n">
        <v>-215514.95</v>
      </c>
    </row>
    <row r="1123" ht="14" customHeight="1">
      <c r="A1123" s="21" t="n">
        <v>2024</v>
      </c>
      <c r="B1123" s="45">
        <f>(C1123/1000)</f>
        <v/>
      </c>
      <c r="C1123" s="46" t="n">
        <v>-230985.16</v>
      </c>
    </row>
    <row r="1126">
      <c r="A1126" s="54" t="inlineStr">
        <is>
          <t>L6 · Forest land living-biomass carbon sink  (Mt CO₂eq)</t>
        </is>
      </c>
    </row>
    <row r="1127" ht="26" customHeight="1">
      <c r="A1127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128" ht="24" customHeight="1">
      <c r="A1128" s="3" t="inlineStr">
        <is>
          <t>Derivation:  Value = IF(A &gt;= 2022, ROUND([Report baseline 2021 (Mt CO₂eq)] * [env_air_gge CRF4A] / [Live source at 2021 (same basis as the columns left)], 1), ([Carbon stock gain in living biomass]+[Carbon stock loss in living biomass]) * 0.003664)</t>
        </is>
      </c>
    </row>
    <row r="1129" ht="42" customHeight="1">
      <c r="A1129" s="42" t="inlineStr">
        <is>
          <t>Year</t>
        </is>
      </c>
      <c r="B1129" s="42" t="inlineStr">
        <is>
          <t>Value</t>
        </is>
      </c>
      <c r="C1129" s="42" t="inlineStr">
        <is>
          <t>Carbon stock gain in living biomass</t>
        </is>
      </c>
      <c r="D1129" s="42" t="inlineStr">
        <is>
          <t>Carbon stock loss in living biomass</t>
        </is>
      </c>
      <c r="E1129" s="42" t="inlineStr">
        <is>
          <t>env_air_gge CRF4A</t>
        </is>
      </c>
      <c r="F1129" s="42" t="inlineStr">
        <is>
          <t>Report baseline 2021 (Mt CO₂eq)</t>
        </is>
      </c>
      <c r="G1129" s="42" t="inlineStr">
        <is>
          <t>Live source at 2021 (same basis as the columns left)</t>
        </is>
      </c>
    </row>
    <row r="1130" ht="14" customHeight="1">
      <c r="A1130" s="15" t="n">
        <v>2005</v>
      </c>
      <c r="B1130" s="43">
        <f>IF((A1130&gt;=2022),ROUND(((F1130*E1130)/G1130),1),((C1130+D1130)*0.003664))</f>
        <v/>
      </c>
      <c r="C1130" s="44" t="n">
        <v>207379.8132773199</v>
      </c>
      <c r="D1130" s="44" t="n">
        <v>-108647.4672517596</v>
      </c>
      <c r="E1130" s="44" t="n"/>
      <c r="F1130" s="44" t="n"/>
      <c r="G1130" s="44" t="n"/>
    </row>
    <row r="1131" ht="14" customHeight="1">
      <c r="A1131" s="21" t="n">
        <v>2006</v>
      </c>
      <c r="B1131" s="45">
        <f>IF((A1131&gt;=2022),ROUND(((F1131*E1131)/G1131),1),((C1131+D1131)*0.003664))</f>
        <v/>
      </c>
      <c r="C1131" s="46" t="n">
        <v>206916.6342726697</v>
      </c>
      <c r="D1131" s="46" t="n">
        <v>-109615.2832467052</v>
      </c>
      <c r="E1131" s="46" t="n"/>
      <c r="F1131" s="46" t="n"/>
      <c r="G1131" s="46" t="n"/>
    </row>
    <row r="1132" ht="14" customHeight="1">
      <c r="A1132" s="15" t="n">
        <v>2007</v>
      </c>
      <c r="B1132" s="43">
        <f>IF((A1132&gt;=2022),ROUND(((F1132*E1132)/G1132),1),((C1132+D1132)*0.003664))</f>
        <v/>
      </c>
      <c r="C1132" s="44" t="n">
        <v>206146.0255351207</v>
      </c>
      <c r="D1132" s="44" t="n">
        <v>-118877.2328007463</v>
      </c>
      <c r="E1132" s="44" t="n"/>
      <c r="F1132" s="44" t="n"/>
      <c r="G1132" s="44" t="n"/>
    </row>
    <row r="1133" ht="14" customHeight="1">
      <c r="A1133" s="21" t="n">
        <v>2008</v>
      </c>
      <c r="B1133" s="45">
        <f>IF((A1133&gt;=2022),ROUND(((F1133*E1133)/G1133),1),((C1133+D1133)*0.003664))</f>
        <v/>
      </c>
      <c r="C1133" s="46" t="n">
        <v>218343.4324759636</v>
      </c>
      <c r="D1133" s="46" t="n">
        <v>-111331.8908057094</v>
      </c>
      <c r="E1133" s="46" t="n"/>
      <c r="F1133" s="46" t="n"/>
      <c r="G1133" s="46" t="n"/>
    </row>
    <row r="1134" ht="14" customHeight="1">
      <c r="A1134" s="15" t="n">
        <v>2009</v>
      </c>
      <c r="B1134" s="43">
        <f>IF((A1134&gt;=2022),ROUND(((F1134*E1134)/G1134),1),((C1134+D1134)*0.003664))</f>
        <v/>
      </c>
      <c r="C1134" s="44" t="n">
        <v>220287.8026072701</v>
      </c>
      <c r="D1134" s="44" t="n">
        <v>-111815.4305960167</v>
      </c>
      <c r="E1134" s="44" t="n"/>
      <c r="F1134" s="44" t="n"/>
      <c r="G1134" s="44" t="n"/>
    </row>
    <row r="1135" ht="14" customHeight="1">
      <c r="A1135" s="21" t="n">
        <v>2010</v>
      </c>
      <c r="B1135" s="45">
        <f>IF((A1135&gt;=2022),ROUND(((F1135*E1135)/G1135),1),((C1135+D1135)*0.003664))</f>
        <v/>
      </c>
      <c r="C1135" s="46" t="n">
        <v>219703.9830732426</v>
      </c>
      <c r="D1135" s="46" t="n">
        <v>-113516.9416650466</v>
      </c>
      <c r="E1135" s="46" t="n"/>
      <c r="F1135" s="46" t="n"/>
      <c r="G1135" s="46" t="n"/>
    </row>
    <row r="1136" ht="14" customHeight="1">
      <c r="A1136" s="15" t="n">
        <v>2011</v>
      </c>
      <c r="B1136" s="43">
        <f>IF((A1136&gt;=2022),ROUND(((F1136*E1136)/G1136),1),((C1136+D1136)*0.003664))</f>
        <v/>
      </c>
      <c r="C1136" s="44" t="n">
        <v>219467.8846049077</v>
      </c>
      <c r="D1136" s="44" t="n">
        <v>-115631.1785442941</v>
      </c>
      <c r="E1136" s="44" t="n"/>
      <c r="F1136" s="44" t="n"/>
      <c r="G1136" s="44" t="n"/>
    </row>
    <row r="1137" ht="14" customHeight="1">
      <c r="A1137" s="21" t="n">
        <v>2012</v>
      </c>
      <c r="B1137" s="45">
        <f>IF((A1137&gt;=2022),ROUND(((F1137*E1137)/G1137),1),((C1137+D1137)*0.003664))</f>
        <v/>
      </c>
      <c r="C1137" s="46" t="n">
        <v>219573.0602329362</v>
      </c>
      <c r="D1137" s="46" t="n">
        <v>-115119.9142167146</v>
      </c>
      <c r="E1137" s="46" t="n"/>
      <c r="F1137" s="46" t="n"/>
      <c r="G1137" s="46" t="n"/>
    </row>
    <row r="1138" ht="14" customHeight="1">
      <c r="A1138" s="15" t="n">
        <v>2013</v>
      </c>
      <c r="B1138" s="43">
        <f>IF((A1138&gt;=2022),ROUND(((F1138*E1138)/G1138),1),((C1138+D1138)*0.003664))</f>
        <v/>
      </c>
      <c r="C1138" s="44" t="n">
        <v>219562.6129285752</v>
      </c>
      <c r="D1138" s="44" t="n">
        <v>-112829.1262625964</v>
      </c>
      <c r="E1138" s="44" t="n"/>
      <c r="F1138" s="44" t="n"/>
      <c r="G1138" s="44" t="n"/>
    </row>
    <row r="1139" ht="14" customHeight="1">
      <c r="A1139" s="21" t="n">
        <v>2014</v>
      </c>
      <c r="B1139" s="45">
        <f>IF((A1139&gt;=2022),ROUND(((F1139*E1139)/G1139),1),((C1139+D1139)*0.003664))</f>
        <v/>
      </c>
      <c r="C1139" s="46" t="n">
        <v>216997.7891821671</v>
      </c>
      <c r="D1139" s="46" t="n">
        <v>-118203.6520073728</v>
      </c>
      <c r="E1139" s="46" t="n"/>
      <c r="F1139" s="46" t="n"/>
      <c r="G1139" s="46" t="n"/>
    </row>
    <row r="1140" ht="14" customHeight="1">
      <c r="A1140" s="15" t="n">
        <v>2015</v>
      </c>
      <c r="B1140" s="43">
        <f>IF((A1140&gt;=2022),ROUND(((F1140*E1140)/G1140),1),((C1140+D1140)*0.003664))</f>
        <v/>
      </c>
      <c r="C1140" s="44" t="n">
        <v>213886.8459289117</v>
      </c>
      <c r="D1140" s="44" t="n">
        <v>-120294.1172633766</v>
      </c>
      <c r="E1140" s="44" t="n"/>
      <c r="F1140" s="44" t="n"/>
      <c r="G1140" s="44" t="n"/>
    </row>
    <row r="1141" ht="14" customHeight="1">
      <c r="A1141" s="21" t="n">
        <v>2016</v>
      </c>
      <c r="B1141" s="45">
        <f>IF((A1141&gt;=2022),ROUND(((F1141*E1141)/G1141),1),((C1141+D1141)*0.003664))</f>
        <v/>
      </c>
      <c r="C1141" s="46" t="n">
        <v>216230.8909257157</v>
      </c>
      <c r="D1141" s="46" t="n">
        <v>-124158.3386760134</v>
      </c>
      <c r="E1141" s="46" t="n"/>
      <c r="F1141" s="46" t="n"/>
      <c r="G1141" s="46" t="n"/>
    </row>
    <row r="1142" ht="14" customHeight="1">
      <c r="A1142" s="15" t="n">
        <v>2017</v>
      </c>
      <c r="B1142" s="43">
        <f>IF((A1142&gt;=2022),ROUND(((F1142*E1142)/G1142),1),((C1142+D1142)*0.003664))</f>
        <v/>
      </c>
      <c r="C1142" s="44" t="n">
        <v>212622.7923346734</v>
      </c>
      <c r="D1142" s="44" t="n">
        <v>-134132.3124979317</v>
      </c>
      <c r="E1142" s="44" t="n"/>
      <c r="F1142" s="44" t="n"/>
      <c r="G1142" s="44" t="n"/>
    </row>
    <row r="1143" ht="14" customHeight="1">
      <c r="A1143" s="21" t="n">
        <v>2018</v>
      </c>
      <c r="B1143" s="45">
        <f>IF((A1143&gt;=2022),ROUND(((F1143*E1143)/G1143),1),((C1143+D1143)*0.003664))</f>
        <v/>
      </c>
      <c r="C1143" s="46" t="n">
        <v>210749.7858134234</v>
      </c>
      <c r="D1143" s="46" t="n">
        <v>-137835.9901411061</v>
      </c>
      <c r="E1143" s="46" t="n"/>
      <c r="F1143" s="46" t="n"/>
      <c r="G1143" s="46" t="n"/>
    </row>
    <row r="1144" ht="14" customHeight="1">
      <c r="A1144" s="15" t="n">
        <v>2019</v>
      </c>
      <c r="B1144" s="43">
        <f>IF((A1144&gt;=2022),ROUND(((F1144*E1144)/G1144),1),((C1144+D1144)*0.003664))</f>
        <v/>
      </c>
      <c r="C1144" s="44" t="n">
        <v>205781.4262134005</v>
      </c>
      <c r="D1144" s="44" t="n">
        <v>-138888.3265831124</v>
      </c>
      <c r="E1144" s="44" t="n"/>
      <c r="F1144" s="44" t="n"/>
      <c r="G1144" s="44" t="n"/>
    </row>
    <row r="1145" ht="14" customHeight="1">
      <c r="A1145" s="21" t="n">
        <v>2020</v>
      </c>
      <c r="B1145" s="45">
        <f>IF((A1145&gt;=2022),ROUND(((F1145*E1145)/G1145),1),((C1145+D1145)*0.003664))</f>
        <v/>
      </c>
      <c r="C1145" s="46" t="n">
        <v>205587.3657522208</v>
      </c>
      <c r="D1145" s="46" t="n">
        <v>-138253.0479172974</v>
      </c>
      <c r="E1145" s="46" t="n"/>
      <c r="F1145" s="46" t="n"/>
      <c r="G1145" s="46" t="n"/>
    </row>
    <row r="1146" ht="14" customHeight="1">
      <c r="A1146" s="15" t="n">
        <v>2021</v>
      </c>
      <c r="B1146" s="43">
        <f>IF((A1146&gt;=2022),ROUND(((F1146*E1146)/G1146),1),((C1146+D1146)*0.003664))</f>
        <v/>
      </c>
      <c r="C1146" s="44" t="n">
        <v>204988.0727520452</v>
      </c>
      <c r="D1146" s="44" t="n">
        <v>-141734.8538595825</v>
      </c>
      <c r="E1146" s="44" t="n"/>
      <c r="F1146" s="44" t="n"/>
      <c r="G1146" s="44" t="n"/>
    </row>
    <row r="1147" ht="14" customHeight="1">
      <c r="A1147" s="21" t="n">
        <v>2022</v>
      </c>
      <c r="B1147" s="45">
        <f>IF((A1147&gt;=2022),ROUND(((F1147*E1147)/G1147),1),((C1147+D1147)*0.003664))</f>
        <v/>
      </c>
      <c r="C1147" s="46" t="n"/>
      <c r="D1147" s="46" t="n"/>
      <c r="E1147" s="46" t="n">
        <v>-302.45655</v>
      </c>
      <c r="F1147" s="46" t="n">
        <v>231.8</v>
      </c>
      <c r="G1147" s="46" t="n">
        <v>-296.16285</v>
      </c>
    </row>
    <row r="1148" ht="14" customHeight="1">
      <c r="A1148" s="15" t="n">
        <v>2023</v>
      </c>
      <c r="B1148" s="43">
        <f>IF((A1148&gt;=2022),ROUND(((F1148*E1148)/G1148),1),((C1148+D1148)*0.003664))</f>
        <v/>
      </c>
      <c r="C1148" s="44" t="n"/>
      <c r="D1148" s="44" t="n"/>
      <c r="E1148" s="44" t="n">
        <v>-326.66099</v>
      </c>
      <c r="F1148" s="44" t="n">
        <v>231.8</v>
      </c>
      <c r="G1148" s="44" t="n">
        <v>-296.16285</v>
      </c>
    </row>
    <row r="1149" ht="14" customHeight="1">
      <c r="A1149" s="21" t="n">
        <v>2024</v>
      </c>
      <c r="B1149" s="45">
        <f>IF((A1149&gt;=2022),ROUND(((F1149*E1149)/G1149),1),((C1149+D1149)*0.003664))</f>
        <v/>
      </c>
      <c r="C1149" s="46" t="n"/>
      <c r="D1149" s="46" t="n"/>
      <c r="E1149" s="46" t="n">
        <v>-329.98746</v>
      </c>
      <c r="F1149" s="46" t="n">
        <v>231.8</v>
      </c>
      <c r="G1149" s="46" t="n">
        <v>-296.16285</v>
      </c>
    </row>
    <row r="1152">
      <c r="A1152" s="54" t="inlineStr">
        <is>
          <t>L7 · Non-forest LULUCF net GHG emissions  (Mt CO₂eq)</t>
        </is>
      </c>
    </row>
    <row r="1153" ht="26" customHeight="1">
      <c r="A1153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154" ht="24" customHeight="1">
      <c r="A1154" s="3" t="inlineStr">
        <is>
          <t>Derivation:  Value = IF(A &gt;= 2022, ROUND(([env_air_gge CRF4B] + [env_air_gge CRF4C] + [env_air_gge CRF4D] + [env_air_gge CRF4E] + [env_air_gge CRF4F]), 1), ([4.B - Cropland]+[4.C - Grassland]+[4.D - Wetlands]+[4.E - Settlements]+[4.F - Other Land]+[4.H - Other LULUCF]) * 0.001)</t>
        </is>
      </c>
    </row>
    <row r="1155" ht="42" customHeight="1">
      <c r="A1155" s="42" t="inlineStr">
        <is>
          <t>Year</t>
        </is>
      </c>
      <c r="B1155" s="42" t="inlineStr">
        <is>
          <t>Value</t>
        </is>
      </c>
      <c r="C1155" s="42" t="inlineStr">
        <is>
          <t>4.B - Cropland</t>
        </is>
      </c>
      <c r="D1155" s="42" t="inlineStr">
        <is>
          <t>4.C - Grassland</t>
        </is>
      </c>
      <c r="E1155" s="42" t="inlineStr">
        <is>
          <t>4.D - Wetlands</t>
        </is>
      </c>
      <c r="F1155" s="42" t="inlineStr">
        <is>
          <t>4.E - Settlements</t>
        </is>
      </c>
      <c r="G1155" s="42" t="inlineStr">
        <is>
          <t>4.F - Other Land</t>
        </is>
      </c>
      <c r="H1155" s="42" t="inlineStr">
        <is>
          <t>4.H - Other LULUCF</t>
        </is>
      </c>
      <c r="I1155" s="42" t="inlineStr">
        <is>
          <t>env_air_gge CRF4B</t>
        </is>
      </c>
      <c r="J1155" s="42" t="inlineStr">
        <is>
          <t>env_air_gge CRF4C</t>
        </is>
      </c>
      <c r="K1155" s="42" t="inlineStr">
        <is>
          <t>env_air_gge CRF4D</t>
        </is>
      </c>
      <c r="L1155" s="42" t="inlineStr">
        <is>
          <t>env_air_gge CRF4E</t>
        </is>
      </c>
      <c r="M1155" s="42" t="inlineStr">
        <is>
          <t>env_air_gge CRF4F</t>
        </is>
      </c>
    </row>
    <row r="1156" ht="14" customHeight="1">
      <c r="A1156" s="15" t="n">
        <v>2005</v>
      </c>
      <c r="B1156" s="43">
        <f>IF((A1156&gt;=2022),ROUND(((((I1156+J1156)+K1156)+L1156)+M1156),1),((((((C1156+D1156)+E1156)+F1156)+G1156)+H1156)*0.001))</f>
        <v/>
      </c>
      <c r="C1156" s="44" t="n">
        <v>41885.53425752837</v>
      </c>
      <c r="D1156" s="44" t="n">
        <v>32510.71108131449</v>
      </c>
      <c r="E1156" s="44" t="n">
        <v>20342.63347867101</v>
      </c>
      <c r="F1156" s="44" t="n">
        <v>31372.47531632753</v>
      </c>
      <c r="G1156" s="44" t="n">
        <v>996.0482301247856</v>
      </c>
      <c r="H1156" s="44" t="n">
        <v>741.448671589</v>
      </c>
      <c r="I1156" s="44" t="n"/>
      <c r="J1156" s="44" t="n"/>
      <c r="K1156" s="44" t="n"/>
      <c r="L1156" s="44" t="n"/>
      <c r="M1156" s="44" t="n"/>
    </row>
    <row r="1157" ht="14" customHeight="1">
      <c r="A1157" s="21" t="n">
        <v>2006</v>
      </c>
      <c r="B1157" s="45">
        <f>IF((A1157&gt;=2022),ROUND(((((I1157+J1157)+K1157)+L1157)+M1157),1),((((((C1157+D1157)+E1157)+F1157)+G1157)+H1157)*0.001))</f>
        <v/>
      </c>
      <c r="C1157" s="46" t="n">
        <v>42292.71847651808</v>
      </c>
      <c r="D1157" s="46" t="n">
        <v>27337.3261531531</v>
      </c>
      <c r="E1157" s="46" t="n">
        <v>19996.68425504841</v>
      </c>
      <c r="F1157" s="46" t="n">
        <v>29132.04507132273</v>
      </c>
      <c r="G1157" s="46" t="n">
        <v>2406.758732125177</v>
      </c>
      <c r="H1157" s="46" t="n">
        <v>673.5702670200001</v>
      </c>
      <c r="I1157" s="46" t="n"/>
      <c r="J1157" s="46" t="n"/>
      <c r="K1157" s="46" t="n"/>
      <c r="L1157" s="46" t="n"/>
      <c r="M1157" s="46" t="n"/>
    </row>
    <row r="1158" ht="14" customHeight="1">
      <c r="A1158" s="15" t="n">
        <v>2007</v>
      </c>
      <c r="B1158" s="43">
        <f>IF((A1158&gt;=2022),ROUND(((((I1158+J1158)+K1158)+L1158)+M1158),1),((((((C1158+D1158)+E1158)+F1158)+G1158)+H1158)*0.001))</f>
        <v/>
      </c>
      <c r="C1158" s="44" t="n">
        <v>46325.95223374323</v>
      </c>
      <c r="D1158" s="44" t="n">
        <v>33798.48280035835</v>
      </c>
      <c r="E1158" s="44" t="n">
        <v>18814.03561608521</v>
      </c>
      <c r="F1158" s="44" t="n">
        <v>31382.47763486252</v>
      </c>
      <c r="G1158" s="44" t="n">
        <v>991.204401472444</v>
      </c>
      <c r="H1158" s="44" t="n">
        <v>618.7291145610001</v>
      </c>
      <c r="I1158" s="44" t="n"/>
      <c r="J1158" s="44" t="n"/>
      <c r="K1158" s="44" t="n"/>
      <c r="L1158" s="44" t="n"/>
      <c r="M1158" s="44" t="n"/>
    </row>
    <row r="1159" ht="14" customHeight="1">
      <c r="A1159" s="21" t="n">
        <v>2008</v>
      </c>
      <c r="B1159" s="45">
        <f>IF((A1159&gt;=2022),ROUND(((((I1159+J1159)+K1159)+L1159)+M1159),1),((((((C1159+D1159)+E1159)+F1159)+G1159)+H1159)*0.001))</f>
        <v/>
      </c>
      <c r="C1159" s="46" t="n">
        <v>47762.40103886886</v>
      </c>
      <c r="D1159" s="46" t="n">
        <v>31158.82576921384</v>
      </c>
      <c r="E1159" s="46" t="n">
        <v>19020.27565720151</v>
      </c>
      <c r="F1159" s="46" t="n">
        <v>31168.62671812822</v>
      </c>
      <c r="G1159" s="46" t="n">
        <v>1041.668919946932</v>
      </c>
      <c r="H1159" s="46" t="n">
        <v>574.0462698709999</v>
      </c>
      <c r="I1159" s="46" t="n"/>
      <c r="J1159" s="46" t="n"/>
      <c r="K1159" s="46" t="n"/>
      <c r="L1159" s="46" t="n"/>
      <c r="M1159" s="46" t="n"/>
    </row>
    <row r="1160" ht="14" customHeight="1">
      <c r="A1160" s="15" t="n">
        <v>2009</v>
      </c>
      <c r="B1160" s="43">
        <f>IF((A1160&gt;=2022),ROUND(((((I1160+J1160)+K1160)+L1160)+M1160),1),((((((C1160+D1160)+E1160)+F1160)+G1160)+H1160)*0.001))</f>
        <v/>
      </c>
      <c r="C1160" s="44" t="n">
        <v>46350.09970271496</v>
      </c>
      <c r="D1160" s="44" t="n">
        <v>32804.09480950376</v>
      </c>
      <c r="E1160" s="44" t="n">
        <v>18775.73437068779</v>
      </c>
      <c r="F1160" s="44" t="n">
        <v>31187.65999044619</v>
      </c>
      <c r="G1160" s="44" t="n">
        <v>1282.988906952395</v>
      </c>
      <c r="H1160" s="44" t="n">
        <v>537.2664758450001</v>
      </c>
      <c r="I1160" s="44" t="n"/>
      <c r="J1160" s="44" t="n"/>
      <c r="K1160" s="44" t="n"/>
      <c r="L1160" s="44" t="n"/>
      <c r="M1160" s="44" t="n"/>
    </row>
    <row r="1161" ht="14" customHeight="1">
      <c r="A1161" s="21" t="n">
        <v>2010</v>
      </c>
      <c r="B1161" s="45">
        <f>IF((A1161&gt;=2022),ROUND(((((I1161+J1161)+K1161)+L1161)+M1161),1),((((((C1161+D1161)+E1161)+F1161)+G1161)+H1161)*0.001))</f>
        <v/>
      </c>
      <c r="C1161" s="46" t="n">
        <v>36721.83150255705</v>
      </c>
      <c r="D1161" s="46" t="n">
        <v>31258.86063810398</v>
      </c>
      <c r="E1161" s="46" t="n">
        <v>20203.80607813424</v>
      </c>
      <c r="F1161" s="46" t="n">
        <v>27887.39176383215</v>
      </c>
      <c r="G1161" s="46" t="n">
        <v>1195.450924808085</v>
      </c>
      <c r="H1161" s="46" t="n">
        <v>506.7938481376</v>
      </c>
      <c r="I1161" s="46" t="n"/>
      <c r="J1161" s="46" t="n"/>
      <c r="K1161" s="46" t="n"/>
      <c r="L1161" s="46" t="n"/>
      <c r="M1161" s="46" t="n"/>
    </row>
    <row r="1162" ht="14" customHeight="1">
      <c r="A1162" s="15" t="n">
        <v>2011</v>
      </c>
      <c r="B1162" s="43">
        <f>IF((A1162&gt;=2022),ROUND(((((I1162+J1162)+K1162)+L1162)+M1162),1),((((((C1162+D1162)+E1162)+F1162)+G1162)+H1162)*0.001))</f>
        <v/>
      </c>
      <c r="C1162" s="44" t="n">
        <v>36216.02107721435</v>
      </c>
      <c r="D1162" s="44" t="n">
        <v>32793.28038378709</v>
      </c>
      <c r="E1162" s="44" t="n">
        <v>19884.20119229088</v>
      </c>
      <c r="F1162" s="44" t="n">
        <v>25402.42417670629</v>
      </c>
      <c r="G1162" s="44" t="n">
        <v>1104.582020437688</v>
      </c>
      <c r="H1162" s="44" t="n">
        <v>483.69278719</v>
      </c>
      <c r="I1162" s="44" t="n"/>
      <c r="J1162" s="44" t="n"/>
      <c r="K1162" s="44" t="n"/>
      <c r="L1162" s="44" t="n"/>
      <c r="M1162" s="44" t="n"/>
    </row>
    <row r="1163" ht="14" customHeight="1">
      <c r="A1163" s="21" t="n">
        <v>2012</v>
      </c>
      <c r="B1163" s="45">
        <f>IF((A1163&gt;=2022),ROUND(((((I1163+J1163)+K1163)+L1163)+M1163),1),((((((C1163+D1163)+E1163)+F1163)+G1163)+H1163)*0.001))</f>
        <v/>
      </c>
      <c r="C1163" s="46" t="n">
        <v>36317.39548750013</v>
      </c>
      <c r="D1163" s="46" t="n">
        <v>33714.56839464341</v>
      </c>
      <c r="E1163" s="46" t="n">
        <v>18656.85199674396</v>
      </c>
      <c r="F1163" s="46" t="n">
        <v>24349.69852581686</v>
      </c>
      <c r="G1163" s="46" t="n">
        <v>1129.46977280674</v>
      </c>
      <c r="H1163" s="46" t="n">
        <v>464.686148165</v>
      </c>
      <c r="I1163" s="46" t="n"/>
      <c r="J1163" s="46" t="n"/>
      <c r="K1163" s="46" t="n"/>
      <c r="L1163" s="46" t="n"/>
      <c r="M1163" s="46" t="n"/>
    </row>
    <row r="1164" ht="14" customHeight="1">
      <c r="A1164" s="15" t="n">
        <v>2013</v>
      </c>
      <c r="B1164" s="43">
        <f>IF((A1164&gt;=2022),ROUND(((((I1164+J1164)+K1164)+L1164)+M1164),1),((((((C1164+D1164)+E1164)+F1164)+G1164)+H1164)*0.001))</f>
        <v/>
      </c>
      <c r="C1164" s="44" t="n">
        <v>38971.12944807648</v>
      </c>
      <c r="D1164" s="44" t="n">
        <v>40699.15963587457</v>
      </c>
      <c r="E1164" s="44" t="n">
        <v>21154.75104807447</v>
      </c>
      <c r="F1164" s="44" t="n">
        <v>25666.8183585163</v>
      </c>
      <c r="G1164" s="44" t="n">
        <v>1084.039730474763</v>
      </c>
      <c r="H1164" s="44" t="n">
        <v>448.9723866126</v>
      </c>
      <c r="I1164" s="44" t="n"/>
      <c r="J1164" s="44" t="n"/>
      <c r="K1164" s="44" t="n"/>
      <c r="L1164" s="44" t="n"/>
      <c r="M1164" s="44" t="n"/>
    </row>
    <row r="1165" ht="14" customHeight="1">
      <c r="A1165" s="21" t="n">
        <v>2014</v>
      </c>
      <c r="B1165" s="45">
        <f>IF((A1165&gt;=2022),ROUND(((((I1165+J1165)+K1165)+L1165)+M1165),1),((((((C1165+D1165)+E1165)+F1165)+G1165)+H1165)*0.001))</f>
        <v/>
      </c>
      <c r="C1165" s="46" t="n">
        <v>36049.32332552515</v>
      </c>
      <c r="D1165" s="46" t="n">
        <v>23694.8825455224</v>
      </c>
      <c r="E1165" s="46" t="n">
        <v>20163.3243364918</v>
      </c>
      <c r="F1165" s="46" t="n">
        <v>26768.59169342736</v>
      </c>
      <c r="G1165" s="46" t="n">
        <v>1136.119442811357</v>
      </c>
      <c r="H1165" s="46" t="n">
        <v>435.927059493</v>
      </c>
      <c r="I1165" s="46" t="n"/>
      <c r="J1165" s="46" t="n"/>
      <c r="K1165" s="46" t="n"/>
      <c r="L1165" s="46" t="n"/>
      <c r="M1165" s="46" t="n"/>
    </row>
    <row r="1166" ht="14" customHeight="1">
      <c r="A1166" s="15" t="n">
        <v>2015</v>
      </c>
      <c r="B1166" s="43">
        <f>IF((A1166&gt;=2022),ROUND(((((I1166+J1166)+K1166)+L1166)+M1166),1),((((((C1166+D1166)+E1166)+F1166)+G1166)+H1166)*0.001))</f>
        <v/>
      </c>
      <c r="C1166" s="44" t="n">
        <v>30257.07408019602</v>
      </c>
      <c r="D1166" s="44" t="n">
        <v>21547.00293944589</v>
      </c>
      <c r="E1166" s="44" t="n">
        <v>22092.72679723136</v>
      </c>
      <c r="F1166" s="44" t="n">
        <v>27576.62073681327</v>
      </c>
      <c r="G1166" s="44" t="n">
        <v>1180.763064035405</v>
      </c>
      <c r="H1166" s="44" t="n">
        <v>425.1381658574</v>
      </c>
      <c r="I1166" s="44" t="n"/>
      <c r="J1166" s="44" t="n"/>
      <c r="K1166" s="44" t="n"/>
      <c r="L1166" s="44" t="n"/>
      <c r="M1166" s="44" t="n"/>
    </row>
    <row r="1167" ht="14" customHeight="1">
      <c r="A1167" s="21" t="n">
        <v>2016</v>
      </c>
      <c r="B1167" s="45">
        <f>IF((A1167&gt;=2022),ROUND(((((I1167+J1167)+K1167)+L1167)+M1167),1),((((((C1167+D1167)+E1167)+F1167)+G1167)+H1167)*0.001))</f>
        <v/>
      </c>
      <c r="C1167" s="46" t="n">
        <v>25855.2039899661</v>
      </c>
      <c r="D1167" s="46" t="n">
        <v>21169.80502123257</v>
      </c>
      <c r="E1167" s="46" t="n">
        <v>20224.48018239814</v>
      </c>
      <c r="F1167" s="46" t="n">
        <v>31537.09695079203</v>
      </c>
      <c r="G1167" s="46" t="n">
        <v>1154.72789249218</v>
      </c>
      <c r="H1167" s="46" t="n">
        <v>415.6123884053999</v>
      </c>
      <c r="I1167" s="46" t="n"/>
      <c r="J1167" s="46" t="n"/>
      <c r="K1167" s="46" t="n"/>
      <c r="L1167" s="46" t="n"/>
      <c r="M1167" s="46" t="n"/>
    </row>
    <row r="1168" ht="14" customHeight="1">
      <c r="A1168" s="15" t="n">
        <v>2017</v>
      </c>
      <c r="B1168" s="43">
        <f>IF((A1168&gt;=2022),ROUND(((((I1168+J1168)+K1168)+L1168)+M1168),1),((((((C1168+D1168)+E1168)+F1168)+G1168)+H1168)*0.001))</f>
        <v/>
      </c>
      <c r="C1168" s="44" t="n">
        <v>27354.58630304968</v>
      </c>
      <c r="D1168" s="44" t="n">
        <v>25072.84337739296</v>
      </c>
      <c r="E1168" s="44" t="n">
        <v>21688.3769685278</v>
      </c>
      <c r="F1168" s="44" t="n">
        <v>27604.46441605618</v>
      </c>
      <c r="G1168" s="44" t="n">
        <v>1165.208596127795</v>
      </c>
      <c r="H1168" s="44" t="n">
        <v>407.649855303</v>
      </c>
      <c r="I1168" s="44" t="n"/>
      <c r="J1168" s="44" t="n"/>
      <c r="K1168" s="44" t="n"/>
      <c r="L1168" s="44" t="n"/>
      <c r="M1168" s="44" t="n"/>
    </row>
    <row r="1169" ht="14" customHeight="1">
      <c r="A1169" s="21" t="n">
        <v>2018</v>
      </c>
      <c r="B1169" s="45">
        <f>IF((A1169&gt;=2022),ROUND(((((I1169+J1169)+K1169)+L1169)+M1169),1),((((((C1169+D1169)+E1169)+F1169)+G1169)+H1169)*0.001))</f>
        <v/>
      </c>
      <c r="C1169" s="46" t="n">
        <v>25495.21994768171</v>
      </c>
      <c r="D1169" s="46" t="n">
        <v>16449.56001501077</v>
      </c>
      <c r="E1169" s="46" t="n">
        <v>21436.10278885118</v>
      </c>
      <c r="F1169" s="46" t="n">
        <v>28513.4817810418</v>
      </c>
      <c r="G1169" s="46" t="n">
        <v>1706.347266419505</v>
      </c>
      <c r="H1169" s="46" t="n">
        <v>400.9797448954</v>
      </c>
      <c r="I1169" s="46" t="n"/>
      <c r="J1169" s="46" t="n"/>
      <c r="K1169" s="46" t="n"/>
      <c r="L1169" s="46" t="n"/>
      <c r="M1169" s="46" t="n"/>
    </row>
    <row r="1170" ht="14" customHeight="1">
      <c r="A1170" s="15" t="n">
        <v>2019</v>
      </c>
      <c r="B1170" s="43">
        <f>IF((A1170&gt;=2022),ROUND(((((I1170+J1170)+K1170)+L1170)+M1170),1),((((((C1170+D1170)+E1170)+F1170)+G1170)+H1170)*0.001))</f>
        <v/>
      </c>
      <c r="C1170" s="44" t="n">
        <v>21646.50313641412</v>
      </c>
      <c r="D1170" s="44" t="n">
        <v>18244.11219561336</v>
      </c>
      <c r="E1170" s="44" t="n">
        <v>20796.37730009013</v>
      </c>
      <c r="F1170" s="44" t="n">
        <v>27175.25161722646</v>
      </c>
      <c r="G1170" s="44" t="n">
        <v>1180.914747992109</v>
      </c>
      <c r="H1170" s="44" t="n">
        <v>395.448533892</v>
      </c>
      <c r="I1170" s="44" t="n"/>
      <c r="J1170" s="44" t="n"/>
      <c r="K1170" s="44" t="n"/>
      <c r="L1170" s="44" t="n"/>
      <c r="M1170" s="44" t="n"/>
    </row>
    <row r="1171" ht="14" customHeight="1">
      <c r="A1171" s="21" t="n">
        <v>2020</v>
      </c>
      <c r="B1171" s="45">
        <f>IF((A1171&gt;=2022),ROUND(((((I1171+J1171)+K1171)+L1171)+M1171),1),((((((C1171+D1171)+E1171)+F1171)+G1171)+H1171)*0.001))</f>
        <v/>
      </c>
      <c r="C1171" s="46" t="n">
        <v>22368.51151880113</v>
      </c>
      <c r="D1171" s="46" t="n">
        <v>18543.52960201591</v>
      </c>
      <c r="E1171" s="46" t="n">
        <v>21449.86892665799</v>
      </c>
      <c r="F1171" s="46" t="n">
        <v>27265.66564140092</v>
      </c>
      <c r="G1171" s="46" t="n">
        <v>1196.299958804059</v>
      </c>
      <c r="H1171" s="46" t="n">
        <v>390.8816272546</v>
      </c>
      <c r="I1171" s="46" t="n"/>
      <c r="J1171" s="46" t="n"/>
      <c r="K1171" s="46" t="n"/>
      <c r="L1171" s="46" t="n"/>
      <c r="M1171" s="46" t="n"/>
    </row>
    <row r="1172" ht="14" customHeight="1">
      <c r="A1172" s="15" t="n">
        <v>2021</v>
      </c>
      <c r="B1172" s="43">
        <f>IF((A1172&gt;=2022),ROUND(((((I1172+J1172)+K1172)+L1172)+M1172),1),((((((C1172+D1172)+E1172)+F1172)+G1172)+H1172)*0.001))</f>
        <v/>
      </c>
      <c r="C1172" s="44" t="n">
        <v>22646.39783576392</v>
      </c>
      <c r="D1172" s="44" t="n">
        <v>24955.05350112291</v>
      </c>
      <c r="E1172" s="44" t="n">
        <v>21269.811792639</v>
      </c>
      <c r="F1172" s="44" t="n">
        <v>26988.93925864455</v>
      </c>
      <c r="G1172" s="44" t="n">
        <v>1192.624582561036</v>
      </c>
      <c r="H1172" s="44" t="n">
        <v>387.93264465</v>
      </c>
      <c r="I1172" s="44" t="n"/>
      <c r="J1172" s="44" t="n"/>
      <c r="K1172" s="44" t="n"/>
      <c r="L1172" s="44" t="n"/>
      <c r="M1172" s="44" t="n"/>
    </row>
    <row r="1173" ht="14" customHeight="1">
      <c r="A1173" s="21" t="n">
        <v>2022</v>
      </c>
      <c r="B1173" s="45">
        <f>IF((A1173&gt;=2022),ROUND(((((I1173+J1173)+K1173)+L1173)+M1173),1),((((((C1173+D1173)+E1173)+F1173)+G1173)+H1173)*0.001))</f>
        <v/>
      </c>
      <c r="C1173" s="46" t="n"/>
      <c r="D1173" s="46" t="n"/>
      <c r="E1173" s="46" t="n"/>
      <c r="F1173" s="46" t="n"/>
      <c r="G1173" s="46" t="n"/>
      <c r="H1173" s="46" t="n"/>
      <c r="I1173" s="46" t="n">
        <v>48.81144</v>
      </c>
      <c r="J1173" s="46" t="n">
        <v>13.87313</v>
      </c>
      <c r="K1173" s="46" t="n">
        <v>24.99028</v>
      </c>
      <c r="L1173" s="46" t="n">
        <v>31.19317</v>
      </c>
      <c r="M1173" s="46" t="n">
        <v>2.15242</v>
      </c>
    </row>
    <row r="1174" ht="14" customHeight="1">
      <c r="A1174" s="15" t="n">
        <v>2023</v>
      </c>
      <c r="B1174" s="43">
        <f>IF((A1174&gt;=2022),ROUND(((((I1174+J1174)+K1174)+L1174)+M1174),1),((((((C1174+D1174)+E1174)+F1174)+G1174)+H1174)*0.001))</f>
        <v/>
      </c>
      <c r="C1174" s="44" t="n"/>
      <c r="D1174" s="44" t="n"/>
      <c r="E1174" s="44" t="n"/>
      <c r="F1174" s="44" t="n"/>
      <c r="G1174" s="44" t="n"/>
      <c r="H1174" s="44" t="n"/>
      <c r="I1174" s="44" t="n">
        <v>64.02566</v>
      </c>
      <c r="J1174" s="44" t="n">
        <v>6.01163</v>
      </c>
      <c r="K1174" s="44" t="n">
        <v>23.35143</v>
      </c>
      <c r="L1174" s="44" t="n">
        <v>40.4274</v>
      </c>
      <c r="M1174" s="44" t="n">
        <v>1.83318</v>
      </c>
    </row>
    <row r="1175" ht="14" customHeight="1">
      <c r="A1175" s="21" t="n">
        <v>2024</v>
      </c>
      <c r="B1175" s="45">
        <f>IF((A1175&gt;=2022),ROUND(((((I1175+J1175)+K1175)+L1175)+M1175),1),((((((C1175+D1175)+E1175)+F1175)+G1175)+H1175)*0.001))</f>
        <v/>
      </c>
      <c r="C1175" s="46" t="n"/>
      <c r="D1175" s="46" t="n"/>
      <c r="E1175" s="46" t="n"/>
      <c r="F1175" s="46" t="n"/>
      <c r="G1175" s="46" t="n"/>
      <c r="H1175" s="46" t="n"/>
      <c r="I1175" s="46" t="n">
        <v>48.87363</v>
      </c>
      <c r="J1175" s="46" t="n">
        <v>9.16827</v>
      </c>
      <c r="K1175" s="46" t="n">
        <v>23.08914</v>
      </c>
      <c r="L1175" s="46" t="n">
        <v>39.8874</v>
      </c>
      <c r="M1175" s="46" t="n">
        <v>1.9467</v>
      </c>
    </row>
    <row r="1178">
      <c r="A1178" s="54" t="inlineStr">
        <is>
          <t>L8 · Total bioenergy use (EU-27)  (TWh)</t>
        </is>
      </c>
    </row>
    <row r="1179" ht="26" customHeight="1">
      <c r="A1179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180" ht="24" customHeight="1">
      <c r="A1180" s="3" t="inlineStr">
        <is>
          <t>Derivation:  Value = IF(A &gt;= 2022, ROUND([nrg_bal_c BIOE] * [Unit conversion (× 0.001)], 1), ([Power and heat: Primary solid biofuels]+[Power and heat: Charcoal]+[Power and heat: Pure biogasoline]+[Power and heat: Blended biogasoline]+[Power and heat: Pure biodiesels]+[Power and heat: Blended biodiesels]+[Power and heat: Pure bio jet kerosene]+[Power and heat: Blended bio jet kerosene]+[Power and heat: Other liquid biofuels]+[Power and heat: Biogases]+[Industry: Primary solid biofuels]+[Industry: Charcoal]+[Industry: Pure biogasoline]+[Industry: Blended biogasoline]+[Industry: Pure biodiesels]+[Industry: Blended biodiesels]+[Industry: Pure bio jet kerosene]+[Industry: Blended bio jet kerosene]+[Industry: Other liquid biofuels]+[Industry: Biogases]+[Transport: Primary solid biofuels]+[Transport: Charcoal]+[Transport: Pure biogasoline]+[Transport: Blended biogasoline]+[Transport: Pure biodiesels]+[Transport: Blended biodiesels]+[Transport: Pure bio jet kerosene]+[Transport: Blended bio jet kerosene]+[Transport: Other liquid biofuels]+[Transport: Biogases]+[Other sectors: Primary solid biofuels]+[Other sectors: Charcoal]+[Other sectors: Pure biogasoline]+[Other sectors: Blended biogasoline]+[Other sectors: Pure biodiesels]+[Other sectors: Blended biodiesels]+[Other sectors: Pure bio jet kerosene]+[Other sectors: Blended bio jet kerosene]+[Other sectors: Other liquid biofuels]+[Other sectors: Biogases]) * 0.001)</t>
        </is>
      </c>
    </row>
    <row r="1181" ht="42" customHeight="1">
      <c r="A1181" s="42" t="inlineStr">
        <is>
          <t>Year</t>
        </is>
      </c>
      <c r="B1181" s="42" t="inlineStr">
        <is>
          <t>Value</t>
        </is>
      </c>
      <c r="C1181" s="42" t="inlineStr">
        <is>
          <t>Power and heat: Primary solid biofuels</t>
        </is>
      </c>
      <c r="D1181" s="42" t="inlineStr">
        <is>
          <t>Power and heat: Charcoal</t>
        </is>
      </c>
      <c r="E1181" s="42" t="inlineStr">
        <is>
          <t>Power and heat: Pure biogasoline</t>
        </is>
      </c>
      <c r="F1181" s="42" t="inlineStr">
        <is>
          <t>Power and heat: Blended biogasoline</t>
        </is>
      </c>
      <c r="G1181" s="42" t="inlineStr">
        <is>
          <t>Power and heat: Pure biodiesels</t>
        </is>
      </c>
      <c r="H1181" s="42" t="inlineStr">
        <is>
          <t>Power and heat: Blended biodiesels</t>
        </is>
      </c>
      <c r="I1181" s="42" t="inlineStr">
        <is>
          <t>Power and heat: Pure bio jet kerosene</t>
        </is>
      </c>
      <c r="J1181" s="42" t="inlineStr">
        <is>
          <t>Power and heat: Blended bio jet kerosene</t>
        </is>
      </c>
      <c r="K1181" s="42" t="inlineStr">
        <is>
          <t>Power and heat: Other liquid biofuels</t>
        </is>
      </c>
      <c r="L1181" s="42" t="inlineStr">
        <is>
          <t>Power and heat: Biogases</t>
        </is>
      </c>
      <c r="M1181" s="42" t="inlineStr">
        <is>
          <t>Industry: Primary solid biofuels</t>
        </is>
      </c>
      <c r="N1181" s="42" t="inlineStr">
        <is>
          <t>Industry: Charcoal</t>
        </is>
      </c>
      <c r="O1181" s="42" t="inlineStr">
        <is>
          <t>Industry: Pure biogasoline</t>
        </is>
      </c>
      <c r="P1181" s="42" t="inlineStr">
        <is>
          <t>Industry: Blended biogasoline</t>
        </is>
      </c>
      <c r="Q1181" s="42" t="inlineStr">
        <is>
          <t>Industry: Pure biodiesels</t>
        </is>
      </c>
      <c r="R1181" s="42" t="inlineStr">
        <is>
          <t>Industry: Blended biodiesels</t>
        </is>
      </c>
      <c r="S1181" s="42" t="inlineStr">
        <is>
          <t>Industry: Pure bio jet kerosene</t>
        </is>
      </c>
      <c r="T1181" s="42" t="inlineStr">
        <is>
          <t>Industry: Blended bio jet kerosene</t>
        </is>
      </c>
      <c r="U1181" s="42" t="inlineStr">
        <is>
          <t>Industry: Other liquid biofuels</t>
        </is>
      </c>
      <c r="V1181" s="42" t="inlineStr">
        <is>
          <t>Industry: Biogases</t>
        </is>
      </c>
      <c r="W1181" s="42" t="inlineStr">
        <is>
          <t>Transport: Primary solid biofuels</t>
        </is>
      </c>
      <c r="X1181" s="42" t="inlineStr">
        <is>
          <t>Transport: Charcoal</t>
        </is>
      </c>
      <c r="Y1181" s="42" t="inlineStr">
        <is>
          <t>Transport: Pure biogasoline</t>
        </is>
      </c>
      <c r="Z1181" s="42" t="inlineStr">
        <is>
          <t>Transport: Blended biogasoline</t>
        </is>
      </c>
      <c r="AA1181" s="42" t="inlineStr">
        <is>
          <t>Transport: Pure biodiesels</t>
        </is>
      </c>
      <c r="AB1181" s="42" t="inlineStr">
        <is>
          <t>Transport: Blended biodiesels</t>
        </is>
      </c>
      <c r="AC1181" s="42" t="inlineStr">
        <is>
          <t>Transport: Pure bio jet kerosene</t>
        </is>
      </c>
      <c r="AD1181" s="42" t="inlineStr">
        <is>
          <t>Transport: Blended bio jet kerosene</t>
        </is>
      </c>
      <c r="AE1181" s="42" t="inlineStr">
        <is>
          <t>Transport: Other liquid biofuels</t>
        </is>
      </c>
      <c r="AF1181" s="42" t="inlineStr">
        <is>
          <t>Transport: Biogases</t>
        </is>
      </c>
      <c r="AG1181" s="42" t="inlineStr">
        <is>
          <t>Other sectors: Primary solid biofuels</t>
        </is>
      </c>
      <c r="AH1181" s="42" t="inlineStr">
        <is>
          <t>Other sectors: Charcoal</t>
        </is>
      </c>
      <c r="AI1181" s="42" t="inlineStr">
        <is>
          <t>Other sectors: Pure biogasoline</t>
        </is>
      </c>
      <c r="AJ1181" s="42" t="inlineStr">
        <is>
          <t>Other sectors: Blended biogasoline</t>
        </is>
      </c>
      <c r="AK1181" s="42" t="inlineStr">
        <is>
          <t>Other sectors: Pure biodiesels</t>
        </is>
      </c>
      <c r="AL1181" s="42" t="inlineStr">
        <is>
          <t>Other sectors: Blended biodiesels</t>
        </is>
      </c>
      <c r="AM1181" s="42" t="inlineStr">
        <is>
          <t>Other sectors: Pure bio jet kerosene</t>
        </is>
      </c>
      <c r="AN1181" s="42" t="inlineStr">
        <is>
          <t>Other sectors: Blended bio jet kerosene</t>
        </is>
      </c>
      <c r="AO1181" s="42" t="inlineStr">
        <is>
          <t>Other sectors: Other liquid biofuels</t>
        </is>
      </c>
      <c r="AP1181" s="42" t="inlineStr">
        <is>
          <t>Other sectors: Biogases</t>
        </is>
      </c>
      <c r="AQ1181" s="42" t="inlineStr">
        <is>
          <t>nrg_bal_c BIOE</t>
        </is>
      </c>
      <c r="AR1181" s="42" t="inlineStr">
        <is>
          <t>Unit conversion (× 0.001)</t>
        </is>
      </c>
    </row>
    <row r="1182" ht="14" customHeight="1">
      <c r="A1182" s="15" t="n">
        <v>2005</v>
      </c>
      <c r="B1182" s="43">
        <f>IF((A1182&gt;=2022),ROUND((AQ1182*AR1182),1),((((((((((((((((((((((((((((((((((((((((C1182+D1182)+E1182)+F1182)+G1182)+H1182)+I1182)+J1182)+K1182)+L1182)+M1182)+N1182)+O1182)+P1182)+Q1182)+R1182)+S1182)+T1182)+U1182)+V1182)+W1182)+X1182)+Y1182)+Z1182)+AA1182)+AB1182)+AC1182)+AD1182)+AE1182)+AF1182)+AG1182)+AH1182)+AI1182)+AJ1182)+AK1182)+AL1182)+AM1182)+AN1182)+AO1182)+AP1182)*0.001))</f>
        <v/>
      </c>
      <c r="C1182" s="44" t="n">
        <v>164104.332</v>
      </c>
      <c r="D1182" s="44" t="n">
        <v>0</v>
      </c>
      <c r="E1182" s="44" t="n">
        <v>6454.615</v>
      </c>
      <c r="F1182" s="44" t="n">
        <v>0</v>
      </c>
      <c r="G1182" s="44" t="n">
        <v>17620.64</v>
      </c>
      <c r="H1182" s="44" t="n">
        <v>0</v>
      </c>
      <c r="I1182" s="44" t="n">
        <v>0</v>
      </c>
      <c r="J1182" s="44" t="n">
        <v>0</v>
      </c>
      <c r="K1182" s="44" t="n">
        <v>5673.882</v>
      </c>
      <c r="L1182" s="44" t="n">
        <v>22981.133</v>
      </c>
      <c r="M1182" s="44" t="n">
        <v>199345.482</v>
      </c>
      <c r="N1182" s="44" t="n">
        <v>171.111</v>
      </c>
      <c r="O1182" s="44" t="n">
        <v>0</v>
      </c>
      <c r="P1182" s="44" t="n">
        <v>1.733</v>
      </c>
      <c r="Q1182" s="44" t="n">
        <v>0.677</v>
      </c>
      <c r="R1182" s="44" t="n">
        <v>42.046</v>
      </c>
      <c r="S1182" s="44" t="n">
        <v>0</v>
      </c>
      <c r="T1182" s="44" t="n">
        <v>0</v>
      </c>
      <c r="U1182" s="44" t="n">
        <v>230.951</v>
      </c>
      <c r="V1182" s="44" t="n">
        <v>1530.049</v>
      </c>
      <c r="W1182" s="44" t="n">
        <v>7.864</v>
      </c>
      <c r="X1182" s="44" t="n">
        <v>0</v>
      </c>
      <c r="Y1182" s="44" t="n">
        <v>92.15900000000001</v>
      </c>
      <c r="Z1182" s="44" t="n">
        <v>6228.402</v>
      </c>
      <c r="AA1182" s="44" t="n">
        <v>11283.492</v>
      </c>
      <c r="AB1182" s="44" t="n">
        <v>17212.74</v>
      </c>
      <c r="AC1182" s="44" t="n">
        <v>0</v>
      </c>
      <c r="AD1182" s="44" t="n">
        <v>0</v>
      </c>
      <c r="AE1182" s="44" t="n">
        <v>1696.31</v>
      </c>
      <c r="AF1182" s="44" t="n">
        <v>0</v>
      </c>
      <c r="AG1182" s="44" t="n">
        <v>433247.502</v>
      </c>
      <c r="AH1182" s="44" t="n">
        <v>2489.039</v>
      </c>
      <c r="AI1182" s="44" t="n">
        <v>0</v>
      </c>
      <c r="AJ1182" s="44" t="n">
        <v>72.533</v>
      </c>
      <c r="AK1182" s="44" t="n">
        <v>339.462</v>
      </c>
      <c r="AL1182" s="44" t="n">
        <v>571.213</v>
      </c>
      <c r="AM1182" s="44" t="n">
        <v>0</v>
      </c>
      <c r="AN1182" s="44" t="n">
        <v>0</v>
      </c>
      <c r="AO1182" s="44" t="n">
        <v>261.3</v>
      </c>
      <c r="AP1182" s="44" t="n">
        <v>4726.776</v>
      </c>
      <c r="AQ1182" s="44" t="n"/>
      <c r="AR1182" s="44" t="n"/>
    </row>
    <row r="1183" ht="14" customHeight="1">
      <c r="A1183" s="21" t="n">
        <v>2006</v>
      </c>
      <c r="B1183" s="45">
        <f>IF((A1183&gt;=2022),ROUND((AQ1183*AR1183),1),((((((((((((((((((((((((((((((((((((((((C1183+D1183)+E1183)+F1183)+G1183)+H1183)+I1183)+J1183)+K1183)+L1183)+M1183)+N1183)+O1183)+P1183)+Q1183)+R1183)+S1183)+T1183)+U1183)+V1183)+W1183)+X1183)+Y1183)+Z1183)+AA1183)+AB1183)+AC1183)+AD1183)+AE1183)+AF1183)+AG1183)+AH1183)+AI1183)+AJ1183)+AK1183)+AL1183)+AM1183)+AN1183)+AO1183)+AP1183)*0.001))</f>
        <v/>
      </c>
      <c r="C1183" s="46" t="n">
        <v>174969.609</v>
      </c>
      <c r="D1183" s="46" t="n">
        <v>0</v>
      </c>
      <c r="E1183" s="46" t="n">
        <v>9707.165000000001</v>
      </c>
      <c r="F1183" s="46" t="n">
        <v>0</v>
      </c>
      <c r="G1183" s="46" t="n">
        <v>24534.078</v>
      </c>
      <c r="H1183" s="46" t="n">
        <v>0</v>
      </c>
      <c r="I1183" s="46" t="n">
        <v>0</v>
      </c>
      <c r="J1183" s="46" t="n">
        <v>0</v>
      </c>
      <c r="K1183" s="46" t="n">
        <v>8271.969999999999</v>
      </c>
      <c r="L1183" s="46" t="n">
        <v>25942.633</v>
      </c>
      <c r="M1183" s="46" t="n">
        <v>207534.157</v>
      </c>
      <c r="N1183" s="46" t="n">
        <v>179.667</v>
      </c>
      <c r="O1183" s="46" t="n">
        <v>0</v>
      </c>
      <c r="P1183" s="46" t="n">
        <v>2.07</v>
      </c>
      <c r="Q1183" s="46" t="n">
        <v>4.504</v>
      </c>
      <c r="R1183" s="46" t="n">
        <v>178.028</v>
      </c>
      <c r="S1183" s="46" t="n">
        <v>0</v>
      </c>
      <c r="T1183" s="46" t="n">
        <v>0</v>
      </c>
      <c r="U1183" s="46" t="n">
        <v>506.874</v>
      </c>
      <c r="V1183" s="46" t="n">
        <v>1351.062</v>
      </c>
      <c r="W1183" s="46" t="n">
        <v>7.03</v>
      </c>
      <c r="X1183" s="46" t="n">
        <v>0</v>
      </c>
      <c r="Y1183" s="46" t="n">
        <v>106.67</v>
      </c>
      <c r="Z1183" s="46" t="n">
        <v>9677.332</v>
      </c>
      <c r="AA1183" s="46" t="n">
        <v>19615.94</v>
      </c>
      <c r="AB1183" s="46" t="n">
        <v>23963.742</v>
      </c>
      <c r="AC1183" s="46" t="n">
        <v>0</v>
      </c>
      <c r="AD1183" s="46" t="n">
        <v>0</v>
      </c>
      <c r="AE1183" s="46" t="n">
        <v>7050.42</v>
      </c>
      <c r="AF1183" s="46" t="n">
        <v>0</v>
      </c>
      <c r="AG1183" s="46" t="n">
        <v>447735.163</v>
      </c>
      <c r="AH1183" s="46" t="n">
        <v>2486.05</v>
      </c>
      <c r="AI1183" s="46" t="n">
        <v>0</v>
      </c>
      <c r="AJ1183" s="46" t="n">
        <v>87.203</v>
      </c>
      <c r="AK1183" s="46" t="n">
        <v>349.498</v>
      </c>
      <c r="AL1183" s="46" t="n">
        <v>1346.269</v>
      </c>
      <c r="AM1183" s="46" t="n">
        <v>0</v>
      </c>
      <c r="AN1183" s="46" t="n">
        <v>0</v>
      </c>
      <c r="AO1183" s="46" t="n">
        <v>675.1849999999999</v>
      </c>
      <c r="AP1183" s="46" t="n">
        <v>5783.141</v>
      </c>
      <c r="AQ1183" s="46" t="n"/>
      <c r="AR1183" s="46" t="n"/>
    </row>
    <row r="1184" ht="14" customHeight="1">
      <c r="A1184" s="15" t="n">
        <v>2007</v>
      </c>
      <c r="B1184" s="43">
        <f>IF((A1184&gt;=2022),ROUND((AQ1184*AR1184),1),((((((((((((((((((((((((((((((((((((((((C1184+D1184)+E1184)+F1184)+G1184)+H1184)+I1184)+J1184)+K1184)+L1184)+M1184)+N1184)+O1184)+P1184)+Q1184)+R1184)+S1184)+T1184)+U1184)+V1184)+W1184)+X1184)+Y1184)+Z1184)+AA1184)+AB1184)+AC1184)+AD1184)+AE1184)+AF1184)+AG1184)+AH1184)+AI1184)+AJ1184)+AK1184)+AL1184)+AM1184)+AN1184)+AO1184)+AP1184)*0.001))</f>
        <v/>
      </c>
      <c r="C1184" s="44" t="n">
        <v>183274.444</v>
      </c>
      <c r="D1184" s="44" t="n">
        <v>0</v>
      </c>
      <c r="E1184" s="44" t="n">
        <v>12366.48</v>
      </c>
      <c r="F1184" s="44" t="n">
        <v>0</v>
      </c>
      <c r="G1184" s="44" t="n">
        <v>43572.87</v>
      </c>
      <c r="H1184" s="44" t="n">
        <v>0</v>
      </c>
      <c r="I1184" s="44" t="n">
        <v>0</v>
      </c>
      <c r="J1184" s="44" t="n">
        <v>0</v>
      </c>
      <c r="K1184" s="44" t="n">
        <v>4926.736</v>
      </c>
      <c r="L1184" s="44" t="n">
        <v>37618.637</v>
      </c>
      <c r="M1184" s="44" t="n">
        <v>215460.945</v>
      </c>
      <c r="N1184" s="44" t="n">
        <v>171.111</v>
      </c>
      <c r="O1184" s="44" t="n">
        <v>0</v>
      </c>
      <c r="P1184" s="44" t="n">
        <v>2.46</v>
      </c>
      <c r="Q1184" s="44" t="n">
        <v>2.404</v>
      </c>
      <c r="R1184" s="44" t="n">
        <v>298.432</v>
      </c>
      <c r="S1184" s="44" t="n">
        <v>0</v>
      </c>
      <c r="T1184" s="44" t="n">
        <v>0</v>
      </c>
      <c r="U1184" s="44" t="n">
        <v>640.785</v>
      </c>
      <c r="V1184" s="44" t="n">
        <v>1790.342</v>
      </c>
      <c r="W1184" s="44" t="n">
        <v>16.197</v>
      </c>
      <c r="X1184" s="44" t="n">
        <v>0</v>
      </c>
      <c r="Y1184" s="44" t="n">
        <v>166.789</v>
      </c>
      <c r="Z1184" s="44" t="n">
        <v>12521.524</v>
      </c>
      <c r="AA1184" s="44" t="n">
        <v>19535.293</v>
      </c>
      <c r="AB1184" s="44" t="n">
        <v>43990.075</v>
      </c>
      <c r="AC1184" s="44" t="n">
        <v>0</v>
      </c>
      <c r="AD1184" s="44" t="n">
        <v>0</v>
      </c>
      <c r="AE1184" s="44" t="n">
        <v>8256.715</v>
      </c>
      <c r="AF1184" s="44" t="n">
        <v>0</v>
      </c>
      <c r="AG1184" s="44" t="n">
        <v>476947.058</v>
      </c>
      <c r="AH1184" s="44" t="n">
        <v>3179.457</v>
      </c>
      <c r="AI1184" s="44" t="n">
        <v>0</v>
      </c>
      <c r="AJ1184" s="44" t="n">
        <v>104.805</v>
      </c>
      <c r="AK1184" s="44" t="n">
        <v>798.319</v>
      </c>
      <c r="AL1184" s="44" t="n">
        <v>1903.77</v>
      </c>
      <c r="AM1184" s="44" t="n">
        <v>0</v>
      </c>
      <c r="AN1184" s="44" t="n">
        <v>0</v>
      </c>
      <c r="AO1184" s="44" t="n">
        <v>824.015</v>
      </c>
      <c r="AP1184" s="44" t="n">
        <v>7578.54</v>
      </c>
      <c r="AQ1184" s="44" t="n"/>
      <c r="AR1184" s="44" t="n"/>
    </row>
    <row r="1185" ht="14" customHeight="1">
      <c r="A1185" s="21" t="n">
        <v>2008</v>
      </c>
      <c r="B1185" s="45">
        <f>IF((A1185&gt;=2022),ROUND((AQ1185*AR1185),1),((((((((((((((((((((((((((((((((((((((((C1185+D1185)+E1185)+F1185)+G1185)+H1185)+I1185)+J1185)+K1185)+L1185)+M1185)+N1185)+O1185)+P1185)+Q1185)+R1185)+S1185)+T1185)+U1185)+V1185)+W1185)+X1185)+Y1185)+Z1185)+AA1185)+AB1185)+AC1185)+AD1185)+AE1185)+AF1185)+AG1185)+AH1185)+AI1185)+AJ1185)+AK1185)+AL1185)+AM1185)+AN1185)+AO1185)+AP1185)*0.001))</f>
        <v/>
      </c>
      <c r="C1185" s="46" t="n">
        <v>202074.777</v>
      </c>
      <c r="D1185" s="46" t="n">
        <v>0</v>
      </c>
      <c r="E1185" s="46" t="n">
        <v>19619.537</v>
      </c>
      <c r="F1185" s="46" t="n">
        <v>0</v>
      </c>
      <c r="G1185" s="46" t="n">
        <v>70563.715</v>
      </c>
      <c r="H1185" s="46" t="n">
        <v>0</v>
      </c>
      <c r="I1185" s="46" t="n">
        <v>0</v>
      </c>
      <c r="J1185" s="46" t="n">
        <v>0</v>
      </c>
      <c r="K1185" s="46" t="n">
        <v>5506.914</v>
      </c>
      <c r="L1185" s="46" t="n">
        <v>45957.729</v>
      </c>
      <c r="M1185" s="46" t="n">
        <v>207137.574</v>
      </c>
      <c r="N1185" s="46" t="n">
        <v>436.333</v>
      </c>
      <c r="O1185" s="46" t="n">
        <v>0</v>
      </c>
      <c r="P1185" s="46" t="n">
        <v>3.203</v>
      </c>
      <c r="Q1185" s="46" t="n">
        <v>2.466</v>
      </c>
      <c r="R1185" s="46" t="n">
        <v>329.435</v>
      </c>
      <c r="S1185" s="46" t="n">
        <v>0</v>
      </c>
      <c r="T1185" s="46" t="n">
        <v>0</v>
      </c>
      <c r="U1185" s="46" t="n">
        <v>1250.876</v>
      </c>
      <c r="V1185" s="46" t="n">
        <v>1552.163</v>
      </c>
      <c r="W1185" s="46" t="n">
        <v>1.753</v>
      </c>
      <c r="X1185" s="46" t="n">
        <v>0</v>
      </c>
      <c r="Y1185" s="46" t="n">
        <v>188.995</v>
      </c>
      <c r="Z1185" s="46" t="n">
        <v>19497.558</v>
      </c>
      <c r="AA1185" s="46" t="n">
        <v>12420.581</v>
      </c>
      <c r="AB1185" s="46" t="n">
        <v>68471.726</v>
      </c>
      <c r="AC1185" s="46" t="n">
        <v>0</v>
      </c>
      <c r="AD1185" s="46" t="n">
        <v>0</v>
      </c>
      <c r="AE1185" s="46" t="n">
        <v>3357.445</v>
      </c>
      <c r="AF1185" s="46" t="n">
        <v>221.67</v>
      </c>
      <c r="AG1185" s="46" t="n">
        <v>519431.005</v>
      </c>
      <c r="AH1185" s="46" t="n">
        <v>3013.484</v>
      </c>
      <c r="AI1185" s="46" t="n">
        <v>0</v>
      </c>
      <c r="AJ1185" s="46" t="n">
        <v>164.078</v>
      </c>
      <c r="AK1185" s="46" t="n">
        <v>692.451</v>
      </c>
      <c r="AL1185" s="46" t="n">
        <v>1616.235</v>
      </c>
      <c r="AM1185" s="46" t="n">
        <v>0</v>
      </c>
      <c r="AN1185" s="46" t="n">
        <v>0</v>
      </c>
      <c r="AO1185" s="46" t="n">
        <v>808.683</v>
      </c>
      <c r="AP1185" s="46" t="n">
        <v>8301.276</v>
      </c>
      <c r="AQ1185" s="46" t="n"/>
      <c r="AR1185" s="46" t="n"/>
    </row>
    <row r="1186" ht="14" customHeight="1">
      <c r="A1186" s="15" t="n">
        <v>2009</v>
      </c>
      <c r="B1186" s="43">
        <f>IF((A1186&gt;=2022),ROUND((AQ1186*AR1186),1),((((((((((((((((((((((((((((((((((((((((C1186+D1186)+E1186)+F1186)+G1186)+H1186)+I1186)+J1186)+K1186)+L1186)+M1186)+N1186)+O1186)+P1186)+Q1186)+R1186)+S1186)+T1186)+U1186)+V1186)+W1186)+X1186)+Y1186)+Z1186)+AA1186)+AB1186)+AC1186)+AD1186)+AE1186)+AF1186)+AG1186)+AH1186)+AI1186)+AJ1186)+AK1186)+AL1186)+AM1186)+AN1186)+AO1186)+AP1186)*0.001))</f>
        <v/>
      </c>
      <c r="C1186" s="44" t="n">
        <v>217786.843</v>
      </c>
      <c r="D1186" s="44" t="n">
        <v>0</v>
      </c>
      <c r="E1186" s="44" t="n">
        <v>24059.307</v>
      </c>
      <c r="F1186" s="44" t="n">
        <v>0</v>
      </c>
      <c r="G1186" s="44" t="n">
        <v>93601.753</v>
      </c>
      <c r="H1186" s="44" t="n">
        <v>0</v>
      </c>
      <c r="I1186" s="44" t="n">
        <v>0</v>
      </c>
      <c r="J1186" s="44" t="n">
        <v>0</v>
      </c>
      <c r="K1186" s="44" t="n">
        <v>10314.912</v>
      </c>
      <c r="L1186" s="44" t="n">
        <v>52179.243</v>
      </c>
      <c r="M1186" s="44" t="n">
        <v>204216.188</v>
      </c>
      <c r="N1186" s="44" t="n">
        <v>222.444</v>
      </c>
      <c r="O1186" s="44" t="n">
        <v>0</v>
      </c>
      <c r="P1186" s="44" t="n">
        <v>2.708</v>
      </c>
      <c r="Q1186" s="44" t="n">
        <v>7.307</v>
      </c>
      <c r="R1186" s="44" t="n">
        <v>428.916</v>
      </c>
      <c r="S1186" s="44" t="n">
        <v>0</v>
      </c>
      <c r="T1186" s="44" t="n">
        <v>0</v>
      </c>
      <c r="U1186" s="44" t="n">
        <v>995.092</v>
      </c>
      <c r="V1186" s="44" t="n">
        <v>1903.97</v>
      </c>
      <c r="W1186" s="44" t="n">
        <v>0.919</v>
      </c>
      <c r="X1186" s="44" t="n">
        <v>0</v>
      </c>
      <c r="Y1186" s="44" t="n">
        <v>188.337</v>
      </c>
      <c r="Z1186" s="44" t="n">
        <v>23885.804</v>
      </c>
      <c r="AA1186" s="44" t="n">
        <v>5941.212</v>
      </c>
      <c r="AB1186" s="44" t="n">
        <v>91954.921</v>
      </c>
      <c r="AC1186" s="44" t="n">
        <v>0</v>
      </c>
      <c r="AD1186" s="44" t="n">
        <v>0</v>
      </c>
      <c r="AE1186" s="44" t="n">
        <v>883.452</v>
      </c>
      <c r="AF1186" s="44" t="n">
        <v>259.183</v>
      </c>
      <c r="AG1186" s="44" t="n">
        <v>522911.208</v>
      </c>
      <c r="AH1186" s="44" t="n">
        <v>4050.954</v>
      </c>
      <c r="AI1186" s="44" t="n">
        <v>0</v>
      </c>
      <c r="AJ1186" s="44" t="n">
        <v>160.98</v>
      </c>
      <c r="AK1186" s="44" t="n">
        <v>396.163</v>
      </c>
      <c r="AL1186" s="44" t="n">
        <v>2236.838</v>
      </c>
      <c r="AM1186" s="44" t="n">
        <v>0</v>
      </c>
      <c r="AN1186" s="44" t="n">
        <v>0</v>
      </c>
      <c r="AO1186" s="44" t="n">
        <v>1414.662</v>
      </c>
      <c r="AP1186" s="44" t="n">
        <v>10252.725</v>
      </c>
      <c r="AQ1186" s="44" t="n"/>
      <c r="AR1186" s="44" t="n"/>
    </row>
    <row r="1187" ht="14" customHeight="1">
      <c r="A1187" s="21" t="n">
        <v>2010</v>
      </c>
      <c r="B1187" s="45">
        <f>IF((A1187&gt;=2022),ROUND((AQ1187*AR1187),1),((((((((((((((((((((((((((((((((((((((((C1187+D1187)+E1187)+F1187)+G1187)+H1187)+I1187)+J1187)+K1187)+L1187)+M1187)+N1187)+O1187)+P1187)+Q1187)+R1187)+S1187)+T1187)+U1187)+V1187)+W1187)+X1187)+Y1187)+Z1187)+AA1187)+AB1187)+AC1187)+AD1187)+AE1187)+AF1187)+AG1187)+AH1187)+AI1187)+AJ1187)+AK1187)+AL1187)+AM1187)+AN1187)+AO1187)+AP1187)*0.001))</f>
        <v/>
      </c>
      <c r="C1187" s="46" t="n">
        <v>257534.265</v>
      </c>
      <c r="D1187" s="46" t="n">
        <v>0</v>
      </c>
      <c r="E1187" s="46" t="n">
        <v>28028.452</v>
      </c>
      <c r="F1187" s="46" t="n">
        <v>0</v>
      </c>
      <c r="G1187" s="46" t="n">
        <v>104794.637</v>
      </c>
      <c r="H1187" s="46" t="n">
        <v>0</v>
      </c>
      <c r="I1187" s="46" t="n">
        <v>0</v>
      </c>
      <c r="J1187" s="46" t="n">
        <v>0</v>
      </c>
      <c r="K1187" s="46" t="n">
        <v>12830.382</v>
      </c>
      <c r="L1187" s="46" t="n">
        <v>60329.74</v>
      </c>
      <c r="M1187" s="46" t="n">
        <v>219870.824</v>
      </c>
      <c r="N1187" s="46" t="n">
        <v>85.556</v>
      </c>
      <c r="O1187" s="46" t="n">
        <v>0.03</v>
      </c>
      <c r="P1187" s="46" t="n">
        <v>2.928</v>
      </c>
      <c r="Q1187" s="46" t="n">
        <v>15.953</v>
      </c>
      <c r="R1187" s="46" t="n">
        <v>449.05</v>
      </c>
      <c r="S1187" s="46" t="n">
        <v>0</v>
      </c>
      <c r="T1187" s="46" t="n">
        <v>0</v>
      </c>
      <c r="U1187" s="46" t="n">
        <v>940.647</v>
      </c>
      <c r="V1187" s="46" t="n">
        <v>3574.416</v>
      </c>
      <c r="W1187" s="46" t="n">
        <v>0.08599999999999999</v>
      </c>
      <c r="X1187" s="46" t="n">
        <v>0</v>
      </c>
      <c r="Y1187" s="46" t="n">
        <v>266.151</v>
      </c>
      <c r="Z1187" s="46" t="n">
        <v>28575.893</v>
      </c>
      <c r="AA1187" s="46" t="n">
        <v>6419.342</v>
      </c>
      <c r="AB1187" s="46" t="n">
        <v>103490.793</v>
      </c>
      <c r="AC1187" s="46" t="n">
        <v>0</v>
      </c>
      <c r="AD1187" s="46" t="n">
        <v>0</v>
      </c>
      <c r="AE1187" s="46" t="n">
        <v>602.652</v>
      </c>
      <c r="AF1187" s="46" t="n">
        <v>321.691</v>
      </c>
      <c r="AG1187" s="46" t="n">
        <v>557961.404</v>
      </c>
      <c r="AH1187" s="46" t="n">
        <v>4017.172</v>
      </c>
      <c r="AI1187" s="46" t="n">
        <v>0</v>
      </c>
      <c r="AJ1187" s="46" t="n">
        <v>177.809</v>
      </c>
      <c r="AK1187" s="46" t="n">
        <v>295.856</v>
      </c>
      <c r="AL1187" s="46" t="n">
        <v>2147.737</v>
      </c>
      <c r="AM1187" s="46" t="n">
        <v>0</v>
      </c>
      <c r="AN1187" s="46" t="n">
        <v>0</v>
      </c>
      <c r="AO1187" s="46" t="n">
        <v>1317.551</v>
      </c>
      <c r="AP1187" s="46" t="n">
        <v>12131.37</v>
      </c>
      <c r="AQ1187" s="46" t="n"/>
      <c r="AR1187" s="46" t="n"/>
    </row>
    <row r="1188" ht="14" customHeight="1">
      <c r="A1188" s="15" t="n">
        <v>2011</v>
      </c>
      <c r="B1188" s="43">
        <f>IF((A1188&gt;=2022),ROUND((AQ1188*AR1188),1),((((((((((((((((((((((((((((((((((((((((C1188+D1188)+E1188)+F1188)+G1188)+H1188)+I1188)+J1188)+K1188)+L1188)+M1188)+N1188)+O1188)+P1188)+Q1188)+R1188)+S1188)+T1188)+U1188)+V1188)+W1188)+X1188)+Y1188)+Z1188)+AA1188)+AB1188)+AC1188)+AD1188)+AE1188)+AF1188)+AG1188)+AH1188)+AI1188)+AJ1188)+AK1188)+AL1188)+AM1188)+AN1188)+AO1188)+AP1188)*0.001))</f>
        <v/>
      </c>
      <c r="C1188" s="44" t="n">
        <v>255453.042</v>
      </c>
      <c r="D1188" s="44" t="n">
        <v>0</v>
      </c>
      <c r="E1188" s="44" t="n">
        <v>28089.302</v>
      </c>
      <c r="F1188" s="44" t="n">
        <v>0</v>
      </c>
      <c r="G1188" s="44" t="n">
        <v>112777.528</v>
      </c>
      <c r="H1188" s="44" t="n">
        <v>0</v>
      </c>
      <c r="I1188" s="44" t="n">
        <v>0</v>
      </c>
      <c r="J1188" s="44" t="n">
        <v>0</v>
      </c>
      <c r="K1188" s="44" t="n">
        <v>8366.450000000001</v>
      </c>
      <c r="L1188" s="44" t="n">
        <v>76821.349</v>
      </c>
      <c r="M1188" s="44" t="n">
        <v>219628.873</v>
      </c>
      <c r="N1188" s="44" t="n">
        <v>85.556</v>
      </c>
      <c r="O1188" s="44" t="n">
        <v>0</v>
      </c>
      <c r="P1188" s="44" t="n">
        <v>3.42</v>
      </c>
      <c r="Q1188" s="44" t="n">
        <v>34.156</v>
      </c>
      <c r="R1188" s="44" t="n">
        <v>465.226</v>
      </c>
      <c r="S1188" s="44" t="n">
        <v>0</v>
      </c>
      <c r="T1188" s="44" t="n">
        <v>0</v>
      </c>
      <c r="U1188" s="44" t="n">
        <v>503.496</v>
      </c>
      <c r="V1188" s="44" t="n">
        <v>3949.935</v>
      </c>
      <c r="W1188" s="44" t="n">
        <v>0.364</v>
      </c>
      <c r="X1188" s="44" t="n">
        <v>0</v>
      </c>
      <c r="Y1188" s="44" t="n">
        <v>323.489</v>
      </c>
      <c r="Z1188" s="44" t="n">
        <v>29158.612</v>
      </c>
      <c r="AA1188" s="44" t="n">
        <v>4834.156</v>
      </c>
      <c r="AB1188" s="44" t="n">
        <v>112229.807</v>
      </c>
      <c r="AC1188" s="44" t="n">
        <v>0</v>
      </c>
      <c r="AD1188" s="44" t="n">
        <v>0</v>
      </c>
      <c r="AE1188" s="44" t="n">
        <v>191.675</v>
      </c>
      <c r="AF1188" s="44" t="n">
        <v>822.308</v>
      </c>
      <c r="AG1188" s="44" t="n">
        <v>499386.409</v>
      </c>
      <c r="AH1188" s="44" t="n">
        <v>4193.423</v>
      </c>
      <c r="AI1188" s="44" t="n">
        <v>0</v>
      </c>
      <c r="AJ1188" s="44" t="n">
        <v>199.525</v>
      </c>
      <c r="AK1188" s="44" t="n">
        <v>139.566</v>
      </c>
      <c r="AL1188" s="44" t="n">
        <v>2218.155</v>
      </c>
      <c r="AM1188" s="44" t="n">
        <v>0</v>
      </c>
      <c r="AN1188" s="44" t="n">
        <v>0</v>
      </c>
      <c r="AO1188" s="44" t="n">
        <v>598.8339999999999</v>
      </c>
      <c r="AP1188" s="44" t="n">
        <v>13487.874</v>
      </c>
      <c r="AQ1188" s="44" t="n"/>
      <c r="AR1188" s="44" t="n"/>
    </row>
    <row r="1189" ht="14" customHeight="1">
      <c r="A1189" s="21" t="n">
        <v>2012</v>
      </c>
      <c r="B1189" s="45">
        <f>IF((A1189&gt;=2022),ROUND((AQ1189*AR1189),1),((((((((((((((((((((((((((((((((((((((((C1189+D1189)+E1189)+F1189)+G1189)+H1189)+I1189)+J1189)+K1189)+L1189)+M1189)+N1189)+O1189)+P1189)+Q1189)+R1189)+S1189)+T1189)+U1189)+V1189)+W1189)+X1189)+Y1189)+Z1189)+AA1189)+AB1189)+AC1189)+AD1189)+AE1189)+AF1189)+AG1189)+AH1189)+AI1189)+AJ1189)+AK1189)+AL1189)+AM1189)+AN1189)+AO1189)+AP1189)*0.001))</f>
        <v/>
      </c>
      <c r="C1189" s="46" t="n">
        <v>287713.128</v>
      </c>
      <c r="D1189" s="46" t="n">
        <v>0</v>
      </c>
      <c r="E1189" s="46" t="n">
        <v>28373.948</v>
      </c>
      <c r="F1189" s="46" t="n">
        <v>0</v>
      </c>
      <c r="G1189" s="46" t="n">
        <v>125982.657</v>
      </c>
      <c r="H1189" s="46" t="n">
        <v>0</v>
      </c>
      <c r="I1189" s="46" t="n">
        <v>0</v>
      </c>
      <c r="J1189" s="46" t="n">
        <v>0</v>
      </c>
      <c r="K1189" s="46" t="n">
        <v>9238.421</v>
      </c>
      <c r="L1189" s="46" t="n">
        <v>92870.045</v>
      </c>
      <c r="M1189" s="46" t="n">
        <v>213283.065</v>
      </c>
      <c r="N1189" s="46" t="n">
        <v>85.556</v>
      </c>
      <c r="O1189" s="46" t="n">
        <v>10.471</v>
      </c>
      <c r="P1189" s="46" t="n">
        <v>3.241</v>
      </c>
      <c r="Q1189" s="46" t="n">
        <v>22.954</v>
      </c>
      <c r="R1189" s="46" t="n">
        <v>756.167</v>
      </c>
      <c r="S1189" s="46" t="n">
        <v>0</v>
      </c>
      <c r="T1189" s="46" t="n">
        <v>0</v>
      </c>
      <c r="U1189" s="46" t="n">
        <v>165.803</v>
      </c>
      <c r="V1189" s="46" t="n">
        <v>2634.923</v>
      </c>
      <c r="W1189" s="46" t="n">
        <v>0.365</v>
      </c>
      <c r="X1189" s="46" t="n">
        <v>0</v>
      </c>
      <c r="Y1189" s="46" t="n">
        <v>338.24</v>
      </c>
      <c r="Z1189" s="46" t="n">
        <v>28391.595</v>
      </c>
      <c r="AA1189" s="46" t="n">
        <v>3500.495</v>
      </c>
      <c r="AB1189" s="46" t="n">
        <v>123723.405</v>
      </c>
      <c r="AC1189" s="46" t="n">
        <v>0</v>
      </c>
      <c r="AD1189" s="46" t="n">
        <v>0</v>
      </c>
      <c r="AE1189" s="46" t="n">
        <v>185.374</v>
      </c>
      <c r="AF1189" s="46" t="n">
        <v>1142.907</v>
      </c>
      <c r="AG1189" s="46" t="n">
        <v>561599.938</v>
      </c>
      <c r="AH1189" s="46" t="n">
        <v>4621.624</v>
      </c>
      <c r="AI1189" s="46" t="n">
        <v>0</v>
      </c>
      <c r="AJ1189" s="46" t="n">
        <v>227.027</v>
      </c>
      <c r="AK1189" s="46" t="n">
        <v>188.285</v>
      </c>
      <c r="AL1189" s="46" t="n">
        <v>2693.427</v>
      </c>
      <c r="AM1189" s="46" t="n">
        <v>0</v>
      </c>
      <c r="AN1189" s="46" t="n">
        <v>0</v>
      </c>
      <c r="AO1189" s="46" t="n">
        <v>229.528</v>
      </c>
      <c r="AP1189" s="46" t="n">
        <v>16246.299</v>
      </c>
      <c r="AQ1189" s="46" t="n"/>
      <c r="AR1189" s="46" t="n"/>
    </row>
    <row r="1190" ht="14" customHeight="1">
      <c r="A1190" s="15" t="n">
        <v>2013</v>
      </c>
      <c r="B1190" s="43">
        <f>IF((A1190&gt;=2022),ROUND((AQ1190*AR1190),1),((((((((((((((((((((((((((((((((((((((((C1190+D1190)+E1190)+F1190)+G1190)+H1190)+I1190)+J1190)+K1190)+L1190)+M1190)+N1190)+O1190)+P1190)+Q1190)+R1190)+S1190)+T1190)+U1190)+V1190)+W1190)+X1190)+Y1190)+Z1190)+AA1190)+AB1190)+AC1190)+AD1190)+AE1190)+AF1190)+AG1190)+AH1190)+AI1190)+AJ1190)+AK1190)+AL1190)+AM1190)+AN1190)+AO1190)+AP1190)*0.001))</f>
        <v/>
      </c>
      <c r="C1190" s="44" t="n">
        <v>291684.305</v>
      </c>
      <c r="D1190" s="44" t="n">
        <v>0</v>
      </c>
      <c r="E1190" s="44" t="n">
        <v>26724.414</v>
      </c>
      <c r="F1190" s="44" t="n">
        <v>0</v>
      </c>
      <c r="G1190" s="44" t="n">
        <v>111173.898</v>
      </c>
      <c r="H1190" s="44" t="n">
        <v>10.278</v>
      </c>
      <c r="I1190" s="44" t="n">
        <v>0</v>
      </c>
      <c r="J1190" s="44" t="n">
        <v>0</v>
      </c>
      <c r="K1190" s="44" t="n">
        <v>10973.93</v>
      </c>
      <c r="L1190" s="44" t="n">
        <v>107159.001</v>
      </c>
      <c r="M1190" s="44" t="n">
        <v>216596.685</v>
      </c>
      <c r="N1190" s="44" t="n">
        <v>96.807</v>
      </c>
      <c r="O1190" s="44" t="n">
        <v>12.838</v>
      </c>
      <c r="P1190" s="44" t="n">
        <v>3.04</v>
      </c>
      <c r="Q1190" s="44" t="n">
        <v>23.711</v>
      </c>
      <c r="R1190" s="44" t="n">
        <v>759.173</v>
      </c>
      <c r="S1190" s="44" t="n">
        <v>0</v>
      </c>
      <c r="T1190" s="44" t="n">
        <v>0</v>
      </c>
      <c r="U1190" s="44" t="n">
        <v>254.388</v>
      </c>
      <c r="V1190" s="44" t="n">
        <v>3358.469</v>
      </c>
      <c r="W1190" s="44" t="n">
        <v>3.692</v>
      </c>
      <c r="X1190" s="44" t="n">
        <v>0</v>
      </c>
      <c r="Y1190" s="44" t="n">
        <v>292.131</v>
      </c>
      <c r="Z1190" s="44" t="n">
        <v>26387.954</v>
      </c>
      <c r="AA1190" s="44" t="n">
        <v>2296.807</v>
      </c>
      <c r="AB1190" s="44" t="n">
        <v>109722.477</v>
      </c>
      <c r="AC1190" s="44" t="n">
        <v>0</v>
      </c>
      <c r="AD1190" s="44" t="n">
        <v>0</v>
      </c>
      <c r="AE1190" s="44" t="n">
        <v>48.134</v>
      </c>
      <c r="AF1190" s="44" t="n">
        <v>1355.767</v>
      </c>
      <c r="AG1190" s="44" t="n">
        <v>570560.179</v>
      </c>
      <c r="AH1190" s="44" t="n">
        <v>4483.024</v>
      </c>
      <c r="AI1190" s="44" t="n">
        <v>0</v>
      </c>
      <c r="AJ1190" s="44" t="n">
        <v>214.227</v>
      </c>
      <c r="AK1190" s="44" t="n">
        <v>173.918</v>
      </c>
      <c r="AL1190" s="44" t="n">
        <v>2729.411</v>
      </c>
      <c r="AM1190" s="44" t="n">
        <v>0</v>
      </c>
      <c r="AN1190" s="44" t="n">
        <v>0</v>
      </c>
      <c r="AO1190" s="44" t="n">
        <v>246.217</v>
      </c>
      <c r="AP1190" s="44" t="n">
        <v>18370.087</v>
      </c>
      <c r="AQ1190" s="44" t="n"/>
      <c r="AR1190" s="44" t="n"/>
    </row>
    <row r="1191" ht="14" customHeight="1">
      <c r="A1191" s="21" t="n">
        <v>2014</v>
      </c>
      <c r="B1191" s="45">
        <f>IF((A1191&gt;=2022),ROUND((AQ1191*AR1191),1),((((((((((((((((((((((((((((((((((((((((C1191+D1191)+E1191)+F1191)+G1191)+H1191)+I1191)+J1191)+K1191)+L1191)+M1191)+N1191)+O1191)+P1191)+Q1191)+R1191)+S1191)+T1191)+U1191)+V1191)+W1191)+X1191)+Y1191)+Z1191)+AA1191)+AB1191)+AC1191)+AD1191)+AE1191)+AF1191)+AG1191)+AH1191)+AI1191)+AJ1191)+AK1191)+AL1191)+AM1191)+AN1191)+AO1191)+AP1191)*0.001))</f>
        <v/>
      </c>
      <c r="C1191" s="46" t="n">
        <v>293392.067</v>
      </c>
      <c r="D1191" s="46" t="n">
        <v>0</v>
      </c>
      <c r="E1191" s="46" t="n">
        <v>26432.067</v>
      </c>
      <c r="F1191" s="46" t="n">
        <v>0</v>
      </c>
      <c r="G1191" s="46" t="n">
        <v>120701.752</v>
      </c>
      <c r="H1191" s="46" t="n">
        <v>10.278</v>
      </c>
      <c r="I1191" s="46" t="n">
        <v>0</v>
      </c>
      <c r="J1191" s="46" t="n">
        <v>0</v>
      </c>
      <c r="K1191" s="46" t="n">
        <v>11663.528</v>
      </c>
      <c r="L1191" s="46" t="n">
        <v>114866.093</v>
      </c>
      <c r="M1191" s="46" t="n">
        <v>219163.446</v>
      </c>
      <c r="N1191" s="46" t="n">
        <v>96.65000000000001</v>
      </c>
      <c r="O1191" s="46" t="n">
        <v>14.496</v>
      </c>
      <c r="P1191" s="46" t="n">
        <v>2.86</v>
      </c>
      <c r="Q1191" s="46" t="n">
        <v>74.31999999999999</v>
      </c>
      <c r="R1191" s="46" t="n">
        <v>877.913</v>
      </c>
      <c r="S1191" s="46" t="n">
        <v>0</v>
      </c>
      <c r="T1191" s="46" t="n">
        <v>0</v>
      </c>
      <c r="U1191" s="46" t="n">
        <v>442.742</v>
      </c>
      <c r="V1191" s="46" t="n">
        <v>3629.316</v>
      </c>
      <c r="W1191" s="46" t="n">
        <v>3.692</v>
      </c>
      <c r="X1191" s="46" t="n">
        <v>0</v>
      </c>
      <c r="Y1191" s="46" t="n">
        <v>252.36</v>
      </c>
      <c r="Z1191" s="46" t="n">
        <v>26312.495</v>
      </c>
      <c r="AA1191" s="46" t="n">
        <v>4171.505</v>
      </c>
      <c r="AB1191" s="46" t="n">
        <v>118883.897</v>
      </c>
      <c r="AC1191" s="46" t="n">
        <v>0</v>
      </c>
      <c r="AD1191" s="46" t="n">
        <v>0</v>
      </c>
      <c r="AE1191" s="46" t="n">
        <v>90.676</v>
      </c>
      <c r="AF1191" s="46" t="n">
        <v>1429.432</v>
      </c>
      <c r="AG1191" s="46" t="n">
        <v>503708.303</v>
      </c>
      <c r="AH1191" s="46" t="n">
        <v>4369.424</v>
      </c>
      <c r="AI1191" s="46" t="n">
        <v>0</v>
      </c>
      <c r="AJ1191" s="46" t="n">
        <v>204.883</v>
      </c>
      <c r="AK1191" s="46" t="n">
        <v>271.854</v>
      </c>
      <c r="AL1191" s="46" t="n">
        <v>2902.607</v>
      </c>
      <c r="AM1191" s="46" t="n">
        <v>0</v>
      </c>
      <c r="AN1191" s="46" t="n">
        <v>0</v>
      </c>
      <c r="AO1191" s="46" t="n">
        <v>260.658</v>
      </c>
      <c r="AP1191" s="46" t="n">
        <v>20097.055</v>
      </c>
      <c r="AQ1191" s="46" t="n"/>
      <c r="AR1191" s="46" t="n"/>
    </row>
    <row r="1192" ht="14" customHeight="1">
      <c r="A1192" s="15" t="n">
        <v>2015</v>
      </c>
      <c r="B1192" s="43">
        <f>IF((A1192&gt;=2022),ROUND((AQ1192*AR1192),1),((((((((((((((((((((((((((((((((((((((((C1192+D1192)+E1192)+F1192)+G1192)+H1192)+I1192)+J1192)+K1192)+L1192)+M1192)+N1192)+O1192)+P1192)+Q1192)+R1192)+S1192)+T1192)+U1192)+V1192)+W1192)+X1192)+Y1192)+Z1192)+AA1192)+AB1192)+AC1192)+AD1192)+AE1192)+AF1192)+AG1192)+AH1192)+AI1192)+AJ1192)+AK1192)+AL1192)+AM1192)+AN1192)+AO1192)+AP1192)*0.001))</f>
        <v/>
      </c>
      <c r="C1192" s="44" t="n">
        <v>298222.057</v>
      </c>
      <c r="D1192" s="44" t="n">
        <v>0</v>
      </c>
      <c r="E1192" s="44" t="n">
        <v>27441.63</v>
      </c>
      <c r="F1192" s="44" t="n">
        <v>0</v>
      </c>
      <c r="G1192" s="44" t="n">
        <v>119256.327</v>
      </c>
      <c r="H1192" s="44" t="n">
        <v>20.556</v>
      </c>
      <c r="I1192" s="44" t="n">
        <v>0</v>
      </c>
      <c r="J1192" s="44" t="n">
        <v>0</v>
      </c>
      <c r="K1192" s="44" t="n">
        <v>12864.803</v>
      </c>
      <c r="L1192" s="44" t="n">
        <v>119559.138</v>
      </c>
      <c r="M1192" s="44" t="n">
        <v>227848.516</v>
      </c>
      <c r="N1192" s="44" t="n">
        <v>96.492</v>
      </c>
      <c r="O1192" s="44" t="n">
        <v>17.566</v>
      </c>
      <c r="P1192" s="44" t="n">
        <v>2.711</v>
      </c>
      <c r="Q1192" s="44" t="n">
        <v>89.054</v>
      </c>
      <c r="R1192" s="44" t="n">
        <v>1058.156</v>
      </c>
      <c r="S1192" s="44" t="n">
        <v>0</v>
      </c>
      <c r="T1192" s="44" t="n">
        <v>0</v>
      </c>
      <c r="U1192" s="44" t="n">
        <v>319.516</v>
      </c>
      <c r="V1192" s="44" t="n">
        <v>3593.657</v>
      </c>
      <c r="W1192" s="44" t="n">
        <v>0.637</v>
      </c>
      <c r="X1192" s="44" t="n">
        <v>0</v>
      </c>
      <c r="Y1192" s="44" t="n">
        <v>243.849</v>
      </c>
      <c r="Z1192" s="44" t="n">
        <v>26819.71</v>
      </c>
      <c r="AA1192" s="44" t="n">
        <v>4843.304</v>
      </c>
      <c r="AB1192" s="44" t="n">
        <v>117829.293</v>
      </c>
      <c r="AC1192" s="44" t="n">
        <v>0</v>
      </c>
      <c r="AD1192" s="44" t="n">
        <v>0</v>
      </c>
      <c r="AE1192" s="44" t="n">
        <v>45.262</v>
      </c>
      <c r="AF1192" s="44" t="n">
        <v>1480.612</v>
      </c>
      <c r="AG1192" s="44" t="n">
        <v>524177.56</v>
      </c>
      <c r="AH1192" s="44" t="n">
        <v>4495.224</v>
      </c>
      <c r="AI1192" s="44" t="n">
        <v>0</v>
      </c>
      <c r="AJ1192" s="44" t="n">
        <v>183.447</v>
      </c>
      <c r="AK1192" s="44" t="n">
        <v>274.194</v>
      </c>
      <c r="AL1192" s="44" t="n">
        <v>2992.058</v>
      </c>
      <c r="AM1192" s="44" t="n">
        <v>0</v>
      </c>
      <c r="AN1192" s="44" t="n">
        <v>0</v>
      </c>
      <c r="AO1192" s="44" t="n">
        <v>304.23</v>
      </c>
      <c r="AP1192" s="44" t="n">
        <v>21356.529</v>
      </c>
      <c r="AQ1192" s="44" t="n"/>
      <c r="AR1192" s="44" t="n"/>
    </row>
    <row r="1193" ht="14" customHeight="1">
      <c r="A1193" s="21" t="n">
        <v>2016</v>
      </c>
      <c r="B1193" s="45">
        <f>IF((A1193&gt;=2022),ROUND((AQ1193*AR1193),1),((((((((((((((((((((((((((((((((((((((((C1193+D1193)+E1193)+F1193)+G1193)+H1193)+I1193)+J1193)+K1193)+L1193)+M1193)+N1193)+O1193)+P1193)+Q1193)+R1193)+S1193)+T1193)+U1193)+V1193)+W1193)+X1193)+Y1193)+Z1193)+AA1193)+AB1193)+AC1193)+AD1193)+AE1193)+AF1193)+AG1193)+AH1193)+AI1193)+AJ1193)+AK1193)+AL1193)+AM1193)+AN1193)+AO1193)+AP1193)*0.001))</f>
        <v/>
      </c>
      <c r="C1193" s="46" t="n">
        <v>304271.558</v>
      </c>
      <c r="D1193" s="46" t="n">
        <v>0</v>
      </c>
      <c r="E1193" s="46" t="n">
        <v>27263.683</v>
      </c>
      <c r="F1193" s="46" t="n">
        <v>0</v>
      </c>
      <c r="G1193" s="46" t="n">
        <v>117261.488</v>
      </c>
      <c r="H1193" s="46" t="n">
        <v>10.278</v>
      </c>
      <c r="I1193" s="46" t="n">
        <v>0</v>
      </c>
      <c r="J1193" s="46" t="n">
        <v>0</v>
      </c>
      <c r="K1193" s="46" t="n">
        <v>12402.728</v>
      </c>
      <c r="L1193" s="46" t="n">
        <v>121834.215</v>
      </c>
      <c r="M1193" s="46" t="n">
        <v>236864.389</v>
      </c>
      <c r="N1193" s="46" t="n">
        <v>96.383</v>
      </c>
      <c r="O1193" s="46" t="n">
        <v>0</v>
      </c>
      <c r="P1193" s="46" t="n">
        <v>2.353</v>
      </c>
      <c r="Q1193" s="46" t="n">
        <v>166.468</v>
      </c>
      <c r="R1193" s="46" t="n">
        <v>1609.307</v>
      </c>
      <c r="S1193" s="46" t="n">
        <v>0</v>
      </c>
      <c r="T1193" s="46" t="n">
        <v>0</v>
      </c>
      <c r="U1193" s="46" t="n">
        <v>439.393</v>
      </c>
      <c r="V1193" s="46" t="n">
        <v>3859.314</v>
      </c>
      <c r="W1193" s="46" t="n">
        <v>1.748</v>
      </c>
      <c r="X1193" s="46" t="n">
        <v>0</v>
      </c>
      <c r="Y1193" s="46" t="n">
        <v>123.653</v>
      </c>
      <c r="Z1193" s="46" t="n">
        <v>26532.308</v>
      </c>
      <c r="AA1193" s="46" t="n">
        <v>3794.673</v>
      </c>
      <c r="AB1193" s="46" t="n">
        <v>115492.313</v>
      </c>
      <c r="AC1193" s="46" t="n">
        <v>0</v>
      </c>
      <c r="AD1193" s="46" t="n">
        <v>0</v>
      </c>
      <c r="AE1193" s="46" t="n">
        <v>45.123</v>
      </c>
      <c r="AF1193" s="46" t="n">
        <v>1537.013</v>
      </c>
      <c r="AG1193" s="46" t="n">
        <v>517953.795</v>
      </c>
      <c r="AH1193" s="46" t="n">
        <v>4137.818</v>
      </c>
      <c r="AI1193" s="46" t="n">
        <v>0</v>
      </c>
      <c r="AJ1193" s="46" t="n">
        <v>162.536</v>
      </c>
      <c r="AK1193" s="46" t="n">
        <v>357.673</v>
      </c>
      <c r="AL1193" s="46" t="n">
        <v>4268.548</v>
      </c>
      <c r="AM1193" s="46" t="n">
        <v>0</v>
      </c>
      <c r="AN1193" s="46" t="n">
        <v>0</v>
      </c>
      <c r="AO1193" s="46" t="n">
        <v>321.032</v>
      </c>
      <c r="AP1193" s="46" t="n">
        <v>23591.913</v>
      </c>
      <c r="AQ1193" s="46" t="n"/>
      <c r="AR1193" s="46" t="n"/>
    </row>
    <row r="1194" ht="14" customHeight="1">
      <c r="A1194" s="15" t="n">
        <v>2017</v>
      </c>
      <c r="B1194" s="43">
        <f>IF((A1194&gt;=2022),ROUND((AQ1194*AR1194),1),((((((((((((((((((((((((((((((((((((((((C1194+D1194)+E1194)+F1194)+G1194)+H1194)+I1194)+J1194)+K1194)+L1194)+M1194)+N1194)+O1194)+P1194)+Q1194)+R1194)+S1194)+T1194)+U1194)+V1194)+W1194)+X1194)+Y1194)+Z1194)+AA1194)+AB1194)+AC1194)+AD1194)+AE1194)+AF1194)+AG1194)+AH1194)+AI1194)+AJ1194)+AK1194)+AL1194)+AM1194)+AN1194)+AO1194)+AP1194)*0.001))</f>
        <v/>
      </c>
      <c r="C1194" s="44" t="n">
        <v>312410.142</v>
      </c>
      <c r="D1194" s="44" t="n">
        <v>0</v>
      </c>
      <c r="E1194" s="44" t="n">
        <v>29042.607</v>
      </c>
      <c r="F1194" s="44" t="n">
        <v>0</v>
      </c>
      <c r="G1194" s="44" t="n">
        <v>128558.103</v>
      </c>
      <c r="H1194" s="44" t="n">
        <v>13.587</v>
      </c>
      <c r="I1194" s="44" t="n">
        <v>0</v>
      </c>
      <c r="J1194" s="44" t="n">
        <v>0</v>
      </c>
      <c r="K1194" s="44" t="n">
        <v>11680.658</v>
      </c>
      <c r="L1194" s="44" t="n">
        <v>124093.253</v>
      </c>
      <c r="M1194" s="44" t="n">
        <v>238161.752</v>
      </c>
      <c r="N1194" s="44" t="n">
        <v>99.202</v>
      </c>
      <c r="O1194" s="44" t="n">
        <v>0</v>
      </c>
      <c r="P1194" s="44" t="n">
        <v>1.756</v>
      </c>
      <c r="Q1194" s="44" t="n">
        <v>390.905</v>
      </c>
      <c r="R1194" s="44" t="n">
        <v>1902.936</v>
      </c>
      <c r="S1194" s="44" t="n">
        <v>0</v>
      </c>
      <c r="T1194" s="44" t="n">
        <v>0</v>
      </c>
      <c r="U1194" s="44" t="n">
        <v>378.78</v>
      </c>
      <c r="V1194" s="44" t="n">
        <v>4485.214</v>
      </c>
      <c r="W1194" s="44" t="n">
        <v>1.489</v>
      </c>
      <c r="X1194" s="44" t="n">
        <v>0</v>
      </c>
      <c r="Y1194" s="44" t="n">
        <v>88.557</v>
      </c>
      <c r="Z1194" s="44" t="n">
        <v>28067.39</v>
      </c>
      <c r="AA1194" s="44" t="n">
        <v>5831.785</v>
      </c>
      <c r="AB1194" s="44" t="n">
        <v>125118.071</v>
      </c>
      <c r="AC1194" s="44" t="n">
        <v>0</v>
      </c>
      <c r="AD1194" s="44" t="n">
        <v>0</v>
      </c>
      <c r="AE1194" s="44" t="n">
        <v>19.648</v>
      </c>
      <c r="AF1194" s="44" t="n">
        <v>1748.556</v>
      </c>
      <c r="AG1194" s="44" t="n">
        <v>524108.114</v>
      </c>
      <c r="AH1194" s="44" t="n">
        <v>4341.313</v>
      </c>
      <c r="AI1194" s="44" t="n">
        <v>0</v>
      </c>
      <c r="AJ1194" s="44" t="n">
        <v>180.578</v>
      </c>
      <c r="AK1194" s="44" t="n">
        <v>640.353</v>
      </c>
      <c r="AL1194" s="44" t="n">
        <v>4983.159</v>
      </c>
      <c r="AM1194" s="44" t="n">
        <v>0</v>
      </c>
      <c r="AN1194" s="44" t="n">
        <v>0</v>
      </c>
      <c r="AO1194" s="44" t="n">
        <v>347.807</v>
      </c>
      <c r="AP1194" s="44" t="n">
        <v>24009.795</v>
      </c>
      <c r="AQ1194" s="44" t="n"/>
      <c r="AR1194" s="44" t="n"/>
    </row>
    <row r="1195" ht="14" customHeight="1">
      <c r="A1195" s="21" t="n">
        <v>2018</v>
      </c>
      <c r="B1195" s="45">
        <f>IF((A1195&gt;=2022),ROUND((AQ1195*AR1195),1),((((((((((((((((((((((((((((((((((((((((C1195+D1195)+E1195)+F1195)+G1195)+H1195)+I1195)+J1195)+K1195)+L1195)+M1195)+N1195)+O1195)+P1195)+Q1195)+R1195)+S1195)+T1195)+U1195)+V1195)+W1195)+X1195)+Y1195)+Z1195)+AA1195)+AB1195)+AC1195)+AD1195)+AE1195)+AF1195)+AG1195)+AH1195)+AI1195)+AJ1195)+AK1195)+AL1195)+AM1195)+AN1195)+AO1195)+AP1195)*0.001))</f>
        <v/>
      </c>
      <c r="C1195" s="46" t="n">
        <v>317735.01</v>
      </c>
      <c r="D1195" s="46" t="n">
        <v>0.167</v>
      </c>
      <c r="E1195" s="46" t="n">
        <v>31362.43</v>
      </c>
      <c r="F1195" s="46" t="n">
        <v>0</v>
      </c>
      <c r="G1195" s="46" t="n">
        <v>145347.2</v>
      </c>
      <c r="H1195" s="46" t="n">
        <v>11.906</v>
      </c>
      <c r="I1195" s="46" t="n">
        <v>0</v>
      </c>
      <c r="J1195" s="46" t="n">
        <v>0</v>
      </c>
      <c r="K1195" s="46" t="n">
        <v>11944.37</v>
      </c>
      <c r="L1195" s="46" t="n">
        <v>124776.732</v>
      </c>
      <c r="M1195" s="46" t="n">
        <v>240546.693</v>
      </c>
      <c r="N1195" s="46" t="n">
        <v>89.541</v>
      </c>
      <c r="O1195" s="46" t="n">
        <v>0</v>
      </c>
      <c r="P1195" s="46" t="n">
        <v>41.276</v>
      </c>
      <c r="Q1195" s="46" t="n">
        <v>435.761</v>
      </c>
      <c r="R1195" s="46" t="n">
        <v>3116.328</v>
      </c>
      <c r="S1195" s="46" t="n">
        <v>0</v>
      </c>
      <c r="T1195" s="46" t="n">
        <v>0</v>
      </c>
      <c r="U1195" s="46" t="n">
        <v>820.627</v>
      </c>
      <c r="V1195" s="46" t="n">
        <v>4737.841</v>
      </c>
      <c r="W1195" s="46" t="n">
        <v>0.488</v>
      </c>
      <c r="X1195" s="46" t="n">
        <v>0</v>
      </c>
      <c r="Y1195" s="46" t="n">
        <v>69.613</v>
      </c>
      <c r="Z1195" s="46" t="n">
        <v>30166.822</v>
      </c>
      <c r="AA1195" s="46" t="n">
        <v>5682.091</v>
      </c>
      <c r="AB1195" s="46" t="n">
        <v>139813.526</v>
      </c>
      <c r="AC1195" s="46" t="n">
        <v>0</v>
      </c>
      <c r="AD1195" s="46" t="n">
        <v>0</v>
      </c>
      <c r="AE1195" s="46" t="n">
        <v>7.974</v>
      </c>
      <c r="AF1195" s="46" t="n">
        <v>1788.903</v>
      </c>
      <c r="AG1195" s="46" t="n">
        <v>549148.716</v>
      </c>
      <c r="AH1195" s="46" t="n">
        <v>4462.967</v>
      </c>
      <c r="AI1195" s="46" t="n">
        <v>0</v>
      </c>
      <c r="AJ1195" s="46" t="n">
        <v>223.752</v>
      </c>
      <c r="AK1195" s="46" t="n">
        <v>591.255</v>
      </c>
      <c r="AL1195" s="46" t="n">
        <v>5413.652</v>
      </c>
      <c r="AM1195" s="46" t="n">
        <v>0</v>
      </c>
      <c r="AN1195" s="46" t="n">
        <v>0</v>
      </c>
      <c r="AO1195" s="46" t="n">
        <v>534.485</v>
      </c>
      <c r="AP1195" s="46" t="n">
        <v>23230.473</v>
      </c>
      <c r="AQ1195" s="46" t="n"/>
      <c r="AR1195" s="46" t="n"/>
    </row>
    <row r="1196" ht="14" customHeight="1">
      <c r="A1196" s="15" t="n">
        <v>2019</v>
      </c>
      <c r="B1196" s="43">
        <f>IF((A1196&gt;=2022),ROUND((AQ1196*AR1196),1),((((((((((((((((((((((((((((((((((((((((C1196+D1196)+E1196)+F1196)+G1196)+H1196)+I1196)+J1196)+K1196)+L1196)+M1196)+N1196)+O1196)+P1196)+Q1196)+R1196)+S1196)+T1196)+U1196)+V1196)+W1196)+X1196)+Y1196)+Z1196)+AA1196)+AB1196)+AC1196)+AD1196)+AE1196)+AF1196)+AG1196)+AH1196)+AI1196)+AJ1196)+AK1196)+AL1196)+AM1196)+AN1196)+AO1196)+AP1196)*0.001))</f>
        <v/>
      </c>
      <c r="C1196" s="44" t="n">
        <v>332665.14</v>
      </c>
      <c r="D1196" s="44" t="n">
        <v>6.833</v>
      </c>
      <c r="E1196" s="44" t="n">
        <v>32815.067</v>
      </c>
      <c r="F1196" s="44" t="n">
        <v>0</v>
      </c>
      <c r="G1196" s="44" t="n">
        <v>149101.339</v>
      </c>
      <c r="H1196" s="44" t="n">
        <v>11.478</v>
      </c>
      <c r="I1196" s="44" t="n">
        <v>0</v>
      </c>
      <c r="J1196" s="44" t="n">
        <v>0</v>
      </c>
      <c r="K1196" s="44" t="n">
        <v>12882.295</v>
      </c>
      <c r="L1196" s="44" t="n">
        <v>127449.813</v>
      </c>
      <c r="M1196" s="44" t="n">
        <v>245080.04</v>
      </c>
      <c r="N1196" s="44" t="n">
        <v>86.26900000000001</v>
      </c>
      <c r="O1196" s="44" t="n">
        <v>0</v>
      </c>
      <c r="P1196" s="44" t="n">
        <v>40.494</v>
      </c>
      <c r="Q1196" s="44" t="n">
        <v>335.273</v>
      </c>
      <c r="R1196" s="44" t="n">
        <v>3237.223</v>
      </c>
      <c r="S1196" s="44" t="n">
        <v>0</v>
      </c>
      <c r="T1196" s="44" t="n">
        <v>0</v>
      </c>
      <c r="U1196" s="44" t="n">
        <v>844.421</v>
      </c>
      <c r="V1196" s="44" t="n">
        <v>5452.62</v>
      </c>
      <c r="W1196" s="44" t="n">
        <v>0.407</v>
      </c>
      <c r="X1196" s="44" t="n">
        <v>0</v>
      </c>
      <c r="Y1196" s="44" t="n">
        <v>43.402</v>
      </c>
      <c r="Z1196" s="44" t="n">
        <v>31413.82</v>
      </c>
      <c r="AA1196" s="44" t="n">
        <v>5383.157</v>
      </c>
      <c r="AB1196" s="44" t="n">
        <v>145302.759</v>
      </c>
      <c r="AC1196" s="44" t="n">
        <v>0</v>
      </c>
      <c r="AD1196" s="44" t="n">
        <v>0</v>
      </c>
      <c r="AE1196" s="44" t="n">
        <v>15.18</v>
      </c>
      <c r="AF1196" s="44" t="n">
        <v>1877.897</v>
      </c>
      <c r="AG1196" s="44" t="n">
        <v>550665.4080000001</v>
      </c>
      <c r="AH1196" s="44" t="n">
        <v>4208.496</v>
      </c>
      <c r="AI1196" s="44" t="n">
        <v>0</v>
      </c>
      <c r="AJ1196" s="44" t="n">
        <v>191.899</v>
      </c>
      <c r="AK1196" s="44" t="n">
        <v>427.068</v>
      </c>
      <c r="AL1196" s="44" t="n">
        <v>5629.701</v>
      </c>
      <c r="AM1196" s="44" t="n">
        <v>0</v>
      </c>
      <c r="AN1196" s="44" t="n">
        <v>0</v>
      </c>
      <c r="AO1196" s="44" t="n">
        <v>612.448</v>
      </c>
      <c r="AP1196" s="44" t="n">
        <v>23194.132</v>
      </c>
      <c r="AQ1196" s="44" t="n"/>
      <c r="AR1196" s="44" t="n"/>
    </row>
    <row r="1197" ht="14" customHeight="1">
      <c r="A1197" s="21" t="n">
        <v>2020</v>
      </c>
      <c r="B1197" s="45">
        <f>IF((A1197&gt;=2022),ROUND((AQ1197*AR1197),1),((((((((((((((((((((((((((((((((((((((((C1197+D1197)+E1197)+F1197)+G1197)+H1197)+I1197)+J1197)+K1197)+L1197)+M1197)+N1197)+O1197)+P1197)+Q1197)+R1197)+S1197)+T1197)+U1197)+V1197)+W1197)+X1197)+Y1197)+Z1197)+AA1197)+AB1197)+AC1197)+AD1197)+AE1197)+AF1197)+AG1197)+AH1197)+AI1197)+AJ1197)+AK1197)+AL1197)+AM1197)+AN1197)+AO1197)+AP1197)*0.001))</f>
        <v/>
      </c>
      <c r="C1197" s="46" t="n">
        <v>341979.283</v>
      </c>
      <c r="D1197" s="46" t="n">
        <v>0</v>
      </c>
      <c r="E1197" s="46" t="n">
        <v>32710.338</v>
      </c>
      <c r="F1197" s="46" t="n">
        <v>0</v>
      </c>
      <c r="G1197" s="46" t="n">
        <v>155275.687</v>
      </c>
      <c r="H1197" s="46" t="n">
        <v>11.929</v>
      </c>
      <c r="I1197" s="46" t="n">
        <v>0</v>
      </c>
      <c r="J1197" s="46" t="n">
        <v>0</v>
      </c>
      <c r="K1197" s="46" t="n">
        <v>12275.861</v>
      </c>
      <c r="L1197" s="46" t="n">
        <v>132721.135</v>
      </c>
      <c r="M1197" s="46" t="n">
        <v>244203.963</v>
      </c>
      <c r="N1197" s="46" t="n">
        <v>86.261</v>
      </c>
      <c r="O1197" s="46" t="n">
        <v>0</v>
      </c>
      <c r="P1197" s="46" t="n">
        <v>39.757</v>
      </c>
      <c r="Q1197" s="46" t="n">
        <v>332.252</v>
      </c>
      <c r="R1197" s="46" t="n">
        <v>3124.552</v>
      </c>
      <c r="S1197" s="46" t="n">
        <v>0</v>
      </c>
      <c r="T1197" s="46" t="n">
        <v>0</v>
      </c>
      <c r="U1197" s="46" t="n">
        <v>1420.072</v>
      </c>
      <c r="V1197" s="46" t="n">
        <v>6069.95</v>
      </c>
      <c r="W1197" s="46" t="n">
        <v>0.423</v>
      </c>
      <c r="X1197" s="46" t="n">
        <v>0</v>
      </c>
      <c r="Y1197" s="46" t="n">
        <v>40.207</v>
      </c>
      <c r="Z1197" s="46" t="n">
        <v>30844.576</v>
      </c>
      <c r="AA1197" s="46" t="n">
        <v>5037.271</v>
      </c>
      <c r="AB1197" s="46" t="n">
        <v>148039.893</v>
      </c>
      <c r="AC1197" s="46" t="n">
        <v>0</v>
      </c>
      <c r="AD1197" s="46" t="n">
        <v>0</v>
      </c>
      <c r="AE1197" s="46" t="n">
        <v>8.574</v>
      </c>
      <c r="AF1197" s="46" t="n">
        <v>2078.783</v>
      </c>
      <c r="AG1197" s="46" t="n">
        <v>533390.709</v>
      </c>
      <c r="AH1197" s="46" t="n">
        <v>3723.283</v>
      </c>
      <c r="AI1197" s="46" t="n">
        <v>0</v>
      </c>
      <c r="AJ1197" s="46" t="n">
        <v>223.696</v>
      </c>
      <c r="AK1197" s="46" t="n">
        <v>464.234</v>
      </c>
      <c r="AL1197" s="46" t="n">
        <v>6169.91</v>
      </c>
      <c r="AM1197" s="46" t="n">
        <v>0</v>
      </c>
      <c r="AN1197" s="46" t="n">
        <v>0</v>
      </c>
      <c r="AO1197" s="46" t="n">
        <v>644.428</v>
      </c>
      <c r="AP1197" s="46" t="n">
        <v>23178.613</v>
      </c>
      <c r="AQ1197" s="46" t="n"/>
      <c r="AR1197" s="46" t="n"/>
    </row>
    <row r="1198" ht="14" customHeight="1">
      <c r="A1198" s="15" t="n">
        <v>2021</v>
      </c>
      <c r="B1198" s="43">
        <f>IF((A1198&gt;=2022),ROUND((AQ1198*AR1198),1),((((((((((((((((((((((((((((((((((((((((C1198+D1198)+E1198)+F1198)+G1198)+H1198)+I1198)+J1198)+K1198)+L1198)+M1198)+N1198)+O1198)+P1198)+Q1198)+R1198)+S1198)+T1198)+U1198)+V1198)+W1198)+X1198)+Y1198)+Z1198)+AA1198)+AB1198)+AC1198)+AD1198)+AE1198)+AF1198)+AG1198)+AH1198)+AI1198)+AJ1198)+AK1198)+AL1198)+AM1198)+AN1198)+AO1198)+AP1198)*0.001))</f>
        <v/>
      </c>
      <c r="C1198" s="44" t="n">
        <v>384161.476</v>
      </c>
      <c r="D1198" s="44" t="n">
        <v>0</v>
      </c>
      <c r="E1198" s="44" t="n">
        <v>36531.809</v>
      </c>
      <c r="F1198" s="44" t="n">
        <v>0</v>
      </c>
      <c r="G1198" s="44" t="n">
        <v>158092.28</v>
      </c>
      <c r="H1198" s="44" t="n">
        <v>54.976</v>
      </c>
      <c r="I1198" s="44" t="n">
        <v>0</v>
      </c>
      <c r="J1198" s="44" t="n">
        <v>0</v>
      </c>
      <c r="K1198" s="44" t="n">
        <v>11634.687</v>
      </c>
      <c r="L1198" s="44" t="n">
        <v>138700.057</v>
      </c>
      <c r="M1198" s="44" t="n">
        <v>245631.234</v>
      </c>
      <c r="N1198" s="44" t="n">
        <v>86.261</v>
      </c>
      <c r="O1198" s="44" t="n">
        <v>0</v>
      </c>
      <c r="P1198" s="44" t="n">
        <v>40.482</v>
      </c>
      <c r="Q1198" s="44" t="n">
        <v>262.269</v>
      </c>
      <c r="R1198" s="44" t="n">
        <v>3560.056</v>
      </c>
      <c r="S1198" s="44" t="n">
        <v>0</v>
      </c>
      <c r="T1198" s="44" t="n">
        <v>0</v>
      </c>
      <c r="U1198" s="44" t="n">
        <v>1304.164</v>
      </c>
      <c r="V1198" s="44" t="n">
        <v>5913.059</v>
      </c>
      <c r="W1198" s="44" t="n">
        <v>0.334</v>
      </c>
      <c r="X1198" s="44" t="n">
        <v>0</v>
      </c>
      <c r="Y1198" s="44" t="n">
        <v>29.639</v>
      </c>
      <c r="Z1198" s="44" t="n">
        <v>35123.005</v>
      </c>
      <c r="AA1198" s="44" t="n">
        <v>5441.528</v>
      </c>
      <c r="AB1198" s="44" t="n">
        <v>152780.422</v>
      </c>
      <c r="AC1198" s="44" t="n">
        <v>0</v>
      </c>
      <c r="AD1198" s="44" t="n">
        <v>0</v>
      </c>
      <c r="AE1198" s="44" t="n">
        <v>18.4</v>
      </c>
      <c r="AF1198" s="44" t="n">
        <v>1366.588</v>
      </c>
      <c r="AG1198" s="44" t="n">
        <v>582656.724</v>
      </c>
      <c r="AH1198" s="44" t="n">
        <v>3648.893</v>
      </c>
      <c r="AI1198" s="44" t="n">
        <v>0</v>
      </c>
      <c r="AJ1198" s="44" t="n">
        <v>244.062</v>
      </c>
      <c r="AK1198" s="44" t="n">
        <v>457.353</v>
      </c>
      <c r="AL1198" s="44" t="n">
        <v>6359.96</v>
      </c>
      <c r="AM1198" s="44" t="n">
        <v>0</v>
      </c>
      <c r="AN1198" s="44" t="n">
        <v>0</v>
      </c>
      <c r="AO1198" s="44" t="n">
        <v>476.599</v>
      </c>
      <c r="AP1198" s="44" t="n">
        <v>21119.913</v>
      </c>
      <c r="AQ1198" s="44" t="n"/>
      <c r="AR1198" s="44" t="n"/>
    </row>
    <row r="1199" ht="14" customHeight="1">
      <c r="A1199" s="21" t="n">
        <v>2022</v>
      </c>
      <c r="B1199" s="45">
        <f>IF((A1199&gt;=2022),ROUND((AQ1199*AR1199),1),((((((((((((((((((((((((((((((((((((((((C1199+D1199)+E1199)+F1199)+G1199)+H1199)+I1199)+J1199)+K1199)+L1199)+M1199)+N1199)+O1199)+P1199)+Q1199)+R1199)+S1199)+T1199)+U1199)+V1199)+W1199)+X1199)+Y1199)+Z1199)+AA1199)+AB1199)+AC1199)+AD1199)+AE1199)+AF1199)+AG1199)+AH1199)+AI1199)+AJ1199)+AK1199)+AL1199)+AM1199)+AN1199)+AO1199)+AP1199)*0.001))</f>
        <v/>
      </c>
      <c r="C1199" s="46" t="n"/>
      <c r="D1199" s="46" t="n"/>
      <c r="E1199" s="46" t="n"/>
      <c r="F1199" s="46" t="n"/>
      <c r="G1199" s="46" t="n"/>
      <c r="H1199" s="46" t="n"/>
      <c r="I1199" s="46" t="n"/>
      <c r="J1199" s="46" t="n"/>
      <c r="K1199" s="46" t="n"/>
      <c r="L1199" s="46" t="n"/>
      <c r="M1199" s="46" t="n"/>
      <c r="N1199" s="46" t="n"/>
      <c r="O1199" s="46" t="n"/>
      <c r="P1199" s="46" t="n"/>
      <c r="Q1199" s="46" t="n"/>
      <c r="R1199" s="46" t="n"/>
      <c r="S1199" s="46" t="n"/>
      <c r="T1199" s="46" t="n"/>
      <c r="U1199" s="46" t="n"/>
      <c r="V1199" s="46" t="n"/>
      <c r="W1199" s="46" t="n"/>
      <c r="X1199" s="46" t="n"/>
      <c r="Y1199" s="46" t="n"/>
      <c r="Z1199" s="46" t="n"/>
      <c r="AA1199" s="46" t="n"/>
      <c r="AB1199" s="46" t="n"/>
      <c r="AC1199" s="46" t="n"/>
      <c r="AD1199" s="46" t="n"/>
      <c r="AE1199" s="46" t="n"/>
      <c r="AF1199" s="46" t="n"/>
      <c r="AG1199" s="46" t="n"/>
      <c r="AH1199" s="46" t="n"/>
      <c r="AI1199" s="46" t="n"/>
      <c r="AJ1199" s="46" t="n"/>
      <c r="AK1199" s="46" t="n"/>
      <c r="AL1199" s="46" t="n"/>
      <c r="AM1199" s="46" t="n"/>
      <c r="AN1199" s="46" t="n"/>
      <c r="AO1199" s="46" t="n"/>
      <c r="AP1199" s="46" t="n"/>
      <c r="AQ1199" s="46" t="n">
        <v>1698044.762</v>
      </c>
      <c r="AR1199" s="46" t="n">
        <v>0.001</v>
      </c>
    </row>
    <row r="1200" ht="14" customHeight="1">
      <c r="A1200" s="15" t="n">
        <v>2023</v>
      </c>
      <c r="B1200" s="43">
        <f>IF((A1200&gt;=2022),ROUND((AQ1200*AR1200),1),((((((((((((((((((((((((((((((((((((((((C1200+D1200)+E1200)+F1200)+G1200)+H1200)+I1200)+J1200)+K1200)+L1200)+M1200)+N1200)+O1200)+P1200)+Q1200)+R1200)+S1200)+T1200)+U1200)+V1200)+W1200)+X1200)+Y1200)+Z1200)+AA1200)+AB1200)+AC1200)+AD1200)+AE1200)+AF1200)+AG1200)+AH1200)+AI1200)+AJ1200)+AK1200)+AL1200)+AM1200)+AN1200)+AO1200)+AP1200)*0.001))</f>
        <v/>
      </c>
      <c r="C1200" s="44" t="n"/>
      <c r="D1200" s="44" t="n"/>
      <c r="E1200" s="44" t="n"/>
      <c r="F1200" s="44" t="n"/>
      <c r="G1200" s="44" t="n"/>
      <c r="H1200" s="44" t="n"/>
      <c r="I1200" s="44" t="n"/>
      <c r="J1200" s="44" t="n"/>
      <c r="K1200" s="44" t="n"/>
      <c r="L1200" s="44" t="n"/>
      <c r="M1200" s="44" t="n"/>
      <c r="N1200" s="44" t="n"/>
      <c r="O1200" s="44" t="n"/>
      <c r="P1200" s="44" t="n"/>
      <c r="Q1200" s="44" t="n"/>
      <c r="R1200" s="44" t="n"/>
      <c r="S1200" s="44" t="n"/>
      <c r="T1200" s="44" t="n"/>
      <c r="U1200" s="44" t="n"/>
      <c r="V1200" s="44" t="n"/>
      <c r="W1200" s="44" t="n"/>
      <c r="X1200" s="44" t="n"/>
      <c r="Y1200" s="44" t="n"/>
      <c r="Z1200" s="44" t="n"/>
      <c r="AA1200" s="44" t="n"/>
      <c r="AB1200" s="44" t="n"/>
      <c r="AC1200" s="44" t="n"/>
      <c r="AD1200" s="44" t="n"/>
      <c r="AE1200" s="44" t="n"/>
      <c r="AF1200" s="44" t="n"/>
      <c r="AG1200" s="44" t="n"/>
      <c r="AH1200" s="44" t="n"/>
      <c r="AI1200" s="44" t="n"/>
      <c r="AJ1200" s="44" t="n"/>
      <c r="AK1200" s="44" t="n"/>
      <c r="AL1200" s="44" t="n"/>
      <c r="AM1200" s="44" t="n"/>
      <c r="AN1200" s="44" t="n"/>
      <c r="AO1200" s="44" t="n"/>
      <c r="AP1200" s="44" t="n"/>
      <c r="AQ1200" s="44" t="n">
        <v>1664896.118</v>
      </c>
      <c r="AR1200" s="44" t="n">
        <v>0.001</v>
      </c>
    </row>
    <row r="1201" ht="14" customHeight="1">
      <c r="A1201" s="21" t="n">
        <v>2024</v>
      </c>
      <c r="B1201" s="45">
        <f>IF((A1201&gt;=2022),ROUND((AQ1201*AR1201),1),((((((((((((((((((((((((((((((((((((((((C1201+D1201)+E1201)+F1201)+G1201)+H1201)+I1201)+J1201)+K1201)+L1201)+M1201)+N1201)+O1201)+P1201)+Q1201)+R1201)+S1201)+T1201)+U1201)+V1201)+W1201)+X1201)+Y1201)+Z1201)+AA1201)+AB1201)+AC1201)+AD1201)+AE1201)+AF1201)+AG1201)+AH1201)+AI1201)+AJ1201)+AK1201)+AL1201)+AM1201)+AN1201)+AO1201)+AP1201)*0.001))</f>
        <v/>
      </c>
      <c r="C1201" s="46" t="n"/>
      <c r="D1201" s="46" t="n"/>
      <c r="E1201" s="46" t="n"/>
      <c r="F1201" s="46" t="n"/>
      <c r="G1201" s="46" t="n"/>
      <c r="H1201" s="46" t="n"/>
      <c r="I1201" s="46" t="n"/>
      <c r="J1201" s="46" t="n"/>
      <c r="K1201" s="46" t="n"/>
      <c r="L1201" s="46" t="n"/>
      <c r="M1201" s="46" t="n"/>
      <c r="N1201" s="46" t="n"/>
      <c r="O1201" s="46" t="n"/>
      <c r="P1201" s="46" t="n"/>
      <c r="Q1201" s="46" t="n"/>
      <c r="R1201" s="46" t="n"/>
      <c r="S1201" s="46" t="n"/>
      <c r="T1201" s="46" t="n"/>
      <c r="U1201" s="46" t="n"/>
      <c r="V1201" s="46" t="n"/>
      <c r="W1201" s="46" t="n"/>
      <c r="X1201" s="46" t="n"/>
      <c r="Y1201" s="46" t="n"/>
      <c r="Z1201" s="46" t="n"/>
      <c r="AA1201" s="46" t="n"/>
      <c r="AB1201" s="46" t="n"/>
      <c r="AC1201" s="46" t="n"/>
      <c r="AD1201" s="46" t="n"/>
      <c r="AE1201" s="46" t="n"/>
      <c r="AF1201" s="46" t="n"/>
      <c r="AG1201" s="46" t="n"/>
      <c r="AH1201" s="46" t="n"/>
      <c r="AI1201" s="46" t="n"/>
      <c r="AJ1201" s="46" t="n"/>
      <c r="AK1201" s="46" t="n"/>
      <c r="AL1201" s="46" t="n"/>
      <c r="AM1201" s="46" t="n"/>
      <c r="AN1201" s="46" t="n"/>
      <c r="AO1201" s="46" t="n"/>
      <c r="AP1201" s="46" t="n"/>
      <c r="AQ1201" s="46" t="n">
        <v>1663518.857</v>
      </c>
      <c r="AR1201" s="46" t="n">
        <v>0.001</v>
      </c>
    </row>
    <row r="1204">
      <c r="A1204" s="55" t="inlineStr">
        <is>
          <t>F1 · EU fossil-fuel subsidies (FFST)  (billion EUR)</t>
        </is>
      </c>
    </row>
    <row r="1205" ht="26" customHeight="1">
      <c r="A1205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1206" ht="24" customHeight="1">
      <c r="A1206" s="3" t="inlineStr">
        <is>
          <t>Derivation:  Value = [Report figure (2024 report underlying data)]</t>
        </is>
      </c>
    </row>
    <row r="1207" ht="42" customHeight="1">
      <c r="A1207" s="42" t="inlineStr">
        <is>
          <t>Year</t>
        </is>
      </c>
      <c r="B1207" s="42" t="inlineStr">
        <is>
          <t>Value</t>
        </is>
      </c>
      <c r="C1207" s="42" t="inlineStr">
        <is>
          <t>Report figure (2024 report underlying data)</t>
        </is>
      </c>
    </row>
    <row r="1208" ht="14" customHeight="1">
      <c r="A1208" s="15" t="n">
        <v>2010</v>
      </c>
      <c r="B1208" s="43">
        <f>C1208</f>
        <v/>
      </c>
      <c r="C1208" s="44" t="n">
        <v>46.1</v>
      </c>
    </row>
    <row r="1209" ht="14" customHeight="1">
      <c r="A1209" s="21" t="n">
        <v>2011</v>
      </c>
      <c r="B1209" s="45">
        <f>C1209</f>
        <v/>
      </c>
      <c r="C1209" s="46" t="n">
        <v>49.08</v>
      </c>
    </row>
    <row r="1210" ht="14" customHeight="1">
      <c r="A1210" s="15" t="n">
        <v>2012</v>
      </c>
      <c r="B1210" s="43">
        <f>C1210</f>
        <v/>
      </c>
      <c r="C1210" s="44" t="n">
        <v>48.05</v>
      </c>
    </row>
    <row r="1211" ht="14" customHeight="1">
      <c r="A1211" s="21" t="n">
        <v>2013</v>
      </c>
      <c r="B1211" s="45">
        <f>C1211</f>
        <v/>
      </c>
      <c r="C1211" s="46" t="n">
        <v>48.38</v>
      </c>
    </row>
    <row r="1212" ht="14" customHeight="1">
      <c r="A1212" s="15" t="n">
        <v>2014</v>
      </c>
      <c r="B1212" s="43">
        <f>C1212</f>
        <v/>
      </c>
      <c r="C1212" s="44" t="n">
        <v>48.25</v>
      </c>
    </row>
    <row r="1213" ht="14" customHeight="1">
      <c r="A1213" s="21" t="n">
        <v>2015</v>
      </c>
      <c r="B1213" s="45">
        <f>C1213</f>
        <v/>
      </c>
      <c r="C1213" s="46" t="n">
        <v>44.22</v>
      </c>
    </row>
    <row r="1214" ht="14" customHeight="1">
      <c r="A1214" s="15" t="n">
        <v>2016</v>
      </c>
      <c r="B1214" s="43">
        <f>C1214</f>
        <v/>
      </c>
      <c r="C1214" s="44" t="n">
        <v>45</v>
      </c>
    </row>
    <row r="1215" ht="14" customHeight="1">
      <c r="A1215" s="21" t="n">
        <v>2017</v>
      </c>
      <c r="B1215" s="45">
        <f>C1215</f>
        <v/>
      </c>
      <c r="C1215" s="46" t="n">
        <v>47.59</v>
      </c>
    </row>
    <row r="1216" ht="14" customHeight="1">
      <c r="A1216" s="15" t="n">
        <v>2018</v>
      </c>
      <c r="B1216" s="43">
        <f>C1216</f>
        <v/>
      </c>
      <c r="C1216" s="44" t="n">
        <v>53.77</v>
      </c>
    </row>
    <row r="1217" ht="14" customHeight="1">
      <c r="A1217" s="21" t="n">
        <v>2019</v>
      </c>
      <c r="B1217" s="45">
        <f>C1217</f>
        <v/>
      </c>
      <c r="C1217" s="46" t="n">
        <v>51.53</v>
      </c>
    </row>
    <row r="1218" ht="14" customHeight="1">
      <c r="A1218" s="15" t="n">
        <v>2020</v>
      </c>
      <c r="B1218" s="43">
        <f>C1218</f>
        <v/>
      </c>
      <c r="C1218" s="44" t="n">
        <v>50.78</v>
      </c>
    </row>
    <row r="1219" ht="14" customHeight="1">
      <c r="A1219" s="21" t="n">
        <v>2021</v>
      </c>
      <c r="B1219" s="45">
        <f>C1219</f>
        <v/>
      </c>
      <c r="C1219" s="46" t="n">
        <v>56</v>
      </c>
    </row>
    <row r="1220" ht="14" customHeight="1">
      <c r="A1220" s="15" t="n">
        <v>2022</v>
      </c>
      <c r="B1220" s="43">
        <f>C1220</f>
        <v/>
      </c>
      <c r="C1220" s="44" t="n">
        <v>122</v>
      </c>
    </row>
    <row r="1221" ht="14" customHeight="1">
      <c r="A1221" s="21" t="n">
        <v>2023</v>
      </c>
      <c r="B1221" s="45">
        <f>C1221</f>
        <v/>
      </c>
      <c r="C1221" s="46" t="n">
        <v>111</v>
      </c>
    </row>
    <row r="1224">
      <c r="A1224" s="55" t="inlineStr">
        <is>
          <t>F2 (share) · Green share of EU bond issuance  (%)</t>
        </is>
      </c>
    </row>
    <row r="1225" ht="26" customHeight="1">
      <c r="A1225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1226" ht="24" customHeight="1">
      <c r="A1226" s="3" t="inlineStr">
        <is>
          <t>Derivation:  Value = [Report figure (2024 report underlying data)]</t>
        </is>
      </c>
    </row>
    <row r="1227" ht="42" customHeight="1">
      <c r="A1227" s="42" t="inlineStr">
        <is>
          <t>Year</t>
        </is>
      </c>
      <c r="B1227" s="42" t="inlineStr">
        <is>
          <t>Value</t>
        </is>
      </c>
      <c r="C1227" s="42" t="inlineStr">
        <is>
          <t>Report figure (2024 report underlying data)</t>
        </is>
      </c>
    </row>
    <row r="1228" ht="14" customHeight="1">
      <c r="A1228" s="15" t="n">
        <v>2012</v>
      </c>
      <c r="B1228" s="43">
        <f>C1228</f>
        <v/>
      </c>
      <c r="C1228" s="44" t="n">
        <v>0.08</v>
      </c>
    </row>
    <row r="1229" ht="14" customHeight="1">
      <c r="A1229" s="21" t="n">
        <v>2013</v>
      </c>
      <c r="B1229" s="45">
        <f>C1229</f>
        <v/>
      </c>
      <c r="C1229" s="46" t="n">
        <v>0.1</v>
      </c>
    </row>
    <row r="1230" ht="14" customHeight="1">
      <c r="A1230" s="15" t="n">
        <v>2014</v>
      </c>
      <c r="B1230" s="43">
        <f>C1230</f>
        <v/>
      </c>
      <c r="C1230" s="44" t="n">
        <v>0.83</v>
      </c>
    </row>
    <row r="1231" ht="14" customHeight="1">
      <c r="A1231" s="21" t="n">
        <v>2015</v>
      </c>
      <c r="B1231" s="45">
        <f>C1231</f>
        <v/>
      </c>
      <c r="C1231" s="46" t="n">
        <v>0.85</v>
      </c>
    </row>
    <row r="1232" ht="14" customHeight="1">
      <c r="A1232" s="15" t="n">
        <v>2016</v>
      </c>
      <c r="B1232" s="43">
        <f>C1232</f>
        <v/>
      </c>
      <c r="C1232" s="44" t="n">
        <v>1.69</v>
      </c>
    </row>
    <row r="1233" ht="14" customHeight="1">
      <c r="A1233" s="21" t="n">
        <v>2017</v>
      </c>
      <c r="B1233" s="45">
        <f>C1233</f>
        <v/>
      </c>
      <c r="C1233" s="46" t="n">
        <v>4.18</v>
      </c>
    </row>
    <row r="1234" ht="14" customHeight="1">
      <c r="A1234" s="15" t="n">
        <v>2018</v>
      </c>
      <c r="B1234" s="43">
        <f>C1234</f>
        <v/>
      </c>
      <c r="C1234" s="44" t="n">
        <v>3.19</v>
      </c>
    </row>
    <row r="1235" ht="14" customHeight="1">
      <c r="A1235" s="21" t="n">
        <v>2019</v>
      </c>
      <c r="B1235" s="45">
        <f>C1235</f>
        <v/>
      </c>
      <c r="C1235" s="46" t="n">
        <v>4.82</v>
      </c>
    </row>
    <row r="1236" ht="14" customHeight="1">
      <c r="A1236" s="15" t="n">
        <v>2020</v>
      </c>
      <c r="B1236" s="43">
        <f>C1236</f>
        <v/>
      </c>
      <c r="C1236" s="44" t="n">
        <v>4.57</v>
      </c>
    </row>
    <row r="1237" ht="14" customHeight="1">
      <c r="A1237" s="21" t="n">
        <v>2021</v>
      </c>
      <c r="B1237" s="45">
        <f>C1237</f>
        <v/>
      </c>
      <c r="C1237" s="46" t="n">
        <v>8.08</v>
      </c>
    </row>
    <row r="1238" ht="14" customHeight="1">
      <c r="A1238" s="15" t="n">
        <v>2022</v>
      </c>
      <c r="B1238" s="43">
        <f>C1238</f>
        <v/>
      </c>
      <c r="C1238" s="44" t="n">
        <v>6.74</v>
      </c>
    </row>
    <row r="1239" ht="14" customHeight="1">
      <c r="A1239" s="21" t="n">
        <v>2023</v>
      </c>
      <c r="B1239" s="45">
        <f>C1239</f>
        <v/>
      </c>
      <c r="C1239" s="46" t="n">
        <v>5.3</v>
      </c>
    </row>
    <row r="1240" ht="14" customHeight="1">
      <c r="A1240" s="15" t="n">
        <v>2024</v>
      </c>
      <c r="B1240" s="43">
        <f>C1240</f>
        <v/>
      </c>
      <c r="C1240" s="44" t="n">
        <v>6.9</v>
      </c>
    </row>
    <row r="1243">
      <c r="A1243" s="55" t="inlineStr">
        <is>
          <t>F3 · EU R&amp;D expenditure (GERD)  (% of GDP)</t>
        </is>
      </c>
    </row>
    <row r="1244" ht="26" customHeight="1">
      <c r="A1244" s="48" t="inlineStr">
        <is>
          <t>NOT the report's derivation for the later years — the formula switches by year to a different recipe, because the report's own inputs have no feed. The two halves of this series are not computed the same way.</t>
        </is>
      </c>
    </row>
    <row r="1245" ht="24" customHeight="1">
      <c r="A1245" s="3" t="inlineStr">
        <is>
          <t>Derivation:  Value = IF(A &gt;= 2023, ROUND([rd_e_gerdtot TOTAL], 2), [Report figure (2024 report underlying data)])</t>
        </is>
      </c>
    </row>
    <row r="1246" ht="42" customHeight="1">
      <c r="A1246" s="42" t="inlineStr">
        <is>
          <t>Year</t>
        </is>
      </c>
      <c r="B1246" s="42" t="inlineStr">
        <is>
          <t>Value</t>
        </is>
      </c>
      <c r="C1246" s="42" t="inlineStr">
        <is>
          <t>Report figure (2024 report underlying data)</t>
        </is>
      </c>
      <c r="D1246" s="42" t="inlineStr">
        <is>
          <t>rd_e_gerdtot TOTAL</t>
        </is>
      </c>
    </row>
    <row r="1247" ht="14" customHeight="1">
      <c r="A1247" s="15" t="n">
        <v>2012</v>
      </c>
      <c r="B1247" s="43">
        <f>IF((A1247&gt;=2023),ROUND(D1247,2),C1247)</f>
        <v/>
      </c>
      <c r="C1247" s="44" t="n">
        <v>2.02</v>
      </c>
      <c r="D1247" s="44" t="n"/>
    </row>
    <row r="1248" ht="14" customHeight="1">
      <c r="A1248" s="21" t="n">
        <v>2013</v>
      </c>
      <c r="B1248" s="45">
        <f>IF((A1248&gt;=2023),ROUND(D1248,2),C1248)</f>
        <v/>
      </c>
      <c r="C1248" s="46" t="n">
        <v>2.08</v>
      </c>
      <c r="D1248" s="46" t="n"/>
    </row>
    <row r="1249" ht="14" customHeight="1">
      <c r="A1249" s="15" t="n">
        <v>2014</v>
      </c>
      <c r="B1249" s="43">
        <f>IF((A1249&gt;=2023),ROUND(D1249,2),C1249)</f>
        <v/>
      </c>
      <c r="C1249" s="44" t="n">
        <v>2.1</v>
      </c>
      <c r="D1249" s="44" t="n"/>
    </row>
    <row r="1250" ht="14" customHeight="1">
      <c r="A1250" s="21" t="n">
        <v>2015</v>
      </c>
      <c r="B1250" s="45">
        <f>IF((A1250&gt;=2023),ROUND(D1250,2),C1250)</f>
        <v/>
      </c>
      <c r="C1250" s="46" t="n">
        <v>2.11</v>
      </c>
      <c r="D1250" s="46" t="n"/>
    </row>
    <row r="1251" ht="14" customHeight="1">
      <c r="A1251" s="15" t="n">
        <v>2016</v>
      </c>
      <c r="B1251" s="43">
        <f>IF((A1251&gt;=2023),ROUND(D1251,2),C1251)</f>
        <v/>
      </c>
      <c r="C1251" s="44" t="n">
        <v>2.12</v>
      </c>
      <c r="D1251" s="44" t="n"/>
    </row>
    <row r="1252" ht="14" customHeight="1">
      <c r="A1252" s="21" t="n">
        <v>2017</v>
      </c>
      <c r="B1252" s="45">
        <f>IF((A1252&gt;=2023),ROUND(D1252,2),C1252)</f>
        <v/>
      </c>
      <c r="C1252" s="46" t="n">
        <v>2.12</v>
      </c>
      <c r="D1252" s="46" t="n"/>
    </row>
    <row r="1253" ht="14" customHeight="1">
      <c r="A1253" s="15" t="n">
        <v>2018</v>
      </c>
      <c r="B1253" s="43">
        <f>IF((A1253&gt;=2023),ROUND(D1253,2),C1253)</f>
        <v/>
      </c>
      <c r="C1253" s="44" t="n">
        <v>2.15</v>
      </c>
      <c r="D1253" s="44" t="n"/>
    </row>
    <row r="1254" ht="14" customHeight="1">
      <c r="A1254" s="21" t="n">
        <v>2019</v>
      </c>
      <c r="B1254" s="45">
        <f>IF((A1254&gt;=2023),ROUND(D1254,2),C1254)</f>
        <v/>
      </c>
      <c r="C1254" s="46" t="n">
        <v>2.19</v>
      </c>
      <c r="D1254" s="46" t="n"/>
    </row>
    <row r="1255" ht="14" customHeight="1">
      <c r="A1255" s="15" t="n">
        <v>2020</v>
      </c>
      <c r="B1255" s="43">
        <f>IF((A1255&gt;=2023),ROUND(D1255,2),C1255)</f>
        <v/>
      </c>
      <c r="C1255" s="44" t="n">
        <v>2.23</v>
      </c>
      <c r="D1255" s="44" t="n"/>
    </row>
    <row r="1256" ht="14" customHeight="1">
      <c r="A1256" s="21" t="n">
        <v>2021</v>
      </c>
      <c r="B1256" s="45">
        <f>IF((A1256&gt;=2023),ROUND(D1256,2),C1256)</f>
        <v/>
      </c>
      <c r="C1256" s="46" t="n">
        <v>2.31</v>
      </c>
      <c r="D1256" s="46" t="n"/>
    </row>
    <row r="1257" ht="14" customHeight="1">
      <c r="A1257" s="15" t="n">
        <v>2022</v>
      </c>
      <c r="B1257" s="43">
        <f>IF((A1257&gt;=2023),ROUND(D1257,2),C1257)</f>
        <v/>
      </c>
      <c r="C1257" s="44" t="n">
        <v>2.27</v>
      </c>
      <c r="D1257" s="44" t="n"/>
    </row>
    <row r="1258" ht="14" customHeight="1">
      <c r="A1258" s="21" t="n">
        <v>2023</v>
      </c>
      <c r="B1258" s="45">
        <f>IF((A1258&gt;=2023),ROUND(D1258,2),C1258)</f>
        <v/>
      </c>
      <c r="C1258" s="46" t="n"/>
      <c r="D1258" s="46" t="n">
        <v>2.26</v>
      </c>
    </row>
    <row r="1259" ht="14" customHeight="1">
      <c r="A1259" s="15" t="n">
        <v>2024</v>
      </c>
      <c r="B1259" s="43">
        <f>IF((A1259&gt;=2023),ROUND(D1259,2),C1259)</f>
        <v/>
      </c>
      <c r="C1259" s="44" t="n"/>
      <c r="D1259" s="44" t="n">
        <v>2.24</v>
      </c>
    </row>
    <row r="1262">
      <c r="A1262" s="55" t="inlineStr">
        <is>
          <t>F5 · Cleantech venture &amp; growth investment in the EU  (% of GDP)</t>
        </is>
      </c>
    </row>
    <row r="1263" ht="26" customHeight="1">
      <c r="A1263" s="41" t="inlineStr">
        <is>
          <t>The report's formula throughout; for the later years its single input is back-computed from the published figure through the sheet's own constants, so the arithmetic is unchanged.</t>
        </is>
      </c>
    </row>
    <row r="1264" ht="24" customHeight="1">
      <c r="A1264" s="3" t="inlineStr">
        <is>
          <t>Derivation:  Value = [Report figure (2024 report underlying data)]</t>
        </is>
      </c>
    </row>
    <row r="1265" ht="42" customHeight="1">
      <c r="A1265" s="42" t="inlineStr">
        <is>
          <t>Year</t>
        </is>
      </c>
      <c r="B1265" s="42" t="inlineStr">
        <is>
          <t>Value</t>
        </is>
      </c>
      <c r="C1265" s="42" t="inlineStr">
        <is>
          <t>Report figure (2024 report underlying data)</t>
        </is>
      </c>
    </row>
    <row r="1266" ht="14" customHeight="1">
      <c r="A1266" s="15" t="n">
        <v>2018</v>
      </c>
      <c r="B1266" s="43">
        <f>C1266</f>
        <v/>
      </c>
      <c r="C1266" s="44" t="n">
        <v>0.02</v>
      </c>
    </row>
    <row r="1267" ht="14" customHeight="1">
      <c r="A1267" s="21" t="n">
        <v>2019</v>
      </c>
      <c r="B1267" s="45">
        <f>C1267</f>
        <v/>
      </c>
      <c r="C1267" s="46" t="n">
        <v>0.03</v>
      </c>
    </row>
    <row r="1268" ht="14" customHeight="1">
      <c r="A1268" s="15" t="n">
        <v>2020</v>
      </c>
      <c r="B1268" s="43">
        <f>C1268</f>
        <v/>
      </c>
      <c r="C1268" s="44" t="n">
        <v>0.03</v>
      </c>
    </row>
    <row r="1269" ht="14" customHeight="1">
      <c r="A1269" s="21" t="n">
        <v>2021</v>
      </c>
      <c r="B1269" s="45">
        <f>C1269</f>
        <v/>
      </c>
      <c r="C1269" s="46" t="n">
        <v>0.07000000000000001</v>
      </c>
    </row>
    <row r="1270" ht="14" customHeight="1">
      <c r="A1270" s="15" t="n">
        <v>2022</v>
      </c>
      <c r="B1270" s="43">
        <f>C1270</f>
        <v/>
      </c>
      <c r="C1270" s="44" t="n">
        <v>0.06</v>
      </c>
    </row>
    <row r="1271" ht="14" customHeight="1">
      <c r="A1271" s="21" t="n">
        <v>2023</v>
      </c>
      <c r="B1271" s="45">
        <f>C1271</f>
        <v/>
      </c>
      <c r="C1271" s="46" t="n">
        <v>0.07000000000000001</v>
      </c>
    </row>
    <row r="1272" ht="14" customHeight="1">
      <c r="A1272" s="15" t="n">
        <v>2024</v>
      </c>
      <c r="B1272" s="43">
        <f>C1272</f>
        <v/>
      </c>
      <c r="C1272" s="44" t="n">
        <v>0.05</v>
      </c>
    </row>
    <row r="1273" ht="14" customHeight="1">
      <c r="A1273" s="21" t="n">
        <v>2025</v>
      </c>
      <c r="B1273" s="45">
        <f>C1273</f>
        <v/>
      </c>
      <c r="C1273" s="46" t="n">
        <v>0.04</v>
      </c>
    </row>
    <row r="1276">
      <c r="A1276" s="56" t="inlineStr">
        <is>
          <t>Notes: a formula of the form =IF(A…&gt;=2023, ROUND(&lt;live-source recipe&gt;), &lt;report recipe&gt;) keeps the report years on the 2024 workbook's derivation and computes the later years from the live source. Both derivations are shown because they are genuinely different.</t>
        </is>
      </c>
    </row>
  </sheetData>
  <mergeCells count="176">
    <mergeCell ref="A873:H873"/>
    <mergeCell ref="A345:L345"/>
    <mergeCell ref="A444:L444"/>
    <mergeCell ref="A980:H980"/>
    <mergeCell ref="A138:H138"/>
    <mergeCell ref="A915:H915"/>
    <mergeCell ref="A938:L938"/>
    <mergeCell ref="A958:H958"/>
    <mergeCell ref="A776:L776"/>
    <mergeCell ref="A139:L139"/>
    <mergeCell ref="A113:L113"/>
    <mergeCell ref="A443:L443"/>
    <mergeCell ref="A468:L468"/>
    <mergeCell ref="A875:L875"/>
    <mergeCell ref="A1244:L1244"/>
    <mergeCell ref="A1068:L1068"/>
    <mergeCell ref="A1225:L1225"/>
    <mergeCell ref="A470:L470"/>
    <mergeCell ref="A317:H317"/>
    <mergeCell ref="A1004:L1004"/>
    <mergeCell ref="A371:L371"/>
    <mergeCell ref="A613:L613"/>
    <mergeCell ref="A165:L165"/>
    <mergeCell ref="A494:L494"/>
    <mergeCell ref="A874:L874"/>
    <mergeCell ref="A1099:H1099"/>
    <mergeCell ref="A293:L293"/>
    <mergeCell ref="A981:L981"/>
    <mergeCell ref="A1226:L1226"/>
    <mergeCell ref="A34:L34"/>
    <mergeCell ref="A1045:H1045"/>
    <mergeCell ref="A588:H588"/>
    <mergeCell ref="A568:L568"/>
    <mergeCell ref="A520:L520"/>
    <mergeCell ref="A1046:L1046"/>
    <mergeCell ref="A799:H799"/>
    <mergeCell ref="A6:L6"/>
    <mergeCell ref="A982:L982"/>
    <mergeCell ref="A31:H31"/>
    <mergeCell ref="A58:H58"/>
    <mergeCell ref="A421:H421"/>
    <mergeCell ref="A625:L625"/>
    <mergeCell ref="A1091:L1091"/>
    <mergeCell ref="A1180:L1180"/>
    <mergeCell ref="A672:H672"/>
    <mergeCell ref="A291:H291"/>
    <mergeCell ref="A469:L469"/>
    <mergeCell ref="A1127:L1127"/>
    <mergeCell ref="A239:L239"/>
    <mergeCell ref="A237:H237"/>
    <mergeCell ref="A1126:H1126"/>
    <mergeCell ref="A5:L5"/>
    <mergeCell ref="A32:L32"/>
    <mergeCell ref="A397:H397"/>
    <mergeCell ref="A699:H699"/>
    <mergeCell ref="A214:H214"/>
    <mergeCell ref="A163:H163"/>
    <mergeCell ref="A1206:L1206"/>
    <mergeCell ref="A1100:L1100"/>
    <mergeCell ref="A916:L916"/>
    <mergeCell ref="A372:L372"/>
    <mergeCell ref="A1152:H1152"/>
    <mergeCell ref="A85:H85"/>
    <mergeCell ref="A1090:L1090"/>
    <mergeCell ref="A801:L801"/>
    <mergeCell ref="A1264:L1264"/>
    <mergeCell ref="A188:H188"/>
    <mergeCell ref="A266:L266"/>
    <mergeCell ref="A1263:L1263"/>
    <mergeCell ref="A60:L60"/>
    <mergeCell ref="A1101:L1101"/>
    <mergeCell ref="A800:L800"/>
    <mergeCell ref="A112:H112"/>
    <mergeCell ref="A724:H724"/>
    <mergeCell ref="A399:L399"/>
    <mergeCell ref="A614:L614"/>
    <mergeCell ref="A646:H646"/>
    <mergeCell ref="A422:L422"/>
    <mergeCell ref="A777:L777"/>
    <mergeCell ref="A567:L567"/>
    <mergeCell ref="A1089:H1089"/>
    <mergeCell ref="A292:L292"/>
    <mergeCell ref="A423:L423"/>
    <mergeCell ref="A894:H894"/>
    <mergeCell ref="A826:L826"/>
    <mergeCell ref="A626:L626"/>
    <mergeCell ref="A189:L189"/>
    <mergeCell ref="A467:H467"/>
    <mergeCell ref="A751:H751"/>
    <mergeCell ref="A936:H936"/>
    <mergeCell ref="A238:L238"/>
    <mergeCell ref="A294:L294"/>
    <mergeCell ref="A825:H825"/>
    <mergeCell ref="A1067:H1067"/>
    <mergeCell ref="A1047:L1047"/>
    <mergeCell ref="A959:L959"/>
    <mergeCell ref="A2:L2"/>
    <mergeCell ref="A86:L86"/>
    <mergeCell ref="A1245:L1245"/>
    <mergeCell ref="A725:L725"/>
    <mergeCell ref="A896:L896"/>
    <mergeCell ref="A566:H566"/>
    <mergeCell ref="A624:H624"/>
    <mergeCell ref="A1154:L1154"/>
    <mergeCell ref="A519:H519"/>
    <mergeCell ref="A215:L215"/>
    <mergeCell ref="A493:H493"/>
    <mergeCell ref="A853:L853"/>
    <mergeCell ref="A851:H851"/>
    <mergeCell ref="A960:L960"/>
    <mergeCell ref="A318:L318"/>
    <mergeCell ref="A1025:L1025"/>
    <mergeCell ref="A1153:L1153"/>
    <mergeCell ref="A265:L265"/>
    <mergeCell ref="A543:H543"/>
    <mergeCell ref="A1205:L1205"/>
    <mergeCell ref="A1128:L1128"/>
    <mergeCell ref="A726:L726"/>
    <mergeCell ref="A1024:H1024"/>
    <mergeCell ref="A320:L320"/>
    <mergeCell ref="A673:L673"/>
    <mergeCell ref="A114:L114"/>
    <mergeCell ref="A701:L701"/>
    <mergeCell ref="A59:L59"/>
    <mergeCell ref="A590:L590"/>
    <mergeCell ref="A1003:L1003"/>
    <mergeCell ref="A648:L648"/>
    <mergeCell ref="A589:L589"/>
    <mergeCell ref="A647:L647"/>
    <mergeCell ref="A61:L61"/>
    <mergeCell ref="A88:L88"/>
    <mergeCell ref="A344:H344"/>
    <mergeCell ref="A917:L917"/>
    <mergeCell ref="A346:L346"/>
    <mergeCell ref="A398:L398"/>
    <mergeCell ref="A753:L753"/>
    <mergeCell ref="A7:L7"/>
    <mergeCell ref="A674:L674"/>
    <mergeCell ref="A164:L164"/>
    <mergeCell ref="A752:L752"/>
    <mergeCell ref="A1204:H1204"/>
    <mergeCell ref="A267:L267"/>
    <mergeCell ref="A1102:L1102"/>
    <mergeCell ref="A370:H370"/>
    <mergeCell ref="A675:L675"/>
    <mergeCell ref="A33:L33"/>
    <mergeCell ref="A442:H442"/>
    <mergeCell ref="A1262:H1262"/>
    <mergeCell ref="A1243:H1243"/>
    <mergeCell ref="A545:L545"/>
    <mergeCell ref="A264:H264"/>
    <mergeCell ref="A895:L895"/>
    <mergeCell ref="A140:L140"/>
    <mergeCell ref="A852:L852"/>
    <mergeCell ref="A495:L495"/>
    <mergeCell ref="A700:L700"/>
    <mergeCell ref="A240:L240"/>
    <mergeCell ref="A1224:H1224"/>
    <mergeCell ref="A827:L827"/>
    <mergeCell ref="A1069:L1069"/>
    <mergeCell ref="A190:L190"/>
    <mergeCell ref="A544:L544"/>
    <mergeCell ref="A775:H775"/>
    <mergeCell ref="A1002:H1002"/>
    <mergeCell ref="A1276:L1276"/>
    <mergeCell ref="A319:L319"/>
    <mergeCell ref="A4:H4"/>
    <mergeCell ref="A521:L521"/>
    <mergeCell ref="A937:L937"/>
    <mergeCell ref="A1:L1"/>
    <mergeCell ref="A216:L216"/>
    <mergeCell ref="A1178:H1178"/>
    <mergeCell ref="A612:H612"/>
    <mergeCell ref="A1026:L1026"/>
    <mergeCell ref="A1179:L1179"/>
    <mergeCell ref="A87:L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D7E83"/>
    <outlinePr summaryBelow="1" summaryRight="1"/>
    <pageSetUpPr/>
  </sheetPr>
  <dimension ref="A1:D387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100" customWidth="1" min="4" max="4"/>
  </cols>
  <sheetData>
    <row r="1" ht="22" customHeight="1">
      <c r="A1" s="12" t="inlineStr">
        <is>
          <t>Code</t>
        </is>
      </c>
      <c r="B1" s="12" t="inlineStr">
        <is>
          <t>Indicator</t>
        </is>
      </c>
      <c r="C1" s="12" t="inlineStr">
        <is>
          <t>Input column</t>
        </is>
      </c>
      <c r="D1" s="12" t="inlineStr">
        <is>
          <t>Where that input comes from</t>
        </is>
      </c>
    </row>
    <row r="2" ht="26" customHeight="1">
      <c r="A2" s="13" t="inlineStr">
        <is>
          <t>O1</t>
        </is>
      </c>
      <c r="B2" s="14" t="inlineStr">
        <is>
          <t>Total EU GHG emissions (European Climate Law scope)</t>
        </is>
      </c>
      <c r="C2" s="14" t="inlineStr">
        <is>
          <t>Value</t>
        </is>
      </c>
      <c r="D2" s="18" t="inlineStr">
        <is>
          <t>EEA GHG data viewer</t>
        </is>
      </c>
    </row>
    <row r="3" ht="26" customHeight="1">
      <c r="A3" s="57" t="inlineStr"/>
      <c r="B3" s="20" t="inlineStr"/>
      <c r="C3" s="20" t="inlineStr">
        <is>
          <t>International aviation</t>
        </is>
      </c>
      <c r="D3" s="24" t="inlineStr">
        <is>
          <t>EEA GHG data viewer</t>
        </is>
      </c>
    </row>
    <row r="4" ht="26" customHeight="1">
      <c r="A4" s="13" t="inlineStr"/>
      <c r="B4" s="14" t="inlineStr"/>
      <c r="C4" s="14" t="inlineStr">
        <is>
          <t>Energy supply</t>
        </is>
      </c>
      <c r="D4" s="18" t="inlineStr">
        <is>
          <t>EEA GHG data viewer</t>
        </is>
      </c>
    </row>
    <row r="5" ht="26" customHeight="1">
      <c r="A5" s="57" t="inlineStr"/>
      <c r="B5" s="20" t="inlineStr"/>
      <c r="C5" s="20" t="inlineStr">
        <is>
          <t>Industry</t>
        </is>
      </c>
      <c r="D5" s="24" t="inlineStr">
        <is>
          <t>EEA GHG data viewer</t>
        </is>
      </c>
    </row>
    <row r="6" ht="26" customHeight="1">
      <c r="A6" s="13" t="inlineStr"/>
      <c r="B6" s="14" t="inlineStr"/>
      <c r="C6" s="14" t="inlineStr">
        <is>
          <t>Transport</t>
        </is>
      </c>
      <c r="D6" s="18" t="inlineStr">
        <is>
          <t>EEA GHG data viewer</t>
        </is>
      </c>
    </row>
    <row r="7" ht="26" customHeight="1">
      <c r="A7" s="57" t="inlineStr"/>
      <c r="B7" s="20" t="inlineStr"/>
      <c r="C7" s="20" t="inlineStr">
        <is>
          <t>Buildings and agriculture energy</t>
        </is>
      </c>
      <c r="D7" s="24" t="inlineStr">
        <is>
          <t>EEA GHG data viewer</t>
        </is>
      </c>
    </row>
    <row r="8" ht="26" customHeight="1">
      <c r="A8" s="13" t="inlineStr"/>
      <c r="B8" s="14" t="inlineStr"/>
      <c r="C8" s="14" t="inlineStr">
        <is>
          <t>Agriculture (non-energy)</t>
        </is>
      </c>
      <c r="D8" s="18" t="inlineStr">
        <is>
          <t>EEA GHG data viewer</t>
        </is>
      </c>
    </row>
    <row r="9" ht="26" customHeight="1">
      <c r="A9" s="57" t="inlineStr"/>
      <c r="B9" s="20" t="inlineStr"/>
      <c r="C9" s="20" t="inlineStr">
        <is>
          <t>LULUCF</t>
        </is>
      </c>
      <c r="D9" s="24" t="inlineStr">
        <is>
          <t>EEA GHG data viewer</t>
        </is>
      </c>
    </row>
    <row r="10" ht="26" customHeight="1">
      <c r="A10" s="13" t="inlineStr"/>
      <c r="B10" s="14" t="inlineStr"/>
      <c r="C10" s="14" t="inlineStr">
        <is>
          <t>Waste and other sectors</t>
        </is>
      </c>
      <c r="D10" s="18" t="inlineStr">
        <is>
          <t>EEA GHG data viewer</t>
        </is>
      </c>
    </row>
    <row r="11" ht="26" customHeight="1">
      <c r="A11" s="57" t="inlineStr"/>
      <c r="B11" s="20" t="inlineStr"/>
      <c r="C11" s="20" t="inlineStr">
        <is>
          <t>International maritime</t>
        </is>
      </c>
      <c r="D11" s="24" t="inlineStr">
        <is>
          <t>EEA GHG data viewer</t>
        </is>
      </c>
    </row>
    <row r="12" ht="26" customHeight="1">
      <c r="A12" s="13" t="inlineStr"/>
      <c r="B12" s="14" t="inlineStr"/>
      <c r="C12" s="14" t="inlineStr">
        <is>
          <t>1.D.1.a - International Aviation</t>
        </is>
      </c>
      <c r="D12" s="18" t="inlineStr">
        <is>
          <t>EEA GHG data viewer</t>
        </is>
      </c>
    </row>
    <row r="13" ht="26" customHeight="1">
      <c r="A13" s="57" t="inlineStr"/>
      <c r="B13" s="20" t="inlineStr"/>
      <c r="C13" s="20" t="inlineStr">
        <is>
          <t>1.A.1 - Energy Industries</t>
        </is>
      </c>
      <c r="D13" s="24" t="inlineStr">
        <is>
          <t>EEA GHG data viewer</t>
        </is>
      </c>
    </row>
    <row r="14" ht="26" customHeight="1">
      <c r="A14" s="13" t="inlineStr"/>
      <c r="B14" s="14" t="inlineStr"/>
      <c r="C14" s="14" t="inlineStr">
        <is>
          <t>1.B - Fugitive Emissions from Fuels</t>
        </is>
      </c>
      <c r="D14" s="18" t="inlineStr">
        <is>
          <t>EEA GHG data viewer</t>
        </is>
      </c>
    </row>
    <row r="15" ht="26" customHeight="1">
      <c r="A15" s="57" t="inlineStr"/>
      <c r="B15" s="20" t="inlineStr"/>
      <c r="C15" s="20" t="inlineStr">
        <is>
          <t>1.A.2 - Manufacturing Industries and Construction</t>
        </is>
      </c>
      <c r="D15" s="24" t="inlineStr">
        <is>
          <t>EEA GHG data viewer</t>
        </is>
      </c>
    </row>
    <row r="16" ht="26" customHeight="1">
      <c r="A16" s="13" t="inlineStr"/>
      <c r="B16" s="14" t="inlineStr"/>
      <c r="C16" s="14" t="inlineStr">
        <is>
          <t>2 - Industrial Processes and Product Use</t>
        </is>
      </c>
      <c r="D16" s="18" t="inlineStr">
        <is>
          <t>EEA GHG data viewer</t>
        </is>
      </c>
    </row>
    <row r="17" ht="26" customHeight="1">
      <c r="A17" s="57" t="inlineStr"/>
      <c r="B17" s="20" t="inlineStr"/>
      <c r="C17" s="20" t="inlineStr">
        <is>
          <t>1.A.3 - Transport</t>
        </is>
      </c>
      <c r="D17" s="24" t="inlineStr">
        <is>
          <t>EEA GHG data viewer</t>
        </is>
      </c>
    </row>
    <row r="18" ht="26" customHeight="1">
      <c r="A18" s="13" t="inlineStr"/>
      <c r="B18" s="14" t="inlineStr"/>
      <c r="C18" s="14" t="inlineStr">
        <is>
          <t>1.A.4 - Other Sectors</t>
        </is>
      </c>
      <c r="D18" s="18" t="inlineStr">
        <is>
          <t>EEA GHG data viewer</t>
        </is>
      </c>
    </row>
    <row r="19" ht="26" customHeight="1">
      <c r="A19" s="57" t="inlineStr"/>
      <c r="B19" s="20" t="inlineStr"/>
      <c r="C19" s="20" t="inlineStr">
        <is>
          <t>3 - Agriculture</t>
        </is>
      </c>
      <c r="D19" s="24" t="inlineStr">
        <is>
          <t>EEA GHG data viewer</t>
        </is>
      </c>
    </row>
    <row r="20" ht="26" customHeight="1">
      <c r="A20" s="13" t="inlineStr"/>
      <c r="B20" s="14" t="inlineStr"/>
      <c r="C20" s="14" t="inlineStr">
        <is>
          <t>4 - Land Use, Land-Use Change and Forestry</t>
        </is>
      </c>
      <c r="D20" s="18" t="inlineStr">
        <is>
          <t>EEA GHG data viewer</t>
        </is>
      </c>
    </row>
    <row r="21" ht="26" customHeight="1">
      <c r="A21" s="57" t="inlineStr"/>
      <c r="B21" s="20" t="inlineStr"/>
      <c r="C21" s="20" t="inlineStr">
        <is>
          <t>Total net emissions (UNFCCC)</t>
        </is>
      </c>
      <c r="D21" s="24" t="inlineStr">
        <is>
          <t>EEA GHG data viewer</t>
        </is>
      </c>
    </row>
    <row r="22" ht="26" customHeight="1">
      <c r="A22" s="13" t="inlineStr"/>
      <c r="B22" s="14" t="inlineStr"/>
      <c r="C22" s="14" t="inlineStr">
        <is>
          <t>1.D.1.b - International Navigation</t>
        </is>
      </c>
      <c r="D22" s="18" t="inlineStr">
        <is>
          <t>EEA GHG data viewer</t>
        </is>
      </c>
    </row>
    <row r="23" ht="26" customHeight="1">
      <c r="A23" s="57" t="inlineStr"/>
      <c r="B23" s="20" t="inlineStr"/>
      <c r="C23" s="20" t="inlineStr">
        <is>
          <t>env_air_gge TOTXMEMO</t>
        </is>
      </c>
      <c r="D23" s="24" t="inlineStr">
        <is>
          <t>Eurostat env_air_gge · geo=EU27_2020, unit=MIO_T, freq=A, airpol=GHG, src_crf=TOTXMEMO · https://ec.europa.eu/eurostat/api/dissemination/statistics/1.0/data/env_air_gge?format=JSON&amp;lang=EN&amp;geo=EU27_2020&amp;unit=MIO_T&amp;freq=A&amp;airpol=GHG&amp;src_crf=TOTXMEMO</t>
        </is>
      </c>
    </row>
    <row r="24" ht="26" customHeight="1">
      <c r="A24" s="13" t="inlineStr"/>
      <c r="B24" s="14" t="inlineStr"/>
      <c r="C24" s="14" t="inlineStr">
        <is>
          <t>env_air_gge CRF1D1A</t>
        </is>
      </c>
      <c r="D24" s="18" t="inlineStr">
        <is>
          <t>Eurostat env_air_gge · geo=EU27_2020, unit=MIO_T, freq=A, airpol=GHG, src_crf=CRF1D1A · https://ec.europa.eu/eurostat/api/dissemination/statistics/1.0/data/env_air_gge?format=JSON&amp;lang=EN&amp;geo=EU27_2020&amp;unit=MIO_T&amp;freq=A&amp;airpol=GHG&amp;src_crf=CRF1D1A</t>
        </is>
      </c>
    </row>
    <row r="25" ht="26" customHeight="1">
      <c r="A25" s="57" t="inlineStr"/>
      <c r="B25" s="20" t="inlineStr"/>
      <c r="C25" s="20" t="inlineStr">
        <is>
          <t>env_air_gge CRF1D1B</t>
        </is>
      </c>
      <c r="D25" s="24" t="inlineStr">
        <is>
          <t>Eurostat env_air_gge · geo=EU27_2020, unit=MIO_T, freq=A, airpol=GHG, src_crf=CRF1D1B · https://ec.europa.eu/eurostat/api/dissemination/statistics/1.0/data/env_air_gge?format=JSON&amp;lang=EN&amp;geo=EU27_2020&amp;unit=MIO_T&amp;freq=A&amp;airpol=GHG&amp;src_crf=CRF1D1B</t>
        </is>
      </c>
    </row>
    <row r="26" ht="26" customHeight="1">
      <c r="A26" s="13" t="inlineStr">
        <is>
          <t>E1</t>
        </is>
      </c>
      <c r="B26" s="14" t="inlineStr">
        <is>
          <t>Energy supply GHG emissions</t>
        </is>
      </c>
      <c r="C26" s="14" t="inlineStr">
        <is>
          <t>Value</t>
        </is>
      </c>
      <c r="D26" s="18" t="inlineStr">
        <is>
          <t>EEA / EU GHG inventory (UNFCCC CRF), EU-27</t>
        </is>
      </c>
    </row>
    <row r="27" ht="26" customHeight="1">
      <c r="A27" s="57" t="inlineStr"/>
      <c r="B27" s="20" t="inlineStr"/>
      <c r="C27" s="20" t="inlineStr">
        <is>
          <t>Power and heat</t>
        </is>
      </c>
      <c r="D27" s="24" t="inlineStr">
        <is>
          <t>CRF table (2023 submission): 1.A.1.a (total)</t>
        </is>
      </c>
    </row>
    <row r="28" ht="26" customHeight="1">
      <c r="A28" s="13" t="inlineStr"/>
      <c r="B28" s="14" t="inlineStr"/>
      <c r="C28" s="14" t="inlineStr">
        <is>
          <t>Petroleum refineries</t>
        </is>
      </c>
      <c r="D28" s="18" t="inlineStr">
        <is>
          <t>CRF table (2023 submission): 1.A.1.b (total)</t>
        </is>
      </c>
    </row>
    <row r="29" ht="26" customHeight="1">
      <c r="A29" s="57" t="inlineStr"/>
      <c r="B29" s="20" t="inlineStr"/>
      <c r="C29" s="20" t="inlineStr">
        <is>
          <t>Other (mining, gas transport, …)</t>
        </is>
      </c>
      <c r="D29" s="24" t="inlineStr">
        <is>
          <t>CRF table (2023 submission): 1.A.1.c (total)</t>
        </is>
      </c>
    </row>
    <row r="30" ht="26" customHeight="1">
      <c r="A30" s="13" t="inlineStr"/>
      <c r="B30" s="14" t="inlineStr"/>
      <c r="C30" s="14" t="inlineStr">
        <is>
          <t>Fugitive emissions</t>
        </is>
      </c>
      <c r="D30" s="18" t="inlineStr">
        <is>
          <t>EEA inventory CSV: 1.B (given as CO2e total)</t>
        </is>
      </c>
    </row>
    <row r="31" ht="26" customHeight="1">
      <c r="A31" s="57" t="inlineStr"/>
      <c r="B31" s="20" t="inlineStr"/>
      <c r="C31" s="20" t="inlineStr">
        <is>
          <t>Total (reported, no breakdown)</t>
        </is>
      </c>
      <c r="D31" s="24" t="inlineStr">
        <is>
          <t>EEA / EU GHG inventory (UNFCCC CRF), EU-27</t>
        </is>
      </c>
    </row>
    <row r="32" ht="26" customHeight="1">
      <c r="A32" s="13" t="inlineStr"/>
      <c r="B32" s="14" t="inlineStr"/>
      <c r="C32" s="14" t="inlineStr">
        <is>
          <t>env_air_gge CRF1A1</t>
        </is>
      </c>
      <c r="D32" s="18" t="inlineStr">
        <is>
          <t>Eurostat env_air_gge · geo=EU27_2020, unit=MIO_T, freq=A, airpol=GHG, src_crf=CRF1A1 · https://ec.europa.eu/eurostat/api/dissemination/statistics/1.0/data/env_air_gge?format=JSON&amp;lang=EN&amp;geo=EU27_2020&amp;unit=MIO_T&amp;freq=A&amp;airpol=GHG&amp;src_crf=CRF1A1</t>
        </is>
      </c>
    </row>
    <row r="33" ht="26" customHeight="1">
      <c r="A33" s="57" t="inlineStr"/>
      <c r="B33" s="20" t="inlineStr"/>
      <c r="C33" s="20" t="inlineStr">
        <is>
          <t>env_air_gge CRF1B</t>
        </is>
      </c>
      <c r="D33" s="24" t="inlineStr">
        <is>
          <t>Eurostat env_air_gge · geo=EU27_2020, unit=MIO_T, freq=A, airpol=GHG, src_crf=CRF1B · https://ec.europa.eu/eurostat/api/dissemination/statistics/1.0/data/env_air_gge?format=JSON&amp;lang=EN&amp;geo=EU27_2020&amp;unit=MIO_T&amp;freq=A&amp;airpol=GHG&amp;src_crf=CRF1B</t>
        </is>
      </c>
    </row>
    <row r="34" ht="26" customHeight="1">
      <c r="A34" s="13" t="inlineStr">
        <is>
          <t>E2 (RES)</t>
        </is>
      </c>
      <c r="B34" s="14" t="inlineStr">
        <is>
          <t>Non-biomass renewable share of EU electricity mix</t>
        </is>
      </c>
      <c r="C34" s="14" t="inlineStr">
        <is>
          <t>Value</t>
        </is>
      </c>
      <c r="D34" s="18" t="inlineStr">
        <is>
          <t>Eurostat energy balances (EU-27 gross electricity generation)</t>
        </is>
      </c>
    </row>
    <row r="35" ht="26" customHeight="1">
      <c r="A35" s="57" t="inlineStr"/>
      <c r="B35" s="20" t="inlineStr"/>
      <c r="C35" s="20" t="inlineStr">
        <is>
          <t>Renewable - hydro</t>
        </is>
      </c>
      <c r="D35" s="24" t="inlineStr">
        <is>
          <t>See 4bis tab for sources and categorisation details</t>
        </is>
      </c>
    </row>
    <row r="36" ht="26" customHeight="1">
      <c r="A36" s="13" t="inlineStr"/>
      <c r="B36" s="14" t="inlineStr"/>
      <c r="C36" s="14" t="inlineStr">
        <is>
          <t>Renewable - solar</t>
        </is>
      </c>
      <c r="D36" s="18" t="inlineStr">
        <is>
          <t>See 4bis tab for sources and categorisation details</t>
        </is>
      </c>
    </row>
    <row r="37" ht="26" customHeight="1">
      <c r="A37" s="57" t="inlineStr"/>
      <c r="B37" s="20" t="inlineStr"/>
      <c r="C37" s="20" t="inlineStr">
        <is>
          <t>Renewable - wind</t>
        </is>
      </c>
      <c r="D37" s="24" t="inlineStr">
        <is>
          <t>See 4bis tab for sources and categorisation details</t>
        </is>
      </c>
    </row>
    <row r="38" ht="26" customHeight="1">
      <c r="A38" s="13" t="inlineStr"/>
      <c r="B38" s="14" t="inlineStr"/>
      <c r="C38" s="14" t="inlineStr">
        <is>
          <t>Renewable - other non-bio</t>
        </is>
      </c>
      <c r="D38" s="18" t="inlineStr">
        <is>
          <t>See 4bis tab for sources and categorisation details</t>
        </is>
      </c>
    </row>
    <row r="39" ht="26" customHeight="1">
      <c r="A39" s="57" t="inlineStr"/>
      <c r="B39" s="20" t="inlineStr"/>
      <c r="C39" s="20" t="inlineStr">
        <is>
          <t>Total</t>
        </is>
      </c>
      <c r="D39" s="24" t="inlineStr">
        <is>
          <t>Eurostat energy balances, EU27 gross electricity generation</t>
        </is>
      </c>
    </row>
    <row r="40" ht="26" customHeight="1">
      <c r="A40" s="13" t="inlineStr"/>
      <c r="B40" s="14" t="inlineStr"/>
      <c r="C40" s="14" t="inlineStr">
        <is>
          <t>Post-report figure as published</t>
        </is>
      </c>
      <c r="D40" s="18" t="inlineStr">
        <is>
          <t>Eurostat (nrg_bal_peh) — https://ec.europa.eu/eurostat/databrowser/view/nrg_bal_peh/default/table</t>
        </is>
      </c>
    </row>
    <row r="41" ht="26" customHeight="1">
      <c r="A41" s="57" t="inlineStr"/>
      <c r="B41" s="20" t="inlineStr"/>
      <c r="C41" s="20" t="inlineStr">
        <is>
          <t>fraction → % (× 100)</t>
        </is>
      </c>
      <c r="D41" s="24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42" ht="26" customHeight="1">
      <c r="A42" s="13" t="inlineStr">
        <is>
          <t>E2 (fossil)</t>
        </is>
      </c>
      <c r="B42" s="14" t="inlineStr">
        <is>
          <t>Fossil share of EU electricity mix</t>
        </is>
      </c>
      <c r="C42" s="14" t="inlineStr">
        <is>
          <t>Value</t>
        </is>
      </c>
      <c r="D42" s="18" t="inlineStr">
        <is>
          <t>Eurostat energy balances (EU-27 gross electricity generation)</t>
        </is>
      </c>
    </row>
    <row r="43" ht="26" customHeight="1">
      <c r="A43" s="57" t="inlineStr"/>
      <c r="B43" s="20" t="inlineStr"/>
      <c r="C43" s="20" t="inlineStr">
        <is>
          <t>Solid fossil fuels</t>
        </is>
      </c>
      <c r="D43" s="24" t="inlineStr">
        <is>
          <t>See 4bis tab for sources and categorisation details</t>
        </is>
      </c>
    </row>
    <row r="44" ht="26" customHeight="1">
      <c r="A44" s="13" t="inlineStr"/>
      <c r="B44" s="14" t="inlineStr"/>
      <c r="C44" s="14" t="inlineStr">
        <is>
          <t>Natural &amp; manufactured gases</t>
        </is>
      </c>
      <c r="D44" s="18" t="inlineStr">
        <is>
          <t>See 4bis tab for sources and categorisation details</t>
        </is>
      </c>
    </row>
    <row r="45" ht="26" customHeight="1">
      <c r="A45" s="57" t="inlineStr"/>
      <c r="B45" s="20" t="inlineStr"/>
      <c r="C45" s="20" t="inlineStr">
        <is>
          <t>Oil products &amp; other fossils</t>
        </is>
      </c>
      <c r="D45" s="24" t="inlineStr">
        <is>
          <t>See 4bis tab for sources and categorisation details</t>
        </is>
      </c>
    </row>
    <row r="46" ht="26" customHeight="1">
      <c r="A46" s="13" t="inlineStr"/>
      <c r="B46" s="14" t="inlineStr"/>
      <c r="C46" s="14" t="inlineStr">
        <is>
          <t>Total</t>
        </is>
      </c>
      <c r="D46" s="18" t="inlineStr">
        <is>
          <t>Eurostat energy balances, EU27 gross electricity generation</t>
        </is>
      </c>
    </row>
    <row r="47" ht="26" customHeight="1">
      <c r="A47" s="57" t="inlineStr"/>
      <c r="B47" s="20" t="inlineStr"/>
      <c r="C47" s="20" t="inlineStr">
        <is>
          <t>Numerator · nrg_bal_peh C0000X0350-0370</t>
        </is>
      </c>
      <c r="D47" s="24" t="inlineStr">
        <is>
          <t>Eurostat nrg_bal_peh · geo=EU27_2020, unit=GWH, freq=A, nrg_bal=GEP, siec=C0000X0350-0370 · https://ec.europa.eu/eurostat/api/dissemination/statistics/1.0/data/nrg_bal_peh?format=JSON&amp;lang=EN&amp;geo=EU27_2020&amp;unit=GWH&amp;freq=A&amp;nrg_bal=GEP&amp;siec=C0000X0350-0370</t>
        </is>
      </c>
    </row>
    <row r="48" ht="26" customHeight="1">
      <c r="A48" s="13" t="inlineStr"/>
      <c r="B48" s="14" t="inlineStr"/>
      <c r="C48" s="14" t="inlineStr">
        <is>
          <t>Numerator · nrg_bal_peh P1000</t>
        </is>
      </c>
      <c r="D48" s="18" t="inlineStr">
        <is>
          <t>Eurostat nrg_bal_peh · geo=EU27_2020, unit=GWH, freq=A, nrg_bal=GEP, siec=P1000 · https://ec.europa.eu/eurostat/api/dissemination/statistics/1.0/data/nrg_bal_peh?format=JSON&amp;lang=EN&amp;geo=EU27_2020&amp;unit=GWH&amp;freq=A&amp;nrg_bal=GEP&amp;siec=P1000</t>
        </is>
      </c>
    </row>
    <row r="49" ht="26" customHeight="1">
      <c r="A49" s="57" t="inlineStr"/>
      <c r="B49" s="20" t="inlineStr"/>
      <c r="C49" s="20" t="inlineStr">
        <is>
          <t>Numerator · nrg_bal_peh S2000</t>
        </is>
      </c>
      <c r="D49" s="24" t="inlineStr">
        <is>
          <t>Eurostat nrg_bal_peh · geo=EU27_2020, unit=GWH, freq=A, nrg_bal=GEP, siec=S2000 · https://ec.europa.eu/eurostat/api/dissemination/statistics/1.0/data/nrg_bal_peh?format=JSON&amp;lang=EN&amp;geo=EU27_2020&amp;unit=GWH&amp;freq=A&amp;nrg_bal=GEP&amp;siec=S2000</t>
        </is>
      </c>
    </row>
    <row r="50" ht="26" customHeight="1">
      <c r="A50" s="13" t="inlineStr"/>
      <c r="B50" s="14" t="inlineStr"/>
      <c r="C50" s="14" t="inlineStr">
        <is>
          <t>Numerator · nrg_bal_peh O4000XBIO</t>
        </is>
      </c>
      <c r="D50" s="18" t="inlineStr">
        <is>
          <t>Eurostat nrg_bal_peh · geo=EU27_2020, unit=GWH, freq=A, nrg_bal=GEP, siec=O4000XBIO · https://ec.europa.eu/eurostat/api/dissemination/statistics/1.0/data/nrg_bal_peh?format=JSON&amp;lang=EN&amp;geo=EU27_2020&amp;unit=GWH&amp;freq=A&amp;nrg_bal=GEP&amp;siec=O4000XBIO</t>
        </is>
      </c>
    </row>
    <row r="51" ht="26" customHeight="1">
      <c r="A51" s="57" t="inlineStr"/>
      <c r="B51" s="20" t="inlineStr"/>
      <c r="C51" s="20" t="inlineStr">
        <is>
          <t>Numerator · nrg_bal_peh G3000</t>
        </is>
      </c>
      <c r="D51" s="24" t="inlineStr">
        <is>
          <t>Eurostat nrg_bal_peh · geo=EU27_2020, unit=GWH, freq=A, nrg_bal=GEP, siec=G3000 · https://ec.europa.eu/eurostat/api/dissemination/statistics/1.0/data/nrg_bal_peh?format=JSON&amp;lang=EN&amp;geo=EU27_2020&amp;unit=GWH&amp;freq=A&amp;nrg_bal=GEP&amp;siec=G3000</t>
        </is>
      </c>
    </row>
    <row r="52" ht="26" customHeight="1">
      <c r="A52" s="13" t="inlineStr"/>
      <c r="B52" s="14" t="inlineStr"/>
      <c r="C52" s="14" t="inlineStr">
        <is>
          <t>Denominator · nrg_bal_peh TOTAL</t>
        </is>
      </c>
      <c r="D52" s="18" t="inlineStr">
        <is>
          <t>Eurostat nrg_bal_peh · geo=EU27_2020, unit=GWH, freq=A, nrg_bal=GEP, siec=TOTAL · https://ec.europa.eu/eurostat/api/dissemination/statistics/1.0/data/nrg_bal_peh?format=JSON&amp;lang=EN&amp;geo=EU27_2020&amp;unit=GWH&amp;freq=A&amp;nrg_bal=GEP&amp;siec=TOTAL</t>
        </is>
      </c>
    </row>
    <row r="53" ht="26" customHeight="1">
      <c r="A53" s="57" t="inlineStr"/>
      <c r="B53" s="20" t="inlineStr"/>
      <c r="C53" s="20" t="inlineStr">
        <is>
          <t>Report baseline 2022 (%)</t>
        </is>
      </c>
      <c r="D53" s="24" t="inlineStr">
        <is>
          <t>ESABCC (2024) “Towards EU climate neutrality”, underlying-data workbook — the report's own 2022 figure, the anchor the later years are spliced onto.</t>
        </is>
      </c>
    </row>
    <row r="54" ht="26" customHeight="1">
      <c r="A54" s="13" t="inlineStr"/>
      <c r="B54" s="14" t="inlineStr"/>
      <c r="C54" s="14" t="inlineStr">
        <is>
          <t>Live source at 2022 (same basis as the columns left)</t>
        </is>
      </c>
      <c r="D54" s="18" t="inlineStr">
        <is>
          <t>Eurostat nrg_bal_peh · fossil ÷ total gross electricity production · EU27_2020 — the same query, read at 2022; dividing by it cancels the level difference between the source's scope and the report's, leaving only the year-on-year change.</t>
        </is>
      </c>
    </row>
    <row r="55" ht="26" customHeight="1">
      <c r="A55" s="57" t="inlineStr"/>
      <c r="B55" s="20" t="inlineStr"/>
      <c r="C55" s="20" t="inlineStr">
        <is>
          <t>fraction → % (× 100)</t>
        </is>
      </c>
      <c r="D55" s="24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56" ht="26" customHeight="1">
      <c r="A56" s="13" t="inlineStr">
        <is>
          <t>E3</t>
        </is>
      </c>
      <c r="B56" s="14" t="inlineStr">
        <is>
          <t>Average GHG intensity of EU electricity</t>
        </is>
      </c>
      <c r="C56" s="14" t="inlineStr">
        <is>
          <t>Value</t>
        </is>
      </c>
      <c r="D56" s="18" t="inlineStr">
        <is>
          <t>EEA: GHG intensity of electricity generation in Europe (EU-27)</t>
        </is>
      </c>
    </row>
    <row r="57" ht="26" customHeight="1">
      <c r="A57" s="57" t="inlineStr"/>
      <c r="B57" s="20" t="inlineStr"/>
      <c r="C57" s="20" t="inlineStr">
        <is>
          <t>Historical</t>
        </is>
      </c>
      <c r="D57" s="24" t="inlineStr">
        <is>
          <t>EEA: GHG intensity of electricity generation in Europe</t>
        </is>
      </c>
    </row>
    <row r="58" ht="26" customHeight="1">
      <c r="A58" s="13" t="inlineStr"/>
      <c r="B58" s="14" t="inlineStr"/>
      <c r="C58" s="14" t="inlineStr">
        <is>
          <t>Numerator · env_air_gge CRF1A1</t>
        </is>
      </c>
      <c r="D58" s="18" t="inlineStr">
        <is>
          <t>Eurostat env_air_gge · geo=EU27_2020, unit=MIO_T, freq=A, airpol=GHG, src_crf=CRF1A1 · https://ec.europa.eu/eurostat/api/dissemination/statistics/1.0/data/env_air_gge?format=JSON&amp;lang=EN&amp;geo=EU27_2020&amp;unit=MIO_T&amp;freq=A&amp;airpol=GHG&amp;src_crf=CRF1A1</t>
        </is>
      </c>
    </row>
    <row r="59" ht="26" customHeight="1">
      <c r="A59" s="57" t="inlineStr"/>
      <c r="B59" s="20" t="inlineStr"/>
      <c r="C59" s="20" t="inlineStr">
        <is>
          <t>Denominator · nrg_bal_peh TOTAL</t>
        </is>
      </c>
      <c r="D59" s="24" t="inlineStr">
        <is>
          <t>Eurostat nrg_bal_peh · geo=EU27_2020, unit=GWH, freq=A, nrg_bal=GEP, siec=TOTAL · https://ec.europa.eu/eurostat/api/dissemination/statistics/1.0/data/nrg_bal_peh?format=JSON&amp;lang=EN&amp;geo=EU27_2020&amp;unit=GWH&amp;freq=A&amp;nrg_bal=GEP&amp;siec=TOTAL</t>
        </is>
      </c>
    </row>
    <row r="60" ht="26" customHeight="1">
      <c r="A60" s="13" t="inlineStr"/>
      <c r="B60" s="14" t="inlineStr"/>
      <c r="C60" s="14" t="inlineStr">
        <is>
          <t>Report baseline 2022 (g CO₂eq/kWh)</t>
        </is>
      </c>
      <c r="D60" s="18" t="inlineStr">
        <is>
          <t>ESABCC (2024) “Towards EU climate neutrality”, underlying-data workbook — the report's own 2022 figure, the anchor the later years are spliced onto.</t>
        </is>
      </c>
    </row>
    <row r="61" ht="26" customHeight="1">
      <c r="A61" s="57" t="inlineStr"/>
      <c r="B61" s="20" t="inlineStr"/>
      <c r="C61" s="20" t="inlineStr">
        <is>
          <t>Live source at 2022 (same basis as the columns left)</t>
        </is>
      </c>
      <c r="D61" s="24" t="inlineStr">
        <is>
          <t>Eurostat env_air_gge CRF 1.A.1 ÷ nrg_bal_peh gross electricity production · EU27_2020 — the same query, read at 2022; dividing by it cancels the level difference between the source's scope and the report's, leaving only the year-on-year change.</t>
        </is>
      </c>
    </row>
    <row r="62" ht="26" customHeight="1">
      <c r="A62" s="13" t="inlineStr">
        <is>
          <t>E4a</t>
        </is>
      </c>
      <c r="B62" s="14" t="inlineStr">
        <is>
          <t>Annual solar PV capacity additions (EU)</t>
        </is>
      </c>
      <c r="C62" s="14" t="inlineStr">
        <is>
          <t>Value</t>
        </is>
      </c>
      <c r="D62" s="18" t="inlineStr">
        <is>
          <t>Eurostat NRG_INF_EPCRW (annual change in cumulative solar-PV capacity)</t>
        </is>
      </c>
    </row>
    <row r="63" ht="26" customHeight="1">
      <c r="A63" s="57" t="inlineStr"/>
      <c r="B63" s="20" t="inlineStr"/>
      <c r="C63" s="20" t="inlineStr">
        <is>
          <t>Solar PV cumulative capacity (MW)</t>
        </is>
      </c>
      <c r="D63" s="24" t="inlineStr">
        <is>
          <t>Eurostat NRG_INF_EPCRW (cumulative installed capacity, EU-27)</t>
        </is>
      </c>
    </row>
    <row r="64" ht="26" customHeight="1">
      <c r="A64" s="13" t="inlineStr"/>
      <c r="B64" s="14" t="inlineStr"/>
      <c r="C64" s="14" t="inlineStr">
        <is>
          <t>Solar PV cumulative capacity (MW) (previous year)</t>
        </is>
      </c>
      <c r="D64" s="18" t="inlineStr">
        <is>
          <t>Eurostat NRG_INF_EPCRW (cumulative installed capacity, EU-27)</t>
        </is>
      </c>
    </row>
    <row r="65" ht="26" customHeight="1">
      <c r="A65" s="57" t="inlineStr"/>
      <c r="B65" s="20" t="inlineStr"/>
      <c r="C65" s="20" t="inlineStr">
        <is>
          <t>Post-report figure as published</t>
        </is>
      </c>
      <c r="D65" s="24" t="inlineStr">
        <is>
          <t>Eurostat (nrg_inf_epcrw); 2023+ SolarPower Europe, EU Market Outlook — https://ec.europa.eu/eurostat/databrowser/view/nrg_inf_epcrw/default/table</t>
        </is>
      </c>
    </row>
    <row r="66" ht="26" customHeight="1">
      <c r="A66" s="13" t="inlineStr">
        <is>
          <t>E4b/c</t>
        </is>
      </c>
      <c r="B66" s="14" t="inlineStr">
        <is>
          <t>Annual wind capacity additions (EU)</t>
        </is>
      </c>
      <c r="C66" s="14" t="inlineStr">
        <is>
          <t>Value</t>
        </is>
      </c>
      <c r="D66" s="18" t="inlineStr">
        <is>
          <t>Eurostat NRG_INF_EPCRW (annual change in cumulative onshore-wind capacity)</t>
        </is>
      </c>
    </row>
    <row r="67" ht="26" customHeight="1">
      <c r="A67" s="57" t="inlineStr"/>
      <c r="B67" s="20" t="inlineStr"/>
      <c r="C67" s="20" t="inlineStr">
        <is>
          <t>Onshore wind cumulative capacity (MW)</t>
        </is>
      </c>
      <c r="D67" s="24" t="inlineStr">
        <is>
          <t>Eurostat NRG_INF_EPCRW (cumulative installed capacity, EU-27)</t>
        </is>
      </c>
    </row>
    <row r="68" ht="26" customHeight="1">
      <c r="A68" s="13" t="inlineStr"/>
      <c r="B68" s="14" t="inlineStr"/>
      <c r="C68" s="14" t="inlineStr">
        <is>
          <t>Onshore wind cumulative capacity (MW) (previous year)</t>
        </is>
      </c>
      <c r="D68" s="18" t="inlineStr">
        <is>
          <t>Eurostat NRG_INF_EPCRW (cumulative installed capacity, EU-27)</t>
        </is>
      </c>
    </row>
    <row r="69" ht="26" customHeight="1">
      <c r="A69" s="57" t="inlineStr"/>
      <c r="B69" s="20" t="inlineStr"/>
      <c r="C69" s="20" t="inlineStr">
        <is>
          <t>Post-report figure as published</t>
        </is>
      </c>
      <c r="D69" s="24" t="inlineStr">
        <is>
          <t>Eurostat (nrg_inf_epcrw); 2023+ WindEurope annual statistics — https://ec.europa.eu/eurostat/databrowser/view/nrg_inf_epcrw/default/table</t>
        </is>
      </c>
    </row>
    <row r="70" ht="26" customHeight="1">
      <c r="A70" s="13" t="inlineStr">
        <is>
          <t>E6</t>
        </is>
      </c>
      <c r="B70" s="14" t="inlineStr">
        <is>
          <t>Energy-related methane emissions (EU-27)</t>
        </is>
      </c>
      <c r="C70" s="14" t="inlineStr">
        <is>
          <t>Value</t>
        </is>
      </c>
      <c r="D70" s="18" t="inlineStr">
        <is>
          <t>EEA / EU GHG inventory (UNFCCC CRF Table 1s1 &amp; 1s2, CH4), EU-27</t>
        </is>
      </c>
    </row>
    <row r="71" ht="26" customHeight="1">
      <c r="A71" s="57" t="inlineStr"/>
      <c r="B71" s="20" t="inlineStr"/>
      <c r="C71" s="20" t="inlineStr">
        <is>
          <t>Fuel combustion</t>
        </is>
      </c>
      <c r="D71" s="24" t="inlineStr">
        <is>
          <t>Sum of below</t>
        </is>
      </c>
    </row>
    <row r="72" ht="26" customHeight="1">
      <c r="A72" s="13" t="inlineStr"/>
      <c r="B72" s="14" t="inlineStr"/>
      <c r="C72" s="14" t="inlineStr">
        <is>
          <t>Fugitive - solid fuels</t>
        </is>
      </c>
      <c r="D72" s="18" t="inlineStr">
        <is>
          <t>CRF Table 1s1 &amp; 1s2</t>
        </is>
      </c>
    </row>
    <row r="73" ht="26" customHeight="1">
      <c r="A73" s="57" t="inlineStr"/>
      <c r="B73" s="20" t="inlineStr"/>
      <c r="C73" s="20" t="inlineStr">
        <is>
          <t>Fugitive - other</t>
        </is>
      </c>
      <c r="D73" s="24" t="inlineStr">
        <is>
          <t>CRF Table 1s1 &amp; 1s2</t>
        </is>
      </c>
    </row>
    <row r="74" ht="26" customHeight="1">
      <c r="A74" s="13" t="inlineStr"/>
      <c r="B74" s="14" t="inlineStr"/>
      <c r="C74" s="14" t="inlineStr">
        <is>
          <t>env_air_gge CRF1 CH4</t>
        </is>
      </c>
      <c r="D74" s="18" t="inlineStr">
        <is>
          <t>Eurostat env_air_gge · geo=EU27_2020, unit=MIO_T, freq=A, airpol=CH4, src_crf=CRF1 · https://ec.europa.eu/eurostat/api/dissemination/statistics/1.0/data/env_air_gge?format=JSON&amp;lang=EN&amp;geo=EU27_2020&amp;unit=MIO_T&amp;freq=A&amp;airpol=CH4&amp;src_crf=CRF1</t>
        </is>
      </c>
    </row>
    <row r="75" ht="26" customHeight="1">
      <c r="A75" s="57" t="inlineStr"/>
      <c r="B75" s="20" t="inlineStr"/>
      <c r="C75" s="20" t="inlineStr">
        <is>
          <t>Report baseline 2021 (Mt CO₂eq)</t>
        </is>
      </c>
      <c r="D75" s="24" t="inlineStr">
        <is>
          <t>ESABCC (2024) “Towards EU climate neutrality”, underlying-data workbook — the report's own 2021 figure, the anchor the later years are spliced onto.</t>
        </is>
      </c>
    </row>
    <row r="76" ht="26" customHeight="1">
      <c r="A76" s="13" t="inlineStr"/>
      <c r="B76" s="14" t="inlineStr"/>
      <c r="C76" s="14" t="inlineStr">
        <is>
          <t>Live source at 2021 (same basis as the columns left)</t>
        </is>
      </c>
      <c r="D76" s="18" t="inlineStr">
        <is>
          <t>Eurostat env_air_gge · CRF 1 energy CH₄ · EU27_2020 — the same query, read at 2021; dividing by it cancels the level difference between the source's scope and the report's, leaving only the year-on-year change.</t>
        </is>
      </c>
    </row>
    <row r="77" ht="26" customHeight="1">
      <c r="A77" s="57" t="inlineStr">
        <is>
          <t>E5</t>
        </is>
      </c>
      <c r="B77" s="20" t="inlineStr">
        <is>
          <t>Electrification rate of final energy use</t>
        </is>
      </c>
      <c r="C77" s="20" t="inlineStr">
        <is>
          <t>Value</t>
        </is>
      </c>
      <c r="D77" s="24" t="inlineStr">
        <is>
          <t>Eurostat energy balances (EU-27 final energy consumption)</t>
        </is>
      </c>
    </row>
    <row r="78" ht="26" customHeight="1">
      <c r="A78" s="13" t="inlineStr"/>
      <c r="B78" s="14" t="inlineStr"/>
      <c r="C78" s="14" t="inlineStr">
        <is>
          <t>FEC - electricity</t>
        </is>
      </c>
      <c r="D78" s="18" t="inlineStr">
        <is>
          <t>Energy balance</t>
        </is>
      </c>
    </row>
    <row r="79" ht="26" customHeight="1">
      <c r="A79" s="57" t="inlineStr"/>
      <c r="B79" s="20" t="inlineStr"/>
      <c r="C79" s="20" t="inlineStr">
        <is>
          <t>FEC - total</t>
        </is>
      </c>
      <c r="D79" s="24" t="inlineStr">
        <is>
          <t>Energy balance</t>
        </is>
      </c>
    </row>
    <row r="80" ht="26" customHeight="1">
      <c r="A80" s="13" t="inlineStr"/>
      <c r="B80" s="14" t="inlineStr"/>
      <c r="C80" s="14" t="inlineStr">
        <is>
          <t>fraction → % (× 100)</t>
        </is>
      </c>
      <c r="D80" s="18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81" ht="26" customHeight="1">
      <c r="A81" s="57" t="inlineStr">
        <is>
          <t>O2 (FEC)</t>
        </is>
      </c>
      <c r="B81" s="20" t="inlineStr">
        <is>
          <t>Final energy consumption (EU-27)</t>
        </is>
      </c>
      <c r="C81" s="20" t="inlineStr">
        <is>
          <t>Value</t>
        </is>
      </c>
      <c r="D81" s="24" t="inlineStr">
        <is>
          <t>Eurostat (nrg_bal_c)</t>
        </is>
      </c>
    </row>
    <row r="82" ht="26" customHeight="1">
      <c r="A82" s="13" t="inlineStr"/>
      <c r="B82" s="14" t="inlineStr"/>
      <c r="C82" s="14" t="inlineStr">
        <is>
          <t>FEC (Mtoe)</t>
        </is>
      </c>
      <c r="D82" s="18" t="inlineStr">
        <is>
          <t>Eurostat (nrg_bal_c)</t>
        </is>
      </c>
    </row>
    <row r="83" ht="26" customHeight="1">
      <c r="A83" s="57" t="inlineStr"/>
      <c r="B83" s="20" t="inlineStr"/>
      <c r="C83" s="20" t="inlineStr">
        <is>
          <t>Mtoe → TWh</t>
        </is>
      </c>
      <c r="D83" s="24" t="inlineStr">
        <is>
          <t>IEA unit converter</t>
        </is>
      </c>
    </row>
    <row r="84" ht="26" customHeight="1">
      <c r="A84" s="13" t="inlineStr"/>
      <c r="B84" s="14" t="inlineStr"/>
      <c r="C84" s="14" t="inlineStr">
        <is>
          <t>nrg_ind_eff FEC_EED</t>
        </is>
      </c>
      <c r="D84" s="18" t="inlineStr">
        <is>
          <t>Eurostat nrg_ind_eff · geo=EU27_2020, nrg_bal=FEC_EED, unit=MTOE · https://ec.europa.eu/eurostat/api/dissemination/statistics/1.0/data/nrg_ind_eff?format=JSON&amp;lang=EN&amp;geo=EU27_2020&amp;nrg_bal=FEC_EED&amp;unit=MTOE</t>
        </is>
      </c>
    </row>
    <row r="85" ht="26" customHeight="1">
      <c r="A85" s="57" t="inlineStr"/>
      <c r="B85" s="20" t="inlineStr"/>
      <c r="C85" s="20" t="inlineStr">
        <is>
          <t>Unit conversion (× 11.63)</t>
        </is>
      </c>
      <c r="D85" s="24" t="inlineStr">
        <is>
          <t>Unit conversion applied to the source figure so it is expressed in TWh.</t>
        </is>
      </c>
    </row>
    <row r="86" ht="26" customHeight="1">
      <c r="A86" s="13" t="inlineStr">
        <is>
          <t>O2 (PEC)</t>
        </is>
      </c>
      <c r="B86" s="14" t="inlineStr">
        <is>
          <t>Primary energy consumption (EU-27)</t>
        </is>
      </c>
      <c r="C86" s="14" t="inlineStr">
        <is>
          <t>Value</t>
        </is>
      </c>
      <c r="D86" s="18" t="inlineStr">
        <is>
          <t>Eurostat (nrg_bal_c)</t>
        </is>
      </c>
    </row>
    <row r="87" ht="26" customHeight="1">
      <c r="A87" s="57" t="inlineStr"/>
      <c r="B87" s="20" t="inlineStr"/>
      <c r="C87" s="20" t="inlineStr">
        <is>
          <t>PEC (Mtoe)</t>
        </is>
      </c>
      <c r="D87" s="24" t="inlineStr">
        <is>
          <t>Eurostat (nrg_bal_c)</t>
        </is>
      </c>
    </row>
    <row r="88" ht="26" customHeight="1">
      <c r="A88" s="13" t="inlineStr"/>
      <c r="B88" s="14" t="inlineStr"/>
      <c r="C88" s="14" t="inlineStr">
        <is>
          <t>Mtoe → TWh</t>
        </is>
      </c>
      <c r="D88" s="18" t="inlineStr">
        <is>
          <t>IEA unit converter</t>
        </is>
      </c>
    </row>
    <row r="89" ht="26" customHeight="1">
      <c r="A89" s="57" t="inlineStr"/>
      <c r="B89" s="20" t="inlineStr"/>
      <c r="C89" s="20" t="inlineStr">
        <is>
          <t>nrg_ind_eff PEC_EED</t>
        </is>
      </c>
      <c r="D89" s="24" t="inlineStr">
        <is>
          <t>Eurostat nrg_ind_eff · geo=EU27_2020, nrg_bal=PEC_EED, unit=MTOE · https://ec.europa.eu/eurostat/api/dissemination/statistics/1.0/data/nrg_ind_eff?format=JSON&amp;lang=EN&amp;geo=EU27_2020&amp;nrg_bal=PEC_EED&amp;unit=MTOE</t>
        </is>
      </c>
    </row>
    <row r="90" ht="26" customHeight="1">
      <c r="A90" s="13" t="inlineStr"/>
      <c r="B90" s="14" t="inlineStr"/>
      <c r="C90" s="14" t="inlineStr">
        <is>
          <t>Unit conversion (× 11.63)</t>
        </is>
      </c>
      <c r="D90" s="18" t="inlineStr">
        <is>
          <t>Unit conversion applied to the source figure so it is expressed in TWh.</t>
        </is>
      </c>
    </row>
    <row r="91" ht="26" customHeight="1">
      <c r="A91" s="57" t="inlineStr">
        <is>
          <t>O3</t>
        </is>
      </c>
      <c r="B91" s="20" t="inlineStr">
        <is>
          <t>Gross inland energy consumption (EU-27)</t>
        </is>
      </c>
      <c r="C91" s="20" t="inlineStr">
        <is>
          <t>Value</t>
        </is>
      </c>
      <c r="D91" s="24" t="inlineStr">
        <is>
          <t>Eurostat (nrg_bal_c)</t>
        </is>
      </c>
    </row>
    <row r="92" ht="26" customHeight="1">
      <c r="A92" s="13" t="inlineStr"/>
      <c r="B92" s="14" t="inlineStr"/>
      <c r="C92" s="14" t="inlineStr">
        <is>
          <t>Gross inland (ktoe)</t>
        </is>
      </c>
      <c r="D92" s="18" t="inlineStr">
        <is>
          <t>Eurostat (nrg_bal_c)</t>
        </is>
      </c>
    </row>
    <row r="93" ht="26" customHeight="1">
      <c r="A93" s="57" t="inlineStr"/>
      <c r="B93" s="20" t="inlineStr"/>
      <c r="C93" s="20" t="inlineStr">
        <is>
          <t>ktoe → TWh</t>
        </is>
      </c>
      <c r="D93" s="24" t="inlineStr">
        <is>
          <t>IEA unit converter</t>
        </is>
      </c>
    </row>
    <row r="94" ht="26" customHeight="1">
      <c r="A94" s="13" t="inlineStr">
        <is>
          <t>I1</t>
        </is>
      </c>
      <c r="B94" s="14" t="inlineStr">
        <is>
          <t>Industrial GHG emissions</t>
        </is>
      </c>
      <c r="C94" s="14" t="inlineStr">
        <is>
          <t>Value</t>
        </is>
      </c>
      <c r="D94" s="18" t="inlineStr">
        <is>
          <t>EEA GHG data viewer</t>
        </is>
      </c>
    </row>
    <row r="95" ht="26" customHeight="1">
      <c r="A95" s="57" t="inlineStr"/>
      <c r="B95" s="20" t="inlineStr"/>
      <c r="C95" s="20" t="inlineStr">
        <is>
          <t>1.A.2 - Manufacturing Industries and Construction</t>
        </is>
      </c>
      <c r="D95" s="24" t="inlineStr">
        <is>
          <t>EEA GHG data viewer</t>
        </is>
      </c>
    </row>
    <row r="96" ht="26" customHeight="1">
      <c r="A96" s="13" t="inlineStr"/>
      <c r="B96" s="14" t="inlineStr"/>
      <c r="C96" s="14" t="inlineStr">
        <is>
          <t>2 - Industrial Processes and Product Use</t>
        </is>
      </c>
      <c r="D96" s="18" t="inlineStr">
        <is>
          <t>EEA GHG data viewer</t>
        </is>
      </c>
    </row>
    <row r="97" ht="26" customHeight="1">
      <c r="A97" s="57" t="inlineStr"/>
      <c r="B97" s="20" t="inlineStr"/>
      <c r="C97" s="20" t="inlineStr">
        <is>
          <t>env_air_gge CRF1A2</t>
        </is>
      </c>
      <c r="D97" s="24" t="inlineStr">
        <is>
          <t>Eurostat env_air_gge · geo=EU27_2020, unit=MIO_T, freq=A, airpol=GHG, src_crf=CRF1A2 · https://ec.europa.eu/eurostat/api/dissemination/statistics/1.0/data/env_air_gge?format=JSON&amp;lang=EN&amp;geo=EU27_2020&amp;unit=MIO_T&amp;freq=A&amp;airpol=GHG&amp;src_crf=CRF1A2</t>
        </is>
      </c>
    </row>
    <row r="98" ht="26" customHeight="1">
      <c r="A98" s="13" t="inlineStr"/>
      <c r="B98" s="14" t="inlineStr"/>
      <c r="C98" s="14" t="inlineStr">
        <is>
          <t>env_air_gge CRF2</t>
        </is>
      </c>
      <c r="D98" s="18" t="inlineStr">
        <is>
          <t>Eurostat env_air_gge · geo=EU27_2020, unit=MIO_T, freq=A, airpol=GHG, src_crf=CRF2 · https://ec.europa.eu/eurostat/api/dissemination/statistics/1.0/data/env_air_gge?format=JSON&amp;lang=EN&amp;geo=EU27_2020&amp;unit=MIO_T&amp;freq=A&amp;airpol=GHG&amp;src_crf=CRF2</t>
        </is>
      </c>
    </row>
    <row r="99" ht="26" customHeight="1">
      <c r="A99" s="57" t="inlineStr">
        <is>
          <t>I2 (cement, production)</t>
        </is>
      </c>
      <c r="B99" s="20" t="inlineStr">
        <is>
          <t>Cement production (EU)</t>
        </is>
      </c>
      <c r="C99" s="20" t="inlineStr">
        <is>
          <t>Value</t>
        </is>
      </c>
      <c r="D99" s="24" t="inlineStr">
        <is>
          <t>Cembureau (data provided)</t>
        </is>
      </c>
    </row>
    <row r="100" ht="26" customHeight="1">
      <c r="A100" s="13" t="inlineStr"/>
      <c r="B100" s="14" t="inlineStr"/>
      <c r="C100" s="14" t="inlineStr">
        <is>
          <t>Report figure (2024 report underlying data)</t>
        </is>
      </c>
      <c r="D100" s="18" t="inlineStr">
        <is>
          <t>ESABCC (2024) “Towards EU climate neutrality: Progress, policy gaps and opportunities”, underlying-data workbook — Cembureau (data provided). The report carries this indicator as a published series, with no further breakdown.</t>
        </is>
      </c>
    </row>
    <row r="101" ht="26" customHeight="1">
      <c r="A101" s="57" t="inlineStr"/>
      <c r="B101" s="20" t="inlineStr"/>
      <c r="C101" s="20" t="inlineStr">
        <is>
          <t>sts_inpr_a C235</t>
        </is>
      </c>
      <c r="D101" s="24" t="inlineStr">
        <is>
          <t>Eurostat sts_inpr_a · geo=EU27_2020, indic_bt=PRD, s_adj=CA, unit=I21, nace_r2=C235 · https://ec.europa.eu/eurostat/api/dissemination/statistics/1.0/data/sts_inpr_a?format=JSON&amp;lang=EN&amp;geo=EU27_2020&amp;indic_bt=PRD&amp;s_adj=CA&amp;unit=I21&amp;nace_r2=C235</t>
        </is>
      </c>
    </row>
    <row r="102" ht="26" customHeight="1">
      <c r="A102" s="13" t="inlineStr"/>
      <c r="B102" s="14" t="inlineStr"/>
      <c r="C102" s="14" t="inlineStr">
        <is>
          <t>Report baseline 2021 (Mt)</t>
        </is>
      </c>
      <c r="D102" s="18" t="inlineStr">
        <is>
          <t>ESABCC (2024) “Towards EU climate neutrality”, underlying-data workbook — the report's own 2021 figure, the anchor the later years are spliced onto.</t>
        </is>
      </c>
    </row>
    <row r="103" ht="26" customHeight="1">
      <c r="A103" s="57" t="inlineStr"/>
      <c r="B103" s="20" t="inlineStr"/>
      <c r="C103" s="20" t="inlineStr">
        <is>
          <t>Live source at 2021 (same basis as the columns left)</t>
        </is>
      </c>
      <c r="D103" s="24" t="inlineStr">
        <is>
          <t>Eurostat sts_inpr_a · production-volume index (2021=100), NACE C235 cement/lime/plaster · EU27_2020 — the same query, read at 2021; dividing by it cancels the level difference between the source's scope and the report's, leaving only the year-on-year change.</t>
        </is>
      </c>
    </row>
    <row r="104" ht="26" customHeight="1">
      <c r="A104" s="13" t="inlineStr">
        <is>
          <t>I2 (chemicals, production)</t>
        </is>
      </c>
      <c r="B104" s="14" t="inlineStr">
        <is>
          <t>Chemicals production (EU)</t>
        </is>
      </c>
      <c r="C104" s="14" t="inlineStr">
        <is>
          <t>Value</t>
        </is>
      </c>
      <c r="D104" s="18" t="inlineStr">
        <is>
          <t>Eurostat DS-056120 (sold production) and DS-059268 (trade)</t>
        </is>
      </c>
    </row>
    <row r="105" ht="26" customHeight="1">
      <c r="A105" s="57" t="inlineStr"/>
      <c r="B105" s="20" t="inlineStr"/>
      <c r="C105" s="20" t="inlineStr">
        <is>
          <t>Report figure (2024 report underlying data)</t>
        </is>
      </c>
      <c r="D105" s="24" t="inlineStr">
        <is>
          <t>ESABCC (2024) “Towards EU climate neutrality: Progress, policy gaps and opportunities”, underlying-data workbook — Eurostat DS-056120 (sold production) and DS-059268 (trade). The report carries this indicator as a published series, with no further breakdown.</t>
        </is>
      </c>
    </row>
    <row r="106" ht="26" customHeight="1">
      <c r="A106" s="13" t="inlineStr"/>
      <c r="B106" s="14" t="inlineStr"/>
      <c r="C106" s="14" t="inlineStr">
        <is>
          <t>sts_inpr_a C201</t>
        </is>
      </c>
      <c r="D106" s="18" t="inlineStr">
        <is>
          <t>Eurostat sts_inpr_a · geo=EU27_2020, indic_bt=PRD, s_adj=CA, unit=I21, nace_r2=C201 · https://ec.europa.eu/eurostat/api/dissemination/statistics/1.0/data/sts_inpr_a?format=JSON&amp;lang=EN&amp;geo=EU27_2020&amp;indic_bt=PRD&amp;s_adj=CA&amp;unit=I21&amp;nace_r2=C201</t>
        </is>
      </c>
    </row>
    <row r="107" ht="26" customHeight="1">
      <c r="A107" s="57" t="inlineStr"/>
      <c r="B107" s="20" t="inlineStr"/>
      <c r="C107" s="20" t="inlineStr">
        <is>
          <t>Report baseline 2021 (Mt)</t>
        </is>
      </c>
      <c r="D107" s="24" t="inlineStr">
        <is>
          <t>ESABCC (2024) “Towards EU climate neutrality”, underlying-data workbook — the report's own 2021 figure, the anchor the later years are spliced onto.</t>
        </is>
      </c>
    </row>
    <row r="108" ht="26" customHeight="1">
      <c r="A108" s="13" t="inlineStr"/>
      <c r="B108" s="14" t="inlineStr"/>
      <c r="C108" s="14" t="inlineStr">
        <is>
          <t>Live source at 2021 (same basis as the columns left)</t>
        </is>
      </c>
      <c r="D108" s="18" t="inlineStr">
        <is>
          <t>Eurostat sts_inpr_a · production-volume index (2021=100), NACE C201 basic chemicals · EU27_2020 — the same query, read at 2021; dividing by it cancels the level difference between the source's scope and the report's, leaving only the year-on-year change.</t>
        </is>
      </c>
    </row>
    <row r="109" ht="26" customHeight="1">
      <c r="A109" s="57" t="inlineStr">
        <is>
          <t>I2 (steel, production)</t>
        </is>
      </c>
      <c r="B109" s="20" t="inlineStr">
        <is>
          <t>Steel production (EU)</t>
        </is>
      </c>
      <c r="C109" s="20" t="inlineStr">
        <is>
          <t>Value</t>
        </is>
      </c>
      <c r="D109" s="24" t="inlineStr">
        <is>
          <t>Eurofer, Steel in figures 2022</t>
        </is>
      </c>
    </row>
    <row r="110" ht="26" customHeight="1">
      <c r="A110" s="13" t="inlineStr"/>
      <c r="B110" s="14" t="inlineStr"/>
      <c r="C110" s="14" t="inlineStr">
        <is>
          <t>Report figure (2024 report underlying data)</t>
        </is>
      </c>
      <c r="D110" s="18" t="inlineStr">
        <is>
          <t>ESABCC (2024) “Towards EU climate neutrality: Progress, policy gaps and opportunities”, underlying-data workbook — Eurofer, Steel in figures 2022. The report carries this indicator as a published series, with no further breakdown.</t>
        </is>
      </c>
    </row>
    <row r="111" ht="26" customHeight="1">
      <c r="A111" s="57" t="inlineStr">
        <is>
          <t>I3</t>
        </is>
      </c>
      <c r="B111" s="20" t="inlineStr">
        <is>
          <t>Circular material use rate (EU)</t>
        </is>
      </c>
      <c r="C111" s="20" t="inlineStr">
        <is>
          <t>Value</t>
        </is>
      </c>
      <c r="D111" s="24" t="inlineStr">
        <is>
          <t>Eurostat SDG_12_41</t>
        </is>
      </c>
    </row>
    <row r="112" ht="26" customHeight="1">
      <c r="A112" s="13" t="inlineStr"/>
      <c r="B112" s="14" t="inlineStr"/>
      <c r="C112" s="14" t="inlineStr">
        <is>
          <t>Report figure (2024 report underlying data)</t>
        </is>
      </c>
      <c r="D112" s="18" t="inlineStr">
        <is>
          <t>ESABCC (2024) “Towards EU climate neutrality”, underlying-data workbook — Eurostat SDG_12_41. Published as a series, with no further breakdown.</t>
        </is>
      </c>
    </row>
    <row r="113" ht="26" customHeight="1">
      <c r="A113" s="57" t="inlineStr"/>
      <c r="B113" s="20" t="inlineStr"/>
      <c r="C113" s="20" t="inlineStr">
        <is>
          <t>cei_srm030 PC</t>
        </is>
      </c>
      <c r="D113" s="24" t="inlineStr">
        <is>
          <t>Eurostat cei_srm030 · geo=EU27_2020, unit=PC · https://ec.europa.eu/eurostat/api/dissemination/statistics/1.0/data/cei_srm030?format=JSON&amp;lang=EN&amp;geo=EU27_2020&amp;unit=PC</t>
        </is>
      </c>
    </row>
    <row r="114" ht="26" customHeight="1">
      <c r="A114" s="13" t="inlineStr"/>
      <c r="B114" s="14" t="inlineStr"/>
      <c r="C114" s="14" t="inlineStr">
        <is>
          <t>fraction → % (× 100)</t>
        </is>
      </c>
      <c r="D114" s="18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115" ht="26" customHeight="1">
      <c r="A115" s="57" t="inlineStr">
        <is>
          <t>I5</t>
        </is>
      </c>
      <c r="B115" s="20" t="inlineStr">
        <is>
          <t>Industrial final energy consumption (EU)</t>
        </is>
      </c>
      <c r="C115" s="20" t="inlineStr">
        <is>
          <t>Value</t>
        </is>
      </c>
      <c r="D115" s="24" t="inlineStr">
        <is>
          <t>Eurostat energy balances</t>
        </is>
      </c>
    </row>
    <row r="116" ht="26" customHeight="1">
      <c r="A116" s="13" t="inlineStr"/>
      <c r="B116" s="14" t="inlineStr"/>
      <c r="C116" s="14" t="inlineStr">
        <is>
          <t>Total</t>
        </is>
      </c>
      <c r="D116" s="18" t="inlineStr">
        <is>
          <t>Eurostat energy balances</t>
        </is>
      </c>
    </row>
    <row r="117" ht="26" customHeight="1">
      <c r="A117" s="57" t="inlineStr">
        <is>
          <t>I6</t>
        </is>
      </c>
      <c r="B117" s="20" t="inlineStr">
        <is>
          <t>Electricity share of industrial final energy use</t>
        </is>
      </c>
      <c r="C117" s="20" t="inlineStr">
        <is>
          <t>Value</t>
        </is>
      </c>
      <c r="D117" s="24" t="inlineStr">
        <is>
          <t>Eurostat energy balances</t>
        </is>
      </c>
    </row>
    <row r="118" ht="26" customHeight="1">
      <c r="A118" s="13" t="inlineStr"/>
      <c r="B118" s="14" t="inlineStr"/>
      <c r="C118" s="14" t="inlineStr">
        <is>
          <t>electricity</t>
        </is>
      </c>
      <c r="D118" s="18" t="inlineStr">
        <is>
          <t>Eurostat energy balances</t>
        </is>
      </c>
    </row>
    <row r="119" ht="26" customHeight="1">
      <c r="A119" s="57" t="inlineStr"/>
      <c r="B119" s="20" t="inlineStr"/>
      <c r="C119" s="20" t="inlineStr">
        <is>
          <t>Total energy use</t>
        </is>
      </c>
      <c r="D119" s="24" t="inlineStr">
        <is>
          <t>Eurostat energy balances</t>
        </is>
      </c>
    </row>
    <row r="120" ht="26" customHeight="1">
      <c r="A120" s="13" t="inlineStr"/>
      <c r="B120" s="14" t="inlineStr"/>
      <c r="C120" s="14" t="inlineStr">
        <is>
          <t>Electricity (raw input)</t>
        </is>
      </c>
      <c r="D120" s="18" t="inlineStr">
        <is>
          <t>Eurostat energy balances</t>
        </is>
      </c>
    </row>
    <row r="121" ht="26" customHeight="1">
      <c r="A121" s="57" t="inlineStr"/>
      <c r="B121" s="20" t="inlineStr"/>
      <c r="C121" s="20" t="inlineStr">
        <is>
          <t>Total</t>
        </is>
      </c>
      <c r="D121" s="24" t="inlineStr">
        <is>
          <t>Eurostat energy balances</t>
        </is>
      </c>
    </row>
    <row r="122" ht="26" customHeight="1">
      <c r="A122" s="13" t="inlineStr"/>
      <c r="B122" s="14" t="inlineStr"/>
      <c r="C122" s="14" t="inlineStr">
        <is>
          <t>Post-report figure as published</t>
        </is>
      </c>
      <c r="D122" s="18" t="inlineStr">
        <is>
          <t>Eurostat (nrg_bal_c) — https://ec.europa.eu/eurostat/databrowser/view/nrg_bal_c/default/table</t>
        </is>
      </c>
    </row>
    <row r="123" ht="26" customHeight="1">
      <c r="A123" s="57" t="inlineStr"/>
      <c r="B123" s="20" t="inlineStr"/>
      <c r="C123" s="20" t="inlineStr">
        <is>
          <t>fraction → % (× 100)</t>
        </is>
      </c>
      <c r="D123" s="24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124" ht="26" customHeight="1">
      <c r="A124" s="13" t="inlineStr">
        <is>
          <t>T1</t>
        </is>
      </c>
      <c r="B124" s="14" t="inlineStr">
        <is>
          <t>Transport GHG emissions (EU)</t>
        </is>
      </c>
      <c r="C124" s="14" t="inlineStr">
        <is>
          <t>Value</t>
        </is>
      </c>
      <c r="D124" s="18" t="inlineStr">
        <is>
          <t>EEA GHG data viewer</t>
        </is>
      </c>
    </row>
    <row r="125" ht="26" customHeight="1">
      <c r="A125" s="57" t="inlineStr"/>
      <c r="B125" s="20" t="inlineStr"/>
      <c r="C125" s="20" t="inlineStr">
        <is>
          <t>Road - cars and motorcycles</t>
        </is>
      </c>
      <c r="D125" s="24" t="inlineStr">
        <is>
          <t>EEA GHG data viewer</t>
        </is>
      </c>
    </row>
    <row r="126" ht="26" customHeight="1">
      <c r="A126" s="13" t="inlineStr"/>
      <c r="B126" s="14" t="inlineStr"/>
      <c r="C126" s="14" t="inlineStr">
        <is>
          <t>Road - HDV and buses</t>
        </is>
      </c>
      <c r="D126" s="18" t="inlineStr">
        <is>
          <t>EEA GHG data viewer</t>
        </is>
      </c>
    </row>
    <row r="127" ht="26" customHeight="1">
      <c r="A127" s="57" t="inlineStr"/>
      <c r="B127" s="20" t="inlineStr"/>
      <c r="C127" s="20" t="inlineStr">
        <is>
          <t>Road - Light Duty Trucks</t>
        </is>
      </c>
      <c r="D127" s="24" t="inlineStr">
        <is>
          <t>EEA GHG data viewer</t>
        </is>
      </c>
    </row>
    <row r="128" ht="26" customHeight="1">
      <c r="A128" s="13" t="inlineStr"/>
      <c r="B128" s="14" t="inlineStr"/>
      <c r="C128" s="14" t="inlineStr">
        <is>
          <t>- of which Railways, IWW</t>
        </is>
      </c>
      <c r="D128" s="18" t="inlineStr">
        <is>
          <t>EEA GHG data viewer</t>
        </is>
      </c>
    </row>
    <row r="129" ht="26" customHeight="1">
      <c r="A129" s="57" t="inlineStr"/>
      <c r="B129" s="20" t="inlineStr"/>
      <c r="C129" s="20" t="inlineStr">
        <is>
          <t>Aviation</t>
        </is>
      </c>
      <c r="D129" s="24" t="inlineStr">
        <is>
          <t>EEA GHG data viewer</t>
        </is>
      </c>
    </row>
    <row r="130" ht="26" customHeight="1">
      <c r="A130" s="13" t="inlineStr"/>
      <c r="B130" s="14" t="inlineStr"/>
      <c r="C130" s="14" t="inlineStr">
        <is>
          <t>- of which Other</t>
        </is>
      </c>
      <c r="D130" s="18" t="inlineStr">
        <is>
          <t>EEA GHG data viewer</t>
        </is>
      </c>
    </row>
    <row r="131" ht="26" customHeight="1">
      <c r="A131" s="57" t="inlineStr"/>
      <c r="B131" s="20" t="inlineStr"/>
      <c r="C131" s="20" t="inlineStr">
        <is>
          <t>1.A.3.b.i - Cars</t>
        </is>
      </c>
      <c r="D131" s="24" t="inlineStr">
        <is>
          <t>EEA GHG data viewer</t>
        </is>
      </c>
    </row>
    <row r="132" ht="26" customHeight="1">
      <c r="A132" s="13" t="inlineStr"/>
      <c r="B132" s="14" t="inlineStr"/>
      <c r="C132" s="14" t="inlineStr">
        <is>
          <t>1.A.3.b.iv - Motorcycles</t>
        </is>
      </c>
      <c r="D132" s="18" t="inlineStr">
        <is>
          <t>EEA GHG data viewer</t>
        </is>
      </c>
    </row>
    <row r="133" ht="26" customHeight="1">
      <c r="A133" s="57" t="inlineStr"/>
      <c r="B133" s="20" t="inlineStr"/>
      <c r="C133" s="20" t="inlineStr">
        <is>
          <t>1.A.3.b.iii - Heavy duty trucks and buses</t>
        </is>
      </c>
      <c r="D133" s="24" t="inlineStr">
        <is>
          <t>EEA GHG data viewer</t>
        </is>
      </c>
    </row>
    <row r="134" ht="26" customHeight="1">
      <c r="A134" s="13" t="inlineStr"/>
      <c r="B134" s="14" t="inlineStr"/>
      <c r="C134" s="14" t="inlineStr">
        <is>
          <t>1.A.3.b.ii - Light duty trucks</t>
        </is>
      </c>
      <c r="D134" s="18" t="inlineStr">
        <is>
          <t>EEA GHG data viewer</t>
        </is>
      </c>
    </row>
    <row r="135" ht="26" customHeight="1">
      <c r="A135" s="57" t="inlineStr"/>
      <c r="B135" s="20" t="inlineStr"/>
      <c r="C135" s="20" t="inlineStr">
        <is>
          <t>1.A.3.c - Railways</t>
        </is>
      </c>
      <c r="D135" s="24" t="inlineStr">
        <is>
          <t>EEA GHG data viewer</t>
        </is>
      </c>
    </row>
    <row r="136" ht="26" customHeight="1">
      <c r="A136" s="13" t="inlineStr"/>
      <c r="B136" s="14" t="inlineStr"/>
      <c r="C136" s="14" t="inlineStr">
        <is>
          <t>1.A.3.d - Domestic Navigation</t>
        </is>
      </c>
      <c r="D136" s="18" t="inlineStr">
        <is>
          <t>EEA GHG data viewer</t>
        </is>
      </c>
    </row>
    <row r="137" ht="26" customHeight="1">
      <c r="A137" s="57" t="inlineStr"/>
      <c r="B137" s="20" t="inlineStr"/>
      <c r="C137" s="20" t="inlineStr">
        <is>
          <t>- of which domestic</t>
        </is>
      </c>
      <c r="D137" s="24" t="inlineStr">
        <is>
          <t>EEA GHG data viewer</t>
        </is>
      </c>
    </row>
    <row r="138" ht="26" customHeight="1">
      <c r="A138" s="13" t="inlineStr"/>
      <c r="B138" s="14" t="inlineStr"/>
      <c r="C138" s="14" t="inlineStr">
        <is>
          <t>- of which international</t>
        </is>
      </c>
      <c r="D138" s="18" t="inlineStr">
        <is>
          <t>EEA GHG data viewer</t>
        </is>
      </c>
    </row>
    <row r="139" ht="26" customHeight="1">
      <c r="A139" s="57" t="inlineStr"/>
      <c r="B139" s="20" t="inlineStr"/>
      <c r="C139" s="20" t="inlineStr">
        <is>
          <t>1.A.3.b.v - Other Road Transportation</t>
        </is>
      </c>
      <c r="D139" s="24" t="inlineStr">
        <is>
          <t>EEA GHG data viewer</t>
        </is>
      </c>
    </row>
    <row r="140" ht="26" customHeight="1">
      <c r="A140" s="13" t="inlineStr"/>
      <c r="B140" s="14" t="inlineStr"/>
      <c r="C140" s="14" t="inlineStr">
        <is>
          <t>1.A.3.e - Other Transportation</t>
        </is>
      </c>
      <c r="D140" s="18" t="inlineStr">
        <is>
          <t>EEA GHG data viewer</t>
        </is>
      </c>
    </row>
    <row r="141" ht="26" customHeight="1">
      <c r="A141" s="57" t="inlineStr"/>
      <c r="B141" s="20" t="inlineStr"/>
      <c r="C141" s="20" t="inlineStr">
        <is>
          <t>1.A.3.a - Domestic Aviation</t>
        </is>
      </c>
      <c r="D141" s="24" t="inlineStr">
        <is>
          <t>EEA GHG data viewer</t>
        </is>
      </c>
    </row>
    <row r="142" ht="26" customHeight="1">
      <c r="A142" s="13" t="inlineStr"/>
      <c r="B142" s="14" t="inlineStr"/>
      <c r="C142" s="14" t="inlineStr">
        <is>
          <t>1.D.1.a - International Aviation</t>
        </is>
      </c>
      <c r="D142" s="18" t="inlineStr">
        <is>
          <t>EEA GHG data viewer</t>
        </is>
      </c>
    </row>
    <row r="143" ht="26" customHeight="1">
      <c r="A143" s="57" t="inlineStr"/>
      <c r="B143" s="20" t="inlineStr"/>
      <c r="C143" s="20" t="inlineStr">
        <is>
          <t>Report figure — row missing from the seeded grid</t>
        </is>
      </c>
      <c r="D143" s="24" t="inlineStr">
        <is>
          <t>ESABCC (2024) “Towards EU climate neutrality”, underlying-data workbook — EEA GHG data viewer. The report carries this year; the seeded calc grid stopped before it.</t>
        </is>
      </c>
    </row>
    <row r="144" ht="26" customHeight="1">
      <c r="A144" s="13" t="inlineStr"/>
      <c r="B144" s="14" t="inlineStr"/>
      <c r="C144" s="14" t="inlineStr">
        <is>
          <t>env_air_gge CRF1A3</t>
        </is>
      </c>
      <c r="D144" s="18" t="inlineStr">
        <is>
          <t>Eurostat env_air_gge · geo=EU27_2020, unit=MIO_T, freq=A, airpol=GHG, src_crf=CRF1A3 · https://ec.europa.eu/eurostat/api/dissemination/statistics/1.0/data/env_air_gge?format=JSON&amp;lang=EN&amp;geo=EU27_2020&amp;unit=MIO_T&amp;freq=A&amp;airpol=GHG&amp;src_crf=CRF1A3</t>
        </is>
      </c>
    </row>
    <row r="145" ht="26" customHeight="1">
      <c r="A145" s="57" t="inlineStr"/>
      <c r="B145" s="20" t="inlineStr"/>
      <c r="C145" s="20" t="inlineStr">
        <is>
          <t>env_air_gge CRF1D1A</t>
        </is>
      </c>
      <c r="D145" s="24" t="inlineStr">
        <is>
          <t>Eurostat env_air_gge · geo=EU27_2020, unit=MIO_T, freq=A, airpol=GHG, src_crf=CRF1D1A · https://ec.europa.eu/eurostat/api/dissemination/statistics/1.0/data/env_air_gge?format=JSON&amp;lang=EN&amp;geo=EU27_2020&amp;unit=MIO_T&amp;freq=A&amp;airpol=GHG&amp;src_crf=CRF1D1A</t>
        </is>
      </c>
    </row>
    <row r="146" ht="26" customHeight="1">
      <c r="A146" s="13" t="inlineStr">
        <is>
          <t>T2a</t>
        </is>
      </c>
      <c r="B146" s="14" t="inlineStr">
        <is>
          <t>Total passenger transport demand</t>
        </is>
      </c>
      <c r="C146" s="14" t="inlineStr">
        <is>
          <t>Value</t>
        </is>
      </c>
      <c r="D146" s="18" t="inlineStr">
        <is>
          <t>Eurostat Statistical Pocketbook 2022</t>
        </is>
      </c>
    </row>
    <row r="147" ht="26" customHeight="1">
      <c r="A147" s="57" t="inlineStr"/>
      <c r="B147" s="20" t="inlineStr"/>
      <c r="C147" s="20" t="inlineStr">
        <is>
          <t>cars and 2-wheels</t>
        </is>
      </c>
      <c r="D147" s="24" t="inlineStr">
        <is>
          <t>Eurostat Statistical Pocketbook 2022</t>
        </is>
      </c>
    </row>
    <row r="148" ht="26" customHeight="1">
      <c r="A148" s="13" t="inlineStr"/>
      <c r="B148" s="14" t="inlineStr"/>
      <c r="C148" s="14" t="inlineStr">
        <is>
          <t>buses and coaches</t>
        </is>
      </c>
      <c r="D148" s="18" t="inlineStr">
        <is>
          <t>Eurostat Statistical Pocketbook 2022</t>
        </is>
      </c>
    </row>
    <row r="149" ht="26" customHeight="1">
      <c r="A149" s="57" t="inlineStr"/>
      <c r="B149" s="20" t="inlineStr"/>
      <c r="C149" s="20" t="inlineStr">
        <is>
          <t>rail</t>
        </is>
      </c>
      <c r="D149" s="24" t="inlineStr">
        <is>
          <t>Eurostat Statistical Pocketbook 2022</t>
        </is>
      </c>
    </row>
    <row r="150" ht="26" customHeight="1">
      <c r="A150" s="13" t="inlineStr"/>
      <c r="B150" s="14" t="inlineStr"/>
      <c r="C150" s="14" t="inlineStr">
        <is>
          <t>aviation</t>
        </is>
      </c>
      <c r="D150" s="18" t="inlineStr">
        <is>
          <t>Eurostat Statistical Pocketbook 2022</t>
        </is>
      </c>
    </row>
    <row r="151" ht="26" customHeight="1">
      <c r="A151" s="57" t="inlineStr"/>
      <c r="B151" s="20" t="inlineStr"/>
      <c r="C151" s="20" t="inlineStr">
        <is>
          <t>Passenger Cars</t>
        </is>
      </c>
      <c r="D151" s="24" t="inlineStr">
        <is>
          <t>Eurostat Statistical Pocketbook 2022</t>
        </is>
      </c>
    </row>
    <row r="152" ht="26" customHeight="1">
      <c r="A152" s="13" t="inlineStr"/>
      <c r="B152" s="14" t="inlineStr"/>
      <c r="C152" s="14" t="inlineStr">
        <is>
          <t>Powered 2-wheelers</t>
        </is>
      </c>
      <c r="D152" s="18" t="inlineStr">
        <is>
          <t>Eurostat Statistical Pocketbook 2022</t>
        </is>
      </c>
    </row>
    <row r="153" ht="26" customHeight="1">
      <c r="A153" s="57" t="inlineStr"/>
      <c r="B153" s="20" t="inlineStr"/>
      <c r="C153" s="20" t="inlineStr">
        <is>
          <t>Buses &amp; Coaches</t>
        </is>
      </c>
      <c r="D153" s="24" t="inlineStr">
        <is>
          <t>Eurostat Statistical Pocketbook 2022</t>
        </is>
      </c>
    </row>
    <row r="154" ht="26" customHeight="1">
      <c r="A154" s="13" t="inlineStr"/>
      <c r="B154" s="14" t="inlineStr"/>
      <c r="C154" s="14" t="inlineStr">
        <is>
          <t>Railways</t>
        </is>
      </c>
      <c r="D154" s="18" t="inlineStr">
        <is>
          <t>Eurostat Statistical Pocketbook 2022</t>
        </is>
      </c>
    </row>
    <row r="155" ht="26" customHeight="1">
      <c r="A155" s="57" t="inlineStr"/>
      <c r="B155" s="20" t="inlineStr"/>
      <c r="C155" s="20" t="inlineStr">
        <is>
          <t>Tram &amp; Metro</t>
        </is>
      </c>
      <c r="D155" s="24" t="inlineStr">
        <is>
          <t>Eurostat Statistical Pocketbook 2022</t>
        </is>
      </c>
    </row>
    <row r="156" ht="26" customHeight="1">
      <c r="A156" s="13" t="inlineStr"/>
      <c r="B156" s="14" t="inlineStr"/>
      <c r="C156" s="14" t="inlineStr">
        <is>
          <t>Air</t>
        </is>
      </c>
      <c r="D156" s="18" t="inlineStr">
        <is>
          <t>Eurostat Statistical Pocketbook 2022</t>
        </is>
      </c>
    </row>
    <row r="157" ht="26" customHeight="1">
      <c r="A157" s="57" t="inlineStr"/>
      <c r="B157" s="20" t="inlineStr"/>
      <c r="C157" s="20" t="inlineStr">
        <is>
          <t>Post-report figure as published</t>
        </is>
      </c>
      <c r="D157" s="24" t="inlineStr">
        <is>
          <t>European Commission, DG MOVE — EU transport in figures: statistical pocketbook — https://transport.ec.europa.eu/facts-funding/studies-data/eu-transport-figures-statistical-pocketbook_en</t>
        </is>
      </c>
    </row>
    <row r="158" ht="26" customHeight="1">
      <c r="A158" s="13" t="inlineStr">
        <is>
          <t>T2b</t>
        </is>
      </c>
      <c r="B158" s="14" t="inlineStr">
        <is>
          <t>Total freight transport demand</t>
        </is>
      </c>
      <c r="C158" s="14" t="inlineStr">
        <is>
          <t>Value</t>
        </is>
      </c>
      <c r="D158" s="18" t="inlineStr">
        <is>
          <t>Eurostat Statistical Pocketbook 2022</t>
        </is>
      </c>
    </row>
    <row r="159" ht="26" customHeight="1">
      <c r="A159" s="57" t="inlineStr"/>
      <c r="B159" s="20" t="inlineStr"/>
      <c r="C159" s="20" t="inlineStr">
        <is>
          <t>Road</t>
        </is>
      </c>
      <c r="D159" s="24" t="inlineStr">
        <is>
          <t>Eurostat Statistical Pocketbook 2022</t>
        </is>
      </c>
    </row>
    <row r="160" ht="26" customHeight="1">
      <c r="A160" s="13" t="inlineStr"/>
      <c r="B160" s="14" t="inlineStr"/>
      <c r="C160" s="14" t="inlineStr">
        <is>
          <t>Rail</t>
        </is>
      </c>
      <c r="D160" s="18" t="inlineStr">
        <is>
          <t>Eurostat Statistical Pocketbook 2022</t>
        </is>
      </c>
    </row>
    <row r="161" ht="26" customHeight="1">
      <c r="A161" s="57" t="inlineStr"/>
      <c r="B161" s="20" t="inlineStr"/>
      <c r="C161" s="20" t="inlineStr">
        <is>
          <t>IWW</t>
        </is>
      </c>
      <c r="D161" s="24" t="inlineStr">
        <is>
          <t>Eurostat Statistical Pocketbook 2022</t>
        </is>
      </c>
    </row>
    <row r="162" ht="26" customHeight="1">
      <c r="A162" s="13" t="inlineStr"/>
      <c r="B162" s="14" t="inlineStr"/>
      <c r="C162" s="14" t="inlineStr">
        <is>
          <t>Road (2)</t>
        </is>
      </c>
      <c r="D162" s="18" t="inlineStr">
        <is>
          <t>Eurostat Statistical Pocketbook 2022</t>
        </is>
      </c>
    </row>
    <row r="163" ht="26" customHeight="1">
      <c r="A163" s="57" t="inlineStr"/>
      <c r="B163" s="20" t="inlineStr"/>
      <c r="C163" s="20" t="inlineStr">
        <is>
          <t>Rail (2)</t>
        </is>
      </c>
      <c r="D163" s="24" t="inlineStr">
        <is>
          <t>Eurostat Statistical Pocketbook 2022</t>
        </is>
      </c>
    </row>
    <row r="164" ht="26" customHeight="1">
      <c r="A164" s="13" t="inlineStr"/>
      <c r="B164" s="14" t="inlineStr"/>
      <c r="C164" s="14" t="inlineStr">
        <is>
          <t>Inland Waterway</t>
        </is>
      </c>
      <c r="D164" s="18" t="inlineStr">
        <is>
          <t>Eurostat Statistical Pocketbook 2022</t>
        </is>
      </c>
    </row>
    <row r="165" ht="26" customHeight="1">
      <c r="A165" s="57" t="inlineStr"/>
      <c r="B165" s="20" t="inlineStr"/>
      <c r="C165" s="20" t="inlineStr">
        <is>
          <t>Post-report figure as published</t>
        </is>
      </c>
      <c r="D165" s="24" t="inlineStr">
        <is>
          <t>European Commission, DG MOVE — EU transport in figures: statistical pocketbook — https://transport.ec.europa.eu/facts-funding/studies-data/eu-transport-figures-statistical-pocketbook_en</t>
        </is>
      </c>
    </row>
    <row r="166" ht="26" customHeight="1">
      <c r="A166" s="13" t="inlineStr">
        <is>
          <t>T3a</t>
        </is>
      </c>
      <c r="B166" s="14" t="inlineStr">
        <is>
          <t>Road share of motorised inland passenger transport</t>
        </is>
      </c>
      <c r="C166" s="14" t="inlineStr">
        <is>
          <t>Value</t>
        </is>
      </c>
      <c r="D166" s="18" t="inlineStr">
        <is>
          <t>Eurostat Statistical Pocketbook 2022</t>
        </is>
      </c>
    </row>
    <row r="167" ht="26" customHeight="1">
      <c r="A167" s="57" t="inlineStr"/>
      <c r="B167" s="20" t="inlineStr"/>
      <c r="C167" s="20" t="inlineStr">
        <is>
          <t>Passenger Cars</t>
        </is>
      </c>
      <c r="D167" s="24" t="inlineStr">
        <is>
          <t>Eurostat Statistical Pocketbook 2022</t>
        </is>
      </c>
    </row>
    <row r="168" ht="26" customHeight="1">
      <c r="A168" s="13" t="inlineStr"/>
      <c r="B168" s="14" t="inlineStr"/>
      <c r="C168" s="14" t="inlineStr">
        <is>
          <t>Powered 2-wheelers</t>
        </is>
      </c>
      <c r="D168" s="18" t="inlineStr">
        <is>
          <t>Eurostat Statistical Pocketbook 2022</t>
        </is>
      </c>
    </row>
    <row r="169" ht="26" customHeight="1">
      <c r="A169" s="57" t="inlineStr"/>
      <c r="B169" s="20" t="inlineStr"/>
      <c r="C169" s="20" t="inlineStr">
        <is>
          <t>Buses &amp; Coaches</t>
        </is>
      </c>
      <c r="D169" s="24" t="inlineStr">
        <is>
          <t>Eurostat Statistical Pocketbook 2022</t>
        </is>
      </c>
    </row>
    <row r="170" ht="26" customHeight="1">
      <c r="A170" s="13" t="inlineStr"/>
      <c r="B170" s="14" t="inlineStr"/>
      <c r="C170" s="14" t="inlineStr">
        <is>
          <t>Railways</t>
        </is>
      </c>
      <c r="D170" s="18" t="inlineStr">
        <is>
          <t>Eurostat Statistical Pocketbook 2022</t>
        </is>
      </c>
    </row>
    <row r="171" ht="26" customHeight="1">
      <c r="A171" s="57" t="inlineStr"/>
      <c r="B171" s="20" t="inlineStr"/>
      <c r="C171" s="20" t="inlineStr">
        <is>
          <t>Tram &amp; Metro</t>
        </is>
      </c>
      <c r="D171" s="24" t="inlineStr">
        <is>
          <t>Eurostat Statistical Pocketbook 2022</t>
        </is>
      </c>
    </row>
    <row r="172" ht="26" customHeight="1">
      <c r="A172" s="13" t="inlineStr"/>
      <c r="B172" s="14" t="inlineStr"/>
      <c r="C172" s="14" t="inlineStr">
        <is>
          <t>fraction → % (× 100)</t>
        </is>
      </c>
      <c r="D172" s="18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173" ht="26" customHeight="1">
      <c r="A173" s="57" t="inlineStr">
        <is>
          <t>T3b</t>
        </is>
      </c>
      <c r="B173" s="20" t="inlineStr">
        <is>
          <t>Intra-EU air passenger transport</t>
        </is>
      </c>
      <c r="C173" s="20" t="inlineStr">
        <is>
          <t>Value</t>
        </is>
      </c>
      <c r="D173" s="24" t="inlineStr">
        <is>
          <t>Eurostat Statistical Pocketbook 2022</t>
        </is>
      </c>
    </row>
    <row r="174" ht="26" customHeight="1">
      <c r="A174" s="13" t="inlineStr"/>
      <c r="B174" s="14" t="inlineStr"/>
      <c r="C174" s="14" t="inlineStr">
        <is>
          <t>Air passenger demand (Gpkm)</t>
        </is>
      </c>
      <c r="D174" s="18" t="inlineStr">
        <is>
          <t>Eurostat Statistical Pocketbook 2022</t>
        </is>
      </c>
    </row>
    <row r="175" ht="26" customHeight="1">
      <c r="A175" s="57" t="inlineStr">
        <is>
          <t>T4</t>
        </is>
      </c>
      <c r="B175" s="20" t="inlineStr">
        <is>
          <t>Average CO₂ intensity of new passenger cars (WLTP)</t>
        </is>
      </c>
      <c r="C175" s="20" t="inlineStr">
        <is>
          <t>Value</t>
        </is>
      </c>
      <c r="D175" s="24" t="inlineStr">
        <is>
          <t>EEA</t>
        </is>
      </c>
    </row>
    <row r="176" ht="26" customHeight="1">
      <c r="A176" s="13" t="inlineStr"/>
      <c r="B176" s="14" t="inlineStr"/>
      <c r="C176" s="14" t="inlineStr">
        <is>
          <t>New-car CO2 intensity WLTP (gCO2/km)</t>
        </is>
      </c>
      <c r="D176" s="18" t="inlineStr">
        <is>
          <t>EEA</t>
        </is>
      </c>
    </row>
    <row r="177" ht="26" customHeight="1">
      <c r="A177" s="57" t="inlineStr">
        <is>
          <t>T5a</t>
        </is>
      </c>
      <c r="B177" s="20" t="inlineStr">
        <is>
          <t>ZEV share of new passenger car registrations</t>
        </is>
      </c>
      <c r="C177" s="20" t="inlineStr">
        <is>
          <t>Value</t>
        </is>
      </c>
      <c r="D177" s="24" t="inlineStr">
        <is>
          <t>EU alternative fuel observatory, EEA for 2022</t>
        </is>
      </c>
    </row>
    <row r="178" ht="26" customHeight="1">
      <c r="A178" s="13" t="inlineStr"/>
      <c r="B178" s="14" t="inlineStr"/>
      <c r="C178" s="14" t="inlineStr">
        <is>
          <t>ZEV</t>
        </is>
      </c>
      <c r="D178" s="18" t="inlineStr">
        <is>
          <t>EU alternative fuel observatory</t>
        </is>
      </c>
    </row>
    <row r="179" ht="26" customHeight="1">
      <c r="A179" s="57" t="inlineStr"/>
      <c r="B179" s="20" t="inlineStr"/>
      <c r="C179" s="20" t="inlineStr">
        <is>
          <t>BEV</t>
        </is>
      </c>
      <c r="D179" s="24" t="inlineStr">
        <is>
          <t>EU alternative fuel observatory, EEA for 2022</t>
        </is>
      </c>
    </row>
    <row r="180" ht="26" customHeight="1">
      <c r="A180" s="13" t="inlineStr"/>
      <c r="B180" s="14" t="inlineStr"/>
      <c r="C180" s="14" t="inlineStr">
        <is>
          <t>H2</t>
        </is>
      </c>
      <c r="D180" s="18" t="inlineStr">
        <is>
          <t>EU alternative fuel observatory</t>
        </is>
      </c>
    </row>
    <row r="181" ht="26" customHeight="1">
      <c r="A181" s="57" t="inlineStr"/>
      <c r="B181" s="20" t="inlineStr"/>
      <c r="C181" s="20" t="inlineStr">
        <is>
          <t>Post-report figure as published</t>
        </is>
      </c>
      <c r="D181" s="24" t="inlineStr">
        <is>
          <t>EU Alternative Fuels Observatory; EEA for 2022 — https://alternative-fuels-observatory.ec.europa.eu/</t>
        </is>
      </c>
    </row>
    <row r="182" ht="26" customHeight="1">
      <c r="A182" s="13" t="inlineStr"/>
      <c r="B182" s="14" t="inlineStr"/>
      <c r="C182" s="14" t="inlineStr">
        <is>
          <t>fraction → % (× 100)</t>
        </is>
      </c>
      <c r="D182" s="18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183" ht="26" customHeight="1">
      <c r="A183" s="57" t="inlineStr">
        <is>
          <t>T6a</t>
        </is>
      </c>
      <c r="B183" s="20" t="inlineStr">
        <is>
          <t>Fossil share of transport energy use</t>
        </is>
      </c>
      <c r="C183" s="20" t="inlineStr">
        <is>
          <t>Value</t>
        </is>
      </c>
      <c r="D183" s="24" t="inlineStr">
        <is>
          <t>Energy balances</t>
        </is>
      </c>
    </row>
    <row r="184" ht="26" customHeight="1">
      <c r="A184" s="13" t="inlineStr"/>
      <c r="B184" s="14" t="inlineStr"/>
      <c r="C184" s="14" t="inlineStr">
        <is>
          <t>Solid fossil fuels</t>
        </is>
      </c>
      <c r="D184" s="18" t="inlineStr">
        <is>
          <t>Eurostat energy balance</t>
        </is>
      </c>
    </row>
    <row r="185" ht="26" customHeight="1">
      <c r="A185" s="57" t="inlineStr"/>
      <c r="B185" s="20" t="inlineStr"/>
      <c r="C185" s="20" t="inlineStr">
        <is>
          <t>Manufactured gases</t>
        </is>
      </c>
      <c r="D185" s="24" t="inlineStr">
        <is>
          <t>Eurostat energy balance</t>
        </is>
      </c>
    </row>
    <row r="186" ht="26" customHeight="1">
      <c r="A186" s="13" t="inlineStr"/>
      <c r="B186" s="14" t="inlineStr"/>
      <c r="C186" s="14" t="inlineStr">
        <is>
          <t>Peat and peat products</t>
        </is>
      </c>
      <c r="D186" s="18" t="inlineStr">
        <is>
          <t>Eurostat energy balance</t>
        </is>
      </c>
    </row>
    <row r="187" ht="26" customHeight="1">
      <c r="A187" s="57" t="inlineStr"/>
      <c r="B187" s="20" t="inlineStr"/>
      <c r="C187" s="20" t="inlineStr">
        <is>
          <t>Natural gas</t>
        </is>
      </c>
      <c r="D187" s="24" t="inlineStr">
        <is>
          <t>Eurostat energy balance</t>
        </is>
      </c>
    </row>
    <row r="188" ht="26" customHeight="1">
      <c r="A188" s="13" t="inlineStr"/>
      <c r="B188" s="14" t="inlineStr"/>
      <c r="C188" s="14" t="inlineStr">
        <is>
          <t>Oil and petroleum products (excluding biofuel portion)</t>
        </is>
      </c>
      <c r="D188" s="18" t="inlineStr">
        <is>
          <t>Eurostat energy balance</t>
        </is>
      </c>
    </row>
    <row r="189" ht="26" customHeight="1">
      <c r="A189" s="57" t="inlineStr"/>
      <c r="B189" s="20" t="inlineStr"/>
      <c r="C189" s="20" t="inlineStr">
        <is>
          <t>Solid fossil fuels (2)</t>
        </is>
      </c>
      <c r="D189" s="24" t="inlineStr">
        <is>
          <t>Eurostat energy balance</t>
        </is>
      </c>
    </row>
    <row r="190" ht="26" customHeight="1">
      <c r="A190" s="13" t="inlineStr"/>
      <c r="B190" s="14" t="inlineStr"/>
      <c r="C190" s="14" t="inlineStr">
        <is>
          <t>Manufactured gases (2)</t>
        </is>
      </c>
      <c r="D190" s="18" t="inlineStr">
        <is>
          <t>Eurostat energy balance</t>
        </is>
      </c>
    </row>
    <row r="191" ht="26" customHeight="1">
      <c r="A191" s="57" t="inlineStr"/>
      <c r="B191" s="20" t="inlineStr"/>
      <c r="C191" s="20" t="inlineStr">
        <is>
          <t>Peat and peat products (2)</t>
        </is>
      </c>
      <c r="D191" s="24" t="inlineStr">
        <is>
          <t>Eurostat energy balance</t>
        </is>
      </c>
    </row>
    <row r="192" ht="26" customHeight="1">
      <c r="A192" s="13" t="inlineStr"/>
      <c r="B192" s="14" t="inlineStr"/>
      <c r="C192" s="14" t="inlineStr">
        <is>
          <t>Natural gas (2)</t>
        </is>
      </c>
      <c r="D192" s="18" t="inlineStr">
        <is>
          <t>Eurostat energy balance</t>
        </is>
      </c>
    </row>
    <row r="193" ht="26" customHeight="1">
      <c r="A193" s="57" t="inlineStr"/>
      <c r="B193" s="20" t="inlineStr"/>
      <c r="C193" s="20" t="inlineStr">
        <is>
          <t>Oil and petroleum products (excluding biofuel portion) (2)</t>
        </is>
      </c>
      <c r="D193" s="24" t="inlineStr">
        <is>
          <t>Eurostat energy balance</t>
        </is>
      </c>
    </row>
    <row r="194" ht="26" customHeight="1">
      <c r="A194" s="13" t="inlineStr"/>
      <c r="B194" s="14" t="inlineStr"/>
      <c r="C194" s="14" t="inlineStr">
        <is>
          <t>Solid fossil fuels (3)</t>
        </is>
      </c>
      <c r="D194" s="18" t="inlineStr">
        <is>
          <t>Eurostat energy balance</t>
        </is>
      </c>
    </row>
    <row r="195" ht="26" customHeight="1">
      <c r="A195" s="57" t="inlineStr"/>
      <c r="B195" s="20" t="inlineStr"/>
      <c r="C195" s="20" t="inlineStr">
        <is>
          <t>Manufactured gases (3)</t>
        </is>
      </c>
      <c r="D195" s="24" t="inlineStr">
        <is>
          <t>Eurostat energy balance</t>
        </is>
      </c>
    </row>
    <row r="196" ht="26" customHeight="1">
      <c r="A196" s="13" t="inlineStr"/>
      <c r="B196" s="14" t="inlineStr"/>
      <c r="C196" s="14" t="inlineStr">
        <is>
          <t>Peat and peat products (3)</t>
        </is>
      </c>
      <c r="D196" s="18" t="inlineStr">
        <is>
          <t>Eurostat energy balance</t>
        </is>
      </c>
    </row>
    <row r="197" ht="26" customHeight="1">
      <c r="A197" s="57" t="inlineStr"/>
      <c r="B197" s="20" t="inlineStr"/>
      <c r="C197" s="20" t="inlineStr">
        <is>
          <t>Natural gas (3)</t>
        </is>
      </c>
      <c r="D197" s="24" t="inlineStr">
        <is>
          <t>Eurostat energy balance</t>
        </is>
      </c>
    </row>
    <row r="198" ht="26" customHeight="1">
      <c r="A198" s="13" t="inlineStr"/>
      <c r="B198" s="14" t="inlineStr"/>
      <c r="C198" s="14" t="inlineStr">
        <is>
          <t>Oil and petroleum products (excluding biofuel portion) (3)</t>
        </is>
      </c>
      <c r="D198" s="18" t="inlineStr">
        <is>
          <t>Eurostat energy balance</t>
        </is>
      </c>
    </row>
    <row r="199" ht="26" customHeight="1">
      <c r="A199" s="57" t="inlineStr"/>
      <c r="B199" s="20" t="inlineStr"/>
      <c r="C199" s="20" t="inlineStr">
        <is>
          <t>Total</t>
        </is>
      </c>
      <c r="D199" s="24" t="inlineStr">
        <is>
          <t>Eurostat energy balance</t>
        </is>
      </c>
    </row>
    <row r="200" ht="26" customHeight="1">
      <c r="A200" s="13" t="inlineStr"/>
      <c r="B200" s="14" t="inlineStr"/>
      <c r="C200" s="14" t="inlineStr">
        <is>
          <t>Total (2)</t>
        </is>
      </c>
      <c r="D200" s="18" t="inlineStr">
        <is>
          <t>Eurostat energy balance</t>
        </is>
      </c>
    </row>
    <row r="201" ht="26" customHeight="1">
      <c r="A201" s="57" t="inlineStr"/>
      <c r="B201" s="20" t="inlineStr"/>
      <c r="C201" s="20" t="inlineStr">
        <is>
          <t>Total (3)</t>
        </is>
      </c>
      <c r="D201" s="24" t="inlineStr">
        <is>
          <t>Eurostat energy balance</t>
        </is>
      </c>
    </row>
    <row r="202" ht="26" customHeight="1">
      <c r="A202" s="13" t="inlineStr"/>
      <c r="B202" s="14" t="inlineStr"/>
      <c r="C202" s="14" t="inlineStr">
        <is>
          <t>Numerator · nrg_bal_s O4000XBIO</t>
        </is>
      </c>
      <c r="D202" s="18" t="inlineStr">
        <is>
          <t>Eurostat nrg_bal_s · geo=EU27_2020, unit=GWH, freq=A, nrg_bal=FC_TRA_E, siec=O4000XBIO · https://ec.europa.eu/eurostat/api/dissemination/statistics/1.0/data/nrg_bal_s?format=JSON&amp;lang=EN&amp;geo=EU27_2020&amp;unit=GWH&amp;freq=A&amp;nrg_bal=FC_TRA_E&amp;siec=O4000XBIO</t>
        </is>
      </c>
    </row>
    <row r="203" ht="26" customHeight="1">
      <c r="A203" s="57" t="inlineStr"/>
      <c r="B203" s="20" t="inlineStr"/>
      <c r="C203" s="20" t="inlineStr">
        <is>
          <t>Numerator · nrg_bal_s G3000</t>
        </is>
      </c>
      <c r="D203" s="24" t="inlineStr">
        <is>
          <t>Eurostat nrg_bal_s · geo=EU27_2020, unit=GWH, freq=A, nrg_bal=FC_TRA_E, siec=G3000 · https://ec.europa.eu/eurostat/api/dissemination/statistics/1.0/data/nrg_bal_s?format=JSON&amp;lang=EN&amp;geo=EU27_2020&amp;unit=GWH&amp;freq=A&amp;nrg_bal=FC_TRA_E&amp;siec=G3000</t>
        </is>
      </c>
    </row>
    <row r="204" ht="26" customHeight="1">
      <c r="A204" s="13" t="inlineStr"/>
      <c r="B204" s="14" t="inlineStr"/>
      <c r="C204" s="14" t="inlineStr">
        <is>
          <t>Numerator · nrg_bal_s C0000X0350-0370</t>
        </is>
      </c>
      <c r="D204" s="18" t="inlineStr">
        <is>
          <t>Eurostat nrg_bal_s · geo=EU27_2020, unit=GWH, freq=A, nrg_bal=FC_TRA_E, siec=C0000X0350-0370 · https://ec.europa.eu/eurostat/api/dissemination/statistics/1.0/data/nrg_bal_s?format=JSON&amp;lang=EN&amp;geo=EU27_2020&amp;unit=GWH&amp;freq=A&amp;nrg_bal=FC_TRA_E&amp;siec=C0000X0350-0370</t>
        </is>
      </c>
    </row>
    <row r="205" ht="26" customHeight="1">
      <c r="A205" s="57" t="inlineStr"/>
      <c r="B205" s="20" t="inlineStr"/>
      <c r="C205" s="20" t="inlineStr">
        <is>
          <t>Denominator · nrg_bal_s TOTAL</t>
        </is>
      </c>
      <c r="D205" s="24" t="inlineStr">
        <is>
          <t>Eurostat nrg_bal_s · geo=EU27_2020, unit=GWH, freq=A, nrg_bal=FC_TRA_E, siec=TOTAL · https://ec.europa.eu/eurostat/api/dissemination/statistics/1.0/data/nrg_bal_s?format=JSON&amp;lang=EN&amp;geo=EU27_2020&amp;unit=GWH&amp;freq=A&amp;nrg_bal=FC_TRA_E&amp;siec=TOTAL</t>
        </is>
      </c>
    </row>
    <row r="206" ht="26" customHeight="1">
      <c r="A206" s="13" t="inlineStr"/>
      <c r="B206" s="14" t="inlineStr"/>
      <c r="C206" s="14" t="inlineStr">
        <is>
          <t>Report baseline 2021 (%)</t>
        </is>
      </c>
      <c r="D206" s="18" t="inlineStr">
        <is>
          <t>ESABCC (2024) “Towards EU climate neutrality”, underlying-data workbook — the report's own 2021 figure, the anchor the later years are spliced onto.</t>
        </is>
      </c>
    </row>
    <row r="207" ht="26" customHeight="1">
      <c r="A207" s="57" t="inlineStr"/>
      <c r="B207" s="20" t="inlineStr"/>
      <c r="C207" s="20" t="inlineStr">
        <is>
          <t>Live source at 2021 (same basis as the columns left)</t>
        </is>
      </c>
      <c r="D207" s="24" t="inlineStr">
        <is>
          <t>Eurostat nrg_bal_s · fossil ÷ total transport final energy · EU27_2020 — the same query, read at 2021; dividing by it cancels the level difference between the source's scope and the report's, leaving only the year-on-year change.</t>
        </is>
      </c>
    </row>
    <row r="208" ht="26" customHeight="1">
      <c r="A208" s="13" t="inlineStr"/>
      <c r="B208" s="14" t="inlineStr"/>
      <c r="C208" s="14" t="inlineStr">
        <is>
          <t>fraction → % (× 100)</t>
        </is>
      </c>
      <c r="D208" s="18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209" ht="26" customHeight="1">
      <c r="A209" s="57" t="inlineStr">
        <is>
          <t>B1</t>
        </is>
      </c>
      <c r="B209" s="20" t="inlineStr">
        <is>
          <t>Residential + tertiary building GHG emissions</t>
        </is>
      </c>
      <c r="C209" s="20" t="inlineStr">
        <is>
          <t>Value</t>
        </is>
      </c>
      <c r="D209" s="24" t="inlineStr">
        <is>
          <t>EEA GHG data viewer (UNFCCC CRF)</t>
        </is>
      </c>
    </row>
    <row r="210" ht="26" customHeight="1">
      <c r="A210" s="13" t="inlineStr"/>
      <c r="B210" s="14" t="inlineStr"/>
      <c r="C210" s="14" t="inlineStr">
        <is>
          <t>Residential (CRF 1.A.4.b)</t>
        </is>
      </c>
      <c r="D210" s="18" t="inlineStr">
        <is>
          <t>EEA / UNFCCC inventory CRF Table 1.A(a)s4</t>
        </is>
      </c>
    </row>
    <row r="211" ht="26" customHeight="1">
      <c r="A211" s="57" t="inlineStr"/>
      <c r="B211" s="20" t="inlineStr"/>
      <c r="C211" s="20" t="inlineStr">
        <is>
          <t>Tertiary (CRF 1.A.4.a)</t>
        </is>
      </c>
      <c r="D211" s="24" t="inlineStr">
        <is>
          <t>EEA / UNFCCC inventory CRF Table 1.A(a)s4</t>
        </is>
      </c>
    </row>
    <row r="212" ht="26" customHeight="1">
      <c r="A212" s="13" t="inlineStr"/>
      <c r="B212" s="14" t="inlineStr"/>
      <c r="C212" s="14" t="inlineStr">
        <is>
          <t>Agriculture &amp; fisheries energy (CRF 1.A.4.c)</t>
        </is>
      </c>
      <c r="D212" s="18" t="inlineStr">
        <is>
          <t>EEA / UNFCCC inventory CRF Table 1.A(a)s4</t>
        </is>
      </c>
    </row>
    <row r="213" ht="26" customHeight="1">
      <c r="A213" s="57" t="inlineStr"/>
      <c r="B213" s="20" t="inlineStr"/>
      <c r="C213" s="20" t="inlineStr">
        <is>
          <t>Report figure — row missing from the seeded grid</t>
        </is>
      </c>
      <c r="D213" s="24" t="inlineStr">
        <is>
          <t>ESABCC (2024) “Towards EU climate neutrality”, underlying-data workbook — EEA GHG data viewer. The report carries this year; the seeded calc grid stopped before it.</t>
        </is>
      </c>
    </row>
    <row r="214" ht="26" customHeight="1">
      <c r="A214" s="13" t="inlineStr"/>
      <c r="B214" s="14" t="inlineStr"/>
      <c r="C214" s="14" t="inlineStr">
        <is>
          <t>env_air_gge CRF1A4</t>
        </is>
      </c>
      <c r="D214" s="18" t="inlineStr">
        <is>
          <t>Eurostat env_air_gge · geo=EU27_2020, unit=MIO_T, freq=A, airpol=GHG, src_crf=CRF1A4 · https://ec.europa.eu/eurostat/api/dissemination/statistics/1.0/data/env_air_gge?format=JSON&amp;lang=EN&amp;geo=EU27_2020&amp;unit=MIO_T&amp;freq=A&amp;airpol=GHG&amp;src_crf=CRF1A4</t>
        </is>
      </c>
    </row>
    <row r="215" ht="26" customHeight="1">
      <c r="A215" s="57" t="inlineStr">
        <is>
          <t>B2</t>
        </is>
      </c>
      <c r="B215" s="20" t="inlineStr">
        <is>
          <t>Final energy consumption in buildings</t>
        </is>
      </c>
      <c r="C215" s="20" t="inlineStr">
        <is>
          <t>Value</t>
        </is>
      </c>
      <c r="D215" s="24" t="inlineStr">
        <is>
          <t>Eurostat energy balances</t>
        </is>
      </c>
    </row>
    <row r="216" ht="26" customHeight="1">
      <c r="A216" s="13" t="inlineStr"/>
      <c r="B216" s="14" t="inlineStr"/>
      <c r="C216" s="14" t="inlineStr">
        <is>
          <t>Tertiary commercial &amp; public services (TJ)</t>
        </is>
      </c>
      <c r="D216" s="18" t="inlineStr">
        <is>
          <t>Eurostat energy balances</t>
        </is>
      </c>
    </row>
    <row r="217" ht="26" customHeight="1">
      <c r="A217" s="57" t="inlineStr"/>
      <c r="B217" s="20" t="inlineStr"/>
      <c r="C217" s="20" t="inlineStr">
        <is>
          <t>Residential households (TJ)</t>
        </is>
      </c>
      <c r="D217" s="24" t="inlineStr">
        <is>
          <t>Eurostat energy balances</t>
        </is>
      </c>
    </row>
    <row r="218" ht="26" customHeight="1">
      <c r="A218" s="13" t="inlineStr"/>
      <c r="B218" s="14" t="inlineStr"/>
      <c r="C218" s="14" t="inlineStr">
        <is>
          <t>Agriculture &amp; forestry (TJ)</t>
        </is>
      </c>
      <c r="D218" s="18" t="inlineStr">
        <is>
          <t>Eurostat energy balances</t>
        </is>
      </c>
    </row>
    <row r="219" ht="26" customHeight="1">
      <c r="A219" s="57" t="inlineStr"/>
      <c r="B219" s="20" t="inlineStr"/>
      <c r="C219" s="20" t="inlineStr">
        <is>
          <t>TJ → TWh (EJ2TWh/1e6)</t>
        </is>
      </c>
      <c r="D219" s="24" t="inlineStr">
        <is>
          <t>Named Refs&amp;Conversions</t>
        </is>
      </c>
    </row>
    <row r="220" ht="26" customHeight="1">
      <c r="A220" s="13" t="inlineStr"/>
      <c r="B220" s="14" t="inlineStr"/>
      <c r="C220" s="14" t="inlineStr">
        <is>
          <t>Post-report figure as published</t>
        </is>
      </c>
      <c r="D220" s="18" t="inlineStr">
        <is>
          <t>Eurostat (nrg_bal_c) — https://ec.europa.eu/eurostat/databrowser/view/nrg_bal_c/default/table</t>
        </is>
      </c>
    </row>
    <row r="221" ht="26" customHeight="1">
      <c r="A221" s="57" t="inlineStr">
        <is>
          <t>B4 (population)</t>
        </is>
      </c>
      <c r="B221" s="20" t="inlineStr">
        <is>
          <t>EU population (index, 2005 = 1.0)</t>
        </is>
      </c>
      <c r="C221" s="20" t="inlineStr">
        <is>
          <t>Value</t>
        </is>
      </c>
      <c r="D221" s="24" t="inlineStr">
        <is>
          <t>European Building Stock Observatory (DG ENER) + Odyssee-Mure; population from Eurostat demo_gind</t>
        </is>
      </c>
    </row>
    <row r="222" ht="26" customHeight="1">
      <c r="A222" s="13" t="inlineStr"/>
      <c r="B222" s="14" t="inlineStr"/>
      <c r="C222" s="14" t="inlineStr">
        <is>
          <t>Report figure (2024 report underlying data)</t>
        </is>
      </c>
      <c r="D222" s="18" t="inlineStr">
        <is>
          <t>ESABCC (2024) “Towards EU climate neutrality: Progress, policy gaps and opportunities”, underlying-data workbook — European Building Stock Observatory (DG ENER) + Odyssee-Mure; population from Eurostat demo_gind. The report carries this indicator as a published series, with no further breakdown.</t>
        </is>
      </c>
    </row>
    <row r="223" ht="26" customHeight="1">
      <c r="A223" s="57" t="inlineStr"/>
      <c r="B223" s="20" t="inlineStr"/>
      <c r="C223" s="20" t="inlineStr">
        <is>
          <t>demo_gind AVG</t>
        </is>
      </c>
      <c r="D223" s="24" t="inlineStr">
        <is>
          <t>Eurostat demo_gind · geo=EU27_2020, indic_de=AVG · https://ec.europa.eu/eurostat/api/dissemination/statistics/1.0/data/demo_gind?format=JSON&amp;lang=EN&amp;geo=EU27_2020&amp;indic_de=AVG</t>
        </is>
      </c>
    </row>
    <row r="224" ht="26" customHeight="1">
      <c r="A224" s="13" t="inlineStr"/>
      <c r="B224" s="14" t="inlineStr"/>
      <c r="C224" s="14" t="inlineStr">
        <is>
          <t>Report baseline 2020 (index (2005 = 1.0))</t>
        </is>
      </c>
      <c r="D224" s="18" t="inlineStr">
        <is>
          <t>ESABCC (2024) “Towards EU climate neutrality”, underlying-data workbook — the report's own 2020 figure, the anchor the later years are spliced onto.</t>
        </is>
      </c>
    </row>
    <row r="225" ht="26" customHeight="1">
      <c r="A225" s="57" t="inlineStr"/>
      <c r="B225" s="20" t="inlineStr"/>
      <c r="C225" s="20" t="inlineStr">
        <is>
          <t>Live source at 2020 (same basis as the columns left)</t>
        </is>
      </c>
      <c r="D225" s="24" t="inlineStr">
        <is>
          <t>Eurostat demo_gind · average population (indexed onto report 2005=1.0 baseline) · EU27_2020 — the same query, read at 2020; dividing by it cancels the level difference between the source's scope and the report's, leaving only the year-on-year change.</t>
        </is>
      </c>
    </row>
    <row r="226" ht="26" customHeight="1">
      <c r="A226" s="13" t="inlineStr">
        <is>
          <t>B5a</t>
        </is>
      </c>
      <c r="B226" s="14" t="inlineStr">
        <is>
          <t>Fossil share of residential energy mix</t>
        </is>
      </c>
      <c r="C226" s="14" t="inlineStr">
        <is>
          <t>Value</t>
        </is>
      </c>
      <c r="D226" s="18" t="inlineStr">
        <is>
          <t>Eurostat energy balances</t>
        </is>
      </c>
    </row>
    <row r="227" ht="26" customHeight="1">
      <c r="A227" s="57" t="inlineStr"/>
      <c r="B227" s="20" t="inlineStr"/>
      <c r="C227" s="20" t="inlineStr">
        <is>
          <t>Other fossils (solids, …)</t>
        </is>
      </c>
      <c r="D227" s="24" t="inlineStr">
        <is>
          <t>Eurostat energy balance</t>
        </is>
      </c>
    </row>
    <row r="228" ht="26" customHeight="1">
      <c r="A228" s="13" t="inlineStr"/>
      <c r="B228" s="14" t="inlineStr"/>
      <c r="C228" s="14" t="inlineStr">
        <is>
          <t>Liquid fossils</t>
        </is>
      </c>
      <c r="D228" s="18" t="inlineStr">
        <is>
          <t>Eurostat energy balance</t>
        </is>
      </c>
    </row>
    <row r="229" ht="26" customHeight="1">
      <c r="A229" s="57" t="inlineStr"/>
      <c r="B229" s="20" t="inlineStr"/>
      <c r="C229" s="20" t="inlineStr">
        <is>
          <t>Natural gas</t>
        </is>
      </c>
      <c r="D229" s="24" t="inlineStr">
        <is>
          <t>Eurostat energy balance</t>
        </is>
      </c>
    </row>
    <row r="230" ht="26" customHeight="1">
      <c r="A230" s="13" t="inlineStr"/>
      <c r="B230" s="14" t="inlineStr"/>
      <c r="C230" s="14" t="inlineStr">
        <is>
          <t>Total</t>
        </is>
      </c>
      <c r="D230" s="18" t="inlineStr">
        <is>
          <t>calculated</t>
        </is>
      </c>
    </row>
    <row r="231" ht="26" customHeight="1">
      <c r="A231" s="57" t="inlineStr"/>
      <c r="B231" s="20" t="inlineStr"/>
      <c r="C231" s="20" t="inlineStr">
        <is>
          <t>Electricity</t>
        </is>
      </c>
      <c r="D231" s="24" t="inlineStr">
        <is>
          <t>Eurostat energy balance</t>
        </is>
      </c>
    </row>
    <row r="232" ht="26" customHeight="1">
      <c r="A232" s="13" t="inlineStr"/>
      <c r="B232" s="14" t="inlineStr"/>
      <c r="C232" s="14" t="inlineStr">
        <is>
          <t>District heating</t>
        </is>
      </c>
      <c r="D232" s="18" t="inlineStr">
        <is>
          <t>Eurostat energy balance</t>
        </is>
      </c>
    </row>
    <row r="233" ht="26" customHeight="1">
      <c r="A233" s="57" t="inlineStr"/>
      <c r="B233" s="20" t="inlineStr"/>
      <c r="C233" s="20" t="inlineStr">
        <is>
          <t>Renewables - bio</t>
        </is>
      </c>
      <c r="D233" s="24" t="inlineStr">
        <is>
          <t>Eurostat energy balance</t>
        </is>
      </c>
    </row>
    <row r="234" ht="26" customHeight="1">
      <c r="A234" s="13" t="inlineStr"/>
      <c r="B234" s="14" t="inlineStr"/>
      <c r="C234" s="14" t="inlineStr">
        <is>
          <t>Renewables - other</t>
        </is>
      </c>
      <c r="D234" s="18" t="inlineStr">
        <is>
          <t>Eurostat energy balance</t>
        </is>
      </c>
    </row>
    <row r="235" ht="26" customHeight="1">
      <c r="A235" s="57" t="inlineStr"/>
      <c r="B235" s="20" t="inlineStr"/>
      <c r="C235" s="20" t="inlineStr">
        <is>
          <t>Post-report figure as published</t>
        </is>
      </c>
      <c r="D235" s="24" t="inlineStr">
        <is>
          <t>Eurostat (nrg_bal_c) — https://ec.europa.eu/eurostat/databrowser/view/nrg_bal_c/default/table</t>
        </is>
      </c>
    </row>
    <row r="236" ht="26" customHeight="1">
      <c r="A236" s="13" t="inlineStr"/>
      <c r="B236" s="14" t="inlineStr"/>
      <c r="C236" s="14" t="inlineStr">
        <is>
          <t>fraction → % (× 100)</t>
        </is>
      </c>
      <c r="D236" s="18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237" ht="26" customHeight="1">
      <c r="A237" s="57" t="inlineStr">
        <is>
          <t>B5b</t>
        </is>
      </c>
      <c r="B237" s="20" t="inlineStr">
        <is>
          <t>Fossil share of tertiary energy mix</t>
        </is>
      </c>
      <c r="C237" s="20" t="inlineStr">
        <is>
          <t>Value</t>
        </is>
      </c>
      <c r="D237" s="24" t="inlineStr">
        <is>
          <t>Eurostat energy balances</t>
        </is>
      </c>
    </row>
    <row r="238" ht="26" customHeight="1">
      <c r="A238" s="13" t="inlineStr"/>
      <c r="B238" s="14" t="inlineStr"/>
      <c r="C238" s="14" t="inlineStr">
        <is>
          <t>Other fossils (solids/liquid) (tertiary, ktoe)</t>
        </is>
      </c>
      <c r="D238" s="18" t="inlineStr">
        <is>
          <t>Eurostat energy balances</t>
        </is>
      </c>
    </row>
    <row r="239" ht="26" customHeight="1">
      <c r="A239" s="57" t="inlineStr"/>
      <c r="B239" s="20" t="inlineStr"/>
      <c r="C239" s="20" t="inlineStr">
        <is>
          <t>Liquid fossils (tertiary, ktoe)</t>
        </is>
      </c>
      <c r="D239" s="24" t="inlineStr">
        <is>
          <t>Eurostat energy balances</t>
        </is>
      </c>
    </row>
    <row r="240" ht="26" customHeight="1">
      <c r="A240" s="13" t="inlineStr"/>
      <c r="B240" s="14" t="inlineStr"/>
      <c r="C240" s="14" t="inlineStr">
        <is>
          <t>Natural gas (tertiary, ktoe)</t>
        </is>
      </c>
      <c r="D240" s="18" t="inlineStr">
        <is>
          <t>Eurostat energy balances</t>
        </is>
      </c>
    </row>
    <row r="241" ht="26" customHeight="1">
      <c r="A241" s="57" t="inlineStr"/>
      <c r="B241" s="20" t="inlineStr"/>
      <c r="C241" s="20" t="inlineStr">
        <is>
          <t>Electricity (tertiary, ktoe)</t>
        </is>
      </c>
      <c r="D241" s="24" t="inlineStr">
        <is>
          <t>Eurostat energy balances</t>
        </is>
      </c>
    </row>
    <row r="242" ht="26" customHeight="1">
      <c r="A242" s="13" t="inlineStr"/>
      <c r="B242" s="14" t="inlineStr"/>
      <c r="C242" s="14" t="inlineStr">
        <is>
          <t>District heating (tertiary, ktoe)</t>
        </is>
      </c>
      <c r="D242" s="18" t="inlineStr">
        <is>
          <t>Eurostat energy balances</t>
        </is>
      </c>
    </row>
    <row r="243" ht="26" customHeight="1">
      <c r="A243" s="57" t="inlineStr"/>
      <c r="B243" s="20" t="inlineStr"/>
      <c r="C243" s="20" t="inlineStr">
        <is>
          <t>Renewables - bio (tertiary, ktoe)</t>
        </is>
      </c>
      <c r="D243" s="24" t="inlineStr">
        <is>
          <t>Eurostat energy balances</t>
        </is>
      </c>
    </row>
    <row r="244" ht="26" customHeight="1">
      <c r="A244" s="13" t="inlineStr"/>
      <c r="B244" s="14" t="inlineStr"/>
      <c r="C244" s="14" t="inlineStr">
        <is>
          <t>Renewables - other (tertiary, ktoe)</t>
        </is>
      </c>
      <c r="D244" s="18" t="inlineStr">
        <is>
          <t>Eurostat energy balances</t>
        </is>
      </c>
    </row>
    <row r="245" ht="26" customHeight="1">
      <c r="A245" s="57" t="inlineStr"/>
      <c r="B245" s="20" t="inlineStr"/>
      <c r="C245" s="20" t="inlineStr">
        <is>
          <t>Post-report figure as published</t>
        </is>
      </c>
      <c r="D245" s="24" t="inlineStr">
        <is>
          <t>Eurostat (nrg_bal_c) — https://ec.europa.eu/eurostat/databrowser/view/nrg_bal_c/default/table</t>
        </is>
      </c>
    </row>
    <row r="246" ht="26" customHeight="1">
      <c r="A246" s="13" t="inlineStr"/>
      <c r="B246" s="14" t="inlineStr"/>
      <c r="C246" s="14" t="inlineStr">
        <is>
          <t>fraction → % (× 100)</t>
        </is>
      </c>
      <c r="D246" s="18" t="inlineStr">
        <is>
          <t>Unit convention: the report workbook computes this share as a fraction, the indicator database stores it as a percent number (migrations 058 / 075 / 076). The conversion is carried here as its own column so the grid and the plotted series agree.</t>
        </is>
      </c>
    </row>
    <row r="247" ht="26" customHeight="1">
      <c r="A247" s="57" t="inlineStr">
        <is>
          <t>B6</t>
        </is>
      </c>
      <c r="B247" s="20" t="inlineStr">
        <is>
          <t>EU stock of installed heat pumps</t>
        </is>
      </c>
      <c r="C247" s="20" t="inlineStr">
        <is>
          <t>Value</t>
        </is>
      </c>
      <c r="D247" s="24" t="inlineStr">
        <is>
          <t>EHPA annual report</t>
        </is>
      </c>
    </row>
    <row r="248" ht="26" customHeight="1">
      <c r="A248" s="13" t="inlineStr"/>
      <c r="B248" s="14" t="inlineStr"/>
      <c r="C248" s="14" t="inlineStr">
        <is>
          <t>Total heat-pump stock (thousand units)</t>
        </is>
      </c>
      <c r="D248" s="18" t="inlineStr">
        <is>
          <t>EHPA annual report</t>
        </is>
      </c>
    </row>
    <row r="249" ht="26" customHeight="1">
      <c r="A249" s="57" t="inlineStr">
        <is>
          <t>A1</t>
        </is>
      </c>
      <c r="B249" s="20" t="inlineStr">
        <is>
          <t>Agricultural non-CO₂ emissions</t>
        </is>
      </c>
      <c r="C249" s="20" t="inlineStr">
        <is>
          <t>Value</t>
        </is>
      </c>
      <c r="D249" s="24" t="inlineStr">
        <is>
          <t>EEA GHG data viewer</t>
        </is>
      </c>
    </row>
    <row r="250" ht="26" customHeight="1">
      <c r="A250" s="13" t="inlineStr"/>
      <c r="B250" s="14" t="inlineStr"/>
      <c r="C250" s="14" t="inlineStr">
        <is>
          <t>Enteric fermentation</t>
        </is>
      </c>
      <c r="D250" s="18" t="inlineStr">
        <is>
          <t>EEA GHG data viewer</t>
        </is>
      </c>
    </row>
    <row r="251" ht="26" customHeight="1">
      <c r="A251" s="57" t="inlineStr"/>
      <c r="B251" s="20" t="inlineStr"/>
      <c r="C251" s="20" t="inlineStr">
        <is>
          <t>Manure management</t>
        </is>
      </c>
      <c r="D251" s="24" t="inlineStr">
        <is>
          <t>EEA GHG data viewer</t>
        </is>
      </c>
    </row>
    <row r="252" ht="26" customHeight="1">
      <c r="A252" s="13" t="inlineStr"/>
      <c r="B252" s="14" t="inlineStr"/>
      <c r="C252" s="14" t="inlineStr">
        <is>
          <t>Fertilizer use</t>
        </is>
      </c>
      <c r="D252" s="18" t="inlineStr">
        <is>
          <t>EEA GHG data viewer</t>
        </is>
      </c>
    </row>
    <row r="253" ht="26" customHeight="1">
      <c r="A253" s="57" t="inlineStr"/>
      <c r="B253" s="20" t="inlineStr"/>
      <c r="C253" s="20" t="inlineStr">
        <is>
          <t>Other</t>
        </is>
      </c>
      <c r="D253" s="24" t="inlineStr">
        <is>
          <t>EEA GHG data viewer</t>
        </is>
      </c>
    </row>
    <row r="254" ht="26" customHeight="1">
      <c r="A254" s="13" t="inlineStr"/>
      <c r="B254" s="14" t="inlineStr"/>
      <c r="C254" s="14" t="inlineStr">
        <is>
          <t>Report figure — row missing from the seeded grid</t>
        </is>
      </c>
      <c r="D254" s="18" t="inlineStr">
        <is>
          <t>ESABCC (2024) “Towards EU climate neutrality”, underlying-data workbook — EEA GHG data viewer. The report carries this year; the seeded calc grid stopped before it.</t>
        </is>
      </c>
    </row>
    <row r="255" ht="26" customHeight="1">
      <c r="A255" s="57" t="inlineStr"/>
      <c r="B255" s="20" t="inlineStr"/>
      <c r="C255" s="20" t="inlineStr">
        <is>
          <t>env_air_gge CRF3 CH4</t>
        </is>
      </c>
      <c r="D255" s="24" t="inlineStr">
        <is>
          <t>Eurostat env_air_gge · geo=EU27_2020, unit=MIO_T, freq=A, airpol=CH4, src_crf=CRF3 · https://ec.europa.eu/eurostat/api/dissemination/statistics/1.0/data/env_air_gge?format=JSON&amp;lang=EN&amp;geo=EU27_2020&amp;unit=MIO_T&amp;freq=A&amp;airpol=CH4&amp;src_crf=CRF3</t>
        </is>
      </c>
    </row>
    <row r="256" ht="26" customHeight="1">
      <c r="A256" s="13" t="inlineStr"/>
      <c r="B256" s="14" t="inlineStr"/>
      <c r="C256" s="14" t="inlineStr">
        <is>
          <t>env_air_gge CRF3 N2O</t>
        </is>
      </c>
      <c r="D256" s="18" t="inlineStr">
        <is>
          <t>Eurostat env_air_gge · geo=EU27_2020, unit=MIO_T, freq=A, airpol=N2O, src_crf=CRF3 · https://ec.europa.eu/eurostat/api/dissemination/statistics/1.0/data/env_air_gge?format=JSON&amp;lang=EN&amp;geo=EU27_2020&amp;unit=MIO_T&amp;freq=A&amp;airpol=N2O&amp;src_crf=CRF3</t>
        </is>
      </c>
    </row>
    <row r="257" ht="26" customHeight="1">
      <c r="A257" s="57" t="inlineStr"/>
      <c r="B257" s="20" t="inlineStr"/>
      <c r="C257" s="20" t="inlineStr">
        <is>
          <t>Report baseline 2022 (Mt CO₂eq)</t>
        </is>
      </c>
      <c r="D257" s="24" t="inlineStr">
        <is>
          <t>ESABCC (2024) “Towards EU climate neutrality”, underlying-data workbook — the report's own 2022 figure, the anchor the later years are spliced onto.</t>
        </is>
      </c>
    </row>
    <row r="258" ht="26" customHeight="1">
      <c r="A258" s="13" t="inlineStr"/>
      <c r="B258" s="14" t="inlineStr"/>
      <c r="C258" s="14" t="inlineStr">
        <is>
          <t>Live source at 2022 (same basis as the columns left)</t>
        </is>
      </c>
      <c r="D258" s="18" t="inlineStr">
        <is>
          <t>Eurostat env_air_gge · CRF 3 CH₄+N₂O (GWP-weighted) · EU27_2020 — the same query, read at 2022; dividing by it cancels the level difference between the source's scope and the report's, leaving only the year-on-year change.</t>
        </is>
      </c>
    </row>
    <row r="259" ht="26" customHeight="1">
      <c r="A259" s="57" t="inlineStr">
        <is>
          <t>A2 (bovine, production)</t>
        </is>
      </c>
      <c r="B259" s="20" t="inlineStr">
        <is>
          <t>Bovine meat: production (EU)</t>
        </is>
      </c>
      <c r="C259" s="20" t="inlineStr">
        <is>
          <t>Value</t>
        </is>
      </c>
      <c r="D259" s="24" t="inlineStr">
        <is>
          <t>EEA GHG data viewer + Eurostat/FAOSTAT production</t>
        </is>
      </c>
    </row>
    <row r="260" ht="26" customHeight="1">
      <c r="A260" s="13" t="inlineStr"/>
      <c r="B260" s="14" t="inlineStr"/>
      <c r="C260" s="14" t="inlineStr">
        <is>
          <t>Report figure (2024 report underlying data)</t>
        </is>
      </c>
      <c r="D260" s="18" t="inlineStr">
        <is>
          <t>ESABCC (2024) “Towards EU climate neutrality: Progress, policy gaps and opportunities”, underlying-data workbook — EEA GHG data viewer + Eurostat/FAOSTAT production. The report carries this indicator as a published series, with no further breakdown.</t>
        </is>
      </c>
    </row>
    <row r="261" ht="26" customHeight="1">
      <c r="A261" s="57" t="inlineStr"/>
      <c r="B261" s="20" t="inlineStr"/>
      <c r="C261" s="20" t="inlineStr">
        <is>
          <t>apro_mt_pann B1000</t>
        </is>
      </c>
      <c r="D261" s="24" t="inlineStr">
        <is>
          <t>Eurostat apro_mt_pann · geo=EU27_2020, meat=B1000, meatitem=SLAUGHT, unit=THS_T · https://ec.europa.eu/eurostat/api/dissemination/statistics/1.0/data/apro_mt_pann?format=JSON&amp;lang=EN&amp;geo=EU27_2020&amp;meat=B1000&amp;meatitem=SLAUGHT&amp;unit=THS_T</t>
        </is>
      </c>
    </row>
    <row r="262" ht="26" customHeight="1">
      <c r="A262" s="13" t="inlineStr"/>
      <c r="B262" s="14" t="inlineStr"/>
      <c r="C262" s="14" t="inlineStr">
        <is>
          <t>Unit conversion (× 0.001)</t>
        </is>
      </c>
      <c r="D262" s="18" t="inlineStr">
        <is>
          <t>Unit conversion applied to the source figure so it is expressed in Mt.</t>
        </is>
      </c>
    </row>
    <row r="263" ht="26" customHeight="1">
      <c r="A263" s="57" t="inlineStr">
        <is>
          <t>A2 (dairy, production)</t>
        </is>
      </c>
      <c r="B263" s="20" t="inlineStr">
        <is>
          <t>Dairy products: production (EU)</t>
        </is>
      </c>
      <c r="C263" s="20" t="inlineStr">
        <is>
          <t>Value</t>
        </is>
      </c>
      <c r="D263" s="24" t="inlineStr">
        <is>
          <t>EEA GHG data viewer + Eurostat/FAOSTAT production</t>
        </is>
      </c>
    </row>
    <row r="264" ht="26" customHeight="1">
      <c r="A264" s="13" t="inlineStr"/>
      <c r="B264" s="14" t="inlineStr"/>
      <c r="C264" s="14" t="inlineStr">
        <is>
          <t>Report figure (2024 report underlying data)</t>
        </is>
      </c>
      <c r="D264" s="18" t="inlineStr">
        <is>
          <t>ESABCC (2024) “Towards EU climate neutrality: Progress, policy gaps and opportunities”, underlying-data workbook — EEA GHG data viewer + Eurostat/FAOSTAT production. The report carries this indicator as a published series, with no further breakdown.</t>
        </is>
      </c>
    </row>
    <row r="265" ht="26" customHeight="1">
      <c r="A265" s="57" t="inlineStr"/>
      <c r="B265" s="20" t="inlineStr"/>
      <c r="C265" s="20" t="inlineStr">
        <is>
          <t>apro_mk_farm D1100A</t>
        </is>
      </c>
      <c r="D265" s="24" t="inlineStr">
        <is>
          <t>Eurostat apro_mk_farm · geo=EU27_2020, dairyprod=D1100A, milkitem=PRO · https://ec.europa.eu/eurostat/api/dissemination/statistics/1.0/data/apro_mk_farm?format=JSON&amp;lang=EN&amp;geo=EU27_2020&amp;dairyprod=D1100A&amp;milkitem=PRO</t>
        </is>
      </c>
    </row>
    <row r="266" ht="26" customHeight="1">
      <c r="A266" s="13" t="inlineStr"/>
      <c r="B266" s="14" t="inlineStr"/>
      <c r="C266" s="14" t="inlineStr">
        <is>
          <t>Report baseline 2020 (Mt)</t>
        </is>
      </c>
      <c r="D266" s="18" t="inlineStr">
        <is>
          <t>ESABCC (2024) “Towards EU climate neutrality”, underlying-data workbook — the report's own 2020 figure, the anchor the later years are spliced onto.</t>
        </is>
      </c>
    </row>
    <row r="267" ht="26" customHeight="1">
      <c r="A267" s="57" t="inlineStr"/>
      <c r="B267" s="20" t="inlineStr"/>
      <c r="C267" s="20" t="inlineStr">
        <is>
          <t>Live source at 2020 (same basis as the columns left)</t>
        </is>
      </c>
      <c r="D267" s="24" t="inlineStr">
        <is>
          <t>Eurostat apro_mk_farm · raw milk total available on farms · EU27_2020 — the same query, read at 2020; dividing by it cancels the level difference between the source's scope and the report's, leaving only the year-on-year change.</t>
        </is>
      </c>
    </row>
    <row r="268" ht="26" customHeight="1">
      <c r="A268" s="13" t="inlineStr">
        <is>
          <t>A2 (pig, GHG)</t>
        </is>
      </c>
      <c r="B268" s="14" t="inlineStr">
        <is>
          <t>Pig meat: GHG emissions (EU)</t>
        </is>
      </c>
      <c r="C268" s="14" t="inlineStr">
        <is>
          <t>Value</t>
        </is>
      </c>
      <c r="D268" s="18" t="inlineStr">
        <is>
          <t>EEA GHG data viewer + Eurostat/FAOSTAT production</t>
        </is>
      </c>
    </row>
    <row r="269" ht="26" customHeight="1">
      <c r="A269" s="57" t="inlineStr"/>
      <c r="B269" s="20" t="inlineStr"/>
      <c r="C269" s="20" t="inlineStr">
        <is>
          <t>Report figure (2024 report underlying data)</t>
        </is>
      </c>
      <c r="D269" s="24" t="inlineStr">
        <is>
          <t>ESABCC (2024) “Towards EU climate neutrality: Progress, policy gaps and opportunities”, underlying-data workbook — EEA GHG data viewer + Eurostat/FAOSTAT production. The report carries this indicator as a published series, with no further breakdown.</t>
        </is>
      </c>
    </row>
    <row r="270" ht="26" customHeight="1">
      <c r="A270" s="13" t="inlineStr"/>
      <c r="B270" s="14" t="inlineStr"/>
      <c r="C270" s="14" t="inlineStr">
        <is>
          <t>env_air_gge CRF3A3</t>
        </is>
      </c>
      <c r="D270" s="18" t="inlineStr">
        <is>
          <t>Eurostat env_air_gge · geo=EU27_2020, unit=MIO_T, freq=A, airpol=GHG, src_crf=CRF3A3 · https://ec.europa.eu/eurostat/api/dissemination/statistics/1.0/data/env_air_gge?format=JSON&amp;lang=EN&amp;geo=EU27_2020&amp;unit=MIO_T&amp;freq=A&amp;airpol=GHG&amp;src_crf=CRF3A3</t>
        </is>
      </c>
    </row>
    <row r="271" ht="26" customHeight="1">
      <c r="A271" s="57" t="inlineStr"/>
      <c r="B271" s="20" t="inlineStr"/>
      <c r="C271" s="20" t="inlineStr">
        <is>
          <t>env_air_gge CRF3B3</t>
        </is>
      </c>
      <c r="D271" s="24" t="inlineStr">
        <is>
          <t>Eurostat env_air_gge · geo=EU27_2020, unit=MIO_T, freq=A, airpol=GHG, src_crf=CRF3B3 · https://ec.europa.eu/eurostat/api/dissemination/statistics/1.0/data/env_air_gge?format=JSON&amp;lang=EN&amp;geo=EU27_2020&amp;unit=MIO_T&amp;freq=A&amp;airpol=GHG&amp;src_crf=CRF3B3</t>
        </is>
      </c>
    </row>
    <row r="272" ht="26" customHeight="1">
      <c r="A272" s="13" t="inlineStr"/>
      <c r="B272" s="14" t="inlineStr"/>
      <c r="C272" s="14" t="inlineStr">
        <is>
          <t>Report baseline 2021 (Mt CO₂eq)</t>
        </is>
      </c>
      <c r="D272" s="18" t="inlineStr">
        <is>
          <t>ESABCC (2024) “Towards EU climate neutrality”, underlying-data workbook — the report's own 2021 figure, the anchor the later years are spliced onto.</t>
        </is>
      </c>
    </row>
    <row r="273" ht="26" customHeight="1">
      <c r="A273" s="57" t="inlineStr"/>
      <c r="B273" s="20" t="inlineStr"/>
      <c r="C273" s="20" t="inlineStr">
        <is>
          <t>Live source at 2021 (same basis as the columns left)</t>
        </is>
      </c>
      <c r="D273" s="24" t="inlineStr">
        <is>
          <t>Eurostat env_air_gge · swine enteric (CRF 3.A.3) + manure (CRF 3.B.3) GHG · EU27_2020 — the same query, read at 2021; dividing by it cancels the level difference between the source's scope and the report's, leaving only the year-on-year change.</t>
        </is>
      </c>
    </row>
    <row r="274" ht="26" customHeight="1">
      <c r="A274" s="13" t="inlineStr">
        <is>
          <t>A2 (pig, intensity)</t>
        </is>
      </c>
      <c r="B274" s="14" t="inlineStr">
        <is>
          <t>Pig meat: GHG intensity (EU)</t>
        </is>
      </c>
      <c r="C274" s="14" t="inlineStr">
        <is>
          <t>Value</t>
        </is>
      </c>
      <c r="D274" s="18" t="inlineStr">
        <is>
          <t>EEA GHG data viewer + Eurostat/FAOSTAT production</t>
        </is>
      </c>
    </row>
    <row r="275" ht="26" customHeight="1">
      <c r="A275" s="57" t="inlineStr"/>
      <c r="B275" s="20" t="inlineStr"/>
      <c r="C275" s="20" t="inlineStr">
        <is>
          <t>Report figure (2024 report underlying data)</t>
        </is>
      </c>
      <c r="D275" s="24" t="inlineStr">
        <is>
          <t>ESABCC (2024) “Towards EU climate neutrality: Progress, policy gaps and opportunities”, underlying-data workbook — EEA GHG data viewer + Eurostat/FAOSTAT production. The report carries this indicator as a published series, with no further breakdown.</t>
        </is>
      </c>
    </row>
    <row r="276" ht="26" customHeight="1">
      <c r="A276" s="13" t="inlineStr"/>
      <c r="B276" s="14" t="inlineStr"/>
      <c r="C276" s="14" t="inlineStr">
        <is>
          <t>Numerator · env_air_gge CRF3A3</t>
        </is>
      </c>
      <c r="D276" s="18" t="inlineStr">
        <is>
          <t>Eurostat env_air_gge · geo=EU27_2020, unit=MIO_T, freq=A, airpol=GHG, src_crf=CRF3A3 · https://ec.europa.eu/eurostat/api/dissemination/statistics/1.0/data/env_air_gge?format=JSON&amp;lang=EN&amp;geo=EU27_2020&amp;unit=MIO_T&amp;freq=A&amp;airpol=GHG&amp;src_crf=CRF3A3</t>
        </is>
      </c>
    </row>
    <row r="277" ht="26" customHeight="1">
      <c r="A277" s="57" t="inlineStr"/>
      <c r="B277" s="20" t="inlineStr"/>
      <c r="C277" s="20" t="inlineStr">
        <is>
          <t>Numerator · env_air_gge CRF3B3</t>
        </is>
      </c>
      <c r="D277" s="24" t="inlineStr">
        <is>
          <t>Eurostat env_air_gge · geo=EU27_2020, unit=MIO_T, freq=A, airpol=GHG, src_crf=CRF3B3 · https://ec.europa.eu/eurostat/api/dissemination/statistics/1.0/data/env_air_gge?format=JSON&amp;lang=EN&amp;geo=EU27_2020&amp;unit=MIO_T&amp;freq=A&amp;airpol=GHG&amp;src_crf=CRF3B3</t>
        </is>
      </c>
    </row>
    <row r="278" ht="26" customHeight="1">
      <c r="A278" s="13" t="inlineStr"/>
      <c r="B278" s="14" t="inlineStr"/>
      <c r="C278" s="14" t="inlineStr">
        <is>
          <t>Denominator · apro_mt_pann B3100</t>
        </is>
      </c>
      <c r="D278" s="18" t="inlineStr">
        <is>
          <t>Eurostat apro_mt_pann · geo=EU27_2020, meat=B3100, meatitem=SLAUGHT, unit=THS_T · https://ec.europa.eu/eurostat/api/dissemination/statistics/1.0/data/apro_mt_pann?format=JSON&amp;lang=EN&amp;geo=EU27_2020&amp;meat=B3100&amp;meatitem=SLAUGHT&amp;unit=THS_T</t>
        </is>
      </c>
    </row>
    <row r="279" ht="26" customHeight="1">
      <c r="A279" s="57" t="inlineStr"/>
      <c r="B279" s="20" t="inlineStr"/>
      <c r="C279" s="20" t="inlineStr">
        <is>
          <t>Report baseline 2020 (t CO₂eq/t)</t>
        </is>
      </c>
      <c r="D279" s="24" t="inlineStr">
        <is>
          <t>ESABCC (2024) “Towards EU climate neutrality”, underlying-data workbook — the report's own 2020 figure, the anchor the later years are spliced onto.</t>
        </is>
      </c>
    </row>
    <row r="280" ht="26" customHeight="1">
      <c r="A280" s="13" t="inlineStr"/>
      <c r="B280" s="14" t="inlineStr"/>
      <c r="C280" s="14" t="inlineStr">
        <is>
          <t>Live source at 2020 (same basis as the columns left)</t>
        </is>
      </c>
      <c r="D280" s="18" t="inlineStr">
        <is>
          <t>Eurostat env_air_gge swine GHG (3.A.3 + 3.B.3) ÷ apro_mt_pann pigmeat (B3100) · EU27_2020 — the same query, read at 2020; dividing by it cancels the level difference between the source's scope and the report's, leaving only the year-on-year change.</t>
        </is>
      </c>
    </row>
    <row r="281" ht="26" customHeight="1">
      <c r="A281" s="57" t="inlineStr">
        <is>
          <t>A2 (pig, production)</t>
        </is>
      </c>
      <c r="B281" s="20" t="inlineStr">
        <is>
          <t>Pig meat: production (EU)</t>
        </is>
      </c>
      <c r="C281" s="20" t="inlineStr">
        <is>
          <t>Value</t>
        </is>
      </c>
      <c r="D281" s="24" t="inlineStr">
        <is>
          <t>EEA GHG data viewer + Eurostat/FAOSTAT production</t>
        </is>
      </c>
    </row>
    <row r="282" ht="26" customHeight="1">
      <c r="A282" s="13" t="inlineStr"/>
      <c r="B282" s="14" t="inlineStr"/>
      <c r="C282" s="14" t="inlineStr">
        <is>
          <t>Report figure (2024 report underlying data)</t>
        </is>
      </c>
      <c r="D282" s="18" t="inlineStr">
        <is>
          <t>ESABCC (2024) “Towards EU climate neutrality: Progress, policy gaps and opportunities”, underlying-data workbook — EEA GHG data viewer + Eurostat/FAOSTAT production. The report carries this indicator as a published series, with no further breakdown.</t>
        </is>
      </c>
    </row>
    <row r="283" ht="26" customHeight="1">
      <c r="A283" s="57" t="inlineStr"/>
      <c r="B283" s="20" t="inlineStr"/>
      <c r="C283" s="20" t="inlineStr">
        <is>
          <t>apro_mt_pann B3100</t>
        </is>
      </c>
      <c r="D283" s="24" t="inlineStr">
        <is>
          <t>Eurostat apro_mt_pann · geo=EU27_2020, meat=B3100, meatitem=SLAUGHT, unit=THS_T · https://ec.europa.eu/eurostat/api/dissemination/statistics/1.0/data/apro_mt_pann?format=JSON&amp;lang=EN&amp;geo=EU27_2020&amp;meat=B3100&amp;meatitem=SLAUGHT&amp;unit=THS_T</t>
        </is>
      </c>
    </row>
    <row r="284" ht="26" customHeight="1">
      <c r="A284" s="13" t="inlineStr"/>
      <c r="B284" s="14" t="inlineStr"/>
      <c r="C284" s="14" t="inlineStr">
        <is>
          <t>Unit conversion (× 0.001)</t>
        </is>
      </c>
      <c r="D284" s="18" t="inlineStr">
        <is>
          <t>Unit conversion applied to the source figure so it is expressed in Mt.</t>
        </is>
      </c>
    </row>
    <row r="285" ht="26" customHeight="1">
      <c r="A285" s="57" t="inlineStr">
        <is>
          <t>A4 (bovine, herd)</t>
        </is>
      </c>
      <c r="B285" s="20" t="inlineStr">
        <is>
          <t>Bovine meat: herd size (EU)</t>
        </is>
      </c>
      <c r="C285" s="20" t="inlineStr">
        <is>
          <t>Value</t>
        </is>
      </c>
      <c r="D285" s="24" t="inlineStr">
        <is>
          <t>EU GHG inventory (CRF) livestock populations; 2021+ Eurostat survey trend</t>
        </is>
      </c>
    </row>
    <row r="286" ht="26" customHeight="1">
      <c r="A286" s="13" t="inlineStr"/>
      <c r="B286" s="14" t="inlineStr"/>
      <c r="C286" s="14" t="inlineStr">
        <is>
          <t>Report figure (2024 report underlying data)</t>
        </is>
      </c>
      <c r="D286" s="18" t="inlineStr">
        <is>
          <t>ESABCC (2024) “Towards EU climate neutrality: Progress, policy gaps and opportunities”, underlying-data workbook — EU GHG inventory (CRF) livestock populations; 2021+ Eurostat survey trend. The report carries this indicator as a published series, with no further breakdown.</t>
        </is>
      </c>
    </row>
    <row r="287" ht="26" customHeight="1">
      <c r="A287" s="57" t="inlineStr"/>
      <c r="B287" s="20" t="inlineStr"/>
      <c r="C287" s="20" t="inlineStr">
        <is>
          <t>apro_mt_lscatl A2000</t>
        </is>
      </c>
      <c r="D287" s="24" t="inlineStr">
        <is>
          <t>Eurostat apro_mt_lscatl · geo=EU27_2020, animals=A2000, month=M11_M12, unit=THS_HD · https://ec.europa.eu/eurostat/api/dissemination/statistics/1.0/data/apro_mt_lscatl?format=JSON&amp;lang=EN&amp;geo=EU27_2020&amp;animals=A2000&amp;month=M11_M12&amp;unit=THS_HD</t>
        </is>
      </c>
    </row>
    <row r="288" ht="26" customHeight="1">
      <c r="A288" s="13" t="inlineStr"/>
      <c r="B288" s="14" t="inlineStr"/>
      <c r="C288" s="14" t="inlineStr">
        <is>
          <t>Report baseline 2020 (million heads)</t>
        </is>
      </c>
      <c r="D288" s="18" t="inlineStr">
        <is>
          <t>ESABCC (2024) “Towards EU climate neutrality”, underlying-data workbook — the report's own 2020 figure, the anchor the later years are spliced onto.</t>
        </is>
      </c>
    </row>
    <row r="289" ht="26" customHeight="1">
      <c r="A289" s="57" t="inlineStr"/>
      <c r="B289" s="20" t="inlineStr"/>
      <c r="C289" s="20" t="inlineStr">
        <is>
          <t>Live source at 2020 (same basis as the columns left)</t>
        </is>
      </c>
      <c r="D289" s="24" t="inlineStr">
        <is>
          <t>Eurostat apro_mt_lscatl · live bovine animals (A2000), Nov–Dec survey · EU27_2020 — the same query, read at 2020; dividing by it cancels the level difference between the source's scope and the report's, leaving only the year-on-year change.</t>
        </is>
      </c>
    </row>
    <row r="290" ht="26" customHeight="1">
      <c r="A290" s="13" t="inlineStr">
        <is>
          <t>A4 (bovine, production)</t>
        </is>
      </c>
      <c r="B290" s="14" t="inlineStr">
        <is>
          <t>Bovine meat: production (EU)</t>
        </is>
      </c>
      <c r="C290" s="14" t="inlineStr">
        <is>
          <t>Value</t>
        </is>
      </c>
      <c r="D290" s="18" t="inlineStr">
        <is>
          <t>Eurostat/FAOSTAT food balances + livestock surveys</t>
        </is>
      </c>
    </row>
    <row r="291" ht="26" customHeight="1">
      <c r="A291" s="57" t="inlineStr"/>
      <c r="B291" s="20" t="inlineStr"/>
      <c r="C291" s="20" t="inlineStr">
        <is>
          <t>Report figure (2024 report underlying data)</t>
        </is>
      </c>
      <c r="D291" s="24" t="inlineStr">
        <is>
          <t>ESABCC (2024) “Towards EU climate neutrality: Progress, policy gaps and opportunities”, underlying-data workbook — Eurostat/FAOSTAT food balances + livestock surveys. The report carries this indicator as a published series, with no further breakdown.</t>
        </is>
      </c>
    </row>
    <row r="292" ht="26" customHeight="1">
      <c r="A292" s="13" t="inlineStr"/>
      <c r="B292" s="14" t="inlineStr"/>
      <c r="C292" s="14" t="inlineStr">
        <is>
          <t>apro_mt_pann B1000</t>
        </is>
      </c>
      <c r="D292" s="18" t="inlineStr">
        <is>
          <t>Eurostat apro_mt_pann · geo=EU27_2020, meat=B1000, meatitem=SLAUGHT, unit=THS_T · https://ec.europa.eu/eurostat/api/dissemination/statistics/1.0/data/apro_mt_pann?format=JSON&amp;lang=EN&amp;geo=EU27_2020&amp;meat=B1000&amp;meatitem=SLAUGHT&amp;unit=THS_T</t>
        </is>
      </c>
    </row>
    <row r="293" ht="26" customHeight="1">
      <c r="A293" s="57" t="inlineStr"/>
      <c r="B293" s="20" t="inlineStr"/>
      <c r="C293" s="20" t="inlineStr">
        <is>
          <t>Unit conversion (× 0.001)</t>
        </is>
      </c>
      <c r="D293" s="24" t="inlineStr">
        <is>
          <t>Unit conversion applied to the source figure so it is expressed in Mt.</t>
        </is>
      </c>
    </row>
    <row r="294" ht="26" customHeight="1">
      <c r="A294" s="13" t="inlineStr">
        <is>
          <t>A4 (dairy, herd)</t>
        </is>
      </c>
      <c r="B294" s="14" t="inlineStr">
        <is>
          <t>Dairy products: herd size (EU)</t>
        </is>
      </c>
      <c r="C294" s="14" t="inlineStr">
        <is>
          <t>Value</t>
        </is>
      </c>
      <c r="D294" s="18" t="inlineStr">
        <is>
          <t>EU GHG inventory (CRF) livestock populations; 2021+ Eurostat survey trend</t>
        </is>
      </c>
    </row>
    <row r="295" ht="26" customHeight="1">
      <c r="A295" s="57" t="inlineStr"/>
      <c r="B295" s="20" t="inlineStr"/>
      <c r="C295" s="20" t="inlineStr">
        <is>
          <t>Report figure (2024 report underlying data)</t>
        </is>
      </c>
      <c r="D295" s="24" t="inlineStr">
        <is>
          <t>ESABCC (2024) “Towards EU climate neutrality: Progress, policy gaps and opportunities”, underlying-data workbook — EU GHG inventory (CRF) livestock populations; 2021+ Eurostat survey trend. The report carries this indicator as a published series, with no further breakdown.</t>
        </is>
      </c>
    </row>
    <row r="296" ht="26" customHeight="1">
      <c r="A296" s="13" t="inlineStr"/>
      <c r="B296" s="14" t="inlineStr"/>
      <c r="C296" s="14" t="inlineStr">
        <is>
          <t>apro_mt_lscatl A2300F</t>
        </is>
      </c>
      <c r="D296" s="18" t="inlineStr">
        <is>
          <t>Eurostat apro_mt_lscatl · geo=EU27_2020, animals=A2300F, month=M11_M12, unit=THS_HD · https://ec.europa.eu/eurostat/api/dissemination/statistics/1.0/data/apro_mt_lscatl?format=JSON&amp;lang=EN&amp;geo=EU27_2020&amp;animals=A2300F&amp;month=M11_M12&amp;unit=THS_HD</t>
        </is>
      </c>
    </row>
    <row r="297" ht="26" customHeight="1">
      <c r="A297" s="57" t="inlineStr"/>
      <c r="B297" s="20" t="inlineStr"/>
      <c r="C297" s="20" t="inlineStr">
        <is>
          <t>Unit conversion (× 0.001)</t>
        </is>
      </c>
      <c r="D297" s="24" t="inlineStr">
        <is>
          <t>Unit conversion applied to the source figure so it is expressed in million heads.</t>
        </is>
      </c>
    </row>
    <row r="298" ht="26" customHeight="1">
      <c r="A298" s="13" t="inlineStr">
        <is>
          <t>A4 (dairy, production)</t>
        </is>
      </c>
      <c r="B298" s="14" t="inlineStr">
        <is>
          <t>Dairy products: production (EU)</t>
        </is>
      </c>
      <c r="C298" s="14" t="inlineStr">
        <is>
          <t>Value</t>
        </is>
      </c>
      <c r="D298" s="18" t="inlineStr">
        <is>
          <t>Eurostat/FAOSTAT food balances + livestock surveys</t>
        </is>
      </c>
    </row>
    <row r="299" ht="26" customHeight="1">
      <c r="A299" s="57" t="inlineStr"/>
      <c r="B299" s="20" t="inlineStr"/>
      <c r="C299" s="20" t="inlineStr">
        <is>
          <t>Report figure (2024 report underlying data)</t>
        </is>
      </c>
      <c r="D299" s="24" t="inlineStr">
        <is>
          <t>ESABCC (2024) “Towards EU climate neutrality: Progress, policy gaps and opportunities”, underlying-data workbook — Eurostat/FAOSTAT food balances + livestock surveys. The report carries this indicator as a published series, with no further breakdown.</t>
        </is>
      </c>
    </row>
    <row r="300" ht="26" customHeight="1">
      <c r="A300" s="13" t="inlineStr"/>
      <c r="B300" s="14" t="inlineStr"/>
      <c r="C300" s="14" t="inlineStr">
        <is>
          <t>apro_mk_farm D1100A</t>
        </is>
      </c>
      <c r="D300" s="18" t="inlineStr">
        <is>
          <t>Eurostat apro_mk_farm · geo=EU27_2020, dairyprod=D1100A, milkitem=PRO · https://ec.europa.eu/eurostat/api/dissemination/statistics/1.0/data/apro_mk_farm?format=JSON&amp;lang=EN&amp;geo=EU27_2020&amp;dairyprod=D1100A&amp;milkitem=PRO</t>
        </is>
      </c>
    </row>
    <row r="301" ht="26" customHeight="1">
      <c r="A301" s="57" t="inlineStr"/>
      <c r="B301" s="20" t="inlineStr"/>
      <c r="C301" s="20" t="inlineStr">
        <is>
          <t>Report baseline 2020 (Mt)</t>
        </is>
      </c>
      <c r="D301" s="24" t="inlineStr">
        <is>
          <t>ESABCC (2024) “Towards EU climate neutrality”, underlying-data workbook — the report's own 2020 figure, the anchor the later years are spliced onto.</t>
        </is>
      </c>
    </row>
    <row r="302" ht="26" customHeight="1">
      <c r="A302" s="13" t="inlineStr"/>
      <c r="B302" s="14" t="inlineStr"/>
      <c r="C302" s="14" t="inlineStr">
        <is>
          <t>Live source at 2020 (same basis as the columns left)</t>
        </is>
      </c>
      <c r="D302" s="18" t="inlineStr">
        <is>
          <t>Eurostat apro_mk_farm · raw milk total available on farms · EU27_2020 — the same query, read at 2020; dividing by it cancels the level difference between the source's scope and the report's, leaving only the year-on-year change.</t>
        </is>
      </c>
    </row>
    <row r="303" ht="26" customHeight="1">
      <c r="A303" s="57" t="inlineStr">
        <is>
          <t>A4 (pig, herd)</t>
        </is>
      </c>
      <c r="B303" s="20" t="inlineStr">
        <is>
          <t>Pig meat: herd size (EU)</t>
        </is>
      </c>
      <c r="C303" s="20" t="inlineStr">
        <is>
          <t>Value</t>
        </is>
      </c>
      <c r="D303" s="24" t="inlineStr">
        <is>
          <t>EU GHG inventory (CRF) livestock populations; 2021+ Eurostat apro_mt_lspig (swine) survey trend</t>
        </is>
      </c>
    </row>
    <row r="304" ht="26" customHeight="1">
      <c r="A304" s="13" t="inlineStr"/>
      <c r="B304" s="14" t="inlineStr"/>
      <c r="C304" s="14" t="inlineStr">
        <is>
          <t>Report figure (2024 report underlying data)</t>
        </is>
      </c>
      <c r="D304" s="18" t="inlineStr">
        <is>
          <t>ESABCC (2024) “Towards EU climate neutrality: Progress, policy gaps and opportunities”, underlying-data workbook — EU GHG inventory (CRF) livestock populations; 2021+ Eurostat apro_mt_lspig (swine) survey trend. The report carries this indicator as a published series, with no further breakdown.</t>
        </is>
      </c>
    </row>
    <row r="305" ht="26" customHeight="1">
      <c r="A305" s="57" t="inlineStr"/>
      <c r="B305" s="20" t="inlineStr"/>
      <c r="C305" s="20" t="inlineStr">
        <is>
          <t>apro_mt_lspig A3100</t>
        </is>
      </c>
      <c r="D305" s="24" t="inlineStr">
        <is>
          <t>Eurostat apro_mt_lspig · geo=EU27_2020, animals=A3100, month=M11_M12, unit=THS_HD · https://ec.europa.eu/eurostat/api/dissemination/statistics/1.0/data/apro_mt_lspig?format=JSON&amp;lang=EN&amp;geo=EU27_2020&amp;animals=A3100&amp;month=M11_M12&amp;unit=THS_HD</t>
        </is>
      </c>
    </row>
    <row r="306" ht="26" customHeight="1">
      <c r="A306" s="13" t="inlineStr"/>
      <c r="B306" s="14" t="inlineStr"/>
      <c r="C306" s="14" t="inlineStr">
        <is>
          <t>Report baseline 2020 (million heads)</t>
        </is>
      </c>
      <c r="D306" s="18" t="inlineStr">
        <is>
          <t>ESABCC (2024) “Towards EU climate neutrality”, underlying-data workbook — the report's own 2020 figure, the anchor the later years are spliced onto.</t>
        </is>
      </c>
    </row>
    <row r="307" ht="26" customHeight="1">
      <c r="A307" s="57" t="inlineStr"/>
      <c r="B307" s="20" t="inlineStr"/>
      <c r="C307" s="20" t="inlineStr">
        <is>
          <t>Live source at 2020 (same basis as the columns left)</t>
        </is>
      </c>
      <c r="D307" s="24" t="inlineStr">
        <is>
          <t>Eurostat apro_mt_lspig · live swine (A3100), Nov–Dec survey · EU27_2020 — the same query, read at 2020; dividing by it cancels the level difference between the source's scope and the report's, leaving only the year-on-year change.</t>
        </is>
      </c>
    </row>
    <row r="308" ht="26" customHeight="1">
      <c r="A308" s="13" t="inlineStr">
        <is>
          <t>A4 (pig, production)</t>
        </is>
      </c>
      <c r="B308" s="14" t="inlineStr">
        <is>
          <t>Pig meat: production (EU)</t>
        </is>
      </c>
      <c r="C308" s="14" t="inlineStr">
        <is>
          <t>Value</t>
        </is>
      </c>
      <c r="D308" s="18" t="inlineStr">
        <is>
          <t>Eurostat/FAOSTAT food balances + livestock surveys</t>
        </is>
      </c>
    </row>
    <row r="309" ht="26" customHeight="1">
      <c r="A309" s="57" t="inlineStr"/>
      <c r="B309" s="20" t="inlineStr"/>
      <c r="C309" s="20" t="inlineStr">
        <is>
          <t>Report figure (2024 report underlying data)</t>
        </is>
      </c>
      <c r="D309" s="24" t="inlineStr">
        <is>
          <t>ESABCC (2024) “Towards EU climate neutrality: Progress, policy gaps and opportunities”, underlying-data workbook — Eurostat/FAOSTAT food balances + livestock surveys. The report carries this indicator as a published series, with no further breakdown.</t>
        </is>
      </c>
    </row>
    <row r="310" ht="26" customHeight="1">
      <c r="A310" s="13" t="inlineStr"/>
      <c r="B310" s="14" t="inlineStr"/>
      <c r="C310" s="14" t="inlineStr">
        <is>
          <t>apro_mt_pann B3100</t>
        </is>
      </c>
      <c r="D310" s="18" t="inlineStr">
        <is>
          <t>Eurostat apro_mt_pann · geo=EU27_2020, meat=B3100, meatitem=SLAUGHT, unit=THS_T · https://ec.europa.eu/eurostat/api/dissemination/statistics/1.0/data/apro_mt_pann?format=JSON&amp;lang=EN&amp;geo=EU27_2020&amp;meat=B3100&amp;meatitem=SLAUGHT&amp;unit=THS_T</t>
        </is>
      </c>
    </row>
    <row r="311" ht="26" customHeight="1">
      <c r="A311" s="57" t="inlineStr"/>
      <c r="B311" s="20" t="inlineStr"/>
      <c r="C311" s="20" t="inlineStr">
        <is>
          <t>Unit conversion (× 0.001)</t>
        </is>
      </c>
      <c r="D311" s="24" t="inlineStr">
        <is>
          <t>Unit conversion applied to the source figure so it is expressed in Mt.</t>
        </is>
      </c>
    </row>
    <row r="312" ht="26" customHeight="1">
      <c r="A312" s="13" t="inlineStr">
        <is>
          <t>A6</t>
        </is>
      </c>
      <c r="B312" s="14" t="inlineStr">
        <is>
          <t>Food waste per capita (EU)</t>
        </is>
      </c>
      <c r="C312" s="14" t="inlineStr">
        <is>
          <t>Value</t>
        </is>
      </c>
      <c r="D312" s="18" t="inlineStr">
        <is>
          <t>Eurostat (env_wasfw)</t>
        </is>
      </c>
    </row>
    <row r="313" ht="26" customHeight="1">
      <c r="A313" s="57" t="inlineStr"/>
      <c r="B313" s="20" t="inlineStr"/>
      <c r="C313" s="20" t="inlineStr">
        <is>
          <t>Report figure (2024 report underlying data)</t>
        </is>
      </c>
      <c r="D313" s="24" t="inlineStr">
        <is>
          <t>ESABCC (2024) “Towards EU climate neutrality: Progress, policy gaps and opportunities”, underlying-data workbook — Eurostat (env_wasfw). The report carries this indicator as a published series, with no further breakdown.</t>
        </is>
      </c>
    </row>
    <row r="314" ht="26" customHeight="1">
      <c r="A314" s="13" t="inlineStr"/>
      <c r="B314" s="14" t="inlineStr"/>
      <c r="C314" s="14" t="inlineStr">
        <is>
          <t>env_wasfw TOT</t>
        </is>
      </c>
      <c r="D314" s="18" t="inlineStr">
        <is>
          <t>Eurostat env_wasfw · geo=EU27_2020, nace_r2=TOT, unit=KG_HAB · https://ec.europa.eu/eurostat/api/dissemination/statistics/1.0/data/env_wasfw?format=JSON&amp;lang=EN&amp;geo=EU27_2020&amp;nace_r2=TOT&amp;unit=KG_HAB</t>
        </is>
      </c>
    </row>
    <row r="315" ht="26" customHeight="1">
      <c r="A315" s="57" t="inlineStr">
        <is>
          <t>L1</t>
        </is>
      </c>
      <c r="B315" s="20" t="inlineStr">
        <is>
          <t>LULUCF net GHG balance</t>
        </is>
      </c>
      <c r="C315" s="20" t="inlineStr">
        <is>
          <t>Value</t>
        </is>
      </c>
      <c r="D315" s="24" t="inlineStr">
        <is>
          <t>EEA GHG data viewer</t>
        </is>
      </c>
    </row>
    <row r="316" ht="26" customHeight="1">
      <c r="A316" s="13" t="inlineStr"/>
      <c r="B316" s="14" t="inlineStr"/>
      <c r="C316" s="14" t="inlineStr">
        <is>
          <t>4 - Land Use, Land-Use Change and Forestry</t>
        </is>
      </c>
      <c r="D316" s="18" t="inlineStr">
        <is>
          <t>EEA GHG data viewer</t>
        </is>
      </c>
    </row>
    <row r="317" ht="26" customHeight="1">
      <c r="A317" s="57" t="inlineStr"/>
      <c r="B317" s="20" t="inlineStr"/>
      <c r="C317" s="20" t="inlineStr">
        <is>
          <t>env_air_gge CRF4</t>
        </is>
      </c>
      <c r="D317" s="24" t="inlineStr">
        <is>
          <t>Eurostat env_air_gge · geo=EU27_2020, unit=MIO_T, freq=A, airpol=GHG, src_crf=CRF4 · https://ec.europa.eu/eurostat/api/dissemination/statistics/1.0/data/env_air_gge?format=JSON&amp;lang=EN&amp;geo=EU27_2020&amp;unit=MIO_T&amp;freq=A&amp;airpol=GHG&amp;src_crf=CRF4</t>
        </is>
      </c>
    </row>
    <row r="318" ht="26" customHeight="1">
      <c r="A318" s="13" t="inlineStr">
        <is>
          <t>L6</t>
        </is>
      </c>
      <c r="B318" s="14" t="inlineStr">
        <is>
          <t>Forest land living-biomass carbon sink</t>
        </is>
      </c>
      <c r="C318" s="14" t="inlineStr">
        <is>
          <t>Value</t>
        </is>
      </c>
      <c r="D318" s="18" t="inlineStr">
        <is>
          <t>EU GHG inventory CRF</t>
        </is>
      </c>
    </row>
    <row r="319" ht="26" customHeight="1">
      <c r="A319" s="57" t="inlineStr"/>
      <c r="B319" s="20" t="inlineStr"/>
      <c r="C319" s="20" t="inlineStr">
        <is>
          <t>Carbon stock gain in living biomass</t>
        </is>
      </c>
      <c r="D319" s="24" t="inlineStr">
        <is>
          <t>EU GHG inventory CRF</t>
        </is>
      </c>
    </row>
    <row r="320" ht="26" customHeight="1">
      <c r="A320" s="13" t="inlineStr"/>
      <c r="B320" s="14" t="inlineStr"/>
      <c r="C320" s="14" t="inlineStr">
        <is>
          <t>Carbon stock loss in living biomass</t>
        </is>
      </c>
      <c r="D320" s="18" t="inlineStr">
        <is>
          <t>EU GHG inventory CRF</t>
        </is>
      </c>
    </row>
    <row r="321" ht="26" customHeight="1">
      <c r="A321" s="57" t="inlineStr"/>
      <c r="B321" s="20" t="inlineStr"/>
      <c r="C321" s="20" t="inlineStr">
        <is>
          <t>env_air_gge CRF4A</t>
        </is>
      </c>
      <c r="D321" s="24" t="inlineStr">
        <is>
          <t>Eurostat env_air_gge · geo=EU27_2020, unit=MIO_T, freq=A, airpol=GHG, src_crf=CRF4A · https://ec.europa.eu/eurostat/api/dissemination/statistics/1.0/data/env_air_gge?format=JSON&amp;lang=EN&amp;geo=EU27_2020&amp;unit=MIO_T&amp;freq=A&amp;airpol=GHG&amp;src_crf=CRF4A</t>
        </is>
      </c>
    </row>
    <row r="322" ht="26" customHeight="1">
      <c r="A322" s="13" t="inlineStr"/>
      <c r="B322" s="14" t="inlineStr"/>
      <c r="C322" s="14" t="inlineStr">
        <is>
          <t>Report baseline 2021 (Mt CO₂eq)</t>
        </is>
      </c>
      <c r="D322" s="18" t="inlineStr">
        <is>
          <t>ESABCC (2024) “Towards EU climate neutrality”, underlying-data workbook — the report's own 2021 figure, the anchor the later years are spliced onto.</t>
        </is>
      </c>
    </row>
    <row r="323" ht="26" customHeight="1">
      <c r="A323" s="57" t="inlineStr"/>
      <c r="B323" s="20" t="inlineStr"/>
      <c r="C323" s="20" t="inlineStr">
        <is>
          <t>Live source at 2021 (same basis as the columns left)</t>
        </is>
      </c>
      <c r="D323" s="24" t="inlineStr">
        <is>
          <t>Eurostat env_air_gge · CRF 4.A forest land · EU27_2020 — the same query, read at 2021; dividing by it cancels the level difference between the source's scope and the report's, leaving only the year-on-year change.</t>
        </is>
      </c>
    </row>
    <row r="324" ht="26" customHeight="1">
      <c r="A324" s="13" t="inlineStr">
        <is>
          <t>L7</t>
        </is>
      </c>
      <c r="B324" s="14" t="inlineStr">
        <is>
          <t>Non-forest LULUCF net GHG emissions</t>
        </is>
      </c>
      <c r="C324" s="14" t="inlineStr">
        <is>
          <t>Value</t>
        </is>
      </c>
      <c r="D324" s="18" t="inlineStr">
        <is>
          <t>EEA GHG data viewer</t>
        </is>
      </c>
    </row>
    <row r="325" ht="26" customHeight="1">
      <c r="A325" s="57" t="inlineStr"/>
      <c r="B325" s="20" t="inlineStr"/>
      <c r="C325" s="20" t="inlineStr">
        <is>
          <t>4.B - Cropland</t>
        </is>
      </c>
      <c r="D325" s="24" t="inlineStr">
        <is>
          <t>EEA GHG data viewer</t>
        </is>
      </c>
    </row>
    <row r="326" ht="26" customHeight="1">
      <c r="A326" s="13" t="inlineStr"/>
      <c r="B326" s="14" t="inlineStr"/>
      <c r="C326" s="14" t="inlineStr">
        <is>
          <t>4.C - Grassland</t>
        </is>
      </c>
      <c r="D326" s="18" t="inlineStr">
        <is>
          <t>EEA GHG data viewer</t>
        </is>
      </c>
    </row>
    <row r="327" ht="26" customHeight="1">
      <c r="A327" s="57" t="inlineStr"/>
      <c r="B327" s="20" t="inlineStr"/>
      <c r="C327" s="20" t="inlineStr">
        <is>
          <t>4.D - Wetlands</t>
        </is>
      </c>
      <c r="D327" s="24" t="inlineStr">
        <is>
          <t>EEA GHG data viewer</t>
        </is>
      </c>
    </row>
    <row r="328" ht="26" customHeight="1">
      <c r="A328" s="13" t="inlineStr"/>
      <c r="B328" s="14" t="inlineStr"/>
      <c r="C328" s="14" t="inlineStr">
        <is>
          <t>4.E - Settlements</t>
        </is>
      </c>
      <c r="D328" s="18" t="inlineStr">
        <is>
          <t>EEA GHG data viewer</t>
        </is>
      </c>
    </row>
    <row r="329" ht="26" customHeight="1">
      <c r="A329" s="57" t="inlineStr"/>
      <c r="B329" s="20" t="inlineStr"/>
      <c r="C329" s="20" t="inlineStr">
        <is>
          <t>4.F - Other Land</t>
        </is>
      </c>
      <c r="D329" s="24" t="inlineStr">
        <is>
          <t>EEA GHG data viewer</t>
        </is>
      </c>
    </row>
    <row r="330" ht="26" customHeight="1">
      <c r="A330" s="13" t="inlineStr"/>
      <c r="B330" s="14" t="inlineStr"/>
      <c r="C330" s="14" t="inlineStr">
        <is>
          <t>4.H - Other LULUCF</t>
        </is>
      </c>
      <c r="D330" s="18" t="inlineStr">
        <is>
          <t>EEA GHG data viewer</t>
        </is>
      </c>
    </row>
    <row r="331" ht="26" customHeight="1">
      <c r="A331" s="57" t="inlineStr"/>
      <c r="B331" s="20" t="inlineStr"/>
      <c r="C331" s="20" t="inlineStr">
        <is>
          <t>env_air_gge CRF4B</t>
        </is>
      </c>
      <c r="D331" s="24" t="inlineStr">
        <is>
          <t>Eurostat env_air_gge · geo=EU27_2020, unit=MIO_T, freq=A, airpol=GHG, src_crf=CRF4B · https://ec.europa.eu/eurostat/api/dissemination/statistics/1.0/data/env_air_gge?format=JSON&amp;lang=EN&amp;geo=EU27_2020&amp;unit=MIO_T&amp;freq=A&amp;airpol=GHG&amp;src_crf=CRF4B</t>
        </is>
      </c>
    </row>
    <row r="332" ht="26" customHeight="1">
      <c r="A332" s="13" t="inlineStr"/>
      <c r="B332" s="14" t="inlineStr"/>
      <c r="C332" s="14" t="inlineStr">
        <is>
          <t>env_air_gge CRF4C</t>
        </is>
      </c>
      <c r="D332" s="18" t="inlineStr">
        <is>
          <t>Eurostat env_air_gge · geo=EU27_2020, unit=MIO_T, freq=A, airpol=GHG, src_crf=CRF4C · https://ec.europa.eu/eurostat/api/dissemination/statistics/1.0/data/env_air_gge?format=JSON&amp;lang=EN&amp;geo=EU27_2020&amp;unit=MIO_T&amp;freq=A&amp;airpol=GHG&amp;src_crf=CRF4C</t>
        </is>
      </c>
    </row>
    <row r="333" ht="26" customHeight="1">
      <c r="A333" s="57" t="inlineStr"/>
      <c r="B333" s="20" t="inlineStr"/>
      <c r="C333" s="20" t="inlineStr">
        <is>
          <t>env_air_gge CRF4D</t>
        </is>
      </c>
      <c r="D333" s="24" t="inlineStr">
        <is>
          <t>Eurostat env_air_gge · geo=EU27_2020, unit=MIO_T, freq=A, airpol=GHG, src_crf=CRF4D · https://ec.europa.eu/eurostat/api/dissemination/statistics/1.0/data/env_air_gge?format=JSON&amp;lang=EN&amp;geo=EU27_2020&amp;unit=MIO_T&amp;freq=A&amp;airpol=GHG&amp;src_crf=CRF4D</t>
        </is>
      </c>
    </row>
    <row r="334" ht="26" customHeight="1">
      <c r="A334" s="13" t="inlineStr"/>
      <c r="B334" s="14" t="inlineStr"/>
      <c r="C334" s="14" t="inlineStr">
        <is>
          <t>env_air_gge CRF4E</t>
        </is>
      </c>
      <c r="D334" s="18" t="inlineStr">
        <is>
          <t>Eurostat env_air_gge · geo=EU27_2020, unit=MIO_T, freq=A, airpol=GHG, src_crf=CRF4E · https://ec.europa.eu/eurostat/api/dissemination/statistics/1.0/data/env_air_gge?format=JSON&amp;lang=EN&amp;geo=EU27_2020&amp;unit=MIO_T&amp;freq=A&amp;airpol=GHG&amp;src_crf=CRF4E</t>
        </is>
      </c>
    </row>
    <row r="335" ht="26" customHeight="1">
      <c r="A335" s="57" t="inlineStr"/>
      <c r="B335" s="20" t="inlineStr"/>
      <c r="C335" s="20" t="inlineStr">
        <is>
          <t>env_air_gge CRF4F</t>
        </is>
      </c>
      <c r="D335" s="24" t="inlineStr">
        <is>
          <t>Eurostat env_air_gge · geo=EU27_2020, unit=MIO_T, freq=A, airpol=GHG, src_crf=CRF4F · https://ec.europa.eu/eurostat/api/dissemination/statistics/1.0/data/env_air_gge?format=JSON&amp;lang=EN&amp;geo=EU27_2020&amp;unit=MIO_T&amp;freq=A&amp;airpol=GHG&amp;src_crf=CRF4F</t>
        </is>
      </c>
    </row>
    <row r="336" ht="26" customHeight="1">
      <c r="A336" s="13" t="inlineStr">
        <is>
          <t>L8</t>
        </is>
      </c>
      <c r="B336" s="14" t="inlineStr">
        <is>
          <t>Total bioenergy use (EU-27)</t>
        </is>
      </c>
      <c r="C336" s="14" t="inlineStr">
        <is>
          <t>Value</t>
        </is>
      </c>
      <c r="D336" s="18" t="inlineStr">
        <is>
          <t>Eurostat energy balance</t>
        </is>
      </c>
    </row>
    <row r="337" ht="26" customHeight="1">
      <c r="A337" s="57" t="inlineStr"/>
      <c r="B337" s="20" t="inlineStr"/>
      <c r="C337" s="20" t="inlineStr">
        <is>
          <t>Power and heat: Primary solid biofuels</t>
        </is>
      </c>
      <c r="D337" s="24" t="inlineStr">
        <is>
          <t>energy balance</t>
        </is>
      </c>
    </row>
    <row r="338" ht="26" customHeight="1">
      <c r="A338" s="13" t="inlineStr"/>
      <c r="B338" s="14" t="inlineStr"/>
      <c r="C338" s="14" t="inlineStr">
        <is>
          <t>Power and heat: Charcoal</t>
        </is>
      </c>
      <c r="D338" s="18" t="inlineStr">
        <is>
          <t>energy balance</t>
        </is>
      </c>
    </row>
    <row r="339" ht="26" customHeight="1">
      <c r="A339" s="57" t="inlineStr"/>
      <c r="B339" s="20" t="inlineStr"/>
      <c r="C339" s="20" t="inlineStr">
        <is>
          <t>Power and heat: Pure biogasoline</t>
        </is>
      </c>
      <c r="D339" s="24" t="inlineStr">
        <is>
          <t>energy balance</t>
        </is>
      </c>
    </row>
    <row r="340" ht="26" customHeight="1">
      <c r="A340" s="13" t="inlineStr"/>
      <c r="B340" s="14" t="inlineStr"/>
      <c r="C340" s="14" t="inlineStr">
        <is>
          <t>Power and heat: Blended biogasoline</t>
        </is>
      </c>
      <c r="D340" s="18" t="inlineStr">
        <is>
          <t>energy balance</t>
        </is>
      </c>
    </row>
    <row r="341" ht="26" customHeight="1">
      <c r="A341" s="57" t="inlineStr"/>
      <c r="B341" s="20" t="inlineStr"/>
      <c r="C341" s="20" t="inlineStr">
        <is>
          <t>Power and heat: Pure biodiesels</t>
        </is>
      </c>
      <c r="D341" s="24" t="inlineStr">
        <is>
          <t>energy balance</t>
        </is>
      </c>
    </row>
    <row r="342" ht="26" customHeight="1">
      <c r="A342" s="13" t="inlineStr"/>
      <c r="B342" s="14" t="inlineStr"/>
      <c r="C342" s="14" t="inlineStr">
        <is>
          <t>Power and heat: Blended biodiesels</t>
        </is>
      </c>
      <c r="D342" s="18" t="inlineStr">
        <is>
          <t>energy balance</t>
        </is>
      </c>
    </row>
    <row r="343" ht="26" customHeight="1">
      <c r="A343" s="57" t="inlineStr"/>
      <c r="B343" s="20" t="inlineStr"/>
      <c r="C343" s="20" t="inlineStr">
        <is>
          <t>Power and heat: Pure bio jet kerosene</t>
        </is>
      </c>
      <c r="D343" s="24" t="inlineStr">
        <is>
          <t>energy balance</t>
        </is>
      </c>
    </row>
    <row r="344" ht="26" customHeight="1">
      <c r="A344" s="13" t="inlineStr"/>
      <c r="B344" s="14" t="inlineStr"/>
      <c r="C344" s="14" t="inlineStr">
        <is>
          <t>Power and heat: Blended bio jet kerosene</t>
        </is>
      </c>
      <c r="D344" s="18" t="inlineStr">
        <is>
          <t>energy balance</t>
        </is>
      </c>
    </row>
    <row r="345" ht="26" customHeight="1">
      <c r="A345" s="57" t="inlineStr"/>
      <c r="B345" s="20" t="inlineStr"/>
      <c r="C345" s="20" t="inlineStr">
        <is>
          <t>Power and heat: Other liquid biofuels</t>
        </is>
      </c>
      <c r="D345" s="24" t="inlineStr">
        <is>
          <t>energy balance</t>
        </is>
      </c>
    </row>
    <row r="346" ht="26" customHeight="1">
      <c r="A346" s="13" t="inlineStr"/>
      <c r="B346" s="14" t="inlineStr"/>
      <c r="C346" s="14" t="inlineStr">
        <is>
          <t>Power and heat: Biogases</t>
        </is>
      </c>
      <c r="D346" s="18" t="inlineStr">
        <is>
          <t>energy balance</t>
        </is>
      </c>
    </row>
    <row r="347" ht="26" customHeight="1">
      <c r="A347" s="57" t="inlineStr"/>
      <c r="B347" s="20" t="inlineStr"/>
      <c r="C347" s="20" t="inlineStr">
        <is>
          <t>Industry: Primary solid biofuels</t>
        </is>
      </c>
      <c r="D347" s="24" t="inlineStr">
        <is>
          <t>energy balance</t>
        </is>
      </c>
    </row>
    <row r="348" ht="26" customHeight="1">
      <c r="A348" s="13" t="inlineStr"/>
      <c r="B348" s="14" t="inlineStr"/>
      <c r="C348" s="14" t="inlineStr">
        <is>
          <t>Industry: Charcoal</t>
        </is>
      </c>
      <c r="D348" s="18" t="inlineStr">
        <is>
          <t>energy balance</t>
        </is>
      </c>
    </row>
    <row r="349" ht="26" customHeight="1">
      <c r="A349" s="57" t="inlineStr"/>
      <c r="B349" s="20" t="inlineStr"/>
      <c r="C349" s="20" t="inlineStr">
        <is>
          <t>Industry: Pure biogasoline</t>
        </is>
      </c>
      <c r="D349" s="24" t="inlineStr">
        <is>
          <t>energy balance</t>
        </is>
      </c>
    </row>
    <row r="350" ht="26" customHeight="1">
      <c r="A350" s="13" t="inlineStr"/>
      <c r="B350" s="14" t="inlineStr"/>
      <c r="C350" s="14" t="inlineStr">
        <is>
          <t>Industry: Blended biogasoline</t>
        </is>
      </c>
      <c r="D350" s="18" t="inlineStr">
        <is>
          <t>energy balance</t>
        </is>
      </c>
    </row>
    <row r="351" ht="26" customHeight="1">
      <c r="A351" s="57" t="inlineStr"/>
      <c r="B351" s="20" t="inlineStr"/>
      <c r="C351" s="20" t="inlineStr">
        <is>
          <t>Industry: Pure biodiesels</t>
        </is>
      </c>
      <c r="D351" s="24" t="inlineStr">
        <is>
          <t>energy balance</t>
        </is>
      </c>
    </row>
    <row r="352" ht="26" customHeight="1">
      <c r="A352" s="13" t="inlineStr"/>
      <c r="B352" s="14" t="inlineStr"/>
      <c r="C352" s="14" t="inlineStr">
        <is>
          <t>Industry: Blended biodiesels</t>
        </is>
      </c>
      <c r="D352" s="18" t="inlineStr">
        <is>
          <t>energy balance</t>
        </is>
      </c>
    </row>
    <row r="353" ht="26" customHeight="1">
      <c r="A353" s="57" t="inlineStr"/>
      <c r="B353" s="20" t="inlineStr"/>
      <c r="C353" s="20" t="inlineStr">
        <is>
          <t>Industry: Pure bio jet kerosene</t>
        </is>
      </c>
      <c r="D353" s="24" t="inlineStr">
        <is>
          <t>energy balance</t>
        </is>
      </c>
    </row>
    <row r="354" ht="26" customHeight="1">
      <c r="A354" s="13" t="inlineStr"/>
      <c r="B354" s="14" t="inlineStr"/>
      <c r="C354" s="14" t="inlineStr">
        <is>
          <t>Industry: Blended bio jet kerosene</t>
        </is>
      </c>
      <c r="D354" s="18" t="inlineStr">
        <is>
          <t>energy balance</t>
        </is>
      </c>
    </row>
    <row r="355" ht="26" customHeight="1">
      <c r="A355" s="57" t="inlineStr"/>
      <c r="B355" s="20" t="inlineStr"/>
      <c r="C355" s="20" t="inlineStr">
        <is>
          <t>Industry: Other liquid biofuels</t>
        </is>
      </c>
      <c r="D355" s="24" t="inlineStr">
        <is>
          <t>energy balance</t>
        </is>
      </c>
    </row>
    <row r="356" ht="26" customHeight="1">
      <c r="A356" s="13" t="inlineStr"/>
      <c r="B356" s="14" t="inlineStr"/>
      <c r="C356" s="14" t="inlineStr">
        <is>
          <t>Industry: Biogases</t>
        </is>
      </c>
      <c r="D356" s="18" t="inlineStr">
        <is>
          <t>energy balance</t>
        </is>
      </c>
    </row>
    <row r="357" ht="26" customHeight="1">
      <c r="A357" s="57" t="inlineStr"/>
      <c r="B357" s="20" t="inlineStr"/>
      <c r="C357" s="20" t="inlineStr">
        <is>
          <t>Transport: Primary solid biofuels</t>
        </is>
      </c>
      <c r="D357" s="24" t="inlineStr">
        <is>
          <t>energy balance</t>
        </is>
      </c>
    </row>
    <row r="358" ht="26" customHeight="1">
      <c r="A358" s="13" t="inlineStr"/>
      <c r="B358" s="14" t="inlineStr"/>
      <c r="C358" s="14" t="inlineStr">
        <is>
          <t>Transport: Charcoal</t>
        </is>
      </c>
      <c r="D358" s="18" t="inlineStr">
        <is>
          <t>energy balance</t>
        </is>
      </c>
    </row>
    <row r="359" ht="26" customHeight="1">
      <c r="A359" s="57" t="inlineStr"/>
      <c r="B359" s="20" t="inlineStr"/>
      <c r="C359" s="20" t="inlineStr">
        <is>
          <t>Transport: Pure biogasoline</t>
        </is>
      </c>
      <c r="D359" s="24" t="inlineStr">
        <is>
          <t>energy balance</t>
        </is>
      </c>
    </row>
    <row r="360" ht="26" customHeight="1">
      <c r="A360" s="13" t="inlineStr"/>
      <c r="B360" s="14" t="inlineStr"/>
      <c r="C360" s="14" t="inlineStr">
        <is>
          <t>Transport: Blended biogasoline</t>
        </is>
      </c>
      <c r="D360" s="18" t="inlineStr">
        <is>
          <t>energy balance</t>
        </is>
      </c>
    </row>
    <row r="361" ht="26" customHeight="1">
      <c r="A361" s="57" t="inlineStr"/>
      <c r="B361" s="20" t="inlineStr"/>
      <c r="C361" s="20" t="inlineStr">
        <is>
          <t>Transport: Pure biodiesels</t>
        </is>
      </c>
      <c r="D361" s="24" t="inlineStr">
        <is>
          <t>energy balance</t>
        </is>
      </c>
    </row>
    <row r="362" ht="26" customHeight="1">
      <c r="A362" s="13" t="inlineStr"/>
      <c r="B362" s="14" t="inlineStr"/>
      <c r="C362" s="14" t="inlineStr">
        <is>
          <t>Transport: Blended biodiesels</t>
        </is>
      </c>
      <c r="D362" s="18" t="inlineStr">
        <is>
          <t>energy balance</t>
        </is>
      </c>
    </row>
    <row r="363" ht="26" customHeight="1">
      <c r="A363" s="57" t="inlineStr"/>
      <c r="B363" s="20" t="inlineStr"/>
      <c r="C363" s="20" t="inlineStr">
        <is>
          <t>Transport: Pure bio jet kerosene</t>
        </is>
      </c>
      <c r="D363" s="24" t="inlineStr">
        <is>
          <t>energy balance</t>
        </is>
      </c>
    </row>
    <row r="364" ht="26" customHeight="1">
      <c r="A364" s="13" t="inlineStr"/>
      <c r="B364" s="14" t="inlineStr"/>
      <c r="C364" s="14" t="inlineStr">
        <is>
          <t>Transport: Blended bio jet kerosene</t>
        </is>
      </c>
      <c r="D364" s="18" t="inlineStr">
        <is>
          <t>energy balance</t>
        </is>
      </c>
    </row>
    <row r="365" ht="26" customHeight="1">
      <c r="A365" s="57" t="inlineStr"/>
      <c r="B365" s="20" t="inlineStr"/>
      <c r="C365" s="20" t="inlineStr">
        <is>
          <t>Transport: Other liquid biofuels</t>
        </is>
      </c>
      <c r="D365" s="24" t="inlineStr">
        <is>
          <t>energy balance</t>
        </is>
      </c>
    </row>
    <row r="366" ht="26" customHeight="1">
      <c r="A366" s="13" t="inlineStr"/>
      <c r="B366" s="14" t="inlineStr"/>
      <c r="C366" s="14" t="inlineStr">
        <is>
          <t>Transport: Biogases</t>
        </is>
      </c>
      <c r="D366" s="18" t="inlineStr">
        <is>
          <t>energy balance</t>
        </is>
      </c>
    </row>
    <row r="367" ht="26" customHeight="1">
      <c r="A367" s="57" t="inlineStr"/>
      <c r="B367" s="20" t="inlineStr"/>
      <c r="C367" s="20" t="inlineStr">
        <is>
          <t>Other sectors: Primary solid biofuels</t>
        </is>
      </c>
      <c r="D367" s="24" t="inlineStr">
        <is>
          <t>energy balance</t>
        </is>
      </c>
    </row>
    <row r="368" ht="26" customHeight="1">
      <c r="A368" s="13" t="inlineStr"/>
      <c r="B368" s="14" t="inlineStr"/>
      <c r="C368" s="14" t="inlineStr">
        <is>
          <t>Other sectors: Charcoal</t>
        </is>
      </c>
      <c r="D368" s="18" t="inlineStr">
        <is>
          <t>energy balance</t>
        </is>
      </c>
    </row>
    <row r="369" ht="26" customHeight="1">
      <c r="A369" s="57" t="inlineStr"/>
      <c r="B369" s="20" t="inlineStr"/>
      <c r="C369" s="20" t="inlineStr">
        <is>
          <t>Other sectors: Pure biogasoline</t>
        </is>
      </c>
      <c r="D369" s="24" t="inlineStr">
        <is>
          <t>energy balance</t>
        </is>
      </c>
    </row>
    <row r="370" ht="26" customHeight="1">
      <c r="A370" s="13" t="inlineStr"/>
      <c r="B370" s="14" t="inlineStr"/>
      <c r="C370" s="14" t="inlineStr">
        <is>
          <t>Other sectors: Blended biogasoline</t>
        </is>
      </c>
      <c r="D370" s="18" t="inlineStr">
        <is>
          <t>energy balance</t>
        </is>
      </c>
    </row>
    <row r="371" ht="26" customHeight="1">
      <c r="A371" s="57" t="inlineStr"/>
      <c r="B371" s="20" t="inlineStr"/>
      <c r="C371" s="20" t="inlineStr">
        <is>
          <t>Other sectors: Pure biodiesels</t>
        </is>
      </c>
      <c r="D371" s="24" t="inlineStr">
        <is>
          <t>energy balance</t>
        </is>
      </c>
    </row>
    <row r="372" ht="26" customHeight="1">
      <c r="A372" s="13" t="inlineStr"/>
      <c r="B372" s="14" t="inlineStr"/>
      <c r="C372" s="14" t="inlineStr">
        <is>
          <t>Other sectors: Blended biodiesels</t>
        </is>
      </c>
      <c r="D372" s="18" t="inlineStr">
        <is>
          <t>energy balance</t>
        </is>
      </c>
    </row>
    <row r="373" ht="26" customHeight="1">
      <c r="A373" s="57" t="inlineStr"/>
      <c r="B373" s="20" t="inlineStr"/>
      <c r="C373" s="20" t="inlineStr">
        <is>
          <t>Other sectors: Pure bio jet kerosene</t>
        </is>
      </c>
      <c r="D373" s="24" t="inlineStr">
        <is>
          <t>energy balance</t>
        </is>
      </c>
    </row>
    <row r="374" ht="26" customHeight="1">
      <c r="A374" s="13" t="inlineStr"/>
      <c r="B374" s="14" t="inlineStr"/>
      <c r="C374" s="14" t="inlineStr">
        <is>
          <t>Other sectors: Blended bio jet kerosene</t>
        </is>
      </c>
      <c r="D374" s="18" t="inlineStr">
        <is>
          <t>energy balance</t>
        </is>
      </c>
    </row>
    <row r="375" ht="26" customHeight="1">
      <c r="A375" s="57" t="inlineStr"/>
      <c r="B375" s="20" t="inlineStr"/>
      <c r="C375" s="20" t="inlineStr">
        <is>
          <t>Other sectors: Other liquid biofuels</t>
        </is>
      </c>
      <c r="D375" s="24" t="inlineStr">
        <is>
          <t>energy balance</t>
        </is>
      </c>
    </row>
    <row r="376" ht="26" customHeight="1">
      <c r="A376" s="13" t="inlineStr"/>
      <c r="B376" s="14" t="inlineStr"/>
      <c r="C376" s="14" t="inlineStr">
        <is>
          <t>Other sectors: Biogases</t>
        </is>
      </c>
      <c r="D376" s="18" t="inlineStr">
        <is>
          <t>energy balance</t>
        </is>
      </c>
    </row>
    <row r="377" ht="26" customHeight="1">
      <c r="A377" s="57" t="inlineStr"/>
      <c r="B377" s="20" t="inlineStr"/>
      <c r="C377" s="20" t="inlineStr">
        <is>
          <t>nrg_bal_c BIOE</t>
        </is>
      </c>
      <c r="D377" s="24" t="inlineStr">
        <is>
          <t>Eurostat nrg_bal_c · geo=EU27_2020, unit=GWH, freq=A, nrg_bal=GIC, siec=BIOE · https://ec.europa.eu/eurostat/api/dissemination/statistics/1.0/data/nrg_bal_c?format=JSON&amp;lang=EN&amp;geo=EU27_2020&amp;unit=GWH&amp;freq=A&amp;nrg_bal=GIC&amp;siec=BIOE</t>
        </is>
      </c>
    </row>
    <row r="378" ht="26" customHeight="1">
      <c r="A378" s="13" t="inlineStr"/>
      <c r="B378" s="14" t="inlineStr"/>
      <c r="C378" s="14" t="inlineStr">
        <is>
          <t>Unit conversion (× 0.001)</t>
        </is>
      </c>
      <c r="D378" s="18" t="inlineStr">
        <is>
          <t>Unit conversion applied to the source figure so it is expressed in TWh.</t>
        </is>
      </c>
    </row>
    <row r="379" ht="26" customHeight="1">
      <c r="A379" s="57" t="inlineStr">
        <is>
          <t>F1</t>
        </is>
      </c>
      <c r="B379" s="20" t="inlineStr">
        <is>
          <t>EU fossil-fuel subsidies (FFST)</t>
        </is>
      </c>
      <c r="C379" s="20" t="inlineStr">
        <is>
          <t>Value</t>
        </is>
      </c>
      <c r="D379" s="24" t="inlineStr">
        <is>
          <t>Fossil Fuel Subsidy Tracker; 2023: EC Report on Energy Subsidies in the EU (COM(2025)17)</t>
        </is>
      </c>
    </row>
    <row r="380" ht="26" customHeight="1">
      <c r="A380" s="13" t="inlineStr"/>
      <c r="B380" s="14" t="inlineStr"/>
      <c r="C380" s="14" t="inlineStr">
        <is>
          <t>Report figure (2024 report underlying data)</t>
        </is>
      </c>
      <c r="D380" s="18" t="inlineStr">
        <is>
          <t>ESABCC (2024) “Towards EU climate neutrality: Progress, policy gaps and opportunities”, underlying-data workbook — Fossil Fuel Subsidy Tracker; 2023: EC Report on Energy Subsidies in the EU (COM(2025)17). The report carries this indicator as a published series, with no further breakdown.</t>
        </is>
      </c>
    </row>
    <row r="381" ht="26" customHeight="1">
      <c r="A381" s="57" t="inlineStr">
        <is>
          <t>F2 (share)</t>
        </is>
      </c>
      <c r="B381" s="20" t="inlineStr">
        <is>
          <t>Green share of EU bond issuance</t>
        </is>
      </c>
      <c r="C381" s="20" t="inlineStr">
        <is>
          <t>Value</t>
        </is>
      </c>
      <c r="D381" s="24" t="inlineStr">
        <is>
          <t>BloombergNEF; 2023+ EEA "Green bonds in Europe" (LSEG/Refinitiv)</t>
        </is>
      </c>
    </row>
    <row r="382" ht="26" customHeight="1">
      <c r="A382" s="13" t="inlineStr"/>
      <c r="B382" s="14" t="inlineStr"/>
      <c r="C382" s="14" t="inlineStr">
        <is>
          <t>Report figure (2024 report underlying data)</t>
        </is>
      </c>
      <c r="D382" s="18" t="inlineStr">
        <is>
          <t>ESABCC (2024) “Towards EU climate neutrality: Progress, policy gaps and opportunities”, underlying-data workbook — BloombergNEF; 2023+ EEA "Green bonds in Europe" (LSEG/Refinitiv). The report carries this indicator as a published series, with no further breakdown.</t>
        </is>
      </c>
    </row>
    <row r="383" ht="26" customHeight="1">
      <c r="A383" s="57" t="inlineStr">
        <is>
          <t>F3</t>
        </is>
      </c>
      <c r="B383" s="20" t="inlineStr">
        <is>
          <t>EU R&amp;D expenditure (GERD)</t>
        </is>
      </c>
      <c r="C383" s="20" t="inlineStr">
        <is>
          <t>Value</t>
        </is>
      </c>
      <c r="D383" s="24" t="inlineStr">
        <is>
          <t>Eurostat (rd_e_gerdtot)</t>
        </is>
      </c>
    </row>
    <row r="384" ht="26" customHeight="1">
      <c r="A384" s="13" t="inlineStr"/>
      <c r="B384" s="14" t="inlineStr"/>
      <c r="C384" s="14" t="inlineStr">
        <is>
          <t>Report figure (2024 report underlying data)</t>
        </is>
      </c>
      <c r="D384" s="18" t="inlineStr">
        <is>
          <t>ESABCC (2024) “Towards EU climate neutrality: Progress, policy gaps and opportunities”, underlying-data workbook — Eurostat (rd_e_gerdtot). The report carries this indicator as a published series, with no further breakdown.</t>
        </is>
      </c>
    </row>
    <row r="385" ht="26" customHeight="1">
      <c r="A385" s="57" t="inlineStr"/>
      <c r="B385" s="20" t="inlineStr"/>
      <c r="C385" s="20" t="inlineStr">
        <is>
          <t>rd_e_gerdtot TOTAL</t>
        </is>
      </c>
      <c r="D385" s="24" t="inlineStr">
        <is>
          <t>Eurostat rd_e_gerdtot · geo=EU27_2020, sectperf=TOTAL, unit=PC_GDP · https://ec.europa.eu/eurostat/api/dissemination/statistics/1.0/data/rd_e_gerdtot?format=JSON&amp;lang=EN&amp;geo=EU27_2020&amp;sectperf=TOTAL&amp;unit=PC_GDP</t>
        </is>
      </c>
    </row>
    <row r="386" ht="26" customHeight="1">
      <c r="A386" s="13" t="inlineStr">
        <is>
          <t>F5</t>
        </is>
      </c>
      <c r="B386" s="14" t="inlineStr">
        <is>
          <t>Cleantech venture &amp; growth investment in the EU</t>
        </is>
      </c>
      <c r="C386" s="14" t="inlineStr">
        <is>
          <t>Value</t>
        </is>
      </c>
      <c r="D386" s="18" t="inlineStr">
        <is>
          <t>Cleantech for Europe</t>
        </is>
      </c>
    </row>
    <row r="387" ht="26" customHeight="1">
      <c r="A387" s="57" t="inlineStr"/>
      <c r="B387" s="20" t="inlineStr"/>
      <c r="C387" s="20" t="inlineStr">
        <is>
          <t>Report figure (2024 report underlying data)</t>
        </is>
      </c>
      <c r="D387" s="24" t="inlineStr">
        <is>
          <t>ESABCC (2024) “Towards EU climate neutrality: Progress, policy gaps and opportunities”, underlying-data workbook — Cleantech for Europe. The report carries this indicator as a published series, with no further breakdown.</t>
        </is>
      </c>
    </row>
  </sheetData>
  <autoFilter ref="A1:D3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ESABCC Method Hub</dc:creator>
  <dc:title xmlns:dc="http://purl.org/dc/elements/1.1/">ESABCC report indicators — old figures, new data, and the derivations</dc:title>
  <dcterms:created xmlns:dcterms="http://purl.org/dc/terms/" xmlns:xsi="http://www.w3.org/2001/XMLSchema-instance" xsi:type="dcterms:W3CDTF">2026-07-28T08:03:53Z</dcterms:created>
  <dcterms:modified xmlns:dcterms="http://purl.org/dc/terms/" xmlns:xsi="http://www.w3.org/2001/XMLSchema-instance" xsi:type="dcterms:W3CDTF">2026-07-28T08:03:54Z</dcterms:modified>
</cp:coreProperties>
</file>