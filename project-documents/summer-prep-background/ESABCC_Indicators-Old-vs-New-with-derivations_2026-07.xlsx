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ld vs new" sheetId="2" state="visible" r:id="rId2"/>
    <sheet xmlns:r="http://schemas.openxmlformats.org/officeDocument/2006/relationships" name="Derivations" sheetId="3" state="visible" r:id="rId3"/>
    <sheet xmlns:r="http://schemas.openxmlformats.org/officeDocument/2006/relationships" name="Sources" sheetId="4" state="visible" r:id="rId4"/>
  </sheets>
  <definedNames>
    <definedName name="_xlnm._FilterDatabase" localSheetId="1" hidden="1">'Old vs new'!$A$4:$L$101</definedName>
    <definedName name="_xlnm._FilterDatabase" localSheetId="3" hidden="1">'Sources'!$A$1:$D$387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%;-0.0%;0.0%"/>
    <numFmt numFmtId="165" formatCode="#,##0.000"/>
  </numFmts>
  <fonts count="27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b val="1"/>
      <color rgb="004D7E83"/>
      <sz val="12"/>
    </font>
    <font>
      <name val="Segoe UI Semibold"/>
      <color rgb="004D7E83"/>
      <sz val="9"/>
    </font>
    <font>
      <name val="Segoe UI"/>
      <color rgb="002C2D2D"/>
      <sz val="9"/>
    </font>
    <font>
      <name val="Segoe UI Semibold"/>
      <color rgb="00FFFFFF"/>
      <sz val="9"/>
    </font>
    <font>
      <name val="Segoe UI Semibold"/>
      <color rgb="003A6165"/>
      <sz val="9"/>
    </font>
    <font>
      <name val="Segoe UI Semibold"/>
      <color rgb="00648ECA"/>
      <sz val="9"/>
    </font>
    <font>
      <name val="Segoe UI Semibold"/>
      <color rgb="00B04545"/>
      <sz val="9"/>
    </font>
    <font>
      <name val="Segoe UI Semibold"/>
      <color rgb="00B487C7"/>
      <sz val="9"/>
    </font>
    <font>
      <name val="Segoe UI Semibold"/>
      <color rgb="0000928F"/>
      <sz val="9"/>
    </font>
    <font>
      <name val="Segoe UI Semibold"/>
      <color rgb="006E8B1F"/>
      <sz val="9"/>
    </font>
    <font>
      <name val="Segoe UI Semibold"/>
      <color rgb="00007B6C"/>
      <sz val="9"/>
    </font>
    <font>
      <name val="Segoe UI Semibold"/>
      <color rgb="00A530B8"/>
      <sz val="9"/>
    </font>
    <font>
      <name val="Segoe UI Semibold"/>
      <color rgb="004D7E83"/>
      <sz val="11"/>
    </font>
    <font>
      <name val="Segoe UI"/>
      <b val="1"/>
      <color rgb="002C2D2D"/>
      <sz val="9"/>
    </font>
    <font>
      <name val="Segoe UI Semibold"/>
      <color rgb="003A6165"/>
      <sz val="11"/>
    </font>
    <font>
      <name val="Segoe UI Semibold"/>
      <color rgb="00648ECA"/>
      <sz val="11"/>
    </font>
    <font>
      <name val="Segoe UI Semibold"/>
      <color rgb="00B04545"/>
      <sz val="11"/>
    </font>
    <font>
      <name val="Segoe UI Semibold"/>
      <color rgb="00B487C7"/>
      <sz val="11"/>
    </font>
    <font>
      <name val="Segoe UI Semibold"/>
      <color rgb="0000928F"/>
      <sz val="11"/>
    </font>
    <font>
      <name val="Segoe UI Semibold"/>
      <color rgb="006E8B1F"/>
      <sz val="11"/>
    </font>
    <font>
      <name val="Segoe UI Semibold"/>
      <color rgb="00007B6C"/>
      <sz val="11"/>
    </font>
    <font>
      <name val="Segoe UI Semibold"/>
      <color rgb="00A530B8"/>
      <sz val="11"/>
    </font>
    <font>
      <name val="Segoe UI Semilight"/>
      <color rgb="004D7E83"/>
      <sz val="8.5"/>
    </font>
  </fonts>
  <fills count="5">
    <fill>
      <patternFill/>
    </fill>
    <fill>
      <patternFill patternType="gray125"/>
    </fill>
    <fill>
      <patternFill patternType="solid">
        <fgColor rgb="00D8E7E8"/>
      </patternFill>
    </fill>
    <fill>
      <patternFill patternType="solid">
        <fgColor rgb="00EFF6F6"/>
      </patternFill>
    </fill>
    <fill>
      <patternFill patternType="solid">
        <fgColor rgb="004D7E83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/>
    </xf>
    <xf numFmtId="0" fontId="6" fillId="2" borderId="0" applyAlignment="1" pivotButton="0" quotePrefix="0" xfId="0">
      <alignment vertical="top" wrapText="1"/>
    </xf>
    <xf numFmtId="0" fontId="0" fillId="2" borderId="0" pivotButton="0" quotePrefix="0" xfId="0"/>
    <xf numFmtId="0" fontId="5" fillId="3" borderId="0" applyAlignment="1" pivotButton="0" quotePrefix="0" xfId="0">
      <alignment vertical="top"/>
    </xf>
    <xf numFmtId="0" fontId="6" fillId="3" borderId="0" applyAlignment="1" pivotButton="0" quotePrefix="0" xfId="0">
      <alignment vertical="top" wrapText="1"/>
    </xf>
    <xf numFmtId="0" fontId="0" fillId="3" borderId="0" pivotButton="0" quotePrefix="0" xfId="0"/>
    <xf numFmtId="0" fontId="6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left" vertical="top" wrapText="1"/>
    </xf>
    <xf numFmtId="1" fontId="6" fillId="2" borderId="1" applyAlignment="1" pivotButton="0" quotePrefix="0" xfId="0">
      <alignment horizontal="center" vertical="center"/>
    </xf>
    <xf numFmtId="4" fontId="6" fillId="2" borderId="1" applyAlignment="1" pivotButton="0" quotePrefix="0" xfId="0">
      <alignment horizontal="right" vertical="center"/>
    </xf>
    <xf numFmtId="164" fontId="6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1" fontId="6" fillId="3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8" fillId="2" borderId="1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2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12" fillId="2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3" fillId="2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15" fillId="3" borderId="1" applyAlignment="1" pivotButton="0" quotePrefix="0" xfId="0">
      <alignment horizontal="left" vertical="top" wrapText="1"/>
    </xf>
    <xf numFmtId="0" fontId="15" fillId="2" borderId="1" applyAlignment="1" pivotButton="0" quotePrefix="0" xfId="0">
      <alignment horizontal="left" vertical="top" wrapText="1"/>
    </xf>
    <xf numFmtId="0" fontId="16" fillId="0" borderId="0" pivotButton="0" quotePrefix="0" xfId="0"/>
    <xf numFmtId="0" fontId="7" fillId="4" borderId="1" applyAlignment="1" pivotButton="0" quotePrefix="0" xfId="0">
      <alignment horizontal="left" vertical="top" wrapText="1"/>
    </xf>
    <xf numFmtId="165" fontId="17" fillId="2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165" fontId="17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H13"/>
  <sheetViews>
    <sheetView showGridLines="0" zoomScale="10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0" customWidth="1" min="6" max="6"/>
    <col width="16" customWidth="1" min="7" max="7"/>
    <col width="16" customWidth="1" min="8" max="8"/>
  </cols>
  <sheetData>
    <row r="1" ht="26" customHeight="1">
      <c r="A1" s="1" t="inlineStr">
        <is>
          <t>The report's indicators, and where they stand now</t>
        </is>
      </c>
    </row>
    <row r="2" ht="30" customHeight="1">
      <c r="A2" s="2" t="inlineStr">
        <is>
          <t>Every progress indicator the 2024 report carried, with the figure the report itself published, the latest figure in the Policy Gap 2.0 workspace database, and the arithmetic in between — written into the sheet as a live Excel formula.</t>
        </is>
      </c>
    </row>
    <row r="3">
      <c r="A3" s="3" t="inlineStr">
        <is>
          <t>Summer Prep · Policy Gap 2.0 Report — prepared 27 July 2026.</t>
        </is>
      </c>
    </row>
    <row r="5">
      <c r="A5" s="4" t="inlineStr">
        <is>
          <t>What is in this workbook</t>
        </is>
      </c>
    </row>
    <row r="6" ht="46" customHeight="1">
      <c r="A6" s="5" t="inlineStr">
        <is>
          <t>Old vs new</t>
        </is>
      </c>
      <c r="B6" s="6" t="inlineStr">
        <is>
          <t>One row per indicator: what the report published, what the database holds now, the change, and how that later figure was obtained. Sorted by report chapter.</t>
        </is>
      </c>
      <c r="C6" s="7" t="n"/>
      <c r="D6" s="7" t="n"/>
      <c r="E6" s="7" t="n"/>
      <c r="F6" s="7" t="n"/>
      <c r="G6" s="7" t="n"/>
      <c r="H6" s="7" t="n"/>
    </row>
    <row r="7" ht="46" customHeight="1">
      <c r="A7" s="8" t="inlineStr">
        <is>
          <t>Derivations</t>
        </is>
      </c>
      <c r="B7" s="9" t="inlineStr">
        <is>
          <t>The calc grid behind every indicator, one block each: Year, Value and the input columns. The Value cells are LIVE EXCEL FORMULAS over the inputs in the same block — click one and Excel shows the arithmetic. Change an input and the value recomputes, exactly as the Method Hub's calc editor does it.</t>
        </is>
      </c>
      <c r="C7" s="10" t="n"/>
      <c r="D7" s="10" t="n"/>
      <c r="E7" s="10" t="n"/>
      <c r="F7" s="10" t="n"/>
      <c r="G7" s="10" t="n"/>
      <c r="H7" s="10" t="n"/>
    </row>
    <row r="8" ht="46" customHeight="1">
      <c r="A8" s="5" t="inlineStr">
        <is>
          <t>Sources</t>
        </is>
      </c>
      <c r="B8" s="6" t="inlineStr">
        <is>
          <t>The exact source query behind every input column — dataset, filters and URL.</t>
        </is>
      </c>
      <c r="C8" s="7" t="n"/>
      <c r="D8" s="7" t="n"/>
      <c r="E8" s="7" t="n"/>
      <c r="F8" s="7" t="n"/>
      <c r="G8" s="7" t="n"/>
      <c r="H8" s="7" t="n"/>
    </row>
    <row r="10" ht="30" customHeight="1">
      <c r="A10" s="11" t="inlineStr">
        <is>
          <t>• The formulas are the Method Hub's own: they are produced by the same translator the Hub uses to export a calc grid to Excel, so what you see here is what the Hub computes, not a re-implementation.</t>
        </is>
      </c>
    </row>
    <row r="11" ht="30" customHeight="1">
      <c r="A11" s="11" t="inlineStr">
        <is>
          <t>• A formula of the form =IF(A21&gt;=2023, ROUND(&lt;live-source recipe&gt;), &lt;report recipe&gt;) means the report years keep the 2024 workbook's derivation and the later years are computed from the live source. That year switch is deliberate — the two are different derivations, and both are shown.</t>
        </is>
      </c>
    </row>
    <row r="12" ht="30" customHeight="1">
      <c r="A12" s="11" t="inlineStr">
        <is>
          <t>• Where an indicator is a published figure with no derivation, the input column simply carries that figure and names the publication. Nothing is left blank.</t>
        </is>
      </c>
    </row>
    <row r="13" ht="30" customHeight="1">
      <c r="A13" s="11" t="inlineStr">
        <is>
          <t>• Every post-report value was re-checked against its primary source on 27 July 2026; the verdict is in the “Source check” column of the Old vs new sheet.</t>
        </is>
      </c>
    </row>
  </sheetData>
  <mergeCells count="10">
    <mergeCell ref="A12:H12"/>
    <mergeCell ref="B8:H8"/>
    <mergeCell ref="A3:H3"/>
    <mergeCell ref="A2:H2"/>
    <mergeCell ref="A10:H10"/>
    <mergeCell ref="B6:H6"/>
    <mergeCell ref="A13:H13"/>
    <mergeCell ref="A11:H11"/>
    <mergeCell ref="B7:H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D7E83"/>
    <outlinePr summaryBelow="1" summaryRight="1"/>
    <pageSetUpPr/>
  </sheetPr>
  <dimension ref="A1:L101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14" customWidth="1" min="4" max="4"/>
    <col width="12" customWidth="1" min="5" max="5"/>
    <col width="14" customWidth="1" min="6" max="6"/>
    <col width="11" customWidth="1" min="7" max="7"/>
    <col width="14" customWidth="1" min="8" max="8"/>
    <col width="12" customWidth="1" min="9" max="9"/>
    <col width="12" customWidth="1" min="10" max="10"/>
    <col width="24" customWidth="1" min="11" max="11"/>
    <col width="30" customWidth="1" min="12" max="12"/>
  </cols>
  <sheetData>
    <row r="1" ht="26" customHeight="1">
      <c r="A1" s="1" t="inlineStr">
        <is>
          <t>What the report published, and what the database holds now</t>
        </is>
      </c>
    </row>
    <row r="2" ht="30" customHeight="1">
      <c r="A2" s="2" t="inlineStr">
        <is>
          <t>“Report figure” is the last value the 2024 report itself carried. “Latest” is the most recent value in the Policy Gap 2.0 workspace indicator database today.</t>
        </is>
      </c>
    </row>
    <row r="4" ht="32" customHeight="1">
      <c r="A4" s="12" t="inlineStr">
        <is>
          <t>Code</t>
        </is>
      </c>
      <c r="B4" s="12" t="inlineStr">
        <is>
          <t>Indicator</t>
        </is>
      </c>
      <c r="C4" s="12" t="inlineStr">
        <is>
          <t>Chapter</t>
        </is>
      </c>
      <c r="D4" s="12" t="inlineStr">
        <is>
          <t>Unit</t>
        </is>
      </c>
      <c r="E4" s="12" t="inlineStr">
        <is>
          <t>Report year</t>
        </is>
      </c>
      <c r="F4" s="12" t="inlineStr">
        <is>
          <t>Report figure</t>
        </is>
      </c>
      <c r="G4" s="12" t="inlineStr">
        <is>
          <t>Latest year</t>
        </is>
      </c>
      <c r="H4" s="12" t="inlineStr">
        <is>
          <t>Latest value</t>
        </is>
      </c>
      <c r="I4" s="12" t="inlineStr">
        <is>
          <t>Change</t>
        </is>
      </c>
      <c r="J4" s="12" t="inlineStr">
        <is>
          <t>Change %</t>
        </is>
      </c>
      <c r="K4" s="12" t="inlineStr">
        <is>
          <t>How the later figure was obtained</t>
        </is>
      </c>
      <c r="L4" s="12" t="inlineStr">
        <is>
          <t>Source check (27 Jul 2026)</t>
        </is>
      </c>
    </row>
    <row r="5" ht="15" customHeight="1">
      <c r="A5" s="13" t="inlineStr">
        <is>
          <t>O1</t>
        </is>
      </c>
      <c r="B5" s="14" t="inlineStr">
        <is>
          <t>Total EU GHG emissions (European Climate Law scope)</t>
        </is>
      </c>
      <c r="C5" s="14" t="inlineStr">
        <is>
          <t>Emissions</t>
        </is>
      </c>
      <c r="D5" s="14" t="inlineStr">
        <is>
          <t>Mt CO₂eq</t>
        </is>
      </c>
      <c r="E5" s="15" t="n">
        <v>2022</v>
      </c>
      <c r="F5" s="16" t="n">
        <v>3333.9</v>
      </c>
      <c r="G5" s="15" t="n">
        <v>2024</v>
      </c>
      <c r="H5" s="16" t="n">
        <v>3043.2</v>
      </c>
      <c r="I5" s="16" t="n">
        <v>-290.7000000000003</v>
      </c>
      <c r="J5" s="17" t="n">
        <v>-0.08719517681994068</v>
      </c>
      <c r="K5" s="18" t="inlineStr">
        <is>
          <t>Derived from the live source (year-switched formula)</t>
        </is>
      </c>
      <c r="L5" s="18" t="inlineStr">
        <is>
          <t>Reproduces from source</t>
        </is>
      </c>
    </row>
    <row r="6" ht="15" customHeight="1">
      <c r="A6" s="19" t="inlineStr">
        <is>
          <t>E1</t>
        </is>
      </c>
      <c r="B6" s="20" t="inlineStr">
        <is>
          <t>Energy supply GHG emissions</t>
        </is>
      </c>
      <c r="C6" s="20" t="inlineStr">
        <is>
          <t>Energy supply</t>
        </is>
      </c>
      <c r="D6" s="20" t="inlineStr">
        <is>
          <t>Mt CO₂eq</t>
        </is>
      </c>
      <c r="E6" s="21" t="n">
        <v>2022</v>
      </c>
      <c r="F6" s="22" t="n">
        <v>924</v>
      </c>
      <c r="G6" s="21" t="n">
        <v>2024</v>
      </c>
      <c r="H6" s="22" t="n">
        <v>689.1</v>
      </c>
      <c r="I6" s="22" t="n">
        <v>-234.9</v>
      </c>
      <c r="J6" s="23" t="n">
        <v>-0.2542207792207792</v>
      </c>
      <c r="K6" s="24" t="inlineStr">
        <is>
          <t>Derived from the live source (year-switched formula)</t>
        </is>
      </c>
      <c r="L6" s="24" t="inlineStr">
        <is>
          <t>Reproduces from source</t>
        </is>
      </c>
    </row>
    <row r="7" ht="15" customHeight="1">
      <c r="A7" s="25" t="inlineStr">
        <is>
          <t>E2 (RES)</t>
        </is>
      </c>
      <c r="B7" s="14" t="inlineStr">
        <is>
          <t>Non-biomass renewable share of EU electricity mix</t>
        </is>
      </c>
      <c r="C7" s="14" t="inlineStr">
        <is>
          <t>Energy supply</t>
        </is>
      </c>
      <c r="D7" s="14" t="inlineStr">
        <is>
          <t>%</t>
        </is>
      </c>
      <c r="E7" s="15" t="n">
        <v>2022</v>
      </c>
      <c r="F7" s="16" t="n">
        <v>33.76</v>
      </c>
      <c r="G7" s="15" t="n">
        <v>2024</v>
      </c>
      <c r="H7" s="16" t="n">
        <v>41.38</v>
      </c>
      <c r="I7" s="16" t="n">
        <v>7.620000000000005</v>
      </c>
      <c r="J7" s="17" t="n">
        <v>0.2257109004739338</v>
      </c>
      <c r="K7" s="18" t="inlineStr">
        <is>
          <t>Derived from the live source (year-switched formula)</t>
        </is>
      </c>
      <c r="L7" s="18" t="inlineStr">
        <is>
          <t>2–5% off source</t>
        </is>
      </c>
    </row>
    <row r="8" ht="15" customHeight="1">
      <c r="A8" s="19" t="inlineStr">
        <is>
          <t>E2 (fossil)</t>
        </is>
      </c>
      <c r="B8" s="20" t="inlineStr">
        <is>
          <t>Fossil share of EU electricity mix</t>
        </is>
      </c>
      <c r="C8" s="20" t="inlineStr">
        <is>
          <t>Energy supply</t>
        </is>
      </c>
      <c r="D8" s="20" t="inlineStr">
        <is>
          <t>%</t>
        </is>
      </c>
      <c r="E8" s="21" t="n">
        <v>2022</v>
      </c>
      <c r="F8" s="22" t="n">
        <v>38.76</v>
      </c>
      <c r="G8" s="21" t="n">
        <v>2024</v>
      </c>
      <c r="H8" s="22" t="n">
        <v>28.11</v>
      </c>
      <c r="I8" s="22" t="n">
        <v>-10.65</v>
      </c>
      <c r="J8" s="23" t="n">
        <v>-0.2747678018575851</v>
      </c>
      <c r="K8" s="24" t="inlineStr">
        <is>
          <t>Derived from the live source (year-switched formula)</t>
        </is>
      </c>
      <c r="L8" s="24" t="inlineStr">
        <is>
          <t>Reproduces from source</t>
        </is>
      </c>
    </row>
    <row r="9" ht="15" customHeight="1">
      <c r="A9" s="25" t="inlineStr">
        <is>
          <t>E3</t>
        </is>
      </c>
      <c r="B9" s="14" t="inlineStr">
        <is>
          <t>Average GHG intensity of EU electricity</t>
        </is>
      </c>
      <c r="C9" s="14" t="inlineStr">
        <is>
          <t>Energy supply</t>
        </is>
      </c>
      <c r="D9" s="14" t="inlineStr">
        <is>
          <t>g CO₂eq/kWh</t>
        </is>
      </c>
      <c r="E9" s="15" t="n">
        <v>2022</v>
      </c>
      <c r="F9" s="16" t="n">
        <v>251</v>
      </c>
      <c r="G9" s="15" t="n">
        <v>2024</v>
      </c>
      <c r="H9" s="16" t="n">
        <v>187.4</v>
      </c>
      <c r="I9" s="16" t="n">
        <v>-63.59999999999999</v>
      </c>
      <c r="J9" s="17" t="n">
        <v>-0.2533864541832669</v>
      </c>
      <c r="K9" s="18" t="inlineStr">
        <is>
          <t>Derived from the live source (year-switched formula)</t>
        </is>
      </c>
      <c r="L9" s="18" t="inlineStr">
        <is>
          <t>Reproduces from source</t>
        </is>
      </c>
    </row>
    <row r="10" ht="15" customHeight="1">
      <c r="A10" s="19" t="inlineStr">
        <is>
          <t>E4a</t>
        </is>
      </c>
      <c r="B10" s="20" t="inlineStr">
        <is>
          <t>Annual solar PV capacity additions (EU)</t>
        </is>
      </c>
      <c r="C10" s="20" t="inlineStr">
        <is>
          <t>Energy supply</t>
        </is>
      </c>
      <c r="D10" s="20" t="inlineStr">
        <is>
          <t>GW/yr</t>
        </is>
      </c>
      <c r="E10" s="21" t="n">
        <v>2021</v>
      </c>
      <c r="F10" s="22" t="n">
        <v>25.7</v>
      </c>
      <c r="G10" s="21" t="n">
        <v>2025</v>
      </c>
      <c r="H10" s="22" t="n">
        <v>65.09999999999999</v>
      </c>
      <c r="I10" s="22" t="n">
        <v>39.39999999999999</v>
      </c>
      <c r="J10" s="23" t="n">
        <v>1.533073929961089</v>
      </c>
      <c r="K10" s="24" t="inlineStr">
        <is>
          <t>Derived from the live source (year-switched formula)</t>
        </is>
      </c>
      <c r="L10" s="24" t="inlineStr">
        <is>
          <t>Published figure, not re-derived</t>
        </is>
      </c>
    </row>
    <row r="11" ht="15" customHeight="1">
      <c r="A11" s="25" t="inlineStr">
        <is>
          <t>E4b/c</t>
        </is>
      </c>
      <c r="B11" s="14" t="inlineStr">
        <is>
          <t>Annual wind capacity additions (EU)</t>
        </is>
      </c>
      <c r="C11" s="14" t="inlineStr">
        <is>
          <t>Energy supply</t>
        </is>
      </c>
      <c r="D11" s="14" t="inlineStr">
        <is>
          <t>GW/yr</t>
        </is>
      </c>
      <c r="E11" s="15" t="n">
        <v>2021</v>
      </c>
      <c r="F11" s="16" t="n">
        <v>10.72</v>
      </c>
      <c r="G11" s="15" t="n">
        <v>2025</v>
      </c>
      <c r="H11" s="16" t="n">
        <v>15.1</v>
      </c>
      <c r="I11" s="16" t="n">
        <v>4.379999999999999</v>
      </c>
      <c r="J11" s="17" t="n">
        <v>0.4085820895522387</v>
      </c>
      <c r="K11" s="18" t="inlineStr">
        <is>
          <t>Derived from the live source (year-switched formula)</t>
        </is>
      </c>
      <c r="L11" s="18" t="inlineStr">
        <is>
          <t>Published figure, not re-derived</t>
        </is>
      </c>
    </row>
    <row r="12" ht="15" customHeight="1">
      <c r="A12" s="19" t="inlineStr">
        <is>
          <t>E6</t>
        </is>
      </c>
      <c r="B12" s="20" t="inlineStr">
        <is>
          <t>Energy-related methane emissions (EU-27)</t>
        </is>
      </c>
      <c r="C12" s="20" t="inlineStr">
        <is>
          <t>Energy supply</t>
        </is>
      </c>
      <c r="D12" s="20" t="inlineStr">
        <is>
          <t>Mt CO₂eq</t>
        </is>
      </c>
      <c r="E12" s="21" t="n">
        <v>2021</v>
      </c>
      <c r="F12" s="22" t="n">
        <v>69.91</v>
      </c>
      <c r="G12" s="21" t="n">
        <v>2024</v>
      </c>
      <c r="H12" s="22" t="n">
        <v>57.77</v>
      </c>
      <c r="I12" s="22" t="n">
        <v>-12.13999999999999</v>
      </c>
      <c r="J12" s="23" t="n">
        <v>-0.1736518380775282</v>
      </c>
      <c r="K12" s="24" t="inlineStr">
        <is>
          <t>Derived from the live source (year-switched formula)</t>
        </is>
      </c>
      <c r="L12" s="24" t="inlineStr">
        <is>
          <t>Reproduces from source</t>
        </is>
      </c>
    </row>
    <row r="13" ht="15" customHeight="1">
      <c r="A13" s="26" t="inlineStr">
        <is>
          <t>E5</t>
        </is>
      </c>
      <c r="B13" s="14" t="inlineStr">
        <is>
          <t>Electrification rate of final energy use</t>
        </is>
      </c>
      <c r="C13" s="14" t="inlineStr">
        <is>
          <t>Energy demand</t>
        </is>
      </c>
      <c r="D13" s="14" t="inlineStr">
        <is>
          <t>%</t>
        </is>
      </c>
      <c r="E13" s="15" t="n">
        <v>2021</v>
      </c>
      <c r="F13" s="16" t="n">
        <v>22.75</v>
      </c>
      <c r="G13" s="15" t="n">
        <v>2021</v>
      </c>
      <c r="H13" s="16" t="n">
        <v>22.75</v>
      </c>
      <c r="I13" s="16" t="n"/>
      <c r="J13" s="17" t="n"/>
      <c r="K13" s="18" t="inlineStr">
        <is>
          <t>No later data — report figure stands</t>
        </is>
      </c>
      <c r="L13" s="18" t="inlineStr">
        <is>
          <t>—</t>
        </is>
      </c>
    </row>
    <row r="14" ht="15" customHeight="1">
      <c r="A14" s="27" t="inlineStr">
        <is>
          <t>O2 (FEC)</t>
        </is>
      </c>
      <c r="B14" s="20" t="inlineStr">
        <is>
          <t>Final energy consumption (EU-27)</t>
        </is>
      </c>
      <c r="C14" s="20" t="inlineStr">
        <is>
          <t>Energy demand</t>
        </is>
      </c>
      <c r="D14" s="20" t="inlineStr">
        <is>
          <t>TWh</t>
        </is>
      </c>
      <c r="E14" s="21" t="n">
        <v>2021</v>
      </c>
      <c r="F14" s="22" t="n">
        <v>11263</v>
      </c>
      <c r="G14" s="21" t="n">
        <v>2024</v>
      </c>
      <c r="H14" s="22" t="n">
        <v>10467</v>
      </c>
      <c r="I14" s="22" t="n">
        <v>-796</v>
      </c>
      <c r="J14" s="23" t="n">
        <v>-0.07067388795170025</v>
      </c>
      <c r="K14" s="24" t="inlineStr">
        <is>
          <t>Derived from the live source (year-switched formula)</t>
        </is>
      </c>
      <c r="L14" s="24" t="inlineStr">
        <is>
          <t>Reproduces from source</t>
        </is>
      </c>
    </row>
    <row r="15" ht="15" customHeight="1">
      <c r="A15" s="26" t="inlineStr">
        <is>
          <t>O2 (PEC)</t>
        </is>
      </c>
      <c r="B15" s="14" t="inlineStr">
        <is>
          <t>Primary energy consumption (EU-27)</t>
        </is>
      </c>
      <c r="C15" s="14" t="inlineStr">
        <is>
          <t>Energy demand</t>
        </is>
      </c>
      <c r="D15" s="14" t="inlineStr">
        <is>
          <t>TWh</t>
        </is>
      </c>
      <c r="E15" s="15" t="n">
        <v>2021</v>
      </c>
      <c r="F15" s="16" t="n">
        <v>15248</v>
      </c>
      <c r="G15" s="15" t="n">
        <v>2024</v>
      </c>
      <c r="H15" s="16" t="n">
        <v>13979.3</v>
      </c>
      <c r="I15" s="16" t="n">
        <v>-1268.700000000001</v>
      </c>
      <c r="J15" s="17" t="n">
        <v>-0.08320435466946491</v>
      </c>
      <c r="K15" s="18" t="inlineStr">
        <is>
          <t>Derived from the live source (year-switched formula)</t>
        </is>
      </c>
      <c r="L15" s="18" t="inlineStr">
        <is>
          <t>Reproduces from source</t>
        </is>
      </c>
    </row>
    <row r="16" ht="15" customHeight="1">
      <c r="A16" s="27" t="inlineStr">
        <is>
          <t>O3</t>
        </is>
      </c>
      <c r="B16" s="20" t="inlineStr">
        <is>
          <t>Gross inland energy consumption (EU-27)</t>
        </is>
      </c>
      <c r="C16" s="20" t="inlineStr">
        <is>
          <t>Energy demand</t>
        </is>
      </c>
      <c r="D16" s="20" t="inlineStr">
        <is>
          <t>TWh</t>
        </is>
      </c>
      <c r="E16" s="21" t="n">
        <v>2021</v>
      </c>
      <c r="F16" s="22" t="n">
        <v>16534</v>
      </c>
      <c r="G16" s="21" t="n">
        <v>2023</v>
      </c>
      <c r="H16" s="22" t="n">
        <v>15575.3</v>
      </c>
      <c r="I16" s="22" t="n">
        <v>-958.7000000000007</v>
      </c>
      <c r="J16" s="23" t="n">
        <v>-0.05798354905044156</v>
      </c>
      <c r="K16" s="24" t="inlineStr">
        <is>
          <t>Reconstructed through the sheet's own conversion</t>
        </is>
      </c>
      <c r="L16" s="24" t="inlineStr">
        <is>
          <t>Published figure, not re-derived</t>
        </is>
      </c>
    </row>
    <row r="17" ht="15" customHeight="1">
      <c r="A17" s="28" t="inlineStr">
        <is>
          <t>I1</t>
        </is>
      </c>
      <c r="B17" s="14" t="inlineStr">
        <is>
          <t>Industrial GHG emissions</t>
        </is>
      </c>
      <c r="C17" s="14" t="inlineStr">
        <is>
          <t>Industry</t>
        </is>
      </c>
      <c r="D17" s="14" t="inlineStr">
        <is>
          <t>Mt CO₂eq</t>
        </is>
      </c>
      <c r="E17" s="15" t="n">
        <v>2022</v>
      </c>
      <c r="F17" s="16" t="n">
        <v>691.3</v>
      </c>
      <c r="G17" s="15" t="n">
        <v>2024</v>
      </c>
      <c r="H17" s="16" t="n">
        <v>611.4</v>
      </c>
      <c r="I17" s="16" t="n">
        <v>-79.89999999999998</v>
      </c>
      <c r="J17" s="17" t="n">
        <v>-0.1155793432663098</v>
      </c>
      <c r="K17" s="18" t="inlineStr">
        <is>
          <t>Derived from the live source (year-switched formula)</t>
        </is>
      </c>
      <c r="L17" s="18" t="inlineStr">
        <is>
          <t>Reproduces from source</t>
        </is>
      </c>
    </row>
    <row r="18" ht="15" customHeight="1">
      <c r="A18" s="29" t="inlineStr">
        <is>
          <t>I2 (cement, production)</t>
        </is>
      </c>
      <c r="B18" s="20" t="inlineStr">
        <is>
          <t>Cement production (EU)</t>
        </is>
      </c>
      <c r="C18" s="20" t="inlineStr">
        <is>
          <t>Industry</t>
        </is>
      </c>
      <c r="D18" s="20" t="inlineStr">
        <is>
          <t>Mt</t>
        </is>
      </c>
      <c r="E18" s="21" t="n">
        <v>2021</v>
      </c>
      <c r="F18" s="22" t="n">
        <v>182.5</v>
      </c>
      <c r="G18" s="21" t="n">
        <v>2024</v>
      </c>
      <c r="H18" s="22" t="n">
        <v>159.1</v>
      </c>
      <c r="I18" s="22" t="n">
        <v>-23.40000000000001</v>
      </c>
      <c r="J18" s="23" t="n">
        <v>-0.1282191780821918</v>
      </c>
      <c r="K18" s="24" t="inlineStr">
        <is>
          <t>Derived from the live source (year-switched formula)</t>
        </is>
      </c>
      <c r="L18" s="24" t="inlineStr">
        <is>
          <t>Reproduces from source</t>
        </is>
      </c>
    </row>
    <row r="19" ht="15" customHeight="1">
      <c r="A19" s="28" t="inlineStr">
        <is>
          <t>I2 (cement, use)</t>
        </is>
      </c>
      <c r="B19" s="14" t="inlineStr">
        <is>
          <t>Cement apparent use (consumption) (EU)</t>
        </is>
      </c>
      <c r="C19" s="14" t="inlineStr">
        <is>
          <t>Industry</t>
        </is>
      </c>
      <c r="D19" s="14" t="inlineStr">
        <is>
          <t>Mt</t>
        </is>
      </c>
      <c r="E19" s="15" t="n">
        <v>2021</v>
      </c>
      <c r="F19" s="16" t="n">
        <v>170.5</v>
      </c>
      <c r="G19" s="15" t="n">
        <v>2021</v>
      </c>
      <c r="H19" s="16" t="n">
        <v>170.5</v>
      </c>
      <c r="I19" s="16" t="n"/>
      <c r="J19" s="17" t="n"/>
      <c r="K19" s="18" t="inlineStr">
        <is>
          <t>As published by the report; no later data</t>
        </is>
      </c>
      <c r="L19" s="18" t="inlineStr">
        <is>
          <t>—</t>
        </is>
      </c>
    </row>
    <row r="20" ht="15" customHeight="1">
      <c r="A20" s="29" t="inlineStr">
        <is>
          <t>I2 (chemicals, production)</t>
        </is>
      </c>
      <c r="B20" s="20" t="inlineStr">
        <is>
          <t>Chemicals production (EU)</t>
        </is>
      </c>
      <c r="C20" s="20" t="inlineStr">
        <is>
          <t>Industry</t>
        </is>
      </c>
      <c r="D20" s="20" t="inlineStr">
        <is>
          <t>Mt</t>
        </is>
      </c>
      <c r="E20" s="21" t="n">
        <v>2021</v>
      </c>
      <c r="F20" s="22" t="n">
        <v>26.84</v>
      </c>
      <c r="G20" s="21" t="n">
        <v>2025</v>
      </c>
      <c r="H20" s="22" t="n">
        <v>18.55</v>
      </c>
      <c r="I20" s="22" t="n">
        <v>-8.289999999999999</v>
      </c>
      <c r="J20" s="23" t="n">
        <v>-0.3088673621460507</v>
      </c>
      <c r="K20" s="24" t="inlineStr">
        <is>
          <t>Derived from the live source (year-switched formula)</t>
        </is>
      </c>
      <c r="L20" s="24" t="inlineStr">
        <is>
          <t>Reproduces from source</t>
        </is>
      </c>
    </row>
    <row r="21" ht="15" customHeight="1">
      <c r="A21" s="28" t="inlineStr">
        <is>
          <t>I2 (chemicals, trade)</t>
        </is>
      </c>
      <c r="B21" s="14" t="inlineStr">
        <is>
          <t>Chemicals net trade balance (EU)</t>
        </is>
      </c>
      <c r="C21" s="14" t="inlineStr">
        <is>
          <t>Industry</t>
        </is>
      </c>
      <c r="D21" s="14" t="inlineStr">
        <is>
          <t>Mt</t>
        </is>
      </c>
      <c r="E21" s="15" t="n">
        <v>2021</v>
      </c>
      <c r="F21" s="16" t="n">
        <v>-2.268</v>
      </c>
      <c r="G21" s="15" t="n">
        <v>2021</v>
      </c>
      <c r="H21" s="16" t="n">
        <v>-2.268</v>
      </c>
      <c r="I21" s="16" t="n"/>
      <c r="J21" s="17" t="n"/>
      <c r="K21" s="18" t="inlineStr">
        <is>
          <t>As published by the report; no later data</t>
        </is>
      </c>
      <c r="L21" s="18" t="inlineStr">
        <is>
          <t>—</t>
        </is>
      </c>
    </row>
    <row r="22" ht="15" customHeight="1">
      <c r="A22" s="29" t="inlineStr">
        <is>
          <t>I2 (chemicals, use)</t>
        </is>
      </c>
      <c r="B22" s="20" t="inlineStr">
        <is>
          <t>Chemicals apparent use (consumption) (EU)</t>
        </is>
      </c>
      <c r="C22" s="20" t="inlineStr">
        <is>
          <t>Industry</t>
        </is>
      </c>
      <c r="D22" s="20" t="inlineStr">
        <is>
          <t>Mt</t>
        </is>
      </c>
      <c r="E22" s="21" t="n">
        <v>2021</v>
      </c>
      <c r="F22" s="22" t="n">
        <v>29.11</v>
      </c>
      <c r="G22" s="21" t="n">
        <v>2021</v>
      </c>
      <c r="H22" s="22" t="n">
        <v>29.11</v>
      </c>
      <c r="I22" s="22" t="n"/>
      <c r="J22" s="23" t="n"/>
      <c r="K22" s="24" t="inlineStr">
        <is>
          <t>As published by the report; no later data</t>
        </is>
      </c>
      <c r="L22" s="24" t="inlineStr">
        <is>
          <t>—</t>
        </is>
      </c>
    </row>
    <row r="23" ht="15" customHeight="1">
      <c r="A23" s="28" t="inlineStr">
        <is>
          <t>I2 (steel, production)</t>
        </is>
      </c>
      <c r="B23" s="14" t="inlineStr">
        <is>
          <t>Steel production (EU)</t>
        </is>
      </c>
      <c r="C23" s="14" t="inlineStr">
        <is>
          <t>Industry</t>
        </is>
      </c>
      <c r="D23" s="14" t="inlineStr">
        <is>
          <t>Mt</t>
        </is>
      </c>
      <c r="E23" s="15" t="n">
        <v>2021</v>
      </c>
      <c r="F23" s="16" t="n">
        <v>152.8</v>
      </c>
      <c r="G23" s="15" t="n">
        <v>2025</v>
      </c>
      <c r="H23" s="16" t="n">
        <v>126.2</v>
      </c>
      <c r="I23" s="16" t="n">
        <v>-26.60000000000001</v>
      </c>
      <c r="J23" s="17" t="n">
        <v>-0.1740837696335079</v>
      </c>
      <c r="K23" s="18" t="inlineStr">
        <is>
          <t>Reconstructed through the sheet's own conversion</t>
        </is>
      </c>
      <c r="L23" s="18" t="inlineStr">
        <is>
          <t>2–5% off source</t>
        </is>
      </c>
    </row>
    <row r="24" ht="15" customHeight="1">
      <c r="A24" s="29" t="inlineStr">
        <is>
          <t>I2 (steel, trade)</t>
        </is>
      </c>
      <c r="B24" s="20" t="inlineStr">
        <is>
          <t>Steel net trade balance (EU)</t>
        </is>
      </c>
      <c r="C24" s="20" t="inlineStr">
        <is>
          <t>Industry</t>
        </is>
      </c>
      <c r="D24" s="20" t="inlineStr">
        <is>
          <t>Mt</t>
        </is>
      </c>
      <c r="E24" s="21" t="n">
        <v>2021</v>
      </c>
      <c r="F24" s="22" t="n">
        <v>-25.77</v>
      </c>
      <c r="G24" s="21" t="n">
        <v>2021</v>
      </c>
      <c r="H24" s="22" t="n">
        <v>-25.77</v>
      </c>
      <c r="I24" s="22" t="n"/>
      <c r="J24" s="23" t="n"/>
      <c r="K24" s="24" t="inlineStr">
        <is>
          <t>As published by the report; no later data</t>
        </is>
      </c>
      <c r="L24" s="24" t="inlineStr">
        <is>
          <t>—</t>
        </is>
      </c>
    </row>
    <row r="25" ht="15" customHeight="1">
      <c r="A25" s="28" t="inlineStr">
        <is>
          <t>I2 (steel, use)</t>
        </is>
      </c>
      <c r="B25" s="14" t="inlineStr">
        <is>
          <t>Steel apparent use (consumption) (EU)</t>
        </is>
      </c>
      <c r="C25" s="14" t="inlineStr">
        <is>
          <t>Industry</t>
        </is>
      </c>
      <c r="D25" s="14" t="inlineStr">
        <is>
          <t>Mt</t>
        </is>
      </c>
      <c r="E25" s="15" t="n">
        <v>2021</v>
      </c>
      <c r="F25" s="16" t="n">
        <v>149</v>
      </c>
      <c r="G25" s="15" t="n">
        <v>2021</v>
      </c>
      <c r="H25" s="16" t="n">
        <v>149</v>
      </c>
      <c r="I25" s="16" t="n"/>
      <c r="J25" s="17" t="n"/>
      <c r="K25" s="18" t="inlineStr">
        <is>
          <t>As published by the report; no later data</t>
        </is>
      </c>
      <c r="L25" s="18" t="inlineStr">
        <is>
          <t>—</t>
        </is>
      </c>
    </row>
    <row r="26" ht="15" customHeight="1">
      <c r="A26" s="29" t="inlineStr">
        <is>
          <t>I3</t>
        </is>
      </c>
      <c r="B26" s="20" t="inlineStr">
        <is>
          <t>Circular material use rate (EU)</t>
        </is>
      </c>
      <c r="C26" s="20" t="inlineStr">
        <is>
          <t>Industry</t>
        </is>
      </c>
      <c r="D26" s="20" t="inlineStr">
        <is>
          <t>%</t>
        </is>
      </c>
      <c r="E26" s="21" t="n">
        <v>2021</v>
      </c>
      <c r="F26" s="22" t="n">
        <v>11.7</v>
      </c>
      <c r="G26" s="21" t="n">
        <v>2024</v>
      </c>
      <c r="H26" s="22" t="n">
        <v>12.2</v>
      </c>
      <c r="I26" s="22" t="n">
        <v>0.5</v>
      </c>
      <c r="J26" s="23" t="n">
        <v>0.04273504273504274</v>
      </c>
      <c r="K26" s="24" t="inlineStr">
        <is>
          <t>Derived from the live source (year-switched formula)</t>
        </is>
      </c>
      <c r="L26" s="24" t="inlineStr">
        <is>
          <t>Reproduces from source</t>
        </is>
      </c>
    </row>
    <row r="27" ht="15" customHeight="1">
      <c r="A27" s="28" t="inlineStr">
        <is>
          <t>I4 (cement)</t>
        </is>
      </c>
      <c r="B27" s="14" t="inlineStr">
        <is>
          <t>GHG intensity of EU cement production</t>
        </is>
      </c>
      <c r="C27" s="14" t="inlineStr">
        <is>
          <t>Industry</t>
        </is>
      </c>
      <c r="D27" s="14" t="inlineStr">
        <is>
          <t>t CO₂eq/t</t>
        </is>
      </c>
      <c r="E27" s="15" t="n">
        <v>2021</v>
      </c>
      <c r="F27" s="16" t="n">
        <v>0.6038</v>
      </c>
      <c r="G27" s="15" t="n">
        <v>2021</v>
      </c>
      <c r="H27" s="16" t="n">
        <v>0.6038</v>
      </c>
      <c r="I27" s="16" t="n"/>
      <c r="J27" s="17" t="n"/>
      <c r="K27" s="18" t="inlineStr">
        <is>
          <t>As published by the report; no later data</t>
        </is>
      </c>
      <c r="L27" s="18" t="inlineStr">
        <is>
          <t>—</t>
        </is>
      </c>
    </row>
    <row r="28" ht="15" customHeight="1">
      <c r="A28" s="29" t="inlineStr">
        <is>
          <t>I4 (chemicals)</t>
        </is>
      </c>
      <c r="B28" s="20" t="inlineStr">
        <is>
          <t>GHG intensity of EU base organic chemicals</t>
        </is>
      </c>
      <c r="C28" s="20" t="inlineStr">
        <is>
          <t>Industry</t>
        </is>
      </c>
      <c r="D28" s="20" t="inlineStr">
        <is>
          <t>t CO₂eq/t</t>
        </is>
      </c>
      <c r="E28" s="21" t="n">
        <v>2022</v>
      </c>
      <c r="F28" s="22" t="n">
        <v>0.767</v>
      </c>
      <c r="G28" s="21" t="n">
        <v>2022</v>
      </c>
      <c r="H28" s="22" t="n">
        <v>0.767</v>
      </c>
      <c r="I28" s="22" t="n"/>
      <c r="J28" s="23" t="n"/>
      <c r="K28" s="24" t="inlineStr">
        <is>
          <t>As published by the report; no later data</t>
        </is>
      </c>
      <c r="L28" s="24" t="inlineStr">
        <is>
          <t>—</t>
        </is>
      </c>
    </row>
    <row r="29" ht="15" customHeight="1">
      <c r="A29" s="28" t="inlineStr">
        <is>
          <t>I4 (steel)</t>
        </is>
      </c>
      <c r="B29" s="14" t="inlineStr">
        <is>
          <t>GHG intensity of EU steel production</t>
        </is>
      </c>
      <c r="C29" s="14" t="inlineStr">
        <is>
          <t>Industry</t>
        </is>
      </c>
      <c r="D29" s="14" t="inlineStr">
        <is>
          <t>t CO₂eq/t</t>
        </is>
      </c>
      <c r="E29" s="15" t="n">
        <v>2021</v>
      </c>
      <c r="F29" s="16" t="n">
        <v>0.9623</v>
      </c>
      <c r="G29" s="15" t="n">
        <v>2021</v>
      </c>
      <c r="H29" s="16" t="n">
        <v>0.9623</v>
      </c>
      <c r="I29" s="16" t="n"/>
      <c r="J29" s="17" t="n"/>
      <c r="K29" s="18" t="inlineStr">
        <is>
          <t>As published by the report; no later data</t>
        </is>
      </c>
      <c r="L29" s="18" t="inlineStr">
        <is>
          <t>—</t>
        </is>
      </c>
    </row>
    <row r="30" ht="15" customHeight="1">
      <c r="A30" s="29" t="inlineStr">
        <is>
          <t>I5</t>
        </is>
      </c>
      <c r="B30" s="20" t="inlineStr">
        <is>
          <t>Industrial final energy consumption (EU)</t>
        </is>
      </c>
      <c r="C30" s="20" t="inlineStr">
        <is>
          <t>Industry</t>
        </is>
      </c>
      <c r="D30" s="20" t="inlineStr">
        <is>
          <t>TWh</t>
        </is>
      </c>
      <c r="E30" s="21" t="n">
        <v>2021</v>
      </c>
      <c r="F30" s="22" t="n">
        <v>2795.2</v>
      </c>
      <c r="G30" s="21" t="n">
        <v>2023</v>
      </c>
      <c r="H30" s="22" t="n">
        <v>2497.2</v>
      </c>
      <c r="I30" s="22" t="n">
        <v>-298</v>
      </c>
      <c r="J30" s="23" t="n">
        <v>-0.1066113337149399</v>
      </c>
      <c r="K30" s="24" t="inlineStr">
        <is>
          <t>Reconstructed through the sheet's own conversion</t>
        </is>
      </c>
      <c r="L30" s="24" t="inlineStr">
        <is>
          <t>Published figure, not re-derived</t>
        </is>
      </c>
    </row>
    <row r="31" ht="15" customHeight="1">
      <c r="A31" s="28" t="inlineStr">
        <is>
          <t>I6</t>
        </is>
      </c>
      <c r="B31" s="14" t="inlineStr">
        <is>
          <t>Electricity share of industrial final energy use</t>
        </is>
      </c>
      <c r="C31" s="14" t="inlineStr">
        <is>
          <t>Industry</t>
        </is>
      </c>
      <c r="D31" s="14" t="inlineStr">
        <is>
          <t>%</t>
        </is>
      </c>
      <c r="E31" s="15" t="n">
        <v>2021</v>
      </c>
      <c r="F31" s="16" t="n">
        <v>33.22</v>
      </c>
      <c r="G31" s="15" t="n">
        <v>2023</v>
      </c>
      <c r="H31" s="16" t="n">
        <v>32.6</v>
      </c>
      <c r="I31" s="16" t="n">
        <v>-0.6199999999999974</v>
      </c>
      <c r="J31" s="17" t="n">
        <v>-0.01866345574954839</v>
      </c>
      <c r="K31" s="18" t="inlineStr">
        <is>
          <t>Derived from the live source (year-switched formula)</t>
        </is>
      </c>
      <c r="L31" s="18" t="inlineStr">
        <is>
          <t>2–5% off source</t>
        </is>
      </c>
    </row>
    <row r="32" ht="15" customHeight="1">
      <c r="A32" s="29" t="inlineStr">
        <is>
          <t>I7a</t>
        </is>
      </c>
      <c r="B32" s="20" t="inlineStr">
        <is>
          <t>Low-carbon steel projects (EU)</t>
        </is>
      </c>
      <c r="C32" s="20" t="inlineStr">
        <is>
          <t>Industry</t>
        </is>
      </c>
      <c r="D32" s="20" t="inlineStr">
        <is>
          <t>projects</t>
        </is>
      </c>
      <c r="E32" s="21" t="n">
        <v>2023</v>
      </c>
      <c r="F32" s="22" t="n">
        <v>48</v>
      </c>
      <c r="G32" s="21" t="n">
        <v>2023</v>
      </c>
      <c r="H32" s="22" t="n">
        <v>48</v>
      </c>
      <c r="I32" s="22" t="n"/>
      <c r="J32" s="23" t="n"/>
      <c r="K32" s="24" t="inlineStr">
        <is>
          <t>As published by the report; no later data</t>
        </is>
      </c>
      <c r="L32" s="24" t="inlineStr">
        <is>
          <t>—</t>
        </is>
      </c>
    </row>
    <row r="33" ht="15" customHeight="1">
      <c r="A33" s="28" t="inlineStr">
        <is>
          <t>I7b</t>
        </is>
      </c>
      <c r="B33" s="14" t="inlineStr">
        <is>
          <t>Low-carbon cement projects (EU)</t>
        </is>
      </c>
      <c r="C33" s="14" t="inlineStr">
        <is>
          <t>Industry</t>
        </is>
      </c>
      <c r="D33" s="14" t="inlineStr">
        <is>
          <t>projects</t>
        </is>
      </c>
      <c r="E33" s="15" t="n">
        <v>2023</v>
      </c>
      <c r="F33" s="16" t="n">
        <v>62</v>
      </c>
      <c r="G33" s="15" t="n">
        <v>2023</v>
      </c>
      <c r="H33" s="16" t="n">
        <v>62</v>
      </c>
      <c r="I33" s="16" t="n"/>
      <c r="J33" s="17" t="n"/>
      <c r="K33" s="18" t="inlineStr">
        <is>
          <t>As published by the report; no later data</t>
        </is>
      </c>
      <c r="L33" s="18" t="inlineStr">
        <is>
          <t>—</t>
        </is>
      </c>
    </row>
    <row r="34" ht="15" customHeight="1">
      <c r="A34" s="29" t="inlineStr">
        <is>
          <t>I7c</t>
        </is>
      </c>
      <c r="B34" s="20" t="inlineStr">
        <is>
          <t>Low-carbon chemicals projects (EU)</t>
        </is>
      </c>
      <c r="C34" s="20" t="inlineStr">
        <is>
          <t>Industry</t>
        </is>
      </c>
      <c r="D34" s="20" t="inlineStr">
        <is>
          <t>projects</t>
        </is>
      </c>
      <c r="E34" s="21" t="n">
        <v>2023</v>
      </c>
      <c r="F34" s="22" t="n">
        <v>171</v>
      </c>
      <c r="G34" s="21" t="n">
        <v>2023</v>
      </c>
      <c r="H34" s="22" t="n">
        <v>171</v>
      </c>
      <c r="I34" s="22" t="n"/>
      <c r="J34" s="23" t="n"/>
      <c r="K34" s="24" t="inlineStr">
        <is>
          <t>As published by the report; no later data</t>
        </is>
      </c>
      <c r="L34" s="24" t="inlineStr">
        <is>
          <t>—</t>
        </is>
      </c>
    </row>
    <row r="35" ht="15" customHeight="1">
      <c r="A35" s="30" t="inlineStr">
        <is>
          <t>T1</t>
        </is>
      </c>
      <c r="B35" s="14" t="inlineStr">
        <is>
          <t>Transport GHG emissions (EU)</t>
        </is>
      </c>
      <c r="C35" s="14" t="inlineStr">
        <is>
          <t>Transport</t>
        </is>
      </c>
      <c r="D35" s="14" t="inlineStr">
        <is>
          <t>Mt CO₂eq</t>
        </is>
      </c>
      <c r="E35" s="15" t="n">
        <v>2022</v>
      </c>
      <c r="F35" s="16" t="n">
        <v>906.6</v>
      </c>
      <c r="G35" s="15" t="n">
        <v>2024</v>
      </c>
      <c r="H35" s="16" t="n">
        <v>934.7</v>
      </c>
      <c r="I35" s="16" t="n">
        <v>28.10000000000002</v>
      </c>
      <c r="J35" s="17" t="n">
        <v>0.03099492609750719</v>
      </c>
      <c r="K35" s="18" t="inlineStr">
        <is>
          <t>Derived from the live source (year-switched formula)</t>
        </is>
      </c>
      <c r="L35" s="18" t="inlineStr">
        <is>
          <t>Reproduces from source</t>
        </is>
      </c>
    </row>
    <row r="36" ht="15" customHeight="1">
      <c r="A36" s="31" t="inlineStr">
        <is>
          <t>T2a</t>
        </is>
      </c>
      <c r="B36" s="20" t="inlineStr">
        <is>
          <t>Total passenger transport demand</t>
        </is>
      </c>
      <c r="C36" s="20" t="inlineStr">
        <is>
          <t>Transport</t>
        </is>
      </c>
      <c r="D36" s="20" t="inlineStr">
        <is>
          <t>Gpkm</t>
        </is>
      </c>
      <c r="E36" s="21" t="n">
        <v>2020</v>
      </c>
      <c r="F36" s="22" t="n">
        <v>4435.8</v>
      </c>
      <c r="G36" s="21" t="n">
        <v>2023</v>
      </c>
      <c r="H36" s="22" t="n">
        <v>5932</v>
      </c>
      <c r="I36" s="22" t="n">
        <v>1496.2</v>
      </c>
      <c r="J36" s="23" t="n">
        <v>0.3373010505433067</v>
      </c>
      <c r="K36" s="24" t="inlineStr">
        <is>
          <t>Derived from the live source (year-switched formula)</t>
        </is>
      </c>
      <c r="L36" s="24" t="inlineStr">
        <is>
          <t>Published figure, not re-derived</t>
        </is>
      </c>
    </row>
    <row r="37" ht="15" customHeight="1">
      <c r="A37" s="30" t="inlineStr">
        <is>
          <t>T2b</t>
        </is>
      </c>
      <c r="B37" s="14" t="inlineStr">
        <is>
          <t>Total freight transport demand</t>
        </is>
      </c>
      <c r="C37" s="14" t="inlineStr">
        <is>
          <t>Transport</t>
        </is>
      </c>
      <c r="D37" s="14" t="inlineStr">
        <is>
          <t>Gtkm</t>
        </is>
      </c>
      <c r="E37" s="15" t="n">
        <v>2020</v>
      </c>
      <c r="F37" s="16" t="n">
        <v>2254</v>
      </c>
      <c r="G37" s="15" t="n">
        <v>2023</v>
      </c>
      <c r="H37" s="16" t="n">
        <v>2319</v>
      </c>
      <c r="I37" s="16" t="n">
        <v>65</v>
      </c>
      <c r="J37" s="17" t="n">
        <v>0.02883762200532387</v>
      </c>
      <c r="K37" s="18" t="inlineStr">
        <is>
          <t>Derived from the live source (year-switched formula)</t>
        </is>
      </c>
      <c r="L37" s="18" t="inlineStr">
        <is>
          <t>Published figure, not re-derived</t>
        </is>
      </c>
    </row>
    <row r="38" ht="15" customHeight="1">
      <c r="A38" s="31" t="inlineStr">
        <is>
          <t>T3a</t>
        </is>
      </c>
      <c r="B38" s="20" t="inlineStr">
        <is>
          <t>Road share of motorised inland passenger transport</t>
        </is>
      </c>
      <c r="C38" s="20" t="inlineStr">
        <is>
          <t>Transport</t>
        </is>
      </c>
      <c r="D38" s="20" t="inlineStr">
        <is>
          <t>%</t>
        </is>
      </c>
      <c r="E38" s="21" t="n">
        <v>2020</v>
      </c>
      <c r="F38" s="22" t="n">
        <v>86.5</v>
      </c>
      <c r="G38" s="21" t="n">
        <v>2020</v>
      </c>
      <c r="H38" s="22" t="n">
        <v>86.5</v>
      </c>
      <c r="I38" s="22" t="n"/>
      <c r="J38" s="23" t="n"/>
      <c r="K38" s="24" t="inlineStr">
        <is>
          <t>No later data — report figure stands</t>
        </is>
      </c>
      <c r="L38" s="24" t="inlineStr">
        <is>
          <t>—</t>
        </is>
      </c>
    </row>
    <row r="39" ht="15" customHeight="1">
      <c r="A39" s="30" t="inlineStr">
        <is>
          <t>T3b</t>
        </is>
      </c>
      <c r="B39" s="14" t="inlineStr">
        <is>
          <t>Intra-EU air passenger transport</t>
        </is>
      </c>
      <c r="C39" s="14" t="inlineStr">
        <is>
          <t>Transport</t>
        </is>
      </c>
      <c r="D39" s="14" t="inlineStr">
        <is>
          <t>Gpkm</t>
        </is>
      </c>
      <c r="E39" s="15" t="n">
        <v>2020</v>
      </c>
      <c r="F39" s="16" t="n">
        <v>177.9</v>
      </c>
      <c r="G39" s="15" t="n">
        <v>2023</v>
      </c>
      <c r="H39" s="16" t="n">
        <v>582</v>
      </c>
      <c r="I39" s="16" t="n">
        <v>404.1</v>
      </c>
      <c r="J39" s="17" t="n">
        <v>2.27150084317032</v>
      </c>
      <c r="K39" s="18" t="inlineStr">
        <is>
          <t>Reconstructed through the sheet's own conversion</t>
        </is>
      </c>
      <c r="L39" s="18" t="inlineStr">
        <is>
          <t>Published figure, not re-derived</t>
        </is>
      </c>
    </row>
    <row r="40" ht="15" customHeight="1">
      <c r="A40" s="31" t="inlineStr">
        <is>
          <t>T4</t>
        </is>
      </c>
      <c r="B40" s="20" t="inlineStr">
        <is>
          <t>Average CO₂ intensity of new passenger cars (WLTP)</t>
        </is>
      </c>
      <c r="C40" s="20" t="inlineStr">
        <is>
          <t>Transport</t>
        </is>
      </c>
      <c r="D40" s="20" t="inlineStr">
        <is>
          <t>g CO₂/km</t>
        </is>
      </c>
      <c r="E40" s="21" t="n">
        <v>2022</v>
      </c>
      <c r="F40" s="22" t="n">
        <v>108.2</v>
      </c>
      <c r="G40" s="21" t="n">
        <v>2025</v>
      </c>
      <c r="H40" s="22" t="n">
        <v>96.7</v>
      </c>
      <c r="I40" s="22" t="n">
        <v>-11.5</v>
      </c>
      <c r="J40" s="23" t="n">
        <v>-0.1062846580406654</v>
      </c>
      <c r="K40" s="24" t="inlineStr">
        <is>
          <t>Reconstructed through the sheet's own conversion</t>
        </is>
      </c>
      <c r="L40" s="24" t="inlineStr">
        <is>
          <t>Published figure, not re-derived</t>
        </is>
      </c>
    </row>
    <row r="41" ht="15" customHeight="1">
      <c r="A41" s="30" t="inlineStr">
        <is>
          <t>T5a</t>
        </is>
      </c>
      <c r="B41" s="14" t="inlineStr">
        <is>
          <t>ZEV share of new passenger car registrations</t>
        </is>
      </c>
      <c r="C41" s="14" t="inlineStr">
        <is>
          <t>Transport</t>
        </is>
      </c>
      <c r="D41" s="14" t="inlineStr">
        <is>
          <t>%</t>
        </is>
      </c>
      <c r="E41" s="15" t="n">
        <v>2022</v>
      </c>
      <c r="F41" s="16" t="n">
        <v>13.41</v>
      </c>
      <c r="G41" s="15" t="n">
        <v>2025</v>
      </c>
      <c r="H41" s="16" t="n">
        <v>17.4</v>
      </c>
      <c r="I41" s="16" t="n">
        <v>3.989999999999998</v>
      </c>
      <c r="J41" s="17" t="n">
        <v>0.2975391498881431</v>
      </c>
      <c r="K41" s="18" t="inlineStr">
        <is>
          <t>Derived from the live source (year-switched formula)</t>
        </is>
      </c>
      <c r="L41" s="18" t="inlineStr">
        <is>
          <t>Published figure, not re-derived</t>
        </is>
      </c>
    </row>
    <row r="42" ht="15" customHeight="1">
      <c r="A42" s="31" t="inlineStr">
        <is>
          <t>T5b</t>
        </is>
      </c>
      <c r="B42" s="20" t="inlineStr">
        <is>
          <t>Zero-emission lorries in the EU fleet</t>
        </is>
      </c>
      <c r="C42" s="20" t="inlineStr">
        <is>
          <t>Transport</t>
        </is>
      </c>
      <c r="D42" s="20" t="inlineStr">
        <is>
          <t>vehicles</t>
        </is>
      </c>
      <c r="E42" s="21" t="n">
        <v>2022</v>
      </c>
      <c r="F42" s="22" t="n">
        <v>3794</v>
      </c>
      <c r="G42" s="21" t="n">
        <v>2022</v>
      </c>
      <c r="H42" s="22" t="n">
        <v>3794</v>
      </c>
      <c r="I42" s="22" t="n"/>
      <c r="J42" s="23" t="n"/>
      <c r="K42" s="24" t="inlineStr">
        <is>
          <t>As published by the report; no later data</t>
        </is>
      </c>
      <c r="L42" s="24" t="inlineStr">
        <is>
          <t>—</t>
        </is>
      </c>
    </row>
    <row r="43" ht="15" customHeight="1">
      <c r="A43" s="30" t="inlineStr">
        <is>
          <t>T6a</t>
        </is>
      </c>
      <c r="B43" s="14" t="inlineStr">
        <is>
          <t>Fossil share of transport energy use</t>
        </is>
      </c>
      <c r="C43" s="14" t="inlineStr">
        <is>
          <t>Transport</t>
        </is>
      </c>
      <c r="D43" s="14" t="inlineStr">
        <is>
          <t>%</t>
        </is>
      </c>
      <c r="E43" s="15" t="n">
        <v>2021</v>
      </c>
      <c r="F43" s="16" t="n">
        <v>93.44</v>
      </c>
      <c r="G43" s="15" t="n">
        <v>2024</v>
      </c>
      <c r="H43" s="16" t="n">
        <v>93.17</v>
      </c>
      <c r="I43" s="16" t="n">
        <v>-0.269999999999996</v>
      </c>
      <c r="J43" s="17" t="n">
        <v>-0.002889554794520505</v>
      </c>
      <c r="K43" s="18" t="inlineStr">
        <is>
          <t>Derived from the live source (year-switched formula)</t>
        </is>
      </c>
      <c r="L43" s="18" t="inlineStr">
        <is>
          <t>Reproduces from source</t>
        </is>
      </c>
    </row>
    <row r="44" ht="15" customHeight="1">
      <c r="A44" s="31" t="inlineStr">
        <is>
          <t>T6b</t>
        </is>
      </c>
      <c r="B44" s="20" t="inlineStr">
        <is>
          <t>Use of first-generation (food-crop) biofuels in transport</t>
        </is>
      </c>
      <c r="C44" s="20" t="inlineStr">
        <is>
          <t>Transport</t>
        </is>
      </c>
      <c r="D44" s="20" t="inlineStr">
        <is>
          <t>TWh</t>
        </is>
      </c>
      <c r="E44" s="21" t="n">
        <v>2015</v>
      </c>
      <c r="F44" s="22" t="n">
        <v>118.1</v>
      </c>
      <c r="G44" s="21" t="n">
        <v>2015</v>
      </c>
      <c r="H44" s="22" t="n">
        <v>118.1</v>
      </c>
      <c r="I44" s="22" t="n"/>
      <c r="J44" s="23" t="n"/>
      <c r="K44" s="24" t="inlineStr">
        <is>
          <t>As published by the report; no later data</t>
        </is>
      </c>
      <c r="L44" s="24" t="inlineStr">
        <is>
          <t>—</t>
        </is>
      </c>
    </row>
    <row r="45" ht="15" customHeight="1">
      <c r="A45" s="32" t="inlineStr">
        <is>
          <t>B1</t>
        </is>
      </c>
      <c r="B45" s="14" t="inlineStr">
        <is>
          <t>Residential + tertiary building GHG emissions</t>
        </is>
      </c>
      <c r="C45" s="14" t="inlineStr">
        <is>
          <t>Buildings</t>
        </is>
      </c>
      <c r="D45" s="14" t="inlineStr">
        <is>
          <t>Mt CO₂eq</t>
        </is>
      </c>
      <c r="E45" s="15" t="n">
        <v>2022</v>
      </c>
      <c r="F45" s="16" t="n">
        <v>481.8</v>
      </c>
      <c r="G45" s="15" t="n">
        <v>2024</v>
      </c>
      <c r="H45" s="16" t="n">
        <v>430.7</v>
      </c>
      <c r="I45" s="16" t="n">
        <v>-51.10000000000002</v>
      </c>
      <c r="J45" s="17" t="n">
        <v>-0.1060606060606061</v>
      </c>
      <c r="K45" s="18" t="inlineStr">
        <is>
          <t>Derived from the live source (year-switched formula)</t>
        </is>
      </c>
      <c r="L45" s="18" t="inlineStr">
        <is>
          <t>Reproduces from source</t>
        </is>
      </c>
    </row>
    <row r="46" ht="15" customHeight="1">
      <c r="A46" s="33" t="inlineStr">
        <is>
          <t>B2</t>
        </is>
      </c>
      <c r="B46" s="20" t="inlineStr">
        <is>
          <t>Final energy consumption in buildings</t>
        </is>
      </c>
      <c r="C46" s="20" t="inlineStr">
        <is>
          <t>Buildings</t>
        </is>
      </c>
      <c r="D46" s="20" t="inlineStr">
        <is>
          <t>TWh</t>
        </is>
      </c>
      <c r="E46" s="21" t="n">
        <v>2021</v>
      </c>
      <c r="F46" s="22" t="n">
        <v>4878.7</v>
      </c>
      <c r="G46" s="21" t="n">
        <v>2023</v>
      </c>
      <c r="H46" s="22" t="n">
        <v>4037.9</v>
      </c>
      <c r="I46" s="22" t="n">
        <v>-840.7999999999997</v>
      </c>
      <c r="J46" s="23" t="n">
        <v>-0.1723409924775042</v>
      </c>
      <c r="K46" s="24" t="inlineStr">
        <is>
          <t>Derived from the live source (year-switched formula)</t>
        </is>
      </c>
      <c r="L46" s="24" t="inlineStr">
        <is>
          <t>Published figure, not re-derived</t>
        </is>
      </c>
    </row>
    <row r="47" ht="15" customHeight="1">
      <c r="A47" s="32" t="inlineStr">
        <is>
          <t>B3 (commercial)</t>
        </is>
      </c>
      <c r="B47" s="14" t="inlineStr">
        <is>
          <t>Commercial weighted renovation rate (EU)</t>
        </is>
      </c>
      <c r="C47" s="14" t="inlineStr">
        <is>
          <t>Buildings</t>
        </is>
      </c>
      <c r="D47" s="14" t="inlineStr">
        <is>
          <t>%</t>
        </is>
      </c>
      <c r="E47" s="15" t="n">
        <v>2020</v>
      </c>
      <c r="F47" s="16" t="n">
        <v>0.6</v>
      </c>
      <c r="G47" s="15" t="n">
        <v>2020</v>
      </c>
      <c r="H47" s="16" t="n">
        <v>0.6</v>
      </c>
      <c r="I47" s="16" t="n"/>
      <c r="J47" s="17" t="n"/>
      <c r="K47" s="18" t="inlineStr">
        <is>
          <t>As published by the report; no later data</t>
        </is>
      </c>
      <c r="L47" s="18" t="inlineStr">
        <is>
          <t>—</t>
        </is>
      </c>
    </row>
    <row r="48" ht="15" customHeight="1">
      <c r="A48" s="33" t="inlineStr">
        <is>
          <t>B3 (residential)</t>
        </is>
      </c>
      <c r="B48" s="20" t="inlineStr">
        <is>
          <t>Residential weighted renovation rate (EU)</t>
        </is>
      </c>
      <c r="C48" s="20" t="inlineStr">
        <is>
          <t>Buildings</t>
        </is>
      </c>
      <c r="D48" s="20" t="inlineStr">
        <is>
          <t>%</t>
        </is>
      </c>
      <c r="E48" s="21" t="n">
        <v>2020</v>
      </c>
      <c r="F48" s="22" t="n">
        <v>1</v>
      </c>
      <c r="G48" s="21" t="n">
        <v>2020</v>
      </c>
      <c r="H48" s="22" t="n">
        <v>1</v>
      </c>
      <c r="I48" s="22" t="n"/>
      <c r="J48" s="23" t="n"/>
      <c r="K48" s="24" t="inlineStr">
        <is>
          <t>As published by the report; no later data</t>
        </is>
      </c>
      <c r="L48" s="24" t="inlineStr">
        <is>
          <t>—</t>
        </is>
      </c>
    </row>
    <row r="49" ht="15" customHeight="1">
      <c r="A49" s="32" t="inlineStr">
        <is>
          <t>B4 (dwellings)</t>
        </is>
      </c>
      <c r="B49" s="14" t="inlineStr">
        <is>
          <t>Total number of dwellings (index, 2005 = 1.0)</t>
        </is>
      </c>
      <c r="C49" s="14" t="inlineStr">
        <is>
          <t>Buildings</t>
        </is>
      </c>
      <c r="D49" s="14" t="inlineStr">
        <is>
          <t>index (2005 = 1.0)</t>
        </is>
      </c>
      <c r="E49" s="15" t="n">
        <v>2016</v>
      </c>
      <c r="F49" s="16" t="n">
        <v>1.086</v>
      </c>
      <c r="G49" s="15" t="n">
        <v>2016</v>
      </c>
      <c r="H49" s="16" t="n">
        <v>1.086</v>
      </c>
      <c r="I49" s="16" t="n"/>
      <c r="J49" s="17" t="n"/>
      <c r="K49" s="18" t="inlineStr">
        <is>
          <t>As published by the report; no later data</t>
        </is>
      </c>
      <c r="L49" s="18" t="inlineStr">
        <is>
          <t>—</t>
        </is>
      </c>
    </row>
    <row r="50" ht="15" customHeight="1">
      <c r="A50" s="33" t="inlineStr">
        <is>
          <t>B4 (floor area)</t>
        </is>
      </c>
      <c r="B50" s="20" t="inlineStr">
        <is>
          <t>Average floor area per dwelling (index, 2005 = 1.0)</t>
        </is>
      </c>
      <c r="C50" s="20" t="inlineStr">
        <is>
          <t>Buildings</t>
        </is>
      </c>
      <c r="D50" s="20" t="inlineStr">
        <is>
          <t>index (2005 = 1.0)</t>
        </is>
      </c>
      <c r="E50" s="21" t="n">
        <v>2020</v>
      </c>
      <c r="F50" s="22" t="n">
        <v>1.044</v>
      </c>
      <c r="G50" s="21" t="n">
        <v>2020</v>
      </c>
      <c r="H50" s="22" t="n">
        <v>1.044</v>
      </c>
      <c r="I50" s="22" t="n"/>
      <c r="J50" s="23" t="n"/>
      <c r="K50" s="24" t="inlineStr">
        <is>
          <t>As published by the report; no later data</t>
        </is>
      </c>
      <c r="L50" s="24" t="inlineStr">
        <is>
          <t>—</t>
        </is>
      </c>
    </row>
    <row r="51" ht="15" customHeight="1">
      <c r="A51" s="32" t="inlineStr">
        <is>
          <t>B4 (population)</t>
        </is>
      </c>
      <c r="B51" s="14" t="inlineStr">
        <is>
          <t>EU population (index, 2005 = 1.0)</t>
        </is>
      </c>
      <c r="C51" s="14" t="inlineStr">
        <is>
          <t>Buildings</t>
        </is>
      </c>
      <c r="D51" s="14" t="inlineStr">
        <is>
          <t>index (2005 = 1.0)</t>
        </is>
      </c>
      <c r="E51" s="15" t="n">
        <v>2020</v>
      </c>
      <c r="F51" s="16" t="n">
        <v>1.028</v>
      </c>
      <c r="G51" s="15" t="n">
        <v>2025</v>
      </c>
      <c r="H51" s="16" t="n">
        <v>1.04</v>
      </c>
      <c r="I51" s="16" t="n">
        <v>0.01200000000000001</v>
      </c>
      <c r="J51" s="17" t="n">
        <v>0.01167315175097277</v>
      </c>
      <c r="K51" s="18" t="inlineStr">
        <is>
          <t>Derived from the live source (year-switched formula)</t>
        </is>
      </c>
      <c r="L51" s="18" t="inlineStr">
        <is>
          <t>Reproduces from source</t>
        </is>
      </c>
    </row>
    <row r="52" ht="15" customHeight="1">
      <c r="A52" s="33" t="inlineStr">
        <is>
          <t>B4 (surface residential)</t>
        </is>
      </c>
      <c r="B52" s="20" t="inlineStr">
        <is>
          <t>Total residential floor surface (index, 2005 = 1.0)</t>
        </is>
      </c>
      <c r="C52" s="20" t="inlineStr">
        <is>
          <t>Buildings</t>
        </is>
      </c>
      <c r="D52" s="20" t="inlineStr">
        <is>
          <t>index (2005 = 1.0)</t>
        </is>
      </c>
      <c r="E52" s="21" t="n">
        <v>2016</v>
      </c>
      <c r="F52" s="22" t="n">
        <v>1.131</v>
      </c>
      <c r="G52" s="21" t="n">
        <v>2016</v>
      </c>
      <c r="H52" s="22" t="n">
        <v>1.131</v>
      </c>
      <c r="I52" s="22" t="n"/>
      <c r="J52" s="23" t="n"/>
      <c r="K52" s="24" t="inlineStr">
        <is>
          <t>As published by the report; no later data</t>
        </is>
      </c>
      <c r="L52" s="24" t="inlineStr">
        <is>
          <t>—</t>
        </is>
      </c>
    </row>
    <row r="53" ht="15" customHeight="1">
      <c r="A53" s="32" t="inlineStr">
        <is>
          <t>B4 (surface tertiary)</t>
        </is>
      </c>
      <c r="B53" s="14" t="inlineStr">
        <is>
          <t>Total tertiary floor surface (index, 2005 = 1.0)</t>
        </is>
      </c>
      <c r="C53" s="14" t="inlineStr">
        <is>
          <t>Buildings</t>
        </is>
      </c>
      <c r="D53" s="14" t="inlineStr">
        <is>
          <t>index (2005 = 1.0)</t>
        </is>
      </c>
      <c r="E53" s="15" t="n">
        <v>2019</v>
      </c>
      <c r="F53" s="16" t="n">
        <v>1.12</v>
      </c>
      <c r="G53" s="15" t="n">
        <v>2019</v>
      </c>
      <c r="H53" s="16" t="n">
        <v>1.12</v>
      </c>
      <c r="I53" s="16" t="n"/>
      <c r="J53" s="17" t="n"/>
      <c r="K53" s="18" t="inlineStr">
        <is>
          <t>As published by the report; no later data</t>
        </is>
      </c>
      <c r="L53" s="18" t="inlineStr">
        <is>
          <t>—</t>
        </is>
      </c>
    </row>
    <row r="54" ht="15" customHeight="1">
      <c r="A54" s="33" t="inlineStr">
        <is>
          <t>B5a</t>
        </is>
      </c>
      <c r="B54" s="20" t="inlineStr">
        <is>
          <t>Fossil share of residential energy mix</t>
        </is>
      </c>
      <c r="C54" s="20" t="inlineStr">
        <is>
          <t>Buildings</t>
        </is>
      </c>
      <c r="D54" s="20" t="inlineStr">
        <is>
          <t>%</t>
        </is>
      </c>
      <c r="E54" s="21" t="n">
        <v>2021</v>
      </c>
      <c r="F54" s="22" t="n">
        <v>45.58</v>
      </c>
      <c r="G54" s="21" t="n">
        <v>2023</v>
      </c>
      <c r="H54" s="22" t="n">
        <v>42</v>
      </c>
      <c r="I54" s="22" t="n">
        <v>-3.579999999999998</v>
      </c>
      <c r="J54" s="23" t="n">
        <v>-0.07854322071083805</v>
      </c>
      <c r="K54" s="24" t="inlineStr">
        <is>
          <t>Derived from the live source (year-switched formula)</t>
        </is>
      </c>
      <c r="L54" s="24" t="inlineStr">
        <is>
          <t>Published figure, not re-derived</t>
        </is>
      </c>
    </row>
    <row r="55" ht="15" customHeight="1">
      <c r="A55" s="32" t="inlineStr">
        <is>
          <t>B5b</t>
        </is>
      </c>
      <c r="B55" s="14" t="inlineStr">
        <is>
          <t>Fossil share of tertiary energy mix</t>
        </is>
      </c>
      <c r="C55" s="14" t="inlineStr">
        <is>
          <t>Buildings</t>
        </is>
      </c>
      <c r="D55" s="14" t="inlineStr">
        <is>
          <t>%</t>
        </is>
      </c>
      <c r="E55" s="15" t="n">
        <v>2021</v>
      </c>
      <c r="F55" s="16" t="n">
        <v>38.74</v>
      </c>
      <c r="G55" s="15" t="n">
        <v>2023</v>
      </c>
      <c r="H55" s="16" t="n">
        <v>32.2</v>
      </c>
      <c r="I55" s="16" t="n">
        <v>-6.539999999999999</v>
      </c>
      <c r="J55" s="17" t="n">
        <v>-0.1688177594217862</v>
      </c>
      <c r="K55" s="18" t="inlineStr">
        <is>
          <t>Derived from the live source (year-switched formula)</t>
        </is>
      </c>
      <c r="L55" s="18" t="inlineStr">
        <is>
          <t>Published figure, not re-derived</t>
        </is>
      </c>
    </row>
    <row r="56" ht="15" customHeight="1">
      <c r="A56" s="33" t="inlineStr">
        <is>
          <t>B6</t>
        </is>
      </c>
      <c r="B56" s="20" t="inlineStr">
        <is>
          <t>EU stock of installed heat pumps</t>
        </is>
      </c>
      <c r="C56" s="20" t="inlineStr">
        <is>
          <t>Buildings</t>
        </is>
      </c>
      <c r="D56" s="20" t="inlineStr">
        <is>
          <t>million units</t>
        </is>
      </c>
      <c r="E56" s="21" t="n">
        <v>2022</v>
      </c>
      <c r="F56" s="22" t="n">
        <v>19.79</v>
      </c>
      <c r="G56" s="21" t="n">
        <v>2024</v>
      </c>
      <c r="H56" s="22" t="n">
        <v>25.5</v>
      </c>
      <c r="I56" s="22" t="n">
        <v>5.710000000000001</v>
      </c>
      <c r="J56" s="23" t="n">
        <v>0.2885295603840324</v>
      </c>
      <c r="K56" s="24" t="inlineStr">
        <is>
          <t>Reconstructed through the sheet's own conversion</t>
        </is>
      </c>
      <c r="L56" s="24" t="inlineStr">
        <is>
          <t>Published figure, not re-derived</t>
        </is>
      </c>
    </row>
    <row r="57" ht="15" customHeight="1">
      <c r="A57" s="34" t="inlineStr">
        <is>
          <t>A1</t>
        </is>
      </c>
      <c r="B57" s="14" t="inlineStr">
        <is>
          <t>Agricultural non-CO₂ emissions</t>
        </is>
      </c>
      <c r="C57" s="14" t="inlineStr">
        <is>
          <t>Agriculture</t>
        </is>
      </c>
      <c r="D57" s="14" t="inlineStr">
        <is>
          <t>Mt CO₂eq</t>
        </is>
      </c>
      <c r="E57" s="15" t="n">
        <v>2022</v>
      </c>
      <c r="F57" s="16" t="n">
        <v>360.9</v>
      </c>
      <c r="G57" s="15" t="n">
        <v>2024</v>
      </c>
      <c r="H57" s="16" t="n">
        <v>355.7</v>
      </c>
      <c r="I57" s="16" t="n">
        <v>-5.199999999999989</v>
      </c>
      <c r="J57" s="17" t="n">
        <v>-0.01440842338597947</v>
      </c>
      <c r="K57" s="18" t="inlineStr">
        <is>
          <t>Derived from the live source (year-switched formula)</t>
        </is>
      </c>
      <c r="L57" s="18" t="inlineStr">
        <is>
          <t>Reproduces from source</t>
        </is>
      </c>
    </row>
    <row r="58" ht="15" customHeight="1">
      <c r="A58" s="35" t="inlineStr">
        <is>
          <t>A2 (bovine, GHG)</t>
        </is>
      </c>
      <c r="B58" s="20" t="inlineStr">
        <is>
          <t>Bovine meat: GHG emissions (EU)</t>
        </is>
      </c>
      <c r="C58" s="20" t="inlineStr">
        <is>
          <t>Agriculture</t>
        </is>
      </c>
      <c r="D58" s="20" t="inlineStr">
        <is>
          <t>Mt CO₂eq</t>
        </is>
      </c>
      <c r="E58" s="21" t="n">
        <v>2021</v>
      </c>
      <c r="F58" s="22" t="n">
        <v>100.3</v>
      </c>
      <c r="G58" s="21" t="n">
        <v>2021</v>
      </c>
      <c r="H58" s="22" t="n">
        <v>100.3</v>
      </c>
      <c r="I58" s="22" t="n"/>
      <c r="J58" s="23" t="n"/>
      <c r="K58" s="24" t="inlineStr">
        <is>
          <t>As published by the report; no later data</t>
        </is>
      </c>
      <c r="L58" s="24" t="inlineStr">
        <is>
          <t>—</t>
        </is>
      </c>
    </row>
    <row r="59" ht="15" customHeight="1">
      <c r="A59" s="34" t="inlineStr">
        <is>
          <t>A2 (bovine, intensity)</t>
        </is>
      </c>
      <c r="B59" s="14" t="inlineStr">
        <is>
          <t>Bovine meat: GHG intensity (EU)</t>
        </is>
      </c>
      <c r="C59" s="14" t="inlineStr">
        <is>
          <t>Agriculture</t>
        </is>
      </c>
      <c r="D59" s="14" t="inlineStr">
        <is>
          <t>t CO₂eq/t</t>
        </is>
      </c>
      <c r="E59" s="15" t="n">
        <v>2020</v>
      </c>
      <c r="F59" s="16" t="n">
        <v>14.53</v>
      </c>
      <c r="G59" s="15" t="n">
        <v>2020</v>
      </c>
      <c r="H59" s="16" t="n">
        <v>14.53</v>
      </c>
      <c r="I59" s="16" t="n"/>
      <c r="J59" s="17" t="n"/>
      <c r="K59" s="18" t="inlineStr">
        <is>
          <t>As published by the report; no later data</t>
        </is>
      </c>
      <c r="L59" s="18" t="inlineStr">
        <is>
          <t>—</t>
        </is>
      </c>
    </row>
    <row r="60" ht="15" customHeight="1">
      <c r="A60" s="35" t="inlineStr">
        <is>
          <t>A2 (bovine, production)</t>
        </is>
      </c>
      <c r="B60" s="20" t="inlineStr">
        <is>
          <t>Bovine meat: production (EU)</t>
        </is>
      </c>
      <c r="C60" s="20" t="inlineStr">
        <is>
          <t>Agriculture</t>
        </is>
      </c>
      <c r="D60" s="20" t="inlineStr">
        <is>
          <t>Mt</t>
        </is>
      </c>
      <c r="E60" s="21" t="n">
        <v>2020</v>
      </c>
      <c r="F60" s="22" t="n">
        <v>6.936</v>
      </c>
      <c r="G60" s="21" t="n">
        <v>2025</v>
      </c>
      <c r="H60" s="22" t="n">
        <v>6.32</v>
      </c>
      <c r="I60" s="22" t="n">
        <v>-0.6159999999999997</v>
      </c>
      <c r="J60" s="23" t="n">
        <v>-0.08881199538638979</v>
      </c>
      <c r="K60" s="24" t="inlineStr">
        <is>
          <t>Derived from the live source (year-switched formula)</t>
        </is>
      </c>
      <c r="L60" s="24" t="inlineStr">
        <is>
          <t>Reproduces from source</t>
        </is>
      </c>
    </row>
    <row r="61" ht="15" customHeight="1">
      <c r="A61" s="34" t="inlineStr">
        <is>
          <t>A2 (dairy, GHG)</t>
        </is>
      </c>
      <c r="B61" s="14" t="inlineStr">
        <is>
          <t>Dairy products: GHG emissions (EU)</t>
        </is>
      </c>
      <c r="C61" s="14" t="inlineStr">
        <is>
          <t>Agriculture</t>
        </is>
      </c>
      <c r="D61" s="14" t="inlineStr">
        <is>
          <t>Mt CO₂eq</t>
        </is>
      </c>
      <c r="E61" s="15" t="n">
        <v>2021</v>
      </c>
      <c r="F61" s="16" t="n">
        <v>97.79000000000001</v>
      </c>
      <c r="G61" s="15" t="n">
        <v>2021</v>
      </c>
      <c r="H61" s="16" t="n">
        <v>97.79000000000001</v>
      </c>
      <c r="I61" s="16" t="n"/>
      <c r="J61" s="17" t="n"/>
      <c r="K61" s="18" t="inlineStr">
        <is>
          <t>As published by the report; no later data</t>
        </is>
      </c>
      <c r="L61" s="18" t="inlineStr">
        <is>
          <t>—</t>
        </is>
      </c>
    </row>
    <row r="62" ht="15" customHeight="1">
      <c r="A62" s="35" t="inlineStr">
        <is>
          <t>A2 (dairy, intensity)</t>
        </is>
      </c>
      <c r="B62" s="20" t="inlineStr">
        <is>
          <t>Dairy products: GHG intensity (EU)</t>
        </is>
      </c>
      <c r="C62" s="20" t="inlineStr">
        <is>
          <t>Agriculture</t>
        </is>
      </c>
      <c r="D62" s="20" t="inlineStr">
        <is>
          <t>t CO₂eq/t</t>
        </is>
      </c>
      <c r="E62" s="21" t="n">
        <v>2020</v>
      </c>
      <c r="F62" s="22" t="n">
        <v>0.6049</v>
      </c>
      <c r="G62" s="21" t="n">
        <v>2020</v>
      </c>
      <c r="H62" s="22" t="n">
        <v>0.6049</v>
      </c>
      <c r="I62" s="22" t="n"/>
      <c r="J62" s="23" t="n"/>
      <c r="K62" s="24" t="inlineStr">
        <is>
          <t>As published by the report; no later data</t>
        </is>
      </c>
      <c r="L62" s="24" t="inlineStr">
        <is>
          <t>—</t>
        </is>
      </c>
    </row>
    <row r="63" ht="15" customHeight="1">
      <c r="A63" s="34" t="inlineStr">
        <is>
          <t>A2 (dairy, production)</t>
        </is>
      </c>
      <c r="B63" s="14" t="inlineStr">
        <is>
          <t>Dairy products: production (EU)</t>
        </is>
      </c>
      <c r="C63" s="14" t="inlineStr">
        <is>
          <t>Agriculture</t>
        </is>
      </c>
      <c r="D63" s="14" t="inlineStr">
        <is>
          <t>Mt</t>
        </is>
      </c>
      <c r="E63" s="15" t="n">
        <v>2020</v>
      </c>
      <c r="F63" s="16" t="n">
        <v>163.1</v>
      </c>
      <c r="G63" s="15" t="n">
        <v>2024</v>
      </c>
      <c r="H63" s="16" t="n">
        <v>164.6</v>
      </c>
      <c r="I63" s="16" t="n">
        <v>1.5</v>
      </c>
      <c r="J63" s="17" t="n">
        <v>0.009196811771919068</v>
      </c>
      <c r="K63" s="18" t="inlineStr">
        <is>
          <t>Derived from the live source (year-switched formula)</t>
        </is>
      </c>
      <c r="L63" s="18" t="inlineStr">
        <is>
          <t>Reproduces from source</t>
        </is>
      </c>
    </row>
    <row r="64" ht="15" customHeight="1">
      <c r="A64" s="35" t="inlineStr">
        <is>
          <t>A2 (pig, GHG)</t>
        </is>
      </c>
      <c r="B64" s="20" t="inlineStr">
        <is>
          <t>Pig meat: GHG emissions (EU)</t>
        </is>
      </c>
      <c r="C64" s="20" t="inlineStr">
        <is>
          <t>Agriculture</t>
        </is>
      </c>
      <c r="D64" s="20" t="inlineStr">
        <is>
          <t>Mt CO₂eq</t>
        </is>
      </c>
      <c r="E64" s="21" t="n">
        <v>2021</v>
      </c>
      <c r="F64" s="22" t="n">
        <v>28.58</v>
      </c>
      <c r="G64" s="21" t="n">
        <v>2024</v>
      </c>
      <c r="H64" s="22" t="n">
        <v>26.18</v>
      </c>
      <c r="I64" s="22" t="n">
        <v>-2.399999999999999</v>
      </c>
      <c r="J64" s="23" t="n">
        <v>-0.08397480755773264</v>
      </c>
      <c r="K64" s="24" t="inlineStr">
        <is>
          <t>Derived from the live source (year-switched formula)</t>
        </is>
      </c>
      <c r="L64" s="24" t="inlineStr">
        <is>
          <t>Reproduces from source</t>
        </is>
      </c>
    </row>
    <row r="65" ht="15" customHeight="1">
      <c r="A65" s="34" t="inlineStr">
        <is>
          <t>A2 (pig, intensity)</t>
        </is>
      </c>
      <c r="B65" s="14" t="inlineStr">
        <is>
          <t>Pig meat: GHG intensity (EU)</t>
        </is>
      </c>
      <c r="C65" s="14" t="inlineStr">
        <is>
          <t>Agriculture</t>
        </is>
      </c>
      <c r="D65" s="14" t="inlineStr">
        <is>
          <t>t CO₂eq/t</t>
        </is>
      </c>
      <c r="E65" s="15" t="n">
        <v>2020</v>
      </c>
      <c r="F65" s="16" t="n">
        <v>1.264</v>
      </c>
      <c r="G65" s="15" t="n">
        <v>2024</v>
      </c>
      <c r="H65" s="16" t="n">
        <v>1.238</v>
      </c>
      <c r="I65" s="16" t="n">
        <v>-0.02600000000000002</v>
      </c>
      <c r="J65" s="17" t="n">
        <v>-0.02056962025316458</v>
      </c>
      <c r="K65" s="18" t="inlineStr">
        <is>
          <t>Derived from the live source (year-switched formula)</t>
        </is>
      </c>
      <c r="L65" s="18" t="inlineStr">
        <is>
          <t>Reproduces from source</t>
        </is>
      </c>
    </row>
    <row r="66" ht="15" customHeight="1">
      <c r="A66" s="35" t="inlineStr">
        <is>
          <t>A2 (pig, production)</t>
        </is>
      </c>
      <c r="B66" s="20" t="inlineStr">
        <is>
          <t>Pig meat: production (EU)</t>
        </is>
      </c>
      <c r="C66" s="20" t="inlineStr">
        <is>
          <t>Agriculture</t>
        </is>
      </c>
      <c r="D66" s="20" t="inlineStr">
        <is>
          <t>Mt</t>
        </is>
      </c>
      <c r="E66" s="21" t="n">
        <v>2020</v>
      </c>
      <c r="F66" s="22" t="n">
        <v>23.22</v>
      </c>
      <c r="G66" s="21" t="n">
        <v>2025</v>
      </c>
      <c r="H66" s="22" t="n">
        <v>21.84</v>
      </c>
      <c r="I66" s="22" t="n">
        <v>-1.379999999999999</v>
      </c>
      <c r="J66" s="23" t="n">
        <v>-0.05943152454780358</v>
      </c>
      <c r="K66" s="24" t="inlineStr">
        <is>
          <t>Derived from the live source (year-switched formula)</t>
        </is>
      </c>
      <c r="L66" s="24" t="inlineStr">
        <is>
          <t>Reproduces from source</t>
        </is>
      </c>
    </row>
    <row r="67" ht="15" customHeight="1">
      <c r="A67" s="34" t="inlineStr">
        <is>
          <t>A3 (NUE)</t>
        </is>
      </c>
      <c r="B67" s="14" t="inlineStr">
        <is>
          <t>Nitrogen use efficiency in EU agriculture</t>
        </is>
      </c>
      <c r="C67" s="14" t="inlineStr">
        <is>
          <t>Agriculture</t>
        </is>
      </c>
      <c r="D67" s="14" t="inlineStr">
        <is>
          <t>%</t>
        </is>
      </c>
      <c r="E67" s="15" t="n">
        <v>2020</v>
      </c>
      <c r="F67" s="16" t="n">
        <v>49.03</v>
      </c>
      <c r="G67" s="15" t="n">
        <v>2020</v>
      </c>
      <c r="H67" s="16" t="n">
        <v>49.03</v>
      </c>
      <c r="I67" s="16" t="n"/>
      <c r="J67" s="17" t="n"/>
      <c r="K67" s="18" t="inlineStr">
        <is>
          <t>As published by the report; no later data</t>
        </is>
      </c>
      <c r="L67" s="18" t="inlineStr">
        <is>
          <t>—</t>
        </is>
      </c>
    </row>
    <row r="68" ht="15" customHeight="1">
      <c r="A68" s="35" t="inlineStr">
        <is>
          <t>A3 (use)</t>
        </is>
      </c>
      <c r="B68" s="20" t="inlineStr">
        <is>
          <t>Total fertiliser nitrogen use (EU)</t>
        </is>
      </c>
      <c r="C68" s="20" t="inlineStr">
        <is>
          <t>Agriculture</t>
        </is>
      </c>
      <c r="D68" s="20" t="inlineStr">
        <is>
          <t>Mt N</t>
        </is>
      </c>
      <c r="E68" s="21" t="n">
        <v>2021</v>
      </c>
      <c r="F68" s="22" t="n">
        <v>15.01</v>
      </c>
      <c r="G68" s="21" t="n">
        <v>2021</v>
      </c>
      <c r="H68" s="22" t="n">
        <v>15.01</v>
      </c>
      <c r="I68" s="22" t="n"/>
      <c r="J68" s="23" t="n"/>
      <c r="K68" s="24" t="inlineStr">
        <is>
          <t>As published by the report; no later data</t>
        </is>
      </c>
      <c r="L68" s="24" t="inlineStr">
        <is>
          <t>—</t>
        </is>
      </c>
    </row>
    <row r="69" ht="15" customHeight="1">
      <c r="A69" s="34" t="inlineStr">
        <is>
          <t>A4 (bovine, consumption)</t>
        </is>
      </c>
      <c r="B69" s="14" t="inlineStr">
        <is>
          <t>Bovine meat: consumption (EU)</t>
        </is>
      </c>
      <c r="C69" s="14" t="inlineStr">
        <is>
          <t>Agriculture</t>
        </is>
      </c>
      <c r="D69" s="14" t="inlineStr">
        <is>
          <t>Mt</t>
        </is>
      </c>
      <c r="E69" s="15" t="n">
        <v>2020</v>
      </c>
      <c r="F69" s="16" t="n">
        <v>6.115</v>
      </c>
      <c r="G69" s="15" t="n">
        <v>2020</v>
      </c>
      <c r="H69" s="16" t="n">
        <v>6.115</v>
      </c>
      <c r="I69" s="16" t="n"/>
      <c r="J69" s="17" t="n"/>
      <c r="K69" s="18" t="inlineStr">
        <is>
          <t>As published by the report; no later data</t>
        </is>
      </c>
      <c r="L69" s="18" t="inlineStr">
        <is>
          <t>—</t>
        </is>
      </c>
    </row>
    <row r="70" ht="15" customHeight="1">
      <c r="A70" s="35" t="inlineStr">
        <is>
          <t>A4 (bovine, herd)</t>
        </is>
      </c>
      <c r="B70" s="20" t="inlineStr">
        <is>
          <t>Bovine meat: herd size (EU)</t>
        </is>
      </c>
      <c r="C70" s="20" t="inlineStr">
        <is>
          <t>Agriculture</t>
        </is>
      </c>
      <c r="D70" s="20" t="inlineStr">
        <is>
          <t>million heads</t>
        </is>
      </c>
      <c r="E70" s="21" t="n">
        <v>2020</v>
      </c>
      <c r="F70" s="22" t="n">
        <v>60.16</v>
      </c>
      <c r="G70" s="21" t="n">
        <v>2025</v>
      </c>
      <c r="H70" s="22" t="n">
        <v>56.26</v>
      </c>
      <c r="I70" s="22" t="n">
        <v>-3.899999999999999</v>
      </c>
      <c r="J70" s="23" t="n">
        <v>-0.06482712765957445</v>
      </c>
      <c r="K70" s="24" t="inlineStr">
        <is>
          <t>Derived from the live source (year-switched formula)</t>
        </is>
      </c>
      <c r="L70" s="24" t="inlineStr">
        <is>
          <t>Reproduces from source</t>
        </is>
      </c>
    </row>
    <row r="71" ht="15" customHeight="1">
      <c r="A71" s="34" t="inlineStr">
        <is>
          <t>A4 (bovine, production)</t>
        </is>
      </c>
      <c r="B71" s="14" t="inlineStr">
        <is>
          <t>Bovine meat: production (EU)</t>
        </is>
      </c>
      <c r="C71" s="14" t="inlineStr">
        <is>
          <t>Agriculture</t>
        </is>
      </c>
      <c r="D71" s="14" t="inlineStr">
        <is>
          <t>Mt</t>
        </is>
      </c>
      <c r="E71" s="15" t="n">
        <v>2020</v>
      </c>
      <c r="F71" s="16" t="n">
        <v>6.936</v>
      </c>
      <c r="G71" s="15" t="n">
        <v>2025</v>
      </c>
      <c r="H71" s="16" t="n">
        <v>6.32</v>
      </c>
      <c r="I71" s="16" t="n">
        <v>-0.6159999999999997</v>
      </c>
      <c r="J71" s="17" t="n">
        <v>-0.08881199538638979</v>
      </c>
      <c r="K71" s="18" t="inlineStr">
        <is>
          <t>Derived from the live source (year-switched formula)</t>
        </is>
      </c>
      <c r="L71" s="18" t="inlineStr">
        <is>
          <t>Reproduces from source</t>
        </is>
      </c>
    </row>
    <row r="72" ht="15" customHeight="1">
      <c r="A72" s="35" t="inlineStr">
        <is>
          <t>A4 (dairy, consumption)</t>
        </is>
      </c>
      <c r="B72" s="20" t="inlineStr">
        <is>
          <t>Dairy products: consumption (EU)</t>
        </is>
      </c>
      <c r="C72" s="20" t="inlineStr">
        <is>
          <t>Agriculture</t>
        </is>
      </c>
      <c r="D72" s="20" t="inlineStr">
        <is>
          <t>Mt</t>
        </is>
      </c>
      <c r="E72" s="21" t="n">
        <v>2020</v>
      </c>
      <c r="F72" s="22" t="n">
        <v>86.63</v>
      </c>
      <c r="G72" s="21" t="n">
        <v>2020</v>
      </c>
      <c r="H72" s="22" t="n">
        <v>86.63</v>
      </c>
      <c r="I72" s="22" t="n"/>
      <c r="J72" s="23" t="n"/>
      <c r="K72" s="24" t="inlineStr">
        <is>
          <t>As published by the report; no later data</t>
        </is>
      </c>
      <c r="L72" s="24" t="inlineStr">
        <is>
          <t>—</t>
        </is>
      </c>
    </row>
    <row r="73" ht="15" customHeight="1">
      <c r="A73" s="34" t="inlineStr">
        <is>
          <t>A4 (dairy, herd)</t>
        </is>
      </c>
      <c r="B73" s="14" t="inlineStr">
        <is>
          <t>Dairy products: herd size (EU)</t>
        </is>
      </c>
      <c r="C73" s="14" t="inlineStr">
        <is>
          <t>Agriculture</t>
        </is>
      </c>
      <c r="D73" s="14" t="inlineStr">
        <is>
          <t>million heads</t>
        </is>
      </c>
      <c r="E73" s="15" t="n">
        <v>2020</v>
      </c>
      <c r="F73" s="16" t="n">
        <v>20.63</v>
      </c>
      <c r="G73" s="15" t="n">
        <v>2025</v>
      </c>
      <c r="H73" s="16" t="n">
        <v>19.02</v>
      </c>
      <c r="I73" s="16" t="n">
        <v>-1.609999999999999</v>
      </c>
      <c r="J73" s="17" t="n">
        <v>-0.07804168686379057</v>
      </c>
      <c r="K73" s="18" t="inlineStr">
        <is>
          <t>Derived from the live source (year-switched formula)</t>
        </is>
      </c>
      <c r="L73" s="18" t="inlineStr">
        <is>
          <t>Reproduces from source</t>
        </is>
      </c>
    </row>
    <row r="74" ht="15" customHeight="1">
      <c r="A74" s="35" t="inlineStr">
        <is>
          <t>A4 (dairy, production)</t>
        </is>
      </c>
      <c r="B74" s="20" t="inlineStr">
        <is>
          <t>Dairy products: production (EU)</t>
        </is>
      </c>
      <c r="C74" s="20" t="inlineStr">
        <is>
          <t>Agriculture</t>
        </is>
      </c>
      <c r="D74" s="20" t="inlineStr">
        <is>
          <t>Mt</t>
        </is>
      </c>
      <c r="E74" s="21" t="n">
        <v>2020</v>
      </c>
      <c r="F74" s="22" t="n">
        <v>163.1</v>
      </c>
      <c r="G74" s="21" t="n">
        <v>2024</v>
      </c>
      <c r="H74" s="22" t="n">
        <v>164.6</v>
      </c>
      <c r="I74" s="22" t="n">
        <v>1.5</v>
      </c>
      <c r="J74" s="23" t="n">
        <v>0.009196811771919068</v>
      </c>
      <c r="K74" s="24" t="inlineStr">
        <is>
          <t>Derived from the live source (year-switched formula)</t>
        </is>
      </c>
      <c r="L74" s="24" t="inlineStr">
        <is>
          <t>Reproduces from source</t>
        </is>
      </c>
    </row>
    <row r="75" ht="15" customHeight="1">
      <c r="A75" s="34" t="inlineStr">
        <is>
          <t>A4 (pig, consumption)</t>
        </is>
      </c>
      <c r="B75" s="14" t="inlineStr">
        <is>
          <t>Pig meat: consumption (EU)</t>
        </is>
      </c>
      <c r="C75" s="14" t="inlineStr">
        <is>
          <t>Agriculture</t>
        </is>
      </c>
      <c r="D75" s="14" t="inlineStr">
        <is>
          <t>Mt</t>
        </is>
      </c>
      <c r="E75" s="15" t="n">
        <v>2020</v>
      </c>
      <c r="F75" s="16" t="n">
        <v>17.46</v>
      </c>
      <c r="G75" s="15" t="n">
        <v>2020</v>
      </c>
      <c r="H75" s="16" t="n">
        <v>17.46</v>
      </c>
      <c r="I75" s="16" t="n"/>
      <c r="J75" s="17" t="n"/>
      <c r="K75" s="18" t="inlineStr">
        <is>
          <t>As published by the report; no later data</t>
        </is>
      </c>
      <c r="L75" s="18" t="inlineStr">
        <is>
          <t>—</t>
        </is>
      </c>
    </row>
    <row r="76" ht="15" customHeight="1">
      <c r="A76" s="35" t="inlineStr">
        <is>
          <t>A4 (pig, herd)</t>
        </is>
      </c>
      <c r="B76" s="20" t="inlineStr">
        <is>
          <t>Pig meat: herd size (EU)</t>
        </is>
      </c>
      <c r="C76" s="20" t="inlineStr">
        <is>
          <t>Agriculture</t>
        </is>
      </c>
      <c r="D76" s="20" t="inlineStr">
        <is>
          <t>million heads</t>
        </is>
      </c>
      <c r="E76" s="21" t="n">
        <v>2020</v>
      </c>
      <c r="F76" s="22" t="n">
        <v>140</v>
      </c>
      <c r="G76" s="21" t="n">
        <v>2025</v>
      </c>
      <c r="H76" s="22" t="n">
        <v>126.1</v>
      </c>
      <c r="I76" s="22" t="n">
        <v>-13.90000000000001</v>
      </c>
      <c r="J76" s="23" t="n">
        <v>-0.09928571428571432</v>
      </c>
      <c r="K76" s="24" t="inlineStr">
        <is>
          <t>Derived from the live source (year-switched formula)</t>
        </is>
      </c>
      <c r="L76" s="24" t="inlineStr">
        <is>
          <t>Reproduces from source</t>
        </is>
      </c>
    </row>
    <row r="77" ht="15" customHeight="1">
      <c r="A77" s="34" t="inlineStr">
        <is>
          <t>A4 (pig, production)</t>
        </is>
      </c>
      <c r="B77" s="14" t="inlineStr">
        <is>
          <t>Pig meat: production (EU)</t>
        </is>
      </c>
      <c r="C77" s="14" t="inlineStr">
        <is>
          <t>Agriculture</t>
        </is>
      </c>
      <c r="D77" s="14" t="inlineStr">
        <is>
          <t>Mt</t>
        </is>
      </c>
      <c r="E77" s="15" t="n">
        <v>2020</v>
      </c>
      <c r="F77" s="16" t="n">
        <v>23.22</v>
      </c>
      <c r="G77" s="15" t="n">
        <v>2025</v>
      </c>
      <c r="H77" s="16" t="n">
        <v>21.84</v>
      </c>
      <c r="I77" s="16" t="n">
        <v>-1.379999999999999</v>
      </c>
      <c r="J77" s="17" t="n">
        <v>-0.05943152454780358</v>
      </c>
      <c r="K77" s="18" t="inlineStr">
        <is>
          <t>Derived from the live source (year-switched formula)</t>
        </is>
      </c>
      <c r="L77" s="18" t="inlineStr">
        <is>
          <t>Reproduces from source</t>
        </is>
      </c>
    </row>
    <row r="78" ht="15" customHeight="1">
      <c r="A78" s="35" t="inlineStr">
        <is>
          <t>A5 (bovine)</t>
        </is>
      </c>
      <c r="B78" s="20" t="inlineStr">
        <is>
          <t>Average bovine meat consumption (EU)</t>
        </is>
      </c>
      <c r="C78" s="20" t="inlineStr">
        <is>
          <t>Agriculture</t>
        </is>
      </c>
      <c r="D78" s="20" t="inlineStr">
        <is>
          <t>kcal/cap/day</t>
        </is>
      </c>
      <c r="E78" s="21" t="n">
        <v>2020</v>
      </c>
      <c r="F78" s="22" t="n">
        <v>52.12</v>
      </c>
      <c r="G78" s="21" t="n">
        <v>2020</v>
      </c>
      <c r="H78" s="22" t="n">
        <v>52.12</v>
      </c>
      <c r="I78" s="22" t="n"/>
      <c r="J78" s="23" t="n"/>
      <c r="K78" s="24" t="inlineStr">
        <is>
          <t>As published by the report; no later data</t>
        </is>
      </c>
      <c r="L78" s="24" t="inlineStr">
        <is>
          <t>—</t>
        </is>
      </c>
    </row>
    <row r="79" ht="15" customHeight="1">
      <c r="A79" s="34" t="inlineStr">
        <is>
          <t>A5 (dairy)</t>
        </is>
      </c>
      <c r="B79" s="14" t="inlineStr">
        <is>
          <t>Average dairy products consumption (EU)</t>
        </is>
      </c>
      <c r="C79" s="14" t="inlineStr">
        <is>
          <t>Agriculture</t>
        </is>
      </c>
      <c r="D79" s="14" t="inlineStr">
        <is>
          <t>kcal/cap/day</t>
        </is>
      </c>
      <c r="E79" s="15" t="n">
        <v>2021</v>
      </c>
      <c r="F79" s="16" t="n">
        <v>550.4</v>
      </c>
      <c r="G79" s="15" t="n">
        <v>2021</v>
      </c>
      <c r="H79" s="16" t="n">
        <v>550.4</v>
      </c>
      <c r="I79" s="16" t="n"/>
      <c r="J79" s="17" t="n"/>
      <c r="K79" s="18" t="inlineStr">
        <is>
          <t>As published by the report; no later data</t>
        </is>
      </c>
      <c r="L79" s="18" t="inlineStr">
        <is>
          <t>—</t>
        </is>
      </c>
    </row>
    <row r="80" ht="15" customHeight="1">
      <c r="A80" s="35" t="inlineStr">
        <is>
          <t>A5 (pig)</t>
        </is>
      </c>
      <c r="B80" s="20" t="inlineStr">
        <is>
          <t>Average pig meat consumption (EU)</t>
        </is>
      </c>
      <c r="C80" s="20" t="inlineStr">
        <is>
          <t>Agriculture</t>
        </is>
      </c>
      <c r="D80" s="20" t="inlineStr">
        <is>
          <t>kcal/cap/day</t>
        </is>
      </c>
      <c r="E80" s="21" t="n">
        <v>2020</v>
      </c>
      <c r="F80" s="22" t="n">
        <v>203.8</v>
      </c>
      <c r="G80" s="21" t="n">
        <v>2020</v>
      </c>
      <c r="H80" s="22" t="n">
        <v>203.8</v>
      </c>
      <c r="I80" s="22" t="n"/>
      <c r="J80" s="23" t="n"/>
      <c r="K80" s="24" t="inlineStr">
        <is>
          <t>As published by the report; no later data</t>
        </is>
      </c>
      <c r="L80" s="24" t="inlineStr">
        <is>
          <t>—</t>
        </is>
      </c>
    </row>
    <row r="81" ht="15" customHeight="1">
      <c r="A81" s="34" t="inlineStr">
        <is>
          <t>A6</t>
        </is>
      </c>
      <c r="B81" s="14" t="inlineStr">
        <is>
          <t>Food waste per capita (EU)</t>
        </is>
      </c>
      <c r="C81" s="14" t="inlineStr">
        <is>
          <t>Agriculture</t>
        </is>
      </c>
      <c r="D81" s="14" t="inlineStr">
        <is>
          <t>kg/cap/year</t>
        </is>
      </c>
      <c r="E81" s="15" t="n">
        <v>2020</v>
      </c>
      <c r="F81" s="16" t="n">
        <v>131</v>
      </c>
      <c r="G81" s="15" t="n">
        <v>2023</v>
      </c>
      <c r="H81" s="16" t="n">
        <v>129</v>
      </c>
      <c r="I81" s="16" t="n">
        <v>-2</v>
      </c>
      <c r="J81" s="17" t="n">
        <v>-0.01526717557251908</v>
      </c>
      <c r="K81" s="18" t="inlineStr">
        <is>
          <t>Derived from the live source (year-switched formula)</t>
        </is>
      </c>
      <c r="L81" s="18" t="inlineStr">
        <is>
          <t>Reproduces from source</t>
        </is>
      </c>
    </row>
    <row r="82" ht="15" customHeight="1">
      <c r="A82" s="35" t="inlineStr">
        <is>
          <t>A7</t>
        </is>
      </c>
      <c r="B82" s="20" t="inlineStr">
        <is>
          <t>Agricultural products used as bioenergy feedstock</t>
        </is>
      </c>
      <c r="C82" s="20" t="inlineStr">
        <is>
          <t>Agriculture</t>
        </is>
      </c>
      <c r="D82" s="20" t="inlineStr">
        <is>
          <t>Mt fresh</t>
        </is>
      </c>
      <c r="E82" s="21" t="n">
        <v>2021</v>
      </c>
      <c r="F82" s="22" t="n">
        <v>23.89</v>
      </c>
      <c r="G82" s="21" t="n">
        <v>2021</v>
      </c>
      <c r="H82" s="22" t="n">
        <v>23.89</v>
      </c>
      <c r="I82" s="22" t="n"/>
      <c r="J82" s="23" t="n"/>
      <c r="K82" s="24" t="inlineStr">
        <is>
          <t>As published by the report; no later data</t>
        </is>
      </c>
      <c r="L82" s="24" t="inlineStr">
        <is>
          <t>—</t>
        </is>
      </c>
    </row>
    <row r="83" ht="15" customHeight="1">
      <c r="A83" s="36" t="inlineStr">
        <is>
          <t>L1</t>
        </is>
      </c>
      <c r="B83" s="14" t="inlineStr">
        <is>
          <t>LULUCF net GHG balance</t>
        </is>
      </c>
      <c r="C83" s="14" t="inlineStr">
        <is>
          <t>LULUCF</t>
        </is>
      </c>
      <c r="D83" s="14" t="inlineStr">
        <is>
          <t>Mt CO₂eq</t>
        </is>
      </c>
      <c r="E83" s="15" t="n">
        <v>2022</v>
      </c>
      <c r="F83" s="16" t="n">
        <v>-244</v>
      </c>
      <c r="G83" s="15" t="n">
        <v>2024</v>
      </c>
      <c r="H83" s="16" t="n">
        <v>-231</v>
      </c>
      <c r="I83" s="16" t="n">
        <v>13</v>
      </c>
      <c r="J83" s="17" t="n">
        <v>0.05327868852459016</v>
      </c>
      <c r="K83" s="18" t="inlineStr">
        <is>
          <t>Derived from the live source (year-switched formula)</t>
        </is>
      </c>
      <c r="L83" s="18" t="inlineStr">
        <is>
          <t>Reproduces from source</t>
        </is>
      </c>
    </row>
    <row r="84" ht="15" customHeight="1">
      <c r="A84" s="37" t="inlineStr">
        <is>
          <t>L2 (cropland)</t>
        </is>
      </c>
      <c r="B84" s="20" t="inlineStr">
        <is>
          <t>Cropland surface area (EU)</t>
        </is>
      </c>
      <c r="C84" s="20" t="inlineStr">
        <is>
          <t>LULUCF</t>
        </is>
      </c>
      <c r="D84" s="20" t="inlineStr">
        <is>
          <t>million ha</t>
        </is>
      </c>
      <c r="E84" s="21" t="n">
        <v>2021</v>
      </c>
      <c r="F84" s="22" t="n">
        <v>120.9</v>
      </c>
      <c r="G84" s="21" t="n">
        <v>2021</v>
      </c>
      <c r="H84" s="22" t="n">
        <v>120.9</v>
      </c>
      <c r="I84" s="22" t="n"/>
      <c r="J84" s="23" t="n"/>
      <c r="K84" s="24" t="inlineStr">
        <is>
          <t>As published by the report; no later data</t>
        </is>
      </c>
      <c r="L84" s="24" t="inlineStr">
        <is>
          <t>—</t>
        </is>
      </c>
    </row>
    <row r="85" ht="15" customHeight="1">
      <c r="A85" s="36" t="inlineStr">
        <is>
          <t>L2 (forest)</t>
        </is>
      </c>
      <c r="B85" s="14" t="inlineStr">
        <is>
          <t>Forest land surface area (EU)</t>
        </is>
      </c>
      <c r="C85" s="14" t="inlineStr">
        <is>
          <t>LULUCF</t>
        </is>
      </c>
      <c r="D85" s="14" t="inlineStr">
        <is>
          <t>million ha</t>
        </is>
      </c>
      <c r="E85" s="15" t="n">
        <v>2021</v>
      </c>
      <c r="F85" s="16" t="n">
        <v>167.7</v>
      </c>
      <c r="G85" s="15" t="n">
        <v>2021</v>
      </c>
      <c r="H85" s="16" t="n">
        <v>167.7</v>
      </c>
      <c r="I85" s="16" t="n"/>
      <c r="J85" s="17" t="n"/>
      <c r="K85" s="18" t="inlineStr">
        <is>
          <t>As published by the report; no later data</t>
        </is>
      </c>
      <c r="L85" s="18" t="inlineStr">
        <is>
          <t>—</t>
        </is>
      </c>
    </row>
    <row r="86" ht="15" customHeight="1">
      <c r="A86" s="37" t="inlineStr">
        <is>
          <t>L2 (grassland)</t>
        </is>
      </c>
      <c r="B86" s="20" t="inlineStr">
        <is>
          <t>Grassland surface area (EU)</t>
        </is>
      </c>
      <c r="C86" s="20" t="inlineStr">
        <is>
          <t>LULUCF</t>
        </is>
      </c>
      <c r="D86" s="20" t="inlineStr">
        <is>
          <t>million ha</t>
        </is>
      </c>
      <c r="E86" s="21" t="n">
        <v>2021</v>
      </c>
      <c r="F86" s="22" t="n">
        <v>73.2</v>
      </c>
      <c r="G86" s="21" t="n">
        <v>2021</v>
      </c>
      <c r="H86" s="22" t="n">
        <v>73.2</v>
      </c>
      <c r="I86" s="22" t="n"/>
      <c r="J86" s="23" t="n"/>
      <c r="K86" s="24" t="inlineStr">
        <is>
          <t>As published by the report; no later data</t>
        </is>
      </c>
      <c r="L86" s="24" t="inlineStr">
        <is>
          <t>—</t>
        </is>
      </c>
    </row>
    <row r="87" ht="15" customHeight="1">
      <c r="A87" s="36" t="inlineStr">
        <is>
          <t>L2 (other)</t>
        </is>
      </c>
      <c r="B87" s="14" t="inlineStr">
        <is>
          <t>Other surface area (EU)</t>
        </is>
      </c>
      <c r="C87" s="14" t="inlineStr">
        <is>
          <t>LULUCF</t>
        </is>
      </c>
      <c r="D87" s="14" t="inlineStr">
        <is>
          <t>million ha</t>
        </is>
      </c>
      <c r="E87" s="15" t="n">
        <v>2021</v>
      </c>
      <c r="F87" s="16" t="n">
        <v>9.657999999999999</v>
      </c>
      <c r="G87" s="15" t="n">
        <v>2021</v>
      </c>
      <c r="H87" s="16" t="n">
        <v>9.657999999999999</v>
      </c>
      <c r="I87" s="16" t="n"/>
      <c r="J87" s="17" t="n"/>
      <c r="K87" s="18" t="inlineStr">
        <is>
          <t>As published by the report; no later data</t>
        </is>
      </c>
      <c r="L87" s="18" t="inlineStr">
        <is>
          <t>—</t>
        </is>
      </c>
    </row>
    <row r="88" ht="15" customHeight="1">
      <c r="A88" s="37" t="inlineStr">
        <is>
          <t>L2 (settlements)</t>
        </is>
      </c>
      <c r="B88" s="20" t="inlineStr">
        <is>
          <t>Settlements surface area (EU)</t>
        </is>
      </c>
      <c r="C88" s="20" t="inlineStr">
        <is>
          <t>LULUCF</t>
        </is>
      </c>
      <c r="D88" s="20" t="inlineStr">
        <is>
          <t>million ha</t>
        </is>
      </c>
      <c r="E88" s="21" t="n">
        <v>2021</v>
      </c>
      <c r="F88" s="22" t="n">
        <v>28.15</v>
      </c>
      <c r="G88" s="21" t="n">
        <v>2021</v>
      </c>
      <c r="H88" s="22" t="n">
        <v>28.15</v>
      </c>
      <c r="I88" s="22" t="n"/>
      <c r="J88" s="23" t="n"/>
      <c r="K88" s="24" t="inlineStr">
        <is>
          <t>As published by the report; no later data</t>
        </is>
      </c>
      <c r="L88" s="24" t="inlineStr">
        <is>
          <t>—</t>
        </is>
      </c>
    </row>
    <row r="89" ht="15" customHeight="1">
      <c r="A89" s="36" t="inlineStr">
        <is>
          <t>L2 (wetland)</t>
        </is>
      </c>
      <c r="B89" s="14" t="inlineStr">
        <is>
          <t>Wetland surface area (EU)</t>
        </is>
      </c>
      <c r="C89" s="14" t="inlineStr">
        <is>
          <t>LULUCF</t>
        </is>
      </c>
      <c r="D89" s="14" t="inlineStr">
        <is>
          <t>million ha</t>
        </is>
      </c>
      <c r="E89" s="15" t="n">
        <v>2021</v>
      </c>
      <c r="F89" s="16" t="n">
        <v>23.87</v>
      </c>
      <c r="G89" s="15" t="n">
        <v>2021</v>
      </c>
      <c r="H89" s="16" t="n">
        <v>23.87</v>
      </c>
      <c r="I89" s="16" t="n"/>
      <c r="J89" s="17" t="n"/>
      <c r="K89" s="18" t="inlineStr">
        <is>
          <t>As published by the report; no later data</t>
        </is>
      </c>
      <c r="L89" s="18" t="inlineStr">
        <is>
          <t>—</t>
        </is>
      </c>
    </row>
    <row r="90" ht="15" customHeight="1">
      <c r="A90" s="37" t="inlineStr">
        <is>
          <t>L3</t>
        </is>
      </c>
      <c r="B90" s="20" t="inlineStr">
        <is>
          <t>Annual afforested area</t>
        </is>
      </c>
      <c r="C90" s="20" t="inlineStr">
        <is>
          <t>LULUCF</t>
        </is>
      </c>
      <c r="D90" s="20" t="inlineStr">
        <is>
          <t>thousand ha/yr</t>
        </is>
      </c>
      <c r="E90" s="21" t="n">
        <v>2021</v>
      </c>
      <c r="F90" s="22" t="n">
        <v>326.8</v>
      </c>
      <c r="G90" s="21" t="n">
        <v>2021</v>
      </c>
      <c r="H90" s="22" t="n">
        <v>326.8</v>
      </c>
      <c r="I90" s="22" t="n"/>
      <c r="J90" s="23" t="n"/>
      <c r="K90" s="24" t="inlineStr">
        <is>
          <t>As published by the report; no later data</t>
        </is>
      </c>
      <c r="L90" s="24" t="inlineStr">
        <is>
          <t>—</t>
        </is>
      </c>
    </row>
    <row r="91" ht="15" customHeight="1">
      <c r="A91" s="36" t="inlineStr">
        <is>
          <t>L4</t>
        </is>
      </c>
      <c r="B91" s="14" t="inlineStr">
        <is>
          <t>Annual deforested area</t>
        </is>
      </c>
      <c r="C91" s="14" t="inlineStr">
        <is>
          <t>LULUCF</t>
        </is>
      </c>
      <c r="D91" s="14" t="inlineStr">
        <is>
          <t>thousand ha/yr</t>
        </is>
      </c>
      <c r="E91" s="15" t="n">
        <v>2021</v>
      </c>
      <c r="F91" s="16" t="n">
        <v>-114.5</v>
      </c>
      <c r="G91" s="15" t="n">
        <v>2021</v>
      </c>
      <c r="H91" s="16" t="n">
        <v>-114.5</v>
      </c>
      <c r="I91" s="16" t="n"/>
      <c r="J91" s="17" t="n"/>
      <c r="K91" s="18" t="inlineStr">
        <is>
          <t>As published by the report; no later data</t>
        </is>
      </c>
      <c r="L91" s="18" t="inlineStr">
        <is>
          <t>—</t>
        </is>
      </c>
    </row>
    <row r="92" ht="15" customHeight="1">
      <c r="A92" s="37" t="inlineStr">
        <is>
          <t>L5</t>
        </is>
      </c>
      <c r="B92" s="20" t="inlineStr">
        <is>
          <t>Annual settlement area increase (net land take proxy)</t>
        </is>
      </c>
      <c r="C92" s="20" t="inlineStr">
        <is>
          <t>LULUCF</t>
        </is>
      </c>
      <c r="D92" s="20" t="inlineStr">
        <is>
          <t>thousand ha/yr</t>
        </is>
      </c>
      <c r="E92" s="21" t="n">
        <v>2021</v>
      </c>
      <c r="F92" s="22" t="n">
        <v>142.2</v>
      </c>
      <c r="G92" s="21" t="n">
        <v>2021</v>
      </c>
      <c r="H92" s="22" t="n">
        <v>142.2</v>
      </c>
      <c r="I92" s="22" t="n"/>
      <c r="J92" s="23" t="n"/>
      <c r="K92" s="24" t="inlineStr">
        <is>
          <t>As published by the report; no later data</t>
        </is>
      </c>
      <c r="L92" s="24" t="inlineStr">
        <is>
          <t>—</t>
        </is>
      </c>
    </row>
    <row r="93" ht="15" customHeight="1">
      <c r="A93" s="36" t="inlineStr">
        <is>
          <t>L6</t>
        </is>
      </c>
      <c r="B93" s="14" t="inlineStr">
        <is>
          <t>Forest land living-biomass carbon sink</t>
        </is>
      </c>
      <c r="C93" s="14" t="inlineStr">
        <is>
          <t>LULUCF</t>
        </is>
      </c>
      <c r="D93" s="14" t="inlineStr">
        <is>
          <t>Mt CO₂eq</t>
        </is>
      </c>
      <c r="E93" s="15" t="n">
        <v>2021</v>
      </c>
      <c r="F93" s="16" t="n">
        <v>231.8</v>
      </c>
      <c r="G93" s="15" t="n">
        <v>2024</v>
      </c>
      <c r="H93" s="16" t="n">
        <v>258.3</v>
      </c>
      <c r="I93" s="16" t="n">
        <v>26.5</v>
      </c>
      <c r="J93" s="17" t="n">
        <v>0.1143226919758412</v>
      </c>
      <c r="K93" s="18" t="inlineStr">
        <is>
          <t>Derived from the live source (year-switched formula)</t>
        </is>
      </c>
      <c r="L93" s="18" t="inlineStr">
        <is>
          <t>Reproduces from source</t>
        </is>
      </c>
    </row>
    <row r="94" ht="15" customHeight="1">
      <c r="A94" s="37" t="inlineStr">
        <is>
          <t>L7</t>
        </is>
      </c>
      <c r="B94" s="20" t="inlineStr">
        <is>
          <t>Non-forest LULUCF net GHG emissions</t>
        </is>
      </c>
      <c r="C94" s="20" t="inlineStr">
        <is>
          <t>LULUCF</t>
        </is>
      </c>
      <c r="D94" s="20" t="inlineStr">
        <is>
          <t>Mt CO₂eq</t>
        </is>
      </c>
      <c r="E94" s="21" t="n">
        <v>2021</v>
      </c>
      <c r="F94" s="22" t="n">
        <v>97.44</v>
      </c>
      <c r="G94" s="21" t="n">
        <v>2024</v>
      </c>
      <c r="H94" s="22" t="n">
        <v>123</v>
      </c>
      <c r="I94" s="22" t="n">
        <v>25.56</v>
      </c>
      <c r="J94" s="23" t="n">
        <v>0.2623152709359606</v>
      </c>
      <c r="K94" s="24" t="inlineStr">
        <is>
          <t>Derived from the live source (year-switched formula)</t>
        </is>
      </c>
      <c r="L94" s="24" t="inlineStr">
        <is>
          <t>Reproduces from source</t>
        </is>
      </c>
    </row>
    <row r="95" ht="15" customHeight="1">
      <c r="A95" s="36" t="inlineStr">
        <is>
          <t>L8</t>
        </is>
      </c>
      <c r="B95" s="14" t="inlineStr">
        <is>
          <t>Total bioenergy use (EU-27)</t>
        </is>
      </c>
      <c r="C95" s="14" t="inlineStr">
        <is>
          <t>LULUCF</t>
        </is>
      </c>
      <c r="D95" s="14" t="inlineStr">
        <is>
          <t>TWh</t>
        </is>
      </c>
      <c r="E95" s="15" t="n">
        <v>2021</v>
      </c>
      <c r="F95" s="16" t="n">
        <v>1795.7</v>
      </c>
      <c r="G95" s="15" t="n">
        <v>2024</v>
      </c>
      <c r="H95" s="16" t="n">
        <v>1663.5</v>
      </c>
      <c r="I95" s="16" t="n">
        <v>-132.2</v>
      </c>
      <c r="J95" s="17" t="n">
        <v>-0.07362031519741608</v>
      </c>
      <c r="K95" s="18" t="inlineStr">
        <is>
          <t>Derived from the live source (year-switched formula)</t>
        </is>
      </c>
      <c r="L95" s="18" t="inlineStr">
        <is>
          <t>Reproduces from source</t>
        </is>
      </c>
    </row>
    <row r="96" ht="15" customHeight="1">
      <c r="A96" s="38" t="inlineStr">
        <is>
          <t>F1</t>
        </is>
      </c>
      <c r="B96" s="20" t="inlineStr">
        <is>
          <t>EU fossil-fuel subsidies (FFST)</t>
        </is>
      </c>
      <c r="C96" s="20" t="inlineStr">
        <is>
          <t>Finance &amp; innovation</t>
        </is>
      </c>
      <c r="D96" s="20" t="inlineStr">
        <is>
          <t>billion EUR</t>
        </is>
      </c>
      <c r="E96" s="21" t="n">
        <v>2022</v>
      </c>
      <c r="F96" s="22" t="n">
        <v>122</v>
      </c>
      <c r="G96" s="21" t="n">
        <v>2023</v>
      </c>
      <c r="H96" s="22" t="n">
        <v>111</v>
      </c>
      <c r="I96" s="22" t="n">
        <v>-11</v>
      </c>
      <c r="J96" s="23" t="n">
        <v>-0.09016393442622951</v>
      </c>
      <c r="K96" s="24" t="inlineStr">
        <is>
          <t>Reconstructed through the sheet's own conversion</t>
        </is>
      </c>
      <c r="L96" s="24" t="inlineStr">
        <is>
          <t>Published figure, not re-derived</t>
        </is>
      </c>
    </row>
    <row r="97" ht="15" customHeight="1">
      <c r="A97" s="39" t="inlineStr">
        <is>
          <t>F2</t>
        </is>
      </c>
      <c r="B97" s="14" t="inlineStr">
        <is>
          <t>EU green bond issuance</t>
        </is>
      </c>
      <c r="C97" s="14" t="inlineStr">
        <is>
          <t>Finance &amp; innovation</t>
        </is>
      </c>
      <c r="D97" s="14" t="inlineStr">
        <is>
          <t>billion EUR</t>
        </is>
      </c>
      <c r="E97" s="15" t="n">
        <v>2022</v>
      </c>
      <c r="F97" s="16" t="n">
        <v>243</v>
      </c>
      <c r="G97" s="15" t="n">
        <v>2022</v>
      </c>
      <c r="H97" s="16" t="n">
        <v>243</v>
      </c>
      <c r="I97" s="16" t="n"/>
      <c r="J97" s="17" t="n"/>
      <c r="K97" s="18" t="inlineStr">
        <is>
          <t>As published by the report; no later data</t>
        </is>
      </c>
      <c r="L97" s="18" t="inlineStr">
        <is>
          <t>—</t>
        </is>
      </c>
    </row>
    <row r="98" ht="15" customHeight="1">
      <c r="A98" s="38" t="inlineStr">
        <is>
          <t>F2 (share)</t>
        </is>
      </c>
      <c r="B98" s="20" t="inlineStr">
        <is>
          <t>Green share of EU bond issuance</t>
        </is>
      </c>
      <c r="C98" s="20" t="inlineStr">
        <is>
          <t>Finance &amp; innovation</t>
        </is>
      </c>
      <c r="D98" s="20" t="inlineStr">
        <is>
          <t>%</t>
        </is>
      </c>
      <c r="E98" s="21" t="n">
        <v>2022</v>
      </c>
      <c r="F98" s="22" t="n">
        <v>6.74</v>
      </c>
      <c r="G98" s="21" t="n">
        <v>2024</v>
      </c>
      <c r="H98" s="22" t="n">
        <v>6.9</v>
      </c>
      <c r="I98" s="22" t="n">
        <v>0.1600000000000001</v>
      </c>
      <c r="J98" s="23" t="n">
        <v>0.02373887240356085</v>
      </c>
      <c r="K98" s="24" t="inlineStr">
        <is>
          <t>Reconstructed through the sheet's own conversion</t>
        </is>
      </c>
      <c r="L98" s="24" t="inlineStr">
        <is>
          <t>Published figure, not re-derived</t>
        </is>
      </c>
    </row>
    <row r="99" ht="15" customHeight="1">
      <c r="A99" s="39" t="inlineStr">
        <is>
          <t>F3</t>
        </is>
      </c>
      <c r="B99" s="14" t="inlineStr">
        <is>
          <t>EU R&amp;D expenditure (GERD)</t>
        </is>
      </c>
      <c r="C99" s="14" t="inlineStr">
        <is>
          <t>Finance &amp; innovation</t>
        </is>
      </c>
      <c r="D99" s="14" t="inlineStr">
        <is>
          <t>% of GDP</t>
        </is>
      </c>
      <c r="E99" s="15" t="n">
        <v>2022</v>
      </c>
      <c r="F99" s="16" t="n">
        <v>2.27</v>
      </c>
      <c r="G99" s="15" t="n">
        <v>2024</v>
      </c>
      <c r="H99" s="16" t="n">
        <v>2.24</v>
      </c>
      <c r="I99" s="16" t="n">
        <v>-0.0299999999999998</v>
      </c>
      <c r="J99" s="17" t="n">
        <v>-0.01321585903083692</v>
      </c>
      <c r="K99" s="18" t="inlineStr">
        <is>
          <t>Derived from the live source (year-switched formula)</t>
        </is>
      </c>
      <c r="L99" s="18" t="inlineStr">
        <is>
          <t>Reproduces from source</t>
        </is>
      </c>
    </row>
    <row r="100" ht="15" customHeight="1">
      <c r="A100" s="38" t="inlineStr">
        <is>
          <t>F4</t>
        </is>
      </c>
      <c r="B100" s="20" t="inlineStr">
        <is>
          <t>Climate-related share of EU patent filings</t>
        </is>
      </c>
      <c r="C100" s="20" t="inlineStr">
        <is>
          <t>Finance &amp; innovation</t>
        </is>
      </c>
      <c r="D100" s="20" t="inlineStr">
        <is>
          <t>%</t>
        </is>
      </c>
      <c r="E100" s="21" t="n">
        <v>2019</v>
      </c>
      <c r="F100" s="22" t="n">
        <v>11.94</v>
      </c>
      <c r="G100" s="21" t="n">
        <v>2019</v>
      </c>
      <c r="H100" s="22" t="n">
        <v>11.94</v>
      </c>
      <c r="I100" s="22" t="n"/>
      <c r="J100" s="23" t="n"/>
      <c r="K100" s="24" t="inlineStr">
        <is>
          <t>As published by the report; no later data</t>
        </is>
      </c>
      <c r="L100" s="24" t="inlineStr">
        <is>
          <t>—</t>
        </is>
      </c>
    </row>
    <row r="101" ht="15" customHeight="1">
      <c r="A101" s="39" t="inlineStr">
        <is>
          <t>F5</t>
        </is>
      </c>
      <c r="B101" s="14" t="inlineStr">
        <is>
          <t>Cleantech venture &amp; growth investment in the EU</t>
        </is>
      </c>
      <c r="C101" s="14" t="inlineStr">
        <is>
          <t>Finance &amp; innovation</t>
        </is>
      </c>
      <c r="D101" s="14" t="inlineStr">
        <is>
          <t>% of GDP</t>
        </is>
      </c>
      <c r="E101" s="15" t="n">
        <v>2022</v>
      </c>
      <c r="F101" s="16" t="n">
        <v>0.06</v>
      </c>
      <c r="G101" s="15" t="n">
        <v>2025</v>
      </c>
      <c r="H101" s="16" t="n">
        <v>0.04</v>
      </c>
      <c r="I101" s="16" t="n">
        <v>-0.02</v>
      </c>
      <c r="J101" s="17" t="n">
        <v>-0.3333333333333333</v>
      </c>
      <c r="K101" s="18" t="inlineStr">
        <is>
          <t>Reconstructed through the sheet's own conversion</t>
        </is>
      </c>
      <c r="L101" s="18" t="inlineStr">
        <is>
          <t>Published figure, not re-derived</t>
        </is>
      </c>
    </row>
  </sheetData>
  <autoFilter ref="A4:L101"/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D7E83"/>
    <outlinePr summaryBelow="1" summaryRight="1"/>
    <pageSetUpPr/>
  </sheetPr>
  <dimension ref="A1:AR1211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</cols>
  <sheetData>
    <row r="1" ht="26" customHeight="1">
      <c r="A1" s="1" t="inlineStr">
        <is>
          <t>The arithmetic behind every figure</t>
        </is>
      </c>
    </row>
    <row r="2" ht="30" customHeight="1">
      <c r="A2" s="2" t="inlineStr">
        <is>
          <t>One block per indicator: Year, Value, then the inputs the value is built from. The Value cells are live Excel formulas over the cells to their right — click one to see it, edit an input and it recomputes. These are the Method Hub's own formulas, produced by the same translator the Hub uses to export a calc grid, so the sheet and the Hub agree by construction.</t>
        </is>
      </c>
    </row>
    <row r="4">
      <c r="A4" s="40" t="inlineStr">
        <is>
          <t>O1 · Total EU GHG emissions (European Climate Law scope)  (Mt CO₂eq)</t>
        </is>
      </c>
    </row>
    <row r="5" ht="24" customHeight="1">
      <c r="A5" s="3" t="inlineStr">
        <is>
          <t>Derivation:  Value = IF(A &gt;= 2023, ROUND(([env_air_gge TOTXMEMO] + [env_air_gge CRF1D1A] + [env_air_gge CRF1D1B]), 1), ([International aviation]+[Energy supply]+[Industry]+[Transport]+[Buildings and agriculture energy]+[Agriculture (non-energy)]+[LULUCF]+[Waste and other sectors])+[International maritime]*(0.6374552000704592))</t>
        </is>
      </c>
    </row>
    <row r="6" ht="42" customHeight="1">
      <c r="A6" s="41" t="inlineStr">
        <is>
          <t>Year</t>
        </is>
      </c>
      <c r="B6" s="41" t="inlineStr">
        <is>
          <t>Value</t>
        </is>
      </c>
      <c r="C6" s="41" t="inlineStr">
        <is>
          <t>International aviation</t>
        </is>
      </c>
      <c r="D6" s="41" t="inlineStr">
        <is>
          <t>Energy supply</t>
        </is>
      </c>
      <c r="E6" s="41" t="inlineStr">
        <is>
          <t>Industry</t>
        </is>
      </c>
      <c r="F6" s="41" t="inlineStr">
        <is>
          <t>Transport</t>
        </is>
      </c>
      <c r="G6" s="41" t="inlineStr">
        <is>
          <t>Buildings and agriculture energy</t>
        </is>
      </c>
      <c r="H6" s="41" t="inlineStr">
        <is>
          <t>Agriculture (non-energy)</t>
        </is>
      </c>
      <c r="I6" s="41" t="inlineStr">
        <is>
          <t>LULUCF</t>
        </is>
      </c>
      <c r="J6" s="41" t="inlineStr">
        <is>
          <t>Waste and other sectors</t>
        </is>
      </c>
      <c r="K6" s="41" t="inlineStr">
        <is>
          <t>International maritime</t>
        </is>
      </c>
      <c r="L6" s="41" t="inlineStr">
        <is>
          <t>1.D.1.a - International Aviation</t>
        </is>
      </c>
      <c r="M6" s="41" t="inlineStr">
        <is>
          <t>1.A.1 - Energy Industries</t>
        </is>
      </c>
      <c r="N6" s="41" t="inlineStr">
        <is>
          <t>1.B - Fugitive Emissions from Fuels</t>
        </is>
      </c>
      <c r="O6" s="41" t="inlineStr">
        <is>
          <t>1.A.2 - Manufacturing Industries and Construction</t>
        </is>
      </c>
      <c r="P6" s="41" t="inlineStr">
        <is>
          <t>2 - Industrial Processes and Product Use</t>
        </is>
      </c>
      <c r="Q6" s="41" t="inlineStr">
        <is>
          <t>1.A.3 - Transport</t>
        </is>
      </c>
      <c r="R6" s="41" t="inlineStr">
        <is>
          <t>1.A.4 - Other Sectors</t>
        </is>
      </c>
      <c r="S6" s="41" t="inlineStr">
        <is>
          <t>3 - Agriculture</t>
        </is>
      </c>
      <c r="T6" s="41" t="inlineStr">
        <is>
          <t>4 - Land Use, Land-Use Change and Forestry</t>
        </is>
      </c>
      <c r="U6" s="41" t="inlineStr">
        <is>
          <t>Total net emissions (UNFCCC)</t>
        </is>
      </c>
      <c r="V6" s="41" t="inlineStr">
        <is>
          <t>1.D.1.b - International Navigation</t>
        </is>
      </c>
      <c r="W6" s="41" t="inlineStr">
        <is>
          <t>env_air_gge TOTXMEMO</t>
        </is>
      </c>
      <c r="X6" s="41" t="inlineStr">
        <is>
          <t>env_air_gge CRF1D1A</t>
        </is>
      </c>
      <c r="Y6" s="41" t="inlineStr">
        <is>
          <t>env_air_gge CRF1D1B</t>
        </is>
      </c>
    </row>
    <row r="7" ht="14" customHeight="1">
      <c r="A7" s="15" t="n">
        <v>2005</v>
      </c>
      <c r="B7" s="42">
        <f>IF((A7&gt;=2023),ROUND(((W7+X7)+Y7),1),((((((((C7+D7)+E7)+F7)+G7)+H7)+I7)+J7)+(K7*0.6374552000704592)))</f>
        <v/>
      </c>
      <c r="C7" s="43">
        <f>(L7/1000)</f>
        <v/>
      </c>
      <c r="D7" s="43">
        <f>((M7+N7)/1000)</f>
        <v/>
      </c>
      <c r="E7" s="43">
        <f>((O7+P7)/1000)</f>
        <v/>
      </c>
      <c r="F7" s="43">
        <f>(Q7/1000)</f>
        <v/>
      </c>
      <c r="G7" s="43">
        <f>(R7/1000)</f>
        <v/>
      </c>
      <c r="H7" s="43">
        <f>(S7/1000)</f>
        <v/>
      </c>
      <c r="I7" s="43">
        <f>(T7/1000)</f>
        <v/>
      </c>
      <c r="J7" s="43">
        <f>(((((((U7/1000)-I7)-H7)-G7)-F7)-E7)-D7)</f>
        <v/>
      </c>
      <c r="K7" s="43">
        <f>(V7/1000)</f>
        <v/>
      </c>
      <c r="L7" s="43" t="n">
        <v>96093.5467867558</v>
      </c>
      <c r="M7" s="43" t="n">
        <v>1383791.909747243</v>
      </c>
      <c r="N7" s="43" t="n">
        <v>105438.9538356649</v>
      </c>
      <c r="O7" s="43" t="n">
        <v>556523.7994334318</v>
      </c>
      <c r="P7" s="43" t="n">
        <v>424749.957324306</v>
      </c>
      <c r="Q7" s="43" t="n">
        <v>847385.8950621939</v>
      </c>
      <c r="R7" s="43" t="n">
        <v>665039.2409976354</v>
      </c>
      <c r="S7" s="43" t="n">
        <v>389223.9381124297</v>
      </c>
      <c r="T7" s="43" t="n">
        <v>-342109.4761312911</v>
      </c>
      <c r="U7" s="43" t="n">
        <v>4199772.422216571</v>
      </c>
      <c r="V7" s="43" t="n">
        <v>153718.2167242595</v>
      </c>
      <c r="W7" s="43" t="n"/>
      <c r="X7" s="43" t="n"/>
      <c r="Y7" s="43" t="n"/>
    </row>
    <row r="8" ht="14" customHeight="1">
      <c r="A8" s="21" t="n">
        <v>2006</v>
      </c>
      <c r="B8" s="44">
        <f>IF((A8&gt;=2023),ROUND(((W8+X8)+Y8),1),((((((((C8+D8)+E8)+F8)+G8)+H8)+I8)+J8)+(K8*0.6374552000704592)))</f>
        <v/>
      </c>
      <c r="C8" s="45">
        <f>(L8/1000)</f>
        <v/>
      </c>
      <c r="D8" s="45">
        <f>((M8+N8)/1000)</f>
        <v/>
      </c>
      <c r="E8" s="45">
        <f>((O8+P8)/1000)</f>
        <v/>
      </c>
      <c r="F8" s="45">
        <f>(Q8/1000)</f>
        <v/>
      </c>
      <c r="G8" s="45">
        <f>(R8/1000)</f>
        <v/>
      </c>
      <c r="H8" s="45">
        <f>(S8/1000)</f>
        <v/>
      </c>
      <c r="I8" s="45">
        <f>(T8/1000)</f>
        <v/>
      </c>
      <c r="J8" s="45">
        <f>(((((((U8/1000)-I8)-H8)-G8)-F8)-E8)-D8)</f>
        <v/>
      </c>
      <c r="K8" s="45">
        <f>(V8/1000)</f>
        <v/>
      </c>
      <c r="L8" s="45" t="n">
        <v>101161.5316416803</v>
      </c>
      <c r="M8" s="45" t="n">
        <v>1391298.067482591</v>
      </c>
      <c r="N8" s="45" t="n">
        <v>102854.448388843</v>
      </c>
      <c r="O8" s="45" t="n">
        <v>546025.3443937633</v>
      </c>
      <c r="P8" s="45" t="n">
        <v>427761.119956169</v>
      </c>
      <c r="Q8" s="45" t="n">
        <v>855493.5985864113</v>
      </c>
      <c r="R8" s="45" t="n">
        <v>663447.8326795688</v>
      </c>
      <c r="S8" s="45" t="n">
        <v>386079.7416515591</v>
      </c>
      <c r="T8" s="45" t="n">
        <v>-351296.38360007</v>
      </c>
      <c r="U8" s="45" t="n">
        <v>4186742.650344439</v>
      </c>
      <c r="V8" s="45" t="n">
        <v>164515.5386288674</v>
      </c>
      <c r="W8" s="45" t="n"/>
      <c r="X8" s="45" t="n"/>
      <c r="Y8" s="45" t="n"/>
    </row>
    <row r="9" ht="14" customHeight="1">
      <c r="A9" s="15" t="n">
        <v>2007</v>
      </c>
      <c r="B9" s="42">
        <f>IF((A9&gt;=2023),ROUND(((W9+X9)+Y9),1),((((((((C9+D9)+E9)+F9)+G9)+H9)+I9)+J9)+(K9*0.6374552000704592)))</f>
        <v/>
      </c>
      <c r="C9" s="43">
        <f>(L9/1000)</f>
        <v/>
      </c>
      <c r="D9" s="43">
        <f>((M9+N9)/1000)</f>
        <v/>
      </c>
      <c r="E9" s="43">
        <f>((O9+P9)/1000)</f>
        <v/>
      </c>
      <c r="F9" s="43">
        <f>(Q9/1000)</f>
        <v/>
      </c>
      <c r="G9" s="43">
        <f>(R9/1000)</f>
        <v/>
      </c>
      <c r="H9" s="43">
        <f>(S9/1000)</f>
        <v/>
      </c>
      <c r="I9" s="43">
        <f>(T9/1000)</f>
        <v/>
      </c>
      <c r="J9" s="43">
        <f>(((((((U9/1000)-I9)-H9)-G9)-F9)-E9)-D9)</f>
        <v/>
      </c>
      <c r="K9" s="43">
        <f>(V9/1000)</f>
        <v/>
      </c>
      <c r="L9" s="43" t="n">
        <v>105830.0665252898</v>
      </c>
      <c r="M9" s="43" t="n">
        <v>1405513.649998837</v>
      </c>
      <c r="N9" s="43" t="n">
        <v>98154.80970217913</v>
      </c>
      <c r="O9" s="43" t="n">
        <v>558821.7373136887</v>
      </c>
      <c r="P9" s="43" t="n">
        <v>436796.397234523</v>
      </c>
      <c r="Q9" s="43" t="n">
        <v>863987.3624702656</v>
      </c>
      <c r="R9" s="43" t="n">
        <v>589494.6612543917</v>
      </c>
      <c r="S9" s="43" t="n">
        <v>389077.2087221159</v>
      </c>
      <c r="T9" s="43" t="n">
        <v>-300617.2864973615</v>
      </c>
      <c r="U9" s="43" t="n">
        <v>4202150.3650721</v>
      </c>
      <c r="V9" s="43" t="n">
        <v>171662.0376391525</v>
      </c>
      <c r="W9" s="43" t="n"/>
      <c r="X9" s="43" t="n"/>
      <c r="Y9" s="43" t="n"/>
    </row>
    <row r="10" ht="14" customHeight="1">
      <c r="A10" s="21" t="n">
        <v>2008</v>
      </c>
      <c r="B10" s="44">
        <f>IF((A10&gt;=2023),ROUND(((W10+X10)+Y10),1),((((((((C10+D10)+E10)+F10)+G10)+H10)+I10)+J10)+(K10*0.6374552000704592)))</f>
        <v/>
      </c>
      <c r="C10" s="45">
        <f>(L10/1000)</f>
        <v/>
      </c>
      <c r="D10" s="45">
        <f>((M10+N10)/1000)</f>
        <v/>
      </c>
      <c r="E10" s="45">
        <f>((O10+P10)/1000)</f>
        <v/>
      </c>
      <c r="F10" s="45">
        <f>(Q10/1000)</f>
        <v/>
      </c>
      <c r="G10" s="45">
        <f>(R10/1000)</f>
        <v/>
      </c>
      <c r="H10" s="45">
        <f>(S10/1000)</f>
        <v/>
      </c>
      <c r="I10" s="45">
        <f>(T10/1000)</f>
        <v/>
      </c>
      <c r="J10" s="45">
        <f>(((((((U10/1000)-I10)-H10)-G10)-F10)-E10)-D10)</f>
        <v/>
      </c>
      <c r="K10" s="45">
        <f>(V10/1000)</f>
        <v/>
      </c>
      <c r="L10" s="45" t="n">
        <v>107394.2293441508</v>
      </c>
      <c r="M10" s="45" t="n">
        <v>1336603.937452088</v>
      </c>
      <c r="N10" s="45" t="n">
        <v>96639.65675954637</v>
      </c>
      <c r="O10" s="45" t="n">
        <v>539298.5581894323</v>
      </c>
      <c r="P10" s="45" t="n">
        <v>413039.8886742173</v>
      </c>
      <c r="Q10" s="45" t="n">
        <v>844924.2604683492</v>
      </c>
      <c r="R10" s="45" t="n">
        <v>635070.0212689056</v>
      </c>
      <c r="S10" s="45" t="n">
        <v>386575.0098164768</v>
      </c>
      <c r="T10" s="45" t="n">
        <v>-344262.7716834369</v>
      </c>
      <c r="U10" s="45" t="n">
        <v>4064149.484070258</v>
      </c>
      <c r="V10" s="45" t="n">
        <v>169489.7568514196</v>
      </c>
      <c r="W10" s="45" t="n"/>
      <c r="X10" s="45" t="n"/>
      <c r="Y10" s="45" t="n"/>
    </row>
    <row r="11" ht="14" customHeight="1">
      <c r="A11" s="15" t="n">
        <v>2009</v>
      </c>
      <c r="B11" s="42">
        <f>IF((A11&gt;=2023),ROUND(((W11+X11)+Y11),1),((((((((C11+D11)+E11)+F11)+G11)+H11)+I11)+J11)+(K11*0.6374552000704592)))</f>
        <v/>
      </c>
      <c r="C11" s="43">
        <f>(L11/1000)</f>
        <v/>
      </c>
      <c r="D11" s="43">
        <f>((M11+N11)/1000)</f>
        <v/>
      </c>
      <c r="E11" s="43">
        <f>((O11+P11)/1000)</f>
        <v/>
      </c>
      <c r="F11" s="43">
        <f>(Q11/1000)</f>
        <v/>
      </c>
      <c r="G11" s="43">
        <f>(R11/1000)</f>
        <v/>
      </c>
      <c r="H11" s="43">
        <f>(S11/1000)</f>
        <v/>
      </c>
      <c r="I11" s="43">
        <f>(T11/1000)</f>
        <v/>
      </c>
      <c r="J11" s="43">
        <f>(((((((U11/1000)-I11)-H11)-G11)-F11)-E11)-D11)</f>
        <v/>
      </c>
      <c r="K11" s="43">
        <f>(V11/1000)</f>
        <v/>
      </c>
      <c r="L11" s="43" t="n">
        <v>98727.74136248264</v>
      </c>
      <c r="M11" s="43" t="n">
        <v>1235822.217675003</v>
      </c>
      <c r="N11" s="43" t="n">
        <v>89395.84095457353</v>
      </c>
      <c r="O11" s="43" t="n">
        <v>447681.1654271635</v>
      </c>
      <c r="P11" s="43" t="n">
        <v>341747.1408288951</v>
      </c>
      <c r="Q11" s="43" t="n">
        <v>823123.0306433681</v>
      </c>
      <c r="R11" s="43" t="n">
        <v>621387.0525601142</v>
      </c>
      <c r="S11" s="43" t="n">
        <v>381540.6542629341</v>
      </c>
      <c r="T11" s="43" t="n">
        <v>-347022.328623644</v>
      </c>
      <c r="U11" s="43" t="n">
        <v>3745936.961124457</v>
      </c>
      <c r="V11" s="43" t="n">
        <v>150692.1471136669</v>
      </c>
      <c r="W11" s="43" t="n"/>
      <c r="X11" s="43" t="n"/>
      <c r="Y11" s="43" t="n"/>
    </row>
    <row r="12" ht="14" customHeight="1">
      <c r="A12" s="21" t="n">
        <v>2010</v>
      </c>
      <c r="B12" s="44">
        <f>IF((A12&gt;=2023),ROUND(((W12+X12)+Y12),1),((((((((C12+D12)+E12)+F12)+G12)+H12)+I12)+J12)+(K12*0.6374552000704592)))</f>
        <v/>
      </c>
      <c r="C12" s="45">
        <f>(L12/1000)</f>
        <v/>
      </c>
      <c r="D12" s="45">
        <f>((M12+N12)/1000)</f>
        <v/>
      </c>
      <c r="E12" s="45">
        <f>((O12+P12)/1000)</f>
        <v/>
      </c>
      <c r="F12" s="45">
        <f>(Q12/1000)</f>
        <v/>
      </c>
      <c r="G12" s="45">
        <f>(R12/1000)</f>
        <v/>
      </c>
      <c r="H12" s="45">
        <f>(S12/1000)</f>
        <v/>
      </c>
      <c r="I12" s="45">
        <f>(T12/1000)</f>
        <v/>
      </c>
      <c r="J12" s="45">
        <f>(((((((U12/1000)-I12)-H12)-G12)-F12)-E12)-D12)</f>
        <v/>
      </c>
      <c r="K12" s="45">
        <f>(V12/1000)</f>
        <v/>
      </c>
      <c r="L12" s="45" t="n">
        <v>100367.703168101</v>
      </c>
      <c r="M12" s="45" t="n">
        <v>1254197.964069834</v>
      </c>
      <c r="N12" s="45" t="n">
        <v>88942.11788421345</v>
      </c>
      <c r="O12" s="45" t="n">
        <v>480724.9666168753</v>
      </c>
      <c r="P12" s="45" t="n">
        <v>358089.4760762021</v>
      </c>
      <c r="Q12" s="45" t="n">
        <v>817639.3284119875</v>
      </c>
      <c r="R12" s="45" t="n">
        <v>656091.4267227739</v>
      </c>
      <c r="S12" s="45" t="n">
        <v>376261.832016038</v>
      </c>
      <c r="T12" s="45" t="n">
        <v>-352590.1909498173</v>
      </c>
      <c r="U12" s="45" t="n">
        <v>3828151.481732043</v>
      </c>
      <c r="V12" s="45" t="n">
        <v>151616.5388100612</v>
      </c>
      <c r="W12" s="45" t="n"/>
      <c r="X12" s="45" t="n"/>
      <c r="Y12" s="45" t="n"/>
    </row>
    <row r="13" ht="14" customHeight="1">
      <c r="A13" s="15" t="n">
        <v>2011</v>
      </c>
      <c r="B13" s="42">
        <f>IF((A13&gt;=2023),ROUND(((W13+X13)+Y13),1),((((((((C13+D13)+E13)+F13)+G13)+H13)+I13)+J13)+(K13*0.6374552000704592)))</f>
        <v/>
      </c>
      <c r="C13" s="43">
        <f>(L13/1000)</f>
        <v/>
      </c>
      <c r="D13" s="43">
        <f>((M13+N13)/1000)</f>
        <v/>
      </c>
      <c r="E13" s="43">
        <f>((O13+P13)/1000)</f>
        <v/>
      </c>
      <c r="F13" s="43">
        <f>(Q13/1000)</f>
        <v/>
      </c>
      <c r="G13" s="43">
        <f>(R13/1000)</f>
        <v/>
      </c>
      <c r="H13" s="43">
        <f>(S13/1000)</f>
        <v/>
      </c>
      <c r="I13" s="43">
        <f>(T13/1000)</f>
        <v/>
      </c>
      <c r="J13" s="43">
        <f>(((((((U13/1000)-I13)-H13)-G13)-F13)-E13)-D13)</f>
        <v/>
      </c>
      <c r="K13" s="43">
        <f>(V13/1000)</f>
        <v/>
      </c>
      <c r="L13" s="43" t="n">
        <v>102837.0641991336</v>
      </c>
      <c r="M13" s="43" t="n">
        <v>1245598.75636121</v>
      </c>
      <c r="N13" s="43" t="n">
        <v>88256.71798617767</v>
      </c>
      <c r="O13" s="43" t="n">
        <v>468688.8421073754</v>
      </c>
      <c r="P13" s="43" t="n">
        <v>357464.6123107264</v>
      </c>
      <c r="Q13" s="43" t="n">
        <v>808240.4255515237</v>
      </c>
      <c r="R13" s="43" t="n">
        <v>581491.159158799</v>
      </c>
      <c r="S13" s="43" t="n">
        <v>375710.6857101015</v>
      </c>
      <c r="T13" s="43" t="n">
        <v>-347273.8004383777</v>
      </c>
      <c r="U13" s="43" t="n">
        <v>3722592.33532732</v>
      </c>
      <c r="V13" s="43" t="n">
        <v>150438.6922295953</v>
      </c>
      <c r="W13" s="43" t="n"/>
      <c r="X13" s="43" t="n"/>
      <c r="Y13" s="43" t="n"/>
    </row>
    <row r="14" ht="14" customHeight="1">
      <c r="A14" s="21" t="n">
        <v>2012</v>
      </c>
      <c r="B14" s="44">
        <f>IF((A14&gt;=2023),ROUND(((W14+X14)+Y14),1),((((((((C14+D14)+E14)+F14)+G14)+H14)+I14)+J14)+(K14*0.6374552000704592)))</f>
        <v/>
      </c>
      <c r="C14" s="45">
        <f>(L14/1000)</f>
        <v/>
      </c>
      <c r="D14" s="45">
        <f>((M14+N14)/1000)</f>
        <v/>
      </c>
      <c r="E14" s="45">
        <f>((O14+P14)/1000)</f>
        <v/>
      </c>
      <c r="F14" s="45">
        <f>(Q14/1000)</f>
        <v/>
      </c>
      <c r="G14" s="45">
        <f>(R14/1000)</f>
        <v/>
      </c>
      <c r="H14" s="45">
        <f>(S14/1000)</f>
        <v/>
      </c>
      <c r="I14" s="45">
        <f>(T14/1000)</f>
        <v/>
      </c>
      <c r="J14" s="45">
        <f>(((((((U14/1000)-I14)-H14)-G14)-F14)-E14)-D14)</f>
        <v/>
      </c>
      <c r="K14" s="45">
        <f>(V14/1000)</f>
        <v/>
      </c>
      <c r="L14" s="45" t="n">
        <v>101711.2712350216</v>
      </c>
      <c r="M14" s="45" t="n">
        <v>1228497.283589192</v>
      </c>
      <c r="N14" s="45" t="n">
        <v>87382.27090351634</v>
      </c>
      <c r="O14" s="45" t="n">
        <v>450892.5625642318</v>
      </c>
      <c r="P14" s="45" t="n">
        <v>344777.8719775737</v>
      </c>
      <c r="Q14" s="45" t="n">
        <v>778706.749671909</v>
      </c>
      <c r="R14" s="45" t="n">
        <v>589570.9624305605</v>
      </c>
      <c r="S14" s="45" t="n">
        <v>375535.1288160273</v>
      </c>
      <c r="T14" s="45" t="n">
        <v>-342633.5989882683</v>
      </c>
      <c r="U14" s="45" t="n">
        <v>3652676.458347446</v>
      </c>
      <c r="V14" s="45" t="n">
        <v>140076.7945914176</v>
      </c>
      <c r="W14" s="45" t="n"/>
      <c r="X14" s="45" t="n"/>
      <c r="Y14" s="45" t="n"/>
    </row>
    <row r="15" ht="14" customHeight="1">
      <c r="A15" s="15" t="n">
        <v>2013</v>
      </c>
      <c r="B15" s="42">
        <f>IF((A15&gt;=2023),ROUND(((W15+X15)+Y15),1),((((((((C15+D15)+E15)+F15)+G15)+H15)+I15)+J15)+(K15*0.6374552000704592)))</f>
        <v/>
      </c>
      <c r="C15" s="43">
        <f>(L15/1000)</f>
        <v/>
      </c>
      <c r="D15" s="43">
        <f>((M15+N15)/1000)</f>
        <v/>
      </c>
      <c r="E15" s="43">
        <f>((O15+P15)/1000)</f>
        <v/>
      </c>
      <c r="F15" s="43">
        <f>(Q15/1000)</f>
        <v/>
      </c>
      <c r="G15" s="43">
        <f>(R15/1000)</f>
        <v/>
      </c>
      <c r="H15" s="43">
        <f>(S15/1000)</f>
        <v/>
      </c>
      <c r="I15" s="43">
        <f>(T15/1000)</f>
        <v/>
      </c>
      <c r="J15" s="43">
        <f>(((((((U15/1000)-I15)-H15)-G15)-F15)-E15)-D15)</f>
        <v/>
      </c>
      <c r="K15" s="43">
        <f>(V15/1000)</f>
        <v/>
      </c>
      <c r="L15" s="43" t="n">
        <v>102661.527717858</v>
      </c>
      <c r="M15" s="43" t="n">
        <v>1167766.627856105</v>
      </c>
      <c r="N15" s="43" t="n">
        <v>86244.80117624416</v>
      </c>
      <c r="O15" s="43" t="n">
        <v>432830.4669897874</v>
      </c>
      <c r="P15" s="43" t="n">
        <v>342701.8740429208</v>
      </c>
      <c r="Q15" s="43" t="n">
        <v>772714.0098053934</v>
      </c>
      <c r="R15" s="43" t="n">
        <v>593898.5478671879</v>
      </c>
      <c r="S15" s="43" t="n">
        <v>377711.0600038942</v>
      </c>
      <c r="T15" s="43" t="n">
        <v>-342604.9051712324</v>
      </c>
      <c r="U15" s="43" t="n">
        <v>3565971.851813179</v>
      </c>
      <c r="V15" s="43" t="n">
        <v>132216.8364301119</v>
      </c>
      <c r="W15" s="43" t="n"/>
      <c r="X15" s="43" t="n"/>
      <c r="Y15" s="43" t="n"/>
    </row>
    <row r="16" ht="14" customHeight="1">
      <c r="A16" s="21" t="n">
        <v>2014</v>
      </c>
      <c r="B16" s="44">
        <f>IF((A16&gt;=2023),ROUND(((W16+X16)+Y16),1),((((((((C16+D16)+E16)+F16)+G16)+H16)+I16)+J16)+(K16*0.6374552000704592)))</f>
        <v/>
      </c>
      <c r="C16" s="45">
        <f>(L16/1000)</f>
        <v/>
      </c>
      <c r="D16" s="45">
        <f>((M16+N16)/1000)</f>
        <v/>
      </c>
      <c r="E16" s="45">
        <f>((O16+P16)/1000)</f>
        <v/>
      </c>
      <c r="F16" s="45">
        <f>(Q16/1000)</f>
        <v/>
      </c>
      <c r="G16" s="45">
        <f>(R16/1000)</f>
        <v/>
      </c>
      <c r="H16" s="45">
        <f>(S16/1000)</f>
        <v/>
      </c>
      <c r="I16" s="45">
        <f>(T16/1000)</f>
        <v/>
      </c>
      <c r="J16" s="45">
        <f>(((((((U16/1000)-I16)-H16)-G16)-F16)-E16)-D16)</f>
        <v/>
      </c>
      <c r="K16" s="45">
        <f>(V16/1000)</f>
        <v/>
      </c>
      <c r="L16" s="45" t="n">
        <v>104670.2515866599</v>
      </c>
      <c r="M16" s="45" t="n">
        <v>1106411.952567341</v>
      </c>
      <c r="N16" s="45" t="n">
        <v>83315.75412458043</v>
      </c>
      <c r="O16" s="45" t="n">
        <v>419987.1953761611</v>
      </c>
      <c r="P16" s="45" t="n">
        <v>349178.2009048872</v>
      </c>
      <c r="Q16" s="45" t="n">
        <v>778078.2800394794</v>
      </c>
      <c r="R16" s="45" t="n">
        <v>517774.6481601744</v>
      </c>
      <c r="S16" s="45" t="n">
        <v>382763.2323365848</v>
      </c>
      <c r="T16" s="45" t="n">
        <v>-327802.7208805995</v>
      </c>
      <c r="U16" s="45" t="n">
        <v>3439936.605301883</v>
      </c>
      <c r="V16" s="45" t="n">
        <v>128504.2723115443</v>
      </c>
      <c r="W16" s="45" t="n"/>
      <c r="X16" s="45" t="n"/>
      <c r="Y16" s="45" t="n"/>
    </row>
    <row r="17" ht="14" customHeight="1">
      <c r="A17" s="15" t="n">
        <v>2015</v>
      </c>
      <c r="B17" s="42">
        <f>IF((A17&gt;=2023),ROUND(((W17+X17)+Y17),1),((((((((C17+D17)+E17)+F17)+G17)+H17)+I17)+J17)+(K17*0.6374552000704592)))</f>
        <v/>
      </c>
      <c r="C17" s="43">
        <f>(L17/1000)</f>
        <v/>
      </c>
      <c r="D17" s="43">
        <f>((M17+N17)/1000)</f>
        <v/>
      </c>
      <c r="E17" s="43">
        <f>((O17+P17)/1000)</f>
        <v/>
      </c>
      <c r="F17" s="43">
        <f>(Q17/1000)</f>
        <v/>
      </c>
      <c r="G17" s="43">
        <f>(R17/1000)</f>
        <v/>
      </c>
      <c r="H17" s="43">
        <f>(S17/1000)</f>
        <v/>
      </c>
      <c r="I17" s="43">
        <f>(T17/1000)</f>
        <v/>
      </c>
      <c r="J17" s="43">
        <f>(((((((U17/1000)-I17)-H17)-G17)-F17)-E17)-D17)</f>
        <v/>
      </c>
      <c r="K17" s="43">
        <f>(V17/1000)</f>
        <v/>
      </c>
      <c r="L17" s="43" t="n">
        <v>108530.225575632</v>
      </c>
      <c r="M17" s="43" t="n">
        <v>1113952.039429784</v>
      </c>
      <c r="N17" s="43" t="n">
        <v>82722.17581126672</v>
      </c>
      <c r="O17" s="43" t="n">
        <v>428994.7046756293</v>
      </c>
      <c r="P17" s="43" t="n">
        <v>339854.3406348636</v>
      </c>
      <c r="Q17" s="43" t="n">
        <v>793239.5374683889</v>
      </c>
      <c r="R17" s="43" t="n">
        <v>541000.8190923381</v>
      </c>
      <c r="S17" s="43" t="n">
        <v>384280.2404336713</v>
      </c>
      <c r="T17" s="43" t="n">
        <v>-322423.8390120481</v>
      </c>
      <c r="U17" s="43" t="n">
        <v>3489991.78684447</v>
      </c>
      <c r="V17" s="43" t="n">
        <v>129161.6247826884</v>
      </c>
      <c r="W17" s="43" t="n"/>
      <c r="X17" s="43" t="n"/>
      <c r="Y17" s="43" t="n"/>
    </row>
    <row r="18" ht="14" customHeight="1">
      <c r="A18" s="21" t="n">
        <v>2016</v>
      </c>
      <c r="B18" s="44">
        <f>IF((A18&gt;=2023),ROUND(((W18+X18)+Y18),1),((((((((C18+D18)+E18)+F18)+G18)+H18)+I18)+J18)+(K18*0.6374552000704592)))</f>
        <v/>
      </c>
      <c r="C18" s="45">
        <f>(L18/1000)</f>
        <v/>
      </c>
      <c r="D18" s="45">
        <f>((M18+N18)/1000)</f>
        <v/>
      </c>
      <c r="E18" s="45">
        <f>((O18+P18)/1000)</f>
        <v/>
      </c>
      <c r="F18" s="45">
        <f>(Q18/1000)</f>
        <v/>
      </c>
      <c r="G18" s="45">
        <f>(R18/1000)</f>
        <v/>
      </c>
      <c r="H18" s="45">
        <f>(S18/1000)</f>
        <v/>
      </c>
      <c r="I18" s="45">
        <f>(T18/1000)</f>
        <v/>
      </c>
      <c r="J18" s="45">
        <f>(((((((U18/1000)-I18)-H18)-G18)-F18)-E18)-D18)</f>
        <v/>
      </c>
      <c r="K18" s="45">
        <f>(V18/1000)</f>
        <v/>
      </c>
      <c r="L18" s="45" t="n">
        <v>115073.9625731744</v>
      </c>
      <c r="M18" s="45" t="n">
        <v>1089116.588723411</v>
      </c>
      <c r="N18" s="45" t="n">
        <v>79398.29508330715</v>
      </c>
      <c r="O18" s="45" t="n">
        <v>434138.4673306638</v>
      </c>
      <c r="P18" s="45" t="n">
        <v>342081.2033069766</v>
      </c>
      <c r="Q18" s="45" t="n">
        <v>810749.1666258904</v>
      </c>
      <c r="R18" s="45" t="n">
        <v>547734.6214553677</v>
      </c>
      <c r="S18" s="45" t="n">
        <v>386350.863086234</v>
      </c>
      <c r="T18" s="45" t="n">
        <v>-318486.5248315362</v>
      </c>
      <c r="U18" s="45" t="n">
        <v>3496207.047471587</v>
      </c>
      <c r="V18" s="45" t="n">
        <v>132878.7115343804</v>
      </c>
      <c r="W18" s="45" t="n"/>
      <c r="X18" s="45" t="n"/>
      <c r="Y18" s="45" t="n"/>
    </row>
    <row r="19" ht="14" customHeight="1">
      <c r="A19" s="15" t="n">
        <v>2017</v>
      </c>
      <c r="B19" s="42">
        <f>IF((A19&gt;=2023),ROUND(((W19+X19)+Y19),1),((((((((C19+D19)+E19)+F19)+G19)+H19)+I19)+J19)+(K19*0.6374552000704592)))</f>
        <v/>
      </c>
      <c r="C19" s="43">
        <f>(L19/1000)</f>
        <v/>
      </c>
      <c r="D19" s="43">
        <f>((M19+N19)/1000)</f>
        <v/>
      </c>
      <c r="E19" s="43">
        <f>((O19+P19)/1000)</f>
        <v/>
      </c>
      <c r="F19" s="43">
        <f>(Q19/1000)</f>
        <v/>
      </c>
      <c r="G19" s="43">
        <f>(R19/1000)</f>
        <v/>
      </c>
      <c r="H19" s="43">
        <f>(S19/1000)</f>
        <v/>
      </c>
      <c r="I19" s="43">
        <f>(T19/1000)</f>
        <v/>
      </c>
      <c r="J19" s="43">
        <f>(((((((U19/1000)-I19)-H19)-G19)-F19)-E19)-D19)</f>
        <v/>
      </c>
      <c r="K19" s="43">
        <f>(V19/1000)</f>
        <v/>
      </c>
      <c r="L19" s="43" t="n">
        <v>124162.2531613785</v>
      </c>
      <c r="M19" s="43" t="n">
        <v>1083340.062104683</v>
      </c>
      <c r="N19" s="43" t="n">
        <v>78797.86218157514</v>
      </c>
      <c r="O19" s="43" t="n">
        <v>441345.5467568766</v>
      </c>
      <c r="P19" s="43" t="n">
        <v>349690.552885406</v>
      </c>
      <c r="Q19" s="43" t="n">
        <v>824980.6709826406</v>
      </c>
      <c r="R19" s="43" t="n">
        <v>545728.3094760611</v>
      </c>
      <c r="S19" s="43" t="n">
        <v>388162.7465621477</v>
      </c>
      <c r="T19" s="43" t="n">
        <v>-249795.8911803428</v>
      </c>
      <c r="U19" s="43" t="n">
        <v>3586270.555416179</v>
      </c>
      <c r="V19" s="43" t="n">
        <v>134673.0537708645</v>
      </c>
      <c r="W19" s="43" t="n"/>
      <c r="X19" s="43" t="n"/>
      <c r="Y19" s="43" t="n"/>
    </row>
    <row r="20" ht="14" customHeight="1">
      <c r="A20" s="21" t="n">
        <v>2018</v>
      </c>
      <c r="B20" s="44">
        <f>IF((A20&gt;=2023),ROUND(((W20+X20)+Y20),1),((((((((C20+D20)+E20)+F20)+G20)+H20)+I20)+J20)+(K20*0.6374552000704592)))</f>
        <v/>
      </c>
      <c r="C20" s="45">
        <f>(L20/1000)</f>
        <v/>
      </c>
      <c r="D20" s="45">
        <f>((M20+N20)/1000)</f>
        <v/>
      </c>
      <c r="E20" s="45">
        <f>((O20+P20)/1000)</f>
        <v/>
      </c>
      <c r="F20" s="45">
        <f>(Q20/1000)</f>
        <v/>
      </c>
      <c r="G20" s="45">
        <f>(R20/1000)</f>
        <v/>
      </c>
      <c r="H20" s="45">
        <f>(S20/1000)</f>
        <v/>
      </c>
      <c r="I20" s="45">
        <f>(T20/1000)</f>
        <v/>
      </c>
      <c r="J20" s="45">
        <f>(((((((U20/1000)-I20)-H20)-G20)-F20)-E20)-D20)</f>
        <v/>
      </c>
      <c r="K20" s="45">
        <f>(V20/1000)</f>
        <v/>
      </c>
      <c r="L20" s="45" t="n">
        <v>130358.3122343503</v>
      </c>
      <c r="M20" s="45" t="n">
        <v>1023654.369042464</v>
      </c>
      <c r="N20" s="45" t="n">
        <v>75127.80479899461</v>
      </c>
      <c r="O20" s="45" t="n">
        <v>442369.9182363944</v>
      </c>
      <c r="P20" s="45" t="n">
        <v>342906.689601974</v>
      </c>
      <c r="Q20" s="45" t="n">
        <v>826483.0160983559</v>
      </c>
      <c r="R20" s="45" t="n">
        <v>532932.2957141745</v>
      </c>
      <c r="S20" s="45" t="n">
        <v>385144.0777511664</v>
      </c>
      <c r="T20" s="45" t="n">
        <v>-257789.0407210758</v>
      </c>
      <c r="U20" s="45" t="n">
        <v>3492981.769437353</v>
      </c>
      <c r="V20" s="45" t="n">
        <v>137835.7627343526</v>
      </c>
      <c r="W20" s="45" t="n"/>
      <c r="X20" s="45" t="n"/>
      <c r="Y20" s="45" t="n"/>
    </row>
    <row r="21" ht="14" customHeight="1">
      <c r="A21" s="15" t="n">
        <v>2019</v>
      </c>
      <c r="B21" s="42">
        <f>IF((A21&gt;=2023),ROUND(((W21+X21)+Y21),1),((((((((C21+D21)+E21)+F21)+G21)+H21)+I21)+J21)+(K21*0.6374552000704592)))</f>
        <v/>
      </c>
      <c r="C21" s="43">
        <f>(L21/1000)</f>
        <v/>
      </c>
      <c r="D21" s="43">
        <f>((M21+N21)/1000)</f>
        <v/>
      </c>
      <c r="E21" s="43">
        <f>((O21+P21)/1000)</f>
        <v/>
      </c>
      <c r="F21" s="43">
        <f>(Q21/1000)</f>
        <v/>
      </c>
      <c r="G21" s="43">
        <f>(R21/1000)</f>
        <v/>
      </c>
      <c r="H21" s="43">
        <f>(S21/1000)</f>
        <v/>
      </c>
      <c r="I21" s="43">
        <f>(T21/1000)</f>
        <v/>
      </c>
      <c r="J21" s="43">
        <f>(((((((U21/1000)-I21)-H21)-G21)-F21)-E21)-D21)</f>
        <v/>
      </c>
      <c r="K21" s="43">
        <f>(V21/1000)</f>
        <v/>
      </c>
      <c r="L21" s="43" t="n">
        <v>132976.6899599499</v>
      </c>
      <c r="M21" s="43" t="n">
        <v>905334.0532878421</v>
      </c>
      <c r="N21" s="43" t="n">
        <v>68470.86858615991</v>
      </c>
      <c r="O21" s="43" t="n">
        <v>428579.8953015269</v>
      </c>
      <c r="P21" s="43" t="n">
        <v>331548.2341144778</v>
      </c>
      <c r="Q21" s="43" t="n">
        <v>832732.9627801805</v>
      </c>
      <c r="R21" s="43" t="n">
        <v>522823.0782422734</v>
      </c>
      <c r="S21" s="43" t="n">
        <v>380247.9630183178</v>
      </c>
      <c r="T21" s="43" t="n">
        <v>-247317.6236412184</v>
      </c>
      <c r="U21" s="43" t="n">
        <v>3343976.001711879</v>
      </c>
      <c r="V21" s="43" t="n">
        <v>136597.1927971829</v>
      </c>
      <c r="W21" s="43" t="n"/>
      <c r="X21" s="43" t="n"/>
      <c r="Y21" s="43" t="n"/>
    </row>
    <row r="22" ht="14" customHeight="1">
      <c r="A22" s="21" t="n">
        <v>2020</v>
      </c>
      <c r="B22" s="44">
        <f>IF((A22&gt;=2023),ROUND(((W22+X22)+Y22),1),((((((((C22+D22)+E22)+F22)+G22)+H22)+I22)+J22)+(K22*0.6374552000704592)))</f>
        <v/>
      </c>
      <c r="C22" s="45">
        <f>(L22/1000)</f>
        <v/>
      </c>
      <c r="D22" s="45">
        <f>((M22+N22)/1000)</f>
        <v/>
      </c>
      <c r="E22" s="45">
        <f>((O22+P22)/1000)</f>
        <v/>
      </c>
      <c r="F22" s="45">
        <f>(Q22/1000)</f>
        <v/>
      </c>
      <c r="G22" s="45">
        <f>(R22/1000)</f>
        <v/>
      </c>
      <c r="H22" s="45">
        <f>(S22/1000)</f>
        <v/>
      </c>
      <c r="I22" s="45">
        <f>(T22/1000)</f>
        <v/>
      </c>
      <c r="J22" s="45">
        <f>(((((((U22/1000)-I22)-H22)-G22)-F22)-E22)-D22)</f>
        <v/>
      </c>
      <c r="K22" s="45">
        <f>(V22/1000)</f>
        <v/>
      </c>
      <c r="L22" s="45" t="n">
        <v>56110.15386994078</v>
      </c>
      <c r="M22" s="45" t="n">
        <v>778122.0885059792</v>
      </c>
      <c r="N22" s="45" t="n">
        <v>63396.09017103456</v>
      </c>
      <c r="O22" s="45" t="n">
        <v>412771.8756989454</v>
      </c>
      <c r="P22" s="45" t="n">
        <v>306828.453320871</v>
      </c>
      <c r="Q22" s="45" t="n">
        <v>720181.5179737462</v>
      </c>
      <c r="R22" s="45" t="n">
        <v>519713.6736162479</v>
      </c>
      <c r="S22" s="45" t="n">
        <v>381956.8334369566</v>
      </c>
      <c r="T22" s="45" t="n">
        <v>-241038.0579270464</v>
      </c>
      <c r="U22" s="45" t="n">
        <v>3062562.485365232</v>
      </c>
      <c r="V22" s="45" t="n">
        <v>121030.6700531797</v>
      </c>
      <c r="W22" s="45" t="n"/>
      <c r="X22" s="45" t="n"/>
      <c r="Y22" s="45" t="n"/>
    </row>
    <row r="23" ht="14" customHeight="1">
      <c r="A23" s="15" t="n">
        <v>2021</v>
      </c>
      <c r="B23" s="42">
        <f>IF((A23&gt;=2023),ROUND(((W23+X23)+Y23),1),((((((((C23+D23)+E23)+F23)+G23)+H23)+I23)+J23)+(K23*0.6374552000704592)))</f>
        <v/>
      </c>
      <c r="C23" s="43">
        <f>(L23/1000)</f>
        <v/>
      </c>
      <c r="D23" s="43">
        <f>((M23+N23)/1000)</f>
        <v/>
      </c>
      <c r="E23" s="43">
        <f>((O23+P23)/1000)</f>
        <v/>
      </c>
      <c r="F23" s="43">
        <f>(Q23/1000)</f>
        <v/>
      </c>
      <c r="G23" s="43">
        <f>(R23/1000)</f>
        <v/>
      </c>
      <c r="H23" s="43">
        <f>(S23/1000)</f>
        <v/>
      </c>
      <c r="I23" s="43">
        <f>(T23/1000)</f>
        <v/>
      </c>
      <c r="J23" s="43">
        <f>(((((((U23/1000)-I23)-H23)-G23)-F23)-E23)-D23)</f>
        <v/>
      </c>
      <c r="K23" s="43">
        <f>(V23/1000)</f>
        <v/>
      </c>
      <c r="L23" s="43" t="n">
        <v>69754.33288629929</v>
      </c>
      <c r="M23" s="43" t="n">
        <v>840446.6098716129</v>
      </c>
      <c r="N23" s="43" t="n">
        <v>61178.10452410704</v>
      </c>
      <c r="O23" s="43" t="n">
        <v>439540.132456479</v>
      </c>
      <c r="P23" s="43" t="n">
        <v>317933.961339561</v>
      </c>
      <c r="Q23" s="43" t="n">
        <v>782100.6927128381</v>
      </c>
      <c r="R23" s="43" t="n">
        <v>532533.8870926787</v>
      </c>
      <c r="S23" s="43" t="n">
        <v>378430.4732188581</v>
      </c>
      <c r="T23" s="43" t="n">
        <v>-229984.6664172722</v>
      </c>
      <c r="U23" s="43" t="n">
        <v>3241715.645399727</v>
      </c>
      <c r="V23" s="43" t="n">
        <v>129086.0910553474</v>
      </c>
      <c r="W23" s="43" t="n"/>
      <c r="X23" s="43" t="n"/>
      <c r="Y23" s="43" t="n"/>
    </row>
    <row r="24" ht="14" customHeight="1">
      <c r="A24" s="21" t="n">
        <v>2022</v>
      </c>
      <c r="B24" s="44">
        <f>IF((A24&gt;=2023),ROUND(((W24+X24)+Y24),1),((((((((C24+D24)+E24)+F24)+G24)+H24)+I24)+J24)+(K24*0.6374552000704592)))</f>
        <v/>
      </c>
      <c r="C24" s="45">
        <f>(L24/1000)</f>
        <v/>
      </c>
      <c r="D24" s="45">
        <f>((M24+N24)/1000)</f>
        <v/>
      </c>
      <c r="E24" s="45">
        <f>((O24+P24)/1000)</f>
        <v/>
      </c>
      <c r="F24" s="45">
        <f>(Q24/1000)</f>
        <v/>
      </c>
      <c r="G24" s="45">
        <f>(R24/1000)</f>
        <v/>
      </c>
      <c r="H24" s="45">
        <f>(S24/1000)</f>
        <v/>
      </c>
      <c r="I24" s="45">
        <f>(T24/1000)</f>
        <v/>
      </c>
      <c r="J24" s="45">
        <f>(((((((U24/1000)-I24)-H24)-G24)-F24)-E24)-D24)</f>
        <v/>
      </c>
      <c r="K24" s="45">
        <f>(V24/1000)</f>
        <v/>
      </c>
      <c r="L24" s="45" t="n">
        <v>103282.33849</v>
      </c>
      <c r="M24" s="45" t="n">
        <v>863591.50089</v>
      </c>
      <c r="N24" s="45" t="n">
        <v>60742.65651</v>
      </c>
      <c r="O24" s="45" t="n">
        <v>398202.32207</v>
      </c>
      <c r="P24" s="45" t="n">
        <v>293126.49118</v>
      </c>
      <c r="Q24" s="45" t="n">
        <v>803300.64018</v>
      </c>
      <c r="R24" s="45" t="n">
        <v>481832.07029</v>
      </c>
      <c r="S24" s="45" t="n">
        <v>370649.49145</v>
      </c>
      <c r="T24" s="45" t="n">
        <v>-243767.28937</v>
      </c>
      <c r="U24" s="45" t="n">
        <v>3142824.65786</v>
      </c>
      <c r="V24" s="45" t="n">
        <v>137742.68167</v>
      </c>
      <c r="W24" s="45" t="n"/>
      <c r="X24" s="45" t="n"/>
      <c r="Y24" s="45" t="n"/>
    </row>
    <row r="25" ht="14" customHeight="1">
      <c r="A25" s="15" t="n">
        <v>2023</v>
      </c>
      <c r="B25" s="42">
        <f>IF((A25&gt;=2023),ROUND(((W25+X25)+Y25),1),((((((((C25+D25)+E25)+F25)+G25)+H25)+I25)+J25)+(K25*0.6374552000704592)))</f>
        <v/>
      </c>
      <c r="C25" s="43">
        <f>(L25/1000)</f>
        <v/>
      </c>
      <c r="D25" s="43">
        <f>((M25+N25)/1000)</f>
        <v/>
      </c>
      <c r="E25" s="43">
        <f>((O25+P25)/1000)</f>
        <v/>
      </c>
      <c r="F25" s="43">
        <f>(Q25/1000)</f>
        <v/>
      </c>
      <c r="G25" s="43">
        <f>(R25/1000)</f>
        <v/>
      </c>
      <c r="H25" s="43">
        <f>(S25/1000)</f>
        <v/>
      </c>
      <c r="I25" s="43">
        <f>(T25/1000)</f>
        <v/>
      </c>
      <c r="J25" s="43">
        <f>(((((((U25/1000)-I25)-H25)-G25)-F25)-E25)-D25)</f>
        <v/>
      </c>
      <c r="K25" s="43">
        <f>(V25/1000)</f>
        <v/>
      </c>
      <c r="L25" s="43" t="n"/>
      <c r="M25" s="43" t="n"/>
      <c r="N25" s="43" t="n"/>
      <c r="O25" s="43" t="n"/>
      <c r="P25" s="43" t="n"/>
      <c r="Q25" s="43" t="n"/>
      <c r="R25" s="43" t="n"/>
      <c r="S25" s="43" t="n"/>
      <c r="T25" s="43" t="n"/>
      <c r="U25" s="43" t="n"/>
      <c r="V25" s="43" t="n"/>
      <c r="W25" s="43" t="n">
        <v>2872.83169</v>
      </c>
      <c r="X25" s="43" t="n">
        <v>122.75595</v>
      </c>
      <c r="Y25" s="43" t="n">
        <v>122.38565</v>
      </c>
    </row>
    <row r="26" ht="14" customHeight="1">
      <c r="A26" s="21" t="n">
        <v>2024</v>
      </c>
      <c r="B26" s="44">
        <f>IF((A26&gt;=2023),ROUND(((W26+X26)+Y26),1),((((((((C26+D26)+E26)+F26)+G26)+H26)+I26)+J26)+(K26*0.6374552000704592)))</f>
        <v/>
      </c>
      <c r="C26" s="45">
        <f>(L26/1000)</f>
        <v/>
      </c>
      <c r="D26" s="45">
        <f>((M26+N26)/1000)</f>
        <v/>
      </c>
      <c r="E26" s="45">
        <f>((O26+P26)/1000)</f>
        <v/>
      </c>
      <c r="F26" s="45">
        <f>(Q26/1000)</f>
        <v/>
      </c>
      <c r="G26" s="45">
        <f>(R26/1000)</f>
        <v/>
      </c>
      <c r="H26" s="45">
        <f>(S26/1000)</f>
        <v/>
      </c>
      <c r="I26" s="45">
        <f>(T26/1000)</f>
        <v/>
      </c>
      <c r="J26" s="45">
        <f>(((((((U26/1000)-I26)-H26)-G26)-F26)-E26)-D26)</f>
        <v/>
      </c>
      <c r="K26" s="45">
        <f>(V26/1000)</f>
        <v/>
      </c>
      <c r="L26" s="45" t="n"/>
      <c r="M26" s="45" t="n"/>
      <c r="N26" s="45" t="n"/>
      <c r="O26" s="45" t="n"/>
      <c r="P26" s="45" t="n"/>
      <c r="Q26" s="45" t="n"/>
      <c r="R26" s="45" t="n"/>
      <c r="S26" s="45" t="n"/>
      <c r="T26" s="45" t="n"/>
      <c r="U26" s="45" t="n"/>
      <c r="V26" s="45" t="n"/>
      <c r="W26" s="45" t="n">
        <v>2786.20281</v>
      </c>
      <c r="X26" s="45" t="n">
        <v>129.98166</v>
      </c>
      <c r="Y26" s="45" t="n">
        <v>127.02067</v>
      </c>
    </row>
    <row r="29">
      <c r="A29" s="46" t="inlineStr">
        <is>
          <t>E1 · Energy supply GHG emissions  (Mt CO₂eq)</t>
        </is>
      </c>
    </row>
    <row r="30" ht="24" customHeight="1">
      <c r="A30" s="3" t="inlineStr">
        <is>
          <t>Derivation:  Value = IF(A &gt;= 2023, ROUND(([env_air_gge CRF1A1] + [env_air_gge CRF1B]), 1), ([Power and heat]+[Petroleum refineries]+[Other (mining, gas transport, …)]+[Fugitive emissions]+[Total (reported, no breakdown)]))</t>
        </is>
      </c>
    </row>
    <row r="31" ht="42" customHeight="1">
      <c r="A31" s="41" t="inlineStr">
        <is>
          <t>Year</t>
        </is>
      </c>
      <c r="B31" s="41" t="inlineStr">
        <is>
          <t>Value</t>
        </is>
      </c>
      <c r="C31" s="41" t="inlineStr">
        <is>
          <t>Power and heat</t>
        </is>
      </c>
      <c r="D31" s="41" t="inlineStr">
        <is>
          <t>Petroleum refineries</t>
        </is>
      </c>
      <c r="E31" s="41" t="inlineStr">
        <is>
          <t>Other (mining, gas transport, …)</t>
        </is>
      </c>
      <c r="F31" s="41" t="inlineStr">
        <is>
          <t>Fugitive emissions</t>
        </is>
      </c>
      <c r="G31" s="41" t="inlineStr">
        <is>
          <t>Total (reported, no breakdown)</t>
        </is>
      </c>
      <c r="H31" s="41" t="inlineStr">
        <is>
          <t>env_air_gge CRF1A1</t>
        </is>
      </c>
      <c r="I31" s="41" t="inlineStr">
        <is>
          <t>env_air_gge CRF1B</t>
        </is>
      </c>
    </row>
    <row r="32" ht="14" customHeight="1">
      <c r="A32" s="15" t="n">
        <v>2005</v>
      </c>
      <c r="B32" s="42">
        <f>IF((A32&gt;=2023),ROUND((H32+I32),1),((((C32+D32)+E32)+F32)+G32))</f>
        <v/>
      </c>
      <c r="C32" s="43" t="n">
        <v>1196.758245846026</v>
      </c>
      <c r="D32" s="43" t="n">
        <v>123.9870596101241</v>
      </c>
      <c r="E32" s="43" t="n">
        <v>63.04660429109262</v>
      </c>
      <c r="F32" s="43" t="n">
        <v>105.4389538</v>
      </c>
      <c r="G32" s="43" t="n">
        <v>0</v>
      </c>
      <c r="H32" s="43" t="n"/>
      <c r="I32" s="43" t="n"/>
    </row>
    <row r="33" ht="14" customHeight="1">
      <c r="A33" s="21" t="n">
        <v>2006</v>
      </c>
      <c r="B33" s="44">
        <f>IF((A33&gt;=2023),ROUND((H33+I33),1),((((C33+D33)+E33)+F33)+G33))</f>
        <v/>
      </c>
      <c r="C33" s="45" t="n">
        <v>1202.287158688667</v>
      </c>
      <c r="D33" s="45" t="n">
        <v>124.1365710393262</v>
      </c>
      <c r="E33" s="45" t="n">
        <v>64.87433775459844</v>
      </c>
      <c r="F33" s="45" t="n">
        <v>102.8544484</v>
      </c>
      <c r="G33" s="45" t="n">
        <v>0</v>
      </c>
      <c r="H33" s="45" t="n"/>
      <c r="I33" s="45" t="n"/>
    </row>
    <row r="34" ht="14" customHeight="1">
      <c r="A34" s="15" t="n">
        <v>2007</v>
      </c>
      <c r="B34" s="42">
        <f>IF((A34&gt;=2023),ROUND((H34+I34),1),((((C34+D34)+E34)+F34)+G34))</f>
        <v/>
      </c>
      <c r="C34" s="43" t="n">
        <v>1217.033778045102</v>
      </c>
      <c r="D34" s="43" t="n">
        <v>126.0325001798641</v>
      </c>
      <c r="E34" s="43" t="n">
        <v>62.44737177387138</v>
      </c>
      <c r="F34" s="43" t="n">
        <v>98.1548097</v>
      </c>
      <c r="G34" s="43" t="n">
        <v>0</v>
      </c>
      <c r="H34" s="43" t="n"/>
      <c r="I34" s="43" t="n"/>
    </row>
    <row r="35" ht="14" customHeight="1">
      <c r="A35" s="21" t="n">
        <v>2008</v>
      </c>
      <c r="B35" s="44">
        <f>IF((A35&gt;=2023),ROUND((H35+I35),1),((((C35+D35)+E35)+F35)+G35))</f>
        <v/>
      </c>
      <c r="C35" s="45" t="n">
        <v>1154.090287704243</v>
      </c>
      <c r="D35" s="45" t="n">
        <v>123.850140695121</v>
      </c>
      <c r="E35" s="45" t="n">
        <v>58.66350905272446</v>
      </c>
      <c r="F35" s="45" t="n">
        <v>96.63965675999999</v>
      </c>
      <c r="G35" s="45" t="n">
        <v>0</v>
      </c>
      <c r="H35" s="45" t="n"/>
      <c r="I35" s="45" t="n"/>
    </row>
    <row r="36" ht="14" customHeight="1">
      <c r="A36" s="15" t="n">
        <v>2009</v>
      </c>
      <c r="B36" s="42">
        <f>IF((A36&gt;=2023),ROUND((H36+I36),1),((((C36+D36)+E36)+F36)+G36))</f>
        <v/>
      </c>
      <c r="C36" s="43" t="n">
        <v>1071.723628773908</v>
      </c>
      <c r="D36" s="43" t="n">
        <v>116.4991543655994</v>
      </c>
      <c r="E36" s="43" t="n">
        <v>47.5994345354952</v>
      </c>
      <c r="F36" s="43" t="n">
        <v>89.39584094999999</v>
      </c>
      <c r="G36" s="43" t="n">
        <v>0</v>
      </c>
      <c r="H36" s="43" t="n"/>
      <c r="I36" s="43" t="n"/>
    </row>
    <row r="37" ht="14" customHeight="1">
      <c r="A37" s="21" t="n">
        <v>2010</v>
      </c>
      <c r="B37" s="44">
        <f>IF((A37&gt;=2023),ROUND((H37+I37),1),((((C37+D37)+E37)+F37)+G37))</f>
        <v/>
      </c>
      <c r="C37" s="45" t="n">
        <v>1083.159785618806</v>
      </c>
      <c r="D37" s="45" t="n">
        <v>115.7643596914695</v>
      </c>
      <c r="E37" s="45" t="n">
        <v>55.27381875955815</v>
      </c>
      <c r="F37" s="45" t="n">
        <v>88.94211788000001</v>
      </c>
      <c r="G37" s="45" t="n">
        <v>0</v>
      </c>
      <c r="H37" s="45" t="n"/>
      <c r="I37" s="45" t="n"/>
    </row>
    <row r="38" ht="14" customHeight="1">
      <c r="A38" s="15" t="n">
        <v>2011</v>
      </c>
      <c r="B38" s="42">
        <f>IF((A38&gt;=2023),ROUND((H38+I38),1),((((C38+D38)+E38)+F38)+G38))</f>
        <v/>
      </c>
      <c r="C38" s="43" t="n">
        <v>1078.116924470295</v>
      </c>
      <c r="D38" s="43" t="n">
        <v>113.0561118340927</v>
      </c>
      <c r="E38" s="43" t="n">
        <v>54.42572005682139</v>
      </c>
      <c r="F38" s="43" t="n">
        <v>88.25671799</v>
      </c>
      <c r="G38" s="43" t="n">
        <v>0</v>
      </c>
      <c r="H38" s="43" t="n"/>
      <c r="I38" s="43" t="n"/>
    </row>
    <row r="39" ht="14" customHeight="1">
      <c r="A39" s="21" t="n">
        <v>2012</v>
      </c>
      <c r="B39" s="44">
        <f>IF((A39&gt;=2023),ROUND((H39+I39),1),((((C39+D39)+E39)+F39)+G39))</f>
        <v/>
      </c>
      <c r="C39" s="45" t="n">
        <v>1073.885467423855</v>
      </c>
      <c r="D39" s="45" t="n">
        <v>109.9061579609855</v>
      </c>
      <c r="E39" s="45" t="n">
        <v>44.70565820435123</v>
      </c>
      <c r="F39" s="45" t="n">
        <v>87.38227090000001</v>
      </c>
      <c r="G39" s="45" t="n">
        <v>0</v>
      </c>
      <c r="H39" s="45" t="n"/>
      <c r="I39" s="45" t="n"/>
    </row>
    <row r="40" ht="14" customHeight="1">
      <c r="A40" s="15" t="n">
        <v>2013</v>
      </c>
      <c r="B40" s="42">
        <f>IF((A40&gt;=2023),ROUND((H40+I40),1),((((C40+D40)+E40)+F40)+G40))</f>
        <v/>
      </c>
      <c r="C40" s="43" t="n">
        <v>1017.828197834809</v>
      </c>
      <c r="D40" s="43" t="n">
        <v>107.8915398301622</v>
      </c>
      <c r="E40" s="43" t="n">
        <v>42.0468901911337</v>
      </c>
      <c r="F40" s="43" t="n">
        <v>86.24480118</v>
      </c>
      <c r="G40" s="43" t="n">
        <v>0</v>
      </c>
      <c r="H40" s="43" t="n"/>
      <c r="I40" s="43" t="n"/>
    </row>
    <row r="41" ht="14" customHeight="1">
      <c r="A41" s="21" t="n">
        <v>2014</v>
      </c>
      <c r="B41" s="44">
        <f>IF((A41&gt;=2023),ROUND((H41+I41),1),((((C41+D41)+E41)+F41)+G41))</f>
        <v/>
      </c>
      <c r="C41" s="45" t="n">
        <v>959.9153430101976</v>
      </c>
      <c r="D41" s="45" t="n">
        <v>104.8373214979622</v>
      </c>
      <c r="E41" s="45" t="n">
        <v>41.65928805918095</v>
      </c>
      <c r="F41" s="45" t="n">
        <v>83.31575411999999</v>
      </c>
      <c r="G41" s="45" t="n">
        <v>0</v>
      </c>
      <c r="H41" s="45" t="n"/>
      <c r="I41" s="45" t="n"/>
    </row>
    <row r="42" ht="14" customHeight="1">
      <c r="A42" s="15" t="n">
        <v>2015</v>
      </c>
      <c r="B42" s="42">
        <f>IF((A42&gt;=2023),ROUND((H42+I42),1),((((C42+D42)+E42)+F42)+G42))</f>
        <v/>
      </c>
      <c r="C42" s="43" t="n">
        <v>968.478226654539</v>
      </c>
      <c r="D42" s="43" t="n">
        <v>105.9232176692684</v>
      </c>
      <c r="E42" s="43" t="n">
        <v>39.55059510597678</v>
      </c>
      <c r="F42" s="43" t="n">
        <v>82.72217581</v>
      </c>
      <c r="G42" s="43" t="n">
        <v>0</v>
      </c>
      <c r="H42" s="43" t="n"/>
      <c r="I42" s="43" t="n"/>
    </row>
    <row r="43" ht="14" customHeight="1">
      <c r="A43" s="21" t="n">
        <v>2016</v>
      </c>
      <c r="B43" s="44">
        <f>IF((A43&gt;=2023),ROUND((H43+I43),1),((((C43+D43)+E43)+F43)+G43))</f>
        <v/>
      </c>
      <c r="C43" s="45" t="n">
        <v>943.7780432166106</v>
      </c>
      <c r="D43" s="45" t="n">
        <v>105.3676318303479</v>
      </c>
      <c r="E43" s="45" t="n">
        <v>39.97091367645223</v>
      </c>
      <c r="F43" s="45" t="n">
        <v>79.39829508</v>
      </c>
      <c r="G43" s="45" t="n">
        <v>0</v>
      </c>
      <c r="H43" s="45" t="n"/>
      <c r="I43" s="45" t="n"/>
    </row>
    <row r="44" ht="14" customHeight="1">
      <c r="A44" s="15" t="n">
        <v>2017</v>
      </c>
      <c r="B44" s="42">
        <f>IF((A44&gt;=2023),ROUND((H44+I44),1),((((C44+D44)+E44)+F44)+G44))</f>
        <v/>
      </c>
      <c r="C44" s="43" t="n">
        <v>941.4613738822286</v>
      </c>
      <c r="D44" s="43" t="n">
        <v>103.0793338102074</v>
      </c>
      <c r="E44" s="43" t="n">
        <v>38.79935441224699</v>
      </c>
      <c r="F44" s="43" t="n">
        <v>78.79786218</v>
      </c>
      <c r="G44" s="43" t="n">
        <v>0</v>
      </c>
      <c r="H44" s="43" t="n"/>
      <c r="I44" s="43" t="n"/>
    </row>
    <row r="45" ht="14" customHeight="1">
      <c r="A45" s="21" t="n">
        <v>2018</v>
      </c>
      <c r="B45" s="44">
        <f>IF((A45&gt;=2023),ROUND((H45+I45),1),((((C45+D45)+E45)+F45)+G45))</f>
        <v/>
      </c>
      <c r="C45" s="45" t="n">
        <v>882.6337398417216</v>
      </c>
      <c r="D45" s="45" t="n">
        <v>99.76282735267915</v>
      </c>
      <c r="E45" s="45" t="n">
        <v>41.25780184806324</v>
      </c>
      <c r="F45" s="45" t="n">
        <v>75.12780479999999</v>
      </c>
      <c r="G45" s="45" t="n">
        <v>0</v>
      </c>
      <c r="H45" s="45" t="n"/>
      <c r="I45" s="45" t="n"/>
    </row>
    <row r="46" ht="14" customHeight="1">
      <c r="A46" s="15" t="n">
        <v>2019</v>
      </c>
      <c r="B46" s="42">
        <f>IF((A46&gt;=2023),ROUND((H46+I46),1),((((C46+D46)+E46)+F46)+G46))</f>
        <v/>
      </c>
      <c r="C46" s="43" t="n">
        <v>765.3394265641642</v>
      </c>
      <c r="D46" s="43" t="n">
        <v>100.0629083064018</v>
      </c>
      <c r="E46" s="43" t="n">
        <v>39.93171841727609</v>
      </c>
      <c r="F46" s="43" t="n">
        <v>68.47086858999999</v>
      </c>
      <c r="G46" s="43" t="n">
        <v>0</v>
      </c>
      <c r="H46" s="43" t="n"/>
      <c r="I46" s="43" t="n"/>
    </row>
    <row r="47" ht="14" customHeight="1">
      <c r="A47" s="21" t="n">
        <v>2020</v>
      </c>
      <c r="B47" s="44">
        <f>IF((A47&gt;=2023),ROUND((H47+I47),1),((((C47+D47)+E47)+F47)+G47))</f>
        <v/>
      </c>
      <c r="C47" s="45" t="n">
        <v>652.2738549169003</v>
      </c>
      <c r="D47" s="45" t="n">
        <v>93.1745498914046</v>
      </c>
      <c r="E47" s="45" t="n">
        <v>32.67368369767437</v>
      </c>
      <c r="F47" s="45" t="n">
        <v>63.39609017</v>
      </c>
      <c r="G47" s="45" t="n">
        <v>0</v>
      </c>
      <c r="H47" s="45" t="n"/>
      <c r="I47" s="45" t="n"/>
    </row>
    <row r="48" ht="14" customHeight="1">
      <c r="A48" s="15" t="n">
        <v>2021</v>
      </c>
      <c r="B48" s="42">
        <f>IF((A48&gt;=2023),ROUND((H48+I48),1),((((C48+D48)+E48)+F48)+G48))</f>
        <v/>
      </c>
      <c r="C48" s="43" t="n">
        <v>716.9830013629618</v>
      </c>
      <c r="D48" s="43" t="n">
        <v>92.82853754286684</v>
      </c>
      <c r="E48" s="43" t="n">
        <v>30.63507096578415</v>
      </c>
      <c r="F48" s="43" t="n">
        <v>61.17810452</v>
      </c>
      <c r="G48" s="43" t="n">
        <v>0</v>
      </c>
      <c r="H48" s="43" t="n"/>
      <c r="I48" s="43" t="n"/>
    </row>
    <row r="49" ht="14" customHeight="1">
      <c r="A49" s="21" t="n">
        <v>2022</v>
      </c>
      <c r="B49" s="44">
        <f>IF((A49&gt;=2023),ROUND((H49+I49),1),((((C49+D49)+E49)+F49)+G49))</f>
        <v/>
      </c>
      <c r="C49" s="45" t="n">
        <v>0</v>
      </c>
      <c r="D49" s="45" t="n">
        <v>0</v>
      </c>
      <c r="E49" s="45" t="n">
        <v>0</v>
      </c>
      <c r="F49" s="45" t="n">
        <v>0</v>
      </c>
      <c r="G49" s="45" t="n">
        <v>924.3341574</v>
      </c>
      <c r="H49" s="45" t="n"/>
      <c r="I49" s="45" t="n"/>
    </row>
    <row r="50" ht="14" customHeight="1">
      <c r="A50" s="15" t="n">
        <v>2023</v>
      </c>
      <c r="B50" s="42">
        <f>IF((A50&gt;=2023),ROUND((H50+I50),1),((((C50+D50)+E50)+F50)+G50))</f>
        <v/>
      </c>
      <c r="C50" s="43" t="n"/>
      <c r="D50" s="43" t="n"/>
      <c r="E50" s="43" t="n"/>
      <c r="F50" s="43" t="n"/>
      <c r="G50" s="43" t="n"/>
      <c r="H50" s="43" t="n">
        <v>698.41559</v>
      </c>
      <c r="I50" s="43" t="n">
        <v>47.89066</v>
      </c>
    </row>
    <row r="51" ht="14" customHeight="1">
      <c r="A51" s="21" t="n">
        <v>2024</v>
      </c>
      <c r="B51" s="44">
        <f>IF((A51&gt;=2023),ROUND((H51+I51),1),((((C51+D51)+E51)+F51)+G51))</f>
        <v/>
      </c>
      <c r="C51" s="45" t="n"/>
      <c r="D51" s="45" t="n"/>
      <c r="E51" s="45" t="n"/>
      <c r="F51" s="45" t="n"/>
      <c r="G51" s="45" t="n"/>
      <c r="H51" s="45" t="n">
        <v>642.41481</v>
      </c>
      <c r="I51" s="45" t="n">
        <v>46.71211</v>
      </c>
    </row>
    <row r="54">
      <c r="A54" s="46" t="inlineStr">
        <is>
          <t>E2 (RES) · Non-biomass renewable share of EU electricity mix  (%)</t>
        </is>
      </c>
    </row>
    <row r="55" ht="24" customHeight="1">
      <c r="A55" s="3" t="inlineStr">
        <is>
          <t>Derivation:  Value = IF(A &gt;= 2023, [Post-report figure as published], (([Renewable - hydro]+[Renewable - solar]+[Renewable - wind]+[Renewable - other non-bio]) / [Total]) * [fraction → % (× 100)])</t>
        </is>
      </c>
    </row>
    <row r="56" ht="42" customHeight="1">
      <c r="A56" s="41" t="inlineStr">
        <is>
          <t>Year</t>
        </is>
      </c>
      <c r="B56" s="41" t="inlineStr">
        <is>
          <t>Value</t>
        </is>
      </c>
      <c r="C56" s="41" t="inlineStr">
        <is>
          <t>Renewable - hydro</t>
        </is>
      </c>
      <c r="D56" s="41" t="inlineStr">
        <is>
          <t>Renewable - solar</t>
        </is>
      </c>
      <c r="E56" s="41" t="inlineStr">
        <is>
          <t>Renewable - wind</t>
        </is>
      </c>
      <c r="F56" s="41" t="inlineStr">
        <is>
          <t>Renewable - other non-bio</t>
        </is>
      </c>
      <c r="G56" s="41" t="inlineStr">
        <is>
          <t>Total</t>
        </is>
      </c>
      <c r="H56" s="41" t="inlineStr">
        <is>
          <t>Post-report figure as published</t>
        </is>
      </c>
      <c r="I56" s="41" t="inlineStr">
        <is>
          <t>fraction → % (× 100)</t>
        </is>
      </c>
    </row>
    <row r="57" ht="14" customHeight="1">
      <c r="A57" s="15" t="n">
        <v>2005</v>
      </c>
      <c r="B57" s="42">
        <f>IF((A57&gt;=2023),H57,(((((C57+D57)+E57)+F57)/G57)*I57))</f>
        <v/>
      </c>
      <c r="C57" s="43" t="n">
        <v>340.546184</v>
      </c>
      <c r="D57" s="43" t="n">
        <v>1.458688</v>
      </c>
      <c r="E57" s="43" t="n">
        <v>68.094587</v>
      </c>
      <c r="F57" s="43" t="n">
        <v>5.878568</v>
      </c>
      <c r="G57" s="43" t="n">
        <v>2916.31008</v>
      </c>
      <c r="H57" s="43" t="n"/>
      <c r="I57" s="43" t="n">
        <v>100</v>
      </c>
    </row>
    <row r="58" ht="14" customHeight="1">
      <c r="A58" s="21" t="n">
        <v>2006</v>
      </c>
      <c r="B58" s="44">
        <f>IF((A58&gt;=2023),H58,(((((C58+D58)+E58)+F58)/G58)*I58))</f>
        <v/>
      </c>
      <c r="C58" s="45" t="n">
        <v>342.707881</v>
      </c>
      <c r="D58" s="45" t="n">
        <v>2.48947</v>
      </c>
      <c r="E58" s="45" t="n">
        <v>78.711461</v>
      </c>
      <c r="F58" s="45" t="n">
        <v>6.079915</v>
      </c>
      <c r="G58" s="45" t="n">
        <v>2967.633772</v>
      </c>
      <c r="H58" s="45" t="n"/>
      <c r="I58" s="45" t="n">
        <v>100</v>
      </c>
    </row>
    <row r="59" ht="14" customHeight="1">
      <c r="A59" s="15" t="n">
        <v>2007</v>
      </c>
      <c r="B59" s="42">
        <f>IF((A59&gt;=2023),H59,(((((C59+D59)+E59)+F59)/G59)*I59))</f>
        <v/>
      </c>
      <c r="C59" s="43" t="n">
        <v>338.893876</v>
      </c>
      <c r="D59" s="43" t="n">
        <v>3.774527</v>
      </c>
      <c r="E59" s="43" t="n">
        <v>99.907526</v>
      </c>
      <c r="F59" s="43" t="n">
        <v>6.237820000000001</v>
      </c>
      <c r="G59" s="43" t="n">
        <v>2982.779542999999</v>
      </c>
      <c r="H59" s="43" t="n"/>
      <c r="I59" s="43" t="n">
        <v>100</v>
      </c>
    </row>
    <row r="60" ht="14" customHeight="1">
      <c r="A60" s="21" t="n">
        <v>2008</v>
      </c>
      <c r="B60" s="44">
        <f>IF((A60&gt;=2023),H60,(((((C60+D60)+E60)+F60)/G60)*I60))</f>
        <v/>
      </c>
      <c r="C60" s="45" t="n">
        <v>354.877833</v>
      </c>
      <c r="D60" s="45" t="n">
        <v>7.437621</v>
      </c>
      <c r="E60" s="45" t="n">
        <v>113.234843</v>
      </c>
      <c r="F60" s="45" t="n">
        <v>6.196697</v>
      </c>
      <c r="G60" s="45" t="n">
        <v>2994.069288</v>
      </c>
      <c r="H60" s="45" t="n"/>
      <c r="I60" s="45" t="n">
        <v>100</v>
      </c>
    </row>
    <row r="61" ht="14" customHeight="1">
      <c r="A61" s="15" t="n">
        <v>2009</v>
      </c>
      <c r="B61" s="42">
        <f>IF((A61&gt;=2023),H61,(((((C61+D61)+E61)+F61)/G61)*I61))</f>
        <v/>
      </c>
      <c r="C61" s="43" t="n">
        <v>357.662569</v>
      </c>
      <c r="D61" s="43" t="n">
        <v>14.103981</v>
      </c>
      <c r="E61" s="43" t="n">
        <v>124.555918</v>
      </c>
      <c r="F61" s="43" t="n">
        <v>5.994467</v>
      </c>
      <c r="G61" s="43" t="n">
        <v>2842.476761000001</v>
      </c>
      <c r="H61" s="43" t="n"/>
      <c r="I61" s="43" t="n">
        <v>100</v>
      </c>
    </row>
    <row r="62" ht="14" customHeight="1">
      <c r="A62" s="21" t="n">
        <v>2010</v>
      </c>
      <c r="B62" s="44">
        <f>IF((A62&gt;=2023),H62,(((((C62+D62)+E62)+F62)/G62)*I62))</f>
        <v/>
      </c>
      <c r="C62" s="45" t="n">
        <v>401.279583</v>
      </c>
      <c r="D62" s="45" t="n">
        <v>23.224063</v>
      </c>
      <c r="E62" s="45" t="n">
        <v>139.842164</v>
      </c>
      <c r="F62" s="45" t="n">
        <v>6.078805999999999</v>
      </c>
      <c r="G62" s="45" t="n">
        <v>2979.660478</v>
      </c>
      <c r="H62" s="45" t="n"/>
      <c r="I62" s="45" t="n">
        <v>100</v>
      </c>
    </row>
    <row r="63" ht="14" customHeight="1">
      <c r="A63" s="15" t="n">
        <v>2011</v>
      </c>
      <c r="B63" s="42">
        <f>IF((A63&gt;=2023),H63,(((((C63+D63)+E63)+F63)/G63)*I63))</f>
        <v/>
      </c>
      <c r="C63" s="43" t="n">
        <v>332.848797</v>
      </c>
      <c r="D63" s="43" t="n">
        <v>47.288533</v>
      </c>
      <c r="E63" s="43" t="n">
        <v>165.346899</v>
      </c>
      <c r="F63" s="43" t="n">
        <v>6.424249</v>
      </c>
      <c r="G63" s="43" t="n">
        <v>2937.062106</v>
      </c>
      <c r="H63" s="43" t="n"/>
      <c r="I63" s="43" t="n">
        <v>100</v>
      </c>
    </row>
    <row r="64" ht="14" customHeight="1">
      <c r="A64" s="21" t="n">
        <v>2012</v>
      </c>
      <c r="B64" s="44">
        <f>IF((A64&gt;=2023),H64,(((((C64+D64)+E64)+F64)/G64)*I64))</f>
        <v/>
      </c>
      <c r="C64" s="45" t="n">
        <v>359.551397</v>
      </c>
      <c r="D64" s="45" t="n">
        <v>70.14140800000001</v>
      </c>
      <c r="E64" s="45" t="n">
        <v>187.468916</v>
      </c>
      <c r="F64" s="45" t="n">
        <v>6.278327999999999</v>
      </c>
      <c r="G64" s="45" t="n">
        <v>2934.338138</v>
      </c>
      <c r="H64" s="45" t="n"/>
      <c r="I64" s="45" t="n">
        <v>100</v>
      </c>
    </row>
    <row r="65" ht="14" customHeight="1">
      <c r="A65" s="15" t="n">
        <v>2013</v>
      </c>
      <c r="B65" s="42">
        <f>IF((A65&gt;=2023),H65,(((((C65+D65)+E65)+F65)/G65)*I65))</f>
        <v/>
      </c>
      <c r="C65" s="43" t="n">
        <v>396.650775</v>
      </c>
      <c r="D65" s="43" t="n">
        <v>84.13560100000001</v>
      </c>
      <c r="E65" s="43" t="n">
        <v>209.474806</v>
      </c>
      <c r="F65" s="43" t="n">
        <v>6.439842</v>
      </c>
      <c r="G65" s="43" t="n">
        <v>2916.392271000001</v>
      </c>
      <c r="H65" s="43" t="n"/>
      <c r="I65" s="43" t="n">
        <v>100</v>
      </c>
    </row>
    <row r="66" ht="14" customHeight="1">
      <c r="A66" s="21" t="n">
        <v>2014</v>
      </c>
      <c r="B66" s="44">
        <f>IF((A66&gt;=2023),H66,(((((C66+D66)+E66)+F66)/G66)*I66))</f>
        <v/>
      </c>
      <c r="C66" s="45" t="n">
        <v>398.608494</v>
      </c>
      <c r="D66" s="45" t="n">
        <v>94.172878</v>
      </c>
      <c r="E66" s="45" t="n">
        <v>222.356661</v>
      </c>
      <c r="F66" s="45" t="n">
        <v>6.783885000000001</v>
      </c>
      <c r="G66" s="45" t="n">
        <v>2856.506539</v>
      </c>
      <c r="H66" s="45" t="n"/>
      <c r="I66" s="45" t="n">
        <v>100</v>
      </c>
    </row>
    <row r="67" ht="14" customHeight="1">
      <c r="A67" s="15" t="n">
        <v>2015</v>
      </c>
      <c r="B67" s="42">
        <f>IF((A67&gt;=2023),H67,(((((C67+D67)+E67)+F67)/G67)*I67))</f>
        <v/>
      </c>
      <c r="C67" s="43" t="n">
        <v>363.237628</v>
      </c>
      <c r="D67" s="43" t="n">
        <v>100.856862</v>
      </c>
      <c r="E67" s="43" t="n">
        <v>263.204743</v>
      </c>
      <c r="F67" s="43" t="n">
        <v>7.101067</v>
      </c>
      <c r="G67" s="43" t="n">
        <v>2900.551886000001</v>
      </c>
      <c r="H67" s="43" t="n"/>
      <c r="I67" s="43" t="n">
        <v>100</v>
      </c>
    </row>
    <row r="68" ht="14" customHeight="1">
      <c r="A68" s="21" t="n">
        <v>2016</v>
      </c>
      <c r="B68" s="44">
        <f>IF((A68&gt;=2023),H68,(((((C68+D68)+E68)+F68)/G68)*I68))</f>
        <v/>
      </c>
      <c r="C68" s="45" t="n">
        <v>372.711195</v>
      </c>
      <c r="D68" s="45" t="n">
        <v>101.036686</v>
      </c>
      <c r="E68" s="45" t="n">
        <v>266.814627</v>
      </c>
      <c r="F68" s="45" t="n">
        <v>7.23339</v>
      </c>
      <c r="G68" s="45" t="n">
        <v>2922.01605</v>
      </c>
      <c r="H68" s="45" t="n"/>
      <c r="I68" s="45" t="n">
        <v>100</v>
      </c>
    </row>
    <row r="69" ht="14" customHeight="1">
      <c r="A69" s="15" t="n">
        <v>2017</v>
      </c>
      <c r="B69" s="42">
        <f>IF((A69&gt;=2023),H69,(((((C69+D69)+E69)+F69)/G69)*I69))</f>
        <v/>
      </c>
      <c r="C69" s="43" t="n">
        <v>322.463411</v>
      </c>
      <c r="D69" s="43" t="n">
        <v>107.934943</v>
      </c>
      <c r="E69" s="43" t="n">
        <v>312.313129</v>
      </c>
      <c r="F69" s="43" t="n">
        <v>7.236751</v>
      </c>
      <c r="G69" s="43" t="n">
        <v>2954.523595000001</v>
      </c>
      <c r="H69" s="43" t="n"/>
      <c r="I69" s="43" t="n">
        <v>100</v>
      </c>
    </row>
    <row r="70" ht="14" customHeight="1">
      <c r="A70" s="21" t="n">
        <v>2018</v>
      </c>
      <c r="B70" s="44">
        <f>IF((A70&gt;=2023),H70,(((((C70+D70)+E70)+F70)/G70)*I70))</f>
        <v/>
      </c>
      <c r="C70" s="45" t="n">
        <v>370.234436</v>
      </c>
      <c r="D70" s="45" t="n">
        <v>113.066624</v>
      </c>
      <c r="E70" s="45" t="n">
        <v>320.615898</v>
      </c>
      <c r="F70" s="45" t="n">
        <v>7.134921</v>
      </c>
      <c r="G70" s="45" t="n">
        <v>2938.030121</v>
      </c>
      <c r="H70" s="45" t="n"/>
      <c r="I70" s="45" t="n">
        <v>100</v>
      </c>
    </row>
    <row r="71" ht="14" customHeight="1">
      <c r="A71" s="15" t="n">
        <v>2019</v>
      </c>
      <c r="B71" s="42">
        <f>IF((A71&gt;=2023),H71,(((((C71+D71)+E71)+F71)/G71)*I71))</f>
        <v/>
      </c>
      <c r="C71" s="43" t="n">
        <v>345.642675</v>
      </c>
      <c r="D71" s="43" t="n">
        <v>123.884579</v>
      </c>
      <c r="E71" s="43" t="n">
        <v>367.117813</v>
      </c>
      <c r="F71" s="43" t="n">
        <v>7.224769999999999</v>
      </c>
      <c r="G71" s="43" t="n">
        <v>2902.370047</v>
      </c>
      <c r="H71" s="43" t="n"/>
      <c r="I71" s="43" t="n">
        <v>100</v>
      </c>
    </row>
    <row r="72" ht="14" customHeight="1">
      <c r="A72" s="21" t="n">
        <v>2020</v>
      </c>
      <c r="B72" s="44">
        <f>IF((A72&gt;=2023),H72,(((((C72+D72)+E72)+F72)/G72)*I72))</f>
        <v/>
      </c>
      <c r="C72" s="45" t="n">
        <v>375.486539</v>
      </c>
      <c r="D72" s="45" t="n">
        <v>145.116756</v>
      </c>
      <c r="E72" s="45" t="n">
        <v>397.481079</v>
      </c>
      <c r="F72" s="45" t="n">
        <v>7.22602</v>
      </c>
      <c r="G72" s="45" t="n">
        <v>2784.553903</v>
      </c>
      <c r="H72" s="45" t="n"/>
      <c r="I72" s="45" t="n">
        <v>100</v>
      </c>
    </row>
    <row r="73" ht="14" customHeight="1">
      <c r="A73" s="15" t="n">
        <v>2021</v>
      </c>
      <c r="B73" s="42">
        <f>IF((A73&gt;=2023),H73,(((((C73+D73)+E73)+F73)/G73)*I73))</f>
        <v/>
      </c>
      <c r="C73" s="43" t="n">
        <v>374.849021</v>
      </c>
      <c r="D73" s="43" t="n">
        <v>163.764273</v>
      </c>
      <c r="E73" s="43" t="n">
        <v>386.539564</v>
      </c>
      <c r="F73" s="43" t="n">
        <v>7.041166</v>
      </c>
      <c r="G73" s="43" t="n">
        <v>2906.186482</v>
      </c>
      <c r="H73" s="43" t="n"/>
      <c r="I73" s="43" t="n">
        <v>100</v>
      </c>
    </row>
    <row r="74" ht="14" customHeight="1">
      <c r="A74" s="21" t="n">
        <v>2022</v>
      </c>
      <c r="B74" s="44">
        <f>IF((A74&gt;=2023),H74,(((((C74+D74)+E74)+F74)/G74)*I74))</f>
        <v/>
      </c>
      <c r="C74" s="45" t="n">
        <v>308.581133</v>
      </c>
      <c r="D74" s="45" t="n">
        <v>209.644287</v>
      </c>
      <c r="E74" s="45" t="n">
        <v>421.26459</v>
      </c>
      <c r="F74" s="45" t="n">
        <v>6.946363</v>
      </c>
      <c r="G74" s="45" t="n">
        <v>2803.796039</v>
      </c>
      <c r="H74" s="45" t="n"/>
      <c r="I74" s="45" t="n">
        <v>100</v>
      </c>
    </row>
    <row r="75" ht="14" customHeight="1">
      <c r="A75" s="15" t="n">
        <v>2023</v>
      </c>
      <c r="B75" s="42">
        <f>IF((A75&gt;=2023),H75,(((((C75+D75)+E75)+F75)/G75)*I75))</f>
        <v/>
      </c>
      <c r="C75" s="43" t="n"/>
      <c r="D75" s="43" t="n"/>
      <c r="E75" s="43" t="n"/>
      <c r="F75" s="43" t="n"/>
      <c r="G75" s="43" t="n"/>
      <c r="H75" s="43" t="n">
        <v>40.01</v>
      </c>
      <c r="I75" s="43" t="n">
        <v>100</v>
      </c>
    </row>
    <row r="76" ht="14" customHeight="1">
      <c r="A76" s="21" t="n">
        <v>2024</v>
      </c>
      <c r="B76" s="44">
        <f>IF((A76&gt;=2023),H76,(((((C76+D76)+E76)+F76)/G76)*I76))</f>
        <v/>
      </c>
      <c r="C76" s="45" t="n"/>
      <c r="D76" s="45" t="n"/>
      <c r="E76" s="45" t="n"/>
      <c r="F76" s="45" t="n"/>
      <c r="G76" s="45" t="n"/>
      <c r="H76" s="45" t="n">
        <v>41.38</v>
      </c>
      <c r="I76" s="45" t="n">
        <v>100</v>
      </c>
    </row>
    <row r="79">
      <c r="A79" s="46" t="inlineStr">
        <is>
          <t>E2 (fossil) · Fossil share of EU electricity mix  (%)</t>
        </is>
      </c>
    </row>
    <row r="80" ht="24" customHeight="1">
      <c r="A80" s="3" t="inlineStr">
        <is>
          <t>Derivation:  Value = IF(A &gt;= 2023, ROUND([Report baseline 2022 (%)] * ([Numerator · nrg_bal_peh C0000X0350-0370] + [Numerator · nrg_bal_peh P1000] + [Numerator · nrg_bal_peh S2000] + [Numerator · nrg_bal_peh O4000XBIO] + [Numerator · nrg_bal_peh G3000]) / ([Denominator · nrg_bal_peh TOTAL]) / [Live source at 2022 (same basis as the columns left)], 2), (([Solid fossil fuels]+[Natural &amp; manufactured gases]+[Oil products &amp; other fossils]) / [Total]) * [fraction → % (× 100)])</t>
        </is>
      </c>
    </row>
    <row r="81" ht="42" customHeight="1">
      <c r="A81" s="41" t="inlineStr">
        <is>
          <t>Year</t>
        </is>
      </c>
      <c r="B81" s="41" t="inlineStr">
        <is>
          <t>Value</t>
        </is>
      </c>
      <c r="C81" s="41" t="inlineStr">
        <is>
          <t>Solid fossil fuels</t>
        </is>
      </c>
      <c r="D81" s="41" t="inlineStr">
        <is>
          <t>Natural &amp; manufactured gases</t>
        </is>
      </c>
      <c r="E81" s="41" t="inlineStr">
        <is>
          <t>Oil products &amp; other fossils</t>
        </is>
      </c>
      <c r="F81" s="41" t="inlineStr">
        <is>
          <t>Total</t>
        </is>
      </c>
      <c r="G81" s="41" t="inlineStr">
        <is>
          <t>Numerator · nrg_bal_peh C0000X0350-0370</t>
        </is>
      </c>
      <c r="H81" s="41" t="inlineStr">
        <is>
          <t>Numerator · nrg_bal_peh P1000</t>
        </is>
      </c>
      <c r="I81" s="41" t="inlineStr">
        <is>
          <t>Numerator · nrg_bal_peh S2000</t>
        </is>
      </c>
      <c r="J81" s="41" t="inlineStr">
        <is>
          <t>Numerator · nrg_bal_peh O4000XBIO</t>
        </is>
      </c>
      <c r="K81" s="41" t="inlineStr">
        <is>
          <t>Numerator · nrg_bal_peh G3000</t>
        </is>
      </c>
      <c r="L81" s="41" t="inlineStr">
        <is>
          <t>Denominator · nrg_bal_peh TOTAL</t>
        </is>
      </c>
      <c r="M81" s="41" t="inlineStr">
        <is>
          <t>Report baseline 2022 (%)</t>
        </is>
      </c>
      <c r="N81" s="41" t="inlineStr">
        <is>
          <t>Live source at 2022 (same basis as the columns left)</t>
        </is>
      </c>
      <c r="O81" s="41" t="inlineStr">
        <is>
          <t>fraction → % (× 100)</t>
        </is>
      </c>
    </row>
    <row r="82" ht="14" customHeight="1">
      <c r="A82" s="15" t="n">
        <v>2005</v>
      </c>
      <c r="B82" s="42">
        <f>IF((A82&gt;=2023),ROUND((((M82*((((G82+H82)+I82)+J82)+K82))/L82)/N82),2),((((C82+D82)+E82)/F82)*O82))</f>
        <v/>
      </c>
      <c r="C82" s="43" t="n">
        <v>808.8822210000001</v>
      </c>
      <c r="D82" s="43" t="n">
        <v>548.315303</v>
      </c>
      <c r="E82" s="43" t="n">
        <v>154.208875</v>
      </c>
      <c r="F82" s="43" t="n">
        <v>2916.31008</v>
      </c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>
        <v>100</v>
      </c>
    </row>
    <row r="83" ht="14" customHeight="1">
      <c r="A83" s="21" t="n">
        <v>2006</v>
      </c>
      <c r="B83" s="44">
        <f>IF((A83&gt;=2023),ROUND((((M83*((((G83+H83)+I83)+J83)+K83))/L83)/N83),2),((((C83+D83)+E83)/F83)*O83))</f>
        <v/>
      </c>
      <c r="C83" s="45" t="n">
        <v>816.4990429999999</v>
      </c>
      <c r="D83" s="45" t="n">
        <v>575.616132</v>
      </c>
      <c r="E83" s="45" t="n">
        <v>148.089791</v>
      </c>
      <c r="F83" s="45" t="n">
        <v>2967.633772</v>
      </c>
      <c r="G83" s="45" t="n"/>
      <c r="H83" s="45" t="n"/>
      <c r="I83" s="45" t="n"/>
      <c r="J83" s="45" t="n"/>
      <c r="K83" s="45" t="n"/>
      <c r="L83" s="45" t="n"/>
      <c r="M83" s="45" t="n"/>
      <c r="N83" s="45" t="n"/>
      <c r="O83" s="45" t="n">
        <v>100</v>
      </c>
    </row>
    <row r="84" ht="14" customHeight="1">
      <c r="A84" s="15" t="n">
        <v>2007</v>
      </c>
      <c r="B84" s="42">
        <f>IF((A84&gt;=2023),ROUND((((M84*((((G84+H84)+I84)+J84)+K84))/L84)/N84),2),((((C84+D84)+E84)/F84)*O84))</f>
        <v/>
      </c>
      <c r="C84" s="43" t="n">
        <v>828.805419</v>
      </c>
      <c r="D84" s="43" t="n">
        <v>609.4216759999999</v>
      </c>
      <c r="E84" s="43" t="n">
        <v>130.798327</v>
      </c>
      <c r="F84" s="43" t="n">
        <v>2982.779542999999</v>
      </c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>
        <v>100</v>
      </c>
    </row>
    <row r="85" ht="14" customHeight="1">
      <c r="A85" s="21" t="n">
        <v>2008</v>
      </c>
      <c r="B85" s="44">
        <f>IF((A85&gt;=2023),ROUND((((M85*((((G85+H85)+I85)+J85)+K85))/L85)/N85),2),((((C85+D85)+E85)/F85)*O85))</f>
        <v/>
      </c>
      <c r="C85" s="45" t="n">
        <v>757.053054</v>
      </c>
      <c r="D85" s="45" t="n">
        <v>647.726098</v>
      </c>
      <c r="E85" s="45" t="n">
        <v>119.772171</v>
      </c>
      <c r="F85" s="45" t="n">
        <v>2994.069288</v>
      </c>
      <c r="G85" s="45" t="n"/>
      <c r="H85" s="45" t="n"/>
      <c r="I85" s="45" t="n"/>
      <c r="J85" s="45" t="n"/>
      <c r="K85" s="45" t="n"/>
      <c r="L85" s="45" t="n"/>
      <c r="M85" s="45" t="n"/>
      <c r="N85" s="45" t="n"/>
      <c r="O85" s="45" t="n">
        <v>100</v>
      </c>
    </row>
    <row r="86" ht="14" customHeight="1">
      <c r="A86" s="15" t="n">
        <v>2009</v>
      </c>
      <c r="B86" s="42">
        <f>IF((A86&gt;=2023),ROUND((((M86*((((G86+H86)+I86)+J86)+K86))/L86)/N86),2),((((C86+D86)+E86)/F86)*O86))</f>
        <v/>
      </c>
      <c r="C86" s="43" t="n">
        <v>703.574826</v>
      </c>
      <c r="D86" s="43" t="n">
        <v>590.1233000000001</v>
      </c>
      <c r="E86" s="43" t="n">
        <v>108.367097</v>
      </c>
      <c r="F86" s="43" t="n">
        <v>2842.476761000001</v>
      </c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>
        <v>100</v>
      </c>
    </row>
    <row r="87" ht="14" customHeight="1">
      <c r="A87" s="21" t="n">
        <v>2010</v>
      </c>
      <c r="B87" s="44">
        <f>IF((A87&gt;=2023),ROUND((((M87*((((G87+H87)+I87)+J87)+K87))/L87)/N87),2),((((C87+D87)+E87)/F87)*O87))</f>
        <v/>
      </c>
      <c r="C87" s="45" t="n">
        <v>701.230144</v>
      </c>
      <c r="D87" s="45" t="n">
        <v>622.051201</v>
      </c>
      <c r="E87" s="45" t="n">
        <v>102.466548</v>
      </c>
      <c r="F87" s="45" t="n">
        <v>2979.660478</v>
      </c>
      <c r="G87" s="45" t="n"/>
      <c r="H87" s="45" t="n"/>
      <c r="I87" s="45" t="n"/>
      <c r="J87" s="45" t="n"/>
      <c r="K87" s="45" t="n"/>
      <c r="L87" s="45" t="n"/>
      <c r="M87" s="45" t="n"/>
      <c r="N87" s="45" t="n"/>
      <c r="O87" s="45" t="n">
        <v>100</v>
      </c>
    </row>
    <row r="88" ht="14" customHeight="1">
      <c r="A88" s="15" t="n">
        <v>2011</v>
      </c>
      <c r="B88" s="42">
        <f>IF((A88&gt;=2023),ROUND((((M88*((((G88+H88)+I88)+J88)+K88))/L88)/N88),2),((((C88+D88)+E88)/F88)*O88))</f>
        <v/>
      </c>
      <c r="C88" s="43" t="n">
        <v>724.8267979999999</v>
      </c>
      <c r="D88" s="43" t="n">
        <v>591.3915999999999</v>
      </c>
      <c r="E88" s="43" t="n">
        <v>93.754159</v>
      </c>
      <c r="F88" s="43" t="n">
        <v>2937.062106</v>
      </c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>
        <v>100</v>
      </c>
    </row>
    <row r="89" ht="14" customHeight="1">
      <c r="A89" s="21" t="n">
        <v>2012</v>
      </c>
      <c r="B89" s="44">
        <f>IF((A89&gt;=2023),ROUND((((M89*((((G89+H89)+I89)+J89)+K89))/L89)/N89),2),((((C89+D89)+E89)/F89)*O89))</f>
        <v/>
      </c>
      <c r="C89" s="45" t="n">
        <v>742.7146720000001</v>
      </c>
      <c r="D89" s="45" t="n">
        <v>516.165104</v>
      </c>
      <c r="E89" s="45" t="n">
        <v>88.87544200000001</v>
      </c>
      <c r="F89" s="45" t="n">
        <v>2934.338138</v>
      </c>
      <c r="G89" s="45" t="n"/>
      <c r="H89" s="45" t="n"/>
      <c r="I89" s="45" t="n"/>
      <c r="J89" s="45" t="n"/>
      <c r="K89" s="45" t="n"/>
      <c r="L89" s="45" t="n"/>
      <c r="M89" s="45" t="n"/>
      <c r="N89" s="45" t="n"/>
      <c r="O89" s="45" t="n">
        <v>100</v>
      </c>
    </row>
    <row r="90" ht="14" customHeight="1">
      <c r="A90" s="15" t="n">
        <v>2013</v>
      </c>
      <c r="B90" s="42">
        <f>IF((A90&gt;=2023),ROUND((((M90*((((G90+H90)+I90)+J90)+K90))/L90)/N90),2),((((C90+D90)+E90)/F90)*O90))</f>
        <v/>
      </c>
      <c r="C90" s="43" t="n">
        <v>728.930201</v>
      </c>
      <c r="D90" s="43" t="n">
        <v>446.6026879999999</v>
      </c>
      <c r="E90" s="43" t="n">
        <v>80.468727</v>
      </c>
      <c r="F90" s="43" t="n">
        <v>2916.392271000001</v>
      </c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>
        <v>100</v>
      </c>
    </row>
    <row r="91" ht="14" customHeight="1">
      <c r="A91" s="21" t="n">
        <v>2014</v>
      </c>
      <c r="B91" s="44">
        <f>IF((A91&gt;=2023),ROUND((((M91*((((G91+H91)+I91)+J91)+K91))/L91)/N91),2),((((C91+D91)+E91)/F91)*O91))</f>
        <v/>
      </c>
      <c r="C91" s="45" t="n">
        <v>692.768867</v>
      </c>
      <c r="D91" s="45" t="n">
        <v>388.686239</v>
      </c>
      <c r="E91" s="45" t="n">
        <v>76.98636399999999</v>
      </c>
      <c r="F91" s="45" t="n">
        <v>2856.506539</v>
      </c>
      <c r="G91" s="45" t="n"/>
      <c r="H91" s="45" t="n"/>
      <c r="I91" s="45" t="n"/>
      <c r="J91" s="45" t="n"/>
      <c r="K91" s="45" t="n"/>
      <c r="L91" s="45" t="n"/>
      <c r="M91" s="45" t="n"/>
      <c r="N91" s="45" t="n"/>
      <c r="O91" s="45" t="n">
        <v>100</v>
      </c>
    </row>
    <row r="92" ht="14" customHeight="1">
      <c r="A92" s="15" t="n">
        <v>2015</v>
      </c>
      <c r="B92" s="42">
        <f>IF((A92&gt;=2023),ROUND((((M92*((((G92+H92)+I92)+J92)+K92))/L92)/N92),2),((((C92+D92)+E92)/F92)*O92))</f>
        <v/>
      </c>
      <c r="C92" s="43" t="n">
        <v>705.028993</v>
      </c>
      <c r="D92" s="43" t="n">
        <v>428.5298340000001</v>
      </c>
      <c r="E92" s="43" t="n">
        <v>77.023162</v>
      </c>
      <c r="F92" s="43" t="n">
        <v>2900.551886000001</v>
      </c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>
        <v>100</v>
      </c>
    </row>
    <row r="93" ht="14" customHeight="1">
      <c r="A93" s="21" t="n">
        <v>2016</v>
      </c>
      <c r="B93" s="44">
        <f>IF((A93&gt;=2023),ROUND((((M93*((((G93+H93)+I93)+J93)+K93))/L93)/N93),2),((((C93+D93)+E93)/F93)*O93))</f>
        <v/>
      </c>
      <c r="C93" s="45" t="n">
        <v>659.0611759999999</v>
      </c>
      <c r="D93" s="45" t="n">
        <v>498.1137</v>
      </c>
      <c r="E93" s="45" t="n">
        <v>77.09005499999999</v>
      </c>
      <c r="F93" s="45" t="n">
        <v>2922.01605</v>
      </c>
      <c r="G93" s="45" t="n"/>
      <c r="H93" s="45" t="n"/>
      <c r="I93" s="45" t="n"/>
      <c r="J93" s="45" t="n"/>
      <c r="K93" s="45" t="n"/>
      <c r="L93" s="45" t="n"/>
      <c r="M93" s="45" t="n"/>
      <c r="N93" s="45" t="n"/>
      <c r="O93" s="45" t="n">
        <v>100</v>
      </c>
    </row>
    <row r="94" ht="14" customHeight="1">
      <c r="A94" s="15" t="n">
        <v>2017</v>
      </c>
      <c r="B94" s="42">
        <f>IF((A94&gt;=2023),ROUND((((M94*((((G94+H94)+I94)+J94)+K94))/L94)/N94),2),((((C94+D94)+E94)/F94)*O94))</f>
        <v/>
      </c>
      <c r="C94" s="43" t="n">
        <v>638.838938</v>
      </c>
      <c r="D94" s="43" t="n">
        <v>557.9138810000001</v>
      </c>
      <c r="E94" s="43" t="n">
        <v>73.831413</v>
      </c>
      <c r="F94" s="43" t="n">
        <v>2954.523595000001</v>
      </c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>
        <v>100</v>
      </c>
    </row>
    <row r="95" ht="14" customHeight="1">
      <c r="A95" s="21" t="n">
        <v>2018</v>
      </c>
      <c r="B95" s="44">
        <f>IF((A95&gt;=2023),ROUND((((M95*((((G95+H95)+I95)+J95)+K95))/L95)/N95),2),((((C95+D95)+E95)/F95)*O95))</f>
        <v/>
      </c>
      <c r="C95" s="45" t="n">
        <v>595.5069999999999</v>
      </c>
      <c r="D95" s="45" t="n">
        <v>522.4296000000001</v>
      </c>
      <c r="E95" s="45" t="n">
        <v>69.824422</v>
      </c>
      <c r="F95" s="45" t="n">
        <v>2938.030121</v>
      </c>
      <c r="G95" s="45" t="n"/>
      <c r="H95" s="45" t="n"/>
      <c r="I95" s="45" t="n"/>
      <c r="J95" s="45" t="n"/>
      <c r="K95" s="45" t="n"/>
      <c r="L95" s="45" t="n"/>
      <c r="M95" s="45" t="n"/>
      <c r="N95" s="45" t="n"/>
      <c r="O95" s="45" t="n">
        <v>100</v>
      </c>
    </row>
    <row r="96" ht="14" customHeight="1">
      <c r="A96" s="15" t="n">
        <v>2019</v>
      </c>
      <c r="B96" s="42">
        <f>IF((A96&gt;=2023),ROUND((((M96*((((G96+H96)+I96)+J96)+K96))/L96)/N96),2),((((C96+D96)+E96)/F96)*O96))</f>
        <v/>
      </c>
      <c r="C96" s="43" t="n">
        <v>450.933123</v>
      </c>
      <c r="D96" s="43" t="n">
        <v>599.577544</v>
      </c>
      <c r="E96" s="43" t="n">
        <v>61.430867</v>
      </c>
      <c r="F96" s="43" t="n">
        <v>2902.370047</v>
      </c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>
        <v>100</v>
      </c>
    </row>
    <row r="97" ht="14" customHeight="1">
      <c r="A97" s="21" t="n">
        <v>2020</v>
      </c>
      <c r="B97" s="44">
        <f>IF((A97&gt;=2023),ROUND((((M97*((((G97+H97)+I97)+J97)+K97))/L97)/N97),2),((((C97+D97)+E97)/F97)*O97))</f>
        <v/>
      </c>
      <c r="C97" s="45" t="n">
        <v>352.405128</v>
      </c>
      <c r="D97" s="45" t="n">
        <v>586.4874719999999</v>
      </c>
      <c r="E97" s="45" t="n">
        <v>53.223137</v>
      </c>
      <c r="F97" s="45" t="n">
        <v>2784.553903</v>
      </c>
      <c r="G97" s="45" t="n"/>
      <c r="H97" s="45" t="n"/>
      <c r="I97" s="45" t="n"/>
      <c r="J97" s="45" t="n"/>
      <c r="K97" s="45" t="n"/>
      <c r="L97" s="45" t="n"/>
      <c r="M97" s="45" t="n"/>
      <c r="N97" s="45" t="n"/>
      <c r="O97" s="45" t="n">
        <v>100</v>
      </c>
    </row>
    <row r="98" ht="14" customHeight="1">
      <c r="A98" s="15" t="n">
        <v>2021</v>
      </c>
      <c r="B98" s="42">
        <f>IF((A98&gt;=2023),ROUND((((M98*((((G98+H98)+I98)+J98)+K98))/L98)/N98),2),((((C98+D98)+E98)/F98)*O98))</f>
        <v/>
      </c>
      <c r="C98" s="43" t="n">
        <v>419.003888</v>
      </c>
      <c r="D98" s="43" t="n">
        <v>579.8584930000001</v>
      </c>
      <c r="E98" s="43" t="n">
        <v>52.69121</v>
      </c>
      <c r="F98" s="43" t="n">
        <v>2906.186482</v>
      </c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>
        <v>100</v>
      </c>
    </row>
    <row r="99" ht="14" customHeight="1">
      <c r="A99" s="21" t="n">
        <v>2022</v>
      </c>
      <c r="B99" s="44">
        <f>IF((A99&gt;=2023),ROUND((((M99*((((G99+H99)+I99)+J99)+K99))/L99)/N99),2),((((C99+D99)+E99)/F99)*O99))</f>
        <v/>
      </c>
      <c r="C99" s="45" t="n">
        <v>453.1799990000001</v>
      </c>
      <c r="D99" s="45" t="n">
        <v>571.6867760000001</v>
      </c>
      <c r="E99" s="45" t="n">
        <v>61.78648</v>
      </c>
      <c r="F99" s="45" t="n">
        <v>2803.796039</v>
      </c>
      <c r="G99" s="45" t="n"/>
      <c r="H99" s="45" t="n"/>
      <c r="I99" s="45" t="n"/>
      <c r="J99" s="45" t="n"/>
      <c r="K99" s="45" t="n"/>
      <c r="L99" s="45" t="n"/>
      <c r="M99" s="45" t="n"/>
      <c r="N99" s="45" t="n"/>
      <c r="O99" s="45" t="n">
        <v>100</v>
      </c>
    </row>
    <row r="100" ht="14" customHeight="1">
      <c r="A100" s="15" t="n">
        <v>2023</v>
      </c>
      <c r="B100" s="42">
        <f>IF((A100&gt;=2023),ROUND((((M100*((((G100+H100)+I100)+J100)+K100))/L100)/N100),2),((((C100+D100)+E100)/F100)*O100))</f>
        <v/>
      </c>
      <c r="C100" s="43" t="n"/>
      <c r="D100" s="43" t="n"/>
      <c r="E100" s="43" t="n"/>
      <c r="F100" s="43" t="n"/>
      <c r="G100" s="43" t="n">
        <v>318691.393</v>
      </c>
      <c r="H100" s="43" t="n">
        <v>1352.571</v>
      </c>
      <c r="I100" s="43" t="n">
        <v>1975.972</v>
      </c>
      <c r="J100" s="43" t="n">
        <v>47866.955</v>
      </c>
      <c r="K100" s="43" t="n">
        <v>462535.657</v>
      </c>
      <c r="L100" s="43" t="n">
        <v>2760944.843</v>
      </c>
      <c r="M100" s="43" t="n">
        <v>38.76</v>
      </c>
      <c r="N100" s="43" t="n">
        <v>0.371935</v>
      </c>
      <c r="O100" s="43" t="n">
        <v>100</v>
      </c>
    </row>
    <row r="101" ht="14" customHeight="1">
      <c r="A101" s="21" t="n">
        <v>2024</v>
      </c>
      <c r="B101" s="44">
        <f>IF((A101&gt;=2023),ROUND((((M101*((((G101+H101)+I101)+J101)+K101))/L101)/N101),2),((((C101+D101)+E101)/F101)*O101))</f>
        <v/>
      </c>
      <c r="C101" s="45" t="n"/>
      <c r="D101" s="45" t="n"/>
      <c r="E101" s="45" t="n"/>
      <c r="F101" s="45" t="n"/>
      <c r="G101" s="45" t="n">
        <v>271891.735</v>
      </c>
      <c r="H101" s="45" t="n">
        <v>776.357</v>
      </c>
      <c r="I101" s="45" t="n">
        <v>1522.83</v>
      </c>
      <c r="J101" s="45" t="n">
        <v>45734.24</v>
      </c>
      <c r="K101" s="45" t="n">
        <v>443188.995</v>
      </c>
      <c r="L101" s="45" t="n">
        <v>2828734.401</v>
      </c>
      <c r="M101" s="45" t="n">
        <v>38.76</v>
      </c>
      <c r="N101" s="45" t="n">
        <v>0.371935</v>
      </c>
      <c r="O101" s="45" t="n">
        <v>100</v>
      </c>
    </row>
    <row r="104">
      <c r="A104" s="46" t="inlineStr">
        <is>
          <t>E3 · Average GHG intensity of EU electricity  (g CO₂eq/kWh)</t>
        </is>
      </c>
    </row>
    <row r="105" ht="24" customHeight="1">
      <c r="A105" s="3" t="inlineStr">
        <is>
          <t>Derivation:  Value = IF(A &gt;= 2023, ROUND([Report baseline 2022 (g CO₂eq/kWh)] * ([Numerator · env_air_gge CRF1A1]) / ([Denominator · nrg_bal_peh TOTAL]) / [Live source at 2022 (same basis as the columns left)], 1), [Historical])</t>
        </is>
      </c>
    </row>
    <row r="106" ht="42" customHeight="1">
      <c r="A106" s="41" t="inlineStr">
        <is>
          <t>Year</t>
        </is>
      </c>
      <c r="B106" s="41" t="inlineStr">
        <is>
          <t>Value</t>
        </is>
      </c>
      <c r="C106" s="41" t="inlineStr">
        <is>
          <t>Historical</t>
        </is>
      </c>
      <c r="D106" s="41" t="inlineStr">
        <is>
          <t>Numerator · env_air_gge CRF1A1</t>
        </is>
      </c>
      <c r="E106" s="41" t="inlineStr">
        <is>
          <t>Denominator · nrg_bal_peh TOTAL</t>
        </is>
      </c>
      <c r="F106" s="41" t="inlineStr">
        <is>
          <t>Report baseline 2022 (g CO₂eq/kWh)</t>
        </is>
      </c>
      <c r="G106" s="41" t="inlineStr">
        <is>
          <t>Live source at 2022 (same basis as the columns left)</t>
        </is>
      </c>
    </row>
    <row r="107" ht="14" customHeight="1">
      <c r="A107" s="15" t="n">
        <v>2005</v>
      </c>
      <c r="B107" s="42">
        <f>IF((A107&gt;=2023),ROUND((((F107*D107)/E107)/G107),1),C107)</f>
        <v/>
      </c>
      <c r="C107" s="43" t="n">
        <v>379</v>
      </c>
      <c r="D107" s="43" t="n"/>
      <c r="E107" s="43" t="n"/>
      <c r="F107" s="43" t="n"/>
      <c r="G107" s="43" t="n"/>
    </row>
    <row r="108" ht="14" customHeight="1">
      <c r="A108" s="21" t="n">
        <v>2006</v>
      </c>
      <c r="B108" s="44">
        <f>IF((A108&gt;=2023),ROUND((((F108*D108)/E108)/G108),1),C108)</f>
        <v/>
      </c>
      <c r="C108" s="45" t="n">
        <v>377</v>
      </c>
      <c r="D108" s="45" t="n"/>
      <c r="E108" s="45" t="n"/>
      <c r="F108" s="45" t="n"/>
      <c r="G108" s="45" t="n"/>
    </row>
    <row r="109" ht="14" customHeight="1">
      <c r="A109" s="15" t="n">
        <v>2007</v>
      </c>
      <c r="B109" s="42">
        <f>IF((A109&gt;=2023),ROUND((((F109*D109)/E109)/G109),1),C109)</f>
        <v/>
      </c>
      <c r="C109" s="43" t="n">
        <v>386</v>
      </c>
      <c r="D109" s="43" t="n"/>
      <c r="E109" s="43" t="n"/>
      <c r="F109" s="43" t="n"/>
      <c r="G109" s="43" t="n"/>
    </row>
    <row r="110" ht="14" customHeight="1">
      <c r="A110" s="21" t="n">
        <v>2008</v>
      </c>
      <c r="B110" s="44">
        <f>IF((A110&gt;=2023),ROUND((((F110*D110)/E110)/G110),1),C110)</f>
        <v/>
      </c>
      <c r="C110" s="45" t="n">
        <v>363</v>
      </c>
      <c r="D110" s="45" t="n"/>
      <c r="E110" s="45" t="n"/>
      <c r="F110" s="45" t="n"/>
      <c r="G110" s="45" t="n"/>
    </row>
    <row r="111" ht="14" customHeight="1">
      <c r="A111" s="15" t="n">
        <v>2009</v>
      </c>
      <c r="B111" s="42">
        <f>IF((A111&gt;=2023),ROUND((((F111*D111)/E111)/G111),1),C111)</f>
        <v/>
      </c>
      <c r="C111" s="43" t="n">
        <v>350</v>
      </c>
      <c r="D111" s="43" t="n"/>
      <c r="E111" s="43" t="n"/>
      <c r="F111" s="43" t="n"/>
      <c r="G111" s="43" t="n"/>
    </row>
    <row r="112" ht="14" customHeight="1">
      <c r="A112" s="21" t="n">
        <v>2010</v>
      </c>
      <c r="B112" s="44">
        <f>IF((A112&gt;=2023),ROUND((((F112*D112)/E112)/G112),1),C112)</f>
        <v/>
      </c>
      <c r="C112" s="45" t="n">
        <v>335</v>
      </c>
      <c r="D112" s="45" t="n"/>
      <c r="E112" s="45" t="n"/>
      <c r="F112" s="45" t="n"/>
      <c r="G112" s="45" t="n"/>
    </row>
    <row r="113" ht="14" customHeight="1">
      <c r="A113" s="15" t="n">
        <v>2011</v>
      </c>
      <c r="B113" s="42">
        <f>IF((A113&gt;=2023),ROUND((((F113*D113)/E113)/G113),1),C113)</f>
        <v/>
      </c>
      <c r="C113" s="43" t="n">
        <v>342</v>
      </c>
      <c r="D113" s="43" t="n"/>
      <c r="E113" s="43" t="n"/>
      <c r="F113" s="43" t="n"/>
      <c r="G113" s="43" t="n"/>
    </row>
    <row r="114" ht="14" customHeight="1">
      <c r="A114" s="21" t="n">
        <v>2012</v>
      </c>
      <c r="B114" s="44">
        <f>IF((A114&gt;=2023),ROUND((((F114*D114)/E114)/G114),1),C114)</f>
        <v/>
      </c>
      <c r="C114" s="45" t="n">
        <v>339</v>
      </c>
      <c r="D114" s="45" t="n"/>
      <c r="E114" s="45" t="n"/>
      <c r="F114" s="45" t="n"/>
      <c r="G114" s="45" t="n"/>
    </row>
    <row r="115" ht="14" customHeight="1">
      <c r="A115" s="15" t="n">
        <v>2013</v>
      </c>
      <c r="B115" s="42">
        <f>IF((A115&gt;=2023),ROUND((((F115*D115)/E115)/G115),1),C115)</f>
        <v/>
      </c>
      <c r="C115" s="43" t="n">
        <v>322</v>
      </c>
      <c r="D115" s="43" t="n"/>
      <c r="E115" s="43" t="n"/>
      <c r="F115" s="43" t="n"/>
      <c r="G115" s="43" t="n"/>
    </row>
    <row r="116" ht="14" customHeight="1">
      <c r="A116" s="21" t="n">
        <v>2014</v>
      </c>
      <c r="B116" s="44">
        <f>IF((A116&gt;=2023),ROUND((((F116*D116)/E116)/G116),1),C116)</f>
        <v/>
      </c>
      <c r="C116" s="45" t="n">
        <v>313</v>
      </c>
      <c r="D116" s="45" t="n"/>
      <c r="E116" s="45" t="n"/>
      <c r="F116" s="45" t="n"/>
      <c r="G116" s="45" t="n"/>
    </row>
    <row r="117" ht="14" customHeight="1">
      <c r="A117" s="15" t="n">
        <v>2015</v>
      </c>
      <c r="B117" s="42">
        <f>IF((A117&gt;=2023),ROUND((((F117*D117)/E117)/G117),1),C117)</f>
        <v/>
      </c>
      <c r="C117" s="43" t="n">
        <v>313</v>
      </c>
      <c r="D117" s="43" t="n"/>
      <c r="E117" s="43" t="n"/>
      <c r="F117" s="43" t="n"/>
      <c r="G117" s="43" t="n"/>
    </row>
    <row r="118" ht="14" customHeight="1">
      <c r="A118" s="21" t="n">
        <v>2016</v>
      </c>
      <c r="B118" s="44">
        <f>IF((A118&gt;=2023),ROUND((((F118*D118)/E118)/G118),1),C118)</f>
        <v/>
      </c>
      <c r="C118" s="45" t="n">
        <v>303</v>
      </c>
      <c r="D118" s="45" t="n"/>
      <c r="E118" s="45" t="n"/>
      <c r="F118" s="45" t="n"/>
      <c r="G118" s="45" t="n"/>
    </row>
    <row r="119" ht="14" customHeight="1">
      <c r="A119" s="15" t="n">
        <v>2017</v>
      </c>
      <c r="B119" s="42">
        <f>IF((A119&gt;=2023),ROUND((((F119*D119)/E119)/G119),1),C119)</f>
        <v/>
      </c>
      <c r="C119" s="43" t="n">
        <v>302</v>
      </c>
      <c r="D119" s="43" t="n"/>
      <c r="E119" s="43" t="n"/>
      <c r="F119" s="43" t="n"/>
      <c r="G119" s="43" t="n"/>
    </row>
    <row r="120" ht="14" customHeight="1">
      <c r="A120" s="21" t="n">
        <v>2018</v>
      </c>
      <c r="B120" s="44">
        <f>IF((A120&gt;=2023),ROUND((((F120*D120)/E120)/G120),1),C120)</f>
        <v/>
      </c>
      <c r="C120" s="45" t="n">
        <v>289</v>
      </c>
      <c r="D120" s="45" t="n"/>
      <c r="E120" s="45" t="n"/>
      <c r="F120" s="45" t="n"/>
      <c r="G120" s="45" t="n"/>
    </row>
    <row r="121" ht="14" customHeight="1">
      <c r="A121" s="15" t="n">
        <v>2019</v>
      </c>
      <c r="B121" s="42">
        <f>IF((A121&gt;=2023),ROUND((((F121*D121)/E121)/G121),1),C121)</f>
        <v/>
      </c>
      <c r="C121" s="43" t="n">
        <v>255</v>
      </c>
      <c r="D121" s="43" t="n"/>
      <c r="E121" s="43" t="n"/>
      <c r="F121" s="43" t="n"/>
      <c r="G121" s="43" t="n"/>
    </row>
    <row r="122" ht="14" customHeight="1">
      <c r="A122" s="21" t="n">
        <v>2020</v>
      </c>
      <c r="B122" s="44">
        <f>IF((A122&gt;=2023),ROUND((((F122*D122)/E122)/G122),1),C122)</f>
        <v/>
      </c>
      <c r="C122" s="45" t="n">
        <v>228</v>
      </c>
      <c r="D122" s="45" t="n"/>
      <c r="E122" s="45" t="n"/>
      <c r="F122" s="45" t="n"/>
      <c r="G122" s="45" t="n"/>
    </row>
    <row r="123" ht="14" customHeight="1">
      <c r="A123" s="15" t="n">
        <v>2021</v>
      </c>
      <c r="B123" s="42">
        <f>IF((A123&gt;=2023),ROUND((((F123*D123)/E123)/G123),1),C123)</f>
        <v/>
      </c>
      <c r="C123" s="43" t="n">
        <v>238</v>
      </c>
      <c r="D123" s="43" t="n"/>
      <c r="E123" s="43" t="n"/>
      <c r="F123" s="43" t="n"/>
      <c r="G123" s="43" t="n"/>
    </row>
    <row r="124" ht="14" customHeight="1">
      <c r="A124" s="21" t="n">
        <v>2022</v>
      </c>
      <c r="B124" s="44">
        <f>IF((A124&gt;=2023),ROUND((((F124*D124)/E124)/G124),1),C124)</f>
        <v/>
      </c>
      <c r="C124" s="45" t="n">
        <v>251</v>
      </c>
      <c r="D124" s="45" t="n"/>
      <c r="E124" s="45" t="n"/>
      <c r="F124" s="45" t="n"/>
      <c r="G124" s="45" t="n"/>
    </row>
    <row r="125" ht="14" customHeight="1">
      <c r="A125" s="15" t="n">
        <v>2023</v>
      </c>
      <c r="B125" s="42">
        <f>IF((A125&gt;=2023),ROUND((((F125*D125)/E125)/G125),1),C125)</f>
        <v/>
      </c>
      <c r="C125" s="43" t="n"/>
      <c r="D125" s="43" t="n">
        <v>698.41559</v>
      </c>
      <c r="E125" s="43" t="n">
        <v>2760944.843</v>
      </c>
      <c r="F125" s="43" t="n">
        <v>251</v>
      </c>
      <c r="G125" s="43" t="n">
        <v>0.000304</v>
      </c>
    </row>
    <row r="126" ht="14" customHeight="1">
      <c r="A126" s="21" t="n">
        <v>2024</v>
      </c>
      <c r="B126" s="44">
        <f>IF((A126&gt;=2023),ROUND((((F126*D126)/E126)/G126),1),C126)</f>
        <v/>
      </c>
      <c r="C126" s="45" t="n"/>
      <c r="D126" s="45" t="n">
        <v>642.41481</v>
      </c>
      <c r="E126" s="45" t="n">
        <v>2828734.401</v>
      </c>
      <c r="F126" s="45" t="n">
        <v>251</v>
      </c>
      <c r="G126" s="45" t="n">
        <v>0.000304</v>
      </c>
    </row>
    <row r="129">
      <c r="A129" s="46" t="inlineStr">
        <is>
          <t>E4a · Annual solar PV capacity additions (EU)  (GW/yr)</t>
        </is>
      </c>
    </row>
    <row r="130" ht="24" customHeight="1">
      <c r="A130" s="3" t="inlineStr">
        <is>
          <t>Derivation:  Value = IF(A &gt;= 2023, [Post-report figure as published], ([Solar PV cumulative capacity (MW)] - [Solar PV cumulative capacity (MW) (previous year)]) / 1000.0)</t>
        </is>
      </c>
    </row>
    <row r="131" ht="42" customHeight="1">
      <c r="A131" s="41" t="inlineStr">
        <is>
          <t>Year</t>
        </is>
      </c>
      <c r="B131" s="41" t="inlineStr">
        <is>
          <t>Value</t>
        </is>
      </c>
      <c r="C131" s="41" t="inlineStr">
        <is>
          <t>Solar PV cumulative capacity (MW)</t>
        </is>
      </c>
      <c r="D131" s="41" t="inlineStr">
        <is>
          <t>Solar PV cumulative capacity (MW) (previous year)</t>
        </is>
      </c>
      <c r="E131" s="41" t="inlineStr">
        <is>
          <t>Post-report figure as published</t>
        </is>
      </c>
    </row>
    <row r="132" ht="14" customHeight="1">
      <c r="A132" s="15" t="n">
        <v>2006</v>
      </c>
      <c r="B132" s="42">
        <f>IF((A132&gt;=2023),E132,((C132-D132)/1000))</f>
        <v/>
      </c>
      <c r="C132" s="43" t="n">
        <v>3213.924</v>
      </c>
      <c r="D132" s="43" t="n">
        <v>2269.187</v>
      </c>
      <c r="E132" s="43" t="n"/>
    </row>
    <row r="133" ht="14" customHeight="1">
      <c r="A133" s="21" t="n">
        <v>2007</v>
      </c>
      <c r="B133" s="44">
        <f>IF((A133&gt;=2023),E133,((C133-D133)/1000))</f>
        <v/>
      </c>
      <c r="C133" s="45" t="n">
        <v>4975.133</v>
      </c>
      <c r="D133" s="45" t="n">
        <v>3213.924</v>
      </c>
      <c r="E133" s="45" t="n"/>
    </row>
    <row r="134" ht="14" customHeight="1">
      <c r="A134" s="15" t="n">
        <v>2008</v>
      </c>
      <c r="B134" s="42">
        <f>IF((A134&gt;=2023),E134,((C134-D134)/1000))</f>
        <v/>
      </c>
      <c r="C134" s="43" t="n">
        <v>10374.182</v>
      </c>
      <c r="D134" s="43" t="n">
        <v>4975.133</v>
      </c>
      <c r="E134" s="43" t="n"/>
    </row>
    <row r="135" ht="14" customHeight="1">
      <c r="A135" s="21" t="n">
        <v>2009</v>
      </c>
      <c r="B135" s="44">
        <f>IF((A135&gt;=2023),E135,((C135-D135)/1000))</f>
        <v/>
      </c>
      <c r="C135" s="45" t="n">
        <v>16715.489</v>
      </c>
      <c r="D135" s="45" t="n">
        <v>10374.182</v>
      </c>
      <c r="E135" s="45" t="n"/>
    </row>
    <row r="136" ht="14" customHeight="1">
      <c r="A136" s="15" t="n">
        <v>2010</v>
      </c>
      <c r="B136" s="42">
        <f>IF((A136&gt;=2023),E136,((C136-D136)/1000))</f>
        <v/>
      </c>
      <c r="C136" s="43" t="n">
        <v>29882.357</v>
      </c>
      <c r="D136" s="43" t="n">
        <v>16715.489</v>
      </c>
      <c r="E136" s="43" t="n"/>
    </row>
    <row r="137" ht="14" customHeight="1">
      <c r="A137" s="21" t="n">
        <v>2011</v>
      </c>
      <c r="B137" s="44">
        <f>IF((A137&gt;=2023),E137,((C137-D137)/1000))</f>
        <v/>
      </c>
      <c r="C137" s="45" t="n">
        <v>52136.109</v>
      </c>
      <c r="D137" s="45" t="n">
        <v>29882.357</v>
      </c>
      <c r="E137" s="45" t="n"/>
    </row>
    <row r="138" ht="14" customHeight="1">
      <c r="A138" s="15" t="n">
        <v>2012</v>
      </c>
      <c r="B138" s="42">
        <f>IF((A138&gt;=2023),E138,((C138-D138)/1000))</f>
        <v/>
      </c>
      <c r="C138" s="43" t="n">
        <v>69039.41800000001</v>
      </c>
      <c r="D138" s="43" t="n">
        <v>52136.109</v>
      </c>
      <c r="E138" s="43" t="n"/>
    </row>
    <row r="139" ht="14" customHeight="1">
      <c r="A139" s="21" t="n">
        <v>2013</v>
      </c>
      <c r="B139" s="44">
        <f>IF((A139&gt;=2023),E139,((C139-D139)/1000))</f>
        <v/>
      </c>
      <c r="C139" s="45" t="n">
        <v>77402.829</v>
      </c>
      <c r="D139" s="45" t="n">
        <v>69039.41800000001</v>
      </c>
      <c r="E139" s="45" t="n"/>
    </row>
    <row r="140" ht="14" customHeight="1">
      <c r="A140" s="15" t="n">
        <v>2014</v>
      </c>
      <c r="B140" s="42">
        <f>IF((A140&gt;=2023),E140,((C140-D140)/1000))</f>
        <v/>
      </c>
      <c r="C140" s="43" t="n">
        <v>81313.29300000001</v>
      </c>
      <c r="D140" s="43" t="n">
        <v>77402.829</v>
      </c>
      <c r="E140" s="43" t="n"/>
    </row>
    <row r="141" ht="14" customHeight="1">
      <c r="A141" s="21" t="n">
        <v>2015</v>
      </c>
      <c r="B141" s="44">
        <f>IF((A141&gt;=2023),E141,((C141-D141)/1000))</f>
        <v/>
      </c>
      <c r="C141" s="45" t="n">
        <v>85379.371</v>
      </c>
      <c r="D141" s="45" t="n">
        <v>81313.29300000001</v>
      </c>
      <c r="E141" s="45" t="n"/>
    </row>
    <row r="142" ht="14" customHeight="1">
      <c r="A142" s="15" t="n">
        <v>2016</v>
      </c>
      <c r="B142" s="42">
        <f>IF((A142&gt;=2023),E142,((C142-D142)/1000))</f>
        <v/>
      </c>
      <c r="C142" s="43" t="n">
        <v>89194.64</v>
      </c>
      <c r="D142" s="43" t="n">
        <v>85379.371</v>
      </c>
      <c r="E142" s="43" t="n"/>
    </row>
    <row r="143" ht="14" customHeight="1">
      <c r="A143" s="21" t="n">
        <v>2017</v>
      </c>
      <c r="B143" s="44">
        <f>IF((A143&gt;=2023),E143,((C143-D143)/1000))</f>
        <v/>
      </c>
      <c r="C143" s="45" t="n">
        <v>93926.95600000001</v>
      </c>
      <c r="D143" s="45" t="n">
        <v>89194.64</v>
      </c>
      <c r="E143" s="45" t="n"/>
    </row>
    <row r="144" ht="14" customHeight="1">
      <c r="A144" s="15" t="n">
        <v>2018</v>
      </c>
      <c r="B144" s="42">
        <f>IF((A144&gt;=2023),E144,((C144-D144)/1000))</f>
        <v/>
      </c>
      <c r="C144" s="43" t="n">
        <v>101752.858</v>
      </c>
      <c r="D144" s="43" t="n">
        <v>93926.95600000001</v>
      </c>
      <c r="E144" s="43" t="n"/>
    </row>
    <row r="145" ht="14" customHeight="1">
      <c r="A145" s="21" t="n">
        <v>2019</v>
      </c>
      <c r="B145" s="44">
        <f>IF((A145&gt;=2023),E145,((C145-D145)/1000))</f>
        <v/>
      </c>
      <c r="C145" s="45" t="n">
        <v>117903.535</v>
      </c>
      <c r="D145" s="45" t="n">
        <v>101752.858</v>
      </c>
      <c r="E145" s="45" t="n"/>
    </row>
    <row r="146" ht="14" customHeight="1">
      <c r="A146" s="15" t="n">
        <v>2020</v>
      </c>
      <c r="B146" s="42">
        <f>IF((A146&gt;=2023),E146,((C146-D146)/1000))</f>
        <v/>
      </c>
      <c r="C146" s="43" t="n">
        <v>136176.363</v>
      </c>
      <c r="D146" s="43" t="n">
        <v>117903.535</v>
      </c>
      <c r="E146" s="43" t="n"/>
    </row>
    <row r="147" ht="14" customHeight="1">
      <c r="A147" s="21" t="n">
        <v>2021</v>
      </c>
      <c r="B147" s="44">
        <f>IF((A147&gt;=2023),E147,((C147-D147)/1000))</f>
        <v/>
      </c>
      <c r="C147" s="45" t="n">
        <v>161879.223</v>
      </c>
      <c r="D147" s="45" t="n">
        <v>136176.363</v>
      </c>
      <c r="E147" s="45" t="n"/>
    </row>
    <row r="148" ht="14" customHeight="1">
      <c r="A148" s="15" t="n">
        <v>2023</v>
      </c>
      <c r="B148" s="42">
        <f>IF((A148&gt;=2023),E148,((C148-D148)/1000))</f>
        <v/>
      </c>
      <c r="C148" s="43" t="n"/>
      <c r="D148" s="43" t="n"/>
      <c r="E148" s="43" t="n">
        <v>56</v>
      </c>
    </row>
    <row r="149" ht="14" customHeight="1">
      <c r="A149" s="21" t="n">
        <v>2024</v>
      </c>
      <c r="B149" s="44">
        <f>IF((A149&gt;=2023),E149,((C149-D149)/1000))</f>
        <v/>
      </c>
      <c r="C149" s="45" t="n"/>
      <c r="D149" s="45" t="n"/>
      <c r="E149" s="45" t="n">
        <v>65.5</v>
      </c>
    </row>
    <row r="150" ht="14" customHeight="1">
      <c r="A150" s="15" t="n">
        <v>2025</v>
      </c>
      <c r="B150" s="42">
        <f>IF((A150&gt;=2023),E150,((C150-D150)/1000))</f>
        <v/>
      </c>
      <c r="C150" s="43" t="n"/>
      <c r="D150" s="43" t="n"/>
      <c r="E150" s="43" t="n">
        <v>65.09999999999999</v>
      </c>
    </row>
    <row r="153">
      <c r="A153" s="46" t="inlineStr">
        <is>
          <t>E4b/c · Annual wind capacity additions (EU)  (GW/yr)</t>
        </is>
      </c>
    </row>
    <row r="154" ht="24" customHeight="1">
      <c r="A154" s="3" t="inlineStr">
        <is>
          <t>Derivation:  Value = IF(A &gt;= 2023, [Post-report figure as published], ([Onshore wind cumulative capacity (MW)] - [Onshore wind cumulative capacity (MW) (previous year)]) / 1000.0)</t>
        </is>
      </c>
    </row>
    <row r="155" ht="42" customHeight="1">
      <c r="A155" s="41" t="inlineStr">
        <is>
          <t>Year</t>
        </is>
      </c>
      <c r="B155" s="41" t="inlineStr">
        <is>
          <t>Value</t>
        </is>
      </c>
      <c r="C155" s="41" t="inlineStr">
        <is>
          <t>Onshore wind cumulative capacity (MW)</t>
        </is>
      </c>
      <c r="D155" s="41" t="inlineStr">
        <is>
          <t>Onshore wind cumulative capacity (MW) (previous year)</t>
        </is>
      </c>
      <c r="E155" s="41" t="inlineStr">
        <is>
          <t>Post-report figure as published</t>
        </is>
      </c>
    </row>
    <row r="156" ht="14" customHeight="1">
      <c r="A156" s="15" t="n">
        <v>2006</v>
      </c>
      <c r="B156" s="42">
        <f>IF((A156&gt;=2023),E156,((C156-D156)/1000))</f>
        <v/>
      </c>
      <c r="C156" s="43" t="n">
        <v>43350.74</v>
      </c>
      <c r="D156" s="43" t="n">
        <v>37419.13</v>
      </c>
      <c r="E156" s="43" t="n"/>
    </row>
    <row r="157" ht="14" customHeight="1">
      <c r="A157" s="21" t="n">
        <v>2007</v>
      </c>
      <c r="B157" s="44">
        <f>IF((A157&gt;=2023),E157,((C157-D157)/1000))</f>
        <v/>
      </c>
      <c r="C157" s="45" t="n">
        <v>50171.448</v>
      </c>
      <c r="D157" s="45" t="n">
        <v>43350.74</v>
      </c>
      <c r="E157" s="45" t="n"/>
    </row>
    <row r="158" ht="14" customHeight="1">
      <c r="A158" s="15" t="n">
        <v>2008</v>
      </c>
      <c r="B158" s="42">
        <f>IF((A158&gt;=2023),E158,((C158-D158)/1000))</f>
        <v/>
      </c>
      <c r="C158" s="43" t="n">
        <v>55480.934</v>
      </c>
      <c r="D158" s="43" t="n">
        <v>50171.448</v>
      </c>
      <c r="E158" s="43" t="n"/>
    </row>
    <row r="159" ht="14" customHeight="1">
      <c r="A159" s="21" t="n">
        <v>2009</v>
      </c>
      <c r="B159" s="44">
        <f>IF((A159&gt;=2023),E159,((C159-D159)/1000))</f>
        <v/>
      </c>
      <c r="C159" s="45" t="n">
        <v>64803.677</v>
      </c>
      <c r="D159" s="45" t="n">
        <v>55480.934</v>
      </c>
      <c r="E159" s="45" t="n"/>
    </row>
    <row r="160" ht="14" customHeight="1">
      <c r="A160" s="15" t="n">
        <v>2010</v>
      </c>
      <c r="B160" s="42">
        <f>IF((A160&gt;=2023),E160,((C160-D160)/1000))</f>
        <v/>
      </c>
      <c r="C160" s="43" t="n">
        <v>70610.359</v>
      </c>
      <c r="D160" s="43" t="n">
        <v>64803.677</v>
      </c>
      <c r="E160" s="43" t="n"/>
    </row>
    <row r="161" ht="14" customHeight="1">
      <c r="A161" s="21" t="n">
        <v>2011</v>
      </c>
      <c r="B161" s="44">
        <f>IF((A161&gt;=2023),E161,((C161-D161)/1000))</f>
        <v/>
      </c>
      <c r="C161" s="45" t="n">
        <v>84226.42</v>
      </c>
      <c r="D161" s="45" t="n">
        <v>70610.359</v>
      </c>
      <c r="E161" s="45" t="n"/>
    </row>
    <row r="162" ht="14" customHeight="1">
      <c r="A162" s="15" t="n">
        <v>2012</v>
      </c>
      <c r="B162" s="42">
        <f>IF((A162&gt;=2023),E162,((C162-D162)/1000))</f>
        <v/>
      </c>
      <c r="C162" s="43" t="n">
        <v>92679.891</v>
      </c>
      <c r="D162" s="43" t="n">
        <v>84226.42</v>
      </c>
      <c r="E162" s="43" t="n"/>
    </row>
    <row r="163" ht="14" customHeight="1">
      <c r="A163" s="21" t="n">
        <v>2013</v>
      </c>
      <c r="B163" s="44">
        <f>IF((A163&gt;=2023),E163,((C163-D163)/1000))</f>
        <v/>
      </c>
      <c r="C163" s="45" t="n">
        <v>99239.16499999999</v>
      </c>
      <c r="D163" s="45" t="n">
        <v>92679.891</v>
      </c>
      <c r="E163" s="45" t="n"/>
    </row>
    <row r="164" ht="14" customHeight="1">
      <c r="A164" s="15" t="n">
        <v>2014</v>
      </c>
      <c r="B164" s="42">
        <f>IF((A164&gt;=2023),E164,((C164-D164)/1000))</f>
        <v/>
      </c>
      <c r="C164" s="43" t="n">
        <v>108256.141</v>
      </c>
      <c r="D164" s="43" t="n">
        <v>99239.16499999999</v>
      </c>
      <c r="E164" s="43" t="n"/>
    </row>
    <row r="165" ht="14" customHeight="1">
      <c r="A165" s="21" t="n">
        <v>2015</v>
      </c>
      <c r="B165" s="44">
        <f>IF((A165&gt;=2023),E165,((C165-D165)/1000))</f>
        <v/>
      </c>
      <c r="C165" s="45" t="n">
        <v>117502.431</v>
      </c>
      <c r="D165" s="45" t="n">
        <v>108256.141</v>
      </c>
      <c r="E165" s="45" t="n"/>
    </row>
    <row r="166" ht="14" customHeight="1">
      <c r="A166" s="15" t="n">
        <v>2016</v>
      </c>
      <c r="B166" s="42">
        <f>IF((A166&gt;=2023),E166,((C166-D166)/1000))</f>
        <v/>
      </c>
      <c r="C166" s="43" t="n">
        <v>126951.247</v>
      </c>
      <c r="D166" s="43" t="n">
        <v>117502.431</v>
      </c>
      <c r="E166" s="43" t="n"/>
    </row>
    <row r="167" ht="14" customHeight="1">
      <c r="A167" s="21" t="n">
        <v>2017</v>
      </c>
      <c r="B167" s="44">
        <f>IF((A167&gt;=2023),E167,((C167-D167)/1000))</f>
        <v/>
      </c>
      <c r="C167" s="45" t="n">
        <v>140132.585</v>
      </c>
      <c r="D167" s="45" t="n">
        <v>126951.247</v>
      </c>
      <c r="E167" s="45" t="n"/>
    </row>
    <row r="168" ht="14" customHeight="1">
      <c r="A168" s="15" t="n">
        <v>2018</v>
      </c>
      <c r="B168" s="42">
        <f>IF((A168&gt;=2023),E168,((C168-D168)/1000))</f>
        <v/>
      </c>
      <c r="C168" s="43" t="n">
        <v>146699.078</v>
      </c>
      <c r="D168" s="43" t="n">
        <v>140132.585</v>
      </c>
      <c r="E168" s="43" t="n"/>
    </row>
    <row r="169" ht="14" customHeight="1">
      <c r="A169" s="21" t="n">
        <v>2019</v>
      </c>
      <c r="B169" s="44">
        <f>IF((A169&gt;=2023),E169,((C169-D169)/1000))</f>
        <v/>
      </c>
      <c r="C169" s="45" t="n">
        <v>155094.764</v>
      </c>
      <c r="D169" s="45" t="n">
        <v>146699.078</v>
      </c>
      <c r="E169" s="45" t="n"/>
    </row>
    <row r="170" ht="14" customHeight="1">
      <c r="A170" s="15" t="n">
        <v>2020</v>
      </c>
      <c r="B170" s="42">
        <f>IF((A170&gt;=2023),E170,((C170-D170)/1000))</f>
        <v/>
      </c>
      <c r="C170" s="43" t="n">
        <v>162548.749</v>
      </c>
      <c r="D170" s="43" t="n">
        <v>155094.764</v>
      </c>
      <c r="E170" s="43" t="n"/>
    </row>
    <row r="171" ht="14" customHeight="1">
      <c r="A171" s="21" t="n">
        <v>2021</v>
      </c>
      <c r="B171" s="44">
        <f>IF((A171&gt;=2023),E171,((C171-D171)/1000))</f>
        <v/>
      </c>
      <c r="C171" s="45" t="n">
        <v>173265.863</v>
      </c>
      <c r="D171" s="45" t="n">
        <v>162548.749</v>
      </c>
      <c r="E171" s="45" t="n"/>
    </row>
    <row r="172" ht="14" customHeight="1">
      <c r="A172" s="15" t="n">
        <v>2023</v>
      </c>
      <c r="B172" s="42">
        <f>IF((A172&gt;=2023),E172,((C172-D172)/1000))</f>
        <v/>
      </c>
      <c r="C172" s="43" t="n"/>
      <c r="D172" s="43" t="n"/>
      <c r="E172" s="43" t="n">
        <v>16.2</v>
      </c>
    </row>
    <row r="173" ht="14" customHeight="1">
      <c r="A173" s="21" t="n">
        <v>2024</v>
      </c>
      <c r="B173" s="44">
        <f>IF((A173&gt;=2023),E173,((C173-D173)/1000))</f>
        <v/>
      </c>
      <c r="C173" s="45" t="n"/>
      <c r="D173" s="45" t="n"/>
      <c r="E173" s="45" t="n">
        <v>12.9</v>
      </c>
    </row>
    <row r="174" ht="14" customHeight="1">
      <c r="A174" s="15" t="n">
        <v>2025</v>
      </c>
      <c r="B174" s="42">
        <f>IF((A174&gt;=2023),E174,((C174-D174)/1000))</f>
        <v/>
      </c>
      <c r="C174" s="43" t="n"/>
      <c r="D174" s="43" t="n"/>
      <c r="E174" s="43" t="n">
        <v>15.1</v>
      </c>
    </row>
    <row r="177">
      <c r="A177" s="46" t="inlineStr">
        <is>
          <t>E6 · Energy-related methane emissions (EU-27)  (Mt CO₂eq)</t>
        </is>
      </c>
    </row>
    <row r="178" ht="24" customHeight="1">
      <c r="A178" s="3" t="inlineStr">
        <is>
          <t>Derivation:  Value = IF(A &gt;= 2022, ROUND([Report baseline 2021 (Mt CO₂eq)] * [env_air_gge CRF1 CH4] / [Live source at 2021 (same basis as the columns left)], 2), ([Fuel combustion]+[Fugitive - solid fuels]+[Fugitive - other]))</t>
        </is>
      </c>
    </row>
    <row r="179" ht="42" customHeight="1">
      <c r="A179" s="41" t="inlineStr">
        <is>
          <t>Year</t>
        </is>
      </c>
      <c r="B179" s="41" t="inlineStr">
        <is>
          <t>Value</t>
        </is>
      </c>
      <c r="C179" s="41" t="inlineStr">
        <is>
          <t>Fuel combustion</t>
        </is>
      </c>
      <c r="D179" s="41" t="inlineStr">
        <is>
          <t>Fugitive - solid fuels</t>
        </is>
      </c>
      <c r="E179" s="41" t="inlineStr">
        <is>
          <t>Fugitive - other</t>
        </is>
      </c>
      <c r="F179" s="41" t="inlineStr">
        <is>
          <t>env_air_gge CRF1 CH4</t>
        </is>
      </c>
      <c r="G179" s="41" t="inlineStr">
        <is>
          <t>Report baseline 2021 (Mt CO₂eq)</t>
        </is>
      </c>
      <c r="H179" s="41" t="inlineStr">
        <is>
          <t>Live source at 2021 (same basis as the columns left)</t>
        </is>
      </c>
    </row>
    <row r="180" ht="14" customHeight="1">
      <c r="A180" s="15" t="n">
        <v>2005</v>
      </c>
      <c r="B180" s="42">
        <f>IF((A180&gt;=2022),ROUND(((G180*F180)/H180),2),((C180+D180)+E180))</f>
        <v/>
      </c>
      <c r="C180" s="43" t="n">
        <v>25.69913121828941</v>
      </c>
      <c r="D180" s="43" t="n">
        <v>52.8315854181241</v>
      </c>
      <c r="E180" s="43" t="n">
        <v>31.6165845699223</v>
      </c>
      <c r="F180" s="43" t="n"/>
      <c r="G180" s="43" t="n"/>
      <c r="H180" s="43" t="n"/>
    </row>
    <row r="181" ht="14" customHeight="1">
      <c r="A181" s="21" t="n">
        <v>2006</v>
      </c>
      <c r="B181" s="44">
        <f>IF((A181&gt;=2022),ROUND(((G181*F181)/H181),2),((C181+D181)+E181))</f>
        <v/>
      </c>
      <c r="C181" s="45" t="n">
        <v>25.88645840097239</v>
      </c>
      <c r="D181" s="45" t="n">
        <v>49.49190640968661</v>
      </c>
      <c r="E181" s="45" t="n">
        <v>30.42661730524428</v>
      </c>
      <c r="F181" s="45" t="n"/>
      <c r="G181" s="45" t="n"/>
      <c r="H181" s="45" t="n"/>
    </row>
    <row r="182" ht="14" customHeight="1">
      <c r="A182" s="15" t="n">
        <v>2007</v>
      </c>
      <c r="B182" s="42">
        <f>IF((A182&gt;=2022),ROUND(((G182*F182)/H182),2),((C182+D182)+E182))</f>
        <v/>
      </c>
      <c r="C182" s="43" t="n">
        <v>26.44340852708844</v>
      </c>
      <c r="D182" s="43" t="n">
        <v>46.35706082534897</v>
      </c>
      <c r="E182" s="43" t="n">
        <v>29.05688421787791</v>
      </c>
      <c r="F182" s="43" t="n"/>
      <c r="G182" s="43" t="n"/>
      <c r="H182" s="43" t="n"/>
    </row>
    <row r="183" ht="14" customHeight="1">
      <c r="A183" s="21" t="n">
        <v>2008</v>
      </c>
      <c r="B183" s="44">
        <f>IF((A183&gt;=2022),ROUND(((G183*F183)/H183),2),((C183+D183)+E183))</f>
        <v/>
      </c>
      <c r="C183" s="45" t="n">
        <v>27.93711041395692</v>
      </c>
      <c r="D183" s="45" t="n">
        <v>45.6097659020955</v>
      </c>
      <c r="E183" s="45" t="n">
        <v>28.52187349951384</v>
      </c>
      <c r="F183" s="45" t="n"/>
      <c r="G183" s="45" t="n"/>
      <c r="H183" s="45" t="n"/>
    </row>
    <row r="184" ht="14" customHeight="1">
      <c r="A184" s="15" t="n">
        <v>2009</v>
      </c>
      <c r="B184" s="42">
        <f>IF((A184&gt;=2022),ROUND(((G184*F184)/H184),2),((C184+D184)+E184))</f>
        <v/>
      </c>
      <c r="C184" s="43" t="n">
        <v>27.64360515860903</v>
      </c>
      <c r="D184" s="43" t="n">
        <v>41.59625229511023</v>
      </c>
      <c r="E184" s="43" t="n">
        <v>27.20921554389038</v>
      </c>
      <c r="F184" s="43" t="n"/>
      <c r="G184" s="43" t="n"/>
      <c r="H184" s="43" t="n"/>
    </row>
    <row r="185" ht="14" customHeight="1">
      <c r="A185" s="21" t="n">
        <v>2010</v>
      </c>
      <c r="B185" s="44">
        <f>IF((A185&gt;=2022),ROUND(((G185*F185)/H185),2),((C185+D185)+E185))</f>
        <v/>
      </c>
      <c r="C185" s="45" t="n">
        <v>29.33178661169264</v>
      </c>
      <c r="D185" s="45" t="n">
        <v>40.16641671519278</v>
      </c>
      <c r="E185" s="45" t="n">
        <v>27.51972070102189</v>
      </c>
      <c r="F185" s="45" t="n"/>
      <c r="G185" s="45" t="n"/>
      <c r="H185" s="45" t="n"/>
    </row>
    <row r="186" ht="14" customHeight="1">
      <c r="A186" s="15" t="n">
        <v>2011</v>
      </c>
      <c r="B186" s="42">
        <f>IF((A186&gt;=2022),ROUND(((G186*F186)/H186),2),((C186+D186)+E186))</f>
        <v/>
      </c>
      <c r="C186" s="43" t="n">
        <v>26.57230662709831</v>
      </c>
      <c r="D186" s="43" t="n">
        <v>39.84312604488972</v>
      </c>
      <c r="E186" s="43" t="n">
        <v>26.65063962254466</v>
      </c>
      <c r="F186" s="43" t="n"/>
      <c r="G186" s="43" t="n"/>
      <c r="H186" s="43" t="n"/>
    </row>
    <row r="187" ht="14" customHeight="1">
      <c r="A187" s="21" t="n">
        <v>2012</v>
      </c>
      <c r="B187" s="44">
        <f>IF((A187&gt;=2022),ROUND(((G187*F187)/H187),2),((C187+D187)+E187))</f>
        <v/>
      </c>
      <c r="C187" s="45" t="n">
        <v>28.15329352862047</v>
      </c>
      <c r="D187" s="45" t="n">
        <v>40.07079647107277</v>
      </c>
      <c r="E187" s="45" t="n">
        <v>25.6343658127353</v>
      </c>
      <c r="F187" s="45" t="n"/>
      <c r="G187" s="45" t="n"/>
      <c r="H187" s="45" t="n"/>
    </row>
    <row r="188" ht="14" customHeight="1">
      <c r="A188" s="15" t="n">
        <v>2013</v>
      </c>
      <c r="B188" s="42">
        <f>IF((A188&gt;=2022),ROUND(((G188*F188)/H188),2),((C188+D188)+E188))</f>
        <v/>
      </c>
      <c r="C188" s="43" t="n">
        <v>28.02216466422844</v>
      </c>
      <c r="D188" s="43" t="n">
        <v>37.68075968792657</v>
      </c>
      <c r="E188" s="43" t="n">
        <v>25.23866328163211</v>
      </c>
      <c r="F188" s="43" t="n"/>
      <c r="G188" s="43" t="n"/>
      <c r="H188" s="43" t="n"/>
    </row>
    <row r="189" ht="14" customHeight="1">
      <c r="A189" s="21" t="n">
        <v>2014</v>
      </c>
      <c r="B189" s="44">
        <f>IF((A189&gt;=2022),ROUND(((G189*F189)/H189),2),((C189+D189)+E189))</f>
        <v/>
      </c>
      <c r="C189" s="45" t="n">
        <v>25.17152560061331</v>
      </c>
      <c r="D189" s="45" t="n">
        <v>36.39667748713047</v>
      </c>
      <c r="E189" s="45" t="n">
        <v>24.25620946708074</v>
      </c>
      <c r="F189" s="45" t="n"/>
      <c r="G189" s="45" t="n"/>
      <c r="H189" s="45" t="n"/>
    </row>
    <row r="190" ht="14" customHeight="1">
      <c r="A190" s="15" t="n">
        <v>2015</v>
      </c>
      <c r="B190" s="42">
        <f>IF((A190&gt;=2022),ROUND(((G190*F190)/H190),2),((C190+D190)+E190))</f>
        <v/>
      </c>
      <c r="C190" s="43" t="n">
        <v>25.86973603354605</v>
      </c>
      <c r="D190" s="43" t="n">
        <v>37.40270435291585</v>
      </c>
      <c r="E190" s="43" t="n">
        <v>23.0256932298698</v>
      </c>
      <c r="F190" s="43" t="n"/>
      <c r="G190" s="43" t="n"/>
      <c r="H190" s="43" t="n"/>
    </row>
    <row r="191" ht="14" customHeight="1">
      <c r="A191" s="21" t="n">
        <v>2016</v>
      </c>
      <c r="B191" s="44">
        <f>IF((A191&gt;=2022),ROUND(((G191*F191)/H191),2),((C191+D191)+E191))</f>
        <v/>
      </c>
      <c r="C191" s="45" t="n">
        <v>25.95711318460804</v>
      </c>
      <c r="D191" s="45" t="n">
        <v>35.33477220579638</v>
      </c>
      <c r="E191" s="45" t="n">
        <v>22.23766194622106</v>
      </c>
      <c r="F191" s="45" t="n"/>
      <c r="G191" s="45" t="n"/>
      <c r="H191" s="45" t="n"/>
    </row>
    <row r="192" ht="14" customHeight="1">
      <c r="A192" s="15" t="n">
        <v>2017</v>
      </c>
      <c r="B192" s="42">
        <f>IF((A192&gt;=2022),ROUND(((G192*F192)/H192),2),((C192+D192)+E192))</f>
        <v/>
      </c>
      <c r="C192" s="43" t="n">
        <v>26.25607488050714</v>
      </c>
      <c r="D192" s="43" t="n">
        <v>34.71967149637995</v>
      </c>
      <c r="E192" s="43" t="n">
        <v>21.72320950375489</v>
      </c>
      <c r="F192" s="43" t="n"/>
      <c r="G192" s="43" t="n"/>
      <c r="H192" s="43" t="n"/>
    </row>
    <row r="193" ht="14" customHeight="1">
      <c r="A193" s="21" t="n">
        <v>2018</v>
      </c>
      <c r="B193" s="44">
        <f>IF((A193&gt;=2022),ROUND(((G193*F193)/H193),2),((C193+D193)+E193))</f>
        <v/>
      </c>
      <c r="C193" s="45" t="n">
        <v>26.58688958737584</v>
      </c>
      <c r="D193" s="45" t="n">
        <v>32.41012205897192</v>
      </c>
      <c r="E193" s="45" t="n">
        <v>20.69434369051864</v>
      </c>
      <c r="F193" s="45" t="n"/>
      <c r="G193" s="45" t="n"/>
      <c r="H193" s="45" t="n"/>
    </row>
    <row r="194" ht="14" customHeight="1">
      <c r="A194" s="15" t="n">
        <v>2019</v>
      </c>
      <c r="B194" s="42">
        <f>IF((A194&gt;=2022),ROUND(((G194*F194)/H194),2),((C194+D194)+E194))</f>
        <v/>
      </c>
      <c r="C194" s="43" t="n">
        <v>25.94378265274558</v>
      </c>
      <c r="D194" s="43" t="n">
        <v>28.01834710880188</v>
      </c>
      <c r="E194" s="43" t="n">
        <v>19.2516119641467</v>
      </c>
      <c r="F194" s="43" t="n"/>
      <c r="G194" s="43" t="n"/>
      <c r="H194" s="43" t="n"/>
    </row>
    <row r="195" ht="14" customHeight="1">
      <c r="A195" s="21" t="n">
        <v>2020</v>
      </c>
      <c r="B195" s="44">
        <f>IF((A195&gt;=2022),ROUND(((G195*F195)/H195),2),((C195+D195)+E195))</f>
        <v/>
      </c>
      <c r="C195" s="45" t="n">
        <v>25.26746562288206</v>
      </c>
      <c r="D195" s="45" t="n">
        <v>26.12143927772557</v>
      </c>
      <c r="E195" s="45" t="n">
        <v>18.23598185588754</v>
      </c>
      <c r="F195" s="45" t="n"/>
      <c r="G195" s="45" t="n"/>
      <c r="H195" s="45" t="n"/>
    </row>
    <row r="196" ht="14" customHeight="1">
      <c r="A196" s="15" t="n">
        <v>2021</v>
      </c>
      <c r="B196" s="42">
        <f>IF((A196&gt;=2022),ROUND(((G196*F196)/H196),2),((C196+D196)+E196))</f>
        <v/>
      </c>
      <c r="C196" s="43" t="n">
        <v>26.52328217715002</v>
      </c>
      <c r="D196" s="43" t="n">
        <v>25.62160457337648</v>
      </c>
      <c r="E196" s="43" t="n">
        <v>17.76021328091393</v>
      </c>
      <c r="F196" s="43" t="n"/>
      <c r="G196" s="43" t="n"/>
      <c r="H196" s="43" t="n"/>
    </row>
    <row r="197" ht="14" customHeight="1">
      <c r="A197" s="21" t="n">
        <v>2022</v>
      </c>
      <c r="B197" s="44">
        <f>IF((A197&gt;=2022),ROUND(((G197*F197)/H197),2),((C197+D197)+E197))</f>
        <v/>
      </c>
      <c r="C197" s="45" t="n"/>
      <c r="D197" s="45" t="n"/>
      <c r="E197" s="45" t="n"/>
      <c r="F197" s="45" t="n">
        <v>2.07953</v>
      </c>
      <c r="G197" s="45" t="n">
        <v>69.91</v>
      </c>
      <c r="H197" s="45" t="n">
        <v>2.2554</v>
      </c>
    </row>
    <row r="198" ht="14" customHeight="1">
      <c r="A198" s="15" t="n">
        <v>2023</v>
      </c>
      <c r="B198" s="42">
        <f>IF((A198&gt;=2022),ROUND(((G198*F198)/H198),2),((C198+D198)+E198))</f>
        <v/>
      </c>
      <c r="C198" s="43" t="n"/>
      <c r="D198" s="43" t="n"/>
      <c r="E198" s="43" t="n"/>
      <c r="F198" s="43" t="n">
        <v>1.93717</v>
      </c>
      <c r="G198" s="43" t="n">
        <v>69.91</v>
      </c>
      <c r="H198" s="43" t="n">
        <v>2.2554</v>
      </c>
    </row>
    <row r="199" ht="14" customHeight="1">
      <c r="A199" s="21" t="n">
        <v>2024</v>
      </c>
      <c r="B199" s="44">
        <f>IF((A199&gt;=2022),ROUND(((G199*F199)/H199),2),((C199+D199)+E199))</f>
        <v/>
      </c>
      <c r="C199" s="45" t="n"/>
      <c r="D199" s="45" t="n"/>
      <c r="E199" s="45" t="n"/>
      <c r="F199" s="45" t="n">
        <v>1.8637</v>
      </c>
      <c r="G199" s="45" t="n">
        <v>69.91</v>
      </c>
      <c r="H199" s="45" t="n">
        <v>2.2554</v>
      </c>
    </row>
    <row r="202">
      <c r="A202" s="47" t="inlineStr">
        <is>
          <t>E5 · Electrification rate of final energy use  (%)</t>
        </is>
      </c>
    </row>
    <row r="203" ht="24" customHeight="1">
      <c r="A203" s="3" t="inlineStr">
        <is>
          <t>Derivation:  Value = ([FEC - electricity]/[FEC - total]) * [fraction → % (× 100)]</t>
        </is>
      </c>
    </row>
    <row r="204" ht="42" customHeight="1">
      <c r="A204" s="41" t="inlineStr">
        <is>
          <t>Year</t>
        </is>
      </c>
      <c r="B204" s="41" t="inlineStr">
        <is>
          <t>Value</t>
        </is>
      </c>
      <c r="C204" s="41" t="inlineStr">
        <is>
          <t>FEC - electricity</t>
        </is>
      </c>
      <c r="D204" s="41" t="inlineStr">
        <is>
          <t>FEC - total</t>
        </is>
      </c>
      <c r="E204" s="41" t="inlineStr">
        <is>
          <t>fraction → % (× 100)</t>
        </is>
      </c>
    </row>
    <row r="205" ht="14" customHeight="1">
      <c r="A205" s="15" t="n">
        <v>2005</v>
      </c>
      <c r="B205" s="42">
        <f>((C205/D205)*E205)</f>
        <v/>
      </c>
      <c r="C205" s="43" t="n">
        <v>2435673.703</v>
      </c>
      <c r="D205" s="43" t="n">
        <v>11474916.915</v>
      </c>
      <c r="E205" s="43" t="n">
        <v>100</v>
      </c>
    </row>
    <row r="206" ht="14" customHeight="1">
      <c r="A206" s="21" t="n">
        <v>2006</v>
      </c>
      <c r="B206" s="44">
        <f>((C206/D206)*E206)</f>
        <v/>
      </c>
      <c r="C206" s="45" t="n">
        <v>2487965.274</v>
      </c>
      <c r="D206" s="45" t="n">
        <v>11513134.525</v>
      </c>
      <c r="E206" s="45" t="n">
        <v>100</v>
      </c>
    </row>
    <row r="207" ht="14" customHeight="1">
      <c r="A207" s="15" t="n">
        <v>2007</v>
      </c>
      <c r="B207" s="42">
        <f>((C207/D207)*E207)</f>
        <v/>
      </c>
      <c r="C207" s="43" t="n">
        <v>2507601.539</v>
      </c>
      <c r="D207" s="43" t="n">
        <v>11296437.815</v>
      </c>
      <c r="E207" s="43" t="n">
        <v>100</v>
      </c>
    </row>
    <row r="208" ht="14" customHeight="1">
      <c r="A208" s="21" t="n">
        <v>2008</v>
      </c>
      <c r="B208" s="44">
        <f>((C208/D208)*E208)</f>
        <v/>
      </c>
      <c r="C208" s="45" t="n">
        <v>2521047.666</v>
      </c>
      <c r="D208" s="45" t="n">
        <v>11405137.115</v>
      </c>
      <c r="E208" s="45" t="n">
        <v>100</v>
      </c>
    </row>
    <row r="209" ht="14" customHeight="1">
      <c r="A209" s="15" t="n">
        <v>2009</v>
      </c>
      <c r="B209" s="42">
        <f>((C209/D209)*E209)</f>
        <v/>
      </c>
      <c r="C209" s="43" t="n">
        <v>2392832.602</v>
      </c>
      <c r="D209" s="43" t="n">
        <v>10876339.92</v>
      </c>
      <c r="E209" s="43" t="n">
        <v>100</v>
      </c>
    </row>
    <row r="210" ht="14" customHeight="1">
      <c r="A210" s="21" t="n">
        <v>2010</v>
      </c>
      <c r="B210" s="44">
        <f>((C210/D210)*E210)</f>
        <v/>
      </c>
      <c r="C210" s="45" t="n">
        <v>2510655.33</v>
      </c>
      <c r="D210" s="45" t="n">
        <v>11318762.988</v>
      </c>
      <c r="E210" s="45" t="n">
        <v>100</v>
      </c>
    </row>
    <row r="211" ht="14" customHeight="1">
      <c r="A211" s="15" t="n">
        <v>2011</v>
      </c>
      <c r="B211" s="42">
        <f>((C211/D211)*E211)</f>
        <v/>
      </c>
      <c r="C211" s="43" t="n">
        <v>2475454.023</v>
      </c>
      <c r="D211" s="43" t="n">
        <v>10860092.741</v>
      </c>
      <c r="E211" s="43" t="n">
        <v>100</v>
      </c>
    </row>
    <row r="212" ht="14" customHeight="1">
      <c r="A212" s="21" t="n">
        <v>2012</v>
      </c>
      <c r="B212" s="44">
        <f>((C212/D212)*E212)</f>
        <v/>
      </c>
      <c r="C212" s="45" t="n">
        <v>2484050.673</v>
      </c>
      <c r="D212" s="45" t="n">
        <v>10852755.326</v>
      </c>
      <c r="E212" s="45" t="n">
        <v>100</v>
      </c>
    </row>
    <row r="213" ht="14" customHeight="1">
      <c r="A213" s="15" t="n">
        <v>2013</v>
      </c>
      <c r="B213" s="42">
        <f>((C213/D213)*E213)</f>
        <v/>
      </c>
      <c r="C213" s="43" t="n">
        <v>2461276.146</v>
      </c>
      <c r="D213" s="43" t="n">
        <v>10832088.71</v>
      </c>
      <c r="E213" s="43" t="n">
        <v>100</v>
      </c>
    </row>
    <row r="214" ht="14" customHeight="1">
      <c r="A214" s="21" t="n">
        <v>2014</v>
      </c>
      <c r="B214" s="44">
        <f>((C214/D214)*E214)</f>
        <v/>
      </c>
      <c r="C214" s="45" t="n">
        <v>2409216.082</v>
      </c>
      <c r="D214" s="45" t="n">
        <v>10350977.682</v>
      </c>
      <c r="E214" s="45" t="n">
        <v>100</v>
      </c>
    </row>
    <row r="215" ht="14" customHeight="1">
      <c r="A215" s="15" t="n">
        <v>2015</v>
      </c>
      <c r="B215" s="42">
        <f>((C215/D215)*E215)</f>
        <v/>
      </c>
      <c r="C215" s="43" t="n">
        <v>2449964.432</v>
      </c>
      <c r="D215" s="43" t="n">
        <v>10571485.683</v>
      </c>
      <c r="E215" s="43" t="n">
        <v>100</v>
      </c>
    </row>
    <row r="216" ht="14" customHeight="1">
      <c r="A216" s="21" t="n">
        <v>2016</v>
      </c>
      <c r="B216" s="44">
        <f>((C216/D216)*E216)</f>
        <v/>
      </c>
      <c r="C216" s="45" t="n">
        <v>2481183.966</v>
      </c>
      <c r="D216" s="45" t="n">
        <v>10784102.813</v>
      </c>
      <c r="E216" s="45" t="n">
        <v>100</v>
      </c>
    </row>
    <row r="217" ht="14" customHeight="1">
      <c r="A217" s="15" t="n">
        <v>2017</v>
      </c>
      <c r="B217" s="42">
        <f>((C217/D217)*E217)</f>
        <v/>
      </c>
      <c r="C217" s="43" t="n">
        <v>2505582.737</v>
      </c>
      <c r="D217" s="43" t="n">
        <v>10934153.267</v>
      </c>
      <c r="E217" s="43" t="n">
        <v>100</v>
      </c>
    </row>
    <row r="218" ht="14" customHeight="1">
      <c r="A218" s="21" t="n">
        <v>2018</v>
      </c>
      <c r="B218" s="44">
        <f>((C218/D218)*E218)</f>
        <v/>
      </c>
      <c r="C218" s="45" t="n">
        <v>2505721.003</v>
      </c>
      <c r="D218" s="45" t="n">
        <v>10957545.699</v>
      </c>
      <c r="E218" s="45" t="n">
        <v>100</v>
      </c>
    </row>
    <row r="219" ht="14" customHeight="1">
      <c r="A219" s="15" t="n">
        <v>2019</v>
      </c>
      <c r="B219" s="42">
        <f>((C219/D219)*E219)</f>
        <v/>
      </c>
      <c r="C219" s="43" t="n">
        <v>2478845.571</v>
      </c>
      <c r="D219" s="43" t="n">
        <v>10903199.973</v>
      </c>
      <c r="E219" s="43" t="n">
        <v>100</v>
      </c>
    </row>
    <row r="220" ht="14" customHeight="1">
      <c r="A220" s="21" t="n">
        <v>2020</v>
      </c>
      <c r="B220" s="44">
        <f>((C220/D220)*E220)</f>
        <v/>
      </c>
      <c r="C220" s="45" t="n">
        <v>2384326.183</v>
      </c>
      <c r="D220" s="45" t="n">
        <v>10293548.316</v>
      </c>
      <c r="E220" s="45" t="n">
        <v>100</v>
      </c>
    </row>
    <row r="221" ht="14" customHeight="1">
      <c r="A221" s="15" t="n">
        <v>2021</v>
      </c>
      <c r="B221" s="42">
        <f>((C221/D221)*E221)</f>
        <v/>
      </c>
      <c r="C221" s="43" t="n">
        <v>2487203.789</v>
      </c>
      <c r="D221" s="43" t="n">
        <v>10930884.652</v>
      </c>
      <c r="E221" s="43" t="n">
        <v>100</v>
      </c>
    </row>
    <row r="224">
      <c r="A224" s="47" t="inlineStr">
        <is>
          <t>O2 (FEC) · Final energy consumption (EU-27)  (TWh)</t>
        </is>
      </c>
    </row>
    <row r="225" ht="24" customHeight="1">
      <c r="A225" s="3" t="inlineStr">
        <is>
          <t>Derivation:  Value = IF(A &gt;= 2022, ROUND([nrg_ind_eff FEC_EED] * [Unit conversion (× 11.63)], 1), [FEC (Mtoe)] * [Mtoe → TWh])</t>
        </is>
      </c>
    </row>
    <row r="226" ht="42" customHeight="1">
      <c r="A226" s="41" t="inlineStr">
        <is>
          <t>Year</t>
        </is>
      </c>
      <c r="B226" s="41" t="inlineStr">
        <is>
          <t>Value</t>
        </is>
      </c>
      <c r="C226" s="41" t="inlineStr">
        <is>
          <t>FEC (Mtoe)</t>
        </is>
      </c>
      <c r="D226" s="41" t="inlineStr">
        <is>
          <t>Mtoe → TWh</t>
        </is>
      </c>
      <c r="E226" s="41" t="inlineStr">
        <is>
          <t>nrg_ind_eff FEC_EED</t>
        </is>
      </c>
      <c r="F226" s="41" t="inlineStr">
        <is>
          <t>Unit conversion (× 11.63)</t>
        </is>
      </c>
    </row>
    <row r="227" ht="14" customHeight="1">
      <c r="A227" s="15" t="n">
        <v>2005</v>
      </c>
      <c r="B227" s="42">
        <f>IF((A227&gt;=2022),ROUND((E227*F227),1),(C227*D227))</f>
        <v/>
      </c>
      <c r="C227" s="43" t="n">
        <v>1041.257368</v>
      </c>
      <c r="D227" s="43" t="n">
        <v>11.63</v>
      </c>
      <c r="E227" s="43" t="n"/>
      <c r="F227" s="43" t="n"/>
    </row>
    <row r="228" ht="14" customHeight="1">
      <c r="A228" s="21" t="n">
        <v>2006</v>
      </c>
      <c r="B228" s="44">
        <f>IF((A228&gt;=2022),ROUND((E228*F228),1),(C228*D228))</f>
        <v/>
      </c>
      <c r="C228" s="45" t="n">
        <v>1045.846092</v>
      </c>
      <c r="D228" s="45" t="n">
        <v>11.63</v>
      </c>
      <c r="E228" s="45" t="n"/>
      <c r="F228" s="45" t="n"/>
    </row>
    <row r="229" ht="14" customHeight="1">
      <c r="A229" s="15" t="n">
        <v>2007</v>
      </c>
      <c r="B229" s="42">
        <f>IF((A229&gt;=2022),ROUND((E229*F229),1),(C229*D229))</f>
        <v/>
      </c>
      <c r="C229" s="43" t="n">
        <v>1028.516726</v>
      </c>
      <c r="D229" s="43" t="n">
        <v>11.63</v>
      </c>
      <c r="E229" s="43" t="n"/>
      <c r="F229" s="43" t="n"/>
    </row>
    <row r="230" ht="14" customHeight="1">
      <c r="A230" s="21" t="n">
        <v>2008</v>
      </c>
      <c r="B230" s="44">
        <f>IF((A230&gt;=2022),ROUND((E230*F230),1),(C230*D230))</f>
        <v/>
      </c>
      <c r="C230" s="45" t="n">
        <v>1036.712465</v>
      </c>
      <c r="D230" s="45" t="n">
        <v>11.63</v>
      </c>
      <c r="E230" s="45" t="n"/>
      <c r="F230" s="45" t="n"/>
    </row>
    <row r="231" ht="14" customHeight="1">
      <c r="A231" s="15" t="n">
        <v>2009</v>
      </c>
      <c r="B231" s="42">
        <f>IF((A231&gt;=2022),ROUND((E231*F231),1),(C231*D231))</f>
        <v/>
      </c>
      <c r="C231" s="43" t="n">
        <v>980.8299129999999</v>
      </c>
      <c r="D231" s="43" t="n">
        <v>11.63</v>
      </c>
      <c r="E231" s="43" t="n"/>
      <c r="F231" s="43" t="n"/>
    </row>
    <row r="232" ht="14" customHeight="1">
      <c r="A232" s="21" t="n">
        <v>2010</v>
      </c>
      <c r="B232" s="44">
        <f>IF((A232&gt;=2022),ROUND((E232*F232),1),(C232*D232))</f>
        <v/>
      </c>
      <c r="C232" s="45" t="n">
        <v>1024.503136</v>
      </c>
      <c r="D232" s="45" t="n">
        <v>11.63</v>
      </c>
      <c r="E232" s="45" t="n"/>
      <c r="F232" s="45" t="n"/>
    </row>
    <row r="233" ht="14" customHeight="1">
      <c r="A233" s="15" t="n">
        <v>2011</v>
      </c>
      <c r="B233" s="42">
        <f>IF((A233&gt;=2022),ROUND((E233*F233),1),(C233*D233))</f>
        <v/>
      </c>
      <c r="C233" s="43" t="n">
        <v>984.6013909999999</v>
      </c>
      <c r="D233" s="43" t="n">
        <v>11.63</v>
      </c>
      <c r="E233" s="43" t="n"/>
      <c r="F233" s="43" t="n"/>
    </row>
    <row r="234" ht="14" customHeight="1">
      <c r="A234" s="21" t="n">
        <v>2012</v>
      </c>
      <c r="B234" s="44">
        <f>IF((A234&gt;=2022),ROUND((E234*F234),1),(C234*D234))</f>
        <v/>
      </c>
      <c r="C234" s="45" t="n">
        <v>982.5625729999999</v>
      </c>
      <c r="D234" s="45" t="n">
        <v>11.63</v>
      </c>
      <c r="E234" s="45" t="n"/>
      <c r="F234" s="45" t="n"/>
    </row>
    <row r="235" ht="14" customHeight="1">
      <c r="A235" s="15" t="n">
        <v>2013</v>
      </c>
      <c r="B235" s="42">
        <f>IF((A235&gt;=2022),ROUND((E235*F235),1),(C235*D235))</f>
        <v/>
      </c>
      <c r="C235" s="43" t="n">
        <v>980.3490159999999</v>
      </c>
      <c r="D235" s="43" t="n">
        <v>11.63</v>
      </c>
      <c r="E235" s="43" t="n"/>
      <c r="F235" s="43" t="n"/>
    </row>
    <row r="236" ht="14" customHeight="1">
      <c r="A236" s="21" t="n">
        <v>2014</v>
      </c>
      <c r="B236" s="44">
        <f>IF((A236&gt;=2022),ROUND((E236*F236),1),(C236*D236))</f>
        <v/>
      </c>
      <c r="C236" s="45" t="n">
        <v>938.785753</v>
      </c>
      <c r="D236" s="45" t="n">
        <v>11.63</v>
      </c>
      <c r="E236" s="45" t="n"/>
      <c r="F236" s="45" t="n"/>
    </row>
    <row r="237" ht="14" customHeight="1">
      <c r="A237" s="15" t="n">
        <v>2015</v>
      </c>
      <c r="B237" s="42">
        <f>IF((A237&gt;=2022),ROUND((E237*F237),1),(C237*D237))</f>
        <v/>
      </c>
      <c r="C237" s="43" t="n">
        <v>957.870041</v>
      </c>
      <c r="D237" s="43" t="n">
        <v>11.63</v>
      </c>
      <c r="E237" s="43" t="n"/>
      <c r="F237" s="43" t="n"/>
    </row>
    <row r="238" ht="14" customHeight="1">
      <c r="A238" s="21" t="n">
        <v>2016</v>
      </c>
      <c r="B238" s="44">
        <f>IF((A238&gt;=2022),ROUND((E238*F238),1),(C238*D238))</f>
        <v/>
      </c>
      <c r="C238" s="45" t="n">
        <v>976.8839250000001</v>
      </c>
      <c r="D238" s="45" t="n">
        <v>11.63</v>
      </c>
      <c r="E238" s="45" t="n"/>
      <c r="F238" s="45" t="n"/>
    </row>
    <row r="239" ht="14" customHeight="1">
      <c r="A239" s="15" t="n">
        <v>2017</v>
      </c>
      <c r="B239" s="42">
        <f>IF((A239&gt;=2022),ROUND((E239*F239),1),(C239*D239))</f>
        <v/>
      </c>
      <c r="C239" s="43" t="n">
        <v>989.0002589999999</v>
      </c>
      <c r="D239" s="43" t="n">
        <v>11.63</v>
      </c>
      <c r="E239" s="43" t="n"/>
      <c r="F239" s="43" t="n"/>
    </row>
    <row r="240" ht="14" customHeight="1">
      <c r="A240" s="21" t="n">
        <v>2018</v>
      </c>
      <c r="B240" s="44">
        <f>IF((A240&gt;=2022),ROUND((E240*F240),1),(C240*D240))</f>
        <v/>
      </c>
      <c r="C240" s="45" t="n">
        <v>991.5633220000001</v>
      </c>
      <c r="D240" s="45" t="n">
        <v>11.63</v>
      </c>
      <c r="E240" s="45" t="n"/>
      <c r="F240" s="45" t="n"/>
    </row>
    <row r="241" ht="14" customHeight="1">
      <c r="A241" s="15" t="n">
        <v>2019</v>
      </c>
      <c r="B241" s="42">
        <f>IF((A241&gt;=2022),ROUND((E241*F241),1),(C241*D241))</f>
        <v/>
      </c>
      <c r="C241" s="43" t="n">
        <v>985.968015</v>
      </c>
      <c r="D241" s="43" t="n">
        <v>11.63</v>
      </c>
      <c r="E241" s="43" t="n"/>
      <c r="F241" s="43" t="n"/>
    </row>
    <row r="242" ht="14" customHeight="1">
      <c r="A242" s="21" t="n">
        <v>2020</v>
      </c>
      <c r="B242" s="44">
        <f>IF((A242&gt;=2022),ROUND((E242*F242),1),(C242*D242))</f>
        <v/>
      </c>
      <c r="C242" s="45" t="n">
        <v>906.253179</v>
      </c>
      <c r="D242" s="45" t="n">
        <v>11.63</v>
      </c>
      <c r="E242" s="45" t="n"/>
      <c r="F242" s="45" t="n"/>
    </row>
    <row r="243" ht="14" customHeight="1">
      <c r="A243" s="15" t="n">
        <v>2021</v>
      </c>
      <c r="B243" s="42">
        <f>IF((A243&gt;=2022),ROUND((E243*F243),1),(C243*D243))</f>
        <v/>
      </c>
      <c r="C243" s="43" t="n">
        <v>968.426336</v>
      </c>
      <c r="D243" s="43" t="n">
        <v>11.63</v>
      </c>
      <c r="E243" s="43" t="n"/>
      <c r="F243" s="43" t="n"/>
    </row>
    <row r="244" ht="14" customHeight="1">
      <c r="A244" s="21" t="n">
        <v>2022</v>
      </c>
      <c r="B244" s="44">
        <f>IF((A244&gt;=2022),ROUND((E244*F244),1),(C244*D244))</f>
        <v/>
      </c>
      <c r="C244" s="45" t="n"/>
      <c r="D244" s="45" t="n"/>
      <c r="E244" s="45" t="n">
        <v>920.4400000000001</v>
      </c>
      <c r="F244" s="45" t="n">
        <v>11.63</v>
      </c>
    </row>
    <row r="245" ht="14" customHeight="1">
      <c r="A245" s="15" t="n">
        <v>2023</v>
      </c>
      <c r="B245" s="42">
        <f>IF((A245&gt;=2022),ROUND((E245*F245),1),(C245*D245))</f>
        <v/>
      </c>
      <c r="C245" s="43" t="n"/>
      <c r="D245" s="43" t="n"/>
      <c r="E245" s="43" t="n">
        <v>893.27</v>
      </c>
      <c r="F245" s="43" t="n">
        <v>11.63</v>
      </c>
    </row>
    <row r="246" ht="14" customHeight="1">
      <c r="A246" s="21" t="n">
        <v>2024</v>
      </c>
      <c r="B246" s="44">
        <f>IF((A246&gt;=2022),ROUND((E246*F246),1),(C246*D246))</f>
        <v/>
      </c>
      <c r="C246" s="45" t="n"/>
      <c r="D246" s="45" t="n"/>
      <c r="E246" s="45" t="n">
        <v>900.41</v>
      </c>
      <c r="F246" s="45" t="n">
        <v>11.63</v>
      </c>
    </row>
    <row r="249">
      <c r="A249" s="47" t="inlineStr">
        <is>
          <t>O2 (PEC) · Primary energy consumption (EU-27)  (TWh)</t>
        </is>
      </c>
    </row>
    <row r="250" ht="24" customHeight="1">
      <c r="A250" s="3" t="inlineStr">
        <is>
          <t>Derivation:  Value = IF(A &gt;= 2022, ROUND([nrg_ind_eff PEC_EED] * [Unit conversion (× 11.63)], 1), [PEC (Mtoe)] * [Mtoe → TWh])</t>
        </is>
      </c>
    </row>
    <row r="251" ht="42" customHeight="1">
      <c r="A251" s="41" t="inlineStr">
        <is>
          <t>Year</t>
        </is>
      </c>
      <c r="B251" s="41" t="inlineStr">
        <is>
          <t>Value</t>
        </is>
      </c>
      <c r="C251" s="41" t="inlineStr">
        <is>
          <t>PEC (Mtoe)</t>
        </is>
      </c>
      <c r="D251" s="41" t="inlineStr">
        <is>
          <t>Mtoe → TWh</t>
        </is>
      </c>
      <c r="E251" s="41" t="inlineStr">
        <is>
          <t>nrg_ind_eff PEC_EED</t>
        </is>
      </c>
      <c r="F251" s="41" t="inlineStr">
        <is>
          <t>Unit conversion (× 11.63)</t>
        </is>
      </c>
    </row>
    <row r="252" ht="14" customHeight="1">
      <c r="A252" s="15" t="n">
        <v>2005</v>
      </c>
      <c r="B252" s="42">
        <f>IF((A252&gt;=2022),ROUND((E252*F252),1),(C252*D252))</f>
        <v/>
      </c>
      <c r="C252" s="43" t="n">
        <v>1497.759101</v>
      </c>
      <c r="D252" s="43" t="n">
        <v>11.63</v>
      </c>
      <c r="E252" s="43" t="n"/>
      <c r="F252" s="43" t="n"/>
    </row>
    <row r="253" ht="14" customHeight="1">
      <c r="A253" s="21" t="n">
        <v>2006</v>
      </c>
      <c r="B253" s="44">
        <f>IF((A253&gt;=2022),ROUND((E253*F253),1),(C253*D253))</f>
        <v/>
      </c>
      <c r="C253" s="45" t="n">
        <v>1511.018519</v>
      </c>
      <c r="D253" s="45" t="n">
        <v>11.63</v>
      </c>
      <c r="E253" s="45" t="n"/>
      <c r="F253" s="45" t="n"/>
    </row>
    <row r="254" ht="14" customHeight="1">
      <c r="A254" s="15" t="n">
        <v>2007</v>
      </c>
      <c r="B254" s="42">
        <f>IF((A254&gt;=2022),ROUND((E254*F254),1),(C254*D254))</f>
        <v/>
      </c>
      <c r="C254" s="43" t="n">
        <v>1490.164968</v>
      </c>
      <c r="D254" s="43" t="n">
        <v>11.63</v>
      </c>
      <c r="E254" s="43" t="n"/>
      <c r="F254" s="43" t="n"/>
    </row>
    <row r="255" ht="14" customHeight="1">
      <c r="A255" s="21" t="n">
        <v>2008</v>
      </c>
      <c r="B255" s="44">
        <f>IF((A255&gt;=2022),ROUND((E255*F255),1),(C255*D255))</f>
        <v/>
      </c>
      <c r="C255" s="45" t="n">
        <v>1488.763745</v>
      </c>
      <c r="D255" s="45" t="n">
        <v>11.63</v>
      </c>
      <c r="E255" s="45" t="n"/>
      <c r="F255" s="45" t="n"/>
    </row>
    <row r="256" ht="14" customHeight="1">
      <c r="A256" s="15" t="n">
        <v>2009</v>
      </c>
      <c r="B256" s="42">
        <f>IF((A256&gt;=2022),ROUND((E256*F256),1),(C256*D256))</f>
        <v/>
      </c>
      <c r="C256" s="43" t="n">
        <v>1403.207705</v>
      </c>
      <c r="D256" s="43" t="n">
        <v>11.63</v>
      </c>
      <c r="E256" s="43" t="n"/>
      <c r="F256" s="43" t="n"/>
    </row>
    <row r="257" ht="14" customHeight="1">
      <c r="A257" s="21" t="n">
        <v>2010</v>
      </c>
      <c r="B257" s="44">
        <f>IF((A257&gt;=2022),ROUND((E257*F257),1),(C257*D257))</f>
        <v/>
      </c>
      <c r="C257" s="45" t="n">
        <v>1457.55401</v>
      </c>
      <c r="D257" s="45" t="n">
        <v>11.63</v>
      </c>
      <c r="E257" s="45" t="n"/>
      <c r="F257" s="45" t="n"/>
    </row>
    <row r="258" ht="14" customHeight="1">
      <c r="A258" s="15" t="n">
        <v>2011</v>
      </c>
      <c r="B258" s="42">
        <f>IF((A258&gt;=2022),ROUND((E258*F258),1),(C258*D258))</f>
        <v/>
      </c>
      <c r="C258" s="43" t="n">
        <v>1412.129338</v>
      </c>
      <c r="D258" s="43" t="n">
        <v>11.63</v>
      </c>
      <c r="E258" s="43" t="n"/>
      <c r="F258" s="43" t="n"/>
    </row>
    <row r="259" ht="14" customHeight="1">
      <c r="A259" s="21" t="n">
        <v>2012</v>
      </c>
      <c r="B259" s="44">
        <f>IF((A259&gt;=2022),ROUND((E259*F259),1),(C259*D259))</f>
        <v/>
      </c>
      <c r="C259" s="45" t="n">
        <v>1396.182626</v>
      </c>
      <c r="D259" s="45" t="n">
        <v>11.63</v>
      </c>
      <c r="E259" s="45" t="n"/>
      <c r="F259" s="45" t="n"/>
    </row>
    <row r="260" ht="14" customHeight="1">
      <c r="A260" s="15" t="n">
        <v>2013</v>
      </c>
      <c r="B260" s="42">
        <f>IF((A260&gt;=2022),ROUND((E260*F260),1),(C260*D260))</f>
        <v/>
      </c>
      <c r="C260" s="43" t="n">
        <v>1384.150057</v>
      </c>
      <c r="D260" s="43" t="n">
        <v>11.63</v>
      </c>
      <c r="E260" s="43" t="n"/>
      <c r="F260" s="43" t="n"/>
    </row>
    <row r="261" ht="14" customHeight="1">
      <c r="A261" s="21" t="n">
        <v>2014</v>
      </c>
      <c r="B261" s="44">
        <f>IF((A261&gt;=2022),ROUND((E261*F261),1),(C261*D261))</f>
        <v/>
      </c>
      <c r="C261" s="45" t="n">
        <v>1330.45645</v>
      </c>
      <c r="D261" s="45" t="n">
        <v>11.63</v>
      </c>
      <c r="E261" s="45" t="n"/>
      <c r="F261" s="45" t="n"/>
    </row>
    <row r="262" ht="14" customHeight="1">
      <c r="A262" s="15" t="n">
        <v>2015</v>
      </c>
      <c r="B262" s="42">
        <f>IF((A262&gt;=2022),ROUND((E262*F262),1),(C262*D262))</f>
        <v/>
      </c>
      <c r="C262" s="43" t="n">
        <v>1352.70504</v>
      </c>
      <c r="D262" s="43" t="n">
        <v>11.63</v>
      </c>
      <c r="E262" s="43" t="n"/>
      <c r="F262" s="43" t="n"/>
    </row>
    <row r="263" ht="14" customHeight="1">
      <c r="A263" s="21" t="n">
        <v>2016</v>
      </c>
      <c r="B263" s="44">
        <f>IF((A263&gt;=2022),ROUND((E263*F263),1),(C263*D263))</f>
        <v/>
      </c>
      <c r="C263" s="45" t="n">
        <v>1364.069118</v>
      </c>
      <c r="D263" s="45" t="n">
        <v>11.63</v>
      </c>
      <c r="E263" s="45" t="n"/>
      <c r="F263" s="45" t="n"/>
    </row>
    <row r="264" ht="14" customHeight="1">
      <c r="A264" s="15" t="n">
        <v>2017</v>
      </c>
      <c r="B264" s="42">
        <f>IF((A264&gt;=2022),ROUND((E264*F264),1),(C264*D264))</f>
        <v/>
      </c>
      <c r="C264" s="43" t="n">
        <v>1383.798104</v>
      </c>
      <c r="D264" s="43" t="n">
        <v>11.63</v>
      </c>
      <c r="E264" s="43" t="n"/>
      <c r="F264" s="43" t="n"/>
    </row>
    <row r="265" ht="14" customHeight="1">
      <c r="A265" s="21" t="n">
        <v>2018</v>
      </c>
      <c r="B265" s="44">
        <f>IF((A265&gt;=2022),ROUND((E265*F265),1),(C265*D265))</f>
        <v/>
      </c>
      <c r="C265" s="45" t="n">
        <v>1377.339165</v>
      </c>
      <c r="D265" s="45" t="n">
        <v>11.63</v>
      </c>
      <c r="E265" s="45" t="n"/>
      <c r="F265" s="45" t="n"/>
    </row>
    <row r="266" ht="14" customHeight="1">
      <c r="A266" s="15" t="n">
        <v>2019</v>
      </c>
      <c r="B266" s="42">
        <f>IF((A266&gt;=2022),ROUND((E266*F266),1),(C266*D266))</f>
        <v/>
      </c>
      <c r="C266" s="43" t="n">
        <v>1354.076044</v>
      </c>
      <c r="D266" s="43" t="n">
        <v>11.63</v>
      </c>
      <c r="E266" s="43" t="n"/>
      <c r="F266" s="43" t="n"/>
    </row>
    <row r="267" ht="14" customHeight="1">
      <c r="A267" s="21" t="n">
        <v>2020</v>
      </c>
      <c r="B267" s="44">
        <f>IF((A267&gt;=2022),ROUND((E267*F267),1),(C267*D267))</f>
        <v/>
      </c>
      <c r="C267" s="45" t="n">
        <v>1235.780674</v>
      </c>
      <c r="D267" s="45" t="n">
        <v>11.63</v>
      </c>
      <c r="E267" s="45" t="n"/>
      <c r="F267" s="45" t="n"/>
    </row>
    <row r="268" ht="14" customHeight="1">
      <c r="A268" s="15" t="n">
        <v>2021</v>
      </c>
      <c r="B268" s="42">
        <f>IF((A268&gt;=2022),ROUND((E268*F268),1),(C268*D268))</f>
        <v/>
      </c>
      <c r="C268" s="43" t="n">
        <v>1311.113312</v>
      </c>
      <c r="D268" s="43" t="n">
        <v>11.63</v>
      </c>
      <c r="E268" s="43" t="n"/>
      <c r="F268" s="43" t="n"/>
    </row>
    <row r="269" ht="14" customHeight="1">
      <c r="A269" s="21" t="n">
        <v>2022</v>
      </c>
      <c r="B269" s="44">
        <f>IF((A269&gt;=2022),ROUND((E269*F269),1),(C269*D269))</f>
        <v/>
      </c>
      <c r="C269" s="45" t="n"/>
      <c r="D269" s="45" t="n"/>
      <c r="E269" s="45" t="n">
        <v>1259.22</v>
      </c>
      <c r="F269" s="45" t="n">
        <v>11.63</v>
      </c>
    </row>
    <row r="270" ht="14" customHeight="1">
      <c r="A270" s="15" t="n">
        <v>2023</v>
      </c>
      <c r="B270" s="42">
        <f>IF((A270&gt;=2022),ROUND((E270*F270),1),(C270*D270))</f>
        <v/>
      </c>
      <c r="C270" s="43" t="n"/>
      <c r="D270" s="43" t="n"/>
      <c r="E270" s="43" t="n">
        <v>1207.67</v>
      </c>
      <c r="F270" s="43" t="n">
        <v>11.63</v>
      </c>
    </row>
    <row r="271" ht="14" customHeight="1">
      <c r="A271" s="21" t="n">
        <v>2024</v>
      </c>
      <c r="B271" s="44">
        <f>IF((A271&gt;=2022),ROUND((E271*F271),1),(C271*D271))</f>
        <v/>
      </c>
      <c r="C271" s="45" t="n"/>
      <c r="D271" s="45" t="n"/>
      <c r="E271" s="45" t="n">
        <v>1193.72</v>
      </c>
      <c r="F271" s="45" t="n">
        <v>11.63</v>
      </c>
    </row>
    <row r="274">
      <c r="A274" s="47" t="inlineStr">
        <is>
          <t>O3 · Gross inland energy consumption (EU-27)  (TWh)</t>
        </is>
      </c>
    </row>
    <row r="275" ht="24" customHeight="1">
      <c r="A275" s="3" t="inlineStr">
        <is>
          <t>Derivation:  Value = [Gross inland (ktoe)] * [ktoe → TWh]</t>
        </is>
      </c>
    </row>
    <row r="276" ht="42" customHeight="1">
      <c r="A276" s="41" t="inlineStr">
        <is>
          <t>Year</t>
        </is>
      </c>
      <c r="B276" s="41" t="inlineStr">
        <is>
          <t>Value</t>
        </is>
      </c>
      <c r="C276" s="41" t="inlineStr">
        <is>
          <t>Gross inland (ktoe)</t>
        </is>
      </c>
      <c r="D276" s="41" t="inlineStr">
        <is>
          <t>ktoe → TWh</t>
        </is>
      </c>
    </row>
    <row r="277" ht="14" customHeight="1">
      <c r="A277" s="15" t="n">
        <v>2005</v>
      </c>
      <c r="B277" s="42">
        <f>(C277*D277)</f>
        <v/>
      </c>
      <c r="C277" s="43" t="n">
        <v>1603791.592</v>
      </c>
      <c r="D277" s="43" t="n">
        <v>0.01163</v>
      </c>
    </row>
    <row r="278" ht="14" customHeight="1">
      <c r="A278" s="21" t="n">
        <v>2006</v>
      </c>
      <c r="B278" s="44">
        <f>(C278*D278)</f>
        <v/>
      </c>
      <c r="C278" s="45" t="n">
        <v>1617264.749</v>
      </c>
      <c r="D278" s="45" t="n">
        <v>0.01163</v>
      </c>
    </row>
    <row r="279" ht="14" customHeight="1">
      <c r="A279" s="15" t="n">
        <v>2007</v>
      </c>
      <c r="B279" s="42">
        <f>(C279*D279)</f>
        <v/>
      </c>
      <c r="C279" s="43" t="n">
        <v>1596724.141</v>
      </c>
      <c r="D279" s="43" t="n">
        <v>0.01163</v>
      </c>
    </row>
    <row r="280" ht="14" customHeight="1">
      <c r="A280" s="21" t="n">
        <v>2008</v>
      </c>
      <c r="B280" s="44">
        <f>(C280*D280)</f>
        <v/>
      </c>
      <c r="C280" s="45" t="n">
        <v>1592798.076</v>
      </c>
      <c r="D280" s="45" t="n">
        <v>0.01163</v>
      </c>
    </row>
    <row r="281" ht="14" customHeight="1">
      <c r="A281" s="15" t="n">
        <v>2009</v>
      </c>
      <c r="B281" s="42">
        <f>(C281*D281)</f>
        <v/>
      </c>
      <c r="C281" s="43" t="n">
        <v>1498735.408</v>
      </c>
      <c r="D281" s="43" t="n">
        <v>0.01163</v>
      </c>
    </row>
    <row r="282" ht="14" customHeight="1">
      <c r="A282" s="21" t="n">
        <v>2010</v>
      </c>
      <c r="B282" s="44">
        <f>(C282*D282)</f>
        <v/>
      </c>
      <c r="C282" s="45" t="n">
        <v>1558965.547</v>
      </c>
      <c r="D282" s="45" t="n">
        <v>0.01163</v>
      </c>
    </row>
    <row r="283" ht="14" customHeight="1">
      <c r="A283" s="15" t="n">
        <v>2011</v>
      </c>
      <c r="B283" s="42">
        <f>(C283*D283)</f>
        <v/>
      </c>
      <c r="C283" s="43" t="n">
        <v>1513097.724</v>
      </c>
      <c r="D283" s="43" t="n">
        <v>0.01163</v>
      </c>
    </row>
    <row r="284" ht="14" customHeight="1">
      <c r="A284" s="21" t="n">
        <v>2012</v>
      </c>
      <c r="B284" s="44">
        <f>(C284*D284)</f>
        <v/>
      </c>
      <c r="C284" s="45" t="n">
        <v>1493743.176</v>
      </c>
      <c r="D284" s="45" t="n">
        <v>0.01163</v>
      </c>
    </row>
    <row r="285" ht="14" customHeight="1">
      <c r="A285" s="15" t="n">
        <v>2013</v>
      </c>
      <c r="B285" s="42">
        <f>(C285*D285)</f>
        <v/>
      </c>
      <c r="C285" s="43" t="n">
        <v>1478955.067</v>
      </c>
      <c r="D285" s="43" t="n">
        <v>0.01163</v>
      </c>
    </row>
    <row r="286" ht="14" customHeight="1">
      <c r="A286" s="21" t="n">
        <v>2014</v>
      </c>
      <c r="B286" s="44">
        <f>(C286*D286)</f>
        <v/>
      </c>
      <c r="C286" s="45" t="n">
        <v>1428215.209</v>
      </c>
      <c r="D286" s="45" t="n">
        <v>0.01163</v>
      </c>
    </row>
    <row r="287" ht="14" customHeight="1">
      <c r="A287" s="15" t="n">
        <v>2015</v>
      </c>
      <c r="B287" s="42">
        <f>(C287*D287)</f>
        <v/>
      </c>
      <c r="C287" s="43" t="n">
        <v>1448169.923</v>
      </c>
      <c r="D287" s="43" t="n">
        <v>0.01163</v>
      </c>
    </row>
    <row r="288" ht="14" customHeight="1">
      <c r="A288" s="21" t="n">
        <v>2016</v>
      </c>
      <c r="B288" s="44">
        <f>(C288*D288)</f>
        <v/>
      </c>
      <c r="C288" s="45" t="n">
        <v>1460169.976</v>
      </c>
      <c r="D288" s="45" t="n">
        <v>0.01163</v>
      </c>
    </row>
    <row r="289" ht="14" customHeight="1">
      <c r="A289" s="15" t="n">
        <v>2017</v>
      </c>
      <c r="B289" s="42">
        <f>(C289*D289)</f>
        <v/>
      </c>
      <c r="C289" s="43" t="n">
        <v>1490808.62</v>
      </c>
      <c r="D289" s="43" t="n">
        <v>0.01163</v>
      </c>
    </row>
    <row r="290" ht="14" customHeight="1">
      <c r="A290" s="21" t="n">
        <v>2018</v>
      </c>
      <c r="B290" s="44">
        <f>(C290*D290)</f>
        <v/>
      </c>
      <c r="C290" s="45" t="n">
        <v>1481330.978</v>
      </c>
      <c r="D290" s="45" t="n">
        <v>0.01163</v>
      </c>
    </row>
    <row r="291" ht="14" customHeight="1">
      <c r="A291" s="15" t="n">
        <v>2019</v>
      </c>
      <c r="B291" s="42">
        <f>(C291*D291)</f>
        <v/>
      </c>
      <c r="C291" s="43" t="n">
        <v>1458297.436</v>
      </c>
      <c r="D291" s="43" t="n">
        <v>0.01163</v>
      </c>
    </row>
    <row r="292" ht="14" customHeight="1">
      <c r="A292" s="21" t="n">
        <v>2020</v>
      </c>
      <c r="B292" s="44">
        <f>(C292*D292)</f>
        <v/>
      </c>
      <c r="C292" s="45" t="n">
        <v>1340095.609</v>
      </c>
      <c r="D292" s="45" t="n">
        <v>0.01163</v>
      </c>
    </row>
    <row r="293" ht="14" customHeight="1">
      <c r="A293" s="15" t="n">
        <v>2021</v>
      </c>
      <c r="B293" s="42">
        <f>(C293*D293)</f>
        <v/>
      </c>
      <c r="C293" s="43" t="n">
        <v>1421666.07</v>
      </c>
      <c r="D293" s="43" t="n">
        <v>0.01163</v>
      </c>
    </row>
    <row r="294" ht="14" customHeight="1">
      <c r="A294" s="21" t="n">
        <v>2022</v>
      </c>
      <c r="B294" s="44">
        <f>(C294*D294)</f>
        <v/>
      </c>
      <c r="C294" s="45" t="n">
        <v>1396483.233018057</v>
      </c>
      <c r="D294" s="45" t="n">
        <v>0.01163</v>
      </c>
    </row>
    <row r="295" ht="14" customHeight="1">
      <c r="A295" s="15" t="n">
        <v>2023</v>
      </c>
      <c r="B295" s="42">
        <f>(C295*D295)</f>
        <v/>
      </c>
      <c r="C295" s="43" t="n">
        <v>1339234.737747205</v>
      </c>
      <c r="D295" s="43" t="n">
        <v>0.01163</v>
      </c>
    </row>
    <row r="298">
      <c r="A298" s="48" t="inlineStr">
        <is>
          <t>I1 · Industrial GHG emissions  (Mt CO₂eq)</t>
        </is>
      </c>
    </row>
    <row r="299" ht="24" customHeight="1">
      <c r="A299" s="3" t="inlineStr">
        <is>
          <t>Derivation:  Value = IF(A &gt;= 2023, ROUND(([env_air_gge CRF1A2] + [env_air_gge CRF2]), 1), ([1.A.2 - Manufacturing Industries and Construction]+[2 - Industrial Processes and Product Use])/1000)</t>
        </is>
      </c>
    </row>
    <row r="300" ht="42" customHeight="1">
      <c r="A300" s="41" t="inlineStr">
        <is>
          <t>Year</t>
        </is>
      </c>
      <c r="B300" s="41" t="inlineStr">
        <is>
          <t>Value</t>
        </is>
      </c>
      <c r="C300" s="41" t="inlineStr">
        <is>
          <t>1.A.2 - Manufacturing Industries and Construction</t>
        </is>
      </c>
      <c r="D300" s="41" t="inlineStr">
        <is>
          <t>2 - Industrial Processes and Product Use</t>
        </is>
      </c>
      <c r="E300" s="41" t="inlineStr">
        <is>
          <t>env_air_gge CRF1A2</t>
        </is>
      </c>
      <c r="F300" s="41" t="inlineStr">
        <is>
          <t>env_air_gge CRF2</t>
        </is>
      </c>
    </row>
    <row r="301" ht="14" customHeight="1">
      <c r="A301" s="15" t="n">
        <v>2005</v>
      </c>
      <c r="B301" s="42">
        <f>IF((A301&gt;=2023),ROUND((E301+F301),1),((C301+D301)/1000))</f>
        <v/>
      </c>
      <c r="C301" s="43" t="n">
        <v>556523.7994334318</v>
      </c>
      <c r="D301" s="43" t="n">
        <v>424749.9573243055</v>
      </c>
      <c r="E301" s="43" t="n"/>
      <c r="F301" s="43" t="n"/>
    </row>
    <row r="302" ht="14" customHeight="1">
      <c r="A302" s="21" t="n">
        <v>2006</v>
      </c>
      <c r="B302" s="44">
        <f>IF((A302&gt;=2023),ROUND((E302+F302),1),((C302+D302)/1000))</f>
        <v/>
      </c>
      <c r="C302" s="45" t="n">
        <v>546025.3443937633</v>
      </c>
      <c r="D302" s="45" t="n">
        <v>427761.119956169</v>
      </c>
      <c r="E302" s="45" t="n"/>
      <c r="F302" s="45" t="n"/>
    </row>
    <row r="303" ht="14" customHeight="1">
      <c r="A303" s="15" t="n">
        <v>2007</v>
      </c>
      <c r="B303" s="42">
        <f>IF((A303&gt;=2023),ROUND((E303+F303),1),((C303+D303)/1000))</f>
        <v/>
      </c>
      <c r="C303" s="43" t="n">
        <v>558821.7373136887</v>
      </c>
      <c r="D303" s="43" t="n">
        <v>436796.397234523</v>
      </c>
      <c r="E303" s="43" t="n"/>
      <c r="F303" s="43" t="n"/>
    </row>
    <row r="304" ht="14" customHeight="1">
      <c r="A304" s="21" t="n">
        <v>2008</v>
      </c>
      <c r="B304" s="44">
        <f>IF((A304&gt;=2023),ROUND((E304+F304),1),((C304+D304)/1000))</f>
        <v/>
      </c>
      <c r="C304" s="45" t="n">
        <v>539298.5581894323</v>
      </c>
      <c r="D304" s="45" t="n">
        <v>413039.8886742173</v>
      </c>
      <c r="E304" s="45" t="n"/>
      <c r="F304" s="45" t="n"/>
    </row>
    <row r="305" ht="14" customHeight="1">
      <c r="A305" s="15" t="n">
        <v>2009</v>
      </c>
      <c r="B305" s="42">
        <f>IF((A305&gt;=2023),ROUND((E305+F305),1),((C305+D305)/1000))</f>
        <v/>
      </c>
      <c r="C305" s="43" t="n">
        <v>447681.1654271635</v>
      </c>
      <c r="D305" s="43" t="n">
        <v>341747.1408288951</v>
      </c>
      <c r="E305" s="43" t="n"/>
      <c r="F305" s="43" t="n"/>
    </row>
    <row r="306" ht="14" customHeight="1">
      <c r="A306" s="21" t="n">
        <v>2010</v>
      </c>
      <c r="B306" s="44">
        <f>IF((A306&gt;=2023),ROUND((E306+F306),1),((C306+D306)/1000))</f>
        <v/>
      </c>
      <c r="C306" s="45" t="n">
        <v>480724.9666168753</v>
      </c>
      <c r="D306" s="45" t="n">
        <v>358089.4760762021</v>
      </c>
      <c r="E306" s="45" t="n"/>
      <c r="F306" s="45" t="n"/>
    </row>
    <row r="307" ht="14" customHeight="1">
      <c r="A307" s="15" t="n">
        <v>2011</v>
      </c>
      <c r="B307" s="42">
        <f>IF((A307&gt;=2023),ROUND((E307+F307),1),((C307+D307)/1000))</f>
        <v/>
      </c>
      <c r="C307" s="43" t="n">
        <v>468688.8421073754</v>
      </c>
      <c r="D307" s="43" t="n">
        <v>357464.6123107264</v>
      </c>
      <c r="E307" s="43" t="n"/>
      <c r="F307" s="43" t="n"/>
    </row>
    <row r="308" ht="14" customHeight="1">
      <c r="A308" s="21" t="n">
        <v>2012</v>
      </c>
      <c r="B308" s="44">
        <f>IF((A308&gt;=2023),ROUND((E308+F308),1),((C308+D308)/1000))</f>
        <v/>
      </c>
      <c r="C308" s="45" t="n">
        <v>450892.5625642318</v>
      </c>
      <c r="D308" s="45" t="n">
        <v>344777.8719775737</v>
      </c>
      <c r="E308" s="45" t="n"/>
      <c r="F308" s="45" t="n"/>
    </row>
    <row r="309" ht="14" customHeight="1">
      <c r="A309" s="15" t="n">
        <v>2013</v>
      </c>
      <c r="B309" s="42">
        <f>IF((A309&gt;=2023),ROUND((E309+F309),1),((C309+D309)/1000))</f>
        <v/>
      </c>
      <c r="C309" s="43" t="n">
        <v>432830.4669897874</v>
      </c>
      <c r="D309" s="43" t="n">
        <v>342701.8740429208</v>
      </c>
      <c r="E309" s="43" t="n"/>
      <c r="F309" s="43" t="n"/>
    </row>
    <row r="310" ht="14" customHeight="1">
      <c r="A310" s="21" t="n">
        <v>2014</v>
      </c>
      <c r="B310" s="44">
        <f>IF((A310&gt;=2023),ROUND((E310+F310),1),((C310+D310)/1000))</f>
        <v/>
      </c>
      <c r="C310" s="45" t="n">
        <v>419987.1953761611</v>
      </c>
      <c r="D310" s="45" t="n">
        <v>349178.2009048872</v>
      </c>
      <c r="E310" s="45" t="n"/>
      <c r="F310" s="45" t="n"/>
    </row>
    <row r="311" ht="14" customHeight="1">
      <c r="A311" s="15" t="n">
        <v>2015</v>
      </c>
      <c r="B311" s="42">
        <f>IF((A311&gt;=2023),ROUND((E311+F311),1),((C311+D311)/1000))</f>
        <v/>
      </c>
      <c r="C311" s="43" t="n">
        <v>428994.7046756293</v>
      </c>
      <c r="D311" s="43" t="n">
        <v>339854.3406348636</v>
      </c>
      <c r="E311" s="43" t="n"/>
      <c r="F311" s="43" t="n"/>
    </row>
    <row r="312" ht="14" customHeight="1">
      <c r="A312" s="21" t="n">
        <v>2016</v>
      </c>
      <c r="B312" s="44">
        <f>IF((A312&gt;=2023),ROUND((E312+F312),1),((C312+D312)/1000))</f>
        <v/>
      </c>
      <c r="C312" s="45" t="n">
        <v>434138.4673306638</v>
      </c>
      <c r="D312" s="45" t="n">
        <v>342081.2033069766</v>
      </c>
      <c r="E312" s="45" t="n"/>
      <c r="F312" s="45" t="n"/>
    </row>
    <row r="313" ht="14" customHeight="1">
      <c r="A313" s="15" t="n">
        <v>2017</v>
      </c>
      <c r="B313" s="42">
        <f>IF((A313&gt;=2023),ROUND((E313+F313),1),((C313+D313)/1000))</f>
        <v/>
      </c>
      <c r="C313" s="43" t="n">
        <v>441345.5467568766</v>
      </c>
      <c r="D313" s="43" t="n">
        <v>349690.552885406</v>
      </c>
      <c r="E313" s="43" t="n"/>
      <c r="F313" s="43" t="n"/>
    </row>
    <row r="314" ht="14" customHeight="1">
      <c r="A314" s="21" t="n">
        <v>2018</v>
      </c>
      <c r="B314" s="44">
        <f>IF((A314&gt;=2023),ROUND((E314+F314),1),((C314+D314)/1000))</f>
        <v/>
      </c>
      <c r="C314" s="45" t="n">
        <v>442369.9182363944</v>
      </c>
      <c r="D314" s="45" t="n">
        <v>342906.689601974</v>
      </c>
      <c r="E314" s="45" t="n"/>
      <c r="F314" s="45" t="n"/>
    </row>
    <row r="315" ht="14" customHeight="1">
      <c r="A315" s="15" t="n">
        <v>2019</v>
      </c>
      <c r="B315" s="42">
        <f>IF((A315&gt;=2023),ROUND((E315+F315),1),((C315+D315)/1000))</f>
        <v/>
      </c>
      <c r="C315" s="43" t="n">
        <v>428579.8953015269</v>
      </c>
      <c r="D315" s="43" t="n">
        <v>331548.2341144778</v>
      </c>
      <c r="E315" s="43" t="n"/>
      <c r="F315" s="43" t="n"/>
    </row>
    <row r="316" ht="14" customHeight="1">
      <c r="A316" s="21" t="n">
        <v>2020</v>
      </c>
      <c r="B316" s="44">
        <f>IF((A316&gt;=2023),ROUND((E316+F316),1),((C316+D316)/1000))</f>
        <v/>
      </c>
      <c r="C316" s="45" t="n">
        <v>412771.8756989454</v>
      </c>
      <c r="D316" s="45" t="n">
        <v>306828.453320871</v>
      </c>
      <c r="E316" s="45" t="n"/>
      <c r="F316" s="45" t="n"/>
    </row>
    <row r="317" ht="14" customHeight="1">
      <c r="A317" s="15" t="n">
        <v>2021</v>
      </c>
      <c r="B317" s="42">
        <f>IF((A317&gt;=2023),ROUND((E317+F317),1),((C317+D317)/1000))</f>
        <v/>
      </c>
      <c r="C317" s="43" t="n">
        <v>439540.132456479</v>
      </c>
      <c r="D317" s="43" t="n">
        <v>317933.961339561</v>
      </c>
      <c r="E317" s="43" t="n"/>
      <c r="F317" s="43" t="n"/>
    </row>
    <row r="318" ht="14" customHeight="1">
      <c r="A318" s="21" t="n">
        <v>2022</v>
      </c>
      <c r="B318" s="44">
        <f>IF((A318&gt;=2023),ROUND((E318+F318),1),((C318+D318)/1000))</f>
        <v/>
      </c>
      <c r="C318" s="45" t="n">
        <v>398202.32207</v>
      </c>
      <c r="D318" s="45" t="n">
        <v>293126.49118</v>
      </c>
      <c r="E318" s="45" t="n"/>
      <c r="F318" s="45" t="n"/>
    </row>
    <row r="319" ht="14" customHeight="1">
      <c r="A319" s="15" t="n">
        <v>2023</v>
      </c>
      <c r="B319" s="42">
        <f>IF((A319&gt;=2023),ROUND((E319+F319),1),((C319+D319)/1000))</f>
        <v/>
      </c>
      <c r="C319" s="43" t="n"/>
      <c r="D319" s="43" t="n"/>
      <c r="E319" s="43" t="n">
        <v>358.77037</v>
      </c>
      <c r="F319" s="43" t="n">
        <v>263.32847</v>
      </c>
    </row>
    <row r="320" ht="14" customHeight="1">
      <c r="A320" s="21" t="n">
        <v>2024</v>
      </c>
      <c r="B320" s="44">
        <f>IF((A320&gt;=2023),ROUND((E320+F320),1),((C320+D320)/1000))</f>
        <v/>
      </c>
      <c r="C320" s="45" t="n"/>
      <c r="D320" s="45" t="n"/>
      <c r="E320" s="45" t="n">
        <v>351.56216</v>
      </c>
      <c r="F320" s="45" t="n">
        <v>259.86627</v>
      </c>
    </row>
    <row r="323">
      <c r="A323" s="48" t="inlineStr">
        <is>
          <t>I2 (cement, production) · Cement production (EU)  (Mt)</t>
        </is>
      </c>
    </row>
    <row r="324" ht="24" customHeight="1">
      <c r="A324" s="3" t="inlineStr">
        <is>
          <t>Derivation:  Value = IF(A &gt;= 2022, ROUND([Report baseline 2021 (Mt)] * [sts_inpr_a C235] / [Live source at 2021 (same basis as the columns left)], 1), [Report figure (2024 report underlying data)])</t>
        </is>
      </c>
    </row>
    <row r="325" ht="42" customHeight="1">
      <c r="A325" s="41" t="inlineStr">
        <is>
          <t>Year</t>
        </is>
      </c>
      <c r="B325" s="41" t="inlineStr">
        <is>
          <t>Value</t>
        </is>
      </c>
      <c r="C325" s="41" t="inlineStr">
        <is>
          <t>Report figure (2024 report underlying data)</t>
        </is>
      </c>
      <c r="D325" s="41" t="inlineStr">
        <is>
          <t>sts_inpr_a C235</t>
        </is>
      </c>
      <c r="E325" s="41" t="inlineStr">
        <is>
          <t>Report baseline 2021 (Mt)</t>
        </is>
      </c>
      <c r="F325" s="41" t="inlineStr">
        <is>
          <t>Live source at 2021 (same basis as the columns left)</t>
        </is>
      </c>
    </row>
    <row r="326" ht="14" customHeight="1">
      <c r="A326" s="15" t="n">
        <v>2005</v>
      </c>
      <c r="B326" s="42">
        <f>IF((A326&gt;=2022),ROUND(((E326*D326)/F326),1),C326)</f>
        <v/>
      </c>
      <c r="C326" s="43" t="n">
        <v>239.5</v>
      </c>
      <c r="D326" s="43" t="n"/>
      <c r="E326" s="43" t="n"/>
      <c r="F326" s="43" t="n"/>
    </row>
    <row r="327" ht="14" customHeight="1">
      <c r="A327" s="21" t="n">
        <v>2006</v>
      </c>
      <c r="B327" s="44">
        <f>IF((A327&gt;=2022),ROUND(((E327*D327)/F327),1),C327)</f>
        <v/>
      </c>
      <c r="C327" s="45" t="n">
        <v>256.2</v>
      </c>
      <c r="D327" s="45" t="n"/>
      <c r="E327" s="45" t="n"/>
      <c r="F327" s="45" t="n"/>
    </row>
    <row r="328" ht="14" customHeight="1">
      <c r="A328" s="15" t="n">
        <v>2007</v>
      </c>
      <c r="B328" s="42">
        <f>IF((A328&gt;=2022),ROUND(((E328*D328)/F328),1),C328)</f>
        <v/>
      </c>
      <c r="C328" s="43" t="n">
        <v>261.8</v>
      </c>
      <c r="D328" s="43" t="n"/>
      <c r="E328" s="43" t="n"/>
      <c r="F328" s="43" t="n"/>
    </row>
    <row r="329" ht="14" customHeight="1">
      <c r="A329" s="21" t="n">
        <v>2008</v>
      </c>
      <c r="B329" s="44">
        <f>IF((A329&gt;=2022),ROUND(((E329*D329)/F329),1),C329)</f>
        <v/>
      </c>
      <c r="C329" s="45" t="n">
        <v>244.4</v>
      </c>
      <c r="D329" s="45" t="n"/>
      <c r="E329" s="45" t="n"/>
      <c r="F329" s="45" t="n"/>
    </row>
    <row r="330" ht="14" customHeight="1">
      <c r="A330" s="15" t="n">
        <v>2009</v>
      </c>
      <c r="B330" s="42">
        <f>IF((A330&gt;=2022),ROUND(((E330*D330)/F330),1),C330)</f>
        <v/>
      </c>
      <c r="C330" s="43" t="n">
        <v>197.9</v>
      </c>
      <c r="D330" s="43" t="n"/>
      <c r="E330" s="43" t="n"/>
      <c r="F330" s="43" t="n"/>
    </row>
    <row r="331" ht="14" customHeight="1">
      <c r="A331" s="21" t="n">
        <v>2010</v>
      </c>
      <c r="B331" s="44">
        <f>IF((A331&gt;=2022),ROUND(((E331*D331)/F331),1),C331)</f>
        <v/>
      </c>
      <c r="C331" s="45" t="n">
        <v>185.6</v>
      </c>
      <c r="D331" s="45" t="n"/>
      <c r="E331" s="45" t="n"/>
      <c r="F331" s="45" t="n"/>
    </row>
    <row r="332" ht="14" customHeight="1">
      <c r="A332" s="15" t="n">
        <v>2011</v>
      </c>
      <c r="B332" s="42">
        <f>IF((A332&gt;=2022),ROUND(((E332*D332)/F332),1),C332)</f>
        <v/>
      </c>
      <c r="C332" s="43" t="n">
        <v>187.2</v>
      </c>
      <c r="D332" s="43" t="n"/>
      <c r="E332" s="43" t="n"/>
      <c r="F332" s="43" t="n"/>
    </row>
    <row r="333" ht="14" customHeight="1">
      <c r="A333" s="21" t="n">
        <v>2012</v>
      </c>
      <c r="B333" s="44">
        <f>IF((A333&gt;=2022),ROUND(((E333*D333)/F333),1),C333)</f>
        <v/>
      </c>
      <c r="C333" s="45" t="n">
        <v>164.7</v>
      </c>
      <c r="D333" s="45" t="n"/>
      <c r="E333" s="45" t="n"/>
      <c r="F333" s="45" t="n"/>
    </row>
    <row r="334" ht="14" customHeight="1">
      <c r="A334" s="15" t="n">
        <v>2013</v>
      </c>
      <c r="B334" s="42">
        <f>IF((A334&gt;=2022),ROUND(((E334*D334)/F334),1),C334)</f>
        <v/>
      </c>
      <c r="C334" s="43" t="n">
        <v>157</v>
      </c>
      <c r="D334" s="43" t="n"/>
      <c r="E334" s="43" t="n"/>
      <c r="F334" s="43" t="n"/>
    </row>
    <row r="335" ht="14" customHeight="1">
      <c r="A335" s="21" t="n">
        <v>2014</v>
      </c>
      <c r="B335" s="44">
        <f>IF((A335&gt;=2022),ROUND(((E335*D335)/F335),1),C335)</f>
        <v/>
      </c>
      <c r="C335" s="45" t="n">
        <v>157.5</v>
      </c>
      <c r="D335" s="45" t="n"/>
      <c r="E335" s="45" t="n"/>
      <c r="F335" s="45" t="n"/>
    </row>
    <row r="336" ht="14" customHeight="1">
      <c r="A336" s="15" t="n">
        <v>2015</v>
      </c>
      <c r="B336" s="42">
        <f>IF((A336&gt;=2022),ROUND(((E336*D336)/F336),1),C336)</f>
        <v/>
      </c>
      <c r="C336" s="43" t="n">
        <v>158.1</v>
      </c>
      <c r="D336" s="43" t="n"/>
      <c r="E336" s="43" t="n"/>
      <c r="F336" s="43" t="n"/>
    </row>
    <row r="337" ht="14" customHeight="1">
      <c r="A337" s="21" t="n">
        <v>2016</v>
      </c>
      <c r="B337" s="44">
        <f>IF((A337&gt;=2022),ROUND(((E337*D337)/F337),1),C337)</f>
        <v/>
      </c>
      <c r="C337" s="45" t="n">
        <v>159.9</v>
      </c>
      <c r="D337" s="45" t="n"/>
      <c r="E337" s="45" t="n"/>
      <c r="F337" s="45" t="n"/>
    </row>
    <row r="338" ht="14" customHeight="1">
      <c r="A338" s="15" t="n">
        <v>2017</v>
      </c>
      <c r="B338" s="42">
        <f>IF((A338&gt;=2022),ROUND(((E338*D338)/F338),1),C338)</f>
        <v/>
      </c>
      <c r="C338" s="43" t="n">
        <v>165.7</v>
      </c>
      <c r="D338" s="43" t="n"/>
      <c r="E338" s="43" t="n"/>
      <c r="F338" s="43" t="n"/>
    </row>
    <row r="339" ht="14" customHeight="1">
      <c r="A339" s="21" t="n">
        <v>2018</v>
      </c>
      <c r="B339" s="44">
        <f>IF((A339&gt;=2022),ROUND(((E339*D339)/F339),1),C339)</f>
        <v/>
      </c>
      <c r="C339" s="45" t="n">
        <v>179.8</v>
      </c>
      <c r="D339" s="45" t="n"/>
      <c r="E339" s="45" t="n"/>
      <c r="F339" s="45" t="n"/>
    </row>
    <row r="340" ht="14" customHeight="1">
      <c r="A340" s="15" t="n">
        <v>2019</v>
      </c>
      <c r="B340" s="42">
        <f>IF((A340&gt;=2022),ROUND(((E340*D340)/F340),1),C340)</f>
        <v/>
      </c>
      <c r="C340" s="43" t="n">
        <v>173.1</v>
      </c>
      <c r="D340" s="43" t="n"/>
      <c r="E340" s="43" t="n"/>
      <c r="F340" s="43" t="n"/>
    </row>
    <row r="341" ht="14" customHeight="1">
      <c r="A341" s="21" t="n">
        <v>2020</v>
      </c>
      <c r="B341" s="44">
        <f>IF((A341&gt;=2022),ROUND(((E341*D341)/F341),1),C341)</f>
        <v/>
      </c>
      <c r="C341" s="45" t="n">
        <v>172.2</v>
      </c>
      <c r="D341" s="45" t="n"/>
      <c r="E341" s="45" t="n"/>
      <c r="F341" s="45" t="n"/>
    </row>
    <row r="342" ht="14" customHeight="1">
      <c r="A342" s="15" t="n">
        <v>2021</v>
      </c>
      <c r="B342" s="42">
        <f>IF((A342&gt;=2022),ROUND(((E342*D342)/F342),1),C342)</f>
        <v/>
      </c>
      <c r="C342" s="43" t="n">
        <v>182.5</v>
      </c>
      <c r="D342" s="43" t="n"/>
      <c r="E342" s="43" t="n"/>
      <c r="F342" s="43" t="n"/>
    </row>
    <row r="343" ht="14" customHeight="1">
      <c r="A343" s="21" t="n">
        <v>2022</v>
      </c>
      <c r="B343" s="44">
        <f>IF((A343&gt;=2022),ROUND(((E343*D343)/F343),1),C343)</f>
        <v/>
      </c>
      <c r="C343" s="45" t="n"/>
      <c r="D343" s="45" t="n">
        <v>95.7</v>
      </c>
      <c r="E343" s="45" t="n">
        <v>182.5</v>
      </c>
      <c r="F343" s="45" t="n">
        <v>100</v>
      </c>
    </row>
    <row r="344" ht="14" customHeight="1">
      <c r="A344" s="15" t="n">
        <v>2023</v>
      </c>
      <c r="B344" s="42">
        <f>IF((A344&gt;=2022),ROUND(((E344*D344)/F344),1),C344)</f>
        <v/>
      </c>
      <c r="C344" s="43" t="n"/>
      <c r="D344" s="43" t="n">
        <v>88.09999999999999</v>
      </c>
      <c r="E344" s="43" t="n">
        <v>182.5</v>
      </c>
      <c r="F344" s="43" t="n">
        <v>100</v>
      </c>
    </row>
    <row r="345" ht="14" customHeight="1">
      <c r="A345" s="21" t="n">
        <v>2024</v>
      </c>
      <c r="B345" s="44">
        <f>IF((A345&gt;=2022),ROUND(((E345*D345)/F345),1),C345)</f>
        <v/>
      </c>
      <c r="C345" s="45" t="n"/>
      <c r="D345" s="45" t="n">
        <v>87.2</v>
      </c>
      <c r="E345" s="45" t="n">
        <v>182.5</v>
      </c>
      <c r="F345" s="45" t="n">
        <v>100</v>
      </c>
    </row>
    <row r="348">
      <c r="A348" s="48" t="inlineStr">
        <is>
          <t>I2 (chemicals, production) · Chemicals production (EU)  (Mt)</t>
        </is>
      </c>
    </row>
    <row r="349" ht="24" customHeight="1">
      <c r="A349" s="3" t="inlineStr">
        <is>
          <t>Derivation:  Value = IF(A &gt;= 2022, ROUND([Report baseline 2021 (Mt)] * [sts_inpr_a C201] / [Live source at 2021 (same basis as the columns left)], 2), [Report figure (2024 report underlying data)])</t>
        </is>
      </c>
    </row>
    <row r="350" ht="42" customHeight="1">
      <c r="A350" s="41" t="inlineStr">
        <is>
          <t>Year</t>
        </is>
      </c>
      <c r="B350" s="41" t="inlineStr">
        <is>
          <t>Value</t>
        </is>
      </c>
      <c r="C350" s="41" t="inlineStr">
        <is>
          <t>Report figure (2024 report underlying data)</t>
        </is>
      </c>
      <c r="D350" s="41" t="inlineStr">
        <is>
          <t>sts_inpr_a C201</t>
        </is>
      </c>
      <c r="E350" s="41" t="inlineStr">
        <is>
          <t>Report baseline 2021 (Mt)</t>
        </is>
      </c>
      <c r="F350" s="41" t="inlineStr">
        <is>
          <t>Live source at 2021 (same basis as the columns left)</t>
        </is>
      </c>
    </row>
    <row r="351" ht="14" customHeight="1">
      <c r="A351" s="15" t="n">
        <v>2005</v>
      </c>
      <c r="B351" s="42">
        <f>IF((A351&gt;=2022),ROUND(((E351*D351)/F351),2),C351)</f>
        <v/>
      </c>
      <c r="C351" s="43" t="n">
        <v>33.52</v>
      </c>
      <c r="D351" s="43" t="n"/>
      <c r="E351" s="43" t="n"/>
      <c r="F351" s="43" t="n"/>
    </row>
    <row r="352" ht="14" customHeight="1">
      <c r="A352" s="21" t="n">
        <v>2006</v>
      </c>
      <c r="B352" s="44">
        <f>IF((A352&gt;=2022),ROUND(((E352*D352)/F352),2),C352)</f>
        <v/>
      </c>
      <c r="C352" s="45" t="n">
        <v>36.25</v>
      </c>
      <c r="D352" s="45" t="n"/>
      <c r="E352" s="45" t="n"/>
      <c r="F352" s="45" t="n"/>
    </row>
    <row r="353" ht="14" customHeight="1">
      <c r="A353" s="15" t="n">
        <v>2007</v>
      </c>
      <c r="B353" s="42">
        <f>IF((A353&gt;=2022),ROUND(((E353*D353)/F353),2),C353)</f>
        <v/>
      </c>
      <c r="C353" s="43" t="n">
        <v>31.12</v>
      </c>
      <c r="D353" s="43" t="n"/>
      <c r="E353" s="43" t="n"/>
      <c r="F353" s="43" t="n"/>
    </row>
    <row r="354" ht="14" customHeight="1">
      <c r="A354" s="21" t="n">
        <v>2008</v>
      </c>
      <c r="B354" s="44">
        <f>IF((A354&gt;=2022),ROUND(((E354*D354)/F354),2),C354)</f>
        <v/>
      </c>
      <c r="C354" s="45" t="n">
        <v>28.08</v>
      </c>
      <c r="D354" s="45" t="n"/>
      <c r="E354" s="45" t="n"/>
      <c r="F354" s="45" t="n"/>
    </row>
    <row r="355" ht="14" customHeight="1">
      <c r="A355" s="15" t="n">
        <v>2009</v>
      </c>
      <c r="B355" s="42">
        <f>IF((A355&gt;=2022),ROUND(((E355*D355)/F355),2),C355)</f>
        <v/>
      </c>
      <c r="C355" s="43" t="n">
        <v>30.66</v>
      </c>
      <c r="D355" s="43" t="n"/>
      <c r="E355" s="43" t="n"/>
      <c r="F355" s="43" t="n"/>
    </row>
    <row r="356" ht="14" customHeight="1">
      <c r="A356" s="21" t="n">
        <v>2010</v>
      </c>
      <c r="B356" s="44">
        <f>IF((A356&gt;=2022),ROUND(((E356*D356)/F356),2),C356)</f>
        <v/>
      </c>
      <c r="C356" s="45" t="n">
        <v>32.08</v>
      </c>
      <c r="D356" s="45" t="n"/>
      <c r="E356" s="45" t="n"/>
      <c r="F356" s="45" t="n"/>
    </row>
    <row r="357" ht="14" customHeight="1">
      <c r="A357" s="15" t="n">
        <v>2011</v>
      </c>
      <c r="B357" s="42">
        <f>IF((A357&gt;=2022),ROUND(((E357*D357)/F357),2),C357)</f>
        <v/>
      </c>
      <c r="C357" s="43" t="n">
        <v>31.2</v>
      </c>
      <c r="D357" s="43" t="n"/>
      <c r="E357" s="43" t="n"/>
      <c r="F357" s="43" t="n"/>
    </row>
    <row r="358" ht="14" customHeight="1">
      <c r="A358" s="21" t="n">
        <v>2012</v>
      </c>
      <c r="B358" s="44">
        <f>IF((A358&gt;=2022),ROUND(((E358*D358)/F358),2),C358)</f>
        <v/>
      </c>
      <c r="C358" s="45" t="n">
        <v>29.59</v>
      </c>
      <c r="D358" s="45" t="n"/>
      <c r="E358" s="45" t="n"/>
      <c r="F358" s="45" t="n"/>
    </row>
    <row r="359" ht="14" customHeight="1">
      <c r="A359" s="15" t="n">
        <v>2013</v>
      </c>
      <c r="B359" s="42">
        <f>IF((A359&gt;=2022),ROUND(((E359*D359)/F359),2),C359)</f>
        <v/>
      </c>
      <c r="C359" s="43" t="n">
        <v>30.58</v>
      </c>
      <c r="D359" s="43" t="n"/>
      <c r="E359" s="43" t="n"/>
      <c r="F359" s="43" t="n"/>
    </row>
    <row r="360" ht="14" customHeight="1">
      <c r="A360" s="21" t="n">
        <v>2014</v>
      </c>
      <c r="B360" s="44">
        <f>IF((A360&gt;=2022),ROUND(((E360*D360)/F360),2),C360)</f>
        <v/>
      </c>
      <c r="C360" s="45" t="n">
        <v>30.13</v>
      </c>
      <c r="D360" s="45" t="n"/>
      <c r="E360" s="45" t="n"/>
      <c r="F360" s="45" t="n"/>
    </row>
    <row r="361" ht="14" customHeight="1">
      <c r="A361" s="15" t="n">
        <v>2015</v>
      </c>
      <c r="B361" s="42">
        <f>IF((A361&gt;=2022),ROUND(((E361*D361)/F361),2),C361)</f>
        <v/>
      </c>
      <c r="C361" s="43" t="n">
        <v>30.14</v>
      </c>
      <c r="D361" s="43" t="n"/>
      <c r="E361" s="43" t="n"/>
      <c r="F361" s="43" t="n"/>
    </row>
    <row r="362" ht="14" customHeight="1">
      <c r="A362" s="21" t="n">
        <v>2016</v>
      </c>
      <c r="B362" s="44">
        <f>IF((A362&gt;=2022),ROUND(((E362*D362)/F362),2),C362)</f>
        <v/>
      </c>
      <c r="C362" s="45" t="n">
        <v>31.96</v>
      </c>
      <c r="D362" s="45" t="n"/>
      <c r="E362" s="45" t="n"/>
      <c r="F362" s="45" t="n"/>
    </row>
    <row r="363" ht="14" customHeight="1">
      <c r="A363" s="15" t="n">
        <v>2017</v>
      </c>
      <c r="B363" s="42">
        <f>IF((A363&gt;=2022),ROUND(((E363*D363)/F363),2),C363)</f>
        <v/>
      </c>
      <c r="C363" s="43" t="n">
        <v>29.64</v>
      </c>
      <c r="D363" s="43" t="n"/>
      <c r="E363" s="43" t="n"/>
      <c r="F363" s="43" t="n"/>
    </row>
    <row r="364" ht="14" customHeight="1">
      <c r="A364" s="21" t="n">
        <v>2018</v>
      </c>
      <c r="B364" s="44">
        <f>IF((A364&gt;=2022),ROUND(((E364*D364)/F364),2),C364)</f>
        <v/>
      </c>
      <c r="C364" s="45" t="n">
        <v>28.35</v>
      </c>
      <c r="D364" s="45" t="n"/>
      <c r="E364" s="45" t="n"/>
      <c r="F364" s="45" t="n"/>
    </row>
    <row r="365" ht="14" customHeight="1">
      <c r="A365" s="15" t="n">
        <v>2019</v>
      </c>
      <c r="B365" s="42">
        <f>IF((A365&gt;=2022),ROUND(((E365*D365)/F365),2),C365)</f>
        <v/>
      </c>
      <c r="C365" s="43" t="n">
        <v>28.01</v>
      </c>
      <c r="D365" s="43" t="n"/>
      <c r="E365" s="43" t="n"/>
      <c r="F365" s="43" t="n"/>
    </row>
    <row r="366" ht="14" customHeight="1">
      <c r="A366" s="21" t="n">
        <v>2020</v>
      </c>
      <c r="B366" s="44">
        <f>IF((A366&gt;=2022),ROUND(((E366*D366)/F366),2),C366)</f>
        <v/>
      </c>
      <c r="C366" s="45" t="n">
        <v>28.72</v>
      </c>
      <c r="D366" s="45" t="n"/>
      <c r="E366" s="45" t="n"/>
      <c r="F366" s="45" t="n"/>
    </row>
    <row r="367" ht="14" customHeight="1">
      <c r="A367" s="15" t="n">
        <v>2021</v>
      </c>
      <c r="B367" s="42">
        <f>IF((A367&gt;=2022),ROUND(((E367*D367)/F367),2),C367)</f>
        <v/>
      </c>
      <c r="C367" s="43" t="n">
        <v>26.84</v>
      </c>
      <c r="D367" s="43" t="n"/>
      <c r="E367" s="43" t="n"/>
      <c r="F367" s="43" t="n"/>
    </row>
    <row r="368" ht="14" customHeight="1">
      <c r="A368" s="21" t="n">
        <v>2022</v>
      </c>
      <c r="B368" s="44">
        <f>IF((A368&gt;=2022),ROUND(((E368*D368)/F368),2),C368)</f>
        <v/>
      </c>
      <c r="C368" s="45" t="n"/>
      <c r="D368" s="45" t="n">
        <v>94.5</v>
      </c>
      <c r="E368" s="45" t="n">
        <v>26.84</v>
      </c>
      <c r="F368" s="45" t="n">
        <v>100</v>
      </c>
    </row>
    <row r="369" ht="14" customHeight="1">
      <c r="A369" s="15" t="n">
        <v>2023</v>
      </c>
      <c r="B369" s="42">
        <f>IF((A369&gt;=2022),ROUND(((E369*D369)/F369),2),C369)</f>
        <v/>
      </c>
      <c r="C369" s="43" t="n"/>
      <c r="D369" s="43" t="n">
        <v>79.90000000000001</v>
      </c>
      <c r="E369" s="43" t="n">
        <v>26.84</v>
      </c>
      <c r="F369" s="43" t="n">
        <v>100</v>
      </c>
    </row>
    <row r="370" ht="14" customHeight="1">
      <c r="A370" s="21" t="n">
        <v>2024</v>
      </c>
      <c r="B370" s="44">
        <f>IF((A370&gt;=2022),ROUND(((E370*D370)/F370),2),C370)</f>
        <v/>
      </c>
      <c r="C370" s="45" t="n"/>
      <c r="D370" s="45" t="n">
        <v>74.09999999999999</v>
      </c>
      <c r="E370" s="45" t="n">
        <v>26.84</v>
      </c>
      <c r="F370" s="45" t="n">
        <v>100</v>
      </c>
    </row>
    <row r="371" ht="14" customHeight="1">
      <c r="A371" s="15" t="n">
        <v>2025</v>
      </c>
      <c r="B371" s="42">
        <f>IF((A371&gt;=2022),ROUND(((E371*D371)/F371),2),C371)</f>
        <v/>
      </c>
      <c r="C371" s="43" t="n"/>
      <c r="D371" s="43" t="n">
        <v>69.09999999999999</v>
      </c>
      <c r="E371" s="43" t="n">
        <v>26.84</v>
      </c>
      <c r="F371" s="43" t="n">
        <v>100</v>
      </c>
    </row>
    <row r="374">
      <c r="A374" s="48" t="inlineStr">
        <is>
          <t>I2 (steel, production) · Steel production (EU)  (Mt)</t>
        </is>
      </c>
    </row>
    <row r="375" ht="24" customHeight="1">
      <c r="A375" s="3" t="inlineStr">
        <is>
          <t>Derivation:  Value = [Report figure (2024 report underlying data)]</t>
        </is>
      </c>
    </row>
    <row r="376" ht="42" customHeight="1">
      <c r="A376" s="41" t="inlineStr">
        <is>
          <t>Year</t>
        </is>
      </c>
      <c r="B376" s="41" t="inlineStr">
        <is>
          <t>Value</t>
        </is>
      </c>
      <c r="C376" s="41" t="inlineStr">
        <is>
          <t>Report figure (2024 report underlying data)</t>
        </is>
      </c>
    </row>
    <row r="377" ht="14" customHeight="1">
      <c r="A377" s="15" t="n">
        <v>2008</v>
      </c>
      <c r="B377" s="42">
        <f>C377</f>
        <v/>
      </c>
      <c r="C377" s="43" t="n">
        <v>185</v>
      </c>
    </row>
    <row r="378" ht="14" customHeight="1">
      <c r="A378" s="21" t="n">
        <v>2009</v>
      </c>
      <c r="B378" s="44">
        <f>C378</f>
        <v/>
      </c>
      <c r="C378" s="45" t="n">
        <v>129.3</v>
      </c>
    </row>
    <row r="379" ht="14" customHeight="1">
      <c r="A379" s="15" t="n">
        <v>2010</v>
      </c>
      <c r="B379" s="42">
        <f>C379</f>
        <v/>
      </c>
      <c r="C379" s="43" t="n">
        <v>163.1</v>
      </c>
    </row>
    <row r="380" ht="14" customHeight="1">
      <c r="A380" s="21" t="n">
        <v>2011</v>
      </c>
      <c r="B380" s="44">
        <f>C380</f>
        <v/>
      </c>
      <c r="C380" s="45" t="n">
        <v>168.1</v>
      </c>
    </row>
    <row r="381" ht="14" customHeight="1">
      <c r="A381" s="15" t="n">
        <v>2012</v>
      </c>
      <c r="B381" s="42">
        <f>C381</f>
        <v/>
      </c>
      <c r="C381" s="43" t="n">
        <v>159</v>
      </c>
    </row>
    <row r="382" ht="14" customHeight="1">
      <c r="A382" s="21" t="n">
        <v>2013</v>
      </c>
      <c r="B382" s="44">
        <f>C382</f>
        <v/>
      </c>
      <c r="C382" s="45" t="n">
        <v>154.3</v>
      </c>
    </row>
    <row r="383" ht="14" customHeight="1">
      <c r="A383" s="15" t="n">
        <v>2014</v>
      </c>
      <c r="B383" s="42">
        <f>C383</f>
        <v/>
      </c>
      <c r="C383" s="43" t="n">
        <v>157.1</v>
      </c>
    </row>
    <row r="384" ht="14" customHeight="1">
      <c r="A384" s="21" t="n">
        <v>2015</v>
      </c>
      <c r="B384" s="44">
        <f>C384</f>
        <v/>
      </c>
      <c r="C384" s="45" t="n">
        <v>155.1</v>
      </c>
    </row>
    <row r="385" ht="14" customHeight="1">
      <c r="A385" s="15" t="n">
        <v>2016</v>
      </c>
      <c r="B385" s="42">
        <f>C385</f>
        <v/>
      </c>
      <c r="C385" s="43" t="n">
        <v>154.3</v>
      </c>
    </row>
    <row r="386" ht="14" customHeight="1">
      <c r="A386" s="21" t="n">
        <v>2017</v>
      </c>
      <c r="B386" s="44">
        <f>C386</f>
        <v/>
      </c>
      <c r="C386" s="45" t="n">
        <v>160.9</v>
      </c>
    </row>
    <row r="387" ht="14" customHeight="1">
      <c r="A387" s="15" t="n">
        <v>2018</v>
      </c>
      <c r="B387" s="42">
        <f>C387</f>
        <v/>
      </c>
      <c r="C387" s="43" t="n">
        <v>160.1</v>
      </c>
    </row>
    <row r="388" ht="14" customHeight="1">
      <c r="A388" s="21" t="n">
        <v>2019</v>
      </c>
      <c r="B388" s="44">
        <f>C388</f>
        <v/>
      </c>
      <c r="C388" s="45" t="n">
        <v>150.2</v>
      </c>
    </row>
    <row r="389" ht="14" customHeight="1">
      <c r="A389" s="15" t="n">
        <v>2020</v>
      </c>
      <c r="B389" s="42">
        <f>C389</f>
        <v/>
      </c>
      <c r="C389" s="43" t="n">
        <v>132.2</v>
      </c>
    </row>
    <row r="390" ht="14" customHeight="1">
      <c r="A390" s="21" t="n">
        <v>2021</v>
      </c>
      <c r="B390" s="44">
        <f>C390</f>
        <v/>
      </c>
      <c r="C390" s="45" t="n">
        <v>152.8</v>
      </c>
    </row>
    <row r="391" ht="14" customHeight="1">
      <c r="A391" s="15" t="n">
        <v>2022</v>
      </c>
      <c r="B391" s="42">
        <f>C391</f>
        <v/>
      </c>
      <c r="C391" s="43" t="n">
        <v>136.3</v>
      </c>
    </row>
    <row r="392" ht="14" customHeight="1">
      <c r="A392" s="21" t="n">
        <v>2023</v>
      </c>
      <c r="B392" s="44">
        <f>C392</f>
        <v/>
      </c>
      <c r="C392" s="45" t="n">
        <v>125.9</v>
      </c>
    </row>
    <row r="393" ht="14" customHeight="1">
      <c r="A393" s="15" t="n">
        <v>2024</v>
      </c>
      <c r="B393" s="42">
        <f>C393</f>
        <v/>
      </c>
      <c r="C393" s="43" t="n">
        <v>128.8</v>
      </c>
    </row>
    <row r="394" ht="14" customHeight="1">
      <c r="A394" s="21" t="n">
        <v>2025</v>
      </c>
      <c r="B394" s="44">
        <f>C394</f>
        <v/>
      </c>
      <c r="C394" s="45" t="n">
        <v>126.2</v>
      </c>
    </row>
    <row r="397">
      <c r="A397" s="48" t="inlineStr">
        <is>
          <t>I3 · Circular material use rate (EU)  (%)</t>
        </is>
      </c>
    </row>
    <row r="398" ht="24" customHeight="1">
      <c r="A398" s="3" t="inlineStr">
        <is>
          <t>Derivation:  Value = IF(A &gt;= 2022, ROUND([cei_srm030 PC], 1), ([Report figure (2024 report underlying data)]) * [fraction → % (× 100)])</t>
        </is>
      </c>
    </row>
    <row r="399" ht="42" customHeight="1">
      <c r="A399" s="41" t="inlineStr">
        <is>
          <t>Year</t>
        </is>
      </c>
      <c r="B399" s="41" t="inlineStr">
        <is>
          <t>Value</t>
        </is>
      </c>
      <c r="C399" s="41" t="inlineStr">
        <is>
          <t>Report figure (2024 report underlying data)</t>
        </is>
      </c>
      <c r="D399" s="41" t="inlineStr">
        <is>
          <t>cei_srm030 PC</t>
        </is>
      </c>
      <c r="E399" s="41" t="inlineStr">
        <is>
          <t>fraction → % (× 100)</t>
        </is>
      </c>
    </row>
    <row r="400" ht="14" customHeight="1">
      <c r="A400" s="15" t="n">
        <v>2010</v>
      </c>
      <c r="B400" s="42">
        <f>IF((A400&gt;=2022),ROUND(D400,1),(C400*E400))</f>
        <v/>
      </c>
      <c r="C400" s="43" t="n">
        <v>0.108</v>
      </c>
      <c r="D400" s="43" t="n"/>
      <c r="E400" s="43" t="n">
        <v>100</v>
      </c>
    </row>
    <row r="401" ht="14" customHeight="1">
      <c r="A401" s="21" t="n">
        <v>2011</v>
      </c>
      <c r="B401" s="44">
        <f>IF((A401&gt;=2022),ROUND(D401,1),(C401*E401))</f>
        <v/>
      </c>
      <c r="C401" s="45" t="n">
        <v>0.103</v>
      </c>
      <c r="D401" s="45" t="n"/>
      <c r="E401" s="45" t="n">
        <v>100</v>
      </c>
    </row>
    <row r="402" ht="14" customHeight="1">
      <c r="A402" s="15" t="n">
        <v>2012</v>
      </c>
      <c r="B402" s="42">
        <f>IF((A402&gt;=2022),ROUND(D402,1),(C402*E402))</f>
        <v/>
      </c>
      <c r="C402" s="43" t="n">
        <v>0.111</v>
      </c>
      <c r="D402" s="43" t="n"/>
      <c r="E402" s="43" t="n">
        <v>100</v>
      </c>
    </row>
    <row r="403" ht="14" customHeight="1">
      <c r="A403" s="21" t="n">
        <v>2013</v>
      </c>
      <c r="B403" s="44">
        <f>IF((A403&gt;=2022),ROUND(D403,1),(C403*E403))</f>
        <v/>
      </c>
      <c r="C403" s="45" t="n">
        <v>0.113</v>
      </c>
      <c r="D403" s="45" t="n"/>
      <c r="E403" s="45" t="n">
        <v>100</v>
      </c>
    </row>
    <row r="404" ht="14" customHeight="1">
      <c r="A404" s="15" t="n">
        <v>2014</v>
      </c>
      <c r="B404" s="42">
        <f>IF((A404&gt;=2022),ROUND(D404,1),(C404*E404))</f>
        <v/>
      </c>
      <c r="C404" s="43" t="n">
        <v>0.112</v>
      </c>
      <c r="D404" s="43" t="n"/>
      <c r="E404" s="43" t="n">
        <v>100</v>
      </c>
    </row>
    <row r="405" ht="14" customHeight="1">
      <c r="A405" s="21" t="n">
        <v>2015</v>
      </c>
      <c r="B405" s="44">
        <f>IF((A405&gt;=2022),ROUND(D405,1),(C405*E405))</f>
        <v/>
      </c>
      <c r="C405" s="45" t="n">
        <v>0.113</v>
      </c>
      <c r="D405" s="45" t="n"/>
      <c r="E405" s="45" t="n">
        <v>100</v>
      </c>
    </row>
    <row r="406" ht="14" customHeight="1">
      <c r="A406" s="15" t="n">
        <v>2016</v>
      </c>
      <c r="B406" s="42">
        <f>IF((A406&gt;=2022),ROUND(D406,1),(C406*E406))</f>
        <v/>
      </c>
      <c r="C406" s="43" t="n">
        <v>0.115</v>
      </c>
      <c r="D406" s="43" t="n"/>
      <c r="E406" s="43" t="n">
        <v>100</v>
      </c>
    </row>
    <row r="407" ht="14" customHeight="1">
      <c r="A407" s="21" t="n">
        <v>2017</v>
      </c>
      <c r="B407" s="44">
        <f>IF((A407&gt;=2022),ROUND(D407,1),(C407*E407))</f>
        <v/>
      </c>
      <c r="C407" s="45" t="n">
        <v>0.115</v>
      </c>
      <c r="D407" s="45" t="n"/>
      <c r="E407" s="45" t="n">
        <v>100</v>
      </c>
    </row>
    <row r="408" ht="14" customHeight="1">
      <c r="A408" s="15" t="n">
        <v>2018</v>
      </c>
      <c r="B408" s="42">
        <f>IF((A408&gt;=2022),ROUND(D408,1),(C408*E408))</f>
        <v/>
      </c>
      <c r="C408" s="43" t="n">
        <v>0.117</v>
      </c>
      <c r="D408" s="43" t="n"/>
      <c r="E408" s="43" t="n">
        <v>100</v>
      </c>
    </row>
    <row r="409" ht="14" customHeight="1">
      <c r="A409" s="21" t="n">
        <v>2019</v>
      </c>
      <c r="B409" s="44">
        <f>IF((A409&gt;=2022),ROUND(D409,1),(C409*E409))</f>
        <v/>
      </c>
      <c r="C409" s="45" t="n">
        <v>0.12</v>
      </c>
      <c r="D409" s="45" t="n"/>
      <c r="E409" s="45" t="n">
        <v>100</v>
      </c>
    </row>
    <row r="410" ht="14" customHeight="1">
      <c r="A410" s="15" t="n">
        <v>2020</v>
      </c>
      <c r="B410" s="42">
        <f>IF((A410&gt;=2022),ROUND(D410,1),(C410*E410))</f>
        <v/>
      </c>
      <c r="C410" s="43" t="n">
        <v>0.117</v>
      </c>
      <c r="D410" s="43" t="n"/>
      <c r="E410" s="43" t="n">
        <v>100</v>
      </c>
    </row>
    <row r="411" ht="14" customHeight="1">
      <c r="A411" s="21" t="n">
        <v>2021</v>
      </c>
      <c r="B411" s="44">
        <f>IF((A411&gt;=2022),ROUND(D411,1),(C411*E411))</f>
        <v/>
      </c>
      <c r="C411" s="45" t="n">
        <v>0.117</v>
      </c>
      <c r="D411" s="45" t="n"/>
      <c r="E411" s="45" t="n">
        <v>100</v>
      </c>
    </row>
    <row r="412" ht="14" customHeight="1">
      <c r="A412" s="15" t="n">
        <v>2022</v>
      </c>
      <c r="B412" s="42">
        <f>IF((A412&gt;=2022),ROUND(D412,1),(C412*E412))</f>
        <v/>
      </c>
      <c r="C412" s="43" t="n"/>
      <c r="D412" s="43" t="n">
        <v>11.4</v>
      </c>
      <c r="E412" s="43" t="n">
        <v>100</v>
      </c>
    </row>
    <row r="413" ht="14" customHeight="1">
      <c r="A413" s="21" t="n">
        <v>2023</v>
      </c>
      <c r="B413" s="44">
        <f>IF((A413&gt;=2022),ROUND(D413,1),(C413*E413))</f>
        <v/>
      </c>
      <c r="C413" s="45" t="n"/>
      <c r="D413" s="45" t="n">
        <v>12.1</v>
      </c>
      <c r="E413" s="45" t="n">
        <v>100</v>
      </c>
    </row>
    <row r="414" ht="14" customHeight="1">
      <c r="A414" s="15" t="n">
        <v>2024</v>
      </c>
      <c r="B414" s="42">
        <f>IF((A414&gt;=2022),ROUND(D414,1),(C414*E414))</f>
        <v/>
      </c>
      <c r="C414" s="43" t="n"/>
      <c r="D414" s="43" t="n">
        <v>12.2</v>
      </c>
      <c r="E414" s="43" t="n">
        <v>100</v>
      </c>
    </row>
    <row r="417">
      <c r="A417" s="48" t="inlineStr">
        <is>
          <t>I5 · Industrial final energy consumption (EU)  (TWh)</t>
        </is>
      </c>
    </row>
    <row r="418" ht="24" customHeight="1">
      <c r="A418" s="3" t="inlineStr">
        <is>
          <t>Derivation:  Value = [Total]*(11.630000000000003)</t>
        </is>
      </c>
    </row>
    <row r="419" ht="42" customHeight="1">
      <c r="A419" s="41" t="inlineStr">
        <is>
          <t>Year</t>
        </is>
      </c>
      <c r="B419" s="41" t="inlineStr">
        <is>
          <t>Value</t>
        </is>
      </c>
      <c r="C419" s="41" t="inlineStr">
        <is>
          <t>Total</t>
        </is>
      </c>
    </row>
    <row r="420" ht="14" customHeight="1">
      <c r="A420" s="15" t="n">
        <v>2005</v>
      </c>
      <c r="B420" s="42">
        <f>(C420*11.630000000000003)</f>
        <v/>
      </c>
      <c r="C420" s="43" t="n">
        <v>275.125254</v>
      </c>
    </row>
    <row r="421" ht="14" customHeight="1">
      <c r="A421" s="21" t="n">
        <v>2006</v>
      </c>
      <c r="B421" s="44">
        <f>(C421*11.630000000000003)</f>
        <v/>
      </c>
      <c r="C421" s="45" t="n">
        <v>269.576383</v>
      </c>
    </row>
    <row r="422" ht="14" customHeight="1">
      <c r="A422" s="15" t="n">
        <v>2007</v>
      </c>
      <c r="B422" s="42">
        <f>(C422*11.630000000000003)</f>
        <v/>
      </c>
      <c r="C422" s="43" t="n">
        <v>274.275846</v>
      </c>
    </row>
    <row r="423" ht="14" customHeight="1">
      <c r="A423" s="21" t="n">
        <v>2008</v>
      </c>
      <c r="B423" s="44">
        <f>(C423*11.630000000000003)</f>
        <v/>
      </c>
      <c r="C423" s="45" t="n">
        <v>265.108074</v>
      </c>
    </row>
    <row r="424" ht="14" customHeight="1">
      <c r="A424" s="15" t="n">
        <v>2009</v>
      </c>
      <c r="B424" s="42">
        <f>(C424*11.630000000000003)</f>
        <v/>
      </c>
      <c r="C424" s="43" t="n">
        <v>229.18046</v>
      </c>
    </row>
    <row r="425" ht="14" customHeight="1">
      <c r="A425" s="21" t="n">
        <v>2010</v>
      </c>
      <c r="B425" s="44">
        <f>(C425*11.630000000000003)</f>
        <v/>
      </c>
      <c r="C425" s="45" t="n">
        <v>243.873111</v>
      </c>
    </row>
    <row r="426" ht="14" customHeight="1">
      <c r="A426" s="15" t="n">
        <v>2011</v>
      </c>
      <c r="B426" s="42">
        <f>(C426*11.630000000000003)</f>
        <v/>
      </c>
      <c r="C426" s="43" t="n">
        <v>244.295556</v>
      </c>
    </row>
    <row r="427" ht="14" customHeight="1">
      <c r="A427" s="21" t="n">
        <v>2012</v>
      </c>
      <c r="B427" s="44">
        <f>(C427*11.630000000000003)</f>
        <v/>
      </c>
      <c r="C427" s="45" t="n">
        <v>239.702695</v>
      </c>
    </row>
    <row r="428" ht="14" customHeight="1">
      <c r="A428" s="15" t="n">
        <v>2013</v>
      </c>
      <c r="B428" s="42">
        <f>(C428*11.630000000000003)</f>
        <v/>
      </c>
      <c r="C428" s="43" t="n">
        <v>236.748516</v>
      </c>
    </row>
    <row r="429" ht="14" customHeight="1">
      <c r="A429" s="21" t="n">
        <v>2014</v>
      </c>
      <c r="B429" s="44">
        <f>(C429*11.630000000000003)</f>
        <v/>
      </c>
      <c r="C429" s="45" t="n">
        <v>233.297767</v>
      </c>
    </row>
    <row r="430" ht="14" customHeight="1">
      <c r="A430" s="15" t="n">
        <v>2015</v>
      </c>
      <c r="B430" s="42">
        <f>(C430*11.630000000000003)</f>
        <v/>
      </c>
      <c r="C430" s="43" t="n">
        <v>233.507663</v>
      </c>
    </row>
    <row r="431" ht="14" customHeight="1">
      <c r="A431" s="21" t="n">
        <v>2016</v>
      </c>
      <c r="B431" s="44">
        <f>(C431*11.630000000000003)</f>
        <v/>
      </c>
      <c r="C431" s="45" t="n">
        <v>237.799203</v>
      </c>
    </row>
    <row r="432" ht="14" customHeight="1">
      <c r="A432" s="15" t="n">
        <v>2017</v>
      </c>
      <c r="B432" s="42">
        <f>(C432*11.630000000000003)</f>
        <v/>
      </c>
      <c r="C432" s="43" t="n">
        <v>240.063508</v>
      </c>
    </row>
    <row r="433" ht="14" customHeight="1">
      <c r="A433" s="21" t="n">
        <v>2018</v>
      </c>
      <c r="B433" s="44">
        <f>(C433*11.630000000000003)</f>
        <v/>
      </c>
      <c r="C433" s="45" t="n">
        <v>242.46632</v>
      </c>
    </row>
    <row r="434" ht="14" customHeight="1">
      <c r="A434" s="15" t="n">
        <v>2019</v>
      </c>
      <c r="B434" s="42">
        <f>(C434*11.630000000000003)</f>
        <v/>
      </c>
      <c r="C434" s="43" t="n">
        <v>239.239595</v>
      </c>
    </row>
    <row r="435" ht="14" customHeight="1">
      <c r="A435" s="21" t="n">
        <v>2020</v>
      </c>
      <c r="B435" s="44">
        <f>(C435*11.630000000000003)</f>
        <v/>
      </c>
      <c r="C435" s="45" t="n">
        <v>230.923308</v>
      </c>
    </row>
    <row r="436" ht="14" customHeight="1">
      <c r="A436" s="15" t="n">
        <v>2021</v>
      </c>
      <c r="B436" s="42">
        <f>(C436*11.630000000000003)</f>
        <v/>
      </c>
      <c r="C436" s="43" t="n">
        <v>240.343849</v>
      </c>
    </row>
    <row r="437" ht="14" customHeight="1">
      <c r="A437" s="21" t="n">
        <v>2022</v>
      </c>
      <c r="B437" s="44">
        <f>(C437*11.630000000000003)</f>
        <v/>
      </c>
      <c r="C437" s="45" t="n">
        <v>225.9501289767842</v>
      </c>
    </row>
    <row r="438" ht="14" customHeight="1">
      <c r="A438" s="15" t="n">
        <v>2023</v>
      </c>
      <c r="B438" s="42">
        <f>(C438*11.630000000000003)</f>
        <v/>
      </c>
      <c r="C438" s="43" t="n">
        <v>214.7205503009458</v>
      </c>
    </row>
    <row r="441">
      <c r="A441" s="48" t="inlineStr">
        <is>
          <t>I6 · Electricity share of industrial final energy use  (%)</t>
        </is>
      </c>
    </row>
    <row r="442" ht="24" customHeight="1">
      <c r="A442" s="3" t="inlineStr">
        <is>
          <t>Derivation:  Value = IF(A &gt;= 2022, [Post-report figure as published], ([electricity]/[Total energy use]) * [fraction → % (× 100)])</t>
        </is>
      </c>
    </row>
    <row r="443" ht="42" customHeight="1">
      <c r="A443" s="41" t="inlineStr">
        <is>
          <t>Year</t>
        </is>
      </c>
      <c r="B443" s="41" t="inlineStr">
        <is>
          <t>Value</t>
        </is>
      </c>
      <c r="C443" s="41" t="inlineStr">
        <is>
          <t>electricity</t>
        </is>
      </c>
      <c r="D443" s="41" t="inlineStr">
        <is>
          <t>Total energy use</t>
        </is>
      </c>
      <c r="E443" s="41" t="inlineStr">
        <is>
          <t>Electricity (raw input)</t>
        </is>
      </c>
      <c r="F443" s="41" t="inlineStr">
        <is>
          <t>Total</t>
        </is>
      </c>
      <c r="G443" s="41" t="inlineStr">
        <is>
          <t>Post-report figure as published</t>
        </is>
      </c>
      <c r="H443" s="41" t="inlineStr">
        <is>
          <t>fraction → % (× 100)</t>
        </is>
      </c>
    </row>
    <row r="444" ht="14" customHeight="1">
      <c r="A444" s="15" t="n">
        <v>2005</v>
      </c>
      <c r="B444" s="42">
        <f>IF((A444&gt;=2022),G444,((C444/D444)*H444))</f>
        <v/>
      </c>
      <c r="C444" s="43">
        <f>E444</f>
        <v/>
      </c>
      <c r="D444" s="43">
        <f>F444</f>
        <v/>
      </c>
      <c r="E444" s="43" t="n">
        <v>87.25259</v>
      </c>
      <c r="F444" s="43" t="n">
        <v>275.125254</v>
      </c>
      <c r="G444" s="43" t="n"/>
      <c r="H444" s="43" t="n">
        <v>100</v>
      </c>
    </row>
    <row r="445" ht="14" customHeight="1">
      <c r="A445" s="21" t="n">
        <v>2006</v>
      </c>
      <c r="B445" s="44">
        <f>IF((A445&gt;=2022),G445,((C445/D445)*H445))</f>
        <v/>
      </c>
      <c r="C445" s="45">
        <f>E445</f>
        <v/>
      </c>
      <c r="D445" s="45">
        <f>F445</f>
        <v/>
      </c>
      <c r="E445" s="45" t="n">
        <v>87.20215300000001</v>
      </c>
      <c r="F445" s="45" t="n">
        <v>269.576383</v>
      </c>
      <c r="G445" s="45" t="n"/>
      <c r="H445" s="45" t="n">
        <v>100</v>
      </c>
    </row>
    <row r="446" ht="14" customHeight="1">
      <c r="A446" s="15" t="n">
        <v>2007</v>
      </c>
      <c r="B446" s="42">
        <f>IF((A446&gt;=2022),G446,((C446/D446)*H446))</f>
        <v/>
      </c>
      <c r="C446" s="43">
        <f>E446</f>
        <v/>
      </c>
      <c r="D446" s="43">
        <f>F446</f>
        <v/>
      </c>
      <c r="E446" s="43" t="n">
        <v>88.35837600000001</v>
      </c>
      <c r="F446" s="43" t="n">
        <v>274.275846</v>
      </c>
      <c r="G446" s="43" t="n"/>
      <c r="H446" s="43" t="n">
        <v>100</v>
      </c>
    </row>
    <row r="447" ht="14" customHeight="1">
      <c r="A447" s="21" t="n">
        <v>2008</v>
      </c>
      <c r="B447" s="44">
        <f>IF((A447&gt;=2022),G447,((C447/D447)*H447))</f>
        <v/>
      </c>
      <c r="C447" s="45">
        <f>E447</f>
        <v/>
      </c>
      <c r="D447" s="45">
        <f>F447</f>
        <v/>
      </c>
      <c r="E447" s="45" t="n">
        <v>86.265145</v>
      </c>
      <c r="F447" s="45" t="n">
        <v>265.108074</v>
      </c>
      <c r="G447" s="45" t="n"/>
      <c r="H447" s="45" t="n">
        <v>100</v>
      </c>
    </row>
    <row r="448" ht="14" customHeight="1">
      <c r="A448" s="15" t="n">
        <v>2009</v>
      </c>
      <c r="B448" s="42">
        <f>IF((A448&gt;=2022),G448,((C448/D448)*H448))</f>
        <v/>
      </c>
      <c r="C448" s="43">
        <f>E448</f>
        <v/>
      </c>
      <c r="D448" s="43">
        <f>F448</f>
        <v/>
      </c>
      <c r="E448" s="43" t="n">
        <v>74.30082399999999</v>
      </c>
      <c r="F448" s="43" t="n">
        <v>229.18046</v>
      </c>
      <c r="G448" s="43" t="n"/>
      <c r="H448" s="43" t="n">
        <v>100</v>
      </c>
    </row>
    <row r="449" ht="14" customHeight="1">
      <c r="A449" s="21" t="n">
        <v>2010</v>
      </c>
      <c r="B449" s="44">
        <f>IF((A449&gt;=2022),G449,((C449/D449)*H449))</f>
        <v/>
      </c>
      <c r="C449" s="45">
        <f>E449</f>
        <v/>
      </c>
      <c r="D449" s="45">
        <f>F449</f>
        <v/>
      </c>
      <c r="E449" s="45" t="n">
        <v>79.58803</v>
      </c>
      <c r="F449" s="45" t="n">
        <v>243.873111</v>
      </c>
      <c r="G449" s="45" t="n"/>
      <c r="H449" s="45" t="n">
        <v>100</v>
      </c>
    </row>
    <row r="450" ht="14" customHeight="1">
      <c r="A450" s="15" t="n">
        <v>2011</v>
      </c>
      <c r="B450" s="42">
        <f>IF((A450&gt;=2022),G450,((C450/D450)*H450))</f>
        <v/>
      </c>
      <c r="C450" s="43">
        <f>E450</f>
        <v/>
      </c>
      <c r="D450" s="43">
        <f>F450</f>
        <v/>
      </c>
      <c r="E450" s="43" t="n">
        <v>80.52822</v>
      </c>
      <c r="F450" s="43" t="n">
        <v>244.295556</v>
      </c>
      <c r="G450" s="43" t="n"/>
      <c r="H450" s="43" t="n">
        <v>100</v>
      </c>
    </row>
    <row r="451" ht="14" customHeight="1">
      <c r="A451" s="21" t="n">
        <v>2012</v>
      </c>
      <c r="B451" s="44">
        <f>IF((A451&gt;=2022),G451,((C451/D451)*H451))</f>
        <v/>
      </c>
      <c r="C451" s="45">
        <f>E451</f>
        <v/>
      </c>
      <c r="D451" s="45">
        <f>F451</f>
        <v/>
      </c>
      <c r="E451" s="45" t="n">
        <v>79.12993700000001</v>
      </c>
      <c r="F451" s="45" t="n">
        <v>239.702695</v>
      </c>
      <c r="G451" s="45" t="n"/>
      <c r="H451" s="45" t="n">
        <v>100</v>
      </c>
    </row>
    <row r="452" ht="14" customHeight="1">
      <c r="A452" s="15" t="n">
        <v>2013</v>
      </c>
      <c r="B452" s="42">
        <f>IF((A452&gt;=2022),G452,((C452/D452)*H452))</f>
        <v/>
      </c>
      <c r="C452" s="43">
        <f>E452</f>
        <v/>
      </c>
      <c r="D452" s="43">
        <f>F452</f>
        <v/>
      </c>
      <c r="E452" s="43" t="n">
        <v>77.933983</v>
      </c>
      <c r="F452" s="43" t="n">
        <v>236.748516</v>
      </c>
      <c r="G452" s="43" t="n"/>
      <c r="H452" s="43" t="n">
        <v>100</v>
      </c>
    </row>
    <row r="453" ht="14" customHeight="1">
      <c r="A453" s="21" t="n">
        <v>2014</v>
      </c>
      <c r="B453" s="44">
        <f>IF((A453&gt;=2022),G453,((C453/D453)*H453))</f>
        <v/>
      </c>
      <c r="C453" s="45">
        <f>E453</f>
        <v/>
      </c>
      <c r="D453" s="45">
        <f>F453</f>
        <v/>
      </c>
      <c r="E453" s="45" t="n">
        <v>78.25137699999999</v>
      </c>
      <c r="F453" s="45" t="n">
        <v>233.297767</v>
      </c>
      <c r="G453" s="45" t="n"/>
      <c r="H453" s="45" t="n">
        <v>100</v>
      </c>
    </row>
    <row r="454" ht="14" customHeight="1">
      <c r="A454" s="15" t="n">
        <v>2015</v>
      </c>
      <c r="B454" s="42">
        <f>IF((A454&gt;=2022),G454,((C454/D454)*H454))</f>
        <v/>
      </c>
      <c r="C454" s="43">
        <f>E454</f>
        <v/>
      </c>
      <c r="D454" s="43">
        <f>F454</f>
        <v/>
      </c>
      <c r="E454" s="43" t="n">
        <v>78.580682</v>
      </c>
      <c r="F454" s="43" t="n">
        <v>233.507663</v>
      </c>
      <c r="G454" s="43" t="n"/>
      <c r="H454" s="43" t="n">
        <v>100</v>
      </c>
    </row>
    <row r="455" ht="14" customHeight="1">
      <c r="A455" s="21" t="n">
        <v>2016</v>
      </c>
      <c r="B455" s="44">
        <f>IF((A455&gt;=2022),G455,((C455/D455)*H455))</f>
        <v/>
      </c>
      <c r="C455" s="45">
        <f>E455</f>
        <v/>
      </c>
      <c r="D455" s="45">
        <f>F455</f>
        <v/>
      </c>
      <c r="E455" s="45" t="n">
        <v>79.61735499999999</v>
      </c>
      <c r="F455" s="45" t="n">
        <v>237.799203</v>
      </c>
      <c r="G455" s="45" t="n"/>
      <c r="H455" s="45" t="n">
        <v>100</v>
      </c>
    </row>
    <row r="456" ht="14" customHeight="1">
      <c r="A456" s="15" t="n">
        <v>2017</v>
      </c>
      <c r="B456" s="42">
        <f>IF((A456&gt;=2022),G456,((C456/D456)*H456))</f>
        <v/>
      </c>
      <c r="C456" s="43">
        <f>E456</f>
        <v/>
      </c>
      <c r="D456" s="43">
        <f>F456</f>
        <v/>
      </c>
      <c r="E456" s="43" t="n">
        <v>81.03699499999999</v>
      </c>
      <c r="F456" s="43" t="n">
        <v>240.063508</v>
      </c>
      <c r="G456" s="43" t="n"/>
      <c r="H456" s="43" t="n">
        <v>100</v>
      </c>
    </row>
    <row r="457" ht="14" customHeight="1">
      <c r="A457" s="21" t="n">
        <v>2018</v>
      </c>
      <c r="B457" s="44">
        <f>IF((A457&gt;=2022),G457,((C457/D457)*H457))</f>
        <v/>
      </c>
      <c r="C457" s="45">
        <f>E457</f>
        <v/>
      </c>
      <c r="D457" s="45">
        <f>F457</f>
        <v/>
      </c>
      <c r="E457" s="45" t="n">
        <v>81.292179</v>
      </c>
      <c r="F457" s="45" t="n">
        <v>242.46632</v>
      </c>
      <c r="G457" s="45" t="n"/>
      <c r="H457" s="45" t="n">
        <v>100</v>
      </c>
    </row>
    <row r="458" ht="14" customHeight="1">
      <c r="A458" s="15" t="n">
        <v>2019</v>
      </c>
      <c r="B458" s="42">
        <f>IF((A458&gt;=2022),G458,((C458/D458)*H458))</f>
        <v/>
      </c>
      <c r="C458" s="43">
        <f>E458</f>
        <v/>
      </c>
      <c r="D458" s="43">
        <f>F458</f>
        <v/>
      </c>
      <c r="E458" s="43" t="n">
        <v>80.233557</v>
      </c>
      <c r="F458" s="43" t="n">
        <v>239.239595</v>
      </c>
      <c r="G458" s="43" t="n"/>
      <c r="H458" s="43" t="n">
        <v>100</v>
      </c>
    </row>
    <row r="459" ht="14" customHeight="1">
      <c r="A459" s="21" t="n">
        <v>2020</v>
      </c>
      <c r="B459" s="44">
        <f>IF((A459&gt;=2022),G459,((C459/D459)*H459))</f>
        <v/>
      </c>
      <c r="C459" s="45">
        <f>E459</f>
        <v/>
      </c>
      <c r="D459" s="45">
        <f>F459</f>
        <v/>
      </c>
      <c r="E459" s="45" t="n">
        <v>76.03787699999999</v>
      </c>
      <c r="F459" s="45" t="n">
        <v>230.923308</v>
      </c>
      <c r="G459" s="45" t="n"/>
      <c r="H459" s="45" t="n">
        <v>100</v>
      </c>
    </row>
    <row r="460" ht="14" customHeight="1">
      <c r="A460" s="15" t="n">
        <v>2021</v>
      </c>
      <c r="B460" s="42">
        <f>IF((A460&gt;=2022),G460,((C460/D460)*H460))</f>
        <v/>
      </c>
      <c r="C460" s="43">
        <f>E460</f>
        <v/>
      </c>
      <c r="D460" s="43">
        <f>F460</f>
        <v/>
      </c>
      <c r="E460" s="43" t="n">
        <v>79.831363</v>
      </c>
      <c r="F460" s="43" t="n">
        <v>240.343849</v>
      </c>
      <c r="G460" s="43" t="n"/>
      <c r="H460" s="43" t="n">
        <v>100</v>
      </c>
    </row>
    <row r="461" ht="14" customHeight="1">
      <c r="A461" s="21" t="n">
        <v>2022</v>
      </c>
      <c r="B461" s="44">
        <f>IF((A461&gt;=2022),G461,((C461/D461)*H461))</f>
        <v/>
      </c>
      <c r="C461" s="45">
        <f>E461</f>
        <v/>
      </c>
      <c r="D461" s="45">
        <f>F461</f>
        <v/>
      </c>
      <c r="E461" s="45" t="n"/>
      <c r="F461" s="45" t="n"/>
      <c r="G461" s="45" t="n">
        <v>33.3</v>
      </c>
      <c r="H461" s="45" t="n">
        <v>100</v>
      </c>
    </row>
    <row r="462" ht="14" customHeight="1">
      <c r="A462" s="15" t="n">
        <v>2023</v>
      </c>
      <c r="B462" s="42">
        <f>IF((A462&gt;=2022),G462,((C462/D462)*H462))</f>
        <v/>
      </c>
      <c r="C462" s="43">
        <f>E462</f>
        <v/>
      </c>
      <c r="D462" s="43">
        <f>F462</f>
        <v/>
      </c>
      <c r="E462" s="43" t="n"/>
      <c r="F462" s="43" t="n"/>
      <c r="G462" s="43" t="n">
        <v>32.6</v>
      </c>
      <c r="H462" s="43" t="n">
        <v>100</v>
      </c>
    </row>
    <row r="465">
      <c r="A465" s="49" t="inlineStr">
        <is>
          <t>T1 · Transport GHG emissions (EU)  (Mt CO₂eq)</t>
        </is>
      </c>
    </row>
    <row r="466" ht="24" customHeight="1">
      <c r="A466" s="3" t="inlineStr">
        <is>
          <t>Derivation:  Value = IF(A &gt;= 2022, IF(A &gt;= 2023, ROUND(([env_air_gge CRF1A3] + [env_air_gge CRF1D1A]), 1), [Report figure — row missing from the seeded grid]), [Road - cars and motorcycles]+[Road - HDV and buses]+[Road - Light Duty Trucks]+[- of which Railways, IWW]+[Aviation]+[- of which Other])</t>
        </is>
      </c>
    </row>
    <row r="467" ht="42" customHeight="1">
      <c r="A467" s="41" t="inlineStr">
        <is>
          <t>Year</t>
        </is>
      </c>
      <c r="B467" s="41" t="inlineStr">
        <is>
          <t>Value</t>
        </is>
      </c>
      <c r="C467" s="41" t="inlineStr">
        <is>
          <t>Road - cars and motorcycles</t>
        </is>
      </c>
      <c r="D467" s="41" t="inlineStr">
        <is>
          <t>Road - HDV and buses</t>
        </is>
      </c>
      <c r="E467" s="41" t="inlineStr">
        <is>
          <t>Road - Light Duty Trucks</t>
        </is>
      </c>
      <c r="F467" s="41" t="inlineStr">
        <is>
          <t>- of which Railways, IWW</t>
        </is>
      </c>
      <c r="G467" s="41" t="inlineStr">
        <is>
          <t>Aviation</t>
        </is>
      </c>
      <c r="H467" s="41" t="inlineStr">
        <is>
          <t>- of which Other</t>
        </is>
      </c>
      <c r="I467" s="41" t="inlineStr">
        <is>
          <t>1.A.3.b.i - Cars</t>
        </is>
      </c>
      <c r="J467" s="41" t="inlineStr">
        <is>
          <t>1.A.3.b.iv - Motorcycles</t>
        </is>
      </c>
      <c r="K467" s="41" t="inlineStr">
        <is>
          <t>1.A.3.b.iii - Heavy duty trucks and buses</t>
        </is>
      </c>
      <c r="L467" s="41" t="inlineStr">
        <is>
          <t>1.A.3.b.ii - Light duty trucks</t>
        </is>
      </c>
      <c r="M467" s="41" t="inlineStr">
        <is>
          <t>1.A.3.c - Railways</t>
        </is>
      </c>
      <c r="N467" s="41" t="inlineStr">
        <is>
          <t>1.A.3.d - Domestic Navigation</t>
        </is>
      </c>
      <c r="O467" s="41" t="inlineStr">
        <is>
          <t>- of which domestic</t>
        </is>
      </c>
      <c r="P467" s="41" t="inlineStr">
        <is>
          <t>- of which international</t>
        </is>
      </c>
      <c r="Q467" s="41" t="inlineStr">
        <is>
          <t>1.A.3.b.v - Other Road Transportation</t>
        </is>
      </c>
      <c r="R467" s="41" t="inlineStr">
        <is>
          <t>1.A.3.e - Other Transportation</t>
        </is>
      </c>
      <c r="S467" s="41" t="inlineStr">
        <is>
          <t>1.A.3.a - Domestic Aviation</t>
        </is>
      </c>
      <c r="T467" s="41" t="inlineStr">
        <is>
          <t>1.D.1.a - International Aviation</t>
        </is>
      </c>
      <c r="U467" s="41" t="inlineStr">
        <is>
          <t>Report figure — row missing from the seeded grid</t>
        </is>
      </c>
      <c r="V467" s="41" t="inlineStr">
        <is>
          <t>env_air_gge CRF1A3</t>
        </is>
      </c>
      <c r="W467" s="41" t="inlineStr">
        <is>
          <t>env_air_gge CRF1D1A</t>
        </is>
      </c>
    </row>
    <row r="468" ht="14" customHeight="1">
      <c r="A468" s="15" t="n">
        <v>2005</v>
      </c>
      <c r="B468" s="42">
        <f>IF((A468&gt;=2022),IF((A468&gt;=2023),ROUND((V468+W468),1),U468),(((((C468+D468)+E468)+F468)+G468)+H468))</f>
        <v/>
      </c>
      <c r="C468" s="43">
        <f>((I468+J468)/1000)</f>
        <v/>
      </c>
      <c r="D468" s="43">
        <f>(K468/1000)</f>
        <v/>
      </c>
      <c r="E468" s="43">
        <f>(L468/1000)</f>
        <v/>
      </c>
      <c r="F468" s="43">
        <f>((M468+N468)/1000)</f>
        <v/>
      </c>
      <c r="G468" s="43">
        <f>(O468+P468)</f>
        <v/>
      </c>
      <c r="H468" s="43">
        <f>((Q468+R468)/1000)</f>
        <v/>
      </c>
      <c r="I468" s="43" t="n">
        <v>480541.4195306973</v>
      </c>
      <c r="J468" s="43" t="n">
        <v>11046.9162294182</v>
      </c>
      <c r="K468" s="43" t="n">
        <v>212730.2574256924</v>
      </c>
      <c r="L468" s="43" t="n">
        <v>92042.30337506154</v>
      </c>
      <c r="M468" s="43" t="n">
        <v>6282.695167411506</v>
      </c>
      <c r="N468" s="43" t="n">
        <v>19667.63120979702</v>
      </c>
      <c r="O468" s="43">
        <f>(S468/1000)</f>
        <v/>
      </c>
      <c r="P468" s="43">
        <f>(T468/1000)</f>
        <v/>
      </c>
      <c r="Q468" s="43" t="n">
        <v>180.6838115240363</v>
      </c>
      <c r="R468" s="43" t="n">
        <v>8159.599929271587</v>
      </c>
      <c r="S468" s="43" t="n">
        <v>16734.38838332025</v>
      </c>
      <c r="T468" s="43" t="n">
        <v>96093.5467867558</v>
      </c>
      <c r="U468" s="43" t="n"/>
      <c r="V468" s="43" t="n"/>
      <c r="W468" s="43" t="n"/>
    </row>
    <row r="469" ht="14" customHeight="1">
      <c r="A469" s="21" t="n">
        <v>2006</v>
      </c>
      <c r="B469" s="44">
        <f>IF((A469&gt;=2022),IF((A469&gt;=2023),ROUND((V469+W469),1),U469),(((((C469+D469)+E469)+F469)+G469)+H469))</f>
        <v/>
      </c>
      <c r="C469" s="45">
        <f>((I469+J469)/1000)</f>
        <v/>
      </c>
      <c r="D469" s="45">
        <f>(K469/1000)</f>
        <v/>
      </c>
      <c r="E469" s="45">
        <f>(L469/1000)</f>
        <v/>
      </c>
      <c r="F469" s="45">
        <f>((M469+N469)/1000)</f>
        <v/>
      </c>
      <c r="G469" s="45">
        <f>(O469+P469)</f>
        <v/>
      </c>
      <c r="H469" s="45">
        <f>((Q469+R469)/1000)</f>
        <v/>
      </c>
      <c r="I469" s="45" t="n">
        <v>482224.7537565306</v>
      </c>
      <c r="J469" s="45" t="n">
        <v>10949.38312180254</v>
      </c>
      <c r="K469" s="45" t="n">
        <v>217249.4479288239</v>
      </c>
      <c r="L469" s="45" t="n">
        <v>93929.94691200832</v>
      </c>
      <c r="M469" s="45" t="n">
        <v>6156.417396309589</v>
      </c>
      <c r="N469" s="45" t="n">
        <v>20000.15057251003</v>
      </c>
      <c r="O469" s="45">
        <f>(S469/1000)</f>
        <v/>
      </c>
      <c r="P469" s="45">
        <f>(T469/1000)</f>
        <v/>
      </c>
      <c r="Q469" s="45" t="n">
        <v>157.3326033718289</v>
      </c>
      <c r="R469" s="45" t="n">
        <v>8134.056410529875</v>
      </c>
      <c r="S469" s="45" t="n">
        <v>16692.10988452465</v>
      </c>
      <c r="T469" s="45" t="n">
        <v>101161.5316416803</v>
      </c>
      <c r="U469" s="45" t="n"/>
      <c r="V469" s="45" t="n"/>
      <c r="W469" s="45" t="n"/>
    </row>
    <row r="470" ht="14" customHeight="1">
      <c r="A470" s="15" t="n">
        <v>2007</v>
      </c>
      <c r="B470" s="42">
        <f>IF((A470&gt;=2022),IF((A470&gt;=2023),ROUND((V470+W470),1),U470),(((((C470+D470)+E470)+F470)+G470)+H470))</f>
        <v/>
      </c>
      <c r="C470" s="43">
        <f>((I470+J470)/1000)</f>
        <v/>
      </c>
      <c r="D470" s="43">
        <f>(K470/1000)</f>
        <v/>
      </c>
      <c r="E470" s="43">
        <f>(L470/1000)</f>
        <v/>
      </c>
      <c r="F470" s="43">
        <f>((M470+N470)/1000)</f>
        <v/>
      </c>
      <c r="G470" s="43">
        <f>(O470+P470)</f>
        <v/>
      </c>
      <c r="H470" s="43">
        <f>((Q470+R470)/1000)</f>
        <v/>
      </c>
      <c r="I470" s="43" t="n">
        <v>488774.5431278974</v>
      </c>
      <c r="J470" s="43" t="n">
        <v>10898.22662126159</v>
      </c>
      <c r="K470" s="43" t="n">
        <v>217801.829453462</v>
      </c>
      <c r="L470" s="43" t="n">
        <v>96305.67083674808</v>
      </c>
      <c r="M470" s="43" t="n">
        <v>6401.818138696881</v>
      </c>
      <c r="N470" s="43" t="n">
        <v>19039.84950103229</v>
      </c>
      <c r="O470" s="43">
        <f>(S470/1000)</f>
        <v/>
      </c>
      <c r="P470" s="43">
        <f>(T470/1000)</f>
        <v/>
      </c>
      <c r="Q470" s="43" t="n">
        <v>163.8315653621737</v>
      </c>
      <c r="R470" s="43" t="n">
        <v>7497.60617722514</v>
      </c>
      <c r="S470" s="43" t="n">
        <v>17103.98704857998</v>
      </c>
      <c r="T470" s="43" t="n">
        <v>105830.0665252898</v>
      </c>
      <c r="U470" s="43" t="n"/>
      <c r="V470" s="43" t="n"/>
      <c r="W470" s="43" t="n"/>
    </row>
    <row r="471" ht="14" customHeight="1">
      <c r="A471" s="21" t="n">
        <v>2008</v>
      </c>
      <c r="B471" s="44">
        <f>IF((A471&gt;=2022),IF((A471&gt;=2023),ROUND((V471+W471),1),U471),(((((C471+D471)+E471)+F471)+G471)+H471))</f>
        <v/>
      </c>
      <c r="C471" s="45">
        <f>((I471+J471)/1000)</f>
        <v/>
      </c>
      <c r="D471" s="45">
        <f>(K471/1000)</f>
        <v/>
      </c>
      <c r="E471" s="45">
        <f>(L471/1000)</f>
        <v/>
      </c>
      <c r="F471" s="45">
        <f>((M471+N471)/1000)</f>
        <v/>
      </c>
      <c r="G471" s="45">
        <f>(O471+P471)</f>
        <v/>
      </c>
      <c r="H471" s="45">
        <f>((Q471+R471)/1000)</f>
        <v/>
      </c>
      <c r="I471" s="45" t="n">
        <v>480951.2322424596</v>
      </c>
      <c r="J471" s="45" t="n">
        <v>11369.17784186646</v>
      </c>
      <c r="K471" s="45" t="n">
        <v>211140.0423809844</v>
      </c>
      <c r="L471" s="45" t="n">
        <v>91879.21238634594</v>
      </c>
      <c r="M471" s="45" t="n">
        <v>6161.826653202413</v>
      </c>
      <c r="N471" s="45" t="n">
        <v>18461.00120047764</v>
      </c>
      <c r="O471" s="45">
        <f>(S471/1000)</f>
        <v/>
      </c>
      <c r="P471" s="45">
        <f>(T471/1000)</f>
        <v/>
      </c>
      <c r="Q471" s="45" t="n">
        <v>186.5147739878819</v>
      </c>
      <c r="R471" s="45" t="n">
        <v>8046.77357797751</v>
      </c>
      <c r="S471" s="45" t="n">
        <v>16728.47941104744</v>
      </c>
      <c r="T471" s="45" t="n">
        <v>107394.2293441508</v>
      </c>
      <c r="U471" s="45" t="n"/>
      <c r="V471" s="45" t="n"/>
      <c r="W471" s="45" t="n"/>
    </row>
    <row r="472" ht="14" customHeight="1">
      <c r="A472" s="15" t="n">
        <v>2009</v>
      </c>
      <c r="B472" s="42">
        <f>IF((A472&gt;=2022),IF((A472&gt;=2023),ROUND((V472+W472),1),U472),(((((C472+D472)+E472)+F472)+G472)+H472))</f>
        <v/>
      </c>
      <c r="C472" s="43">
        <f>((I472+J472)/1000)</f>
        <v/>
      </c>
      <c r="D472" s="43">
        <f>(K472/1000)</f>
        <v/>
      </c>
      <c r="E472" s="43">
        <f>(L472/1000)</f>
        <v/>
      </c>
      <c r="F472" s="43">
        <f>((M472+N472)/1000)</f>
        <v/>
      </c>
      <c r="G472" s="43">
        <f>(O472+P472)</f>
        <v/>
      </c>
      <c r="H472" s="43">
        <f>((Q472+R472)/1000)</f>
        <v/>
      </c>
      <c r="I472" s="43" t="n">
        <v>476868.1113292528</v>
      </c>
      <c r="J472" s="43" t="n">
        <v>11052.93697323029</v>
      </c>
      <c r="K472" s="43" t="n">
        <v>199942.5153686436</v>
      </c>
      <c r="L472" s="43" t="n">
        <v>88318.86645627057</v>
      </c>
      <c r="M472" s="43" t="n">
        <v>5442.484407282776</v>
      </c>
      <c r="N472" s="43" t="n">
        <v>18499.95835661965</v>
      </c>
      <c r="O472" s="43">
        <f>(S472/1000)</f>
        <v/>
      </c>
      <c r="P472" s="43">
        <f>(T472/1000)</f>
        <v/>
      </c>
      <c r="Q472" s="43" t="n">
        <v>198.4096436006812</v>
      </c>
      <c r="R472" s="43" t="n">
        <v>6958.351885305405</v>
      </c>
      <c r="S472" s="43" t="n">
        <v>15841.39622316232</v>
      </c>
      <c r="T472" s="43" t="n">
        <v>98727.74136248264</v>
      </c>
      <c r="U472" s="43" t="n"/>
      <c r="V472" s="43" t="n"/>
      <c r="W472" s="43" t="n"/>
    </row>
    <row r="473" ht="14" customHeight="1">
      <c r="A473" s="21" t="n">
        <v>2010</v>
      </c>
      <c r="B473" s="44">
        <f>IF((A473&gt;=2022),IF((A473&gt;=2023),ROUND((V473+W473),1),U473),(((((C473+D473)+E473)+F473)+G473)+H473))</f>
        <v/>
      </c>
      <c r="C473" s="45">
        <f>((I473+J473)/1000)</f>
        <v/>
      </c>
      <c r="D473" s="45">
        <f>(K473/1000)</f>
        <v/>
      </c>
      <c r="E473" s="45">
        <f>(L473/1000)</f>
        <v/>
      </c>
      <c r="F473" s="45">
        <f>((M473+N473)/1000)</f>
        <v/>
      </c>
      <c r="G473" s="45">
        <f>(O473+P473)</f>
        <v/>
      </c>
      <c r="H473" s="45">
        <f>((Q473+R473)/1000)</f>
        <v/>
      </c>
      <c r="I473" s="45" t="n">
        <v>470814.6376809535</v>
      </c>
      <c r="J473" s="45" t="n">
        <v>10876.1538939472</v>
      </c>
      <c r="K473" s="45" t="n">
        <v>201980.2144096809</v>
      </c>
      <c r="L473" s="45" t="n">
        <v>87236.19763399899</v>
      </c>
      <c r="M473" s="45" t="n">
        <v>5426.968491217282</v>
      </c>
      <c r="N473" s="45" t="n">
        <v>18613.81651013615</v>
      </c>
      <c r="O473" s="45">
        <f>(S473/1000)</f>
        <v/>
      </c>
      <c r="P473" s="45">
        <f>(T473/1000)</f>
        <v/>
      </c>
      <c r="Q473" s="45" t="n">
        <v>136.7485342182449</v>
      </c>
      <c r="R473" s="45" t="n">
        <v>6746.827739532908</v>
      </c>
      <c r="S473" s="45" t="n">
        <v>15807.76351830229</v>
      </c>
      <c r="T473" s="45" t="n">
        <v>100367.703168101</v>
      </c>
      <c r="U473" s="45" t="n"/>
      <c r="V473" s="45" t="n"/>
      <c r="W473" s="45" t="n"/>
    </row>
    <row r="474" ht="14" customHeight="1">
      <c r="A474" s="15" t="n">
        <v>2011</v>
      </c>
      <c r="B474" s="42">
        <f>IF((A474&gt;=2022),IF((A474&gt;=2023),ROUND((V474+W474),1),U474),(((((C474+D474)+E474)+F474)+G474)+H474))</f>
        <v/>
      </c>
      <c r="C474" s="43">
        <f>((I474+J474)/1000)</f>
        <v/>
      </c>
      <c r="D474" s="43">
        <f>(K474/1000)</f>
        <v/>
      </c>
      <c r="E474" s="43">
        <f>(L474/1000)</f>
        <v/>
      </c>
      <c r="F474" s="43">
        <f>((M474+N474)/1000)</f>
        <v/>
      </c>
      <c r="G474" s="43">
        <f>(O474+P474)</f>
        <v/>
      </c>
      <c r="H474" s="43">
        <f>((Q474+R474)/1000)</f>
        <v/>
      </c>
      <c r="I474" s="43" t="n">
        <v>464550.594446394</v>
      </c>
      <c r="J474" s="43" t="n">
        <v>10663.06526666333</v>
      </c>
      <c r="K474" s="43" t="n">
        <v>201561.4929994726</v>
      </c>
      <c r="L474" s="43" t="n">
        <v>86850.32675061244</v>
      </c>
      <c r="M474" s="43" t="n">
        <v>5457.213375383851</v>
      </c>
      <c r="N474" s="43" t="n">
        <v>16854.76284116273</v>
      </c>
      <c r="O474" s="43">
        <f>(S474/1000)</f>
        <v/>
      </c>
      <c r="P474" s="43">
        <f>(T474/1000)</f>
        <v/>
      </c>
      <c r="Q474" s="43" t="n">
        <v>136.6343876429492</v>
      </c>
      <c r="R474" s="43" t="n">
        <v>6542.327235843891</v>
      </c>
      <c r="S474" s="43" t="n">
        <v>15624.00824834788</v>
      </c>
      <c r="T474" s="43" t="n">
        <v>102837.0641991336</v>
      </c>
      <c r="U474" s="43" t="n"/>
      <c r="V474" s="43" t="n"/>
      <c r="W474" s="43" t="n"/>
    </row>
    <row r="475" ht="14" customHeight="1">
      <c r="A475" s="21" t="n">
        <v>2012</v>
      </c>
      <c r="B475" s="44">
        <f>IF((A475&gt;=2022),IF((A475&gt;=2023),ROUND((V475+W475),1),U475),(((((C475+D475)+E475)+F475)+G475)+H475))</f>
        <v/>
      </c>
      <c r="C475" s="45">
        <f>((I475+J475)/1000)</f>
        <v/>
      </c>
      <c r="D475" s="45">
        <f>(K475/1000)</f>
        <v/>
      </c>
      <c r="E475" s="45">
        <f>(L475/1000)</f>
        <v/>
      </c>
      <c r="F475" s="45">
        <f>((M475+N475)/1000)</f>
        <v/>
      </c>
      <c r="G475" s="45">
        <f>(O475+P475)</f>
        <v/>
      </c>
      <c r="H475" s="45">
        <f>((Q475+R475)/1000)</f>
        <v/>
      </c>
      <c r="I475" s="45" t="n">
        <v>446069.6603040501</v>
      </c>
      <c r="J475" s="45" t="n">
        <v>10434.27695043798</v>
      </c>
      <c r="K475" s="45" t="n">
        <v>196460.0254851693</v>
      </c>
      <c r="L475" s="45" t="n">
        <v>83852.26061375874</v>
      </c>
      <c r="M475" s="45" t="n">
        <v>5276.009745269003</v>
      </c>
      <c r="N475" s="45" t="n">
        <v>16063.16671642914</v>
      </c>
      <c r="O475" s="45">
        <f>(S475/1000)</f>
        <v/>
      </c>
      <c r="P475" s="45">
        <f>(T475/1000)</f>
        <v/>
      </c>
      <c r="Q475" s="45" t="n">
        <v>127.1093837856459</v>
      </c>
      <c r="R475" s="45" t="n">
        <v>5944.59443163521</v>
      </c>
      <c r="S475" s="45" t="n">
        <v>14479.64604137401</v>
      </c>
      <c r="T475" s="45" t="n">
        <v>101711.2712350216</v>
      </c>
      <c r="U475" s="45" t="n"/>
      <c r="V475" s="45" t="n"/>
      <c r="W475" s="45" t="n"/>
    </row>
    <row r="476" ht="14" customHeight="1">
      <c r="A476" s="15" t="n">
        <v>2013</v>
      </c>
      <c r="B476" s="42">
        <f>IF((A476&gt;=2022),IF((A476&gt;=2023),ROUND((V476+W476),1),U476),(((((C476+D476)+E476)+F476)+G476)+H476))</f>
        <v/>
      </c>
      <c r="C476" s="43">
        <f>((I476+J476)/1000)</f>
        <v/>
      </c>
      <c r="D476" s="43">
        <f>(K476/1000)</f>
        <v/>
      </c>
      <c r="E476" s="43">
        <f>(L476/1000)</f>
        <v/>
      </c>
      <c r="F476" s="43">
        <f>((M476+N476)/1000)</f>
        <v/>
      </c>
      <c r="G476" s="43">
        <f>(O476+P476)</f>
        <v/>
      </c>
      <c r="H476" s="43">
        <f>((Q476+R476)/1000)</f>
        <v/>
      </c>
      <c r="I476" s="43" t="n">
        <v>448657.4457588319</v>
      </c>
      <c r="J476" s="43" t="n">
        <v>10133.1246484716</v>
      </c>
      <c r="K476" s="43" t="n">
        <v>194031.3210427841</v>
      </c>
      <c r="L476" s="43" t="n">
        <v>80353.77327952888</v>
      </c>
      <c r="M476" s="43" t="n">
        <v>4953.910265344102</v>
      </c>
      <c r="N476" s="43" t="n">
        <v>14694.89008832424</v>
      </c>
      <c r="O476" s="43">
        <f>(S476/1000)</f>
        <v/>
      </c>
      <c r="P476" s="43">
        <f>(T476/1000)</f>
        <v/>
      </c>
      <c r="Q476" s="43" t="n">
        <v>114.2692752323638</v>
      </c>
      <c r="R476" s="43" t="n">
        <v>6495.348440844533</v>
      </c>
      <c r="S476" s="43" t="n">
        <v>13279.9270060317</v>
      </c>
      <c r="T476" s="43" t="n">
        <v>102661.527717858</v>
      </c>
      <c r="U476" s="43" t="n"/>
      <c r="V476" s="43" t="n"/>
      <c r="W476" s="43" t="n"/>
    </row>
    <row r="477" ht="14" customHeight="1">
      <c r="A477" s="21" t="n">
        <v>2014</v>
      </c>
      <c r="B477" s="44">
        <f>IF((A477&gt;=2022),IF((A477&gt;=2023),ROUND((V477+W477),1),U477),(((((C477+D477)+E477)+F477)+G477)+H477))</f>
        <v/>
      </c>
      <c r="C477" s="45">
        <f>((I477+J477)/1000)</f>
        <v/>
      </c>
      <c r="D477" s="45">
        <f>(K477/1000)</f>
        <v/>
      </c>
      <c r="E477" s="45">
        <f>(L477/1000)</f>
        <v/>
      </c>
      <c r="F477" s="45">
        <f>((M477+N477)/1000)</f>
        <v/>
      </c>
      <c r="G477" s="45">
        <f>(O477+P477)</f>
        <v/>
      </c>
      <c r="H477" s="45">
        <f>((Q477+R477)/1000)</f>
        <v/>
      </c>
      <c r="I477" s="45" t="n">
        <v>458349.5111173873</v>
      </c>
      <c r="J477" s="45" t="n">
        <v>10417.87077557057</v>
      </c>
      <c r="K477" s="45" t="n">
        <v>191775.9318901639</v>
      </c>
      <c r="L477" s="45" t="n">
        <v>80458.77839013461</v>
      </c>
      <c r="M477" s="45" t="n">
        <v>4537.944268875722</v>
      </c>
      <c r="N477" s="45" t="n">
        <v>13946.77236602893</v>
      </c>
      <c r="O477" s="45">
        <f>(S477/1000)</f>
        <v/>
      </c>
      <c r="P477" s="45">
        <f>(T477/1000)</f>
        <v/>
      </c>
      <c r="Q477" s="45" t="n">
        <v>92.23786169576029</v>
      </c>
      <c r="R477" s="45" t="n">
        <v>5426.008108538639</v>
      </c>
      <c r="S477" s="45" t="n">
        <v>13073.22526108408</v>
      </c>
      <c r="T477" s="45" t="n">
        <v>104670.2515866599</v>
      </c>
      <c r="U477" s="45" t="n"/>
      <c r="V477" s="45" t="n"/>
      <c r="W477" s="45" t="n"/>
    </row>
    <row r="478" ht="14" customHeight="1">
      <c r="A478" s="15" t="n">
        <v>2015</v>
      </c>
      <c r="B478" s="42">
        <f>IF((A478&gt;=2022),IF((A478&gt;=2023),ROUND((V478+W478),1),U478),(((((C478+D478)+E478)+F478)+G478)+H478))</f>
        <v/>
      </c>
      <c r="C478" s="43">
        <f>((I478+J478)/1000)</f>
        <v/>
      </c>
      <c r="D478" s="43">
        <f>(K478/1000)</f>
        <v/>
      </c>
      <c r="E478" s="43">
        <f>(L478/1000)</f>
        <v/>
      </c>
      <c r="F478" s="43">
        <f>((M478+N478)/1000)</f>
        <v/>
      </c>
      <c r="G478" s="43">
        <f>(O478+P478)</f>
        <v/>
      </c>
      <c r="H478" s="43">
        <f>((Q478+R478)/1000)</f>
        <v/>
      </c>
      <c r="I478" s="43" t="n">
        <v>466627.8646851056</v>
      </c>
      <c r="J478" s="43" t="n">
        <v>10389.46464269595</v>
      </c>
      <c r="K478" s="43" t="n">
        <v>196116.1691848404</v>
      </c>
      <c r="L478" s="43" t="n">
        <v>82200.36075816839</v>
      </c>
      <c r="M478" s="43" t="n">
        <v>4540.918845670133</v>
      </c>
      <c r="N478" s="43" t="n">
        <v>14695.95268452451</v>
      </c>
      <c r="O478" s="43">
        <f>(S478/1000)</f>
        <v/>
      </c>
      <c r="P478" s="43">
        <f>(T478/1000)</f>
        <v/>
      </c>
      <c r="Q478" s="43" t="n">
        <v>92.8007694897789</v>
      </c>
      <c r="R478" s="43" t="n">
        <v>5424.7605925366</v>
      </c>
      <c r="S478" s="43" t="n">
        <v>13151.24530535753</v>
      </c>
      <c r="T478" s="43" t="n">
        <v>108530.225575632</v>
      </c>
      <c r="U478" s="43" t="n"/>
      <c r="V478" s="43" t="n"/>
      <c r="W478" s="43" t="n"/>
    </row>
    <row r="479" ht="14" customHeight="1">
      <c r="A479" s="21" t="n">
        <v>2016</v>
      </c>
      <c r="B479" s="44">
        <f>IF((A479&gt;=2022),IF((A479&gt;=2023),ROUND((V479+W479),1),U479),(((((C479+D479)+E479)+F479)+G479)+H479))</f>
        <v/>
      </c>
      <c r="C479" s="45">
        <f>((I479+J479)/1000)</f>
        <v/>
      </c>
      <c r="D479" s="45">
        <f>(K479/1000)</f>
        <v/>
      </c>
      <c r="E479" s="45">
        <f>(L479/1000)</f>
        <v/>
      </c>
      <c r="F479" s="45">
        <f>((M479+N479)/1000)</f>
        <v/>
      </c>
      <c r="G479" s="45">
        <f>(O479+P479)</f>
        <v/>
      </c>
      <c r="H479" s="45">
        <f>((Q479+R479)/1000)</f>
        <v/>
      </c>
      <c r="I479" s="45" t="n">
        <v>477579.9281676082</v>
      </c>
      <c r="J479" s="45" t="n">
        <v>10156.17112805583</v>
      </c>
      <c r="K479" s="45" t="n">
        <v>200624.424101592</v>
      </c>
      <c r="L479" s="45" t="n">
        <v>83344.27680641123</v>
      </c>
      <c r="M479" s="45" t="n">
        <v>4409.64316114178</v>
      </c>
      <c r="N479" s="45" t="n">
        <v>15513.01820303854</v>
      </c>
      <c r="O479" s="45">
        <f>(S479/1000)</f>
        <v/>
      </c>
      <c r="P479" s="45">
        <f>(T479/1000)</f>
        <v/>
      </c>
      <c r="Q479" s="45" t="n">
        <v>103.7253198588534</v>
      </c>
      <c r="R479" s="45" t="n">
        <v>5394.812618473869</v>
      </c>
      <c r="S479" s="45" t="n">
        <v>13623.16711971013</v>
      </c>
      <c r="T479" s="45" t="n">
        <v>115073.9625731744</v>
      </c>
      <c r="U479" s="45" t="n"/>
      <c r="V479" s="45" t="n"/>
      <c r="W479" s="45" t="n"/>
    </row>
    <row r="480" ht="14" customHeight="1">
      <c r="A480" s="15" t="n">
        <v>2017</v>
      </c>
      <c r="B480" s="42">
        <f>IF((A480&gt;=2022),IF((A480&gt;=2023),ROUND((V480+W480),1),U480),(((((C480+D480)+E480)+F480)+G480)+H480))</f>
        <v/>
      </c>
      <c r="C480" s="43">
        <f>((I480+J480)/1000)</f>
        <v/>
      </c>
      <c r="D480" s="43">
        <f>(K480/1000)</f>
        <v/>
      </c>
      <c r="E480" s="43">
        <f>(L480/1000)</f>
        <v/>
      </c>
      <c r="F480" s="43">
        <f>((M480+N480)/1000)</f>
        <v/>
      </c>
      <c r="G480" s="43">
        <f>(O480+P480)</f>
        <v/>
      </c>
      <c r="H480" s="43">
        <f>((Q480+R480)/1000)</f>
        <v/>
      </c>
      <c r="I480" s="43" t="n">
        <v>483452.2724814751</v>
      </c>
      <c r="J480" s="43" t="n">
        <v>10030.51849872875</v>
      </c>
      <c r="K480" s="43" t="n">
        <v>206072.8606619386</v>
      </c>
      <c r="L480" s="43" t="n">
        <v>84587.23581226081</v>
      </c>
      <c r="M480" s="43" t="n">
        <v>4337.338002892178</v>
      </c>
      <c r="N480" s="43" t="n">
        <v>16469.91469824284</v>
      </c>
      <c r="O480" s="43">
        <f>(S480/1000)</f>
        <v/>
      </c>
      <c r="P480" s="43">
        <f>(T480/1000)</f>
        <v/>
      </c>
      <c r="Q480" s="43" t="n">
        <v>110.3166881292349</v>
      </c>
      <c r="R480" s="43" t="n">
        <v>5917.340847083199</v>
      </c>
      <c r="S480" s="43" t="n">
        <v>14002.87329188981</v>
      </c>
      <c r="T480" s="43" t="n">
        <v>124162.2531613785</v>
      </c>
      <c r="U480" s="43" t="n"/>
      <c r="V480" s="43" t="n"/>
      <c r="W480" s="43" t="n"/>
    </row>
    <row r="481" ht="14" customHeight="1">
      <c r="A481" s="21" t="n">
        <v>2018</v>
      </c>
      <c r="B481" s="44">
        <f>IF((A481&gt;=2022),IF((A481&gt;=2023),ROUND((V481+W481),1),U481),(((((C481+D481)+E481)+F481)+G481)+H481))</f>
        <v/>
      </c>
      <c r="C481" s="45">
        <f>((I481+J481)/1000)</f>
        <v/>
      </c>
      <c r="D481" s="45">
        <f>(K481/1000)</f>
        <v/>
      </c>
      <c r="E481" s="45">
        <f>(L481/1000)</f>
        <v/>
      </c>
      <c r="F481" s="45">
        <f>((M481+N481)/1000)</f>
        <v/>
      </c>
      <c r="G481" s="45">
        <f>(O481+P481)</f>
        <v/>
      </c>
      <c r="H481" s="45">
        <f>((Q481+R481)/1000)</f>
        <v/>
      </c>
      <c r="I481" s="45" t="n">
        <v>480336.4333123153</v>
      </c>
      <c r="J481" s="45" t="n">
        <v>9818.065177598211</v>
      </c>
      <c r="K481" s="45" t="n">
        <v>208220.8162255524</v>
      </c>
      <c r="L481" s="45" t="n">
        <v>85923.18140081303</v>
      </c>
      <c r="M481" s="45" t="n">
        <v>4142.605103300223</v>
      </c>
      <c r="N481" s="45" t="n">
        <v>17265.78740677839</v>
      </c>
      <c r="O481" s="45">
        <f>(S481/1000)</f>
        <v/>
      </c>
      <c r="P481" s="45">
        <f>(T481/1000)</f>
        <v/>
      </c>
      <c r="Q481" s="45" t="n">
        <v>108.9928640036318</v>
      </c>
      <c r="R481" s="45" t="n">
        <v>6045.428949767484</v>
      </c>
      <c r="S481" s="45" t="n">
        <v>14621.70565822709</v>
      </c>
      <c r="T481" s="45" t="n">
        <v>130358.3122343503</v>
      </c>
      <c r="U481" s="45" t="n"/>
      <c r="V481" s="45" t="n"/>
      <c r="W481" s="45" t="n"/>
    </row>
    <row r="482" ht="14" customHeight="1">
      <c r="A482" s="15" t="n">
        <v>2019</v>
      </c>
      <c r="B482" s="42">
        <f>IF((A482&gt;=2022),IF((A482&gt;=2023),ROUND((V482+W482),1),U482),(((((C482+D482)+E482)+F482)+G482)+H482))</f>
        <v/>
      </c>
      <c r="C482" s="43">
        <f>((I482+J482)/1000)</f>
        <v/>
      </c>
      <c r="D482" s="43">
        <f>(K482/1000)</f>
        <v/>
      </c>
      <c r="E482" s="43">
        <f>(L482/1000)</f>
        <v/>
      </c>
      <c r="F482" s="43">
        <f>((M482+N482)/1000)</f>
        <v/>
      </c>
      <c r="G482" s="43">
        <f>(O482+P482)</f>
        <v/>
      </c>
      <c r="H482" s="43">
        <f>((Q482+R482)/1000)</f>
        <v/>
      </c>
      <c r="I482" s="43" t="n">
        <v>483220.2505014302</v>
      </c>
      <c r="J482" s="43" t="n">
        <v>10171.73690057964</v>
      </c>
      <c r="K482" s="43" t="n">
        <v>210357.032593334</v>
      </c>
      <c r="L482" s="43" t="n">
        <v>86143.86612410132</v>
      </c>
      <c r="M482" s="43" t="n">
        <v>4107.969264214858</v>
      </c>
      <c r="N482" s="43" t="n">
        <v>17941.24912100423</v>
      </c>
      <c r="O482" s="43">
        <f>(S482/1000)</f>
        <v/>
      </c>
      <c r="P482" s="43">
        <f>(T482/1000)</f>
        <v/>
      </c>
      <c r="Q482" s="43" t="n">
        <v>102.5636790047715</v>
      </c>
      <c r="R482" s="43" t="n">
        <v>5761.91235357339</v>
      </c>
      <c r="S482" s="43" t="n">
        <v>14926.38224293806</v>
      </c>
      <c r="T482" s="43" t="n">
        <v>132976.6899599499</v>
      </c>
      <c r="U482" s="43" t="n"/>
      <c r="V482" s="43" t="n"/>
      <c r="W482" s="43" t="n"/>
    </row>
    <row r="483" ht="14" customHeight="1">
      <c r="A483" s="21" t="n">
        <v>2020</v>
      </c>
      <c r="B483" s="44">
        <f>IF((A483&gt;=2022),IF((A483&gt;=2023),ROUND((V483+W483),1),U483),(((((C483+D483)+E483)+F483)+G483)+H483))</f>
        <v/>
      </c>
      <c r="C483" s="45">
        <f>((I483+J483)/1000)</f>
        <v/>
      </c>
      <c r="D483" s="45">
        <f>(K483/1000)</f>
        <v/>
      </c>
      <c r="E483" s="45">
        <f>(L483/1000)</f>
        <v/>
      </c>
      <c r="F483" s="45">
        <f>((M483+N483)/1000)</f>
        <v/>
      </c>
      <c r="G483" s="45">
        <f>(O483+P483)</f>
        <v/>
      </c>
      <c r="H483" s="45">
        <f>((Q483+R483)/1000)</f>
        <v/>
      </c>
      <c r="I483" s="45" t="n">
        <v>406560.9239682709</v>
      </c>
      <c r="J483" s="45" t="n">
        <v>8991.798144639868</v>
      </c>
      <c r="K483" s="45" t="n">
        <v>194382.6212657854</v>
      </c>
      <c r="L483" s="45" t="n">
        <v>77538.64236736868</v>
      </c>
      <c r="M483" s="45" t="n">
        <v>3660.556040153515</v>
      </c>
      <c r="N483" s="45" t="n">
        <v>16386.00470699061</v>
      </c>
      <c r="O483" s="45">
        <f>(S483/1000)</f>
        <v/>
      </c>
      <c r="P483" s="45">
        <f>(T483/1000)</f>
        <v/>
      </c>
      <c r="Q483" s="45" t="n">
        <v>103.4819511785051</v>
      </c>
      <c r="R483" s="45" t="n">
        <v>4635.344689535795</v>
      </c>
      <c r="S483" s="45" t="n">
        <v>7922.144839822689</v>
      </c>
      <c r="T483" s="45" t="n">
        <v>56110.15386994078</v>
      </c>
      <c r="U483" s="45" t="n"/>
      <c r="V483" s="45" t="n"/>
      <c r="W483" s="45" t="n"/>
    </row>
    <row r="484" ht="14" customHeight="1">
      <c r="A484" s="15" t="n">
        <v>2021</v>
      </c>
      <c r="B484" s="42">
        <f>IF((A484&gt;=2022),IF((A484&gt;=2023),ROUND((V484+W484),1),U484),(((((C484+D484)+E484)+F484)+G484)+H484))</f>
        <v/>
      </c>
      <c r="C484" s="43">
        <f>((I484+J484)/1000)</f>
        <v/>
      </c>
      <c r="D484" s="43">
        <f>(K484/1000)</f>
        <v/>
      </c>
      <c r="E484" s="43">
        <f>(L484/1000)</f>
        <v/>
      </c>
      <c r="F484" s="43">
        <f>((M484+N484)/1000)</f>
        <v/>
      </c>
      <c r="G484" s="43">
        <f>(O484+P484)</f>
        <v/>
      </c>
      <c r="H484" s="43">
        <f>((Q484+R484)/1000)</f>
        <v/>
      </c>
      <c r="I484" s="43" t="n">
        <v>440486.9945554133</v>
      </c>
      <c r="J484" s="43" t="n">
        <v>9766.083034944579</v>
      </c>
      <c r="K484" s="43" t="n">
        <v>209370.6145083884</v>
      </c>
      <c r="L484" s="43" t="n">
        <v>88121.01624361766</v>
      </c>
      <c r="M484" s="43" t="n">
        <v>3751.154061693234</v>
      </c>
      <c r="N484" s="43" t="n">
        <v>15975.46154971628</v>
      </c>
      <c r="O484" s="43">
        <f>(S484/1000)</f>
        <v/>
      </c>
      <c r="P484" s="43">
        <f>(T484/1000)</f>
        <v/>
      </c>
      <c r="Q484" s="43" t="n">
        <v>121.3041059004118</v>
      </c>
      <c r="R484" s="43" t="n">
        <v>4691.600607100246</v>
      </c>
      <c r="S484" s="43" t="n">
        <v>9816.464046063951</v>
      </c>
      <c r="T484" s="43" t="n">
        <v>69754.33288629929</v>
      </c>
      <c r="U484" s="43" t="n"/>
      <c r="V484" s="43" t="n"/>
      <c r="W484" s="43" t="n"/>
    </row>
    <row r="485" ht="14" customHeight="1">
      <c r="A485" s="21" t="n">
        <v>2022</v>
      </c>
      <c r="B485" s="44">
        <f>IF((A485&gt;=2022),IF((A485&gt;=2023),ROUND((V485+W485),1),U485),(((((C485+D485)+E485)+F485)+G485)+H485))</f>
        <v/>
      </c>
      <c r="C485" s="45">
        <f>((I485+J485)/1000)</f>
        <v/>
      </c>
      <c r="D485" s="45">
        <f>(K485/1000)</f>
        <v/>
      </c>
      <c r="E485" s="45">
        <f>(L485/1000)</f>
        <v/>
      </c>
      <c r="F485" s="45">
        <f>((M485+N485)/1000)</f>
        <v/>
      </c>
      <c r="G485" s="45">
        <f>(O485+P485)</f>
        <v/>
      </c>
      <c r="H485" s="45">
        <f>((Q485+R485)/1000)</f>
        <v/>
      </c>
      <c r="I485" s="45" t="n"/>
      <c r="J485" s="45" t="n"/>
      <c r="K485" s="45" t="n"/>
      <c r="L485" s="45" t="n"/>
      <c r="M485" s="45" t="n"/>
      <c r="N485" s="45" t="n"/>
      <c r="O485" s="45">
        <f>(S485/1000)</f>
        <v/>
      </c>
      <c r="P485" s="45">
        <f>(T485/1000)</f>
        <v/>
      </c>
      <c r="Q485" s="45" t="n"/>
      <c r="R485" s="45" t="n"/>
      <c r="S485" s="45" t="n"/>
      <c r="T485" s="45" t="n"/>
      <c r="U485" s="45" t="n">
        <v>906.6</v>
      </c>
      <c r="V485" s="45" t="n"/>
      <c r="W485" s="45" t="n"/>
    </row>
    <row r="486" ht="14" customHeight="1">
      <c r="A486" s="15" t="n">
        <v>2023</v>
      </c>
      <c r="B486" s="42">
        <f>IF((A486&gt;=2022),IF((A486&gt;=2023),ROUND((V486+W486),1),U486),(((((C486+D486)+E486)+F486)+G486)+H486))</f>
        <v/>
      </c>
      <c r="C486" s="43">
        <f>((I486+J486)/1000)</f>
        <v/>
      </c>
      <c r="D486" s="43">
        <f>(K486/1000)</f>
        <v/>
      </c>
      <c r="E486" s="43">
        <f>(L486/1000)</f>
        <v/>
      </c>
      <c r="F486" s="43">
        <f>((M486+N486)/1000)</f>
        <v/>
      </c>
      <c r="G486" s="43">
        <f>(O486+P486)</f>
        <v/>
      </c>
      <c r="H486" s="43">
        <f>((Q486+R486)/1000)</f>
        <v/>
      </c>
      <c r="I486" s="43" t="n"/>
      <c r="J486" s="43" t="n"/>
      <c r="K486" s="43" t="n"/>
      <c r="L486" s="43" t="n"/>
      <c r="M486" s="43" t="n"/>
      <c r="N486" s="43" t="n"/>
      <c r="O486" s="43">
        <f>(S486/1000)</f>
        <v/>
      </c>
      <c r="P486" s="43">
        <f>(T486/1000)</f>
        <v/>
      </c>
      <c r="Q486" s="43" t="n"/>
      <c r="R486" s="43" t="n"/>
      <c r="S486" s="43" t="n"/>
      <c r="T486" s="43" t="n"/>
      <c r="U486" s="43" t="n"/>
      <c r="V486" s="43" t="n">
        <v>795.6403800000001</v>
      </c>
      <c r="W486" s="43" t="n">
        <v>122.75595</v>
      </c>
    </row>
    <row r="487" ht="14" customHeight="1">
      <c r="A487" s="21" t="n">
        <v>2024</v>
      </c>
      <c r="B487" s="44">
        <f>IF((A487&gt;=2022),IF((A487&gt;=2023),ROUND((V487+W487),1),U487),(((((C487+D487)+E487)+F487)+G487)+H487))</f>
        <v/>
      </c>
      <c r="C487" s="45">
        <f>((I487+J487)/1000)</f>
        <v/>
      </c>
      <c r="D487" s="45">
        <f>(K487/1000)</f>
        <v/>
      </c>
      <c r="E487" s="45">
        <f>(L487/1000)</f>
        <v/>
      </c>
      <c r="F487" s="45">
        <f>((M487+N487)/1000)</f>
        <v/>
      </c>
      <c r="G487" s="45">
        <f>(O487+P487)</f>
        <v/>
      </c>
      <c r="H487" s="45">
        <f>((Q487+R487)/1000)</f>
        <v/>
      </c>
      <c r="I487" s="45" t="n"/>
      <c r="J487" s="45" t="n"/>
      <c r="K487" s="45" t="n"/>
      <c r="L487" s="45" t="n"/>
      <c r="M487" s="45" t="n"/>
      <c r="N487" s="45" t="n"/>
      <c r="O487" s="45">
        <f>(S487/1000)</f>
        <v/>
      </c>
      <c r="P487" s="45">
        <f>(T487/1000)</f>
        <v/>
      </c>
      <c r="Q487" s="45" t="n"/>
      <c r="R487" s="45" t="n"/>
      <c r="S487" s="45" t="n"/>
      <c r="T487" s="45" t="n"/>
      <c r="U487" s="45" t="n"/>
      <c r="V487" s="45" t="n">
        <v>804.76405</v>
      </c>
      <c r="W487" s="45" t="n">
        <v>129.98166</v>
      </c>
    </row>
    <row r="490">
      <c r="A490" s="49" t="inlineStr">
        <is>
          <t>T2a · Total passenger transport demand  (Gpkm)</t>
        </is>
      </c>
    </row>
    <row r="491" ht="24" customHeight="1">
      <c r="A491" s="3" t="inlineStr">
        <is>
          <t>Derivation:  Value = IF(A &gt;= 2022, [Post-report figure as published], [cars and 2-wheels]+[buses and coaches]+[rail]+[aviation])</t>
        </is>
      </c>
    </row>
    <row r="492" ht="42" customHeight="1">
      <c r="A492" s="41" t="inlineStr">
        <is>
          <t>Year</t>
        </is>
      </c>
      <c r="B492" s="41" t="inlineStr">
        <is>
          <t>Value</t>
        </is>
      </c>
      <c r="C492" s="41" t="inlineStr">
        <is>
          <t>cars and 2-wheels</t>
        </is>
      </c>
      <c r="D492" s="41" t="inlineStr">
        <is>
          <t>buses and coaches</t>
        </is>
      </c>
      <c r="E492" s="41" t="inlineStr">
        <is>
          <t>rail</t>
        </is>
      </c>
      <c r="F492" s="41" t="inlineStr">
        <is>
          <t>aviation</t>
        </is>
      </c>
      <c r="G492" s="41" t="inlineStr">
        <is>
          <t>Passenger Cars</t>
        </is>
      </c>
      <c r="H492" s="41" t="inlineStr">
        <is>
          <t>Powered 2-wheelers</t>
        </is>
      </c>
      <c r="I492" s="41" t="inlineStr">
        <is>
          <t>Buses &amp; Coaches</t>
        </is>
      </c>
      <c r="J492" s="41" t="inlineStr">
        <is>
          <t>Railways</t>
        </is>
      </c>
      <c r="K492" s="41" t="inlineStr">
        <is>
          <t>Tram &amp; Metro</t>
        </is>
      </c>
      <c r="L492" s="41" t="inlineStr">
        <is>
          <t>Air</t>
        </is>
      </c>
      <c r="M492" s="41" t="inlineStr">
        <is>
          <t>Post-report figure as published</t>
        </is>
      </c>
    </row>
    <row r="493" ht="14" customHeight="1">
      <c r="A493" s="15" t="n">
        <v>2005</v>
      </c>
      <c r="B493" s="42">
        <f>IF((A493&gt;=2022),M493,(((C493+D493)+E493)+F493))</f>
        <v/>
      </c>
      <c r="C493" s="43">
        <f>(G493+H493)</f>
        <v/>
      </c>
      <c r="D493" s="43">
        <f>I493</f>
        <v/>
      </c>
      <c r="E493" s="43">
        <f>(J493+K493)</f>
        <v/>
      </c>
      <c r="F493" s="43">
        <f>L493</f>
        <v/>
      </c>
      <c r="G493" s="43" t="n">
        <v>3839.2</v>
      </c>
      <c r="H493" s="43" t="n">
        <v>114.6</v>
      </c>
      <c r="I493" s="43" t="n">
        <v>497.8</v>
      </c>
      <c r="J493" s="43" t="n">
        <v>339.8</v>
      </c>
      <c r="K493" s="43" t="n">
        <v>73.2</v>
      </c>
      <c r="L493" s="43" t="n">
        <v>361.3</v>
      </c>
      <c r="M493" s="43" t="n"/>
    </row>
    <row r="494" ht="14" customHeight="1">
      <c r="A494" s="21" t="n">
        <v>2006</v>
      </c>
      <c r="B494" s="44">
        <f>IF((A494&gt;=2022),M494,(((C494+D494)+E494)+F494))</f>
        <v/>
      </c>
      <c r="C494" s="45">
        <f>(G494+H494)</f>
        <v/>
      </c>
      <c r="D494" s="45">
        <f>I494</f>
        <v/>
      </c>
      <c r="E494" s="45">
        <f>(J494+K494)</f>
        <v/>
      </c>
      <c r="F494" s="45">
        <f>L494</f>
        <v/>
      </c>
      <c r="G494" s="45" t="n">
        <v>3875.3</v>
      </c>
      <c r="H494" s="45" t="n">
        <v>113.6</v>
      </c>
      <c r="I494" s="45" t="n">
        <v>497.8</v>
      </c>
      <c r="J494" s="45" t="n">
        <v>349.4</v>
      </c>
      <c r="K494" s="45" t="n">
        <v>74.59999999999999</v>
      </c>
      <c r="L494" s="45" t="n">
        <v>376.4</v>
      </c>
      <c r="M494" s="45" t="n"/>
    </row>
    <row r="495" ht="14" customHeight="1">
      <c r="A495" s="15" t="n">
        <v>2007</v>
      </c>
      <c r="B495" s="42">
        <f>IF((A495&gt;=2022),M495,(((C495+D495)+E495)+F495))</f>
        <v/>
      </c>
      <c r="C495" s="43">
        <f>(G495+H495)</f>
        <v/>
      </c>
      <c r="D495" s="43">
        <f>I495</f>
        <v/>
      </c>
      <c r="E495" s="43">
        <f>(J495+K495)</f>
        <v/>
      </c>
      <c r="F495" s="43">
        <f>L495</f>
        <v/>
      </c>
      <c r="G495" s="43" t="n">
        <v>3921.3</v>
      </c>
      <c r="H495" s="43" t="n">
        <v>109.6</v>
      </c>
      <c r="I495" s="43" t="n">
        <v>507.9</v>
      </c>
      <c r="J495" s="43" t="n">
        <v>353.4</v>
      </c>
      <c r="K495" s="43" t="n">
        <v>76.40000000000001</v>
      </c>
      <c r="L495" s="43" t="n">
        <v>392.2</v>
      </c>
      <c r="M495" s="43" t="n"/>
    </row>
    <row r="496" ht="14" customHeight="1">
      <c r="A496" s="21" t="n">
        <v>2008</v>
      </c>
      <c r="B496" s="44">
        <f>IF((A496&gt;=2022),M496,(((C496+D496)+E496)+F496))</f>
        <v/>
      </c>
      <c r="C496" s="45">
        <f>(G496+H496)</f>
        <v/>
      </c>
      <c r="D496" s="45">
        <f>I496</f>
        <v/>
      </c>
      <c r="E496" s="45">
        <f>(J496+K496)</f>
        <v/>
      </c>
      <c r="F496" s="45">
        <f>L496</f>
        <v/>
      </c>
      <c r="G496" s="45" t="n">
        <v>3931.6</v>
      </c>
      <c r="H496" s="45" t="n">
        <v>114.5</v>
      </c>
      <c r="I496" s="45" t="n">
        <v>514.1</v>
      </c>
      <c r="J496" s="45" t="n">
        <v>366.6</v>
      </c>
      <c r="K496" s="45" t="n">
        <v>79.3</v>
      </c>
      <c r="L496" s="45" t="n">
        <v>383.8</v>
      </c>
      <c r="M496" s="45" t="n"/>
    </row>
    <row r="497" ht="14" customHeight="1">
      <c r="A497" s="15" t="n">
        <v>2009</v>
      </c>
      <c r="B497" s="42">
        <f>IF((A497&gt;=2022),M497,(((C497+D497)+E497)+F497))</f>
        <v/>
      </c>
      <c r="C497" s="43">
        <f>(G497+H497)</f>
        <v/>
      </c>
      <c r="D497" s="43">
        <f>I497</f>
        <v/>
      </c>
      <c r="E497" s="43">
        <f>(J497+K497)</f>
        <v/>
      </c>
      <c r="F497" s="43">
        <f>L497</f>
        <v/>
      </c>
      <c r="G497" s="43" t="n">
        <v>4009.2</v>
      </c>
      <c r="H497" s="43" t="n">
        <v>112</v>
      </c>
      <c r="I497" s="43" t="n">
        <v>489.7</v>
      </c>
      <c r="J497" s="43" t="n">
        <v>359.3</v>
      </c>
      <c r="K497" s="43" t="n">
        <v>78.59999999999999</v>
      </c>
      <c r="L497" s="43" t="n">
        <v>361.8</v>
      </c>
      <c r="M497" s="43" t="n"/>
    </row>
    <row r="498" ht="14" customHeight="1">
      <c r="A498" s="21" t="n">
        <v>2010</v>
      </c>
      <c r="B498" s="44">
        <f>IF((A498&gt;=2022),M498,(((C498+D498)+E498)+F498))</f>
        <v/>
      </c>
      <c r="C498" s="45">
        <f>(G498+H498)</f>
        <v/>
      </c>
      <c r="D498" s="45">
        <f>I498</f>
        <v/>
      </c>
      <c r="E498" s="45">
        <f>(J498+K498)</f>
        <v/>
      </c>
      <c r="F498" s="45">
        <f>L498</f>
        <v/>
      </c>
      <c r="G498" s="45" t="n">
        <v>3975.9</v>
      </c>
      <c r="H498" s="45" t="n">
        <v>113.8</v>
      </c>
      <c r="I498" s="45" t="n">
        <v>482.2</v>
      </c>
      <c r="J498" s="45" t="n">
        <v>358.3</v>
      </c>
      <c r="K498" s="45" t="n">
        <v>80.7</v>
      </c>
      <c r="L498" s="45" t="n">
        <v>377.3</v>
      </c>
      <c r="M498" s="45" t="n"/>
    </row>
    <row r="499" ht="14" customHeight="1">
      <c r="A499" s="15" t="n">
        <v>2011</v>
      </c>
      <c r="B499" s="42">
        <f>IF((A499&gt;=2022),M499,(((C499+D499)+E499)+F499))</f>
        <v/>
      </c>
      <c r="C499" s="43">
        <f>(G499+H499)</f>
        <v/>
      </c>
      <c r="D499" s="43">
        <f>I499</f>
        <v/>
      </c>
      <c r="E499" s="43">
        <f>(J499+K499)</f>
        <v/>
      </c>
      <c r="F499" s="43">
        <f>L499</f>
        <v/>
      </c>
      <c r="G499" s="43" t="n">
        <v>3943.6</v>
      </c>
      <c r="H499" s="43" t="n">
        <v>117.7</v>
      </c>
      <c r="I499" s="43" t="n">
        <v>485.6</v>
      </c>
      <c r="J499" s="43" t="n">
        <v>364.1</v>
      </c>
      <c r="K499" s="43" t="n">
        <v>81.09999999999999</v>
      </c>
      <c r="L499" s="43" t="n">
        <v>408.5</v>
      </c>
      <c r="M499" s="43" t="n"/>
    </row>
    <row r="500" ht="14" customHeight="1">
      <c r="A500" s="21" t="n">
        <v>2012</v>
      </c>
      <c r="B500" s="44">
        <f>IF((A500&gt;=2022),M500,(((C500+D500)+E500)+F500))</f>
        <v/>
      </c>
      <c r="C500" s="45">
        <f>(G500+H500)</f>
        <v/>
      </c>
      <c r="D500" s="45">
        <f>I500</f>
        <v/>
      </c>
      <c r="E500" s="45">
        <f>(J500+K500)</f>
        <v/>
      </c>
      <c r="F500" s="45">
        <f>L500</f>
        <v/>
      </c>
      <c r="G500" s="45" t="n">
        <v>3898.5</v>
      </c>
      <c r="H500" s="45" t="n">
        <v>115.1</v>
      </c>
      <c r="I500" s="45" t="n">
        <v>481.6</v>
      </c>
      <c r="J500" s="45" t="n">
        <v>367.3</v>
      </c>
      <c r="K500" s="45" t="n">
        <v>82.2</v>
      </c>
      <c r="L500" s="45" t="n">
        <v>402.1</v>
      </c>
      <c r="M500" s="45" t="n"/>
    </row>
    <row r="501" ht="14" customHeight="1">
      <c r="A501" s="15" t="n">
        <v>2013</v>
      </c>
      <c r="B501" s="42">
        <f>IF((A501&gt;=2022),M501,(((C501+D501)+E501)+F501))</f>
        <v/>
      </c>
      <c r="C501" s="43">
        <f>(G501+H501)</f>
        <v/>
      </c>
      <c r="D501" s="43">
        <f>I501</f>
        <v/>
      </c>
      <c r="E501" s="43">
        <f>(J501+K501)</f>
        <v/>
      </c>
      <c r="F501" s="43">
        <f>L501</f>
        <v/>
      </c>
      <c r="G501" s="43" t="n">
        <v>3957.2</v>
      </c>
      <c r="H501" s="43" t="n">
        <v>114.7</v>
      </c>
      <c r="I501" s="43" t="n">
        <v>480.5</v>
      </c>
      <c r="J501" s="43" t="n">
        <v>371.8</v>
      </c>
      <c r="K501" s="43" t="n">
        <v>82</v>
      </c>
      <c r="L501" s="43" t="n">
        <v>406</v>
      </c>
      <c r="M501" s="43" t="n"/>
    </row>
    <row r="502" ht="14" customHeight="1">
      <c r="A502" s="21" t="n">
        <v>2014</v>
      </c>
      <c r="B502" s="44">
        <f>IF((A502&gt;=2022),M502,(((C502+D502)+E502)+F502))</f>
        <v/>
      </c>
      <c r="C502" s="45">
        <f>(G502+H502)</f>
        <v/>
      </c>
      <c r="D502" s="45">
        <f>I502</f>
        <v/>
      </c>
      <c r="E502" s="45">
        <f>(J502+K502)</f>
        <v/>
      </c>
      <c r="F502" s="45">
        <f>L502</f>
        <v/>
      </c>
      <c r="G502" s="45" t="n">
        <v>4012.5</v>
      </c>
      <c r="H502" s="45" t="n">
        <v>117.4</v>
      </c>
      <c r="I502" s="45" t="n">
        <v>476.2</v>
      </c>
      <c r="J502" s="45" t="n">
        <v>376.3</v>
      </c>
      <c r="K502" s="45" t="n">
        <v>82.2</v>
      </c>
      <c r="L502" s="45" t="n">
        <v>425.6</v>
      </c>
      <c r="M502" s="45" t="n"/>
    </row>
    <row r="503" ht="14" customHeight="1">
      <c r="A503" s="15" t="n">
        <v>2015</v>
      </c>
      <c r="B503" s="42">
        <f>IF((A503&gt;=2022),M503,(((C503+D503)+E503)+F503))</f>
        <v/>
      </c>
      <c r="C503" s="43">
        <f>(G503+H503)</f>
        <v/>
      </c>
      <c r="D503" s="43">
        <f>I503</f>
        <v/>
      </c>
      <c r="E503" s="43">
        <f>(J503+K503)</f>
        <v/>
      </c>
      <c r="F503" s="43">
        <f>L503</f>
        <v/>
      </c>
      <c r="G503" s="43" t="n">
        <v>4101</v>
      </c>
      <c r="H503" s="43" t="n">
        <v>117.4</v>
      </c>
      <c r="I503" s="43" t="n">
        <v>493.4</v>
      </c>
      <c r="J503" s="43" t="n">
        <v>381.6</v>
      </c>
      <c r="K503" s="43" t="n">
        <v>80.2</v>
      </c>
      <c r="L503" s="43" t="n">
        <v>451.8</v>
      </c>
      <c r="M503" s="43" t="n"/>
    </row>
    <row r="504" ht="14" customHeight="1">
      <c r="A504" s="21" t="n">
        <v>2016</v>
      </c>
      <c r="B504" s="44">
        <f>IF((A504&gt;=2022),M504,(((C504+D504)+E504)+F504))</f>
        <v/>
      </c>
      <c r="C504" s="45">
        <f>(G504+H504)</f>
        <v/>
      </c>
      <c r="D504" s="45">
        <f>I504</f>
        <v/>
      </c>
      <c r="E504" s="45">
        <f>(J504+K504)</f>
        <v/>
      </c>
      <c r="F504" s="45">
        <f>L504</f>
        <v/>
      </c>
      <c r="G504" s="45" t="n">
        <v>4185</v>
      </c>
      <c r="H504" s="45" t="n">
        <v>118.7</v>
      </c>
      <c r="I504" s="45" t="n">
        <v>498.3</v>
      </c>
      <c r="J504" s="45" t="n">
        <v>386.5</v>
      </c>
      <c r="K504" s="45" t="n">
        <v>82.59999999999999</v>
      </c>
      <c r="L504" s="45" t="n">
        <v>492.6</v>
      </c>
      <c r="M504" s="45" t="n"/>
    </row>
    <row r="505" ht="14" customHeight="1">
      <c r="A505" s="15" t="n">
        <v>2017</v>
      </c>
      <c r="B505" s="42">
        <f>IF((A505&gt;=2022),M505,(((C505+D505)+E505)+F505))</f>
        <v/>
      </c>
      <c r="C505" s="43">
        <f>(G505+H505)</f>
        <v/>
      </c>
      <c r="D505" s="43">
        <f>I505</f>
        <v/>
      </c>
      <c r="E505" s="43">
        <f>(J505+K505)</f>
        <v/>
      </c>
      <c r="F505" s="43">
        <f>L505</f>
        <v/>
      </c>
      <c r="G505" s="43" t="n">
        <v>4228.5</v>
      </c>
      <c r="H505" s="43" t="n">
        <v>112.2</v>
      </c>
      <c r="I505" s="43" t="n">
        <v>479</v>
      </c>
      <c r="J505" s="43" t="n">
        <v>400.8</v>
      </c>
      <c r="K505" s="43" t="n">
        <v>84.3</v>
      </c>
      <c r="L505" s="43" t="n">
        <v>538.4</v>
      </c>
      <c r="M505" s="43" t="n"/>
    </row>
    <row r="506" ht="14" customHeight="1">
      <c r="A506" s="21" t="n">
        <v>2018</v>
      </c>
      <c r="B506" s="44">
        <f>IF((A506&gt;=2022),M506,(((C506+D506)+E506)+F506))</f>
        <v/>
      </c>
      <c r="C506" s="45">
        <f>(G506+H506)</f>
        <v/>
      </c>
      <c r="D506" s="45">
        <f>I506</f>
        <v/>
      </c>
      <c r="E506" s="45">
        <f>(J506+K506)</f>
        <v/>
      </c>
      <c r="F506" s="45">
        <f>L506</f>
        <v/>
      </c>
      <c r="G506" s="45" t="n">
        <v>4257</v>
      </c>
      <c r="H506" s="45" t="n">
        <v>106.8</v>
      </c>
      <c r="I506" s="45" t="n">
        <v>484.1</v>
      </c>
      <c r="J506" s="45" t="n">
        <v>407.3</v>
      </c>
      <c r="K506" s="45" t="n">
        <v>86.90000000000001</v>
      </c>
      <c r="L506" s="45" t="n">
        <v>571.8</v>
      </c>
      <c r="M506" s="45" t="n"/>
    </row>
    <row r="507" ht="14" customHeight="1">
      <c r="A507" s="15" t="n">
        <v>2019</v>
      </c>
      <c r="B507" s="42">
        <f>IF((A507&gt;=2022),M507,(((C507+D507)+E507)+F507))</f>
        <v/>
      </c>
      <c r="C507" s="43">
        <f>(G507+H507)</f>
        <v/>
      </c>
      <c r="D507" s="43">
        <f>I507</f>
        <v/>
      </c>
      <c r="E507" s="43">
        <f>(J507+K507)</f>
        <v/>
      </c>
      <c r="F507" s="43">
        <f>L507</f>
        <v/>
      </c>
      <c r="G507" s="43" t="n">
        <v>4299.9</v>
      </c>
      <c r="H507" s="43" t="n">
        <v>111.3</v>
      </c>
      <c r="I507" s="43" t="n">
        <v>487.5</v>
      </c>
      <c r="J507" s="43" t="n">
        <v>420.9</v>
      </c>
      <c r="K507" s="43" t="n">
        <v>87.09999999999999</v>
      </c>
      <c r="L507" s="43" t="n">
        <v>585.5</v>
      </c>
      <c r="M507" s="43" t="n"/>
    </row>
    <row r="508" ht="14" customHeight="1">
      <c r="A508" s="21" t="n">
        <v>2020</v>
      </c>
      <c r="B508" s="44">
        <f>IF((A508&gt;=2022),M508,(((C508+D508)+E508)+F508))</f>
        <v/>
      </c>
      <c r="C508" s="45">
        <f>(G508+H508)</f>
        <v/>
      </c>
      <c r="D508" s="45">
        <f>I508</f>
        <v/>
      </c>
      <c r="E508" s="45">
        <f>(J508+K508)</f>
        <v/>
      </c>
      <c r="F508" s="45">
        <f>L508</f>
        <v/>
      </c>
      <c r="G508" s="45" t="n">
        <v>3583</v>
      </c>
      <c r="H508" s="45" t="n">
        <v>100.1</v>
      </c>
      <c r="I508" s="45" t="n">
        <v>293.6</v>
      </c>
      <c r="J508" s="45" t="n">
        <v>227.3</v>
      </c>
      <c r="K508" s="45" t="n">
        <v>53.9</v>
      </c>
      <c r="L508" s="45" t="n">
        <v>177.9</v>
      </c>
      <c r="M508" s="45" t="n"/>
    </row>
    <row r="509" ht="14" customHeight="1">
      <c r="A509" s="15" t="n">
        <v>2022</v>
      </c>
      <c r="B509" s="42">
        <f>IF((A509&gt;=2022),M509,(((C509+D509)+E509)+F509))</f>
        <v/>
      </c>
      <c r="C509" s="43">
        <f>(G509+H509)</f>
        <v/>
      </c>
      <c r="D509" s="43">
        <f>I509</f>
        <v/>
      </c>
      <c r="E509" s="43">
        <f>(J509+K509)</f>
        <v/>
      </c>
      <c r="F509" s="43">
        <f>L509</f>
        <v/>
      </c>
      <c r="G509" s="43" t="n"/>
      <c r="H509" s="43" t="n"/>
      <c r="I509" s="43" t="n"/>
      <c r="J509" s="43" t="n"/>
      <c r="K509" s="43" t="n"/>
      <c r="L509" s="43" t="n"/>
      <c r="M509" s="43" t="n">
        <v>5617</v>
      </c>
    </row>
    <row r="510" ht="14" customHeight="1">
      <c r="A510" s="21" t="n">
        <v>2023</v>
      </c>
      <c r="B510" s="44">
        <f>IF((A510&gt;=2022),M510,(((C510+D510)+E510)+F510))</f>
        <v/>
      </c>
      <c r="C510" s="45">
        <f>(G510+H510)</f>
        <v/>
      </c>
      <c r="D510" s="45">
        <f>I510</f>
        <v/>
      </c>
      <c r="E510" s="45">
        <f>(J510+K510)</f>
        <v/>
      </c>
      <c r="F510" s="45">
        <f>L510</f>
        <v/>
      </c>
      <c r="G510" s="45" t="n"/>
      <c r="H510" s="45" t="n"/>
      <c r="I510" s="45" t="n"/>
      <c r="J510" s="45" t="n"/>
      <c r="K510" s="45" t="n"/>
      <c r="L510" s="45" t="n"/>
      <c r="M510" s="45" t="n">
        <v>5932</v>
      </c>
    </row>
    <row r="513">
      <c r="A513" s="49" t="inlineStr">
        <is>
          <t>T2b · Total freight transport demand  (Gtkm)</t>
        </is>
      </c>
    </row>
    <row r="514" ht="24" customHeight="1">
      <c r="A514" s="3" t="inlineStr">
        <is>
          <t>Derivation:  Value = IF(A &gt;= 2023, [Post-report figure as published], [Road]+[Rail]+[IWW])</t>
        </is>
      </c>
    </row>
    <row r="515" ht="42" customHeight="1">
      <c r="A515" s="41" t="inlineStr">
        <is>
          <t>Year</t>
        </is>
      </c>
      <c r="B515" s="41" t="inlineStr">
        <is>
          <t>Value</t>
        </is>
      </c>
      <c r="C515" s="41" t="inlineStr">
        <is>
          <t>Road</t>
        </is>
      </c>
      <c r="D515" s="41" t="inlineStr">
        <is>
          <t>Rail</t>
        </is>
      </c>
      <c r="E515" s="41" t="inlineStr">
        <is>
          <t>IWW</t>
        </is>
      </c>
      <c r="F515" s="41" t="inlineStr">
        <is>
          <t>Road (2)</t>
        </is>
      </c>
      <c r="G515" s="41" t="inlineStr">
        <is>
          <t>Rail (2)</t>
        </is>
      </c>
      <c r="H515" s="41" t="inlineStr">
        <is>
          <t>Inland Waterway</t>
        </is>
      </c>
      <c r="I515" s="41" t="inlineStr">
        <is>
          <t>Post-report figure as published</t>
        </is>
      </c>
    </row>
    <row r="516" ht="14" customHeight="1">
      <c r="A516" s="15" t="n">
        <v>2005</v>
      </c>
      <c r="B516" s="42">
        <f>IF((A516&gt;=2023),I516,((C516+D516)+E516))</f>
        <v/>
      </c>
      <c r="C516" s="43">
        <f>F516</f>
        <v/>
      </c>
      <c r="D516" s="43">
        <f>G516</f>
        <v/>
      </c>
      <c r="E516" s="43">
        <f>H516</f>
        <v/>
      </c>
      <c r="F516" s="43" t="n">
        <v>1588.154065574329</v>
      </c>
      <c r="G516" s="43" t="n">
        <v>394.597</v>
      </c>
      <c r="H516" s="43" t="n">
        <v>138.6109744</v>
      </c>
      <c r="I516" s="43" t="n"/>
    </row>
    <row r="517" ht="14" customHeight="1">
      <c r="A517" s="21" t="n">
        <v>2006</v>
      </c>
      <c r="B517" s="44">
        <f>IF((A517&gt;=2023),I517,((C517+D517)+E517))</f>
        <v/>
      </c>
      <c r="C517" s="45">
        <f>F517</f>
        <v/>
      </c>
      <c r="D517" s="45">
        <f>G517</f>
        <v/>
      </c>
      <c r="E517" s="45">
        <f>H517</f>
        <v/>
      </c>
      <c r="F517" s="45" t="n">
        <v>1638.794582238671</v>
      </c>
      <c r="G517" s="45" t="n">
        <v>416.246</v>
      </c>
      <c r="H517" s="45" t="n">
        <v>138.4169691</v>
      </c>
      <c r="I517" s="45" t="n"/>
    </row>
    <row r="518" ht="14" customHeight="1">
      <c r="A518" s="15" t="n">
        <v>2007</v>
      </c>
      <c r="B518" s="42">
        <f>IF((A518&gt;=2023),I518,((C518+D518)+E518))</f>
        <v/>
      </c>
      <c r="C518" s="43">
        <f>F518</f>
        <v/>
      </c>
      <c r="D518" s="43">
        <f>G518</f>
        <v/>
      </c>
      <c r="E518" s="43">
        <f>H518</f>
        <v/>
      </c>
      <c r="F518" s="43" t="n">
        <v>1697.644038975535</v>
      </c>
      <c r="G518" s="43" t="n">
        <v>430.724</v>
      </c>
      <c r="H518" s="43" t="n">
        <v>145.402</v>
      </c>
      <c r="I518" s="43" t="n"/>
    </row>
    <row r="519" ht="14" customHeight="1">
      <c r="A519" s="21" t="n">
        <v>2008</v>
      </c>
      <c r="B519" s="44">
        <f>IF((A519&gt;=2023),I519,((C519+D519)+E519))</f>
        <v/>
      </c>
      <c r="C519" s="45">
        <f>F519</f>
        <v/>
      </c>
      <c r="D519" s="45">
        <f>G519</f>
        <v/>
      </c>
      <c r="E519" s="45">
        <f>H519</f>
        <v/>
      </c>
      <c r="F519" s="45" t="n">
        <v>1676.461640882639</v>
      </c>
      <c r="G519" s="45" t="n">
        <v>421.6859999999999</v>
      </c>
      <c r="H519" s="45" t="n">
        <v>146.903</v>
      </c>
      <c r="I519" s="45" t="n"/>
    </row>
    <row r="520" ht="14" customHeight="1">
      <c r="A520" s="15" t="n">
        <v>2009</v>
      </c>
      <c r="B520" s="42">
        <f>IF((A520&gt;=2023),I520,((C520+D520)+E520))</f>
        <v/>
      </c>
      <c r="C520" s="43">
        <f>F520</f>
        <v/>
      </c>
      <c r="D520" s="43">
        <f>G520</f>
        <v/>
      </c>
      <c r="E520" s="43">
        <f>H520</f>
        <v/>
      </c>
      <c r="F520" s="43" t="n">
        <v>1515.316586063559</v>
      </c>
      <c r="G520" s="43" t="n">
        <v>344.369</v>
      </c>
      <c r="H520" s="43" t="n">
        <v>132.606</v>
      </c>
      <c r="I520" s="43" t="n"/>
    </row>
    <row r="521" ht="14" customHeight="1">
      <c r="A521" s="21" t="n">
        <v>2010</v>
      </c>
      <c r="B521" s="44">
        <f>IF((A521&gt;=2023),I521,((C521+D521)+E521))</f>
        <v/>
      </c>
      <c r="C521" s="45">
        <f>F521</f>
        <v/>
      </c>
      <c r="D521" s="45">
        <f>G521</f>
        <v/>
      </c>
      <c r="E521" s="45">
        <f>H521</f>
        <v/>
      </c>
      <c r="F521" s="45" t="n">
        <v>1558.292534426257</v>
      </c>
      <c r="G521" s="45" t="n">
        <v>374.955</v>
      </c>
      <c r="H521" s="45" t="n">
        <v>155.365</v>
      </c>
      <c r="I521" s="45" t="n"/>
    </row>
    <row r="522" ht="14" customHeight="1">
      <c r="A522" s="15" t="n">
        <v>2011</v>
      </c>
      <c r="B522" s="42">
        <f>IF((A522&gt;=2023),I522,((C522+D522)+E522))</f>
        <v/>
      </c>
      <c r="C522" s="43">
        <f>F522</f>
        <v/>
      </c>
      <c r="D522" s="43">
        <f>G522</f>
        <v/>
      </c>
      <c r="E522" s="43">
        <f>H522</f>
        <v/>
      </c>
      <c r="F522" s="43" t="n">
        <v>1541.631199373764</v>
      </c>
      <c r="G522" s="43" t="n">
        <v>401.1219999999998</v>
      </c>
      <c r="H522" s="43" t="n">
        <v>141.825</v>
      </c>
      <c r="I522" s="43" t="n"/>
    </row>
    <row r="523" ht="14" customHeight="1">
      <c r="A523" s="21" t="n">
        <v>2012</v>
      </c>
      <c r="B523" s="44">
        <f>IF((A523&gt;=2023),I523,((C523+D523)+E523))</f>
        <v/>
      </c>
      <c r="C523" s="45">
        <f>F523</f>
        <v/>
      </c>
      <c r="D523" s="45">
        <f>G523</f>
        <v/>
      </c>
      <c r="E523" s="45">
        <f>H523</f>
        <v/>
      </c>
      <c r="F523" s="45" t="n">
        <v>1481.690412046742</v>
      </c>
      <c r="G523" s="45" t="n">
        <v>385.189</v>
      </c>
      <c r="H523" s="45" t="n">
        <v>149.822</v>
      </c>
      <c r="I523" s="45" t="n"/>
    </row>
    <row r="524" ht="14" customHeight="1">
      <c r="A524" s="15" t="n">
        <v>2013</v>
      </c>
      <c r="B524" s="42">
        <f>IF((A524&gt;=2023),I524,((C524+D524)+E524))</f>
        <v/>
      </c>
      <c r="C524" s="43">
        <f>F524</f>
        <v/>
      </c>
      <c r="D524" s="43">
        <f>G524</f>
        <v/>
      </c>
      <c r="E524" s="43">
        <f>H524</f>
        <v/>
      </c>
      <c r="F524" s="43" t="n">
        <v>1516.36403982845</v>
      </c>
      <c r="G524" s="43" t="n">
        <v>384.3190000000001</v>
      </c>
      <c r="H524" s="43" t="n">
        <v>152.584</v>
      </c>
      <c r="I524" s="43" t="n"/>
    </row>
    <row r="525" ht="14" customHeight="1">
      <c r="A525" s="21" t="n">
        <v>2014</v>
      </c>
      <c r="B525" s="44">
        <f>IF((A525&gt;=2023),I525,((C525+D525)+E525))</f>
        <v/>
      </c>
      <c r="C525" s="45">
        <f>F525</f>
        <v/>
      </c>
      <c r="D525" s="45">
        <f>G525</f>
        <v/>
      </c>
      <c r="E525" s="45">
        <f>H525</f>
        <v/>
      </c>
      <c r="F525" s="45" t="n">
        <v>1527.434623579993</v>
      </c>
      <c r="G525" s="45" t="n">
        <v>388.932</v>
      </c>
      <c r="H525" s="45" t="n">
        <v>150.707</v>
      </c>
      <c r="I525" s="45" t="n"/>
    </row>
    <row r="526" ht="14" customHeight="1">
      <c r="A526" s="15" t="n">
        <v>2015</v>
      </c>
      <c r="B526" s="42">
        <f>IF((A526&gt;=2023),I526,((C526+D526)+E526))</f>
        <v/>
      </c>
      <c r="C526" s="43">
        <f>F526</f>
        <v/>
      </c>
      <c r="D526" s="43">
        <f>G526</f>
        <v/>
      </c>
      <c r="E526" s="43">
        <f>H526</f>
        <v/>
      </c>
      <c r="F526" s="43" t="n">
        <v>1561.987682770911</v>
      </c>
      <c r="G526" s="43" t="n">
        <v>398.5170000000001</v>
      </c>
      <c r="H526" s="43" t="n">
        <v>147.351</v>
      </c>
      <c r="I526" s="43" t="n"/>
    </row>
    <row r="527" ht="14" customHeight="1">
      <c r="A527" s="21" t="n">
        <v>2016</v>
      </c>
      <c r="B527" s="44">
        <f>IF((A527&gt;=2023),I527,((C527+D527)+E527))</f>
        <v/>
      </c>
      <c r="C527" s="45">
        <f>F527</f>
        <v/>
      </c>
      <c r="D527" s="45">
        <f>G527</f>
        <v/>
      </c>
      <c r="E527" s="45">
        <f>H527</f>
        <v/>
      </c>
      <c r="F527" s="45" t="n">
        <v>1619.747730095177</v>
      </c>
      <c r="G527" s="45" t="n">
        <v>407.4580000000001</v>
      </c>
      <c r="H527" s="45" t="n">
        <v>146.609</v>
      </c>
      <c r="I527" s="45" t="n"/>
    </row>
    <row r="528" ht="14" customHeight="1">
      <c r="A528" s="15" t="n">
        <v>2017</v>
      </c>
      <c r="B528" s="42">
        <f>IF((A528&gt;=2023),I528,((C528+D528)+E528))</f>
        <v/>
      </c>
      <c r="C528" s="43">
        <f>F528</f>
        <v/>
      </c>
      <c r="D528" s="43">
        <f>G528</f>
        <v/>
      </c>
      <c r="E528" s="43">
        <f>H528</f>
        <v/>
      </c>
      <c r="F528" s="43" t="n">
        <v>1707.313863416839</v>
      </c>
      <c r="G528" s="43" t="n">
        <v>411.278</v>
      </c>
      <c r="H528" s="43" t="n">
        <v>147.2233333333333</v>
      </c>
      <c r="I528" s="43" t="n"/>
    </row>
    <row r="529" ht="14" customHeight="1">
      <c r="A529" s="21" t="n">
        <v>2018</v>
      </c>
      <c r="B529" s="44">
        <f>IF((A529&gt;=2023),I529,((C529+D529)+E529))</f>
        <v/>
      </c>
      <c r="C529" s="45">
        <f>F529</f>
        <v/>
      </c>
      <c r="D529" s="45">
        <f>G529</f>
        <v/>
      </c>
      <c r="E529" s="45">
        <f>H529</f>
        <v/>
      </c>
      <c r="F529" s="45" t="n">
        <v>1707.496</v>
      </c>
      <c r="G529" s="45" t="n">
        <v>418.314</v>
      </c>
      <c r="H529" s="45" t="n">
        <v>131.3027777777778</v>
      </c>
      <c r="I529" s="45" t="n"/>
    </row>
    <row r="530" ht="14" customHeight="1">
      <c r="A530" s="15" t="n">
        <v>2019</v>
      </c>
      <c r="B530" s="42">
        <f>IF((A530&gt;=2023),I530,((C530+D530)+E530))</f>
        <v/>
      </c>
      <c r="C530" s="43">
        <f>F530</f>
        <v/>
      </c>
      <c r="D530" s="43">
        <f>G530</f>
        <v/>
      </c>
      <c r="E530" s="43">
        <f>H530</f>
        <v/>
      </c>
      <c r="F530" s="43" t="n">
        <v>1764.787</v>
      </c>
      <c r="G530" s="43" t="n">
        <v>407.921</v>
      </c>
      <c r="H530" s="43" t="n">
        <v>139.697</v>
      </c>
      <c r="I530" s="43" t="n"/>
    </row>
    <row r="531" ht="14" customHeight="1">
      <c r="A531" s="21" t="n">
        <v>2020</v>
      </c>
      <c r="B531" s="44">
        <f>IF((A531&gt;=2023),I531,((C531+D531)+E531))</f>
        <v/>
      </c>
      <c r="C531" s="45">
        <f>F531</f>
        <v/>
      </c>
      <c r="D531" s="45">
        <f>G531</f>
        <v/>
      </c>
      <c r="E531" s="45">
        <f>H531</f>
        <v/>
      </c>
      <c r="F531" s="45" t="n">
        <v>1744.986</v>
      </c>
      <c r="G531" s="45" t="n">
        <v>377.3070000000001</v>
      </c>
      <c r="H531" s="45" t="n">
        <v>131.741</v>
      </c>
      <c r="I531" s="45" t="n"/>
    </row>
    <row r="532" ht="14" customHeight="1">
      <c r="A532" s="15" t="n">
        <v>2023</v>
      </c>
      <c r="B532" s="42">
        <f>IF((A532&gt;=2023),I532,((C532+D532)+E532))</f>
        <v/>
      </c>
      <c r="C532" s="43">
        <f>F532</f>
        <v/>
      </c>
      <c r="D532" s="43">
        <f>G532</f>
        <v/>
      </c>
      <c r="E532" s="43">
        <f>H532</f>
        <v/>
      </c>
      <c r="F532" s="43" t="n"/>
      <c r="G532" s="43" t="n"/>
      <c r="H532" s="43" t="n"/>
      <c r="I532" s="43" t="n">
        <v>2319</v>
      </c>
    </row>
    <row r="535">
      <c r="A535" s="49" t="inlineStr">
        <is>
          <t>T3a · Road share of motorised inland passenger transport  (%)</t>
        </is>
      </c>
    </row>
    <row r="536" ht="24" customHeight="1">
      <c r="A536" s="3" t="inlineStr">
        <is>
          <t>Derivation:  Value = (([Passenger Cars]+[Powered 2-wheelers])/([Passenger Cars]+[Powered 2-wheelers]+[Buses &amp; Coaches]+[Railways]+[Tram &amp; Metro])) * [fraction → % (× 100)]</t>
        </is>
      </c>
    </row>
    <row r="537" ht="42" customHeight="1">
      <c r="A537" s="41" t="inlineStr">
        <is>
          <t>Year</t>
        </is>
      </c>
      <c r="B537" s="41" t="inlineStr">
        <is>
          <t>Value</t>
        </is>
      </c>
      <c r="C537" s="41" t="inlineStr">
        <is>
          <t>Passenger Cars</t>
        </is>
      </c>
      <c r="D537" s="41" t="inlineStr">
        <is>
          <t>Powered 2-wheelers</t>
        </is>
      </c>
      <c r="E537" s="41" t="inlineStr">
        <is>
          <t>Buses &amp; Coaches</t>
        </is>
      </c>
      <c r="F537" s="41" t="inlineStr">
        <is>
          <t>Railways</t>
        </is>
      </c>
      <c r="G537" s="41" t="inlineStr">
        <is>
          <t>Tram &amp; Metro</t>
        </is>
      </c>
      <c r="H537" s="41" t="inlineStr">
        <is>
          <t>fraction → % (× 100)</t>
        </is>
      </c>
    </row>
    <row r="538" ht="14" customHeight="1">
      <c r="A538" s="15" t="n">
        <v>2005</v>
      </c>
      <c r="B538" s="42">
        <f>(((C538+D538)/((((C538+D538)+E538)+F538)+G538))*H538)</f>
        <v/>
      </c>
      <c r="C538" s="43" t="n">
        <v>3839.2</v>
      </c>
      <c r="D538" s="43" t="n">
        <v>114.6</v>
      </c>
      <c r="E538" s="43" t="n">
        <v>497.8</v>
      </c>
      <c r="F538" s="43" t="n">
        <v>339.8</v>
      </c>
      <c r="G538" s="43" t="n">
        <v>73.2</v>
      </c>
      <c r="H538" s="43" t="n">
        <v>100</v>
      </c>
    </row>
    <row r="539" ht="14" customHeight="1">
      <c r="A539" s="21" t="n">
        <v>2006</v>
      </c>
      <c r="B539" s="44">
        <f>(((C539+D539)/((((C539+D539)+E539)+F539)+G539))*H539)</f>
        <v/>
      </c>
      <c r="C539" s="45" t="n">
        <v>3875.3</v>
      </c>
      <c r="D539" s="45" t="n">
        <v>113.6</v>
      </c>
      <c r="E539" s="45" t="n">
        <v>497.8</v>
      </c>
      <c r="F539" s="45" t="n">
        <v>349.4</v>
      </c>
      <c r="G539" s="45" t="n">
        <v>74.59999999999999</v>
      </c>
      <c r="H539" s="45" t="n">
        <v>100</v>
      </c>
    </row>
    <row r="540" ht="14" customHeight="1">
      <c r="A540" s="15" t="n">
        <v>2007</v>
      </c>
      <c r="B540" s="42">
        <f>(((C540+D540)/((((C540+D540)+E540)+F540)+G540))*H540)</f>
        <v/>
      </c>
      <c r="C540" s="43" t="n">
        <v>3921.3</v>
      </c>
      <c r="D540" s="43" t="n">
        <v>109.6</v>
      </c>
      <c r="E540" s="43" t="n">
        <v>507.9</v>
      </c>
      <c r="F540" s="43" t="n">
        <v>353.4</v>
      </c>
      <c r="G540" s="43" t="n">
        <v>76.40000000000001</v>
      </c>
      <c r="H540" s="43" t="n">
        <v>100</v>
      </c>
    </row>
    <row r="541" ht="14" customHeight="1">
      <c r="A541" s="21" t="n">
        <v>2008</v>
      </c>
      <c r="B541" s="44">
        <f>(((C541+D541)/((((C541+D541)+E541)+F541)+G541))*H541)</f>
        <v/>
      </c>
      <c r="C541" s="45" t="n">
        <v>3931.6</v>
      </c>
      <c r="D541" s="45" t="n">
        <v>114.5</v>
      </c>
      <c r="E541" s="45" t="n">
        <v>514.1</v>
      </c>
      <c r="F541" s="45" t="n">
        <v>366.6</v>
      </c>
      <c r="G541" s="45" t="n">
        <v>79.3</v>
      </c>
      <c r="H541" s="45" t="n">
        <v>100</v>
      </c>
    </row>
    <row r="542" ht="14" customHeight="1">
      <c r="A542" s="15" t="n">
        <v>2009</v>
      </c>
      <c r="B542" s="42">
        <f>(((C542+D542)/((((C542+D542)+E542)+F542)+G542))*H542)</f>
        <v/>
      </c>
      <c r="C542" s="43" t="n">
        <v>4009.2</v>
      </c>
      <c r="D542" s="43" t="n">
        <v>112</v>
      </c>
      <c r="E542" s="43" t="n">
        <v>489.7</v>
      </c>
      <c r="F542" s="43" t="n">
        <v>359.3</v>
      </c>
      <c r="G542" s="43" t="n">
        <v>78.59999999999999</v>
      </c>
      <c r="H542" s="43" t="n">
        <v>100</v>
      </c>
    </row>
    <row r="543" ht="14" customHeight="1">
      <c r="A543" s="21" t="n">
        <v>2010</v>
      </c>
      <c r="B543" s="44">
        <f>(((C543+D543)/((((C543+D543)+E543)+F543)+G543))*H543)</f>
        <v/>
      </c>
      <c r="C543" s="45" t="n">
        <v>3975.9</v>
      </c>
      <c r="D543" s="45" t="n">
        <v>113.8</v>
      </c>
      <c r="E543" s="45" t="n">
        <v>482.2</v>
      </c>
      <c r="F543" s="45" t="n">
        <v>358.3</v>
      </c>
      <c r="G543" s="45" t="n">
        <v>80.7</v>
      </c>
      <c r="H543" s="45" t="n">
        <v>100</v>
      </c>
    </row>
    <row r="544" ht="14" customHeight="1">
      <c r="A544" s="15" t="n">
        <v>2011</v>
      </c>
      <c r="B544" s="42">
        <f>(((C544+D544)/((((C544+D544)+E544)+F544)+G544))*H544)</f>
        <v/>
      </c>
      <c r="C544" s="43" t="n">
        <v>3943.6</v>
      </c>
      <c r="D544" s="43" t="n">
        <v>117.7</v>
      </c>
      <c r="E544" s="43" t="n">
        <v>485.6</v>
      </c>
      <c r="F544" s="43" t="n">
        <v>364.1</v>
      </c>
      <c r="G544" s="43" t="n">
        <v>81.09999999999999</v>
      </c>
      <c r="H544" s="43" t="n">
        <v>100</v>
      </c>
    </row>
    <row r="545" ht="14" customHeight="1">
      <c r="A545" s="21" t="n">
        <v>2012</v>
      </c>
      <c r="B545" s="44">
        <f>(((C545+D545)/((((C545+D545)+E545)+F545)+G545))*H545)</f>
        <v/>
      </c>
      <c r="C545" s="45" t="n">
        <v>3898.5</v>
      </c>
      <c r="D545" s="45" t="n">
        <v>115.1</v>
      </c>
      <c r="E545" s="45" t="n">
        <v>481.6</v>
      </c>
      <c r="F545" s="45" t="n">
        <v>367.3</v>
      </c>
      <c r="G545" s="45" t="n">
        <v>82.2</v>
      </c>
      <c r="H545" s="45" t="n">
        <v>100</v>
      </c>
    </row>
    <row r="546" ht="14" customHeight="1">
      <c r="A546" s="15" t="n">
        <v>2013</v>
      </c>
      <c r="B546" s="42">
        <f>(((C546+D546)/((((C546+D546)+E546)+F546)+G546))*H546)</f>
        <v/>
      </c>
      <c r="C546" s="43" t="n">
        <v>3957.2</v>
      </c>
      <c r="D546" s="43" t="n">
        <v>114.7</v>
      </c>
      <c r="E546" s="43" t="n">
        <v>480.5</v>
      </c>
      <c r="F546" s="43" t="n">
        <v>371.8</v>
      </c>
      <c r="G546" s="43" t="n">
        <v>82</v>
      </c>
      <c r="H546" s="43" t="n">
        <v>100</v>
      </c>
    </row>
    <row r="547" ht="14" customHeight="1">
      <c r="A547" s="21" t="n">
        <v>2014</v>
      </c>
      <c r="B547" s="44">
        <f>(((C547+D547)/((((C547+D547)+E547)+F547)+G547))*H547)</f>
        <v/>
      </c>
      <c r="C547" s="45" t="n">
        <v>4012.5</v>
      </c>
      <c r="D547" s="45" t="n">
        <v>117.4</v>
      </c>
      <c r="E547" s="45" t="n">
        <v>476.2</v>
      </c>
      <c r="F547" s="45" t="n">
        <v>376.3</v>
      </c>
      <c r="G547" s="45" t="n">
        <v>82.2</v>
      </c>
      <c r="H547" s="45" t="n">
        <v>100</v>
      </c>
    </row>
    <row r="548" ht="14" customHeight="1">
      <c r="A548" s="15" t="n">
        <v>2015</v>
      </c>
      <c r="B548" s="42">
        <f>(((C548+D548)/((((C548+D548)+E548)+F548)+G548))*H548)</f>
        <v/>
      </c>
      <c r="C548" s="43" t="n">
        <v>4101</v>
      </c>
      <c r="D548" s="43" t="n">
        <v>117.4</v>
      </c>
      <c r="E548" s="43" t="n">
        <v>493.4</v>
      </c>
      <c r="F548" s="43" t="n">
        <v>381.6</v>
      </c>
      <c r="G548" s="43" t="n">
        <v>80.2</v>
      </c>
      <c r="H548" s="43" t="n">
        <v>100</v>
      </c>
    </row>
    <row r="549" ht="14" customHeight="1">
      <c r="A549" s="21" t="n">
        <v>2016</v>
      </c>
      <c r="B549" s="44">
        <f>(((C549+D549)/((((C549+D549)+E549)+F549)+G549))*H549)</f>
        <v/>
      </c>
      <c r="C549" s="45" t="n">
        <v>4185</v>
      </c>
      <c r="D549" s="45" t="n">
        <v>118.7</v>
      </c>
      <c r="E549" s="45" t="n">
        <v>498.3</v>
      </c>
      <c r="F549" s="45" t="n">
        <v>386.5</v>
      </c>
      <c r="G549" s="45" t="n">
        <v>82.59999999999999</v>
      </c>
      <c r="H549" s="45" t="n">
        <v>100</v>
      </c>
    </row>
    <row r="550" ht="14" customHeight="1">
      <c r="A550" s="15" t="n">
        <v>2017</v>
      </c>
      <c r="B550" s="42">
        <f>(((C550+D550)/((((C550+D550)+E550)+F550)+G550))*H550)</f>
        <v/>
      </c>
      <c r="C550" s="43" t="n">
        <v>4228.5</v>
      </c>
      <c r="D550" s="43" t="n">
        <v>112.2</v>
      </c>
      <c r="E550" s="43" t="n">
        <v>479</v>
      </c>
      <c r="F550" s="43" t="n">
        <v>400.8</v>
      </c>
      <c r="G550" s="43" t="n">
        <v>84.3</v>
      </c>
      <c r="H550" s="43" t="n">
        <v>100</v>
      </c>
    </row>
    <row r="551" ht="14" customHeight="1">
      <c r="A551" s="21" t="n">
        <v>2018</v>
      </c>
      <c r="B551" s="44">
        <f>(((C551+D551)/((((C551+D551)+E551)+F551)+G551))*H551)</f>
        <v/>
      </c>
      <c r="C551" s="45" t="n">
        <v>4257</v>
      </c>
      <c r="D551" s="45" t="n">
        <v>106.8</v>
      </c>
      <c r="E551" s="45" t="n">
        <v>484.1</v>
      </c>
      <c r="F551" s="45" t="n">
        <v>407.3</v>
      </c>
      <c r="G551" s="45" t="n">
        <v>86.90000000000001</v>
      </c>
      <c r="H551" s="45" t="n">
        <v>100</v>
      </c>
    </row>
    <row r="552" ht="14" customHeight="1">
      <c r="A552" s="15" t="n">
        <v>2019</v>
      </c>
      <c r="B552" s="42">
        <f>(((C552+D552)/((((C552+D552)+E552)+F552)+G552))*H552)</f>
        <v/>
      </c>
      <c r="C552" s="43" t="n">
        <v>4299.9</v>
      </c>
      <c r="D552" s="43" t="n">
        <v>111.3</v>
      </c>
      <c r="E552" s="43" t="n">
        <v>487.5</v>
      </c>
      <c r="F552" s="43" t="n">
        <v>420.9</v>
      </c>
      <c r="G552" s="43" t="n">
        <v>87.09999999999999</v>
      </c>
      <c r="H552" s="43" t="n">
        <v>100</v>
      </c>
    </row>
    <row r="553" ht="14" customHeight="1">
      <c r="A553" s="21" t="n">
        <v>2020</v>
      </c>
      <c r="B553" s="44">
        <f>(((C553+D553)/((((C553+D553)+E553)+F553)+G553))*H553)</f>
        <v/>
      </c>
      <c r="C553" s="45" t="n">
        <v>3583</v>
      </c>
      <c r="D553" s="45" t="n">
        <v>100.1</v>
      </c>
      <c r="E553" s="45" t="n">
        <v>293.6</v>
      </c>
      <c r="F553" s="45" t="n">
        <v>227.3</v>
      </c>
      <c r="G553" s="45" t="n">
        <v>53.9</v>
      </c>
      <c r="H553" s="45" t="n">
        <v>100</v>
      </c>
    </row>
    <row r="556">
      <c r="A556" s="49" t="inlineStr">
        <is>
          <t>T3b · Intra-EU air passenger transport  (Gpkm)</t>
        </is>
      </c>
    </row>
    <row r="557" ht="24" customHeight="1">
      <c r="A557" s="3" t="inlineStr">
        <is>
          <t>Derivation:  Value = [Air passenger demand (Gpkm)]</t>
        </is>
      </c>
    </row>
    <row r="558" ht="42" customHeight="1">
      <c r="A558" s="41" t="inlineStr">
        <is>
          <t>Year</t>
        </is>
      </c>
      <c r="B558" s="41" t="inlineStr">
        <is>
          <t>Value</t>
        </is>
      </c>
      <c r="C558" s="41" t="inlineStr">
        <is>
          <t>Air passenger demand (Gpkm)</t>
        </is>
      </c>
    </row>
    <row r="559" ht="14" customHeight="1">
      <c r="A559" s="15" t="n">
        <v>2005</v>
      </c>
      <c r="B559" s="42">
        <f>C559</f>
        <v/>
      </c>
      <c r="C559" s="43" t="n">
        <v>361.3</v>
      </c>
    </row>
    <row r="560" ht="14" customHeight="1">
      <c r="A560" s="21" t="n">
        <v>2006</v>
      </c>
      <c r="B560" s="44">
        <f>C560</f>
        <v/>
      </c>
      <c r="C560" s="45" t="n">
        <v>376.4</v>
      </c>
    </row>
    <row r="561" ht="14" customHeight="1">
      <c r="A561" s="15" t="n">
        <v>2007</v>
      </c>
      <c r="B561" s="42">
        <f>C561</f>
        <v/>
      </c>
      <c r="C561" s="43" t="n">
        <v>392.2</v>
      </c>
    </row>
    <row r="562" ht="14" customHeight="1">
      <c r="A562" s="21" t="n">
        <v>2008</v>
      </c>
      <c r="B562" s="44">
        <f>C562</f>
        <v/>
      </c>
      <c r="C562" s="45" t="n">
        <v>383.8</v>
      </c>
    </row>
    <row r="563" ht="14" customHeight="1">
      <c r="A563" s="15" t="n">
        <v>2009</v>
      </c>
      <c r="B563" s="42">
        <f>C563</f>
        <v/>
      </c>
      <c r="C563" s="43" t="n">
        <v>361.8</v>
      </c>
    </row>
    <row r="564" ht="14" customHeight="1">
      <c r="A564" s="21" t="n">
        <v>2010</v>
      </c>
      <c r="B564" s="44">
        <f>C564</f>
        <v/>
      </c>
      <c r="C564" s="45" t="n">
        <v>377.3</v>
      </c>
    </row>
    <row r="565" ht="14" customHeight="1">
      <c r="A565" s="15" t="n">
        <v>2011</v>
      </c>
      <c r="B565" s="42">
        <f>C565</f>
        <v/>
      </c>
      <c r="C565" s="43" t="n">
        <v>408.5</v>
      </c>
    </row>
    <row r="566" ht="14" customHeight="1">
      <c r="A566" s="21" t="n">
        <v>2012</v>
      </c>
      <c r="B566" s="44">
        <f>C566</f>
        <v/>
      </c>
      <c r="C566" s="45" t="n">
        <v>402.1</v>
      </c>
    </row>
    <row r="567" ht="14" customHeight="1">
      <c r="A567" s="15" t="n">
        <v>2013</v>
      </c>
      <c r="B567" s="42">
        <f>C567</f>
        <v/>
      </c>
      <c r="C567" s="43" t="n">
        <v>406</v>
      </c>
    </row>
    <row r="568" ht="14" customHeight="1">
      <c r="A568" s="21" t="n">
        <v>2014</v>
      </c>
      <c r="B568" s="44">
        <f>C568</f>
        <v/>
      </c>
      <c r="C568" s="45" t="n">
        <v>425.6</v>
      </c>
    </row>
    <row r="569" ht="14" customHeight="1">
      <c r="A569" s="15" t="n">
        <v>2015</v>
      </c>
      <c r="B569" s="42">
        <f>C569</f>
        <v/>
      </c>
      <c r="C569" s="43" t="n">
        <v>451.8</v>
      </c>
    </row>
    <row r="570" ht="14" customHeight="1">
      <c r="A570" s="21" t="n">
        <v>2016</v>
      </c>
      <c r="B570" s="44">
        <f>C570</f>
        <v/>
      </c>
      <c r="C570" s="45" t="n">
        <v>492.6</v>
      </c>
    </row>
    <row r="571" ht="14" customHeight="1">
      <c r="A571" s="15" t="n">
        <v>2017</v>
      </c>
      <c r="B571" s="42">
        <f>C571</f>
        <v/>
      </c>
      <c r="C571" s="43" t="n">
        <v>538.4</v>
      </c>
    </row>
    <row r="572" ht="14" customHeight="1">
      <c r="A572" s="21" t="n">
        <v>2018</v>
      </c>
      <c r="B572" s="44">
        <f>C572</f>
        <v/>
      </c>
      <c r="C572" s="45" t="n">
        <v>571.8</v>
      </c>
    </row>
    <row r="573" ht="14" customHeight="1">
      <c r="A573" s="15" t="n">
        <v>2019</v>
      </c>
      <c r="B573" s="42">
        <f>C573</f>
        <v/>
      </c>
      <c r="C573" s="43" t="n">
        <v>585.5</v>
      </c>
    </row>
    <row r="574" ht="14" customHeight="1">
      <c r="A574" s="21" t="n">
        <v>2020</v>
      </c>
      <c r="B574" s="44">
        <f>C574</f>
        <v/>
      </c>
      <c r="C574" s="45" t="n">
        <v>177.9</v>
      </c>
    </row>
    <row r="575" ht="14" customHeight="1">
      <c r="A575" s="15" t="n">
        <v>2022</v>
      </c>
      <c r="B575" s="42">
        <f>C575</f>
        <v/>
      </c>
      <c r="C575" s="43" t="n">
        <v>512</v>
      </c>
    </row>
    <row r="576" ht="14" customHeight="1">
      <c r="A576" s="21" t="n">
        <v>2023</v>
      </c>
      <c r="B576" s="44">
        <f>C576</f>
        <v/>
      </c>
      <c r="C576" s="45" t="n">
        <v>582</v>
      </c>
    </row>
    <row r="579">
      <c r="A579" s="49" t="inlineStr">
        <is>
          <t>T4 · Average CO₂ intensity of new passenger cars (WLTP)  (g CO₂/km)</t>
        </is>
      </c>
    </row>
    <row r="580" ht="24" customHeight="1">
      <c r="A580" s="3" t="inlineStr">
        <is>
          <t>Derivation:  Value = [New-car CO2 intensity WLTP (gCO2/km)]</t>
        </is>
      </c>
    </row>
    <row r="581" ht="42" customHeight="1">
      <c r="A581" s="41" t="inlineStr">
        <is>
          <t>Year</t>
        </is>
      </c>
      <c r="B581" s="41" t="inlineStr">
        <is>
          <t>Value</t>
        </is>
      </c>
      <c r="C581" s="41" t="inlineStr">
        <is>
          <t>New-car CO2 intensity WLTP (gCO2/km)</t>
        </is>
      </c>
    </row>
    <row r="582" ht="14" customHeight="1">
      <c r="A582" s="15" t="n">
        <v>2020</v>
      </c>
      <c r="B582" s="42">
        <f>C582</f>
        <v/>
      </c>
      <c r="C582" s="43" t="n">
        <v>130.3</v>
      </c>
    </row>
    <row r="583" ht="14" customHeight="1">
      <c r="A583" s="21" t="n">
        <v>2021</v>
      </c>
      <c r="B583" s="44">
        <f>C583</f>
        <v/>
      </c>
      <c r="C583" s="45" t="n">
        <v>114.1</v>
      </c>
    </row>
    <row r="584" ht="14" customHeight="1">
      <c r="A584" s="15" t="n">
        <v>2022</v>
      </c>
      <c r="B584" s="42">
        <f>C584</f>
        <v/>
      </c>
      <c r="C584" s="43" t="n">
        <v>108.2</v>
      </c>
    </row>
    <row r="585" ht="14" customHeight="1">
      <c r="A585" s="21" t="n">
        <v>2023</v>
      </c>
      <c r="B585" s="44">
        <f>C585</f>
        <v/>
      </c>
      <c r="C585" s="45" t="n">
        <v>106.4</v>
      </c>
    </row>
    <row r="586" ht="14" customHeight="1">
      <c r="A586" s="15" t="n">
        <v>2024</v>
      </c>
      <c r="B586" s="42">
        <f>C586</f>
        <v/>
      </c>
      <c r="C586" s="43" t="n">
        <v>106.8</v>
      </c>
    </row>
    <row r="587" ht="14" customHeight="1">
      <c r="A587" s="21" t="n">
        <v>2025</v>
      </c>
      <c r="B587" s="44">
        <f>C587</f>
        <v/>
      </c>
      <c r="C587" s="45" t="n">
        <v>96.7</v>
      </c>
    </row>
    <row r="590">
      <c r="A590" s="49" t="inlineStr">
        <is>
          <t>T5a · ZEV share of new passenger car registrations  (%)</t>
        </is>
      </c>
    </row>
    <row r="591" ht="24" customHeight="1">
      <c r="A591" s="3" t="inlineStr">
        <is>
          <t>Derivation:  Value = IF(A &gt;= 2023, [Post-report figure as published], ([ZEV]) * [fraction → % (× 100)])</t>
        </is>
      </c>
    </row>
    <row r="592" ht="42" customHeight="1">
      <c r="A592" s="41" t="inlineStr">
        <is>
          <t>Year</t>
        </is>
      </c>
      <c r="B592" s="41" t="inlineStr">
        <is>
          <t>Value</t>
        </is>
      </c>
      <c r="C592" s="41" t="inlineStr">
        <is>
          <t>ZEV</t>
        </is>
      </c>
      <c r="D592" s="41" t="inlineStr">
        <is>
          <t>BEV</t>
        </is>
      </c>
      <c r="E592" s="41" t="inlineStr">
        <is>
          <t>H2</t>
        </is>
      </c>
      <c r="F592" s="41" t="inlineStr">
        <is>
          <t>Post-report figure as published</t>
        </is>
      </c>
      <c r="G592" s="41" t="inlineStr">
        <is>
          <t>fraction → % (× 100)</t>
        </is>
      </c>
    </row>
    <row r="593" ht="14" customHeight="1">
      <c r="A593" s="15" t="n">
        <v>2010</v>
      </c>
      <c r="B593" s="42">
        <f>IF((A593&gt;=2023),F593,(C593*G593))</f>
        <v/>
      </c>
      <c r="C593" s="43">
        <f>(D593+E593)</f>
        <v/>
      </c>
      <c r="D593" s="43" t="n">
        <v>0.0001</v>
      </c>
      <c r="E593" s="43" t="n">
        <v>0</v>
      </c>
      <c r="F593" s="43" t="n"/>
      <c r="G593" s="43" t="n">
        <v>100</v>
      </c>
    </row>
    <row r="594" ht="14" customHeight="1">
      <c r="A594" s="21" t="n">
        <v>2011</v>
      </c>
      <c r="B594" s="44">
        <f>IF((A594&gt;=2023),F594,(C594*G594))</f>
        <v/>
      </c>
      <c r="C594" s="45">
        <f>(D594+E594)</f>
        <v/>
      </c>
      <c r="D594" s="45" t="n">
        <v>0.0007000000000000001</v>
      </c>
      <c r="E594" s="45" t="n">
        <v>0</v>
      </c>
      <c r="F594" s="45" t="n"/>
      <c r="G594" s="45" t="n">
        <v>100</v>
      </c>
    </row>
    <row r="595" ht="14" customHeight="1">
      <c r="A595" s="15" t="n">
        <v>2012</v>
      </c>
      <c r="B595" s="42">
        <f>IF((A595&gt;=2023),F595,(C595*G595))</f>
        <v/>
      </c>
      <c r="C595" s="43">
        <f>(D595+E595)</f>
        <v/>
      </c>
      <c r="D595" s="43" t="n">
        <v>0.0013</v>
      </c>
      <c r="E595" s="43" t="n">
        <v>0</v>
      </c>
      <c r="F595" s="43" t="n"/>
      <c r="G595" s="43" t="n">
        <v>100</v>
      </c>
    </row>
    <row r="596" ht="14" customHeight="1">
      <c r="A596" s="21" t="n">
        <v>2013</v>
      </c>
      <c r="B596" s="44">
        <f>IF((A596&gt;=2023),F596,(C596*G596))</f>
        <v/>
      </c>
      <c r="C596" s="45">
        <f>(D596+E596)</f>
        <v/>
      </c>
      <c r="D596" s="45" t="n">
        <v>0.0022</v>
      </c>
      <c r="E596" s="45" t="n">
        <v>0</v>
      </c>
      <c r="F596" s="45" t="n"/>
      <c r="G596" s="45" t="n">
        <v>100</v>
      </c>
    </row>
    <row r="597" ht="14" customHeight="1">
      <c r="A597" s="15" t="n">
        <v>2014</v>
      </c>
      <c r="B597" s="42">
        <f>IF((A597&gt;=2023),F597,(C597*G597))</f>
        <v/>
      </c>
      <c r="C597" s="43">
        <f>(D597+E597)</f>
        <v/>
      </c>
      <c r="D597" s="43" t="n">
        <v>0.0033</v>
      </c>
      <c r="E597" s="43" t="n">
        <v>0</v>
      </c>
      <c r="F597" s="43" t="n"/>
      <c r="G597" s="43" t="n">
        <v>100</v>
      </c>
    </row>
    <row r="598" ht="14" customHeight="1">
      <c r="A598" s="21" t="n">
        <v>2015</v>
      </c>
      <c r="B598" s="44">
        <f>IF((A598&gt;=2023),F598,(C598*G598))</f>
        <v/>
      </c>
      <c r="C598" s="45">
        <f>(D598+E598)</f>
        <v/>
      </c>
      <c r="D598" s="45" t="n">
        <v>0.0046</v>
      </c>
      <c r="E598" s="45" t="n">
        <v>0</v>
      </c>
      <c r="F598" s="45" t="n"/>
      <c r="G598" s="45" t="n">
        <v>100</v>
      </c>
    </row>
    <row r="599" ht="14" customHeight="1">
      <c r="A599" s="15" t="n">
        <v>2016</v>
      </c>
      <c r="B599" s="42">
        <f>IF((A599&gt;=2023),F599,(C599*G599))</f>
        <v/>
      </c>
      <c r="C599" s="43">
        <f>(D599+E599)</f>
        <v/>
      </c>
      <c r="D599" s="43" t="n">
        <v>0.004699999999999999</v>
      </c>
      <c r="E599" s="43" t="n">
        <v>0</v>
      </c>
      <c r="F599" s="43" t="n"/>
      <c r="G599" s="43" t="n">
        <v>100</v>
      </c>
    </row>
    <row r="600" ht="14" customHeight="1">
      <c r="A600" s="21" t="n">
        <v>2017</v>
      </c>
      <c r="B600" s="44">
        <f>IF((A600&gt;=2023),F600,(C600*G600))</f>
        <v/>
      </c>
      <c r="C600" s="45">
        <f>(D600+E600)</f>
        <v/>
      </c>
      <c r="D600" s="45" t="n">
        <v>0.0068</v>
      </c>
      <c r="E600" s="45" t="n">
        <v>0</v>
      </c>
      <c r="F600" s="45" t="n"/>
      <c r="G600" s="45" t="n">
        <v>100</v>
      </c>
    </row>
    <row r="601" ht="14" customHeight="1">
      <c r="A601" s="15" t="n">
        <v>2018</v>
      </c>
      <c r="B601" s="42">
        <f>IF((A601&gt;=2023),F601,(C601*G601))</f>
        <v/>
      </c>
      <c r="C601" s="43">
        <f>(D601+E601)</f>
        <v/>
      </c>
      <c r="D601" s="43" t="n">
        <v>0.0106</v>
      </c>
      <c r="E601" s="43" t="n">
        <v>0</v>
      </c>
      <c r="F601" s="43" t="n"/>
      <c r="G601" s="43" t="n">
        <v>100</v>
      </c>
    </row>
    <row r="602" ht="14" customHeight="1">
      <c r="A602" s="21" t="n">
        <v>2019</v>
      </c>
      <c r="B602" s="44">
        <f>IF((A602&gt;=2023),F602,(C602*G602))</f>
        <v/>
      </c>
      <c r="C602" s="45">
        <f>(D602+E602)</f>
        <v/>
      </c>
      <c r="D602" s="45" t="n">
        <v>0.019</v>
      </c>
      <c r="E602" s="45" t="n">
        <v>0</v>
      </c>
      <c r="F602" s="45" t="n"/>
      <c r="G602" s="45" t="n">
        <v>100</v>
      </c>
    </row>
    <row r="603" ht="14" customHeight="1">
      <c r="A603" s="15" t="n">
        <v>2020</v>
      </c>
      <c r="B603" s="42">
        <f>IF((A603&gt;=2023),F603,(C603*G603))</f>
        <v/>
      </c>
      <c r="C603" s="43">
        <f>(D603+E603)</f>
        <v/>
      </c>
      <c r="D603" s="43" t="n">
        <v>0.0538</v>
      </c>
      <c r="E603" s="43" t="n">
        <v>0.0001</v>
      </c>
      <c r="F603" s="43" t="n"/>
      <c r="G603" s="43" t="n">
        <v>100</v>
      </c>
    </row>
    <row r="604" ht="14" customHeight="1">
      <c r="A604" s="21" t="n">
        <v>2021</v>
      </c>
      <c r="B604" s="44">
        <f>IF((A604&gt;=2023),F604,(C604*G604))</f>
        <v/>
      </c>
      <c r="C604" s="45">
        <f>(D604+E604)</f>
        <v/>
      </c>
      <c r="D604" s="45" t="n">
        <v>0.0886</v>
      </c>
      <c r="E604" s="45" t="n">
        <v>0.0001</v>
      </c>
      <c r="F604" s="45" t="n"/>
      <c r="G604" s="45" t="n">
        <v>100</v>
      </c>
    </row>
    <row r="605" ht="14" customHeight="1">
      <c r="A605" s="15" t="n">
        <v>2022</v>
      </c>
      <c r="B605" s="42">
        <f>IF((A605&gt;=2023),F605,(C605*G605))</f>
        <v/>
      </c>
      <c r="C605" s="43">
        <f>(D605+E605)</f>
        <v/>
      </c>
      <c r="D605" s="43" t="n">
        <v>0.134</v>
      </c>
      <c r="E605" s="43" t="n">
        <v>0.0001</v>
      </c>
      <c r="F605" s="43" t="n"/>
      <c r="G605" s="43" t="n">
        <v>100</v>
      </c>
    </row>
    <row r="606" ht="14" customHeight="1">
      <c r="A606" s="21" t="n">
        <v>2023</v>
      </c>
      <c r="B606" s="44">
        <f>IF((A606&gt;=2023),F606,(C606*G606))</f>
        <v/>
      </c>
      <c r="C606" s="45">
        <f>(D606+E606)</f>
        <v/>
      </c>
      <c r="D606" s="45" t="n"/>
      <c r="E606" s="45" t="n"/>
      <c r="F606" s="45" t="n">
        <v>14.6</v>
      </c>
      <c r="G606" s="45" t="n">
        <v>100</v>
      </c>
    </row>
    <row r="607" ht="14" customHeight="1">
      <c r="A607" s="15" t="n">
        <v>2024</v>
      </c>
      <c r="B607" s="42">
        <f>IF((A607&gt;=2023),F607,(C607*G607))</f>
        <v/>
      </c>
      <c r="C607" s="43">
        <f>(D607+E607)</f>
        <v/>
      </c>
      <c r="D607" s="43" t="n"/>
      <c r="E607" s="43" t="n"/>
      <c r="F607" s="43" t="n">
        <v>13.6</v>
      </c>
      <c r="G607" s="43" t="n">
        <v>100</v>
      </c>
    </row>
    <row r="608" ht="14" customHeight="1">
      <c r="A608" s="21" t="n">
        <v>2025</v>
      </c>
      <c r="B608" s="44">
        <f>IF((A608&gt;=2023),F608,(C608*G608))</f>
        <v/>
      </c>
      <c r="C608" s="45">
        <f>(D608+E608)</f>
        <v/>
      </c>
      <c r="D608" s="45" t="n"/>
      <c r="E608" s="45" t="n"/>
      <c r="F608" s="45" t="n">
        <v>17.4</v>
      </c>
      <c r="G608" s="45" t="n">
        <v>100</v>
      </c>
    </row>
    <row r="611">
      <c r="A611" s="49" t="inlineStr">
        <is>
          <t>T6a · Fossil share of transport energy use  (%)</t>
        </is>
      </c>
    </row>
    <row r="612" ht="24" customHeight="1">
      <c r="A612" s="3" t="inlineStr">
        <is>
          <t>Derivation:  Value = IF(A &gt;= 2022, ROUND([Report baseline 2021 (%)] * ([Numerator · nrg_bal_s O4000XBIO] + [Numerator · nrg_bal_s G3000] + [Numerator · nrg_bal_s C0000X0350-0370]) / ([Denominator · nrg_bal_s TOTAL]) / [Live source at 2021 (same basis as the columns left)], 2), ([% fossil]) * [fraction → % (× 100)])</t>
        </is>
      </c>
    </row>
    <row r="613" ht="42" customHeight="1">
      <c r="A613" s="41" t="inlineStr">
        <is>
          <t>Year</t>
        </is>
      </c>
      <c r="B613" s="41" t="inlineStr">
        <is>
          <t>Value</t>
        </is>
      </c>
      <c r="C613" s="41" t="inlineStr">
        <is>
          <t>% fossil</t>
        </is>
      </c>
      <c r="D613" s="41" t="inlineStr">
        <is>
          <t>Solid fossil fuels</t>
        </is>
      </c>
      <c r="E613" s="41" t="inlineStr">
        <is>
          <t>Manufactured gases</t>
        </is>
      </c>
      <c r="F613" s="41" t="inlineStr">
        <is>
          <t>Peat and peat products</t>
        </is>
      </c>
      <c r="G613" s="41" t="inlineStr">
        <is>
          <t>Natural gas</t>
        </is>
      </c>
      <c r="H613" s="41" t="inlineStr">
        <is>
          <t>Oil and petroleum products (excluding biofuel portion)</t>
        </is>
      </c>
      <c r="I613" s="41" t="inlineStr">
        <is>
          <t>Solid fossil fuels (2)</t>
        </is>
      </c>
      <c r="J613" s="41" t="inlineStr">
        <is>
          <t>Manufactured gases (2)</t>
        </is>
      </c>
      <c r="K613" s="41" t="inlineStr">
        <is>
          <t>Peat and peat products (2)</t>
        </is>
      </c>
      <c r="L613" s="41" t="inlineStr">
        <is>
          <t>Natural gas (2)</t>
        </is>
      </c>
      <c r="M613" s="41" t="inlineStr">
        <is>
          <t>Oil and petroleum products (excluding biofuel portion) (2)</t>
        </is>
      </c>
      <c r="N613" s="41" t="inlineStr">
        <is>
          <t>Solid fossil fuels (3)</t>
        </is>
      </c>
      <c r="O613" s="41" t="inlineStr">
        <is>
          <t>Manufactured gases (3)</t>
        </is>
      </c>
      <c r="P613" s="41" t="inlineStr">
        <is>
          <t>Peat and peat products (3)</t>
        </is>
      </c>
      <c r="Q613" s="41" t="inlineStr">
        <is>
          <t>Natural gas (3)</t>
        </is>
      </c>
      <c r="R613" s="41" t="inlineStr">
        <is>
          <t>Oil and petroleum products (excluding biofuel portion) (3)</t>
        </is>
      </c>
      <c r="S613" s="41" t="inlineStr">
        <is>
          <t>Total</t>
        </is>
      </c>
      <c r="T613" s="41" t="inlineStr">
        <is>
          <t>Total (2)</t>
        </is>
      </c>
      <c r="U613" s="41" t="inlineStr">
        <is>
          <t>Total (3)</t>
        </is>
      </c>
      <c r="V613" s="41" t="inlineStr">
        <is>
          <t>Numerator · nrg_bal_s O4000XBIO</t>
        </is>
      </c>
      <c r="W613" s="41" t="inlineStr">
        <is>
          <t>Numerator · nrg_bal_s G3000</t>
        </is>
      </c>
      <c r="X613" s="41" t="inlineStr">
        <is>
          <t>Numerator · nrg_bal_s C0000X0350-0370</t>
        </is>
      </c>
      <c r="Y613" s="41" t="inlineStr">
        <is>
          <t>Denominator · nrg_bal_s TOTAL</t>
        </is>
      </c>
      <c r="Z613" s="41" t="inlineStr">
        <is>
          <t>Report baseline 2021 (%)</t>
        </is>
      </c>
      <c r="AA613" s="41" t="inlineStr">
        <is>
          <t>Live source at 2021 (same basis as the columns left)</t>
        </is>
      </c>
      <c r="AB613" s="41" t="inlineStr">
        <is>
          <t>fraction → % (× 100)</t>
        </is>
      </c>
    </row>
    <row r="614" ht="14" customHeight="1">
      <c r="A614" s="15" t="n">
        <v>2005</v>
      </c>
      <c r="B614" s="42">
        <f>IF((A614&gt;=2022),ROUND((((Z614*((V614+W614)+X614))/Y614)/AA614),2),(C614*AB614))</f>
        <v/>
      </c>
      <c r="C614" s="43">
        <f>(((((((((((((((D614+E614)+F614)+G614)+H614)+I614)+J614)+K614)+L614)+M614)+N614)+O614)+P614)+Q614)+R614)/((S614+T614)+U614))</f>
        <v/>
      </c>
      <c r="D614" s="43" t="n">
        <v>5.489</v>
      </c>
      <c r="E614" s="43" t="n">
        <v>0</v>
      </c>
      <c r="F614" s="43" t="n">
        <v>0</v>
      </c>
      <c r="G614" s="43" t="n">
        <v>2787.873</v>
      </c>
      <c r="H614" s="43" t="n">
        <v>270483.07</v>
      </c>
      <c r="I614" s="43" t="n">
        <v>0</v>
      </c>
      <c r="J614" s="43" t="n">
        <v>0</v>
      </c>
      <c r="K614" s="43" t="n">
        <v>0</v>
      </c>
      <c r="L614" s="43" t="n">
        <v>0</v>
      </c>
      <c r="M614" s="43" t="n">
        <v>47197.778</v>
      </c>
      <c r="N614" s="43" t="n">
        <v>0</v>
      </c>
      <c r="O614" s="43" t="n">
        <v>0</v>
      </c>
      <c r="P614" s="43" t="n">
        <v>0</v>
      </c>
      <c r="Q614" s="43" t="n">
        <v>0</v>
      </c>
      <c r="R614" s="43" t="n">
        <v>31148.203</v>
      </c>
      <c r="S614" s="43" t="n">
        <v>281578.768</v>
      </c>
      <c r="T614" s="43" t="n">
        <v>47197.778</v>
      </c>
      <c r="U614" s="43" t="n">
        <v>31148.203</v>
      </c>
      <c r="V614" s="43" t="n"/>
      <c r="W614" s="43" t="n"/>
      <c r="X614" s="43" t="n"/>
      <c r="Y614" s="43" t="n"/>
      <c r="Z614" s="43" t="n"/>
      <c r="AA614" s="43" t="n"/>
      <c r="AB614" s="43" t="n">
        <v>100</v>
      </c>
    </row>
    <row r="615" ht="14" customHeight="1">
      <c r="A615" s="21" t="n">
        <v>2006</v>
      </c>
      <c r="B615" s="44">
        <f>IF((A615&gt;=2022),ROUND((((Z615*((V615+W615)+X615))/Y615)/AA615),2),(C615*AB615))</f>
        <v/>
      </c>
      <c r="C615" s="45">
        <f>(((((((((((((((D615+E615)+F615)+G615)+H615)+I615)+J615)+K615)+L615)+M615)+N615)+O615)+P615)+Q615)+R615)/((S615+T615)+U615))</f>
        <v/>
      </c>
      <c r="D615" s="45" t="n">
        <v>1.116</v>
      </c>
      <c r="E615" s="45" t="n">
        <v>0</v>
      </c>
      <c r="F615" s="45" t="n">
        <v>0</v>
      </c>
      <c r="G615" s="45" t="n">
        <v>2679.47</v>
      </c>
      <c r="H615" s="45" t="n">
        <v>274348.895</v>
      </c>
      <c r="I615" s="45" t="n">
        <v>0</v>
      </c>
      <c r="J615" s="45" t="n">
        <v>0</v>
      </c>
      <c r="K615" s="45" t="n">
        <v>0</v>
      </c>
      <c r="L615" s="45" t="n">
        <v>0</v>
      </c>
      <c r="M615" s="45" t="n">
        <v>50311.868</v>
      </c>
      <c r="N615" s="45" t="n">
        <v>0</v>
      </c>
      <c r="O615" s="45" t="n">
        <v>0</v>
      </c>
      <c r="P615" s="45" t="n">
        <v>0</v>
      </c>
      <c r="Q615" s="45" t="n">
        <v>0</v>
      </c>
      <c r="R615" s="45" t="n">
        <v>32737.146</v>
      </c>
      <c r="S615" s="45" t="n">
        <v>287221.113</v>
      </c>
      <c r="T615" s="45" t="n">
        <v>50311.868</v>
      </c>
      <c r="U615" s="45" t="n">
        <v>32737.146</v>
      </c>
      <c r="V615" s="45" t="n"/>
      <c r="W615" s="45" t="n"/>
      <c r="X615" s="45" t="n"/>
      <c r="Y615" s="45" t="n"/>
      <c r="Z615" s="45" t="n"/>
      <c r="AA615" s="45" t="n"/>
      <c r="AB615" s="45" t="n">
        <v>100</v>
      </c>
    </row>
    <row r="616" ht="14" customHeight="1">
      <c r="A616" s="15" t="n">
        <v>2007</v>
      </c>
      <c r="B616" s="42">
        <f>IF((A616&gt;=2022),ROUND((((Z616*((V616+W616)+X616))/Y616)/AA616),2),(C616*AB616))</f>
        <v/>
      </c>
      <c r="C616" s="43">
        <f>(((((((((((((((D616+E616)+F616)+G616)+H616)+I616)+J616)+K616)+L616)+M616)+N616)+O616)+P616)+Q616)+R616)/((S616+T616)+U616))</f>
        <v/>
      </c>
      <c r="D616" s="43" t="n">
        <v>0.993</v>
      </c>
      <c r="E616" s="43" t="n">
        <v>0</v>
      </c>
      <c r="F616" s="43" t="n">
        <v>0</v>
      </c>
      <c r="G616" s="43" t="n">
        <v>2770.754</v>
      </c>
      <c r="H616" s="43" t="n">
        <v>276889.839</v>
      </c>
      <c r="I616" s="43" t="n">
        <v>0</v>
      </c>
      <c r="J616" s="43" t="n">
        <v>0</v>
      </c>
      <c r="K616" s="43" t="n">
        <v>0</v>
      </c>
      <c r="L616" s="43" t="n">
        <v>0</v>
      </c>
      <c r="M616" s="43" t="n">
        <v>52464.315</v>
      </c>
      <c r="N616" s="43" t="n">
        <v>0</v>
      </c>
      <c r="O616" s="43" t="n">
        <v>0</v>
      </c>
      <c r="P616" s="43" t="n">
        <v>0</v>
      </c>
      <c r="Q616" s="43" t="n">
        <v>0</v>
      </c>
      <c r="R616" s="43" t="n">
        <v>34156.138</v>
      </c>
      <c r="S616" s="43" t="n">
        <v>291835.11</v>
      </c>
      <c r="T616" s="43" t="n">
        <v>52464.315</v>
      </c>
      <c r="U616" s="43" t="n">
        <v>34156.138</v>
      </c>
      <c r="V616" s="43" t="n"/>
      <c r="W616" s="43" t="n"/>
      <c r="X616" s="43" t="n"/>
      <c r="Y616" s="43" t="n"/>
      <c r="Z616" s="43" t="n"/>
      <c r="AA616" s="43" t="n"/>
      <c r="AB616" s="43" t="n">
        <v>100</v>
      </c>
    </row>
    <row r="617" ht="14" customHeight="1">
      <c r="A617" s="21" t="n">
        <v>2008</v>
      </c>
      <c r="B617" s="44">
        <f>IF((A617&gt;=2022),ROUND((((Z617*((V617+W617)+X617))/Y617)/AA617),2),(C617*AB617))</f>
        <v/>
      </c>
      <c r="C617" s="45">
        <f>(((((((((((((((D617+E617)+F617)+G617)+H617)+I617)+J617)+K617)+L617)+M617)+N617)+O617)+P617)+Q617)+R617)/((S617+T617)+U617))</f>
        <v/>
      </c>
      <c r="D617" s="45" t="n">
        <v>1.021</v>
      </c>
      <c r="E617" s="45" t="n">
        <v>0</v>
      </c>
      <c r="F617" s="45" t="n">
        <v>0</v>
      </c>
      <c r="G617" s="45" t="n">
        <v>2895.259</v>
      </c>
      <c r="H617" s="45" t="n">
        <v>271182.008</v>
      </c>
      <c r="I617" s="45" t="n">
        <v>0</v>
      </c>
      <c r="J617" s="45" t="n">
        <v>0</v>
      </c>
      <c r="K617" s="45" t="n">
        <v>0</v>
      </c>
      <c r="L617" s="45" t="n">
        <v>0</v>
      </c>
      <c r="M617" s="45" t="n">
        <v>51884.183</v>
      </c>
      <c r="N617" s="45" t="n">
        <v>0</v>
      </c>
      <c r="O617" s="45" t="n">
        <v>0</v>
      </c>
      <c r="P617" s="45" t="n">
        <v>0</v>
      </c>
      <c r="Q617" s="45" t="n">
        <v>0</v>
      </c>
      <c r="R617" s="45" t="n">
        <v>34790.878</v>
      </c>
      <c r="S617" s="45" t="n">
        <v>287886.204</v>
      </c>
      <c r="T617" s="45" t="n">
        <v>51884.183</v>
      </c>
      <c r="U617" s="45" t="n">
        <v>34790.878</v>
      </c>
      <c r="V617" s="45" t="n"/>
      <c r="W617" s="45" t="n"/>
      <c r="X617" s="45" t="n"/>
      <c r="Y617" s="45" t="n"/>
      <c r="Z617" s="45" t="n"/>
      <c r="AA617" s="45" t="n"/>
      <c r="AB617" s="45" t="n">
        <v>100</v>
      </c>
    </row>
    <row r="618" ht="14" customHeight="1">
      <c r="A618" s="15" t="n">
        <v>2009</v>
      </c>
      <c r="B618" s="42">
        <f>IF((A618&gt;=2022),ROUND((((Z618*((V618+W618)+X618))/Y618)/AA618),2),(C618*AB618))</f>
        <v/>
      </c>
      <c r="C618" s="43">
        <f>(((((((((((((((D618+E618)+F618)+G618)+H618)+I618)+J618)+K618)+L618)+M618)+N618)+O618)+P618)+Q618)+R618)/((S618+T618)+U618))</f>
        <v/>
      </c>
      <c r="D618" s="43" t="n">
        <v>0.483</v>
      </c>
      <c r="E618" s="43" t="n">
        <v>0</v>
      </c>
      <c r="F618" s="43" t="n">
        <v>0</v>
      </c>
      <c r="G618" s="43" t="n">
        <v>2537.443</v>
      </c>
      <c r="H618" s="43" t="n">
        <v>262752.135</v>
      </c>
      <c r="I618" s="43" t="n">
        <v>0</v>
      </c>
      <c r="J618" s="43" t="n">
        <v>0</v>
      </c>
      <c r="K618" s="43" t="n">
        <v>0</v>
      </c>
      <c r="L618" s="43" t="n">
        <v>0</v>
      </c>
      <c r="M618" s="43" t="n">
        <v>46334.866</v>
      </c>
      <c r="N618" s="43" t="n">
        <v>0</v>
      </c>
      <c r="O618" s="43" t="n">
        <v>0</v>
      </c>
      <c r="P618" s="43" t="n">
        <v>0</v>
      </c>
      <c r="Q618" s="43" t="n">
        <v>0</v>
      </c>
      <c r="R618" s="43" t="n">
        <v>31853.638</v>
      </c>
      <c r="S618" s="43" t="n">
        <v>280641.743</v>
      </c>
      <c r="T618" s="43" t="n">
        <v>46334.866</v>
      </c>
      <c r="U618" s="43" t="n">
        <v>31853.638</v>
      </c>
      <c r="V618" s="43" t="n"/>
      <c r="W618" s="43" t="n"/>
      <c r="X618" s="43" t="n"/>
      <c r="Y618" s="43" t="n"/>
      <c r="Z618" s="43" t="n"/>
      <c r="AA618" s="43" t="n"/>
      <c r="AB618" s="43" t="n">
        <v>100</v>
      </c>
    </row>
    <row r="619" ht="14" customHeight="1">
      <c r="A619" s="21" t="n">
        <v>2010</v>
      </c>
      <c r="B619" s="44">
        <f>IF((A619&gt;=2022),ROUND((((Z619*((V619+W619)+X619))/Y619)/AA619),2),(C619*AB619))</f>
        <v/>
      </c>
      <c r="C619" s="45">
        <f>(((((((((((((((D619+E619)+F619)+G619)+H619)+I619)+J619)+K619)+L619)+M619)+N619)+O619)+P619)+Q619)+R619)/((S619+T619)+U619))</f>
        <v/>
      </c>
      <c r="D619" s="45" t="n">
        <v>0.476</v>
      </c>
      <c r="E619" s="45" t="n">
        <v>0</v>
      </c>
      <c r="F619" s="45" t="n">
        <v>0</v>
      </c>
      <c r="G619" s="45" t="n">
        <v>2660.352</v>
      </c>
      <c r="H619" s="45" t="n">
        <v>260489.882</v>
      </c>
      <c r="I619" s="45" t="n">
        <v>0</v>
      </c>
      <c r="J619" s="45" t="n">
        <v>0</v>
      </c>
      <c r="K619" s="45" t="n">
        <v>0</v>
      </c>
      <c r="L619" s="45" t="n">
        <v>0</v>
      </c>
      <c r="M619" s="45" t="n">
        <v>46700.957</v>
      </c>
      <c r="N619" s="45" t="n">
        <v>0</v>
      </c>
      <c r="O619" s="45" t="n">
        <v>0</v>
      </c>
      <c r="P619" s="45" t="n">
        <v>0</v>
      </c>
      <c r="Q619" s="45" t="n">
        <v>0</v>
      </c>
      <c r="R619" s="45" t="n">
        <v>32120.035</v>
      </c>
      <c r="S619" s="45" t="n">
        <v>279992.442</v>
      </c>
      <c r="T619" s="45" t="n">
        <v>46700.957</v>
      </c>
      <c r="U619" s="45" t="n">
        <v>32120.035</v>
      </c>
      <c r="V619" s="45" t="n"/>
      <c r="W619" s="45" t="n"/>
      <c r="X619" s="45" t="n"/>
      <c r="Y619" s="45" t="n"/>
      <c r="Z619" s="45" t="n"/>
      <c r="AA619" s="45" t="n"/>
      <c r="AB619" s="45" t="n">
        <v>100</v>
      </c>
    </row>
    <row r="620" ht="14" customHeight="1">
      <c r="A620" s="15" t="n">
        <v>2011</v>
      </c>
      <c r="B620" s="42">
        <f>IF((A620&gt;=2022),ROUND((((Z620*((V620+W620)+X620))/Y620)/AA620),2),(C620*AB620))</f>
        <v/>
      </c>
      <c r="C620" s="43">
        <f>(((((((((((((((D620+E620)+F620)+G620)+H620)+I620)+J620)+K620)+L620)+M620)+N620)+O620)+P620)+Q620)+R620)/((S620+T620)+U620))</f>
        <v/>
      </c>
      <c r="D620" s="43" t="n">
        <v>0.469</v>
      </c>
      <c r="E620" s="43" t="n">
        <v>0</v>
      </c>
      <c r="F620" s="43" t="n">
        <v>0</v>
      </c>
      <c r="G620" s="43" t="n">
        <v>3032.095</v>
      </c>
      <c r="H620" s="43" t="n">
        <v>258278.301</v>
      </c>
      <c r="I620" s="43" t="n">
        <v>0</v>
      </c>
      <c r="J620" s="43" t="n">
        <v>0</v>
      </c>
      <c r="K620" s="43" t="n">
        <v>0</v>
      </c>
      <c r="L620" s="43" t="n">
        <v>0</v>
      </c>
      <c r="M620" s="43" t="n">
        <v>46535.697</v>
      </c>
      <c r="N620" s="43" t="n">
        <v>0</v>
      </c>
      <c r="O620" s="43" t="n">
        <v>0</v>
      </c>
      <c r="P620" s="43" t="n">
        <v>0</v>
      </c>
      <c r="Q620" s="43" t="n">
        <v>0</v>
      </c>
      <c r="R620" s="43" t="n">
        <v>33070.273</v>
      </c>
      <c r="S620" s="43" t="n">
        <v>278951.01</v>
      </c>
      <c r="T620" s="43" t="n">
        <v>46535.697</v>
      </c>
      <c r="U620" s="43" t="n">
        <v>33070.273</v>
      </c>
      <c r="V620" s="43" t="n"/>
      <c r="W620" s="43" t="n"/>
      <c r="X620" s="43" t="n"/>
      <c r="Y620" s="43" t="n"/>
      <c r="Z620" s="43" t="n"/>
      <c r="AA620" s="43" t="n"/>
      <c r="AB620" s="43" t="n">
        <v>100</v>
      </c>
    </row>
    <row r="621" ht="14" customHeight="1">
      <c r="A621" s="21" t="n">
        <v>2012</v>
      </c>
      <c r="B621" s="44">
        <f>IF((A621&gt;=2022),ROUND((((Z621*((V621+W621)+X621))/Y621)/AA621),2),(C621*AB621))</f>
        <v/>
      </c>
      <c r="C621" s="45">
        <f>(((((((((((((((D621+E621)+F621)+G621)+H621)+I621)+J621)+K621)+L621)+M621)+N621)+O621)+P621)+Q621)+R621)/((S621+T621)+U621))</f>
        <v/>
      </c>
      <c r="D621" s="45" t="n">
        <v>0.477</v>
      </c>
      <c r="E621" s="45" t="n">
        <v>0</v>
      </c>
      <c r="F621" s="45" t="n">
        <v>0</v>
      </c>
      <c r="G621" s="45" t="n">
        <v>2833.788</v>
      </c>
      <c r="H621" s="45" t="n">
        <v>247925.899</v>
      </c>
      <c r="I621" s="45" t="n">
        <v>0</v>
      </c>
      <c r="J621" s="45" t="n">
        <v>0</v>
      </c>
      <c r="K621" s="45" t="n">
        <v>0</v>
      </c>
      <c r="L621" s="45" t="n">
        <v>0</v>
      </c>
      <c r="M621" s="45" t="n">
        <v>43487.329</v>
      </c>
      <c r="N621" s="45" t="n">
        <v>0</v>
      </c>
      <c r="O621" s="45" t="n">
        <v>0</v>
      </c>
      <c r="P621" s="45" t="n">
        <v>0</v>
      </c>
      <c r="Q621" s="45" t="n">
        <v>0</v>
      </c>
      <c r="R621" s="45" t="n">
        <v>32613.426</v>
      </c>
      <c r="S621" s="45" t="n">
        <v>269187.624</v>
      </c>
      <c r="T621" s="45" t="n">
        <v>43487.329</v>
      </c>
      <c r="U621" s="45" t="n">
        <v>32613.426</v>
      </c>
      <c r="V621" s="45" t="n"/>
      <c r="W621" s="45" t="n"/>
      <c r="X621" s="45" t="n"/>
      <c r="Y621" s="45" t="n"/>
      <c r="Z621" s="45" t="n"/>
      <c r="AA621" s="45" t="n"/>
      <c r="AB621" s="45" t="n">
        <v>100</v>
      </c>
    </row>
    <row r="622" ht="14" customHeight="1">
      <c r="A622" s="15" t="n">
        <v>2013</v>
      </c>
      <c r="B622" s="42">
        <f>IF((A622&gt;=2022),ROUND((((Z622*((V622+W622)+X622))/Y622)/AA622),2),(C622*AB622))</f>
        <v/>
      </c>
      <c r="C622" s="43">
        <f>(((((((((((((((D622+E622)+F622)+G622)+H622)+I622)+J622)+K622)+L622)+M622)+N622)+O622)+P622)+Q622)+R622)/((S622+T622)+U622))</f>
        <v/>
      </c>
      <c r="D622" s="43" t="n">
        <v>0.488</v>
      </c>
      <c r="E622" s="43" t="n">
        <v>0</v>
      </c>
      <c r="F622" s="43" t="n">
        <v>0</v>
      </c>
      <c r="G622" s="43" t="n">
        <v>3119.998</v>
      </c>
      <c r="H622" s="43" t="n">
        <v>245368.584</v>
      </c>
      <c r="I622" s="43" t="n">
        <v>0</v>
      </c>
      <c r="J622" s="43" t="n">
        <v>0</v>
      </c>
      <c r="K622" s="43" t="n">
        <v>0</v>
      </c>
      <c r="L622" s="43" t="n">
        <v>0.315</v>
      </c>
      <c r="M622" s="43" t="n">
        <v>41030.449</v>
      </c>
      <c r="N622" s="43" t="n">
        <v>0</v>
      </c>
      <c r="O622" s="43" t="n">
        <v>0</v>
      </c>
      <c r="P622" s="43" t="n">
        <v>0</v>
      </c>
      <c r="Q622" s="43" t="n">
        <v>0</v>
      </c>
      <c r="R622" s="43" t="n">
        <v>32756.397</v>
      </c>
      <c r="S622" s="43" t="n">
        <v>265449.955</v>
      </c>
      <c r="T622" s="43" t="n">
        <v>41030.763</v>
      </c>
      <c r="U622" s="43" t="n">
        <v>32756.397</v>
      </c>
      <c r="V622" s="43" t="n"/>
      <c r="W622" s="43" t="n"/>
      <c r="X622" s="43" t="n"/>
      <c r="Y622" s="43" t="n"/>
      <c r="Z622" s="43" t="n"/>
      <c r="AA622" s="43" t="n"/>
      <c r="AB622" s="43" t="n">
        <v>100</v>
      </c>
    </row>
    <row r="623" ht="14" customHeight="1">
      <c r="A623" s="21" t="n">
        <v>2014</v>
      </c>
      <c r="B623" s="44">
        <f>IF((A623&gt;=2022),ROUND((((Z623*((V623+W623)+X623))/Y623)/AA623),2),(C623*AB623))</f>
        <v/>
      </c>
      <c r="C623" s="45">
        <f>(((((((((((((((D623+E623)+F623)+G623)+H623)+I623)+J623)+K623)+L623)+M623)+N623)+O623)+P623)+Q623)+R623)/((S623+T623)+U623))</f>
        <v/>
      </c>
      <c r="D623" s="45" t="n">
        <v>1.154</v>
      </c>
      <c r="E623" s="45" t="n">
        <v>0</v>
      </c>
      <c r="F623" s="45" t="n">
        <v>0</v>
      </c>
      <c r="G623" s="45" t="n">
        <v>2993.783</v>
      </c>
      <c r="H623" s="45" t="n">
        <v>248039.318</v>
      </c>
      <c r="I623" s="45" t="n">
        <v>0</v>
      </c>
      <c r="J623" s="45" t="n">
        <v>0</v>
      </c>
      <c r="K623" s="45" t="n">
        <v>0</v>
      </c>
      <c r="L623" s="45" t="n">
        <v>0.523</v>
      </c>
      <c r="M623" s="45" t="n">
        <v>39835.806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33171.779</v>
      </c>
      <c r="S623" s="45" t="n">
        <v>268808.993</v>
      </c>
      <c r="T623" s="45" t="n">
        <v>39836.329</v>
      </c>
      <c r="U623" s="45" t="n">
        <v>33171.779</v>
      </c>
      <c r="V623" s="45" t="n"/>
      <c r="W623" s="45" t="n"/>
      <c r="X623" s="45" t="n"/>
      <c r="Y623" s="45" t="n"/>
      <c r="Z623" s="45" t="n"/>
      <c r="AA623" s="45" t="n"/>
      <c r="AB623" s="45" t="n">
        <v>100</v>
      </c>
    </row>
    <row r="624" ht="14" customHeight="1">
      <c r="A624" s="15" t="n">
        <v>2015</v>
      </c>
      <c r="B624" s="42">
        <f>IF((A624&gt;=2022),ROUND((((Z624*((V624+W624)+X624))/Y624)/AA624),2),(C624*AB624))</f>
        <v/>
      </c>
      <c r="C624" s="43">
        <f>(((((((((((((((D624+E624)+F624)+G624)+H624)+I624)+J624)+K624)+L624)+M624)+N624)+O624)+P624)+Q624)+R624)/((S624+T624)+U624))</f>
        <v/>
      </c>
      <c r="D624" s="43" t="n">
        <v>1.192</v>
      </c>
      <c r="E624" s="43" t="n">
        <v>0</v>
      </c>
      <c r="F624" s="43" t="n">
        <v>0</v>
      </c>
      <c r="G624" s="43" t="n">
        <v>3031.348</v>
      </c>
      <c r="H624" s="43" t="n">
        <v>251580.015</v>
      </c>
      <c r="I624" s="43" t="n">
        <v>0</v>
      </c>
      <c r="J624" s="43" t="n">
        <v>0</v>
      </c>
      <c r="K624" s="43" t="n">
        <v>0</v>
      </c>
      <c r="L624" s="43" t="n">
        <v>5.384</v>
      </c>
      <c r="M624" s="43" t="n">
        <v>40306.194</v>
      </c>
      <c r="N624" s="43" t="n">
        <v>0</v>
      </c>
      <c r="O624" s="43" t="n">
        <v>0</v>
      </c>
      <c r="P624" s="43" t="n">
        <v>0</v>
      </c>
      <c r="Q624" s="43" t="n">
        <v>0</v>
      </c>
      <c r="R624" s="43" t="n">
        <v>34568.166</v>
      </c>
      <c r="S624" s="43" t="n">
        <v>272463.417</v>
      </c>
      <c r="T624" s="43" t="n">
        <v>40311.578</v>
      </c>
      <c r="U624" s="43" t="n">
        <v>34568.166</v>
      </c>
      <c r="V624" s="43" t="n"/>
      <c r="W624" s="43" t="n"/>
      <c r="X624" s="43" t="n"/>
      <c r="Y624" s="43" t="n"/>
      <c r="Z624" s="43" t="n"/>
      <c r="AA624" s="43" t="n"/>
      <c r="AB624" s="43" t="n">
        <v>100</v>
      </c>
    </row>
    <row r="625" ht="14" customHeight="1">
      <c r="A625" s="21" t="n">
        <v>2016</v>
      </c>
      <c r="B625" s="44">
        <f>IF((A625&gt;=2022),ROUND((((Z625*((V625+W625)+X625))/Y625)/AA625),2),(C625*AB625))</f>
        <v/>
      </c>
      <c r="C625" s="45">
        <f>(((((((((((((((D625+E625)+F625)+G625)+H625)+I625)+J625)+K625)+L625)+M625)+N625)+O625)+P625)+Q625)+R625)/((S625+T625)+U625))</f>
        <v/>
      </c>
      <c r="D625" s="45" t="n">
        <v>1.159</v>
      </c>
      <c r="E625" s="45" t="n">
        <v>0</v>
      </c>
      <c r="F625" s="45" t="n">
        <v>0</v>
      </c>
      <c r="G625" s="45" t="n">
        <v>3198.345</v>
      </c>
      <c r="H625" s="45" t="n">
        <v>257911.861</v>
      </c>
      <c r="I625" s="45" t="n">
        <v>0</v>
      </c>
      <c r="J625" s="45" t="n">
        <v>0</v>
      </c>
      <c r="K625" s="45" t="n">
        <v>0</v>
      </c>
      <c r="L625" s="45" t="n">
        <v>1.771</v>
      </c>
      <c r="M625" s="45" t="n">
        <v>41538.432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36227.853</v>
      </c>
      <c r="S625" s="45" t="n">
        <v>278736.337</v>
      </c>
      <c r="T625" s="45" t="n">
        <v>41540.203</v>
      </c>
      <c r="U625" s="45" t="n">
        <v>36227.853</v>
      </c>
      <c r="V625" s="45" t="n"/>
      <c r="W625" s="45" t="n"/>
      <c r="X625" s="45" t="n"/>
      <c r="Y625" s="45" t="n"/>
      <c r="Z625" s="45" t="n"/>
      <c r="AA625" s="45" t="n"/>
      <c r="AB625" s="45" t="n">
        <v>100</v>
      </c>
    </row>
    <row r="626" ht="14" customHeight="1">
      <c r="A626" s="15" t="n">
        <v>2017</v>
      </c>
      <c r="B626" s="42">
        <f>IF((A626&gt;=2022),ROUND((((Z626*((V626+W626)+X626))/Y626)/AA626),2),(C626*AB626))</f>
        <v/>
      </c>
      <c r="C626" s="43">
        <f>(((((((((((((((D626+E626)+F626)+G626)+H626)+I626)+J626)+K626)+L626)+M626)+N626)+O626)+P626)+Q626)+R626)/((S626+T626)+U626))</f>
        <v/>
      </c>
      <c r="D626" s="43" t="n">
        <v>1.357</v>
      </c>
      <c r="E626" s="43" t="n">
        <v>0</v>
      </c>
      <c r="F626" s="43" t="n">
        <v>0</v>
      </c>
      <c r="G626" s="43" t="n">
        <v>3304.196</v>
      </c>
      <c r="H626" s="43" t="n">
        <v>262345.946</v>
      </c>
      <c r="I626" s="43" t="n">
        <v>0</v>
      </c>
      <c r="J626" s="43" t="n">
        <v>0</v>
      </c>
      <c r="K626" s="43" t="n">
        <v>0</v>
      </c>
      <c r="L626" s="43" t="n">
        <v>49.946</v>
      </c>
      <c r="M626" s="43" t="n">
        <v>42128.09</v>
      </c>
      <c r="N626" s="43" t="n">
        <v>0</v>
      </c>
      <c r="O626" s="43" t="n">
        <v>0</v>
      </c>
      <c r="P626" s="43" t="n">
        <v>0</v>
      </c>
      <c r="Q626" s="43" t="n">
        <v>0</v>
      </c>
      <c r="R626" s="43" t="n">
        <v>38957.262</v>
      </c>
      <c r="S626" s="43" t="n">
        <v>284509.207</v>
      </c>
      <c r="T626" s="43" t="n">
        <v>42178.037</v>
      </c>
      <c r="U626" s="43" t="n">
        <v>38957.262</v>
      </c>
      <c r="V626" s="43" t="n"/>
      <c r="W626" s="43" t="n"/>
      <c r="X626" s="43" t="n"/>
      <c r="Y626" s="43" t="n"/>
      <c r="Z626" s="43" t="n"/>
      <c r="AA626" s="43" t="n"/>
      <c r="AB626" s="43" t="n">
        <v>100</v>
      </c>
    </row>
    <row r="627" ht="14" customHeight="1">
      <c r="A627" s="21" t="n">
        <v>2018</v>
      </c>
      <c r="B627" s="44">
        <f>IF((A627&gt;=2022),ROUND((((Z627*((V627+W627)+X627))/Y627)/AA627),2),(C627*AB627))</f>
        <v/>
      </c>
      <c r="C627" s="45">
        <f>(((((((((((((((D627+E627)+F627)+G627)+H627)+I627)+J627)+K627)+L627)+M627)+N627)+O627)+P627)+Q627)+R627)/((S627+T627)+U627))</f>
        <v/>
      </c>
      <c r="D627" s="45" t="n">
        <v>1</v>
      </c>
      <c r="E627" s="45" t="n">
        <v>0</v>
      </c>
      <c r="F627" s="45" t="n">
        <v>0</v>
      </c>
      <c r="G627" s="45" t="n">
        <v>3488.227</v>
      </c>
      <c r="H627" s="45" t="n">
        <v>262127.378</v>
      </c>
      <c r="I627" s="45" t="n">
        <v>0</v>
      </c>
      <c r="J627" s="45" t="n">
        <v>0</v>
      </c>
      <c r="K627" s="45" t="n">
        <v>0</v>
      </c>
      <c r="L627" s="45" t="n">
        <v>62.757</v>
      </c>
      <c r="M627" s="45" t="n">
        <v>43336.539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41014.912</v>
      </c>
      <c r="S627" s="45" t="n">
        <v>285944.665</v>
      </c>
      <c r="T627" s="45" t="n">
        <v>43415.986</v>
      </c>
      <c r="U627" s="45" t="n">
        <v>41014.917</v>
      </c>
      <c r="V627" s="45" t="n"/>
      <c r="W627" s="45" t="n"/>
      <c r="X627" s="45" t="n"/>
      <c r="Y627" s="45" t="n"/>
      <c r="Z627" s="45" t="n"/>
      <c r="AA627" s="45" t="n"/>
      <c r="AB627" s="45" t="n">
        <v>100</v>
      </c>
    </row>
    <row r="628" ht="14" customHeight="1">
      <c r="A628" s="15" t="n">
        <v>2019</v>
      </c>
      <c r="B628" s="42">
        <f>IF((A628&gt;=2022),ROUND((((Z628*((V628+W628)+X628))/Y628)/AA628),2),(C628*AB628))</f>
        <v/>
      </c>
      <c r="C628" s="43">
        <f>(((((((((((((((D628+E628)+F628)+G628)+H628)+I628)+J628)+K628)+L628)+M628)+N628)+O628)+P628)+Q628)+R628)/((S628+T628)+U628))</f>
        <v/>
      </c>
      <c r="D628" s="43" t="n">
        <v>0.581</v>
      </c>
      <c r="E628" s="43" t="n">
        <v>0</v>
      </c>
      <c r="F628" s="43" t="n">
        <v>0</v>
      </c>
      <c r="G628" s="43" t="n">
        <v>3705.199</v>
      </c>
      <c r="H628" s="43" t="n">
        <v>264124.082</v>
      </c>
      <c r="I628" s="43" t="n">
        <v>0</v>
      </c>
      <c r="J628" s="43" t="n">
        <v>0</v>
      </c>
      <c r="K628" s="43" t="n">
        <v>0</v>
      </c>
      <c r="L628" s="43" t="n">
        <v>142.47</v>
      </c>
      <c r="M628" s="43" t="n">
        <v>42915.162</v>
      </c>
      <c r="N628" s="43" t="n">
        <v>0</v>
      </c>
      <c r="O628" s="43" t="n">
        <v>0</v>
      </c>
      <c r="P628" s="43" t="n">
        <v>0</v>
      </c>
      <c r="Q628" s="43" t="n">
        <v>0</v>
      </c>
      <c r="R628" s="43" t="n">
        <v>41791.909</v>
      </c>
      <c r="S628" s="43" t="n">
        <v>288722.807</v>
      </c>
      <c r="T628" s="43" t="n">
        <v>43105.004</v>
      </c>
      <c r="U628" s="43" t="n">
        <v>41791.909</v>
      </c>
      <c r="V628" s="43" t="n"/>
      <c r="W628" s="43" t="n"/>
      <c r="X628" s="43" t="n"/>
      <c r="Y628" s="43" t="n"/>
      <c r="Z628" s="43" t="n"/>
      <c r="AA628" s="43" t="n"/>
      <c r="AB628" s="43" t="n">
        <v>100</v>
      </c>
    </row>
    <row r="629" ht="14" customHeight="1">
      <c r="A629" s="21" t="n">
        <v>2020</v>
      </c>
      <c r="B629" s="44">
        <f>IF((A629&gt;=2022),ROUND((((Z629*((V629+W629)+X629))/Y629)/AA629),2),(C629*AB629))</f>
        <v/>
      </c>
      <c r="C629" s="45">
        <f>(((((((((((((((D629+E629)+F629)+G629)+H629)+I629)+J629)+K629)+L629)+M629)+N629)+O629)+P629)+Q629)+R629)/((S629+T629)+U629))</f>
        <v/>
      </c>
      <c r="D629" s="45" t="n">
        <v>0.351</v>
      </c>
      <c r="E629" s="45" t="n">
        <v>0</v>
      </c>
      <c r="F629" s="45" t="n">
        <v>0</v>
      </c>
      <c r="G629" s="45" t="n">
        <v>3066.1</v>
      </c>
      <c r="H629" s="45" t="n">
        <v>227702.745</v>
      </c>
      <c r="I629" s="45" t="n">
        <v>0</v>
      </c>
      <c r="J629" s="45" t="n">
        <v>0</v>
      </c>
      <c r="K629" s="45" t="n">
        <v>0</v>
      </c>
      <c r="L629" s="45" t="n">
        <v>180.764</v>
      </c>
      <c r="M629" s="45" t="n">
        <v>38583.15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18041.534</v>
      </c>
      <c r="S629" s="45" t="n">
        <v>251439.587</v>
      </c>
      <c r="T629" s="45" t="n">
        <v>39000.265</v>
      </c>
      <c r="U629" s="45" t="n">
        <v>18041.534</v>
      </c>
      <c r="V629" s="45" t="n"/>
      <c r="W629" s="45" t="n"/>
      <c r="X629" s="45" t="n"/>
      <c r="Y629" s="45" t="n"/>
      <c r="Z629" s="45" t="n"/>
      <c r="AA629" s="45" t="n"/>
      <c r="AB629" s="45" t="n">
        <v>100</v>
      </c>
    </row>
    <row r="630" ht="14" customHeight="1">
      <c r="A630" s="15" t="n">
        <v>2021</v>
      </c>
      <c r="B630" s="42">
        <f>IF((A630&gt;=2022),ROUND((((Z630*((V630+W630)+X630))/Y630)/AA630),2),(C630*AB630))</f>
        <v/>
      </c>
      <c r="C630" s="43">
        <f>(((((((((((((((D630+E630)+F630)+G630)+H630)+I630)+J630)+K630)+L630)+M630)+N630)+O630)+P630)+Q630)+R630)/((S630+T630)+U630))</f>
        <v/>
      </c>
      <c r="D630" s="43" t="n">
        <v>0.412</v>
      </c>
      <c r="E630" s="43" t="n">
        <v>0</v>
      </c>
      <c r="F630" s="43" t="n">
        <v>0</v>
      </c>
      <c r="G630" s="43" t="n">
        <v>3718.087</v>
      </c>
      <c r="H630" s="43" t="n">
        <v>249154.434</v>
      </c>
      <c r="I630" s="43" t="n">
        <v>0</v>
      </c>
      <c r="J630" s="43" t="n">
        <v>0</v>
      </c>
      <c r="K630" s="43" t="n">
        <v>0</v>
      </c>
      <c r="L630" s="43" t="n">
        <v>264.047</v>
      </c>
      <c r="M630" s="43" t="n">
        <v>40330.599</v>
      </c>
      <c r="N630" s="43" t="n">
        <v>0</v>
      </c>
      <c r="O630" s="43" t="n">
        <v>0</v>
      </c>
      <c r="P630" s="43" t="n">
        <v>0</v>
      </c>
      <c r="Q630" s="43" t="n">
        <v>0</v>
      </c>
      <c r="R630" s="43" t="n">
        <v>21496.071</v>
      </c>
      <c r="S630" s="43" t="n">
        <v>274834.948</v>
      </c>
      <c r="T630" s="43" t="n">
        <v>40760.758</v>
      </c>
      <c r="U630" s="43" t="n">
        <v>21496.071</v>
      </c>
      <c r="V630" s="43" t="n"/>
      <c r="W630" s="43" t="n"/>
      <c r="X630" s="43" t="n"/>
      <c r="Y630" s="43" t="n"/>
      <c r="Z630" s="43" t="n"/>
      <c r="AA630" s="43" t="n"/>
      <c r="AB630" s="43" t="n">
        <v>100</v>
      </c>
    </row>
    <row r="631" ht="14" customHeight="1">
      <c r="A631" s="21" t="n">
        <v>2022</v>
      </c>
      <c r="B631" s="44">
        <f>IF((A631&gt;=2022),ROUND((((Z631*((V631+W631)+X631))/Y631)/AA631),2),(C631*AB631))</f>
        <v/>
      </c>
      <c r="C631" s="45">
        <f>(((((((((((((((D631+E631)+F631)+G631)+H631)+I631)+J631)+K631)+L631)+M631)+N631)+O631)+P631)+Q631)+R631)/((S631+T631)+U631))</f>
        <v/>
      </c>
      <c r="D631" s="45" t="n"/>
      <c r="E631" s="45" t="n"/>
      <c r="F631" s="45" t="n"/>
      <c r="G631" s="45" t="n"/>
      <c r="H631" s="45" t="n"/>
      <c r="I631" s="45" t="n"/>
      <c r="J631" s="45" t="n"/>
      <c r="K631" s="45" t="n"/>
      <c r="L631" s="45" t="n"/>
      <c r="M631" s="45" t="n"/>
      <c r="N631" s="45" t="n"/>
      <c r="O631" s="45" t="n"/>
      <c r="P631" s="45" t="n"/>
      <c r="Q631" s="45" t="n"/>
      <c r="R631" s="45" t="n"/>
      <c r="S631" s="45" t="n"/>
      <c r="T631" s="45" t="n"/>
      <c r="U631" s="45" t="n"/>
      <c r="V631" s="45" t="n">
        <v>2963833.369</v>
      </c>
      <c r="W631" s="45" t="n">
        <v>38675.108</v>
      </c>
      <c r="X631" s="45" t="n">
        <v>5.322</v>
      </c>
      <c r="Y631" s="45" t="n">
        <v>3262504.29</v>
      </c>
      <c r="Z631" s="45" t="n">
        <v>93.44</v>
      </c>
      <c r="AA631" s="45" t="n">
        <v>0.920608</v>
      </c>
      <c r="AB631" s="45" t="n">
        <v>100</v>
      </c>
    </row>
    <row r="632" ht="14" customHeight="1">
      <c r="A632" s="15" t="n">
        <v>2023</v>
      </c>
      <c r="B632" s="42">
        <f>IF((A632&gt;=2022),ROUND((((Z632*((V632+W632)+X632))/Y632)/AA632),2),(C632*AB632))</f>
        <v/>
      </c>
      <c r="C632" s="43">
        <f>(((((((((((((((D632+E632)+F632)+G632)+H632)+I632)+J632)+K632)+L632)+M632)+N632)+O632)+P632)+Q632)+R632)/((S632+T632)+U632))</f>
        <v/>
      </c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  <c r="S632" s="43" t="n"/>
      <c r="T632" s="43" t="n"/>
      <c r="U632" s="43" t="n"/>
      <c r="V632" s="43" t="n">
        <v>2942574.626</v>
      </c>
      <c r="W632" s="43" t="n">
        <v>37106.605</v>
      </c>
      <c r="X632" s="43" t="n">
        <v>4.452</v>
      </c>
      <c r="Y632" s="43" t="n">
        <v>3254970.995</v>
      </c>
      <c r="Z632" s="43" t="n">
        <v>93.44</v>
      </c>
      <c r="AA632" s="43" t="n">
        <v>0.920608</v>
      </c>
      <c r="AB632" s="43" t="n">
        <v>100</v>
      </c>
    </row>
    <row r="633" ht="14" customHeight="1">
      <c r="A633" s="21" t="n">
        <v>2024</v>
      </c>
      <c r="B633" s="44">
        <f>IF((A633&gt;=2022),ROUND((((Z633*((V633+W633)+X633))/Y633)/AA633),2),(C633*AB633))</f>
        <v/>
      </c>
      <c r="C633" s="45">
        <f>(((((((((((((((D633+E633)+F633)+G633)+H633)+I633)+J633)+K633)+L633)+M633)+N633)+O633)+P633)+Q633)+R633)/((S633+T633)+U633))</f>
        <v/>
      </c>
      <c r="D633" s="45" t="n"/>
      <c r="E633" s="45" t="n"/>
      <c r="F633" s="45" t="n"/>
      <c r="G633" s="45" t="n"/>
      <c r="H633" s="45" t="n"/>
      <c r="I633" s="45" t="n"/>
      <c r="J633" s="45" t="n"/>
      <c r="K633" s="45" t="n"/>
      <c r="L633" s="45" t="n"/>
      <c r="M633" s="45" t="n"/>
      <c r="N633" s="45" t="n"/>
      <c r="O633" s="45" t="n"/>
      <c r="P633" s="45" t="n"/>
      <c r="Q633" s="45" t="n"/>
      <c r="R633" s="45" t="n"/>
      <c r="S633" s="45" t="n"/>
      <c r="T633" s="45" t="n"/>
      <c r="U633" s="45" t="n"/>
      <c r="V633" s="45" t="n">
        <v>2991857.74</v>
      </c>
      <c r="W633" s="45" t="n">
        <v>37201.655</v>
      </c>
      <c r="X633" s="45" t="n">
        <v>5.083</v>
      </c>
      <c r="Y633" s="45" t="n">
        <v>3299731.965</v>
      </c>
      <c r="Z633" s="45" t="n">
        <v>93.44</v>
      </c>
      <c r="AA633" s="45" t="n">
        <v>0.920608</v>
      </c>
      <c r="AB633" s="45" t="n">
        <v>100</v>
      </c>
    </row>
    <row r="636">
      <c r="A636" s="50" t="inlineStr">
        <is>
          <t>B1 · Residential + tertiary building GHG emissions  (Mt CO₂eq)</t>
        </is>
      </c>
    </row>
    <row r="637" ht="24" customHeight="1">
      <c r="A637" s="3" t="inlineStr">
        <is>
          <t>Derivation:  Value = IF(A &gt;= 2022, IF(A &gt;= 2023, ROUND([env_air_gge CRF1A4], 1), [Report figure — row missing from the seeded grid]), [Residential (CRF 1.A.4.b)]+[Tertiary (CRF 1.A.4.a)]+[Agriculture &amp; fisheries energy (CRF 1.A.4.c)])</t>
        </is>
      </c>
    </row>
    <row r="638" ht="42" customHeight="1">
      <c r="A638" s="41" t="inlineStr">
        <is>
          <t>Year</t>
        </is>
      </c>
      <c r="B638" s="41" t="inlineStr">
        <is>
          <t>Value</t>
        </is>
      </c>
      <c r="C638" s="41" t="inlineStr">
        <is>
          <t>Residential (CRF 1.A.4.b)</t>
        </is>
      </c>
      <c r="D638" s="41" t="inlineStr">
        <is>
          <t>Tertiary (CRF 1.A.4.a)</t>
        </is>
      </c>
      <c r="E638" s="41" t="inlineStr">
        <is>
          <t>Agriculture &amp; fisheries energy (CRF 1.A.4.c)</t>
        </is>
      </c>
      <c r="F638" s="41" t="inlineStr">
        <is>
          <t>Report figure — row missing from the seeded grid</t>
        </is>
      </c>
      <c r="G638" s="41" t="inlineStr">
        <is>
          <t>env_air_gge CRF1A4</t>
        </is>
      </c>
    </row>
    <row r="639" ht="14" customHeight="1">
      <c r="A639" s="15" t="n">
        <v>2005</v>
      </c>
      <c r="B639" s="42">
        <f>IF((A639&gt;=2022),IF((A639&gt;=2023),ROUND(G639,1),F639),((C639+D639)+E639))</f>
        <v/>
      </c>
      <c r="C639" s="43" t="n">
        <v>426.8048486219644</v>
      </c>
      <c r="D639" s="43" t="n">
        <v>154.3626039143487</v>
      </c>
      <c r="E639" s="43" t="n">
        <v>83.87178846132228</v>
      </c>
      <c r="F639" s="43" t="n"/>
      <c r="G639" s="43" t="n"/>
    </row>
    <row r="640" ht="14" customHeight="1">
      <c r="A640" s="21" t="n">
        <v>2006</v>
      </c>
      <c r="B640" s="44">
        <f>IF((A640&gt;=2022),IF((A640&gt;=2023),ROUND(G640,1),F640),((C640+D640)+E640))</f>
        <v/>
      </c>
      <c r="C640" s="45" t="n">
        <v>420.478847350464</v>
      </c>
      <c r="D640" s="45" t="n">
        <v>162.0164488697727</v>
      </c>
      <c r="E640" s="45" t="n">
        <v>80.95253645933205</v>
      </c>
      <c r="F640" s="45" t="n"/>
      <c r="G640" s="45" t="n"/>
    </row>
    <row r="641" ht="14" customHeight="1">
      <c r="A641" s="15" t="n">
        <v>2007</v>
      </c>
      <c r="B641" s="42">
        <f>IF((A641&gt;=2022),IF((A641&gt;=2023),ROUND(G641,1),F641),((C641+D641)+E641))</f>
        <v/>
      </c>
      <c r="C641" s="43" t="n">
        <v>368.5614683549124</v>
      </c>
      <c r="D641" s="43" t="n">
        <v>142.7845651177743</v>
      </c>
      <c r="E641" s="43" t="n">
        <v>78.14862778170493</v>
      </c>
      <c r="F641" s="43" t="n"/>
      <c r="G641" s="43" t="n"/>
    </row>
    <row r="642" ht="14" customHeight="1">
      <c r="A642" s="21" t="n">
        <v>2008</v>
      </c>
      <c r="B642" s="44">
        <f>IF((A642&gt;=2022),IF((A642&gt;=2023),ROUND(G642,1),F642),((C642+D642)+E642))</f>
        <v/>
      </c>
      <c r="C642" s="45" t="n">
        <v>399.005212707691</v>
      </c>
      <c r="D642" s="45" t="n">
        <v>157.0020964387047</v>
      </c>
      <c r="E642" s="45" t="n">
        <v>79.06271212250992</v>
      </c>
      <c r="F642" s="45" t="n"/>
      <c r="G642" s="45" t="n"/>
    </row>
    <row r="643" ht="14" customHeight="1">
      <c r="A643" s="15" t="n">
        <v>2009</v>
      </c>
      <c r="B643" s="42">
        <f>IF((A643&gt;=2022),IF((A643&gt;=2023),ROUND(G643,1),F643),((C643+D643)+E643))</f>
        <v/>
      </c>
      <c r="C643" s="43" t="n">
        <v>389.5100356724113</v>
      </c>
      <c r="D643" s="43" t="n">
        <v>154.306085680938</v>
      </c>
      <c r="E643" s="43" t="n">
        <v>77.57093120676474</v>
      </c>
      <c r="F643" s="43" t="n"/>
      <c r="G643" s="43" t="n"/>
    </row>
    <row r="644" ht="14" customHeight="1">
      <c r="A644" s="21" t="n">
        <v>2010</v>
      </c>
      <c r="B644" s="44">
        <f>IF((A644&gt;=2022),IF((A644&gt;=2023),ROUND(G644,1),F644),((C644+D644)+E644))</f>
        <v/>
      </c>
      <c r="C644" s="45" t="n">
        <v>412.9524927561005</v>
      </c>
      <c r="D644" s="45" t="n">
        <v>163.297379133882</v>
      </c>
      <c r="E644" s="45" t="n">
        <v>79.84155483279135</v>
      </c>
      <c r="F644" s="45" t="n"/>
      <c r="G644" s="45" t="n"/>
    </row>
    <row r="645" ht="14" customHeight="1">
      <c r="A645" s="15" t="n">
        <v>2011</v>
      </c>
      <c r="B645" s="42">
        <f>IF((A645&gt;=2022),IF((A645&gt;=2023),ROUND(G645,1),F645),((C645+D645)+E645))</f>
        <v/>
      </c>
      <c r="C645" s="43" t="n">
        <v>362.0069820055989</v>
      </c>
      <c r="D645" s="43" t="n">
        <v>140.5700923362301</v>
      </c>
      <c r="E645" s="43" t="n">
        <v>78.9140848169699</v>
      </c>
      <c r="F645" s="43" t="n"/>
      <c r="G645" s="43" t="n"/>
    </row>
    <row r="646" ht="14" customHeight="1">
      <c r="A646" s="21" t="n">
        <v>2012</v>
      </c>
      <c r="B646" s="44">
        <f>IF((A646&gt;=2022),IF((A646&gt;=2023),ROUND(G646,1),F646),((C646+D646)+E646))</f>
        <v/>
      </c>
      <c r="C646" s="45" t="n">
        <v>372.5484894975496</v>
      </c>
      <c r="D646" s="45" t="n">
        <v>140.7154890030444</v>
      </c>
      <c r="E646" s="45" t="n">
        <v>76.30698392996658</v>
      </c>
      <c r="F646" s="45" t="n"/>
      <c r="G646" s="45" t="n"/>
    </row>
    <row r="647" ht="14" customHeight="1">
      <c r="A647" s="15" t="n">
        <v>2013</v>
      </c>
      <c r="B647" s="42">
        <f>IF((A647&gt;=2022),IF((A647&gt;=2023),ROUND(G647,1),F647),((C647+D647)+E647))</f>
        <v/>
      </c>
      <c r="C647" s="43" t="n">
        <v>375.1238761026113</v>
      </c>
      <c r="D647" s="43" t="n">
        <v>142.4791693585502</v>
      </c>
      <c r="E647" s="43" t="n">
        <v>76.29550240602613</v>
      </c>
      <c r="F647" s="43" t="n"/>
      <c r="G647" s="43" t="n"/>
    </row>
    <row r="648" ht="14" customHeight="1">
      <c r="A648" s="21" t="n">
        <v>2014</v>
      </c>
      <c r="B648" s="44">
        <f>IF((A648&gt;=2022),IF((A648&gt;=2023),ROUND(G648,1),F648),((C648+D648)+E648))</f>
        <v/>
      </c>
      <c r="C648" s="45" t="n">
        <v>316.9145959151957</v>
      </c>
      <c r="D648" s="45" t="n">
        <v>124.8706464175849</v>
      </c>
      <c r="E648" s="45" t="n">
        <v>75.98940582739368</v>
      </c>
      <c r="F648" s="45" t="n"/>
      <c r="G648" s="45" t="n"/>
    </row>
    <row r="649" ht="14" customHeight="1">
      <c r="A649" s="15" t="n">
        <v>2015</v>
      </c>
      <c r="B649" s="42">
        <f>IF((A649&gt;=2022),IF((A649&gt;=2023),ROUND(G649,1),F649),((C649+D649)+E649))</f>
        <v/>
      </c>
      <c r="C649" s="43" t="n">
        <v>335.1602553423199</v>
      </c>
      <c r="D649" s="43" t="n">
        <v>130.4853067684094</v>
      </c>
      <c r="E649" s="43" t="n">
        <v>75.35525698160882</v>
      </c>
      <c r="F649" s="43" t="n"/>
      <c r="G649" s="43" t="n"/>
    </row>
    <row r="650" ht="14" customHeight="1">
      <c r="A650" s="21" t="n">
        <v>2016</v>
      </c>
      <c r="B650" s="44">
        <f>IF((A650&gt;=2022),IF((A650&gt;=2023),ROUND(G650,1),F650),((C650+D650)+E650))</f>
        <v/>
      </c>
      <c r="C650" s="45" t="n">
        <v>341.3184800347113</v>
      </c>
      <c r="D650" s="45" t="n">
        <v>130.8935711253598</v>
      </c>
      <c r="E650" s="45" t="n">
        <v>75.52257029529639</v>
      </c>
      <c r="F650" s="45" t="n"/>
      <c r="G650" s="45" t="n"/>
    </row>
    <row r="651" ht="14" customHeight="1">
      <c r="A651" s="15" t="n">
        <v>2017</v>
      </c>
      <c r="B651" s="42">
        <f>IF((A651&gt;=2022),IF((A651&gt;=2023),ROUND(G651,1),F651),((C651+D651)+E651))</f>
        <v/>
      </c>
      <c r="C651" s="43" t="n">
        <v>338.5408877789356</v>
      </c>
      <c r="D651" s="43" t="n">
        <v>131.2843559092179</v>
      </c>
      <c r="E651" s="43" t="n">
        <v>75.90306578790768</v>
      </c>
      <c r="F651" s="43" t="n"/>
      <c r="G651" s="43" t="n"/>
    </row>
    <row r="652" ht="14" customHeight="1">
      <c r="A652" s="21" t="n">
        <v>2018</v>
      </c>
      <c r="B652" s="44">
        <f>IF((A652&gt;=2022),IF((A652&gt;=2023),ROUND(G652,1),F652),((C652+D652)+E652))</f>
        <v/>
      </c>
      <c r="C652" s="45" t="n">
        <v>328.3919622628258</v>
      </c>
      <c r="D652" s="45" t="n">
        <v>127.5894355856332</v>
      </c>
      <c r="E652" s="45" t="n">
        <v>76.95089786571549</v>
      </c>
      <c r="F652" s="45" t="n"/>
      <c r="G652" s="45" t="n"/>
    </row>
    <row r="653" ht="14" customHeight="1">
      <c r="A653" s="15" t="n">
        <v>2019</v>
      </c>
      <c r="B653" s="42">
        <f>IF((A653&gt;=2022),IF((A653&gt;=2023),ROUND(G653,1),F653),((C653+D653)+E653))</f>
        <v/>
      </c>
      <c r="C653" s="43" t="n">
        <v>321.1751820670957</v>
      </c>
      <c r="D653" s="43" t="n">
        <v>125.150353485651</v>
      </c>
      <c r="E653" s="43" t="n">
        <v>76.49754268952675</v>
      </c>
      <c r="F653" s="43" t="n"/>
      <c r="G653" s="43" t="n"/>
    </row>
    <row r="654" ht="14" customHeight="1">
      <c r="A654" s="21" t="n">
        <v>2020</v>
      </c>
      <c r="B654" s="44">
        <f>IF((A654&gt;=2022),IF((A654&gt;=2023),ROUND(G654,1),F654),((C654+D654)+E654))</f>
        <v/>
      </c>
      <c r="C654" s="45" t="n">
        <v>319.384213034966</v>
      </c>
      <c r="D654" s="45" t="n">
        <v>122.105883957125</v>
      </c>
      <c r="E654" s="45" t="n">
        <v>78.223576624157</v>
      </c>
      <c r="F654" s="45" t="n"/>
      <c r="G654" s="45" t="n"/>
    </row>
    <row r="655" ht="14" customHeight="1">
      <c r="A655" s="15" t="n">
        <v>2021</v>
      </c>
      <c r="B655" s="42">
        <f>IF((A655&gt;=2022),IF((A655&gt;=2023),ROUND(G655,1),F655),((C655+D655)+E655))</f>
        <v/>
      </c>
      <c r="C655" s="43" t="n">
        <v>324.7367614058028</v>
      </c>
      <c r="D655" s="43" t="n">
        <v>129.9027976967366</v>
      </c>
      <c r="E655" s="43" t="n">
        <v>77.89432799013916</v>
      </c>
      <c r="F655" s="43" t="n"/>
      <c r="G655" s="43" t="n"/>
    </row>
    <row r="656" ht="14" customHeight="1">
      <c r="A656" s="21" t="n">
        <v>2022</v>
      </c>
      <c r="B656" s="44">
        <f>IF((A656&gt;=2022),IF((A656&gt;=2023),ROUND(G656,1),F656),((C656+D656)+E656))</f>
        <v/>
      </c>
      <c r="C656" s="45" t="n"/>
      <c r="D656" s="45" t="n"/>
      <c r="E656" s="45" t="n"/>
      <c r="F656" s="45" t="n">
        <v>481.8</v>
      </c>
      <c r="G656" s="45" t="n"/>
    </row>
    <row r="657" ht="14" customHeight="1">
      <c r="A657" s="15" t="n">
        <v>2023</v>
      </c>
      <c r="B657" s="42">
        <f>IF((A657&gt;=2022),IF((A657&gt;=2023),ROUND(G657,1),F657),((C657+D657)+E657))</f>
        <v/>
      </c>
      <c r="C657" s="43" t="n"/>
      <c r="D657" s="43" t="n"/>
      <c r="E657" s="43" t="n"/>
      <c r="F657" s="43" t="n"/>
      <c r="G657" s="43" t="n">
        <v>437.33717</v>
      </c>
    </row>
    <row r="658" ht="14" customHeight="1">
      <c r="A658" s="21" t="n">
        <v>2024</v>
      </c>
      <c r="B658" s="44">
        <f>IF((A658&gt;=2022),IF((A658&gt;=2023),ROUND(G658,1),F658),((C658+D658)+E658))</f>
        <v/>
      </c>
      <c r="C658" s="45" t="n"/>
      <c r="D658" s="45" t="n"/>
      <c r="E658" s="45" t="n"/>
      <c r="F658" s="45" t="n"/>
      <c r="G658" s="45" t="n">
        <v>430.706</v>
      </c>
    </row>
    <row r="661">
      <c r="A661" s="50" t="inlineStr">
        <is>
          <t>B2 · Final energy consumption in buildings  (TWh)</t>
        </is>
      </c>
    </row>
    <row r="662" ht="24" customHeight="1">
      <c r="A662" s="3" t="inlineStr">
        <is>
          <t>Derivation:  Value = IF(A &gt;= 2022, [Post-report figure as published], ([Residential households (TJ)]+[Tertiary commercial &amp; public services (TJ)]+[Agriculture &amp; forestry (TJ)]) * [TJ → TWh (EJ2TWh/1e6)])</t>
        </is>
      </c>
    </row>
    <row r="663" ht="42" customHeight="1">
      <c r="A663" s="41" t="inlineStr">
        <is>
          <t>Year</t>
        </is>
      </c>
      <c r="B663" s="41" t="inlineStr">
        <is>
          <t>Value</t>
        </is>
      </c>
      <c r="C663" s="41" t="inlineStr">
        <is>
          <t>Tertiary commercial &amp; public services (TJ)</t>
        </is>
      </c>
      <c r="D663" s="41" t="inlineStr">
        <is>
          <t>Residential households (TJ)</t>
        </is>
      </c>
      <c r="E663" s="41" t="inlineStr">
        <is>
          <t>Agriculture &amp; forestry (TJ)</t>
        </is>
      </c>
      <c r="F663" s="41" t="inlineStr">
        <is>
          <t>TJ → TWh (EJ2TWh/1e6)</t>
        </is>
      </c>
      <c r="G663" s="41" t="inlineStr">
        <is>
          <t>Post-report figure as published</t>
        </is>
      </c>
    </row>
    <row r="664" ht="14" customHeight="1">
      <c r="A664" s="15" t="n">
        <v>2005</v>
      </c>
      <c r="B664" s="42">
        <f>IF((A664&gt;=2022),G664,(((D664+C664)+E664)*F664))</f>
        <v/>
      </c>
      <c r="C664" s="43" t="n">
        <v>5358277.234</v>
      </c>
      <c r="D664" s="43" t="n">
        <v>11150492.886</v>
      </c>
      <c r="E664" s="43" t="n">
        <v>1129993.538</v>
      </c>
      <c r="F664" s="43" t="n">
        <v>0.00027778</v>
      </c>
      <c r="G664" s="43" t="n"/>
    </row>
    <row r="665" ht="14" customHeight="1">
      <c r="A665" s="21" t="n">
        <v>2006</v>
      </c>
      <c r="B665" s="44">
        <f>IF((A665&gt;=2022),G665,(((D665+C665)+E665)*F665))</f>
        <v/>
      </c>
      <c r="C665" s="45" t="n">
        <v>5568843.689</v>
      </c>
      <c r="D665" s="45" t="n">
        <v>11111542.839</v>
      </c>
      <c r="E665" s="45" t="n">
        <v>1061267.68</v>
      </c>
      <c r="F665" s="45" t="n">
        <v>0.00027778</v>
      </c>
      <c r="G665" s="45" t="n"/>
    </row>
    <row r="666" ht="14" customHeight="1">
      <c r="A666" s="15" t="n">
        <v>2007</v>
      </c>
      <c r="B666" s="42">
        <f>IF((A666&gt;=2022),G666,(((D666+C666)+E666)*F666))</f>
        <v/>
      </c>
      <c r="C666" s="43" t="n">
        <v>5287873.17</v>
      </c>
      <c r="D666" s="43" t="n">
        <v>10435067.658</v>
      </c>
      <c r="E666" s="43" t="n">
        <v>1040200.112</v>
      </c>
      <c r="F666" s="43" t="n">
        <v>0.00027778</v>
      </c>
      <c r="G666" s="43" t="n"/>
    </row>
    <row r="667" ht="14" customHeight="1">
      <c r="A667" s="21" t="n">
        <v>2008</v>
      </c>
      <c r="B667" s="44">
        <f>IF((A667&gt;=2022),G667,(((D667+C667)+E667)*F667))</f>
        <v/>
      </c>
      <c r="C667" s="45" t="n">
        <v>5617879.957</v>
      </c>
      <c r="D667" s="45" t="n">
        <v>11064263.457</v>
      </c>
      <c r="E667" s="45" t="n">
        <v>1034996.489</v>
      </c>
      <c r="F667" s="45" t="n">
        <v>0.00027778</v>
      </c>
      <c r="G667" s="45" t="n"/>
    </row>
    <row r="668" ht="14" customHeight="1">
      <c r="A668" s="15" t="n">
        <v>2009</v>
      </c>
      <c r="B668" s="42">
        <f>IF((A668&gt;=2022),G668,(((D668+C668)+E668)*F668))</f>
        <v/>
      </c>
      <c r="C668" s="43" t="n">
        <v>5624745.467</v>
      </c>
      <c r="D668" s="43" t="n">
        <v>10985678.508</v>
      </c>
      <c r="E668" s="43" t="n">
        <v>1009232.24</v>
      </c>
      <c r="F668" s="43" t="n">
        <v>0.00027778</v>
      </c>
      <c r="G668" s="43" t="n"/>
    </row>
    <row r="669" ht="14" customHeight="1">
      <c r="A669" s="21" t="n">
        <v>2010</v>
      </c>
      <c r="B669" s="44">
        <f>IF((A669&gt;=2022),G669,(((D669+C669)+E669)*F669))</f>
        <v/>
      </c>
      <c r="C669" s="45" t="n">
        <v>5860782.63</v>
      </c>
      <c r="D669" s="45" t="n">
        <v>11678549.973</v>
      </c>
      <c r="E669" s="45" t="n">
        <v>1067822.521</v>
      </c>
      <c r="F669" s="45" t="n">
        <v>0.00027778</v>
      </c>
      <c r="G669" s="45" t="n"/>
    </row>
    <row r="670" ht="14" customHeight="1">
      <c r="A670" s="15" t="n">
        <v>2011</v>
      </c>
      <c r="B670" s="42">
        <f>IF((A670&gt;=2022),G670,(((D670+C670)+E670)*F670))</f>
        <v/>
      </c>
      <c r="C670" s="43" t="n">
        <v>5371888.051</v>
      </c>
      <c r="D670" s="43" t="n">
        <v>10546610.545</v>
      </c>
      <c r="E670" s="43" t="n">
        <v>1044721.374</v>
      </c>
      <c r="F670" s="43" t="n">
        <v>0.00027778</v>
      </c>
      <c r="G670" s="43" t="n"/>
    </row>
    <row r="671" ht="14" customHeight="1">
      <c r="A671" s="21" t="n">
        <v>2012</v>
      </c>
      <c r="B671" s="44">
        <f>IF((A671&gt;=2022),G671,(((D671+C671)+E671)*F671))</f>
        <v/>
      </c>
      <c r="C671" s="45" t="n">
        <v>5490871.928</v>
      </c>
      <c r="D671" s="45" t="n">
        <v>11012084.043</v>
      </c>
      <c r="E671" s="45" t="n">
        <v>1033812.946</v>
      </c>
      <c r="F671" s="45" t="n">
        <v>0.00027778</v>
      </c>
      <c r="G671" s="45" t="n"/>
    </row>
    <row r="672" ht="14" customHeight="1">
      <c r="A672" s="15" t="n">
        <v>2013</v>
      </c>
      <c r="B672" s="42">
        <f>IF((A672&gt;=2022),G672,(((D672+C672)+E672)*F672))</f>
        <v/>
      </c>
      <c r="C672" s="43" t="n">
        <v>5556912.212</v>
      </c>
      <c r="D672" s="43" t="n">
        <v>11141041.576</v>
      </c>
      <c r="E672" s="43" t="n">
        <v>1049292.596</v>
      </c>
      <c r="F672" s="43" t="n">
        <v>0.00027778</v>
      </c>
      <c r="G672" s="43" t="n"/>
    </row>
    <row r="673" ht="14" customHeight="1">
      <c r="A673" s="21" t="n">
        <v>2014</v>
      </c>
      <c r="B673" s="44">
        <f>IF((A673&gt;=2022),G673,(((D673+C673)+E673)*F673))</f>
        <v/>
      </c>
      <c r="C673" s="45" t="n">
        <v>5167985.017</v>
      </c>
      <c r="D673" s="45" t="n">
        <v>9824051.512</v>
      </c>
      <c r="E673" s="45" t="n">
        <v>1026576.209</v>
      </c>
      <c r="F673" s="45" t="n">
        <v>0.00027778</v>
      </c>
      <c r="G673" s="45" t="n"/>
    </row>
    <row r="674" ht="14" customHeight="1">
      <c r="A674" s="15" t="n">
        <v>2015</v>
      </c>
      <c r="B674" s="42">
        <f>IF((A674&gt;=2022),G674,(((D674+C674)+E674)*F674))</f>
        <v/>
      </c>
      <c r="C674" s="43" t="n">
        <v>5380841.638</v>
      </c>
      <c r="D674" s="43" t="n">
        <v>10259138.645</v>
      </c>
      <c r="E674" s="43" t="n">
        <v>1027088.119</v>
      </c>
      <c r="F674" s="43" t="n">
        <v>0.00027778</v>
      </c>
      <c r="G674" s="43" t="n"/>
    </row>
    <row r="675" ht="14" customHeight="1">
      <c r="A675" s="21" t="n">
        <v>2016</v>
      </c>
      <c r="B675" s="44">
        <f>IF((A675&gt;=2022),G675,(((D675+C675)+E675)*F675))</f>
        <v/>
      </c>
      <c r="C675" s="45" t="n">
        <v>5450012.051</v>
      </c>
      <c r="D675" s="45" t="n">
        <v>10503570.81</v>
      </c>
      <c r="E675" s="45" t="n">
        <v>1045031.442</v>
      </c>
      <c r="F675" s="45" t="n">
        <v>0.00027778</v>
      </c>
      <c r="G675" s="45" t="n"/>
    </row>
    <row r="676" ht="14" customHeight="1">
      <c r="A676" s="15" t="n">
        <v>2017</v>
      </c>
      <c r="B676" s="42">
        <f>IF((A676&gt;=2022),G676,(((D676+C676)+E676)*F676))</f>
        <v/>
      </c>
      <c r="C676" s="43" t="n">
        <v>5605356.875</v>
      </c>
      <c r="D676" s="43" t="n">
        <v>10538533.582</v>
      </c>
      <c r="E676" s="43" t="n">
        <v>1057853.894</v>
      </c>
      <c r="F676" s="43" t="n">
        <v>0.00027778</v>
      </c>
      <c r="G676" s="43" t="n"/>
    </row>
    <row r="677" ht="14" customHeight="1">
      <c r="A677" s="21" t="n">
        <v>2018</v>
      </c>
      <c r="B677" s="44">
        <f>IF((A677&gt;=2022),G677,(((D677+C677)+E677)*F677))</f>
        <v/>
      </c>
      <c r="C677" s="45" t="n">
        <v>5512433.223</v>
      </c>
      <c r="D677" s="45" t="n">
        <v>10456263.458</v>
      </c>
      <c r="E677" s="45" t="n">
        <v>1156192.751</v>
      </c>
      <c r="F677" s="45" t="n">
        <v>0.00027778</v>
      </c>
      <c r="G677" s="45" t="n"/>
    </row>
    <row r="678" ht="14" customHeight="1">
      <c r="A678" s="15" t="n">
        <v>2019</v>
      </c>
      <c r="B678" s="42">
        <f>IF((A678&gt;=2022),G678,(((D678+C678)+E678)*F678))</f>
        <v/>
      </c>
      <c r="C678" s="43" t="n">
        <v>5382855.9</v>
      </c>
      <c r="D678" s="43" t="n">
        <v>10390886.484</v>
      </c>
      <c r="E678" s="43" t="n">
        <v>1173620.877</v>
      </c>
      <c r="F678" s="43" t="n">
        <v>0.00027778</v>
      </c>
      <c r="G678" s="43" t="n"/>
    </row>
    <row r="679" ht="14" customHeight="1">
      <c r="A679" s="21" t="n">
        <v>2020</v>
      </c>
      <c r="B679" s="44">
        <f>IF((A679&gt;=2022),G679,(((D679+C679)+E679)*F679))</f>
        <v/>
      </c>
      <c r="C679" s="45" t="n">
        <v>5074802.382</v>
      </c>
      <c r="D679" s="45" t="n">
        <v>10388387.813</v>
      </c>
      <c r="E679" s="45" t="n">
        <v>1189811.129</v>
      </c>
      <c r="F679" s="45" t="n">
        <v>0.00027778</v>
      </c>
      <c r="G679" s="45" t="n"/>
    </row>
    <row r="680" ht="14" customHeight="1">
      <c r="A680" s="15" t="n">
        <v>2021</v>
      </c>
      <c r="B680" s="42">
        <f>IF((A680&gt;=2022),G680,(((D680+C680)+E680)*F680))</f>
        <v/>
      </c>
      <c r="C680" s="43" t="n">
        <v>5416746.214</v>
      </c>
      <c r="D680" s="43" t="n">
        <v>10959828.581</v>
      </c>
      <c r="E680" s="43" t="n">
        <v>1186691.457</v>
      </c>
      <c r="F680" s="43" t="n">
        <v>0.00027778</v>
      </c>
      <c r="G680" s="43" t="n"/>
    </row>
    <row r="681" ht="14" customHeight="1">
      <c r="A681" s="21" t="n">
        <v>2022</v>
      </c>
      <c r="B681" s="44">
        <f>IF((A681&gt;=2022),G681,(((D681+C681)+E681)*F681))</f>
        <v/>
      </c>
      <c r="C681" s="45" t="n"/>
      <c r="D681" s="45" t="n"/>
      <c r="E681" s="45" t="n"/>
      <c r="F681" s="45" t="n"/>
      <c r="G681" s="45" t="n">
        <v>4213.6</v>
      </c>
    </row>
    <row r="682" ht="14" customHeight="1">
      <c r="A682" s="15" t="n">
        <v>2023</v>
      </c>
      <c r="B682" s="42">
        <f>IF((A682&gt;=2022),G682,(((D682+C682)+E682)*F682))</f>
        <v/>
      </c>
      <c r="C682" s="43" t="n"/>
      <c r="D682" s="43" t="n"/>
      <c r="E682" s="43" t="n"/>
      <c r="F682" s="43" t="n"/>
      <c r="G682" s="43" t="n">
        <v>4037.9</v>
      </c>
    </row>
    <row r="685">
      <c r="A685" s="50" t="inlineStr">
        <is>
          <t>B4 (population) · EU population (index, 2005 = 1.0)  (index (2005 = 1.0))</t>
        </is>
      </c>
    </row>
    <row r="686" ht="24" customHeight="1">
      <c r="A686" s="3" t="inlineStr">
        <is>
          <t>Derivation:  Value = IF(A &gt;= 2021, ROUND([Report baseline 2020 (index (2005 = 1.0))] * [demo_gind AVG] / [Live source at 2020 (same basis as the columns left)], 3), [Report figure (2024 report underlying data)])</t>
        </is>
      </c>
    </row>
    <row r="687" ht="42" customHeight="1">
      <c r="A687" s="41" t="inlineStr">
        <is>
          <t>Year</t>
        </is>
      </c>
      <c r="B687" s="41" t="inlineStr">
        <is>
          <t>Value</t>
        </is>
      </c>
      <c r="C687" s="41" t="inlineStr">
        <is>
          <t>Report figure (2024 report underlying data)</t>
        </is>
      </c>
      <c r="D687" s="41" t="inlineStr">
        <is>
          <t>demo_gind AVG</t>
        </is>
      </c>
      <c r="E687" s="41" t="inlineStr">
        <is>
          <t>Report baseline 2020 (index (2005 = 1.0))</t>
        </is>
      </c>
      <c r="F687" s="41" t="inlineStr">
        <is>
          <t>Live source at 2020 (same basis as the columns left)</t>
        </is>
      </c>
    </row>
    <row r="688" ht="14" customHeight="1">
      <c r="A688" s="15" t="n">
        <v>2005</v>
      </c>
      <c r="B688" s="42">
        <f>IF((A688&gt;=2021),ROUND(((E688*D688)/F688),3),C688)</f>
        <v/>
      </c>
      <c r="C688" s="43" t="n">
        <v>1</v>
      </c>
      <c r="D688" s="43" t="n"/>
      <c r="E688" s="43" t="n"/>
      <c r="F688" s="43" t="n"/>
    </row>
    <row r="689" ht="14" customHeight="1">
      <c r="A689" s="21" t="n">
        <v>2006</v>
      </c>
      <c r="B689" s="44">
        <f>IF((A689&gt;=2021),ROUND(((E689*D689)/F689),3),C689)</f>
        <v/>
      </c>
      <c r="C689" s="45" t="n">
        <v>1.003</v>
      </c>
      <c r="D689" s="45" t="n"/>
      <c r="E689" s="45" t="n"/>
      <c r="F689" s="45" t="n"/>
    </row>
    <row r="690" ht="14" customHeight="1">
      <c r="A690" s="15" t="n">
        <v>2007</v>
      </c>
      <c r="B690" s="42">
        <f>IF((A690&gt;=2021),ROUND(((E690*D690)/F690),3),C690)</f>
        <v/>
      </c>
      <c r="C690" s="43" t="n">
        <v>1.007</v>
      </c>
      <c r="D690" s="43" t="n"/>
      <c r="E690" s="43" t="n"/>
      <c r="F690" s="43" t="n"/>
    </row>
    <row r="691" ht="14" customHeight="1">
      <c r="A691" s="21" t="n">
        <v>2008</v>
      </c>
      <c r="B691" s="44">
        <f>IF((A691&gt;=2021),ROUND(((E691*D691)/F691),3),C691)</f>
        <v/>
      </c>
      <c r="C691" s="45" t="n">
        <v>1.01</v>
      </c>
      <c r="D691" s="45" t="n"/>
      <c r="E691" s="45" t="n"/>
      <c r="F691" s="45" t="n"/>
    </row>
    <row r="692" ht="14" customHeight="1">
      <c r="A692" s="15" t="n">
        <v>2009</v>
      </c>
      <c r="B692" s="42">
        <f>IF((A692&gt;=2021),ROUND(((E692*D692)/F692),3),C692)</f>
        <v/>
      </c>
      <c r="C692" s="43" t="n">
        <v>1.012</v>
      </c>
      <c r="D692" s="43" t="n"/>
      <c r="E692" s="43" t="n"/>
      <c r="F692" s="43" t="n"/>
    </row>
    <row r="693" ht="14" customHeight="1">
      <c r="A693" s="21" t="n">
        <v>2010</v>
      </c>
      <c r="B693" s="44">
        <f>IF((A693&gt;=2021),ROUND(((E693*D693)/F693),3),C693)</f>
        <v/>
      </c>
      <c r="C693" s="45" t="n">
        <v>1.014</v>
      </c>
      <c r="D693" s="45" t="n"/>
      <c r="E693" s="45" t="n"/>
      <c r="F693" s="45" t="n"/>
    </row>
    <row r="694" ht="14" customHeight="1">
      <c r="A694" s="15" t="n">
        <v>2011</v>
      </c>
      <c r="B694" s="42">
        <f>IF((A694&gt;=2021),ROUND(((E694*D694)/F694),3),C694)</f>
        <v/>
      </c>
      <c r="C694" s="43" t="n">
        <v>1.012</v>
      </c>
      <c r="D694" s="43" t="n"/>
      <c r="E694" s="43" t="n"/>
      <c r="F694" s="43" t="n"/>
    </row>
    <row r="695" ht="14" customHeight="1">
      <c r="A695" s="21" t="n">
        <v>2012</v>
      </c>
      <c r="B695" s="44">
        <f>IF((A695&gt;=2021),ROUND(((E695*D695)/F695),3),C695)</f>
        <v/>
      </c>
      <c r="C695" s="45" t="n">
        <v>1.013</v>
      </c>
      <c r="D695" s="45" t="n"/>
      <c r="E695" s="45" t="n"/>
      <c r="F695" s="45" t="n"/>
    </row>
    <row r="696" ht="14" customHeight="1">
      <c r="A696" s="15" t="n">
        <v>2013</v>
      </c>
      <c r="B696" s="42">
        <f>IF((A696&gt;=2021),ROUND(((E696*D696)/F696),3),C696)</f>
        <v/>
      </c>
      <c r="C696" s="43" t="n">
        <v>1.016</v>
      </c>
      <c r="D696" s="43" t="n"/>
      <c r="E696" s="43" t="n"/>
      <c r="F696" s="43" t="n"/>
    </row>
    <row r="697" ht="14" customHeight="1">
      <c r="A697" s="21" t="n">
        <v>2014</v>
      </c>
      <c r="B697" s="44">
        <f>IF((A697&gt;=2021),ROUND(((E697*D697)/F697),3),C697)</f>
        <v/>
      </c>
      <c r="C697" s="45" t="n">
        <v>1.019</v>
      </c>
      <c r="D697" s="45" t="n"/>
      <c r="E697" s="45" t="n"/>
      <c r="F697" s="45" t="n"/>
    </row>
    <row r="698" ht="14" customHeight="1">
      <c r="A698" s="15" t="n">
        <v>2015</v>
      </c>
      <c r="B698" s="42">
        <f>IF((A698&gt;=2021),ROUND(((E698*D698)/F698),3),C698)</f>
        <v/>
      </c>
      <c r="C698" s="43" t="n">
        <v>1.021</v>
      </c>
      <c r="D698" s="43" t="n"/>
      <c r="E698" s="43" t="n"/>
      <c r="F698" s="43" t="n"/>
    </row>
    <row r="699" ht="14" customHeight="1">
      <c r="A699" s="21" t="n">
        <v>2016</v>
      </c>
      <c r="B699" s="44">
        <f>IF((A699&gt;=2021),ROUND(((E699*D699)/F699),3),C699)</f>
        <v/>
      </c>
      <c r="C699" s="45" t="n">
        <v>1.023</v>
      </c>
      <c r="D699" s="45" t="n"/>
      <c r="E699" s="45" t="n"/>
      <c r="F699" s="45" t="n"/>
    </row>
    <row r="700" ht="14" customHeight="1">
      <c r="A700" s="15" t="n">
        <v>2017</v>
      </c>
      <c r="B700" s="42">
        <f>IF((A700&gt;=2021),ROUND(((E700*D700)/F700),3),C700)</f>
        <v/>
      </c>
      <c r="C700" s="43" t="n">
        <v>1.025</v>
      </c>
      <c r="D700" s="43" t="n"/>
      <c r="E700" s="43" t="n"/>
      <c r="F700" s="43" t="n"/>
    </row>
    <row r="701" ht="14" customHeight="1">
      <c r="A701" s="21" t="n">
        <v>2018</v>
      </c>
      <c r="B701" s="44">
        <f>IF((A701&gt;=2021),ROUND(((E701*D701)/F701),3),C701)</f>
        <v/>
      </c>
      <c r="C701" s="45" t="n">
        <v>1.027</v>
      </c>
      <c r="D701" s="45" t="n"/>
      <c r="E701" s="45" t="n"/>
      <c r="F701" s="45" t="n"/>
    </row>
    <row r="702" ht="14" customHeight="1">
      <c r="A702" s="15" t="n">
        <v>2019</v>
      </c>
      <c r="B702" s="42">
        <f>IF((A702&gt;=2021),ROUND(((E702*D702)/F702),3),C702)</f>
        <v/>
      </c>
      <c r="C702" s="43" t="n">
        <v>1.027</v>
      </c>
      <c r="D702" s="43" t="n"/>
      <c r="E702" s="43" t="n"/>
      <c r="F702" s="43" t="n"/>
    </row>
    <row r="703" ht="14" customHeight="1">
      <c r="A703" s="21" t="n">
        <v>2020</v>
      </c>
      <c r="B703" s="44">
        <f>IF((A703&gt;=2021),ROUND(((E703*D703)/F703),3),C703)</f>
        <v/>
      </c>
      <c r="C703" s="45" t="n">
        <v>1.028</v>
      </c>
      <c r="D703" s="45" t="n"/>
      <c r="E703" s="45" t="n"/>
      <c r="F703" s="45" t="n"/>
    </row>
    <row r="704" ht="14" customHeight="1">
      <c r="A704" s="15" t="n">
        <v>2021</v>
      </c>
      <c r="B704" s="42">
        <f>IF((A704&gt;=2021),ROUND(((E704*D704)/F704),3),C704)</f>
        <v/>
      </c>
      <c r="C704" s="43" t="n"/>
      <c r="D704" s="43" t="n">
        <v>445883647</v>
      </c>
      <c r="E704" s="43" t="n">
        <v>1.028</v>
      </c>
      <c r="F704" s="43" t="n">
        <v>446437975</v>
      </c>
    </row>
    <row r="705" ht="14" customHeight="1">
      <c r="A705" s="21" t="n">
        <v>2022</v>
      </c>
      <c r="B705" s="44">
        <f>IF((A705&gt;=2021),ROUND(((E705*D705)/F705),3),C705)</f>
        <v/>
      </c>
      <c r="C705" s="45" t="n"/>
      <c r="D705" s="45" t="n">
        <v>446940424</v>
      </c>
      <c r="E705" s="45" t="n">
        <v>1.028</v>
      </c>
      <c r="F705" s="45" t="n">
        <v>446437975</v>
      </c>
    </row>
    <row r="706" ht="14" customHeight="1">
      <c r="A706" s="15" t="n">
        <v>2023</v>
      </c>
      <c r="B706" s="42">
        <f>IF((A706&gt;=2021),ROUND(((E706*D706)/F706),3),C706)</f>
        <v/>
      </c>
      <c r="C706" s="43" t="n"/>
      <c r="D706" s="43" t="n">
        <v>448647774</v>
      </c>
      <c r="E706" s="43" t="n">
        <v>1.028</v>
      </c>
      <c r="F706" s="43" t="n">
        <v>446437975</v>
      </c>
    </row>
    <row r="707" ht="14" customHeight="1">
      <c r="A707" s="21" t="n">
        <v>2024</v>
      </c>
      <c r="B707" s="44">
        <f>IF((A707&gt;=2021),ROUND(((E707*D707)/F707),3),C707)</f>
        <v/>
      </c>
      <c r="C707" s="45" t="n"/>
      <c r="D707" s="45" t="n">
        <v>450068417</v>
      </c>
      <c r="E707" s="45" t="n">
        <v>1.028</v>
      </c>
      <c r="F707" s="45" t="n">
        <v>446437975</v>
      </c>
    </row>
    <row r="708" ht="14" customHeight="1">
      <c r="A708" s="15" t="n">
        <v>2025</v>
      </c>
      <c r="B708" s="42">
        <f>IF((A708&gt;=2021),ROUND(((E708*D708)/F708),3),C708)</f>
        <v/>
      </c>
      <c r="C708" s="43" t="n"/>
      <c r="D708" s="43" t="n">
        <v>451637436</v>
      </c>
      <c r="E708" s="43" t="n">
        <v>1.028</v>
      </c>
      <c r="F708" s="43" t="n">
        <v>446437975</v>
      </c>
    </row>
    <row r="711">
      <c r="A711" s="50" t="inlineStr">
        <is>
          <t>B5a · Fossil share of residential energy mix  (%)</t>
        </is>
      </c>
    </row>
    <row r="712" ht="24" customHeight="1">
      <c r="A712" s="3" t="inlineStr">
        <is>
          <t>Derivation:  Value = IF(A &gt;= 2023, [Post-report figure as published], (([Other fossils (solids, …)]+[Liquid fossils]+[Natural gas])/[Total]) * [fraction → % (× 100)])</t>
        </is>
      </c>
    </row>
    <row r="713" ht="42" customHeight="1">
      <c r="A713" s="41" t="inlineStr">
        <is>
          <t>Year</t>
        </is>
      </c>
      <c r="B713" s="41" t="inlineStr">
        <is>
          <t>Value</t>
        </is>
      </c>
      <c r="C713" s="41" t="inlineStr">
        <is>
          <t>Other fossils (solids, …)</t>
        </is>
      </c>
      <c r="D713" s="41" t="inlineStr">
        <is>
          <t>Liquid fossils</t>
        </is>
      </c>
      <c r="E713" s="41" t="inlineStr">
        <is>
          <t>Natural gas</t>
        </is>
      </c>
      <c r="F713" s="41" t="inlineStr">
        <is>
          <t>Total</t>
        </is>
      </c>
      <c r="G713" s="41" t="inlineStr">
        <is>
          <t>Electricity</t>
        </is>
      </c>
      <c r="H713" s="41" t="inlineStr">
        <is>
          <t>District heating</t>
        </is>
      </c>
      <c r="I713" s="41" t="inlineStr">
        <is>
          <t>Renewables - bio</t>
        </is>
      </c>
      <c r="J713" s="41" t="inlineStr">
        <is>
          <t>Renewables - other</t>
        </is>
      </c>
      <c r="K713" s="41" t="inlineStr">
        <is>
          <t>Post-report figure as published</t>
        </is>
      </c>
      <c r="L713" s="41" t="inlineStr">
        <is>
          <t>fraction → % (× 100)</t>
        </is>
      </c>
    </row>
    <row r="714" ht="14" customHeight="1">
      <c r="A714" s="15" t="n">
        <v>2005</v>
      </c>
      <c r="B714" s="42">
        <f>IF((A714&gt;=2023),K714,((((C714+D714)+E714)/F714)*L714))</f>
        <v/>
      </c>
      <c r="C714" s="43" t="n">
        <v>9237.906000000001</v>
      </c>
      <c r="D714" s="43" t="n">
        <v>52606.552</v>
      </c>
      <c r="E714" s="43" t="n">
        <v>88923.519</v>
      </c>
      <c r="F714" s="43">
        <f>((((((C714+D714)+E714)+G714)+H714)+I714)+J714)</f>
        <v/>
      </c>
      <c r="G714" s="43" t="n">
        <v>57535.929</v>
      </c>
      <c r="H714" s="43" t="n">
        <v>22254.138</v>
      </c>
      <c r="I714" s="43" t="n">
        <v>34654.51499999999</v>
      </c>
      <c r="J714" s="43" t="n">
        <v>1103.851</v>
      </c>
      <c r="K714" s="43" t="n"/>
      <c r="L714" s="43" t="n">
        <v>100</v>
      </c>
    </row>
    <row r="715" ht="14" customHeight="1">
      <c r="A715" s="21" t="n">
        <v>2006</v>
      </c>
      <c r="B715" s="44">
        <f>IF((A715&gt;=2023),K715,((((C715+D715)+E715)/F715)*L715))</f>
        <v/>
      </c>
      <c r="C715" s="45" t="n">
        <v>10214.345</v>
      </c>
      <c r="D715" s="45" t="n">
        <v>50544.129</v>
      </c>
      <c r="E715" s="45" t="n">
        <v>87134.815</v>
      </c>
      <c r="F715" s="45">
        <f>((((((C715+D715)+E715)+G715)+H715)+I715)+J715)</f>
        <v/>
      </c>
      <c r="G715" s="45" t="n">
        <v>58934.424</v>
      </c>
      <c r="H715" s="45" t="n">
        <v>21313.442</v>
      </c>
      <c r="I715" s="45" t="n">
        <v>35862.283</v>
      </c>
      <c r="J715" s="45" t="n">
        <v>1388.608</v>
      </c>
      <c r="K715" s="45" t="n"/>
      <c r="L715" s="45" t="n">
        <v>100</v>
      </c>
    </row>
    <row r="716" ht="14" customHeight="1">
      <c r="A716" s="15" t="n">
        <v>2007</v>
      </c>
      <c r="B716" s="42">
        <f>IF((A716&gt;=2023),K716,((((C716+D716)+E716)/F716)*L716))</f>
        <v/>
      </c>
      <c r="C716" s="43" t="n">
        <v>9163.504999999999</v>
      </c>
      <c r="D716" s="43" t="n">
        <v>39674.239</v>
      </c>
      <c r="E716" s="43" t="n">
        <v>80121.40700000001</v>
      </c>
      <c r="F716" s="43">
        <f>((((((C716+D716)+E716)+G716)+H716)+I716)+J716)</f>
        <v/>
      </c>
      <c r="G716" s="43" t="n">
        <v>58535.992</v>
      </c>
      <c r="H716" s="43" t="n">
        <v>21659.582</v>
      </c>
      <c r="I716" s="43" t="n">
        <v>38347.466</v>
      </c>
      <c r="J716" s="43" t="n">
        <v>1730.66</v>
      </c>
      <c r="K716" s="43" t="n"/>
      <c r="L716" s="43" t="n">
        <v>100</v>
      </c>
    </row>
    <row r="717" ht="14" customHeight="1">
      <c r="A717" s="21" t="n">
        <v>2008</v>
      </c>
      <c r="B717" s="44">
        <f>IF((A717&gt;=2023),K717,((((C717+D717)+E717)/F717)*L717))</f>
        <v/>
      </c>
      <c r="C717" s="45" t="n">
        <v>9724.203</v>
      </c>
      <c r="D717" s="45" t="n">
        <v>45449.054</v>
      </c>
      <c r="E717" s="45" t="n">
        <v>83938.626</v>
      </c>
      <c r="F717" s="45">
        <f>((((((C717+D717)+E717)+G717)+H717)+I717)+J717)</f>
        <v/>
      </c>
      <c r="G717" s="45" t="n">
        <v>59852.566</v>
      </c>
      <c r="H717" s="45" t="n">
        <v>21413.184</v>
      </c>
      <c r="I717" s="45" t="n">
        <v>41687.748</v>
      </c>
      <c r="J717" s="45" t="n">
        <v>2195.509</v>
      </c>
      <c r="K717" s="45" t="n"/>
      <c r="L717" s="45" t="n">
        <v>100</v>
      </c>
    </row>
    <row r="718" ht="14" customHeight="1">
      <c r="A718" s="15" t="n">
        <v>2009</v>
      </c>
      <c r="B718" s="42">
        <f>IF((A718&gt;=2023),K718,((((C718+D718)+E718)/F718)*L718))</f>
        <v/>
      </c>
      <c r="C718" s="43" t="n">
        <v>9878.538999999999</v>
      </c>
      <c r="D718" s="43" t="n">
        <v>41516.874</v>
      </c>
      <c r="E718" s="43" t="n">
        <v>84730.833</v>
      </c>
      <c r="F718" s="43">
        <f>((((((C718+D718)+E718)+G718)+H718)+I718)+J718)</f>
        <v/>
      </c>
      <c r="G718" s="43" t="n">
        <v>60152.637</v>
      </c>
      <c r="H718" s="43" t="n">
        <v>21360.257</v>
      </c>
      <c r="I718" s="43" t="n">
        <v>42011.50599999999</v>
      </c>
      <c r="J718" s="43" t="n">
        <v>2730.558</v>
      </c>
      <c r="K718" s="43" t="n"/>
      <c r="L718" s="43" t="n">
        <v>100</v>
      </c>
    </row>
    <row r="719" ht="14" customHeight="1">
      <c r="A719" s="21" t="n">
        <v>2010</v>
      </c>
      <c r="B719" s="44">
        <f>IF((A719&gt;=2023),K719,((((C719+D719)+E719)/F719)*L719))</f>
        <v/>
      </c>
      <c r="C719" s="45" t="n">
        <v>11416.98</v>
      </c>
      <c r="D719" s="45" t="n">
        <v>41083.057</v>
      </c>
      <c r="E719" s="45" t="n">
        <v>92180.353</v>
      </c>
      <c r="F719" s="45">
        <f>((((((C719+D719)+E719)+G719)+H719)+I719)+J719)</f>
        <v/>
      </c>
      <c r="G719" s="45" t="n">
        <v>62776.295</v>
      </c>
      <c r="H719" s="45" t="n">
        <v>23677.195</v>
      </c>
      <c r="I719" s="45" t="n">
        <v>44508.72300000001</v>
      </c>
      <c r="J719" s="45" t="n">
        <v>3286.879</v>
      </c>
      <c r="K719" s="45" t="n"/>
      <c r="L719" s="45" t="n">
        <v>100</v>
      </c>
    </row>
    <row r="720" ht="14" customHeight="1">
      <c r="A720" s="15" t="n">
        <v>2011</v>
      </c>
      <c r="B720" s="42">
        <f>IF((A720&gt;=2023),K720,((((C720+D720)+E720)/F720)*L720))</f>
        <v/>
      </c>
      <c r="C720" s="43" t="n">
        <v>9900.838000000002</v>
      </c>
      <c r="D720" s="43" t="n">
        <v>36193.663</v>
      </c>
      <c r="E720" s="43" t="n">
        <v>80771.228</v>
      </c>
      <c r="F720" s="43">
        <f>((((((C720+D720)+E720)+G720)+H720)+I720)+J720)</f>
        <v/>
      </c>
      <c r="G720" s="43" t="n">
        <v>60526.228</v>
      </c>
      <c r="H720" s="43" t="n">
        <v>21267.579</v>
      </c>
      <c r="I720" s="43" t="n">
        <v>39968.785</v>
      </c>
      <c r="J720" s="43" t="n">
        <v>3266.111</v>
      </c>
      <c r="K720" s="43" t="n"/>
      <c r="L720" s="43" t="n">
        <v>100</v>
      </c>
    </row>
    <row r="721" ht="14" customHeight="1">
      <c r="A721" s="21" t="n">
        <v>2012</v>
      </c>
      <c r="B721" s="44">
        <f>IF((A721&gt;=2023),K721,((((C721+D721)+E721)/F721)*L721))</f>
        <v/>
      </c>
      <c r="C721" s="45" t="n">
        <v>10161.539</v>
      </c>
      <c r="D721" s="45" t="n">
        <v>35601.929</v>
      </c>
      <c r="E721" s="45" t="n">
        <v>85062.74000000001</v>
      </c>
      <c r="F721" s="45">
        <f>((((((C721+D721)+E721)+G721)+H721)+I721)+J721)</f>
        <v/>
      </c>
      <c r="G721" s="45" t="n">
        <v>61813.091</v>
      </c>
      <c r="H721" s="45" t="n">
        <v>21519.539</v>
      </c>
      <c r="I721" s="45" t="n">
        <v>45132.963</v>
      </c>
      <c r="J721" s="45" t="n">
        <v>3720.348</v>
      </c>
      <c r="K721" s="45" t="n"/>
      <c r="L721" s="45" t="n">
        <v>100</v>
      </c>
    </row>
    <row r="722" ht="14" customHeight="1">
      <c r="A722" s="15" t="n">
        <v>2013</v>
      </c>
      <c r="B722" s="42">
        <f>IF((A722&gt;=2023),K722,((((C722+D722)+E722)/F722)*L722))</f>
        <v/>
      </c>
      <c r="C722" s="43" t="n">
        <v>9821.436</v>
      </c>
      <c r="D722" s="43" t="n">
        <v>35792.314</v>
      </c>
      <c r="E722" s="43" t="n">
        <v>86508.378</v>
      </c>
      <c r="F722" s="43">
        <f>((((((C722+D722)+E722)+G722)+H722)+I722)+J722)</f>
        <v/>
      </c>
      <c r="G722" s="43" t="n">
        <v>61544.727</v>
      </c>
      <c r="H722" s="43" t="n">
        <v>22623.038</v>
      </c>
      <c r="I722" s="43" t="n">
        <v>45665.02499999999</v>
      </c>
      <c r="J722" s="43" t="n">
        <v>4136.387</v>
      </c>
      <c r="K722" s="43" t="n"/>
      <c r="L722" s="43" t="n">
        <v>100</v>
      </c>
    </row>
    <row r="723" ht="14" customHeight="1">
      <c r="A723" s="21" t="n">
        <v>2014</v>
      </c>
      <c r="B723" s="44">
        <f>IF((A723&gt;=2023),K723,((((C723+D723)+E723)/F723)*L723))</f>
        <v/>
      </c>
      <c r="C723" s="45" t="n">
        <v>8804.607</v>
      </c>
      <c r="D723" s="45" t="n">
        <v>31221.26</v>
      </c>
      <c r="E723" s="45" t="n">
        <v>70920.886</v>
      </c>
      <c r="F723" s="45">
        <f>((((((C723+D723)+E723)+G723)+H723)+I723)+J723)</f>
        <v/>
      </c>
      <c r="G723" s="45" t="n">
        <v>58618.234</v>
      </c>
      <c r="H723" s="45" t="n">
        <v>20186.481</v>
      </c>
      <c r="I723" s="45" t="n">
        <v>40391.96399999999</v>
      </c>
      <c r="J723" s="45" t="n">
        <v>4493.715</v>
      </c>
      <c r="K723" s="45" t="n"/>
      <c r="L723" s="45" t="n">
        <v>100</v>
      </c>
    </row>
    <row r="724" ht="14" customHeight="1">
      <c r="A724" s="15" t="n">
        <v>2015</v>
      </c>
      <c r="B724" s="42">
        <f>IF((A724&gt;=2023),K724,((((C724+D724)+E724)/F724)*L724))</f>
        <v/>
      </c>
      <c r="C724" s="43" t="n">
        <v>8701.244999999999</v>
      </c>
      <c r="D724" s="43" t="n">
        <v>32054.46</v>
      </c>
      <c r="E724" s="43" t="n">
        <v>76833.89599999999</v>
      </c>
      <c r="F724" s="43">
        <f>((((((C724+D724)+E724)+G724)+H724)+I724)+J724)</f>
        <v/>
      </c>
      <c r="G724" s="43" t="n">
        <v>59488.019</v>
      </c>
      <c r="H724" s="43" t="n">
        <v>21084.388</v>
      </c>
      <c r="I724" s="43" t="n">
        <v>41850.10600000001</v>
      </c>
      <c r="J724" s="43" t="n">
        <v>5015.878000000001</v>
      </c>
      <c r="K724" s="43" t="n"/>
      <c r="L724" s="43" t="n">
        <v>100</v>
      </c>
    </row>
    <row r="725" ht="14" customHeight="1">
      <c r="A725" s="21" t="n">
        <v>2016</v>
      </c>
      <c r="B725" s="44">
        <f>IF((A725&gt;=2023),K725,((((C725+D725)+E725)/F725)*L725))</f>
        <v/>
      </c>
      <c r="C725" s="45" t="n">
        <v>9006.828</v>
      </c>
      <c r="D725" s="45" t="n">
        <v>30787.212</v>
      </c>
      <c r="E725" s="45" t="n">
        <v>81737.671</v>
      </c>
      <c r="F725" s="45">
        <f>((((((C725+D725)+E725)+G725)+H725)+I725)+J725)</f>
        <v/>
      </c>
      <c r="G725" s="45" t="n">
        <v>60514.434</v>
      </c>
      <c r="H725" s="45" t="n">
        <v>22096.583</v>
      </c>
      <c r="I725" s="45" t="n">
        <v>41199.444</v>
      </c>
      <c r="J725" s="45" t="n">
        <v>5534.556</v>
      </c>
      <c r="K725" s="45" t="n"/>
      <c r="L725" s="45" t="n">
        <v>100</v>
      </c>
    </row>
    <row r="726" ht="14" customHeight="1">
      <c r="A726" s="15" t="n">
        <v>2017</v>
      </c>
      <c r="B726" s="42">
        <f>IF((A726&gt;=2023),K726,((((C726+D726)+E726)/F726)*L726))</f>
        <v/>
      </c>
      <c r="C726" s="43" t="n">
        <v>8917.467000000001</v>
      </c>
      <c r="D726" s="43" t="n">
        <v>30221.252</v>
      </c>
      <c r="E726" s="43" t="n">
        <v>81410.204</v>
      </c>
      <c r="F726" s="43">
        <f>((((((C726+D726)+E726)+G726)+H726)+I726)+J726)</f>
        <v/>
      </c>
      <c r="G726" s="43" t="n">
        <v>60921.992</v>
      </c>
      <c r="H726" s="43" t="n">
        <v>22151.031</v>
      </c>
      <c r="I726" s="43" t="n">
        <v>41537.78</v>
      </c>
      <c r="J726" s="43" t="n">
        <v>6553.349</v>
      </c>
      <c r="K726" s="43" t="n"/>
      <c r="L726" s="43" t="n">
        <v>100</v>
      </c>
    </row>
    <row r="727" ht="14" customHeight="1">
      <c r="A727" s="21" t="n">
        <v>2018</v>
      </c>
      <c r="B727" s="44">
        <f>IF((A727&gt;=2023),K727,((((C727+D727)+E727)/F727)*L727))</f>
        <v/>
      </c>
      <c r="C727" s="45" t="n">
        <v>8344.016</v>
      </c>
      <c r="D727" s="45" t="n">
        <v>28508.875</v>
      </c>
      <c r="E727" s="45" t="n">
        <v>80473.87300000001</v>
      </c>
      <c r="F727" s="45">
        <f>((((((C727+D727)+E727)+G727)+H727)+I727)+J727)</f>
        <v/>
      </c>
      <c r="G727" s="45" t="n">
        <v>60699.591</v>
      </c>
      <c r="H727" s="45" t="n">
        <v>21103.143</v>
      </c>
      <c r="I727" s="45" t="n">
        <v>43508.32</v>
      </c>
      <c r="J727" s="45" t="n">
        <v>7109.3</v>
      </c>
      <c r="K727" s="45" t="n"/>
      <c r="L727" s="45" t="n">
        <v>100</v>
      </c>
    </row>
    <row r="728" ht="14" customHeight="1">
      <c r="A728" s="15" t="n">
        <v>2019</v>
      </c>
      <c r="B728" s="42">
        <f>IF((A728&gt;=2023),K728,((((C728+D728)+E728)/F728)*L728))</f>
        <v/>
      </c>
      <c r="C728" s="43" t="n">
        <v>6776.026</v>
      </c>
      <c r="D728" s="43" t="n">
        <v>29071.42</v>
      </c>
      <c r="E728" s="43" t="n">
        <v>79623.462</v>
      </c>
      <c r="F728" s="43">
        <f>((((((C728+D728)+E728)+G728)+H728)+I728)+J728)</f>
        <v/>
      </c>
      <c r="G728" s="43" t="n">
        <v>60522.618</v>
      </c>
      <c r="H728" s="43" t="n">
        <v>20857.857</v>
      </c>
      <c r="I728" s="43" t="n">
        <v>43573.318</v>
      </c>
      <c r="J728" s="43" t="n">
        <v>7764.447</v>
      </c>
      <c r="K728" s="43" t="n"/>
      <c r="L728" s="43" t="n">
        <v>100</v>
      </c>
    </row>
    <row r="729" ht="14" customHeight="1">
      <c r="A729" s="21" t="n">
        <v>2020</v>
      </c>
      <c r="B729" s="44">
        <f>IF((A729&gt;=2023),K729,((((C729+D729)+E729)/F729)*L729))</f>
        <v/>
      </c>
      <c r="C729" s="45" t="n">
        <v>6925.547</v>
      </c>
      <c r="D729" s="45" t="n">
        <v>30460.023</v>
      </c>
      <c r="E729" s="45" t="n">
        <v>78599.93399999999</v>
      </c>
      <c r="F729" s="45">
        <f>((((((C729+D729)+E729)+G729)+H729)+I729)+J729)</f>
        <v/>
      </c>
      <c r="G729" s="45" t="n">
        <v>61271.582</v>
      </c>
      <c r="H729" s="45" t="n">
        <v>20414.4</v>
      </c>
      <c r="I729" s="45" t="n">
        <v>42105.459</v>
      </c>
      <c r="J729" s="45" t="n">
        <v>8350.866</v>
      </c>
      <c r="K729" s="45" t="n"/>
      <c r="L729" s="45" t="n">
        <v>100</v>
      </c>
    </row>
    <row r="730" ht="14" customHeight="1">
      <c r="A730" s="15" t="n">
        <v>2021</v>
      </c>
      <c r="B730" s="42">
        <f>IF((A730&gt;=2023),K730,((((C730+D730)+E730)/F730)*L730))</f>
        <v/>
      </c>
      <c r="C730" s="43" t="n">
        <v>6630.588</v>
      </c>
      <c r="D730" s="43" t="n">
        <v>24998.342</v>
      </c>
      <c r="E730" s="43" t="n">
        <v>87709.745</v>
      </c>
      <c r="F730" s="43">
        <f>((((((C730+D730)+E730)+G730)+H730)+I730)+J730)</f>
        <v/>
      </c>
      <c r="G730" s="43" t="n">
        <v>64265.362</v>
      </c>
      <c r="H730" s="43" t="n">
        <v>22600.253</v>
      </c>
      <c r="I730" s="43" t="n">
        <v>45777.601</v>
      </c>
      <c r="J730" s="43" t="n">
        <v>9830.799999999999</v>
      </c>
      <c r="K730" s="43" t="n"/>
      <c r="L730" s="43" t="n">
        <v>100</v>
      </c>
    </row>
    <row r="731" ht="14" customHeight="1">
      <c r="A731" s="21" t="n">
        <v>2023</v>
      </c>
      <c r="B731" s="44">
        <f>IF((A731&gt;=2023),K731,((((C731+D731)+E731)/F731)*L731))</f>
        <v/>
      </c>
      <c r="C731" s="45" t="n"/>
      <c r="D731" s="45" t="n"/>
      <c r="E731" s="45" t="n"/>
      <c r="F731" s="45">
        <f>((((((C731+D731)+E731)+G731)+H731)+I731)+J731)</f>
        <v/>
      </c>
      <c r="G731" s="45" t="n"/>
      <c r="H731" s="45" t="n"/>
      <c r="I731" s="45" t="n"/>
      <c r="J731" s="45" t="n"/>
      <c r="K731" s="45" t="n">
        <v>42</v>
      </c>
      <c r="L731" s="45" t="n">
        <v>100</v>
      </c>
    </row>
    <row r="734">
      <c r="A734" s="50" t="inlineStr">
        <is>
          <t>B5b · Fossil share of tertiary energy mix  (%)</t>
        </is>
      </c>
    </row>
    <row r="735" ht="24" customHeight="1">
      <c r="A735" s="3" t="inlineStr">
        <is>
          <t>Derivation:  Value = IF(A &gt;= 2023, [Post-report figure as published], (([Other fossils (solids/liquid) (tertiary, ktoe)]+[Liquid fossils (tertiary, ktoe)]+[Natural gas (tertiary, ktoe)]) / ([Other fossils (solids/liquid) (tertiary, ktoe)]+[Liquid fossils (tertiary, ktoe)]+[Natural gas (tertiary, ktoe)]+[Electricity (tertiary, ktoe)]+[District heating (tertiary, ktoe)]+[Renewables - bio (tertiary, ktoe)]+[Renewables - other (tertiary, ktoe)])) * [fraction → % (× 100)])</t>
        </is>
      </c>
    </row>
    <row r="736" ht="42" customHeight="1">
      <c r="A736" s="41" t="inlineStr">
        <is>
          <t>Year</t>
        </is>
      </c>
      <c r="B736" s="41" t="inlineStr">
        <is>
          <t>Value</t>
        </is>
      </c>
      <c r="C736" s="41" t="inlineStr">
        <is>
          <t>Other fossils (solids/liquid) (tertiary, ktoe)</t>
        </is>
      </c>
      <c r="D736" s="41" t="inlineStr">
        <is>
          <t>Liquid fossils (tertiary, ktoe)</t>
        </is>
      </c>
      <c r="E736" s="41" t="inlineStr">
        <is>
          <t>Natural gas (tertiary, ktoe)</t>
        </is>
      </c>
      <c r="F736" s="41" t="inlineStr">
        <is>
          <t>Electricity (tertiary, ktoe)</t>
        </is>
      </c>
      <c r="G736" s="41" t="inlineStr">
        <is>
          <t>District heating (tertiary, ktoe)</t>
        </is>
      </c>
      <c r="H736" s="41" t="inlineStr">
        <is>
          <t>Renewables - bio (tertiary, ktoe)</t>
        </is>
      </c>
      <c r="I736" s="41" t="inlineStr">
        <is>
          <t>Renewables - other (tertiary, ktoe)</t>
        </is>
      </c>
      <c r="J736" s="41" t="inlineStr">
        <is>
          <t>Post-report figure as published</t>
        </is>
      </c>
      <c r="K736" s="41" t="inlineStr">
        <is>
          <t>fraction → % (× 100)</t>
        </is>
      </c>
    </row>
    <row r="737" ht="14" customHeight="1">
      <c r="A737" s="15" t="n">
        <v>2005</v>
      </c>
      <c r="B737" s="42">
        <f>IF((A737&gt;=2023),J737,((((C737+D737)+E737)/((((((C737+D737)+E737)+F737)+G737)+H737)+I737))*K737))</f>
        <v/>
      </c>
      <c r="C737" s="43" t="n">
        <v>1365.466</v>
      </c>
      <c r="D737" s="43" t="n">
        <v>22059.443</v>
      </c>
      <c r="E737" s="43" t="n">
        <v>36697.19</v>
      </c>
      <c r="F737" s="43" t="n">
        <v>55783.099</v>
      </c>
      <c r="G737" s="43" t="n">
        <v>9443.121999999999</v>
      </c>
      <c r="H737" s="43" t="n">
        <v>2077.313</v>
      </c>
      <c r="I737" s="43" t="n">
        <v>554.9050000000002</v>
      </c>
      <c r="J737" s="43" t="n"/>
      <c r="K737" s="43" t="n">
        <v>100</v>
      </c>
    </row>
    <row r="738" ht="14" customHeight="1">
      <c r="A738" s="21" t="n">
        <v>2006</v>
      </c>
      <c r="B738" s="44">
        <f>IF((A738&gt;=2023),J738,((((C738+D738)+E738)/((((((C738+D738)+E738)+F738)+G738)+H738)+I738))*K738))</f>
        <v/>
      </c>
      <c r="C738" s="45" t="n">
        <v>1615.042</v>
      </c>
      <c r="D738" s="45" t="n">
        <v>21220.915</v>
      </c>
      <c r="E738" s="45" t="n">
        <v>39219.694</v>
      </c>
      <c r="F738" s="45" t="n">
        <v>58875.454</v>
      </c>
      <c r="G738" s="45" t="n">
        <v>9269.039000000001</v>
      </c>
      <c r="H738" s="45" t="n">
        <v>2218.231</v>
      </c>
      <c r="I738" s="45" t="n">
        <v>591.556</v>
      </c>
      <c r="J738" s="45" t="n"/>
      <c r="K738" s="45" t="n">
        <v>100</v>
      </c>
    </row>
    <row r="739" ht="14" customHeight="1">
      <c r="A739" s="15" t="n">
        <v>2007</v>
      </c>
      <c r="B739" s="42">
        <f>IF((A739&gt;=2023),J739,((((C739+D739)+E739)/((((((C739+D739)+E739)+F739)+G739)+H739)+I739))*K739))</f>
        <v/>
      </c>
      <c r="C739" s="43" t="n">
        <v>1588.832</v>
      </c>
      <c r="D739" s="43" t="n">
        <v>17277.784</v>
      </c>
      <c r="E739" s="43" t="n">
        <v>35257.868</v>
      </c>
      <c r="F739" s="43" t="n">
        <v>59786.689</v>
      </c>
      <c r="G739" s="43" t="n">
        <v>9313.546</v>
      </c>
      <c r="H739" s="43" t="n">
        <v>2435.158</v>
      </c>
      <c r="I739" s="43" t="n">
        <v>639.1439999999998</v>
      </c>
      <c r="J739" s="43" t="n"/>
      <c r="K739" s="43" t="n">
        <v>100</v>
      </c>
    </row>
    <row r="740" ht="14" customHeight="1">
      <c r="A740" s="21" t="n">
        <v>2008</v>
      </c>
      <c r="B740" s="44">
        <f>IF((A740&gt;=2023),J740,((((C740+D740)+E740)/((((((C740+D740)+E740)+F740)+G740)+H740)+I740))*K740))</f>
        <v/>
      </c>
      <c r="C740" s="45" t="n">
        <v>1689.481</v>
      </c>
      <c r="D740" s="45" t="n">
        <v>19699.341</v>
      </c>
      <c r="E740" s="45" t="n">
        <v>37508.152</v>
      </c>
      <c r="F740" s="45" t="n">
        <v>61733.909</v>
      </c>
      <c r="G740" s="45" t="n">
        <v>10028.203</v>
      </c>
      <c r="H740" s="45" t="n">
        <v>2786.481</v>
      </c>
      <c r="I740" s="45" t="n">
        <v>734.8850000000002</v>
      </c>
      <c r="J740" s="45" t="n"/>
      <c r="K740" s="45" t="n">
        <v>100</v>
      </c>
    </row>
    <row r="741" ht="14" customHeight="1">
      <c r="A741" s="15" t="n">
        <v>2009</v>
      </c>
      <c r="B741" s="42">
        <f>IF((A741&gt;=2023),J741,((((C741+D741)+E741)/((((((C741+D741)+E741)+F741)+G741)+H741)+I741))*K741))</f>
        <v/>
      </c>
      <c r="C741" s="43" t="n">
        <v>1920.997</v>
      </c>
      <c r="D741" s="43" t="n">
        <v>18082.639</v>
      </c>
      <c r="E741" s="43" t="n">
        <v>38108.172</v>
      </c>
      <c r="F741" s="43" t="n">
        <v>62379.792</v>
      </c>
      <c r="G741" s="43" t="n">
        <v>10075.193</v>
      </c>
      <c r="H741" s="43" t="n">
        <v>2999.496000000001</v>
      </c>
      <c r="I741" s="43" t="n">
        <v>777.2789999999995</v>
      </c>
      <c r="J741" s="43" t="n"/>
      <c r="K741" s="43" t="n">
        <v>100</v>
      </c>
    </row>
    <row r="742" ht="14" customHeight="1">
      <c r="A742" s="21" t="n">
        <v>2010</v>
      </c>
      <c r="B742" s="44">
        <f>IF((A742&gt;=2023),J742,((((C742+D742)+E742)/((((((C742+D742)+E742)+F742)+G742)+H742)+I742))*K742))</f>
        <v/>
      </c>
      <c r="C742" s="45" t="n">
        <v>1842.405</v>
      </c>
      <c r="D742" s="45" t="n">
        <v>17761.063</v>
      </c>
      <c r="E742" s="45" t="n">
        <v>40361.891</v>
      </c>
      <c r="F742" s="45" t="n">
        <v>63959.279</v>
      </c>
      <c r="G742" s="45" t="n">
        <v>11765.404</v>
      </c>
      <c r="H742" s="45" t="n">
        <v>3452.172</v>
      </c>
      <c r="I742" s="45" t="n">
        <v>840.8110000000006</v>
      </c>
      <c r="J742" s="45" t="n"/>
      <c r="K742" s="45" t="n">
        <v>100</v>
      </c>
    </row>
    <row r="743" ht="14" customHeight="1">
      <c r="A743" s="15" t="n">
        <v>2011</v>
      </c>
      <c r="B743" s="42">
        <f>IF((A743&gt;=2023),J743,((((C743+D743)+E743)/((((((C743+D743)+E743)+F743)+G743)+H743)+I743))*K743))</f>
        <v/>
      </c>
      <c r="C743" s="43" t="n">
        <v>1564.914</v>
      </c>
      <c r="D743" s="43" t="n">
        <v>15799.021</v>
      </c>
      <c r="E743" s="43" t="n">
        <v>34980.884</v>
      </c>
      <c r="F743" s="43" t="n">
        <v>62312.395</v>
      </c>
      <c r="G743" s="43" t="n">
        <v>9739.004000000001</v>
      </c>
      <c r="H743" s="43" t="n">
        <v>2889.965</v>
      </c>
      <c r="I743" s="43" t="n">
        <v>1020.196</v>
      </c>
      <c r="J743" s="43" t="n"/>
      <c r="K743" s="43" t="n">
        <v>100</v>
      </c>
    </row>
    <row r="744" ht="14" customHeight="1">
      <c r="A744" s="21" t="n">
        <v>2012</v>
      </c>
      <c r="B744" s="44">
        <f>IF((A744&gt;=2023),J744,((((C744+D744)+E744)/((((((C744+D744)+E744)+F744)+G744)+H744)+I744))*K744))</f>
        <v/>
      </c>
      <c r="C744" s="45" t="n">
        <v>1322.272</v>
      </c>
      <c r="D744" s="45" t="n">
        <v>15811.523</v>
      </c>
      <c r="E744" s="45" t="n">
        <v>36505.94</v>
      </c>
      <c r="F744" s="45" t="n">
        <v>63101.616</v>
      </c>
      <c r="G744" s="45" t="n">
        <v>10016.038</v>
      </c>
      <c r="H744" s="45" t="n">
        <v>3259.626000000001</v>
      </c>
      <c r="I744" s="45" t="n">
        <v>1131.107999999999</v>
      </c>
      <c r="J744" s="45" t="n"/>
      <c r="K744" s="45" t="n">
        <v>100</v>
      </c>
    </row>
    <row r="745" ht="14" customHeight="1">
      <c r="A745" s="15" t="n">
        <v>2013</v>
      </c>
      <c r="B745" s="42">
        <f>IF((A745&gt;=2023),J745,((((C745+D745)+E745)/((((((C745+D745)+E745)+F745)+G745)+H745)+I745))*K745))</f>
        <v/>
      </c>
      <c r="C745" s="43" t="n">
        <v>1342.061</v>
      </c>
      <c r="D745" s="43" t="n">
        <v>16352.81</v>
      </c>
      <c r="E745" s="43" t="n">
        <v>38608.582</v>
      </c>
      <c r="F745" s="43" t="n">
        <v>62667.405</v>
      </c>
      <c r="G745" s="43" t="n">
        <v>9072.083000000001</v>
      </c>
      <c r="H745" s="43" t="n">
        <v>3441.186999999999</v>
      </c>
      <c r="I745" s="43" t="n">
        <v>1241.308</v>
      </c>
      <c r="J745" s="43" t="n"/>
      <c r="K745" s="43" t="n">
        <v>100</v>
      </c>
    </row>
    <row r="746" ht="14" customHeight="1">
      <c r="A746" s="21" t="n">
        <v>2014</v>
      </c>
      <c r="B746" s="44">
        <f>IF((A746&gt;=2023),J746,((((C746+D746)+E746)/((((((C746+D746)+E746)+F746)+G746)+H746)+I746))*K746))</f>
        <v/>
      </c>
      <c r="C746" s="45" t="n">
        <v>1176.151</v>
      </c>
      <c r="D746" s="45" t="n">
        <v>14633.463</v>
      </c>
      <c r="E746" s="45" t="n">
        <v>33536.068</v>
      </c>
      <c r="F746" s="45" t="n">
        <v>60735.267</v>
      </c>
      <c r="G746" s="45" t="n">
        <v>8517.166999999999</v>
      </c>
      <c r="H746" s="45" t="n">
        <v>3135.737</v>
      </c>
      <c r="I746" s="45" t="n">
        <v>1702.07</v>
      </c>
      <c r="J746" s="45" t="n"/>
      <c r="K746" s="45" t="n">
        <v>100</v>
      </c>
    </row>
    <row r="747" ht="14" customHeight="1">
      <c r="A747" s="15" t="n">
        <v>2015</v>
      </c>
      <c r="B747" s="42">
        <f>IF((A747&gt;=2023),J747,((((C747+D747)+E747)/((((((C747+D747)+E747)+F747)+G747)+H747)+I747))*K747))</f>
        <v/>
      </c>
      <c r="C747" s="43" t="n">
        <v>1213.214</v>
      </c>
      <c r="D747" s="43" t="n">
        <v>14666.912</v>
      </c>
      <c r="E747" s="43" t="n">
        <v>35996.272</v>
      </c>
      <c r="F747" s="43" t="n">
        <v>63039.824</v>
      </c>
      <c r="G747" s="43" t="n">
        <v>8460.624</v>
      </c>
      <c r="H747" s="43" t="n">
        <v>3336.378</v>
      </c>
      <c r="I747" s="43" t="n">
        <v>1806.172</v>
      </c>
      <c r="J747" s="43" t="n"/>
      <c r="K747" s="43" t="n">
        <v>100</v>
      </c>
    </row>
    <row r="748" ht="14" customHeight="1">
      <c r="A748" s="21" t="n">
        <v>2016</v>
      </c>
      <c r="B748" s="44">
        <f>IF((A748&gt;=2023),J748,((((C748+D748)+E748)/((((((C748+D748)+E748)+F748)+G748)+H748)+I748))*K748))</f>
        <v/>
      </c>
      <c r="C748" s="45" t="n">
        <v>1079.346</v>
      </c>
      <c r="D748" s="45" t="n">
        <v>14633.104</v>
      </c>
      <c r="E748" s="45" t="n">
        <v>36530.9</v>
      </c>
      <c r="F748" s="45" t="n">
        <v>63580.814</v>
      </c>
      <c r="G748" s="45" t="n">
        <v>8854.486999999999</v>
      </c>
      <c r="H748" s="45" t="n">
        <v>3525.547</v>
      </c>
      <c r="I748" s="45" t="n">
        <v>1967.197</v>
      </c>
      <c r="J748" s="45" t="n"/>
      <c r="K748" s="45" t="n">
        <v>100</v>
      </c>
    </row>
    <row r="749" ht="14" customHeight="1">
      <c r="A749" s="15" t="n">
        <v>2017</v>
      </c>
      <c r="B749" s="42">
        <f>IF((A749&gt;=2023),J749,((((C749+D749)+E749)/((((((C749+D749)+E749)+F749)+G749)+H749)+I749))*K749))</f>
        <v/>
      </c>
      <c r="C749" s="43" t="n">
        <v>1093.064</v>
      </c>
      <c r="D749" s="43" t="n">
        <v>14667.041</v>
      </c>
      <c r="E749" s="43" t="n">
        <v>36409.67</v>
      </c>
      <c r="F749" s="43" t="n">
        <v>63711.05</v>
      </c>
      <c r="G749" s="43" t="n">
        <v>9236.059999999999</v>
      </c>
      <c r="H749" s="43" t="n">
        <v>3795.445</v>
      </c>
      <c r="I749" s="43" t="n">
        <v>4969.719000000001</v>
      </c>
      <c r="J749" s="43" t="n"/>
      <c r="K749" s="43" t="n">
        <v>100</v>
      </c>
    </row>
    <row r="750" ht="14" customHeight="1">
      <c r="A750" s="21" t="n">
        <v>2018</v>
      </c>
      <c r="B750" s="44">
        <f>IF((A750&gt;=2023),J750,((((C750+D750)+E750)/((((((C750+D750)+E750)+F750)+G750)+H750)+I750))*K750))</f>
        <v/>
      </c>
      <c r="C750" s="45" t="n">
        <v>1016.742</v>
      </c>
      <c r="D750" s="45" t="n">
        <v>10804.322</v>
      </c>
      <c r="E750" s="45" t="n">
        <v>37823.474</v>
      </c>
      <c r="F750" s="45" t="n">
        <v>63646.466</v>
      </c>
      <c r="G750" s="45" t="n">
        <v>9247.382</v>
      </c>
      <c r="H750" s="45" t="n">
        <v>3986.427</v>
      </c>
      <c r="I750" s="45" t="n">
        <v>5137.679</v>
      </c>
      <c r="J750" s="45" t="n"/>
      <c r="K750" s="45" t="n">
        <v>100</v>
      </c>
    </row>
    <row r="751" ht="14" customHeight="1">
      <c r="A751" s="15" t="n">
        <v>2019</v>
      </c>
      <c r="B751" s="42">
        <f>IF((A751&gt;=2023),J751,((((C751+D751)+E751)/((((((C751+D751)+E751)+F751)+G751)+H751)+I751))*K751))</f>
        <v/>
      </c>
      <c r="C751" s="43" t="n">
        <v>927.1109999999999</v>
      </c>
      <c r="D751" s="43" t="n">
        <v>10633.18</v>
      </c>
      <c r="E751" s="43" t="n">
        <v>36170.811</v>
      </c>
      <c r="F751" s="43" t="n">
        <v>62403.236</v>
      </c>
      <c r="G751" s="43" t="n">
        <v>9116.665999999999</v>
      </c>
      <c r="H751" s="43" t="n">
        <v>4037.052000000001</v>
      </c>
      <c r="I751" s="43" t="n">
        <v>5279.806</v>
      </c>
      <c r="J751" s="43" t="n"/>
      <c r="K751" s="43" t="n">
        <v>100</v>
      </c>
    </row>
    <row r="752" ht="14" customHeight="1">
      <c r="A752" s="21" t="n">
        <v>2020</v>
      </c>
      <c r="B752" s="44">
        <f>IF((A752&gt;=2023),J752,((((C752+D752)+E752)/((((((C752+D752)+E752)+F752)+G752)+H752)+I752))*K752))</f>
        <v/>
      </c>
      <c r="C752" s="45" t="n">
        <v>897.6719999999999</v>
      </c>
      <c r="D752" s="45" t="n">
        <v>9736.805</v>
      </c>
      <c r="E752" s="45" t="n">
        <v>34561.708</v>
      </c>
      <c r="F752" s="45" t="n">
        <v>58248.449</v>
      </c>
      <c r="G752" s="45" t="n">
        <v>8468.085999999999</v>
      </c>
      <c r="H752" s="45" t="n">
        <v>3966.825</v>
      </c>
      <c r="I752" s="45" t="n">
        <v>5344.861999999999</v>
      </c>
      <c r="J752" s="45" t="n"/>
      <c r="K752" s="45" t="n">
        <v>100</v>
      </c>
    </row>
    <row r="753" ht="14" customHeight="1">
      <c r="A753" s="15" t="n">
        <v>2021</v>
      </c>
      <c r="B753" s="42">
        <f>IF((A753&gt;=2023),J753,((((C753+D753)+E753)/((((((C753+D753)+E753)+F753)+G753)+H753)+I753))*K753))</f>
        <v/>
      </c>
      <c r="C753" s="43" t="n">
        <v>1067.861</v>
      </c>
      <c r="D753" s="43" t="n">
        <v>10844.84</v>
      </c>
      <c r="E753" s="43" t="n">
        <v>38176.16</v>
      </c>
      <c r="F753" s="43" t="n">
        <v>59875.546</v>
      </c>
      <c r="G753" s="43" t="n">
        <v>9396.939</v>
      </c>
      <c r="H753" s="43" t="n">
        <v>4288.104</v>
      </c>
      <c r="I753" s="43" t="n">
        <v>5657.164</v>
      </c>
      <c r="J753" s="43" t="n"/>
      <c r="K753" s="43" t="n">
        <v>100</v>
      </c>
    </row>
    <row r="754" ht="14" customHeight="1">
      <c r="A754" s="21" t="n">
        <v>2023</v>
      </c>
      <c r="B754" s="44">
        <f>IF((A754&gt;=2023),J754,((((C754+D754)+E754)/((((((C754+D754)+E754)+F754)+G754)+H754)+I754))*K754))</f>
        <v/>
      </c>
      <c r="C754" s="45" t="n"/>
      <c r="D754" s="45" t="n"/>
      <c r="E754" s="45" t="n"/>
      <c r="F754" s="45" t="n"/>
      <c r="G754" s="45" t="n"/>
      <c r="H754" s="45" t="n"/>
      <c r="I754" s="45" t="n"/>
      <c r="J754" s="45" t="n">
        <v>32.2</v>
      </c>
      <c r="K754" s="45" t="n">
        <v>100</v>
      </c>
    </row>
    <row r="757">
      <c r="A757" s="50" t="inlineStr">
        <is>
          <t>B6 · EU stock of installed heat pumps  (million units)</t>
        </is>
      </c>
    </row>
    <row r="758" ht="24" customHeight="1">
      <c r="A758" s="3" t="inlineStr">
        <is>
          <t>Derivation:  Value = [Total heat-pump stock (thousand units)] * [thousand → million (/1000)]</t>
        </is>
      </c>
    </row>
    <row r="759" ht="42" customHeight="1">
      <c r="A759" s="41" t="inlineStr">
        <is>
          <t>Year</t>
        </is>
      </c>
      <c r="B759" s="41" t="inlineStr">
        <is>
          <t>Value</t>
        </is>
      </c>
      <c r="C759" s="41" t="inlineStr">
        <is>
          <t>Total heat-pump stock (thousand units)</t>
        </is>
      </c>
      <c r="D759" s="41" t="inlineStr">
        <is>
          <t>thousand → million (/1000)</t>
        </is>
      </c>
    </row>
    <row r="760" ht="14" customHeight="1">
      <c r="A760" s="15" t="n">
        <v>2005</v>
      </c>
      <c r="B760" s="42">
        <f>(C760*D760)</f>
        <v/>
      </c>
      <c r="C760" s="43" t="n">
        <v>1100</v>
      </c>
      <c r="D760" s="43" t="n">
        <v>0.001</v>
      </c>
    </row>
    <row r="761" ht="14" customHeight="1">
      <c r="A761" s="21" t="n">
        <v>2006</v>
      </c>
      <c r="B761" s="44">
        <f>(C761*D761)</f>
        <v/>
      </c>
      <c r="C761" s="45" t="n">
        <v>1600</v>
      </c>
      <c r="D761" s="45" t="n">
        <v>0.001</v>
      </c>
    </row>
    <row r="762" ht="14" customHeight="1">
      <c r="A762" s="15" t="n">
        <v>2007</v>
      </c>
      <c r="B762" s="42">
        <f>(C762*D762)</f>
        <v/>
      </c>
      <c r="C762" s="43" t="n">
        <v>2170</v>
      </c>
      <c r="D762" s="43" t="n">
        <v>0.001</v>
      </c>
    </row>
    <row r="763" ht="14" customHeight="1">
      <c r="A763" s="21" t="n">
        <v>2008</v>
      </c>
      <c r="B763" s="44">
        <f>(C763*D763)</f>
        <v/>
      </c>
      <c r="C763" s="45" t="n">
        <v>2980</v>
      </c>
      <c r="D763" s="45" t="n">
        <v>0.001</v>
      </c>
    </row>
    <row r="764" ht="14" customHeight="1">
      <c r="A764" s="15" t="n">
        <v>2009</v>
      </c>
      <c r="B764" s="42">
        <f>(C764*D764)</f>
        <v/>
      </c>
      <c r="C764" s="43" t="n">
        <v>3710</v>
      </c>
      <c r="D764" s="43" t="n">
        <v>0.001</v>
      </c>
    </row>
    <row r="765" ht="14" customHeight="1">
      <c r="A765" s="21" t="n">
        <v>2010</v>
      </c>
      <c r="B765" s="44">
        <f>(C765*D765)</f>
        <v/>
      </c>
      <c r="C765" s="45" t="n">
        <v>4500</v>
      </c>
      <c r="D765" s="45" t="n">
        <v>0.001</v>
      </c>
    </row>
    <row r="766" ht="14" customHeight="1">
      <c r="A766" s="15" t="n">
        <v>2011</v>
      </c>
      <c r="B766" s="42">
        <f>(C766*D766)</f>
        <v/>
      </c>
      <c r="C766" s="43" t="n">
        <v>5300</v>
      </c>
      <c r="D766" s="43" t="n">
        <v>0.001</v>
      </c>
    </row>
    <row r="767" ht="14" customHeight="1">
      <c r="A767" s="21" t="n">
        <v>2012</v>
      </c>
      <c r="B767" s="44">
        <f>(C767*D767)</f>
        <v/>
      </c>
      <c r="C767" s="45" t="n">
        <v>6030</v>
      </c>
      <c r="D767" s="45" t="n">
        <v>0.001</v>
      </c>
    </row>
    <row r="768" ht="14" customHeight="1">
      <c r="A768" s="15" t="n">
        <v>2013</v>
      </c>
      <c r="B768" s="42">
        <f>(C768*D768)</f>
        <v/>
      </c>
      <c r="C768" s="43" t="n">
        <v>6780</v>
      </c>
      <c r="D768" s="43" t="n">
        <v>0.001</v>
      </c>
    </row>
    <row r="769" ht="14" customHeight="1">
      <c r="A769" s="21" t="n">
        <v>2014</v>
      </c>
      <c r="B769" s="44">
        <f>(C769*D769)</f>
        <v/>
      </c>
      <c r="C769" s="45" t="n">
        <v>7550</v>
      </c>
      <c r="D769" s="45" t="n">
        <v>0.001</v>
      </c>
    </row>
    <row r="770" ht="14" customHeight="1">
      <c r="A770" s="15" t="n">
        <v>2015</v>
      </c>
      <c r="B770" s="42">
        <f>(C770*D770)</f>
        <v/>
      </c>
      <c r="C770" s="43" t="n">
        <v>8430</v>
      </c>
      <c r="D770" s="43" t="n">
        <v>0.001</v>
      </c>
    </row>
    <row r="771" ht="14" customHeight="1">
      <c r="A771" s="21" t="n">
        <v>2016</v>
      </c>
      <c r="B771" s="44">
        <f>(C771*D771)</f>
        <v/>
      </c>
      <c r="C771" s="45" t="n">
        <v>9410</v>
      </c>
      <c r="D771" s="45" t="n">
        <v>0.001</v>
      </c>
    </row>
    <row r="772" ht="14" customHeight="1">
      <c r="A772" s="15" t="n">
        <v>2017</v>
      </c>
      <c r="B772" s="42">
        <f>(C772*D772)</f>
        <v/>
      </c>
      <c r="C772" s="43" t="n">
        <v>10500</v>
      </c>
      <c r="D772" s="43" t="n">
        <v>0.001</v>
      </c>
    </row>
    <row r="773" ht="14" customHeight="1">
      <c r="A773" s="21" t="n">
        <v>2018</v>
      </c>
      <c r="B773" s="44">
        <f>(C773*D773)</f>
        <v/>
      </c>
      <c r="C773" s="45" t="n">
        <v>11780</v>
      </c>
      <c r="D773" s="45" t="n">
        <v>0.001</v>
      </c>
    </row>
    <row r="774" ht="14" customHeight="1">
      <c r="A774" s="15" t="n">
        <v>2019</v>
      </c>
      <c r="B774" s="42">
        <f>(C774*D774)</f>
        <v/>
      </c>
      <c r="C774" s="43" t="n">
        <v>13210</v>
      </c>
      <c r="D774" s="43" t="n">
        <v>0.001</v>
      </c>
    </row>
    <row r="775" ht="14" customHeight="1">
      <c r="A775" s="21" t="n">
        <v>2020</v>
      </c>
      <c r="B775" s="44">
        <f>(C775*D775)</f>
        <v/>
      </c>
      <c r="C775" s="45" t="n">
        <v>14770</v>
      </c>
      <c r="D775" s="45" t="n">
        <v>0.001</v>
      </c>
    </row>
    <row r="776" ht="14" customHeight="1">
      <c r="A776" s="15" t="n">
        <v>2021</v>
      </c>
      <c r="B776" s="42">
        <f>(C776*D776)</f>
        <v/>
      </c>
      <c r="C776" s="43" t="n">
        <v>16870</v>
      </c>
      <c r="D776" s="43" t="n">
        <v>0.001</v>
      </c>
    </row>
    <row r="777" ht="14" customHeight="1">
      <c r="A777" s="21" t="n">
        <v>2022</v>
      </c>
      <c r="B777" s="44">
        <f>(C777*D777)</f>
        <v/>
      </c>
      <c r="C777" s="45" t="n">
        <v>19790</v>
      </c>
      <c r="D777" s="45" t="n">
        <v>0.001</v>
      </c>
    </row>
    <row r="778" ht="14" customHeight="1">
      <c r="A778" s="15" t="n">
        <v>2023</v>
      </c>
      <c r="B778" s="42">
        <f>(C778*D778)</f>
        <v/>
      </c>
      <c r="C778" s="43" t="n">
        <v>23960</v>
      </c>
      <c r="D778" s="43" t="n">
        <v>0.001</v>
      </c>
    </row>
    <row r="779" ht="14" customHeight="1">
      <c r="A779" s="21" t="n">
        <v>2024</v>
      </c>
      <c r="B779" s="44">
        <f>(C779*D779)</f>
        <v/>
      </c>
      <c r="C779" s="45" t="n">
        <v>25500</v>
      </c>
      <c r="D779" s="45" t="n">
        <v>0.001</v>
      </c>
    </row>
    <row r="782">
      <c r="A782" s="51" t="inlineStr">
        <is>
          <t>A1 · Agricultural non-CO₂ emissions  (Mt CO₂eq)</t>
        </is>
      </c>
    </row>
    <row r="783" ht="24" customHeight="1">
      <c r="A783" s="3" t="inlineStr">
        <is>
          <t>Derivation:  Value = IF(A &gt;= 2022, IF(A &gt;= 2023, ROUND([Report baseline 2022 (Mt CO₂eq)] * ([env_air_gge CRF3 CH4] * 28 + [env_air_gge CRF3 N2O] * 265) / [Live source at 2022 (same basis as the columns left)], 1), [Report figure — row missing from the seeded grid]), [Enteric fermentation]+[Manure management]+[Fertilizer use]+[Other])</t>
        </is>
      </c>
    </row>
    <row r="784" ht="42" customHeight="1">
      <c r="A784" s="41" t="inlineStr">
        <is>
          <t>Year</t>
        </is>
      </c>
      <c r="B784" s="41" t="inlineStr">
        <is>
          <t>Value</t>
        </is>
      </c>
      <c r="C784" s="41" t="inlineStr">
        <is>
          <t>Enteric fermentation</t>
        </is>
      </c>
      <c r="D784" s="41" t="inlineStr">
        <is>
          <t>Manure management</t>
        </is>
      </c>
      <c r="E784" s="41" t="inlineStr">
        <is>
          <t>Fertilizer use</t>
        </is>
      </c>
      <c r="F784" s="41" t="inlineStr">
        <is>
          <t>Other</t>
        </is>
      </c>
      <c r="G784" s="41" t="inlineStr">
        <is>
          <t>Report figure — row missing from the seeded grid</t>
        </is>
      </c>
      <c r="H784" s="41" t="inlineStr">
        <is>
          <t>env_air_gge CRF3 CH4</t>
        </is>
      </c>
      <c r="I784" s="41" t="inlineStr">
        <is>
          <t>env_air_gge CRF3 N2O</t>
        </is>
      </c>
      <c r="J784" s="41" t="inlineStr">
        <is>
          <t>Report baseline 2022 (Mt CO₂eq)</t>
        </is>
      </c>
      <c r="K784" s="41" t="inlineStr">
        <is>
          <t>Live source at 2022 (same basis as the columns left)</t>
        </is>
      </c>
    </row>
    <row r="785" ht="14" customHeight="1">
      <c r="A785" s="15" t="n">
        <v>2005</v>
      </c>
      <c r="B785" s="42">
        <f>IF((A785&gt;=2022),IF((A785&gt;=2023),ROUND(((J785*((H785*28)+(I785*265)))/K785),1),G785),(((C785+D785)+E785)+F785))</f>
        <v/>
      </c>
      <c r="C785" s="43" t="n">
        <v>189.0104274914156</v>
      </c>
      <c r="D785" s="43" t="n">
        <v>69.08823467669878</v>
      </c>
      <c r="E785" s="43" t="n">
        <v>117.6797244894114</v>
      </c>
      <c r="F785" s="43" t="n">
        <v>4.277784065454455</v>
      </c>
      <c r="G785" s="43" t="n"/>
      <c r="H785" s="43" t="n"/>
      <c r="I785" s="43" t="n"/>
      <c r="J785" s="43" t="n"/>
      <c r="K785" s="43" t="n"/>
    </row>
    <row r="786" ht="14" customHeight="1">
      <c r="A786" s="21" t="n">
        <v>2006</v>
      </c>
      <c r="B786" s="44">
        <f>IF((A786&gt;=2022),IF((A786&gt;=2023),ROUND(((J786*((H786*28)+(I786*265)))/K786),1),G786),(((C786+D786)+E786)+F786))</f>
        <v/>
      </c>
      <c r="C786" s="45" t="n">
        <v>187.9827115136918</v>
      </c>
      <c r="D786" s="45" t="n">
        <v>68.59881916912724</v>
      </c>
      <c r="E786" s="45" t="n">
        <v>116.3645705357525</v>
      </c>
      <c r="F786" s="45" t="n">
        <v>4.348400847231289</v>
      </c>
      <c r="G786" s="45" t="n"/>
      <c r="H786" s="45" t="n"/>
      <c r="I786" s="45" t="n"/>
      <c r="J786" s="45" t="n"/>
      <c r="K786" s="45" t="n"/>
    </row>
    <row r="787" ht="14" customHeight="1">
      <c r="A787" s="15" t="n">
        <v>2007</v>
      </c>
      <c r="B787" s="42">
        <f>IF((A787&gt;=2022),IF((A787&gt;=2023),ROUND(((J787*((H787*28)+(I787*265)))/K787),1),G787),(((C787+D787)+E787)+F787))</f>
        <v/>
      </c>
      <c r="C787" s="43" t="n">
        <v>188.920788936153</v>
      </c>
      <c r="D787" s="43" t="n">
        <v>68.89885160712971</v>
      </c>
      <c r="E787" s="43" t="n">
        <v>117.1594485150589</v>
      </c>
      <c r="F787" s="43" t="n">
        <v>5.233100482022394</v>
      </c>
      <c r="G787" s="43" t="n"/>
      <c r="H787" s="43" t="n"/>
      <c r="I787" s="43" t="n"/>
      <c r="J787" s="43" t="n"/>
      <c r="K787" s="43" t="n"/>
    </row>
    <row r="788" ht="14" customHeight="1">
      <c r="A788" s="21" t="n">
        <v>2008</v>
      </c>
      <c r="B788" s="44">
        <f>IF((A788&gt;=2022),IF((A788&gt;=2023),ROUND(((J788*((H788*28)+(I788*265)))/K788),1),G788),(((C788+D788)+E788)+F788))</f>
        <v/>
      </c>
      <c r="C788" s="45" t="n">
        <v>188.1232118479337</v>
      </c>
      <c r="D788" s="45" t="n">
        <v>67.31439187545898</v>
      </c>
      <c r="E788" s="45" t="n">
        <v>117.8719523230649</v>
      </c>
      <c r="F788" s="45" t="n">
        <v>4.451932104627133</v>
      </c>
      <c r="G788" s="45" t="n"/>
      <c r="H788" s="45" t="n"/>
      <c r="I788" s="45" t="n"/>
      <c r="J788" s="45" t="n"/>
      <c r="K788" s="45" t="n"/>
    </row>
    <row r="789" ht="14" customHeight="1">
      <c r="A789" s="15" t="n">
        <v>2009</v>
      </c>
      <c r="B789" s="42">
        <f>IF((A789&gt;=2022),IF((A789&gt;=2023),ROUND(((J789*((H789*28)+(I789*265)))/K789),1),G789),(((C789+D789)+E789)+F789))</f>
        <v/>
      </c>
      <c r="C789" s="43" t="n">
        <v>186.4029792560558</v>
      </c>
      <c r="D789" s="43" t="n">
        <v>66.94339492744402</v>
      </c>
      <c r="E789" s="43" t="n">
        <v>114.334742527751</v>
      </c>
      <c r="F789" s="43" t="n">
        <v>5.064266110154932</v>
      </c>
      <c r="G789" s="43" t="n"/>
      <c r="H789" s="43" t="n"/>
      <c r="I789" s="43" t="n"/>
      <c r="J789" s="43" t="n"/>
      <c r="K789" s="43" t="n"/>
    </row>
    <row r="790" ht="14" customHeight="1">
      <c r="A790" s="21" t="n">
        <v>2010</v>
      </c>
      <c r="B790" s="44">
        <f>IF((A790&gt;=2022),IF((A790&gt;=2023),ROUND(((J790*((H790*28)+(I790*265)))/K790),1),G790),(((C790+D790)+E790)+F790))</f>
        <v/>
      </c>
      <c r="C790" s="45" t="n">
        <v>184.3182547366107</v>
      </c>
      <c r="D790" s="45" t="n">
        <v>64.59833355888863</v>
      </c>
      <c r="E790" s="45" t="n">
        <v>113.4443415161126</v>
      </c>
      <c r="F790" s="45" t="n">
        <v>5.122191446205193</v>
      </c>
      <c r="G790" s="45" t="n"/>
      <c r="H790" s="45" t="n"/>
      <c r="I790" s="45" t="n"/>
      <c r="J790" s="45" t="n"/>
      <c r="K790" s="45" t="n"/>
    </row>
    <row r="791" ht="14" customHeight="1">
      <c r="A791" s="15" t="n">
        <v>2011</v>
      </c>
      <c r="B791" s="42">
        <f>IF((A791&gt;=2022),IF((A791&gt;=2023),ROUND(((J791*((H791*28)+(I791*265)))/K791),1),G791),(((C791+D791)+E791)+F791))</f>
        <v/>
      </c>
      <c r="C791" s="43" t="n">
        <v>182.1059946206142</v>
      </c>
      <c r="D791" s="43" t="n">
        <v>64.68538725850802</v>
      </c>
      <c r="E791" s="43" t="n">
        <v>114.5572651084525</v>
      </c>
      <c r="F791" s="43" t="n">
        <v>5.378086020221744</v>
      </c>
      <c r="G791" s="43" t="n"/>
      <c r="H791" s="43" t="n"/>
      <c r="I791" s="43" t="n"/>
      <c r="J791" s="43" t="n"/>
      <c r="K791" s="43" t="n"/>
    </row>
    <row r="792" ht="14" customHeight="1">
      <c r="A792" s="21" t="n">
        <v>2012</v>
      </c>
      <c r="B792" s="44">
        <f>IF((A792&gt;=2022),IF((A792&gt;=2023),ROUND(((J792*((H792*28)+(I792*265)))/K792),1),G792),(((C792+D792)+E792)+F792))</f>
        <v/>
      </c>
      <c r="C792" s="45" t="n">
        <v>182.0959930222771</v>
      </c>
      <c r="D792" s="45" t="n">
        <v>63.78344635322895</v>
      </c>
      <c r="E792" s="45" t="n">
        <v>114.6218369449119</v>
      </c>
      <c r="F792" s="45" t="n">
        <v>5.773434257803146</v>
      </c>
      <c r="G792" s="45" t="n"/>
      <c r="H792" s="45" t="n"/>
      <c r="I792" s="45" t="n"/>
      <c r="J792" s="45" t="n"/>
      <c r="K792" s="45" t="n"/>
    </row>
    <row r="793" ht="14" customHeight="1">
      <c r="A793" s="15" t="n">
        <v>2013</v>
      </c>
      <c r="B793" s="42">
        <f>IF((A793&gt;=2022),IF((A793&gt;=2023),ROUND(((J793*((H793*28)+(I793*265)))/K793),1),G793),(((C793+D793)+E793)+F793))</f>
        <v/>
      </c>
      <c r="C793" s="43" t="n">
        <v>182.8748767022805</v>
      </c>
      <c r="D793" s="43" t="n">
        <v>63.01164458656165</v>
      </c>
      <c r="E793" s="43" t="n">
        <v>116.6233638797818</v>
      </c>
      <c r="F793" s="43" t="n">
        <v>5.393396404100073</v>
      </c>
      <c r="G793" s="43" t="n"/>
      <c r="H793" s="43" t="n"/>
      <c r="I793" s="43" t="n"/>
      <c r="J793" s="43" t="n"/>
      <c r="K793" s="43" t="n"/>
    </row>
    <row r="794" ht="14" customHeight="1">
      <c r="A794" s="21" t="n">
        <v>2014</v>
      </c>
      <c r="B794" s="44">
        <f>IF((A794&gt;=2022),IF((A794&gt;=2023),ROUND(((J794*((H794*28)+(I794*265)))/K794),1),G794),(((C794+D794)+E794)+F794))</f>
        <v/>
      </c>
      <c r="C794" s="45" t="n">
        <v>184.1684888516399</v>
      </c>
      <c r="D794" s="45" t="n">
        <v>63.61213189740968</v>
      </c>
      <c r="E794" s="45" t="n">
        <v>119.7377682240044</v>
      </c>
      <c r="F794" s="45" t="n">
        <v>5.345964152657757</v>
      </c>
      <c r="G794" s="45" t="n"/>
      <c r="H794" s="45" t="n"/>
      <c r="I794" s="45" t="n"/>
      <c r="J794" s="45" t="n"/>
      <c r="K794" s="45" t="n"/>
    </row>
    <row r="795" ht="14" customHeight="1">
      <c r="A795" s="15" t="n">
        <v>2015</v>
      </c>
      <c r="B795" s="42">
        <f>IF((A795&gt;=2022),IF((A795&gt;=2023),ROUND(((J795*((H795*28)+(I795*265)))/K795),1),G795),(((C795+D795)+E795)+F795))</f>
        <v/>
      </c>
      <c r="C795" s="43" t="n">
        <v>185.8812770994882</v>
      </c>
      <c r="D795" s="43" t="n">
        <v>64.25818752651736</v>
      </c>
      <c r="E795" s="43" t="n">
        <v>118.7361371573253</v>
      </c>
      <c r="F795" s="43" t="n">
        <v>5.605471507217175</v>
      </c>
      <c r="G795" s="43" t="n"/>
      <c r="H795" s="43" t="n"/>
      <c r="I795" s="43" t="n"/>
      <c r="J795" s="43" t="n"/>
      <c r="K795" s="43" t="n"/>
    </row>
    <row r="796" ht="14" customHeight="1">
      <c r="A796" s="21" t="n">
        <v>2016</v>
      </c>
      <c r="B796" s="44">
        <f>IF((A796&gt;=2022),IF((A796&gt;=2023),ROUND(((J796*((H796*28)+(I796*265)))/K796),1),G796),(((C796+D796)+E796)+F796))</f>
        <v/>
      </c>
      <c r="C796" s="45" t="n">
        <v>186.477187072414</v>
      </c>
      <c r="D796" s="45" t="n">
        <v>64.24736803751625</v>
      </c>
      <c r="E796" s="45" t="n">
        <v>119.6150193989715</v>
      </c>
      <c r="F796" s="45" t="n">
        <v>5.585625728374154</v>
      </c>
      <c r="G796" s="45" t="n"/>
      <c r="H796" s="45" t="n"/>
      <c r="I796" s="45" t="n"/>
      <c r="J796" s="45" t="n"/>
      <c r="K796" s="45" t="n"/>
    </row>
    <row r="797" ht="14" customHeight="1">
      <c r="A797" s="15" t="n">
        <v>2017</v>
      </c>
      <c r="B797" s="42">
        <f>IF((A797&gt;=2022),IF((A797&gt;=2023),ROUND(((J797*((H797*28)+(I797*265)))/K797),1),G797),(((C797+D797)+E797)+F797))</f>
        <v/>
      </c>
      <c r="C797" s="43" t="n">
        <v>186.645793745861</v>
      </c>
      <c r="D797" s="43" t="n">
        <v>64.51316552423758</v>
      </c>
      <c r="E797" s="43" t="n">
        <v>121.7385748473323</v>
      </c>
      <c r="F797" s="43" t="n">
        <v>5.258822740697056</v>
      </c>
      <c r="G797" s="43" t="n"/>
      <c r="H797" s="43" t="n"/>
      <c r="I797" s="43" t="n"/>
      <c r="J797" s="43" t="n"/>
      <c r="K797" s="43" t="n"/>
    </row>
    <row r="798" ht="14" customHeight="1">
      <c r="A798" s="21" t="n">
        <v>2018</v>
      </c>
      <c r="B798" s="44">
        <f>IF((A798&gt;=2022),IF((A798&gt;=2023),ROUND(((J798*((H798*28)+(I798*265)))/K798),1),G798),(((C798+D798)+E798)+F798))</f>
        <v/>
      </c>
      <c r="C798" s="45" t="n">
        <v>185.6382219273156</v>
      </c>
      <c r="D798" s="45" t="n">
        <v>64.26715709564823</v>
      </c>
      <c r="E798" s="45" t="n">
        <v>119.9945432157956</v>
      </c>
      <c r="F798" s="45" t="n">
        <v>5.089209956103801</v>
      </c>
      <c r="G798" s="45" t="n"/>
      <c r="H798" s="45" t="n"/>
      <c r="I798" s="45" t="n"/>
      <c r="J798" s="45" t="n"/>
      <c r="K798" s="45" t="n"/>
    </row>
    <row r="799" ht="14" customHeight="1">
      <c r="A799" s="15" t="n">
        <v>2019</v>
      </c>
      <c r="B799" s="42">
        <f>IF((A799&gt;=2022),IF((A799&gt;=2023),ROUND(((J799*((H799*28)+(I799*265)))/K799),1),G799),(((C799+D799)+E799)+F799))</f>
        <v/>
      </c>
      <c r="C799" s="43" t="n">
        <v>183.8156398954151</v>
      </c>
      <c r="D799" s="43" t="n">
        <v>63.77767373217581</v>
      </c>
      <c r="E799" s="43" t="n">
        <v>118.1370322990841</v>
      </c>
      <c r="F799" s="43" t="n">
        <v>5.138738660767601</v>
      </c>
      <c r="G799" s="43" t="n"/>
      <c r="H799" s="43" t="n"/>
      <c r="I799" s="43" t="n"/>
      <c r="J799" s="43" t="n"/>
      <c r="K799" s="43" t="n"/>
    </row>
    <row r="800" ht="14" customHeight="1">
      <c r="A800" s="21" t="n">
        <v>2020</v>
      </c>
      <c r="B800" s="44">
        <f>IF((A800&gt;=2022),IF((A800&gt;=2023),ROUND(((J800*((H800*28)+(I800*265)))/K800),1),G800),(((C800+D800)+E800)+F800))</f>
        <v/>
      </c>
      <c r="C800" s="45" t="n">
        <v>183.7484125647313</v>
      </c>
      <c r="D800" s="45" t="n">
        <v>64.09086899450296</v>
      </c>
      <c r="E800" s="45" t="n">
        <v>118.629474528699</v>
      </c>
      <c r="F800" s="45" t="n">
        <v>5.431864621189746</v>
      </c>
      <c r="G800" s="45" t="n"/>
      <c r="H800" s="45" t="n"/>
      <c r="I800" s="45" t="n"/>
      <c r="J800" s="45" t="n"/>
      <c r="K800" s="45" t="n"/>
    </row>
    <row r="801" ht="14" customHeight="1">
      <c r="A801" s="15" t="n">
        <v>2021</v>
      </c>
      <c r="B801" s="42">
        <f>IF((A801&gt;=2022),IF((A801&gt;=2023),ROUND(((J801*((H801*28)+(I801*265)))/K801),1),G801),(((C801+D801)+E801)+F801))</f>
        <v/>
      </c>
      <c r="C801" s="43" t="n">
        <v>182.5454973719479</v>
      </c>
      <c r="D801" s="43" t="n">
        <v>62.90260958350251</v>
      </c>
      <c r="E801" s="43" t="n">
        <v>117.9941278462921</v>
      </c>
      <c r="F801" s="43" t="n">
        <v>5.16966544042242</v>
      </c>
      <c r="G801" s="43" t="n"/>
      <c r="H801" s="43" t="n"/>
      <c r="I801" s="43" t="n"/>
      <c r="J801" s="43" t="n"/>
      <c r="K801" s="43" t="n"/>
    </row>
    <row r="802" ht="14" customHeight="1">
      <c r="A802" s="21" t="n">
        <v>2022</v>
      </c>
      <c r="B802" s="44">
        <f>IF((A802&gt;=2022),IF((A802&gt;=2023),ROUND(((J802*((H802*28)+(I802*265)))/K802),1),G802),(((C802+D802)+E802)+F802))</f>
        <v/>
      </c>
      <c r="C802" s="45" t="n"/>
      <c r="D802" s="45" t="n"/>
      <c r="E802" s="45" t="n"/>
      <c r="F802" s="45" t="n"/>
      <c r="G802" s="45" t="n">
        <v>360.9</v>
      </c>
      <c r="H802" s="45" t="n"/>
      <c r="I802" s="45" t="n"/>
      <c r="J802" s="45" t="n"/>
      <c r="K802" s="45" t="n"/>
    </row>
    <row r="803" ht="14" customHeight="1">
      <c r="A803" s="15" t="n">
        <v>2023</v>
      </c>
      <c r="B803" s="42">
        <f>IF((A803&gt;=2022),IF((A803&gt;=2023),ROUND(((J803*((H803*28)+(I803*265)))/K803),1),G803),(((C803+D803)+E803)+F803))</f>
        <v/>
      </c>
      <c r="C803" s="43" t="n"/>
      <c r="D803" s="43" t="n"/>
      <c r="E803" s="43" t="n"/>
      <c r="F803" s="43" t="n"/>
      <c r="G803" s="43" t="n"/>
      <c r="H803" s="43" t="n">
        <v>8.172219999999999</v>
      </c>
      <c r="I803" s="43" t="n">
        <v>0.47204</v>
      </c>
      <c r="J803" s="43" t="n">
        <v>360.9</v>
      </c>
      <c r="K803" s="43" t="n">
        <v>354.85225</v>
      </c>
    </row>
    <row r="804" ht="14" customHeight="1">
      <c r="A804" s="21" t="n">
        <v>2024</v>
      </c>
      <c r="B804" s="44">
        <f>IF((A804&gt;=2022),IF((A804&gt;=2023),ROUND(((J804*((H804*28)+(I804*265)))/K804),1),G804),(((C804+D804)+E804)+F804))</f>
        <v/>
      </c>
      <c r="C804" s="45" t="n"/>
      <c r="D804" s="45" t="n"/>
      <c r="E804" s="45" t="n"/>
      <c r="F804" s="45" t="n"/>
      <c r="G804" s="45" t="n"/>
      <c r="H804" s="45" t="n">
        <v>8.071619999999999</v>
      </c>
      <c r="I804" s="45" t="n">
        <v>0.46684</v>
      </c>
      <c r="J804" s="45" t="n">
        <v>360.9</v>
      </c>
      <c r="K804" s="45" t="n">
        <v>354.85225</v>
      </c>
    </row>
    <row r="807">
      <c r="A807" s="51" t="inlineStr">
        <is>
          <t>A2 (bovine, production) · Bovine meat: production (EU)  (Mt)</t>
        </is>
      </c>
    </row>
    <row r="808" ht="24" customHeight="1">
      <c r="A808" s="3" t="inlineStr">
        <is>
          <t>Derivation:  Value = IF(A &gt;= 2021, ROUND([apro_mt_pann B1000] * [Unit conversion (× 0.001)], 3), [Report figure (2024 report underlying data)])</t>
        </is>
      </c>
    </row>
    <row r="809" ht="42" customHeight="1">
      <c r="A809" s="41" t="inlineStr">
        <is>
          <t>Year</t>
        </is>
      </c>
      <c r="B809" s="41" t="inlineStr">
        <is>
          <t>Value</t>
        </is>
      </c>
      <c r="C809" s="41" t="inlineStr">
        <is>
          <t>Report figure (2024 report underlying data)</t>
        </is>
      </c>
      <c r="D809" s="41" t="inlineStr">
        <is>
          <t>apro_mt_pann B1000</t>
        </is>
      </c>
      <c r="E809" s="41" t="inlineStr">
        <is>
          <t>Unit conversion (× 0.001)</t>
        </is>
      </c>
    </row>
    <row r="810" ht="14" customHeight="1">
      <c r="A810" s="15" t="n">
        <v>2010</v>
      </c>
      <c r="B810" s="42">
        <f>IF((A810&gt;=2021),ROUND((D810*E810),3),C810)</f>
        <v/>
      </c>
      <c r="C810" s="43" t="n">
        <v>7.257</v>
      </c>
      <c r="D810" s="43" t="n"/>
      <c r="E810" s="43" t="n"/>
    </row>
    <row r="811" ht="14" customHeight="1">
      <c r="A811" s="21" t="n">
        <v>2011</v>
      </c>
      <c r="B811" s="44">
        <f>IF((A811&gt;=2021),ROUND((D811*E811),3),C811)</f>
        <v/>
      </c>
      <c r="C811" s="45" t="n">
        <v>7.126</v>
      </c>
      <c r="D811" s="45" t="n"/>
      <c r="E811" s="45" t="n"/>
    </row>
    <row r="812" ht="14" customHeight="1">
      <c r="A812" s="15" t="n">
        <v>2012</v>
      </c>
      <c r="B812" s="42">
        <f>IF((A812&gt;=2021),ROUND((D812*E812),3),C812)</f>
        <v/>
      </c>
      <c r="C812" s="43" t="n">
        <v>6.857</v>
      </c>
      <c r="D812" s="43" t="n"/>
      <c r="E812" s="43" t="n"/>
    </row>
    <row r="813" ht="14" customHeight="1">
      <c r="A813" s="21" t="n">
        <v>2013</v>
      </c>
      <c r="B813" s="44">
        <f>IF((A813&gt;=2021),ROUND((D813*E813),3),C813)</f>
        <v/>
      </c>
      <c r="C813" s="45" t="n">
        <v>6.567</v>
      </c>
      <c r="D813" s="45" t="n"/>
      <c r="E813" s="45" t="n"/>
    </row>
    <row r="814" ht="14" customHeight="1">
      <c r="A814" s="15" t="n">
        <v>2014</v>
      </c>
      <c r="B814" s="42">
        <f>IF((A814&gt;=2021),ROUND((D814*E814),3),C814)</f>
        <v/>
      </c>
      <c r="C814" s="43" t="n">
        <v>6.597</v>
      </c>
      <c r="D814" s="43" t="n"/>
      <c r="E814" s="43" t="n"/>
    </row>
    <row r="815" ht="14" customHeight="1">
      <c r="A815" s="21" t="n">
        <v>2015</v>
      </c>
      <c r="B815" s="44">
        <f>IF((A815&gt;=2021),ROUND((D815*E815),3),C815)</f>
        <v/>
      </c>
      <c r="C815" s="45" t="n">
        <v>6.827</v>
      </c>
      <c r="D815" s="45" t="n"/>
      <c r="E815" s="45" t="n"/>
    </row>
    <row r="816" ht="14" customHeight="1">
      <c r="A816" s="15" t="n">
        <v>2016</v>
      </c>
      <c r="B816" s="42">
        <f>IF((A816&gt;=2021),ROUND((D816*E816),3),C816)</f>
        <v/>
      </c>
      <c r="C816" s="43" t="n">
        <v>6.999</v>
      </c>
      <c r="D816" s="43" t="n"/>
      <c r="E816" s="43" t="n"/>
    </row>
    <row r="817" ht="14" customHeight="1">
      <c r="A817" s="21" t="n">
        <v>2017</v>
      </c>
      <c r="B817" s="44">
        <f>IF((A817&gt;=2021),ROUND((D817*E817),3),C817)</f>
        <v/>
      </c>
      <c r="C817" s="45" t="n">
        <v>6.993</v>
      </c>
      <c r="D817" s="45" t="n"/>
      <c r="E817" s="45" t="n"/>
    </row>
    <row r="818" ht="14" customHeight="1">
      <c r="A818" s="15" t="n">
        <v>2018</v>
      </c>
      <c r="B818" s="42">
        <f>IF((A818&gt;=2021),ROUND((D818*E818),3),C818)</f>
        <v/>
      </c>
      <c r="C818" s="43" t="n">
        <v>7.112</v>
      </c>
      <c r="D818" s="43" t="n"/>
      <c r="E818" s="43" t="n"/>
    </row>
    <row r="819" ht="14" customHeight="1">
      <c r="A819" s="21" t="n">
        <v>2019</v>
      </c>
      <c r="B819" s="44">
        <f>IF((A819&gt;=2021),ROUND((D819*E819),3),C819)</f>
        <v/>
      </c>
      <c r="C819" s="45" t="n">
        <v>6.999</v>
      </c>
      <c r="D819" s="45" t="n"/>
      <c r="E819" s="45" t="n"/>
    </row>
    <row r="820" ht="14" customHeight="1">
      <c r="A820" s="15" t="n">
        <v>2020</v>
      </c>
      <c r="B820" s="42">
        <f>IF((A820&gt;=2021),ROUND((D820*E820),3),C820)</f>
        <v/>
      </c>
      <c r="C820" s="43" t="n">
        <v>6.936</v>
      </c>
      <c r="D820" s="43" t="n"/>
      <c r="E820" s="43" t="n"/>
    </row>
    <row r="821" ht="14" customHeight="1">
      <c r="A821" s="21" t="n">
        <v>2021</v>
      </c>
      <c r="B821" s="44">
        <f>IF((A821&gt;=2021),ROUND((D821*E821),3),C821)</f>
        <v/>
      </c>
      <c r="C821" s="45" t="n"/>
      <c r="D821" s="45" t="n">
        <v>6801.91</v>
      </c>
      <c r="E821" s="45" t="n">
        <v>0.001</v>
      </c>
    </row>
    <row r="822" ht="14" customHeight="1">
      <c r="A822" s="15" t="n">
        <v>2022</v>
      </c>
      <c r="B822" s="42">
        <f>IF((A822&gt;=2021),ROUND((D822*E822),3),C822)</f>
        <v/>
      </c>
      <c r="C822" s="43" t="n"/>
      <c r="D822" s="43" t="n">
        <v>6640.26</v>
      </c>
      <c r="E822" s="43" t="n">
        <v>0.001</v>
      </c>
    </row>
    <row r="823" ht="14" customHeight="1">
      <c r="A823" s="21" t="n">
        <v>2023</v>
      </c>
      <c r="B823" s="44">
        <f>IF((A823&gt;=2021),ROUND((D823*E823),3),C823)</f>
        <v/>
      </c>
      <c r="C823" s="45" t="n"/>
      <c r="D823" s="45" t="n">
        <v>6384.77</v>
      </c>
      <c r="E823" s="45" t="n">
        <v>0.001</v>
      </c>
    </row>
    <row r="824" ht="14" customHeight="1">
      <c r="A824" s="15" t="n">
        <v>2024</v>
      </c>
      <c r="B824" s="42">
        <f>IF((A824&gt;=2021),ROUND((D824*E824),3),C824)</f>
        <v/>
      </c>
      <c r="C824" s="43" t="n"/>
      <c r="D824" s="43" t="n">
        <v>6584.01</v>
      </c>
      <c r="E824" s="43" t="n">
        <v>0.001</v>
      </c>
    </row>
    <row r="825" ht="14" customHeight="1">
      <c r="A825" s="21" t="n">
        <v>2025</v>
      </c>
      <c r="B825" s="44">
        <f>IF((A825&gt;=2021),ROUND((D825*E825),3),C825)</f>
        <v/>
      </c>
      <c r="C825" s="45" t="n"/>
      <c r="D825" s="45" t="n">
        <v>6319.82</v>
      </c>
      <c r="E825" s="45" t="n">
        <v>0.001</v>
      </c>
    </row>
    <row r="828">
      <c r="A828" s="51" t="inlineStr">
        <is>
          <t>A2 (dairy, production) · Dairy products: production (EU)  (Mt)</t>
        </is>
      </c>
    </row>
    <row r="829" ht="24" customHeight="1">
      <c r="A829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830" ht="42" customHeight="1">
      <c r="A830" s="41" t="inlineStr">
        <is>
          <t>Year</t>
        </is>
      </c>
      <c r="B830" s="41" t="inlineStr">
        <is>
          <t>Value</t>
        </is>
      </c>
      <c r="C830" s="41" t="inlineStr">
        <is>
          <t>Report figure (2024 report underlying data)</t>
        </is>
      </c>
      <c r="D830" s="41" t="inlineStr">
        <is>
          <t>apro_mk_farm D1100A</t>
        </is>
      </c>
      <c r="E830" s="41" t="inlineStr">
        <is>
          <t>Report baseline 2020 (Mt)</t>
        </is>
      </c>
      <c r="F830" s="41" t="inlineStr">
        <is>
          <t>Live source at 2020 (same basis as the columns left)</t>
        </is>
      </c>
    </row>
    <row r="831" ht="14" customHeight="1">
      <c r="A831" s="15" t="n">
        <v>2010</v>
      </c>
      <c r="B831" s="42">
        <f>IF((A831&gt;=2021),ROUND(((E831*D831)/F831),1),C831)</f>
        <v/>
      </c>
      <c r="C831" s="43" t="n">
        <v>141.1</v>
      </c>
      <c r="D831" s="43" t="n"/>
      <c r="E831" s="43" t="n"/>
      <c r="F831" s="43" t="n"/>
    </row>
    <row r="832" ht="14" customHeight="1">
      <c r="A832" s="21" t="n">
        <v>2011</v>
      </c>
      <c r="B832" s="44">
        <f>IF((A832&gt;=2021),ROUND(((E832*D832)/F832),1),C832)</f>
        <v/>
      </c>
      <c r="C832" s="45" t="n">
        <v>143.4</v>
      </c>
      <c r="D832" s="45" t="n"/>
      <c r="E832" s="45" t="n"/>
      <c r="F832" s="45" t="n"/>
    </row>
    <row r="833" ht="14" customHeight="1">
      <c r="A833" s="15" t="n">
        <v>2012</v>
      </c>
      <c r="B833" s="42">
        <f>IF((A833&gt;=2021),ROUND(((E833*D833)/F833),1),C833)</f>
        <v/>
      </c>
      <c r="C833" s="43" t="n">
        <v>143.8</v>
      </c>
      <c r="D833" s="43" t="n"/>
      <c r="E833" s="43" t="n"/>
      <c r="F833" s="43" t="n"/>
    </row>
    <row r="834" ht="14" customHeight="1">
      <c r="A834" s="21" t="n">
        <v>2013</v>
      </c>
      <c r="B834" s="44">
        <f>IF((A834&gt;=2021),ROUND(((E834*D834)/F834),1),C834)</f>
        <v/>
      </c>
      <c r="C834" s="45" t="n">
        <v>145.3</v>
      </c>
      <c r="D834" s="45" t="n"/>
      <c r="E834" s="45" t="n"/>
      <c r="F834" s="45" t="n"/>
    </row>
    <row r="835" ht="14" customHeight="1">
      <c r="A835" s="15" t="n">
        <v>2014</v>
      </c>
      <c r="B835" s="42">
        <f>IF((A835&gt;=2021),ROUND(((E835*D835)/F835),1),C835)</f>
        <v/>
      </c>
      <c r="C835" s="43" t="n">
        <v>150.1</v>
      </c>
      <c r="D835" s="43" t="n"/>
      <c r="E835" s="43" t="n"/>
      <c r="F835" s="43" t="n"/>
    </row>
    <row r="836" ht="14" customHeight="1">
      <c r="A836" s="21" t="n">
        <v>2015</v>
      </c>
      <c r="B836" s="44">
        <f>IF((A836&gt;=2021),ROUND(((E836*D836)/F836),1),C836)</f>
        <v/>
      </c>
      <c r="C836" s="45" t="n">
        <v>153.2</v>
      </c>
      <c r="D836" s="45" t="n"/>
      <c r="E836" s="45" t="n"/>
      <c r="F836" s="45" t="n"/>
    </row>
    <row r="837" ht="14" customHeight="1">
      <c r="A837" s="15" t="n">
        <v>2016</v>
      </c>
      <c r="B837" s="42">
        <f>IF((A837&gt;=2021),ROUND(((E837*D837)/F837),1),C837)</f>
        <v/>
      </c>
      <c r="C837" s="43" t="n">
        <v>154.8</v>
      </c>
      <c r="D837" s="43" t="n"/>
      <c r="E837" s="43" t="n"/>
      <c r="F837" s="43" t="n"/>
    </row>
    <row r="838" ht="14" customHeight="1">
      <c r="A838" s="21" t="n">
        <v>2017</v>
      </c>
      <c r="B838" s="44">
        <f>IF((A838&gt;=2021),ROUND(((E838*D838)/F838),1),C838)</f>
        <v/>
      </c>
      <c r="C838" s="45" t="n">
        <v>156</v>
      </c>
      <c r="D838" s="45" t="n"/>
      <c r="E838" s="45" t="n"/>
      <c r="F838" s="45" t="n"/>
    </row>
    <row r="839" ht="14" customHeight="1">
      <c r="A839" s="15" t="n">
        <v>2018</v>
      </c>
      <c r="B839" s="42">
        <f>IF((A839&gt;=2021),ROUND(((E839*D839)/F839),1),C839)</f>
        <v/>
      </c>
      <c r="C839" s="43" t="n">
        <v>158.3</v>
      </c>
      <c r="D839" s="43" t="n"/>
      <c r="E839" s="43" t="n"/>
      <c r="F839" s="43" t="n"/>
    </row>
    <row r="840" ht="14" customHeight="1">
      <c r="A840" s="21" t="n">
        <v>2019</v>
      </c>
      <c r="B840" s="44">
        <f>IF((A840&gt;=2021),ROUND(((E840*D840)/F840),1),C840)</f>
        <v/>
      </c>
      <c r="C840" s="45" t="n">
        <v>161.2</v>
      </c>
      <c r="D840" s="45" t="n"/>
      <c r="E840" s="45" t="n"/>
      <c r="F840" s="45" t="n"/>
    </row>
    <row r="841" ht="14" customHeight="1">
      <c r="A841" s="15" t="n">
        <v>2020</v>
      </c>
      <c r="B841" s="42">
        <f>IF((A841&gt;=2021),ROUND(((E841*D841)/F841),1),C841)</f>
        <v/>
      </c>
      <c r="C841" s="43" t="n">
        <v>163.1</v>
      </c>
      <c r="D841" s="43" t="n"/>
      <c r="E841" s="43" t="n"/>
      <c r="F841" s="43" t="n"/>
    </row>
    <row r="842" ht="14" customHeight="1">
      <c r="A842" s="21" t="n">
        <v>2021</v>
      </c>
      <c r="B842" s="44">
        <f>IF((A842&gt;=2021),ROUND(((E842*D842)/F842),1),C842)</f>
        <v/>
      </c>
      <c r="C842" s="45" t="n"/>
      <c r="D842" s="45" t="n">
        <v>159772.68</v>
      </c>
      <c r="E842" s="45" t="n">
        <v>163.1</v>
      </c>
      <c r="F842" s="45" t="n">
        <v>160281.96</v>
      </c>
    </row>
    <row r="843" ht="14" customHeight="1">
      <c r="A843" s="15" t="n">
        <v>2022</v>
      </c>
      <c r="B843" s="42">
        <f>IF((A843&gt;=2021),ROUND(((E843*D843)/F843),1),C843)</f>
        <v/>
      </c>
      <c r="C843" s="43" t="n"/>
      <c r="D843" s="43" t="n">
        <v>159996.09</v>
      </c>
      <c r="E843" s="43" t="n">
        <v>163.1</v>
      </c>
      <c r="F843" s="43" t="n">
        <v>160281.96</v>
      </c>
    </row>
    <row r="844" ht="14" customHeight="1">
      <c r="A844" s="21" t="n">
        <v>2023</v>
      </c>
      <c r="B844" s="44">
        <f>IF((A844&gt;=2021),ROUND(((E844*D844)/F844),1),C844)</f>
        <v/>
      </c>
      <c r="C844" s="45" t="n"/>
      <c r="D844" s="45" t="n">
        <v>160887.23</v>
      </c>
      <c r="E844" s="45" t="n">
        <v>163.1</v>
      </c>
      <c r="F844" s="45" t="n">
        <v>160281.96</v>
      </c>
    </row>
    <row r="845" ht="14" customHeight="1">
      <c r="A845" s="15" t="n">
        <v>2024</v>
      </c>
      <c r="B845" s="42">
        <f>IF((A845&gt;=2021),ROUND(((E845*D845)/F845),1),C845)</f>
        <v/>
      </c>
      <c r="C845" s="43" t="n"/>
      <c r="D845" s="43" t="n">
        <v>161798.04</v>
      </c>
      <c r="E845" s="43" t="n">
        <v>163.1</v>
      </c>
      <c r="F845" s="43" t="n">
        <v>160281.96</v>
      </c>
    </row>
    <row r="848">
      <c r="A848" s="51" t="inlineStr">
        <is>
          <t>A2 (pig, GHG) · Pig meat: GHG emissions (EU)  (Mt CO₂eq)</t>
        </is>
      </c>
    </row>
    <row r="849" ht="24" customHeight="1">
      <c r="A849" s="3" t="inlineStr">
        <is>
          <t>Derivation:  Value = IF(A &gt;= 2022, ROUND([Report baseline 2021 (Mt CO₂eq)] * ([env_air_gge CRF3A3] + [env_air_gge CRF3B3]) / [Live source at 2021 (same basis as the columns left)], 2), [Report figure (2024 report underlying data)])</t>
        </is>
      </c>
    </row>
    <row r="850" ht="42" customHeight="1">
      <c r="A850" s="41" t="inlineStr">
        <is>
          <t>Year</t>
        </is>
      </c>
      <c r="B850" s="41" t="inlineStr">
        <is>
          <t>Value</t>
        </is>
      </c>
      <c r="C850" s="41" t="inlineStr">
        <is>
          <t>Report figure (2024 report underlying data)</t>
        </is>
      </c>
      <c r="D850" s="41" t="inlineStr">
        <is>
          <t>env_air_gge CRF3A3</t>
        </is>
      </c>
      <c r="E850" s="41" t="inlineStr">
        <is>
          <t>env_air_gge CRF3B3</t>
        </is>
      </c>
      <c r="F850" s="41" t="inlineStr">
        <is>
          <t>Report baseline 2021 (Mt CO₂eq)</t>
        </is>
      </c>
      <c r="G850" s="41" t="inlineStr">
        <is>
          <t>Live source at 2021 (same basis as the columns left)</t>
        </is>
      </c>
    </row>
    <row r="851" ht="14" customHeight="1">
      <c r="A851" s="15" t="n">
        <v>2010</v>
      </c>
      <c r="B851" s="42">
        <f>IF((A851&gt;=2022),ROUND(((F851*(D851+E851))/G851),2),C851)</f>
        <v/>
      </c>
      <c r="C851" s="43" t="n">
        <v>30.02</v>
      </c>
      <c r="D851" s="43" t="n"/>
      <c r="E851" s="43" t="n"/>
      <c r="F851" s="43" t="n"/>
      <c r="G851" s="43" t="n"/>
    </row>
    <row r="852" ht="14" customHeight="1">
      <c r="A852" s="21" t="n">
        <v>2011</v>
      </c>
      <c r="B852" s="44">
        <f>IF((A852&gt;=2022),ROUND(((F852*(D852+E852))/G852),2),C852)</f>
        <v/>
      </c>
      <c r="C852" s="45" t="n">
        <v>30.07</v>
      </c>
      <c r="D852" s="45" t="n"/>
      <c r="E852" s="45" t="n"/>
      <c r="F852" s="45" t="n"/>
      <c r="G852" s="45" t="n"/>
    </row>
    <row r="853" ht="14" customHeight="1">
      <c r="A853" s="15" t="n">
        <v>2012</v>
      </c>
      <c r="B853" s="42">
        <f>IF((A853&gt;=2022),ROUND(((F853*(D853+E853))/G853),2),C853)</f>
        <v/>
      </c>
      <c r="C853" s="43" t="n">
        <v>29.05</v>
      </c>
      <c r="D853" s="43" t="n"/>
      <c r="E853" s="43" t="n"/>
      <c r="F853" s="43" t="n"/>
      <c r="G853" s="43" t="n"/>
    </row>
    <row r="854" ht="14" customHeight="1">
      <c r="A854" s="21" t="n">
        <v>2013</v>
      </c>
      <c r="B854" s="44">
        <f>IF((A854&gt;=2022),ROUND(((F854*(D854+E854))/G854),2),C854)</f>
        <v/>
      </c>
      <c r="C854" s="45" t="n">
        <v>28.24</v>
      </c>
      <c r="D854" s="45" t="n"/>
      <c r="E854" s="45" t="n"/>
      <c r="F854" s="45" t="n"/>
      <c r="G854" s="45" t="n"/>
    </row>
    <row r="855" ht="14" customHeight="1">
      <c r="A855" s="15" t="n">
        <v>2014</v>
      </c>
      <c r="B855" s="42">
        <f>IF((A855&gt;=2022),ROUND(((F855*(D855+E855))/G855),2),C855)</f>
        <v/>
      </c>
      <c r="C855" s="43" t="n">
        <v>28.73</v>
      </c>
      <c r="D855" s="43" t="n"/>
      <c r="E855" s="43" t="n"/>
      <c r="F855" s="43" t="n"/>
      <c r="G855" s="43" t="n"/>
    </row>
    <row r="856" ht="14" customHeight="1">
      <c r="A856" s="21" t="n">
        <v>2015</v>
      </c>
      <c r="B856" s="44">
        <f>IF((A856&gt;=2022),ROUND(((F856*(D856+E856))/G856),2),C856)</f>
        <v/>
      </c>
      <c r="C856" s="45" t="n">
        <v>29</v>
      </c>
      <c r="D856" s="45" t="n"/>
      <c r="E856" s="45" t="n"/>
      <c r="F856" s="45" t="n"/>
      <c r="G856" s="45" t="n"/>
    </row>
    <row r="857" ht="14" customHeight="1">
      <c r="A857" s="15" t="n">
        <v>2016</v>
      </c>
      <c r="B857" s="42">
        <f>IF((A857&gt;=2022),ROUND(((F857*(D857+E857))/G857),2),C857)</f>
        <v/>
      </c>
      <c r="C857" s="43" t="n">
        <v>28.76</v>
      </c>
      <c r="D857" s="43" t="n"/>
      <c r="E857" s="43" t="n"/>
      <c r="F857" s="43" t="n"/>
      <c r="G857" s="43" t="n"/>
    </row>
    <row r="858" ht="14" customHeight="1">
      <c r="A858" s="21" t="n">
        <v>2017</v>
      </c>
      <c r="B858" s="44">
        <f>IF((A858&gt;=2022),ROUND(((F858*(D858+E858))/G858),2),C858)</f>
        <v/>
      </c>
      <c r="C858" s="45" t="n">
        <v>29.03</v>
      </c>
      <c r="D858" s="45" t="n"/>
      <c r="E858" s="45" t="n"/>
      <c r="F858" s="45" t="n"/>
      <c r="G858" s="45" t="n"/>
    </row>
    <row r="859" ht="14" customHeight="1">
      <c r="A859" s="15" t="n">
        <v>2018</v>
      </c>
      <c r="B859" s="42">
        <f>IF((A859&gt;=2022),ROUND(((F859*(D859+E859))/G859),2),C859)</f>
        <v/>
      </c>
      <c r="C859" s="43" t="n">
        <v>28.99</v>
      </c>
      <c r="D859" s="43" t="n"/>
      <c r="E859" s="43" t="n"/>
      <c r="F859" s="43" t="n"/>
      <c r="G859" s="43" t="n"/>
    </row>
    <row r="860" ht="14" customHeight="1">
      <c r="A860" s="21" t="n">
        <v>2019</v>
      </c>
      <c r="B860" s="44">
        <f>IF((A860&gt;=2022),ROUND(((F860*(D860+E860))/G860),2),C860)</f>
        <v/>
      </c>
      <c r="C860" s="45" t="n">
        <v>28.78</v>
      </c>
      <c r="D860" s="45" t="n"/>
      <c r="E860" s="45" t="n"/>
      <c r="F860" s="45" t="n"/>
      <c r="G860" s="45" t="n"/>
    </row>
    <row r="861" ht="14" customHeight="1">
      <c r="A861" s="15" t="n">
        <v>2020</v>
      </c>
      <c r="B861" s="42">
        <f>IF((A861&gt;=2022),ROUND(((F861*(D861+E861))/G861),2),C861)</f>
        <v/>
      </c>
      <c r="C861" s="43" t="n">
        <v>29.34</v>
      </c>
      <c r="D861" s="43" t="n"/>
      <c r="E861" s="43" t="n"/>
      <c r="F861" s="43" t="n"/>
      <c r="G861" s="43" t="n"/>
    </row>
    <row r="862" ht="14" customHeight="1">
      <c r="A862" s="21" t="n">
        <v>2021</v>
      </c>
      <c r="B862" s="44">
        <f>IF((A862&gt;=2022),ROUND(((F862*(D862+E862))/G862),2),C862)</f>
        <v/>
      </c>
      <c r="C862" s="45" t="n">
        <v>28.58</v>
      </c>
      <c r="D862" s="45" t="n"/>
      <c r="E862" s="45" t="n"/>
      <c r="F862" s="45" t="n"/>
      <c r="G862" s="45" t="n"/>
    </row>
    <row r="863" ht="14" customHeight="1">
      <c r="A863" s="15" t="n">
        <v>2022</v>
      </c>
      <c r="B863" s="42">
        <f>IF((A863&gt;=2022),ROUND(((F863*(D863+E863))/G863),2),C863)</f>
        <v/>
      </c>
      <c r="C863" s="43" t="n"/>
      <c r="D863" s="43" t="n">
        <v>4.06167</v>
      </c>
      <c r="E863" s="43" t="n">
        <v>21.96053</v>
      </c>
      <c r="F863" s="43" t="n">
        <v>28.58</v>
      </c>
      <c r="G863" s="43" t="n">
        <v>26.55012</v>
      </c>
    </row>
    <row r="864" ht="14" customHeight="1">
      <c r="A864" s="21" t="n">
        <v>2023</v>
      </c>
      <c r="B864" s="44">
        <f>IF((A864&gt;=2022),ROUND(((F864*(D864+E864))/G864),2),C864)</f>
        <v/>
      </c>
      <c r="C864" s="45" t="n"/>
      <c r="D864" s="45" t="n">
        <v>3.97275</v>
      </c>
      <c r="E864" s="45" t="n">
        <v>20.93875</v>
      </c>
      <c r="F864" s="45" t="n">
        <v>28.58</v>
      </c>
      <c r="G864" s="45" t="n">
        <v>26.55012</v>
      </c>
    </row>
    <row r="865" ht="14" customHeight="1">
      <c r="A865" s="15" t="n">
        <v>2024</v>
      </c>
      <c r="B865" s="42">
        <f>IF((A865&gt;=2022),ROUND(((F865*(D865+E865))/G865),2),C865)</f>
        <v/>
      </c>
      <c r="C865" s="43" t="n"/>
      <c r="D865" s="43" t="n">
        <v>3.90006</v>
      </c>
      <c r="E865" s="43" t="n">
        <v>20.42516</v>
      </c>
      <c r="F865" s="43" t="n">
        <v>28.58</v>
      </c>
      <c r="G865" s="43" t="n">
        <v>26.55012</v>
      </c>
    </row>
    <row r="868">
      <c r="A868" s="51" t="inlineStr">
        <is>
          <t>A2 (pig, intensity) · Pig meat: GHG intensity (EU)  (t CO₂eq/t)</t>
        </is>
      </c>
    </row>
    <row r="869" ht="24" customHeight="1">
      <c r="A869" s="3" t="inlineStr">
        <is>
          <t>Derivation:  Value = IF(A &gt;= 2021, ROUND([Report baseline 2020 (t CO₂eq/t)] * ([Numerator · env_air_gge CRF3A3] + [Numerator · env_air_gge CRF3B3]) / ([Denominator · apro_mt_pann B3100]) / [Live source at 2020 (same basis as the columns left)], 3), [Report figure (2024 report underlying data)])</t>
        </is>
      </c>
    </row>
    <row r="870" ht="42" customHeight="1">
      <c r="A870" s="41" t="inlineStr">
        <is>
          <t>Year</t>
        </is>
      </c>
      <c r="B870" s="41" t="inlineStr">
        <is>
          <t>Value</t>
        </is>
      </c>
      <c r="C870" s="41" t="inlineStr">
        <is>
          <t>Report figure (2024 report underlying data)</t>
        </is>
      </c>
      <c r="D870" s="41" t="inlineStr">
        <is>
          <t>Numerator · env_air_gge CRF3A3</t>
        </is>
      </c>
      <c r="E870" s="41" t="inlineStr">
        <is>
          <t>Numerator · env_air_gge CRF3B3</t>
        </is>
      </c>
      <c r="F870" s="41" t="inlineStr">
        <is>
          <t>Denominator · apro_mt_pann B3100</t>
        </is>
      </c>
      <c r="G870" s="41" t="inlineStr">
        <is>
          <t>Report baseline 2020 (t CO₂eq/t)</t>
        </is>
      </c>
      <c r="H870" s="41" t="inlineStr">
        <is>
          <t>Live source at 2020 (same basis as the columns left)</t>
        </is>
      </c>
    </row>
    <row r="871" ht="14" customHeight="1">
      <c r="A871" s="15" t="n">
        <v>2010</v>
      </c>
      <c r="B871" s="42">
        <f>IF((A871&gt;=2021),ROUND((((G871*(D871+E871))/F871)/H871),3),C871)</f>
        <v/>
      </c>
      <c r="C871" s="43" t="n">
        <v>1.351</v>
      </c>
      <c r="D871" s="43" t="n"/>
      <c r="E871" s="43" t="n"/>
      <c r="F871" s="43" t="n"/>
      <c r="G871" s="43" t="n"/>
      <c r="H871" s="43" t="n"/>
    </row>
    <row r="872" ht="14" customHeight="1">
      <c r="A872" s="21" t="n">
        <v>2011</v>
      </c>
      <c r="B872" s="44">
        <f>IF((A872&gt;=2021),ROUND((((G872*(D872+E872))/F872)/H872),3),C872)</f>
        <v/>
      </c>
      <c r="C872" s="45" t="n">
        <v>1.339</v>
      </c>
      <c r="D872" s="45" t="n"/>
      <c r="E872" s="45" t="n"/>
      <c r="F872" s="45" t="n"/>
      <c r="G872" s="45" t="n"/>
      <c r="H872" s="45" t="n"/>
    </row>
    <row r="873" ht="14" customHeight="1">
      <c r="A873" s="15" t="n">
        <v>2012</v>
      </c>
      <c r="B873" s="42">
        <f>IF((A873&gt;=2021),ROUND((((G873*(D873+E873))/F873)/H873),3),C873)</f>
        <v/>
      </c>
      <c r="C873" s="43" t="n">
        <v>1.32</v>
      </c>
      <c r="D873" s="43" t="n"/>
      <c r="E873" s="43" t="n"/>
      <c r="F873" s="43" t="n"/>
      <c r="G873" s="43" t="n"/>
      <c r="H873" s="43" t="n"/>
    </row>
    <row r="874" ht="14" customHeight="1">
      <c r="A874" s="21" t="n">
        <v>2013</v>
      </c>
      <c r="B874" s="44">
        <f>IF((A874&gt;=2021),ROUND((((G874*(D874+E874))/F874)/H874),3),C874)</f>
        <v/>
      </c>
      <c r="C874" s="45" t="n">
        <v>1.302</v>
      </c>
      <c r="D874" s="45" t="n"/>
      <c r="E874" s="45" t="n"/>
      <c r="F874" s="45" t="n"/>
      <c r="G874" s="45" t="n"/>
      <c r="H874" s="45" t="n"/>
    </row>
    <row r="875" ht="14" customHeight="1">
      <c r="A875" s="15" t="n">
        <v>2014</v>
      </c>
      <c r="B875" s="42">
        <f>IF((A875&gt;=2021),ROUND((((G875*(D875+E875))/F875)/H875),3),C875)</f>
        <v/>
      </c>
      <c r="C875" s="43" t="n">
        <v>1.321</v>
      </c>
      <c r="D875" s="43" t="n"/>
      <c r="E875" s="43" t="n"/>
      <c r="F875" s="43" t="n"/>
      <c r="G875" s="43" t="n"/>
      <c r="H875" s="43" t="n"/>
    </row>
    <row r="876" ht="14" customHeight="1">
      <c r="A876" s="21" t="n">
        <v>2015</v>
      </c>
      <c r="B876" s="44">
        <f>IF((A876&gt;=2021),ROUND((((G876*(D876+E876))/F876)/H876),3),C876)</f>
        <v/>
      </c>
      <c r="C876" s="45" t="n">
        <v>1.285</v>
      </c>
      <c r="D876" s="45" t="n"/>
      <c r="E876" s="45" t="n"/>
      <c r="F876" s="45" t="n"/>
      <c r="G876" s="45" t="n"/>
      <c r="H876" s="45" t="n"/>
    </row>
    <row r="877" ht="14" customHeight="1">
      <c r="A877" s="15" t="n">
        <v>2016</v>
      </c>
      <c r="B877" s="42">
        <f>IF((A877&gt;=2021),ROUND((((G877*(D877+E877))/F877)/H877),3),C877)</f>
        <v/>
      </c>
      <c r="C877" s="43" t="n">
        <v>1.253</v>
      </c>
      <c r="D877" s="43" t="n"/>
      <c r="E877" s="43" t="n"/>
      <c r="F877" s="43" t="n"/>
      <c r="G877" s="43" t="n"/>
      <c r="H877" s="43" t="n"/>
    </row>
    <row r="878" ht="14" customHeight="1">
      <c r="A878" s="21" t="n">
        <v>2017</v>
      </c>
      <c r="B878" s="44">
        <f>IF((A878&gt;=2021),ROUND((((G878*(D878+E878))/F878)/H878),3),C878)</f>
        <v/>
      </c>
      <c r="C878" s="45" t="n">
        <v>1.272</v>
      </c>
      <c r="D878" s="45" t="n"/>
      <c r="E878" s="45" t="n"/>
      <c r="F878" s="45" t="n"/>
      <c r="G878" s="45" t="n"/>
      <c r="H878" s="45" t="n"/>
    </row>
    <row r="879" ht="14" customHeight="1">
      <c r="A879" s="15" t="n">
        <v>2018</v>
      </c>
      <c r="B879" s="42">
        <f>IF((A879&gt;=2021),ROUND((((G879*(D879+E879))/F879)/H879),3),C879)</f>
        <v/>
      </c>
      <c r="C879" s="43" t="n">
        <v>1.248</v>
      </c>
      <c r="D879" s="43" t="n"/>
      <c r="E879" s="43" t="n"/>
      <c r="F879" s="43" t="n"/>
      <c r="G879" s="43" t="n"/>
      <c r="H879" s="43" t="n"/>
    </row>
    <row r="880" ht="14" customHeight="1">
      <c r="A880" s="21" t="n">
        <v>2019</v>
      </c>
      <c r="B880" s="44">
        <f>IF((A880&gt;=2021),ROUND((((G880*(D880+E880))/F880)/H880),3),C880)</f>
        <v/>
      </c>
      <c r="C880" s="45" t="n">
        <v>1.251</v>
      </c>
      <c r="D880" s="45" t="n"/>
      <c r="E880" s="45" t="n"/>
      <c r="F880" s="45" t="n"/>
      <c r="G880" s="45" t="n"/>
      <c r="H880" s="45" t="n"/>
    </row>
    <row r="881" ht="14" customHeight="1">
      <c r="A881" s="15" t="n">
        <v>2020</v>
      </c>
      <c r="B881" s="42">
        <f>IF((A881&gt;=2021),ROUND((((G881*(D881+E881))/F881)/H881),3),C881)</f>
        <v/>
      </c>
      <c r="C881" s="43" t="n">
        <v>1.264</v>
      </c>
      <c r="D881" s="43" t="n"/>
      <c r="E881" s="43" t="n"/>
      <c r="F881" s="43" t="n"/>
      <c r="G881" s="43" t="n"/>
      <c r="H881" s="43" t="n"/>
    </row>
    <row r="882" ht="14" customHeight="1">
      <c r="A882" s="21" t="n">
        <v>2021</v>
      </c>
      <c r="B882" s="44">
        <f>IF((A882&gt;=2021),ROUND((((G882*(D882+E882))/F882)/H882),3),C882)</f>
        <v/>
      </c>
      <c r="C882" s="45" t="n"/>
      <c r="D882" s="45" t="n">
        <v>4.28352</v>
      </c>
      <c r="E882" s="45" t="n">
        <v>22.2666</v>
      </c>
      <c r="F882" s="45" t="n">
        <v>23393.67</v>
      </c>
      <c r="G882" s="45" t="n">
        <v>1.264</v>
      </c>
      <c r="H882" s="45" t="n">
        <v>0.001177</v>
      </c>
    </row>
    <row r="883" ht="14" customHeight="1">
      <c r="A883" s="15" t="n">
        <v>2022</v>
      </c>
      <c r="B883" s="42">
        <f>IF((A883&gt;=2021),ROUND((((G883*(D883+E883))/F883)/H883),3),C883)</f>
        <v/>
      </c>
      <c r="C883" s="43" t="n"/>
      <c r="D883" s="43" t="n">
        <v>4.06167</v>
      </c>
      <c r="E883" s="43" t="n">
        <v>21.96053</v>
      </c>
      <c r="F883" s="43" t="n">
        <v>22065.92</v>
      </c>
      <c r="G883" s="43" t="n">
        <v>1.264</v>
      </c>
      <c r="H883" s="43" t="n">
        <v>0.001177</v>
      </c>
    </row>
    <row r="884" ht="14" customHeight="1">
      <c r="A884" s="21" t="n">
        <v>2023</v>
      </c>
      <c r="B884" s="44">
        <f>IF((A884&gt;=2021),ROUND((((G884*(D884+E884))/F884)/H884),3),C884)</f>
        <v/>
      </c>
      <c r="C884" s="45" t="n"/>
      <c r="D884" s="45" t="n">
        <v>3.97275</v>
      </c>
      <c r="E884" s="45" t="n">
        <v>20.93875</v>
      </c>
      <c r="F884" s="45" t="n">
        <v>20641.09</v>
      </c>
      <c r="G884" s="45" t="n">
        <v>1.264</v>
      </c>
      <c r="H884" s="45" t="n">
        <v>0.001177</v>
      </c>
    </row>
    <row r="885" ht="14" customHeight="1">
      <c r="A885" s="15" t="n">
        <v>2024</v>
      </c>
      <c r="B885" s="42">
        <f>IF((A885&gt;=2021),ROUND((((G885*(D885+E885))/F885)/H885),3),C885)</f>
        <v/>
      </c>
      <c r="C885" s="43" t="n"/>
      <c r="D885" s="43" t="n">
        <v>3.90006</v>
      </c>
      <c r="E885" s="43" t="n">
        <v>20.42516</v>
      </c>
      <c r="F885" s="43" t="n">
        <v>21091.62</v>
      </c>
      <c r="G885" s="43" t="n">
        <v>1.264</v>
      </c>
      <c r="H885" s="43" t="n">
        <v>0.001177</v>
      </c>
    </row>
    <row r="888">
      <c r="A888" s="51" t="inlineStr">
        <is>
          <t>A2 (pig, production) · Pig meat: production (EU)  (Mt)</t>
        </is>
      </c>
    </row>
    <row r="889" ht="24" customHeight="1">
      <c r="A889" s="3" t="inlineStr">
        <is>
          <t>Derivation:  Value = IF(A &gt;= 2021, ROUND([apro_mt_pann B3100] * [Unit conversion (× 0.001)], 2), [Report figure (2024 report underlying data)])</t>
        </is>
      </c>
    </row>
    <row r="890" ht="42" customHeight="1">
      <c r="A890" s="41" t="inlineStr">
        <is>
          <t>Year</t>
        </is>
      </c>
      <c r="B890" s="41" t="inlineStr">
        <is>
          <t>Value</t>
        </is>
      </c>
      <c r="C890" s="41" t="inlineStr">
        <is>
          <t>Report figure (2024 report underlying data)</t>
        </is>
      </c>
      <c r="D890" s="41" t="inlineStr">
        <is>
          <t>apro_mt_pann B3100</t>
        </is>
      </c>
      <c r="E890" s="41" t="inlineStr">
        <is>
          <t>Unit conversion (× 0.001)</t>
        </is>
      </c>
    </row>
    <row r="891" ht="14" customHeight="1">
      <c r="A891" s="15" t="n">
        <v>2010</v>
      </c>
      <c r="B891" s="42">
        <f>IF((A891&gt;=2021),ROUND((D891*E891),2),C891)</f>
        <v/>
      </c>
      <c r="C891" s="43" t="n">
        <v>22.22</v>
      </c>
      <c r="D891" s="43" t="n"/>
      <c r="E891" s="43" t="n"/>
    </row>
    <row r="892" ht="14" customHeight="1">
      <c r="A892" s="21" t="n">
        <v>2011</v>
      </c>
      <c r="B892" s="44">
        <f>IF((A892&gt;=2021),ROUND((D892*E892),2),C892)</f>
        <v/>
      </c>
      <c r="C892" s="45" t="n">
        <v>22.46</v>
      </c>
      <c r="D892" s="45" t="n"/>
      <c r="E892" s="45" t="n"/>
    </row>
    <row r="893" ht="14" customHeight="1">
      <c r="A893" s="15" t="n">
        <v>2012</v>
      </c>
      <c r="B893" s="42">
        <f>IF((A893&gt;=2021),ROUND((D893*E893),2),C893)</f>
        <v/>
      </c>
      <c r="C893" s="43" t="n">
        <v>22</v>
      </c>
      <c r="D893" s="43" t="n"/>
      <c r="E893" s="43" t="n"/>
    </row>
    <row r="894" ht="14" customHeight="1">
      <c r="A894" s="21" t="n">
        <v>2013</v>
      </c>
      <c r="B894" s="44">
        <f>IF((A894&gt;=2021),ROUND((D894*E894),2),C894)</f>
        <v/>
      </c>
      <c r="C894" s="45" t="n">
        <v>21.69</v>
      </c>
      <c r="D894" s="45" t="n"/>
      <c r="E894" s="45" t="n"/>
    </row>
    <row r="895" ht="14" customHeight="1">
      <c r="A895" s="15" t="n">
        <v>2014</v>
      </c>
      <c r="B895" s="42">
        <f>IF((A895&gt;=2021),ROUND((D895*E895),2),C895)</f>
        <v/>
      </c>
      <c r="C895" s="43" t="n">
        <v>21.75</v>
      </c>
      <c r="D895" s="43" t="n"/>
      <c r="E895" s="43" t="n"/>
    </row>
    <row r="896" ht="14" customHeight="1">
      <c r="A896" s="21" t="n">
        <v>2015</v>
      </c>
      <c r="B896" s="44">
        <f>IF((A896&gt;=2021),ROUND((D896*E896),2),C896)</f>
        <v/>
      </c>
      <c r="C896" s="45" t="n">
        <v>22.57</v>
      </c>
      <c r="D896" s="45" t="n"/>
      <c r="E896" s="45" t="n"/>
    </row>
    <row r="897" ht="14" customHeight="1">
      <c r="A897" s="15" t="n">
        <v>2016</v>
      </c>
      <c r="B897" s="42">
        <f>IF((A897&gt;=2021),ROUND((D897*E897),2),C897)</f>
        <v/>
      </c>
      <c r="C897" s="43" t="n">
        <v>22.95</v>
      </c>
      <c r="D897" s="43" t="n"/>
      <c r="E897" s="43" t="n"/>
    </row>
    <row r="898" ht="14" customHeight="1">
      <c r="A898" s="21" t="n">
        <v>2017</v>
      </c>
      <c r="B898" s="44">
        <f>IF((A898&gt;=2021),ROUND((D898*E898),2),C898)</f>
        <v/>
      </c>
      <c r="C898" s="45" t="n">
        <v>22.82</v>
      </c>
      <c r="D898" s="45" t="n"/>
      <c r="E898" s="45" t="n"/>
    </row>
    <row r="899" ht="14" customHeight="1">
      <c r="A899" s="15" t="n">
        <v>2018</v>
      </c>
      <c r="B899" s="42">
        <f>IF((A899&gt;=2021),ROUND((D899*E899),2),C899)</f>
        <v/>
      </c>
      <c r="C899" s="43" t="n">
        <v>23.22</v>
      </c>
      <c r="D899" s="43" t="n"/>
      <c r="E899" s="43" t="n"/>
    </row>
    <row r="900" ht="14" customHeight="1">
      <c r="A900" s="21" t="n">
        <v>2019</v>
      </c>
      <c r="B900" s="44">
        <f>IF((A900&gt;=2021),ROUND((D900*E900),2),C900)</f>
        <v/>
      </c>
      <c r="C900" s="45" t="n">
        <v>23</v>
      </c>
      <c r="D900" s="45" t="n"/>
      <c r="E900" s="45" t="n"/>
    </row>
    <row r="901" ht="14" customHeight="1">
      <c r="A901" s="15" t="n">
        <v>2020</v>
      </c>
      <c r="B901" s="42">
        <f>IF((A901&gt;=2021),ROUND((D901*E901),2),C901)</f>
        <v/>
      </c>
      <c r="C901" s="43" t="n">
        <v>23.22</v>
      </c>
      <c r="D901" s="43" t="n"/>
      <c r="E901" s="43" t="n"/>
    </row>
    <row r="902" ht="14" customHeight="1">
      <c r="A902" s="21" t="n">
        <v>2021</v>
      </c>
      <c r="B902" s="44">
        <f>IF((A902&gt;=2021),ROUND((D902*E902),2),C902)</f>
        <v/>
      </c>
      <c r="C902" s="45" t="n"/>
      <c r="D902" s="45" t="n">
        <v>23393.67</v>
      </c>
      <c r="E902" s="45" t="n">
        <v>0.001</v>
      </c>
    </row>
    <row r="903" ht="14" customHeight="1">
      <c r="A903" s="15" t="n">
        <v>2022</v>
      </c>
      <c r="B903" s="42">
        <f>IF((A903&gt;=2021),ROUND((D903*E903),2),C903)</f>
        <v/>
      </c>
      <c r="C903" s="43" t="n"/>
      <c r="D903" s="43" t="n">
        <v>22065.92</v>
      </c>
      <c r="E903" s="43" t="n">
        <v>0.001</v>
      </c>
    </row>
    <row r="904" ht="14" customHeight="1">
      <c r="A904" s="21" t="n">
        <v>2023</v>
      </c>
      <c r="B904" s="44">
        <f>IF((A904&gt;=2021),ROUND((D904*E904),2),C904)</f>
        <v/>
      </c>
      <c r="C904" s="45" t="n"/>
      <c r="D904" s="45" t="n">
        <v>20641.09</v>
      </c>
      <c r="E904" s="45" t="n">
        <v>0.001</v>
      </c>
    </row>
    <row r="905" ht="14" customHeight="1">
      <c r="A905" s="15" t="n">
        <v>2024</v>
      </c>
      <c r="B905" s="42">
        <f>IF((A905&gt;=2021),ROUND((D905*E905),2),C905)</f>
        <v/>
      </c>
      <c r="C905" s="43" t="n"/>
      <c r="D905" s="43" t="n">
        <v>21091.62</v>
      </c>
      <c r="E905" s="43" t="n">
        <v>0.001</v>
      </c>
    </row>
    <row r="906" ht="14" customHeight="1">
      <c r="A906" s="21" t="n">
        <v>2025</v>
      </c>
      <c r="B906" s="44">
        <f>IF((A906&gt;=2021),ROUND((D906*E906),2),C906)</f>
        <v/>
      </c>
      <c r="C906" s="45" t="n"/>
      <c r="D906" s="45" t="n">
        <v>21837.73</v>
      </c>
      <c r="E906" s="45" t="n">
        <v>0.001</v>
      </c>
    </row>
    <row r="909">
      <c r="A909" s="51" t="inlineStr">
        <is>
          <t>A4 (bovine, herd) · Bovine meat: herd size (EU)  (million heads)</t>
        </is>
      </c>
    </row>
    <row r="910" ht="24" customHeight="1">
      <c r="A910" s="3" t="inlineStr">
        <is>
          <t>Derivation:  Value = IF(A &gt;= 2021, ROUND([Report baseline 2020 (million heads)] * [apro_mt_lscatl A2000] / [Live source at 2020 (same basis as the columns left)], 2), [Report figure (2024 report underlying data)])</t>
        </is>
      </c>
    </row>
    <row r="911" ht="42" customHeight="1">
      <c r="A911" s="41" t="inlineStr">
        <is>
          <t>Year</t>
        </is>
      </c>
      <c r="B911" s="41" t="inlineStr">
        <is>
          <t>Value</t>
        </is>
      </c>
      <c r="C911" s="41" t="inlineStr">
        <is>
          <t>Report figure (2024 report underlying data)</t>
        </is>
      </c>
      <c r="D911" s="41" t="inlineStr">
        <is>
          <t>apro_mt_lscatl A2000</t>
        </is>
      </c>
      <c r="E911" s="41" t="inlineStr">
        <is>
          <t>Report baseline 2020 (million heads)</t>
        </is>
      </c>
      <c r="F911" s="41" t="inlineStr">
        <is>
          <t>Live source at 2020 (same basis as the columns left)</t>
        </is>
      </c>
    </row>
    <row r="912" ht="14" customHeight="1">
      <c r="A912" s="15" t="n">
        <v>2010</v>
      </c>
      <c r="B912" s="42">
        <f>IF((A912&gt;=2021),ROUND(((E912*D912)/F912),2),C912)</f>
        <v/>
      </c>
      <c r="C912" s="43" t="n">
        <v>60.59</v>
      </c>
      <c r="D912" s="43" t="n"/>
      <c r="E912" s="43" t="n"/>
      <c r="F912" s="43" t="n"/>
    </row>
    <row r="913" ht="14" customHeight="1">
      <c r="A913" s="21" t="n">
        <v>2011</v>
      </c>
      <c r="B913" s="44">
        <f>IF((A913&gt;=2021),ROUND(((E913*D913)/F913),2),C913)</f>
        <v/>
      </c>
      <c r="C913" s="45" t="n">
        <v>59.66</v>
      </c>
      <c r="D913" s="45" t="n"/>
      <c r="E913" s="45" t="n"/>
      <c r="F913" s="45" t="n"/>
    </row>
    <row r="914" ht="14" customHeight="1">
      <c r="A914" s="15" t="n">
        <v>2012</v>
      </c>
      <c r="B914" s="42">
        <f>IF((A914&gt;=2021),ROUND(((E914*D914)/F914),2),C914)</f>
        <v/>
      </c>
      <c r="C914" s="43" t="n">
        <v>59.61</v>
      </c>
      <c r="D914" s="43" t="n"/>
      <c r="E914" s="43" t="n"/>
      <c r="F914" s="43" t="n"/>
    </row>
    <row r="915" ht="14" customHeight="1">
      <c r="A915" s="21" t="n">
        <v>2013</v>
      </c>
      <c r="B915" s="44">
        <f>IF((A915&gt;=2021),ROUND(((E915*D915)/F915),2),C915)</f>
        <v/>
      </c>
      <c r="C915" s="45" t="n">
        <v>60.17</v>
      </c>
      <c r="D915" s="45" t="n"/>
      <c r="E915" s="45" t="n"/>
      <c r="F915" s="45" t="n"/>
    </row>
    <row r="916" ht="14" customHeight="1">
      <c r="A916" s="15" t="n">
        <v>2014</v>
      </c>
      <c r="B916" s="42">
        <f>IF((A916&gt;=2021),ROUND(((E916*D916)/F916),2),C916)</f>
        <v/>
      </c>
      <c r="C916" s="43" t="n">
        <v>60.89</v>
      </c>
      <c r="D916" s="43" t="n"/>
      <c r="E916" s="43" t="n"/>
      <c r="F916" s="43" t="n"/>
    </row>
    <row r="917" ht="14" customHeight="1">
      <c r="A917" s="21" t="n">
        <v>2015</v>
      </c>
      <c r="B917" s="44">
        <f>IF((A917&gt;=2021),ROUND(((E917*D917)/F917),2),C917)</f>
        <v/>
      </c>
      <c r="C917" s="45" t="n">
        <v>61.36</v>
      </c>
      <c r="D917" s="45" t="n"/>
      <c r="E917" s="45" t="n"/>
      <c r="F917" s="45" t="n"/>
    </row>
    <row r="918" ht="14" customHeight="1">
      <c r="A918" s="15" t="n">
        <v>2016</v>
      </c>
      <c r="B918" s="42">
        <f>IF((A918&gt;=2021),ROUND(((E918*D918)/F918),2),C918)</f>
        <v/>
      </c>
      <c r="C918" s="43" t="n">
        <v>62.01</v>
      </c>
      <c r="D918" s="43" t="n"/>
      <c r="E918" s="43" t="n"/>
      <c r="F918" s="43" t="n"/>
    </row>
    <row r="919" ht="14" customHeight="1">
      <c r="A919" s="21" t="n">
        <v>2017</v>
      </c>
      <c r="B919" s="44">
        <f>IF((A919&gt;=2021),ROUND(((E919*D919)/F919),2),C919)</f>
        <v/>
      </c>
      <c r="C919" s="45" t="n">
        <v>61.87</v>
      </c>
      <c r="D919" s="45" t="n"/>
      <c r="E919" s="45" t="n"/>
      <c r="F919" s="45" t="n"/>
    </row>
    <row r="920" ht="14" customHeight="1">
      <c r="A920" s="15" t="n">
        <v>2018</v>
      </c>
      <c r="B920" s="42">
        <f>IF((A920&gt;=2021),ROUND(((E920*D920)/F920),2),C920)</f>
        <v/>
      </c>
      <c r="C920" s="43" t="n">
        <v>61.28</v>
      </c>
      <c r="D920" s="43" t="n"/>
      <c r="E920" s="43" t="n"/>
      <c r="F920" s="43" t="n"/>
    </row>
    <row r="921" ht="14" customHeight="1">
      <c r="A921" s="21" t="n">
        <v>2019</v>
      </c>
      <c r="B921" s="44">
        <f>IF((A921&gt;=2021),ROUND(((E921*D921)/F921),2),C921)</f>
        <v/>
      </c>
      <c r="C921" s="45" t="n">
        <v>60.59</v>
      </c>
      <c r="D921" s="45" t="n"/>
      <c r="E921" s="45" t="n"/>
      <c r="F921" s="45" t="n"/>
    </row>
    <row r="922" ht="14" customHeight="1">
      <c r="A922" s="15" t="n">
        <v>2020</v>
      </c>
      <c r="B922" s="42">
        <f>IF((A922&gt;=2021),ROUND(((E922*D922)/F922),2),C922)</f>
        <v/>
      </c>
      <c r="C922" s="43" t="n">
        <v>60.16</v>
      </c>
      <c r="D922" s="43" t="n"/>
      <c r="E922" s="43" t="n"/>
      <c r="F922" s="43" t="n"/>
    </row>
    <row r="923" ht="14" customHeight="1">
      <c r="A923" s="21" t="n">
        <v>2021</v>
      </c>
      <c r="B923" s="44">
        <f>IF((A923&gt;=2021),ROUND(((E923*D923)/F923),2),C923)</f>
        <v/>
      </c>
      <c r="C923" s="45" t="n"/>
      <c r="D923" s="45" t="n">
        <v>75705.3</v>
      </c>
      <c r="E923" s="45" t="n">
        <v>60.16</v>
      </c>
      <c r="F923" s="45" t="n">
        <v>76551.10000000001</v>
      </c>
    </row>
    <row r="924" ht="14" customHeight="1">
      <c r="A924" s="15" t="n">
        <v>2022</v>
      </c>
      <c r="B924" s="42">
        <f>IF((A924&gt;=2021),ROUND(((E924*D924)/F924),2),C924)</f>
        <v/>
      </c>
      <c r="C924" s="43" t="n"/>
      <c r="D924" s="43" t="n">
        <v>74807.63</v>
      </c>
      <c r="E924" s="43" t="n">
        <v>60.16</v>
      </c>
      <c r="F924" s="43" t="n">
        <v>76551.10000000001</v>
      </c>
    </row>
    <row r="925" ht="14" customHeight="1">
      <c r="A925" s="21" t="n">
        <v>2023</v>
      </c>
      <c r="B925" s="44">
        <f>IF((A925&gt;=2021),ROUND(((E925*D925)/F925),2),C925)</f>
        <v/>
      </c>
      <c r="C925" s="45" t="n"/>
      <c r="D925" s="45" t="n">
        <v>73761.42999999999</v>
      </c>
      <c r="E925" s="45" t="n">
        <v>60.16</v>
      </c>
      <c r="F925" s="45" t="n">
        <v>76551.10000000001</v>
      </c>
    </row>
    <row r="926" ht="14" customHeight="1">
      <c r="A926" s="15" t="n">
        <v>2024</v>
      </c>
      <c r="B926" s="42">
        <f>IF((A926&gt;=2021),ROUND(((E926*D926)/F926),2),C926)</f>
        <v/>
      </c>
      <c r="C926" s="43" t="n"/>
      <c r="D926" s="43" t="n">
        <v>71896.32000000001</v>
      </c>
      <c r="E926" s="43" t="n">
        <v>60.16</v>
      </c>
      <c r="F926" s="43" t="n">
        <v>76551.10000000001</v>
      </c>
    </row>
    <row r="927" ht="14" customHeight="1">
      <c r="A927" s="21" t="n">
        <v>2025</v>
      </c>
      <c r="B927" s="44">
        <f>IF((A927&gt;=2021),ROUND(((E927*D927)/F927),2),C927)</f>
        <v/>
      </c>
      <c r="C927" s="45" t="n"/>
      <c r="D927" s="45" t="n">
        <v>71583.23</v>
      </c>
      <c r="E927" s="45" t="n">
        <v>60.16</v>
      </c>
      <c r="F927" s="45" t="n">
        <v>76551.10000000001</v>
      </c>
    </row>
    <row r="930">
      <c r="A930" s="51" t="inlineStr">
        <is>
          <t>A4 (bovine, production) · Bovine meat: production (EU)  (Mt)</t>
        </is>
      </c>
    </row>
    <row r="931" ht="24" customHeight="1">
      <c r="A931" s="3" t="inlineStr">
        <is>
          <t>Derivation:  Value = IF(A &gt;= 2021, ROUND([apro_mt_pann B1000] * [Unit conversion (× 0.001)], 3), [Report figure (2024 report underlying data)])</t>
        </is>
      </c>
    </row>
    <row r="932" ht="42" customHeight="1">
      <c r="A932" s="41" t="inlineStr">
        <is>
          <t>Year</t>
        </is>
      </c>
      <c r="B932" s="41" t="inlineStr">
        <is>
          <t>Value</t>
        </is>
      </c>
      <c r="C932" s="41" t="inlineStr">
        <is>
          <t>Report figure (2024 report underlying data)</t>
        </is>
      </c>
      <c r="D932" s="41" t="inlineStr">
        <is>
          <t>apro_mt_pann B1000</t>
        </is>
      </c>
      <c r="E932" s="41" t="inlineStr">
        <is>
          <t>Unit conversion (× 0.001)</t>
        </is>
      </c>
    </row>
    <row r="933" ht="14" customHeight="1">
      <c r="A933" s="15" t="n">
        <v>2010</v>
      </c>
      <c r="B933" s="42">
        <f>IF((A933&gt;=2021),ROUND((D933*E933),3),C933)</f>
        <v/>
      </c>
      <c r="C933" s="43" t="n">
        <v>7.257</v>
      </c>
      <c r="D933" s="43" t="n"/>
      <c r="E933" s="43" t="n"/>
    </row>
    <row r="934" ht="14" customHeight="1">
      <c r="A934" s="21" t="n">
        <v>2011</v>
      </c>
      <c r="B934" s="44">
        <f>IF((A934&gt;=2021),ROUND((D934*E934),3),C934)</f>
        <v/>
      </c>
      <c r="C934" s="45" t="n">
        <v>7.126</v>
      </c>
      <c r="D934" s="45" t="n"/>
      <c r="E934" s="45" t="n"/>
    </row>
    <row r="935" ht="14" customHeight="1">
      <c r="A935" s="15" t="n">
        <v>2012</v>
      </c>
      <c r="B935" s="42">
        <f>IF((A935&gt;=2021),ROUND((D935*E935),3),C935)</f>
        <v/>
      </c>
      <c r="C935" s="43" t="n">
        <v>6.857</v>
      </c>
      <c r="D935" s="43" t="n"/>
      <c r="E935" s="43" t="n"/>
    </row>
    <row r="936" ht="14" customHeight="1">
      <c r="A936" s="21" t="n">
        <v>2013</v>
      </c>
      <c r="B936" s="44">
        <f>IF((A936&gt;=2021),ROUND((D936*E936),3),C936)</f>
        <v/>
      </c>
      <c r="C936" s="45" t="n">
        <v>6.567</v>
      </c>
      <c r="D936" s="45" t="n"/>
      <c r="E936" s="45" t="n"/>
    </row>
    <row r="937" ht="14" customHeight="1">
      <c r="A937" s="15" t="n">
        <v>2014</v>
      </c>
      <c r="B937" s="42">
        <f>IF((A937&gt;=2021),ROUND((D937*E937),3),C937)</f>
        <v/>
      </c>
      <c r="C937" s="43" t="n">
        <v>6.597</v>
      </c>
      <c r="D937" s="43" t="n"/>
      <c r="E937" s="43" t="n"/>
    </row>
    <row r="938" ht="14" customHeight="1">
      <c r="A938" s="21" t="n">
        <v>2015</v>
      </c>
      <c r="B938" s="44">
        <f>IF((A938&gt;=2021),ROUND((D938*E938),3),C938)</f>
        <v/>
      </c>
      <c r="C938" s="45" t="n">
        <v>6.827</v>
      </c>
      <c r="D938" s="45" t="n"/>
      <c r="E938" s="45" t="n"/>
    </row>
    <row r="939" ht="14" customHeight="1">
      <c r="A939" s="15" t="n">
        <v>2016</v>
      </c>
      <c r="B939" s="42">
        <f>IF((A939&gt;=2021),ROUND((D939*E939),3),C939)</f>
        <v/>
      </c>
      <c r="C939" s="43" t="n">
        <v>6.999</v>
      </c>
      <c r="D939" s="43" t="n"/>
      <c r="E939" s="43" t="n"/>
    </row>
    <row r="940" ht="14" customHeight="1">
      <c r="A940" s="21" t="n">
        <v>2017</v>
      </c>
      <c r="B940" s="44">
        <f>IF((A940&gt;=2021),ROUND((D940*E940),3),C940)</f>
        <v/>
      </c>
      <c r="C940" s="45" t="n">
        <v>6.993</v>
      </c>
      <c r="D940" s="45" t="n"/>
      <c r="E940" s="45" t="n"/>
    </row>
    <row r="941" ht="14" customHeight="1">
      <c r="A941" s="15" t="n">
        <v>2018</v>
      </c>
      <c r="B941" s="42">
        <f>IF((A941&gt;=2021),ROUND((D941*E941),3),C941)</f>
        <v/>
      </c>
      <c r="C941" s="43" t="n">
        <v>7.112</v>
      </c>
      <c r="D941" s="43" t="n"/>
      <c r="E941" s="43" t="n"/>
    </row>
    <row r="942" ht="14" customHeight="1">
      <c r="A942" s="21" t="n">
        <v>2019</v>
      </c>
      <c r="B942" s="44">
        <f>IF((A942&gt;=2021),ROUND((D942*E942),3),C942)</f>
        <v/>
      </c>
      <c r="C942" s="45" t="n">
        <v>6.999</v>
      </c>
      <c r="D942" s="45" t="n"/>
      <c r="E942" s="45" t="n"/>
    </row>
    <row r="943" ht="14" customHeight="1">
      <c r="A943" s="15" t="n">
        <v>2020</v>
      </c>
      <c r="B943" s="42">
        <f>IF((A943&gt;=2021),ROUND((D943*E943),3),C943)</f>
        <v/>
      </c>
      <c r="C943" s="43" t="n">
        <v>6.936</v>
      </c>
      <c r="D943" s="43" t="n"/>
      <c r="E943" s="43" t="n"/>
    </row>
    <row r="944" ht="14" customHeight="1">
      <c r="A944" s="21" t="n">
        <v>2021</v>
      </c>
      <c r="B944" s="44">
        <f>IF((A944&gt;=2021),ROUND((D944*E944),3),C944)</f>
        <v/>
      </c>
      <c r="C944" s="45" t="n"/>
      <c r="D944" s="45" t="n">
        <v>6801.91</v>
      </c>
      <c r="E944" s="45" t="n">
        <v>0.001</v>
      </c>
    </row>
    <row r="945" ht="14" customHeight="1">
      <c r="A945" s="15" t="n">
        <v>2022</v>
      </c>
      <c r="B945" s="42">
        <f>IF((A945&gt;=2021),ROUND((D945*E945),3),C945)</f>
        <v/>
      </c>
      <c r="C945" s="43" t="n"/>
      <c r="D945" s="43" t="n">
        <v>6640.26</v>
      </c>
      <c r="E945" s="43" t="n">
        <v>0.001</v>
      </c>
    </row>
    <row r="946" ht="14" customHeight="1">
      <c r="A946" s="21" t="n">
        <v>2023</v>
      </c>
      <c r="B946" s="44">
        <f>IF((A946&gt;=2021),ROUND((D946*E946),3),C946)</f>
        <v/>
      </c>
      <c r="C946" s="45" t="n"/>
      <c r="D946" s="45" t="n">
        <v>6384.77</v>
      </c>
      <c r="E946" s="45" t="n">
        <v>0.001</v>
      </c>
    </row>
    <row r="947" ht="14" customHeight="1">
      <c r="A947" s="15" t="n">
        <v>2024</v>
      </c>
      <c r="B947" s="42">
        <f>IF((A947&gt;=2021),ROUND((D947*E947),3),C947)</f>
        <v/>
      </c>
      <c r="C947" s="43" t="n"/>
      <c r="D947" s="43" t="n">
        <v>6584.01</v>
      </c>
      <c r="E947" s="43" t="n">
        <v>0.001</v>
      </c>
    </row>
    <row r="948" ht="14" customHeight="1">
      <c r="A948" s="21" t="n">
        <v>2025</v>
      </c>
      <c r="B948" s="44">
        <f>IF((A948&gt;=2021),ROUND((D948*E948),3),C948)</f>
        <v/>
      </c>
      <c r="C948" s="45" t="n"/>
      <c r="D948" s="45" t="n">
        <v>6319.82</v>
      </c>
      <c r="E948" s="45" t="n">
        <v>0.001</v>
      </c>
    </row>
    <row r="951">
      <c r="A951" s="51" t="inlineStr">
        <is>
          <t>A4 (dairy, herd) · Dairy products: herd size (EU)  (million heads)</t>
        </is>
      </c>
    </row>
    <row r="952" ht="24" customHeight="1">
      <c r="A952" s="3" t="inlineStr">
        <is>
          <t>Derivation:  Value = IF(A &gt;= 2021, ROUND([apro_mt_lscatl A2300F] * [Unit conversion (× 0.001)], 2), [Report figure (2024 report underlying data)])</t>
        </is>
      </c>
    </row>
    <row r="953" ht="42" customHeight="1">
      <c r="A953" s="41" t="inlineStr">
        <is>
          <t>Year</t>
        </is>
      </c>
      <c r="B953" s="41" t="inlineStr">
        <is>
          <t>Value</t>
        </is>
      </c>
      <c r="C953" s="41" t="inlineStr">
        <is>
          <t>Report figure (2024 report underlying data)</t>
        </is>
      </c>
      <c r="D953" s="41" t="inlineStr">
        <is>
          <t>apro_mt_lscatl A2300F</t>
        </is>
      </c>
      <c r="E953" s="41" t="inlineStr">
        <is>
          <t>Unit conversion (× 0.001)</t>
        </is>
      </c>
    </row>
    <row r="954" ht="14" customHeight="1">
      <c r="A954" s="15" t="n">
        <v>2010</v>
      </c>
      <c r="B954" s="42">
        <f>IF((A954&gt;=2021),ROUND((D954*E954),2),C954)</f>
        <v/>
      </c>
      <c r="C954" s="43" t="n">
        <v>21.55</v>
      </c>
      <c r="D954" s="43" t="n"/>
      <c r="E954" s="43" t="n"/>
    </row>
    <row r="955" ht="14" customHeight="1">
      <c r="A955" s="21" t="n">
        <v>2011</v>
      </c>
      <c r="B955" s="44">
        <f>IF((A955&gt;=2021),ROUND((D955*E955),2),C955)</f>
        <v/>
      </c>
      <c r="C955" s="45" t="n">
        <v>21.36</v>
      </c>
      <c r="D955" s="45" t="n"/>
      <c r="E955" s="45" t="n"/>
    </row>
    <row r="956" ht="14" customHeight="1">
      <c r="A956" s="15" t="n">
        <v>2012</v>
      </c>
      <c r="B956" s="42">
        <f>IF((A956&gt;=2021),ROUND((D956*E956),2),C956)</f>
        <v/>
      </c>
      <c r="C956" s="43" t="n">
        <v>21.45</v>
      </c>
      <c r="D956" s="43" t="n"/>
      <c r="E956" s="43" t="n"/>
    </row>
    <row r="957" ht="14" customHeight="1">
      <c r="A957" s="21" t="n">
        <v>2013</v>
      </c>
      <c r="B957" s="44">
        <f>IF((A957&gt;=2021),ROUND((D957*E957),2),C957)</f>
        <v/>
      </c>
      <c r="C957" s="45" t="n">
        <v>21.59</v>
      </c>
      <c r="D957" s="45" t="n"/>
      <c r="E957" s="45" t="n"/>
    </row>
    <row r="958" ht="14" customHeight="1">
      <c r="A958" s="15" t="n">
        <v>2014</v>
      </c>
      <c r="B958" s="42">
        <f>IF((A958&gt;=2021),ROUND((D958*E958),2),C958)</f>
        <v/>
      </c>
      <c r="C958" s="43" t="n">
        <v>21.64</v>
      </c>
      <c r="D958" s="43" t="n"/>
      <c r="E958" s="43" t="n"/>
    </row>
    <row r="959" ht="14" customHeight="1">
      <c r="A959" s="21" t="n">
        <v>2015</v>
      </c>
      <c r="B959" s="44">
        <f>IF((A959&gt;=2021),ROUND((D959*E959),2),C959)</f>
        <v/>
      </c>
      <c r="C959" s="45" t="n">
        <v>21.64</v>
      </c>
      <c r="D959" s="45" t="n"/>
      <c r="E959" s="45" t="n"/>
    </row>
    <row r="960" ht="14" customHeight="1">
      <c r="A960" s="15" t="n">
        <v>2016</v>
      </c>
      <c r="B960" s="42">
        <f>IF((A960&gt;=2021),ROUND((D960*E960),2),C960)</f>
        <v/>
      </c>
      <c r="C960" s="43" t="n">
        <v>21.58</v>
      </c>
      <c r="D960" s="43" t="n"/>
      <c r="E960" s="43" t="n"/>
    </row>
    <row r="961" ht="14" customHeight="1">
      <c r="A961" s="21" t="n">
        <v>2017</v>
      </c>
      <c r="B961" s="44">
        <f>IF((A961&gt;=2021),ROUND((D961*E961),2),C961)</f>
        <v/>
      </c>
      <c r="C961" s="45" t="n">
        <v>21.39</v>
      </c>
      <c r="D961" s="45" t="n"/>
      <c r="E961" s="45" t="n"/>
    </row>
    <row r="962" ht="14" customHeight="1">
      <c r="A962" s="15" t="n">
        <v>2018</v>
      </c>
      <c r="B962" s="42">
        <f>IF((A962&gt;=2021),ROUND((D962*E962),2),C962)</f>
        <v/>
      </c>
      <c r="C962" s="43" t="n">
        <v>21.08</v>
      </c>
      <c r="D962" s="43" t="n"/>
      <c r="E962" s="43" t="n"/>
    </row>
    <row r="963" ht="14" customHeight="1">
      <c r="A963" s="21" t="n">
        <v>2019</v>
      </c>
      <c r="B963" s="44">
        <f>IF((A963&gt;=2021),ROUND((D963*E963),2),C963)</f>
        <v/>
      </c>
      <c r="C963" s="45" t="n">
        <v>20.82</v>
      </c>
      <c r="D963" s="45" t="n"/>
      <c r="E963" s="45" t="n"/>
    </row>
    <row r="964" ht="14" customHeight="1">
      <c r="A964" s="15" t="n">
        <v>2020</v>
      </c>
      <c r="B964" s="42">
        <f>IF((A964&gt;=2021),ROUND((D964*E964),2),C964)</f>
        <v/>
      </c>
      <c r="C964" s="43" t="n">
        <v>20.63</v>
      </c>
      <c r="D964" s="43" t="n"/>
      <c r="E964" s="43" t="n"/>
    </row>
    <row r="965" ht="14" customHeight="1">
      <c r="A965" s="21" t="n">
        <v>2021</v>
      </c>
      <c r="B965" s="44">
        <f>IF((A965&gt;=2021),ROUND((D965*E965),2),C965)</f>
        <v/>
      </c>
      <c r="C965" s="45" t="n"/>
      <c r="D965" s="45" t="n">
        <v>20212.53</v>
      </c>
      <c r="E965" s="45" t="n">
        <v>0.001</v>
      </c>
    </row>
    <row r="966" ht="14" customHeight="1">
      <c r="A966" s="15" t="n">
        <v>2022</v>
      </c>
      <c r="B966" s="42">
        <f>IF((A966&gt;=2021),ROUND((D966*E966),2),C966)</f>
        <v/>
      </c>
      <c r="C966" s="43" t="n"/>
      <c r="D966" s="43" t="n">
        <v>20073.77</v>
      </c>
      <c r="E966" s="43" t="n">
        <v>0.001</v>
      </c>
    </row>
    <row r="967" ht="14" customHeight="1">
      <c r="A967" s="21" t="n">
        <v>2023</v>
      </c>
      <c r="B967" s="44">
        <f>IF((A967&gt;=2021),ROUND((D967*E967),2),C967)</f>
        <v/>
      </c>
      <c r="C967" s="45" t="n"/>
      <c r="D967" s="45" t="n">
        <v>19911.96</v>
      </c>
      <c r="E967" s="45" t="n">
        <v>0.001</v>
      </c>
    </row>
    <row r="968" ht="14" customHeight="1">
      <c r="A968" s="15" t="n">
        <v>2024</v>
      </c>
      <c r="B968" s="42">
        <f>IF((A968&gt;=2021),ROUND((D968*E968),2),C968)</f>
        <v/>
      </c>
      <c r="C968" s="43" t="n"/>
      <c r="D968" s="43" t="n">
        <v>19221.66</v>
      </c>
      <c r="E968" s="43" t="n">
        <v>0.001</v>
      </c>
    </row>
    <row r="969" ht="14" customHeight="1">
      <c r="A969" s="21" t="n">
        <v>2025</v>
      </c>
      <c r="B969" s="44">
        <f>IF((A969&gt;=2021),ROUND((D969*E969),2),C969)</f>
        <v/>
      </c>
      <c r="C969" s="45" t="n"/>
      <c r="D969" s="45" t="n">
        <v>19015.37</v>
      </c>
      <c r="E969" s="45" t="n">
        <v>0.001</v>
      </c>
    </row>
    <row r="972">
      <c r="A972" s="51" t="inlineStr">
        <is>
          <t>A4 (dairy, production) · Dairy products: production (EU)  (Mt)</t>
        </is>
      </c>
    </row>
    <row r="973" ht="24" customHeight="1">
      <c r="A973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974" ht="42" customHeight="1">
      <c r="A974" s="41" t="inlineStr">
        <is>
          <t>Year</t>
        </is>
      </c>
      <c r="B974" s="41" t="inlineStr">
        <is>
          <t>Value</t>
        </is>
      </c>
      <c r="C974" s="41" t="inlineStr">
        <is>
          <t>Report figure (2024 report underlying data)</t>
        </is>
      </c>
      <c r="D974" s="41" t="inlineStr">
        <is>
          <t>apro_mk_farm D1100A</t>
        </is>
      </c>
      <c r="E974" s="41" t="inlineStr">
        <is>
          <t>Report baseline 2020 (Mt)</t>
        </is>
      </c>
      <c r="F974" s="41" t="inlineStr">
        <is>
          <t>Live source at 2020 (same basis as the columns left)</t>
        </is>
      </c>
    </row>
    <row r="975" ht="14" customHeight="1">
      <c r="A975" s="15" t="n">
        <v>2010</v>
      </c>
      <c r="B975" s="42">
        <f>IF((A975&gt;=2021),ROUND(((E975*D975)/F975),1),C975)</f>
        <v/>
      </c>
      <c r="C975" s="43" t="n">
        <v>141.1</v>
      </c>
      <c r="D975" s="43" t="n"/>
      <c r="E975" s="43" t="n"/>
      <c r="F975" s="43" t="n"/>
    </row>
    <row r="976" ht="14" customHeight="1">
      <c r="A976" s="21" t="n">
        <v>2011</v>
      </c>
      <c r="B976" s="44">
        <f>IF((A976&gt;=2021),ROUND(((E976*D976)/F976),1),C976)</f>
        <v/>
      </c>
      <c r="C976" s="45" t="n">
        <v>143.4</v>
      </c>
      <c r="D976" s="45" t="n"/>
      <c r="E976" s="45" t="n"/>
      <c r="F976" s="45" t="n"/>
    </row>
    <row r="977" ht="14" customHeight="1">
      <c r="A977" s="15" t="n">
        <v>2012</v>
      </c>
      <c r="B977" s="42">
        <f>IF((A977&gt;=2021),ROUND(((E977*D977)/F977),1),C977)</f>
        <v/>
      </c>
      <c r="C977" s="43" t="n">
        <v>143.8</v>
      </c>
      <c r="D977" s="43" t="n"/>
      <c r="E977" s="43" t="n"/>
      <c r="F977" s="43" t="n"/>
    </row>
    <row r="978" ht="14" customHeight="1">
      <c r="A978" s="21" t="n">
        <v>2013</v>
      </c>
      <c r="B978" s="44">
        <f>IF((A978&gt;=2021),ROUND(((E978*D978)/F978),1),C978)</f>
        <v/>
      </c>
      <c r="C978" s="45" t="n">
        <v>145.3</v>
      </c>
      <c r="D978" s="45" t="n"/>
      <c r="E978" s="45" t="n"/>
      <c r="F978" s="45" t="n"/>
    </row>
    <row r="979" ht="14" customHeight="1">
      <c r="A979" s="15" t="n">
        <v>2014</v>
      </c>
      <c r="B979" s="42">
        <f>IF((A979&gt;=2021),ROUND(((E979*D979)/F979),1),C979)</f>
        <v/>
      </c>
      <c r="C979" s="43" t="n">
        <v>150.1</v>
      </c>
      <c r="D979" s="43" t="n"/>
      <c r="E979" s="43" t="n"/>
      <c r="F979" s="43" t="n"/>
    </row>
    <row r="980" ht="14" customHeight="1">
      <c r="A980" s="21" t="n">
        <v>2015</v>
      </c>
      <c r="B980" s="44">
        <f>IF((A980&gt;=2021),ROUND(((E980*D980)/F980),1),C980)</f>
        <v/>
      </c>
      <c r="C980" s="45" t="n">
        <v>153.2</v>
      </c>
      <c r="D980" s="45" t="n"/>
      <c r="E980" s="45" t="n"/>
      <c r="F980" s="45" t="n"/>
    </row>
    <row r="981" ht="14" customHeight="1">
      <c r="A981" s="15" t="n">
        <v>2016</v>
      </c>
      <c r="B981" s="42">
        <f>IF((A981&gt;=2021),ROUND(((E981*D981)/F981),1),C981)</f>
        <v/>
      </c>
      <c r="C981" s="43" t="n">
        <v>154.8</v>
      </c>
      <c r="D981" s="43" t="n"/>
      <c r="E981" s="43" t="n"/>
      <c r="F981" s="43" t="n"/>
    </row>
    <row r="982" ht="14" customHeight="1">
      <c r="A982" s="21" t="n">
        <v>2017</v>
      </c>
      <c r="B982" s="44">
        <f>IF((A982&gt;=2021),ROUND(((E982*D982)/F982),1),C982)</f>
        <v/>
      </c>
      <c r="C982" s="45" t="n">
        <v>156</v>
      </c>
      <c r="D982" s="45" t="n"/>
      <c r="E982" s="45" t="n"/>
      <c r="F982" s="45" t="n"/>
    </row>
    <row r="983" ht="14" customHeight="1">
      <c r="A983" s="15" t="n">
        <v>2018</v>
      </c>
      <c r="B983" s="42">
        <f>IF((A983&gt;=2021),ROUND(((E983*D983)/F983),1),C983)</f>
        <v/>
      </c>
      <c r="C983" s="43" t="n">
        <v>158.3</v>
      </c>
      <c r="D983" s="43" t="n"/>
      <c r="E983" s="43" t="n"/>
      <c r="F983" s="43" t="n"/>
    </row>
    <row r="984" ht="14" customHeight="1">
      <c r="A984" s="21" t="n">
        <v>2019</v>
      </c>
      <c r="B984" s="44">
        <f>IF((A984&gt;=2021),ROUND(((E984*D984)/F984),1),C984)</f>
        <v/>
      </c>
      <c r="C984" s="45" t="n">
        <v>161.2</v>
      </c>
      <c r="D984" s="45" t="n"/>
      <c r="E984" s="45" t="n"/>
      <c r="F984" s="45" t="n"/>
    </row>
    <row r="985" ht="14" customHeight="1">
      <c r="A985" s="15" t="n">
        <v>2020</v>
      </c>
      <c r="B985" s="42">
        <f>IF((A985&gt;=2021),ROUND(((E985*D985)/F985),1),C985)</f>
        <v/>
      </c>
      <c r="C985" s="43" t="n">
        <v>163.1</v>
      </c>
      <c r="D985" s="43" t="n"/>
      <c r="E985" s="43" t="n"/>
      <c r="F985" s="43" t="n"/>
    </row>
    <row r="986" ht="14" customHeight="1">
      <c r="A986" s="21" t="n">
        <v>2021</v>
      </c>
      <c r="B986" s="44">
        <f>IF((A986&gt;=2021),ROUND(((E986*D986)/F986),1),C986)</f>
        <v/>
      </c>
      <c r="C986" s="45" t="n"/>
      <c r="D986" s="45" t="n">
        <v>159772.68</v>
      </c>
      <c r="E986" s="45" t="n">
        <v>163.1</v>
      </c>
      <c r="F986" s="45" t="n">
        <v>160281.96</v>
      </c>
    </row>
    <row r="987" ht="14" customHeight="1">
      <c r="A987" s="15" t="n">
        <v>2022</v>
      </c>
      <c r="B987" s="42">
        <f>IF((A987&gt;=2021),ROUND(((E987*D987)/F987),1),C987)</f>
        <v/>
      </c>
      <c r="C987" s="43" t="n"/>
      <c r="D987" s="43" t="n">
        <v>159996.09</v>
      </c>
      <c r="E987" s="43" t="n">
        <v>163.1</v>
      </c>
      <c r="F987" s="43" t="n">
        <v>160281.96</v>
      </c>
    </row>
    <row r="988" ht="14" customHeight="1">
      <c r="A988" s="21" t="n">
        <v>2023</v>
      </c>
      <c r="B988" s="44">
        <f>IF((A988&gt;=2021),ROUND(((E988*D988)/F988),1),C988)</f>
        <v/>
      </c>
      <c r="C988" s="45" t="n"/>
      <c r="D988" s="45" t="n">
        <v>160887.23</v>
      </c>
      <c r="E988" s="45" t="n">
        <v>163.1</v>
      </c>
      <c r="F988" s="45" t="n">
        <v>160281.96</v>
      </c>
    </row>
    <row r="989" ht="14" customHeight="1">
      <c r="A989" s="15" t="n">
        <v>2024</v>
      </c>
      <c r="B989" s="42">
        <f>IF((A989&gt;=2021),ROUND(((E989*D989)/F989),1),C989)</f>
        <v/>
      </c>
      <c r="C989" s="43" t="n"/>
      <c r="D989" s="43" t="n">
        <v>161798.04</v>
      </c>
      <c r="E989" s="43" t="n">
        <v>163.1</v>
      </c>
      <c r="F989" s="43" t="n">
        <v>160281.96</v>
      </c>
    </row>
    <row r="992">
      <c r="A992" s="51" t="inlineStr">
        <is>
          <t>A4 (pig, herd) · Pig meat: herd size (EU)  (million heads)</t>
        </is>
      </c>
    </row>
    <row r="993" ht="24" customHeight="1">
      <c r="A993" s="3" t="inlineStr">
        <is>
          <t>Derivation:  Value = IF(A &gt;= 2021, ROUND([Report baseline 2020 (million heads)] * [apro_mt_lspig A3100] / [Live source at 2020 (same basis as the columns left)], 1), [Report figure (2024 report underlying data)])</t>
        </is>
      </c>
    </row>
    <row r="994" ht="42" customHeight="1">
      <c r="A994" s="41" t="inlineStr">
        <is>
          <t>Year</t>
        </is>
      </c>
      <c r="B994" s="41" t="inlineStr">
        <is>
          <t>Value</t>
        </is>
      </c>
      <c r="C994" s="41" t="inlineStr">
        <is>
          <t>Report figure (2024 report underlying data)</t>
        </is>
      </c>
      <c r="D994" s="41" t="inlineStr">
        <is>
          <t>apro_mt_lspig A3100</t>
        </is>
      </c>
      <c r="E994" s="41" t="inlineStr">
        <is>
          <t>Report baseline 2020 (million heads)</t>
        </is>
      </c>
      <c r="F994" s="41" t="inlineStr">
        <is>
          <t>Live source at 2020 (same basis as the columns left)</t>
        </is>
      </c>
    </row>
    <row r="995" ht="14" customHeight="1">
      <c r="A995" s="15" t="n">
        <v>2010</v>
      </c>
      <c r="B995" s="42">
        <f>IF((A995&gt;=2021),ROUND(((E995*D995)/F995),1),C995)</f>
        <v/>
      </c>
      <c r="C995" s="43" t="n">
        <v>144.1</v>
      </c>
      <c r="D995" s="43" t="n"/>
      <c r="E995" s="43" t="n"/>
      <c r="F995" s="43" t="n"/>
    </row>
    <row r="996" ht="14" customHeight="1">
      <c r="A996" s="21" t="n">
        <v>2011</v>
      </c>
      <c r="B996" s="44">
        <f>IF((A996&gt;=2021),ROUND(((E996*D996)/F996),1),C996)</f>
        <v/>
      </c>
      <c r="C996" s="45" t="n">
        <v>142.3</v>
      </c>
      <c r="D996" s="45" t="n"/>
      <c r="E996" s="45" t="n"/>
      <c r="F996" s="45" t="n"/>
    </row>
    <row r="997" ht="14" customHeight="1">
      <c r="A997" s="15" t="n">
        <v>2012</v>
      </c>
      <c r="B997" s="42">
        <f>IF((A997&gt;=2021),ROUND(((E997*D997)/F997),1),C997)</f>
        <v/>
      </c>
      <c r="C997" s="43" t="n">
        <v>138.3</v>
      </c>
      <c r="D997" s="43" t="n"/>
      <c r="E997" s="43" t="n"/>
      <c r="F997" s="43" t="n"/>
    </row>
    <row r="998" ht="14" customHeight="1">
      <c r="A998" s="21" t="n">
        <v>2013</v>
      </c>
      <c r="B998" s="44">
        <f>IF((A998&gt;=2021),ROUND(((E998*D998)/F998),1),C998)</f>
        <v/>
      </c>
      <c r="C998" s="45" t="n">
        <v>136.5</v>
      </c>
      <c r="D998" s="45" t="n"/>
      <c r="E998" s="45" t="n"/>
      <c r="F998" s="45" t="n"/>
    </row>
    <row r="999" ht="14" customHeight="1">
      <c r="A999" s="15" t="n">
        <v>2014</v>
      </c>
      <c r="B999" s="42">
        <f>IF((A999&gt;=2021),ROUND(((E999*D999)/F999),1),C999)</f>
        <v/>
      </c>
      <c r="C999" s="43" t="n">
        <v>138.4</v>
      </c>
      <c r="D999" s="43" t="n"/>
      <c r="E999" s="43" t="n"/>
      <c r="F999" s="43" t="n"/>
    </row>
    <row r="1000" ht="14" customHeight="1">
      <c r="A1000" s="21" t="n">
        <v>2015</v>
      </c>
      <c r="B1000" s="44">
        <f>IF((A1000&gt;=2021),ROUND(((E1000*D1000)/F1000),1),C1000)</f>
        <v/>
      </c>
      <c r="C1000" s="45" t="n">
        <v>139.4</v>
      </c>
      <c r="D1000" s="45" t="n"/>
      <c r="E1000" s="45" t="n"/>
      <c r="F1000" s="45" t="n"/>
    </row>
    <row r="1001" ht="14" customHeight="1">
      <c r="A1001" s="15" t="n">
        <v>2016</v>
      </c>
      <c r="B1001" s="42">
        <f>IF((A1001&gt;=2021),ROUND(((E1001*D1001)/F1001),1),C1001)</f>
        <v/>
      </c>
      <c r="C1001" s="43" t="n">
        <v>137.7</v>
      </c>
      <c r="D1001" s="43" t="n"/>
      <c r="E1001" s="43" t="n"/>
      <c r="F1001" s="43" t="n"/>
    </row>
    <row r="1002" ht="14" customHeight="1">
      <c r="A1002" s="21" t="n">
        <v>2017</v>
      </c>
      <c r="B1002" s="44">
        <f>IF((A1002&gt;=2021),ROUND(((E1002*D1002)/F1002),1),C1002)</f>
        <v/>
      </c>
      <c r="C1002" s="45" t="n">
        <v>138.8</v>
      </c>
      <c r="D1002" s="45" t="n"/>
      <c r="E1002" s="45" t="n"/>
      <c r="F1002" s="45" t="n"/>
    </row>
    <row r="1003" ht="14" customHeight="1">
      <c r="A1003" s="15" t="n">
        <v>2018</v>
      </c>
      <c r="B1003" s="42">
        <f>IF((A1003&gt;=2021),ROUND(((E1003*D1003)/F1003),1),C1003)</f>
        <v/>
      </c>
      <c r="C1003" s="43" t="n">
        <v>139.7</v>
      </c>
      <c r="D1003" s="43" t="n"/>
      <c r="E1003" s="43" t="n"/>
      <c r="F1003" s="43" t="n"/>
    </row>
    <row r="1004" ht="14" customHeight="1">
      <c r="A1004" s="21" t="n">
        <v>2019</v>
      </c>
      <c r="B1004" s="44">
        <f>IF((A1004&gt;=2021),ROUND(((E1004*D1004)/F1004),1),C1004)</f>
        <v/>
      </c>
      <c r="C1004" s="45" t="n">
        <v>137.4</v>
      </c>
      <c r="D1004" s="45" t="n"/>
      <c r="E1004" s="45" t="n"/>
      <c r="F1004" s="45" t="n"/>
    </row>
    <row r="1005" ht="14" customHeight="1">
      <c r="A1005" s="15" t="n">
        <v>2020</v>
      </c>
      <c r="B1005" s="42">
        <f>IF((A1005&gt;=2021),ROUND(((E1005*D1005)/F1005),1),C1005)</f>
        <v/>
      </c>
      <c r="C1005" s="43" t="n">
        <v>140</v>
      </c>
      <c r="D1005" s="43" t="n"/>
      <c r="E1005" s="43" t="n"/>
      <c r="F1005" s="43" t="n"/>
    </row>
    <row r="1006" ht="14" customHeight="1">
      <c r="A1006" s="21" t="n">
        <v>2021</v>
      </c>
      <c r="B1006" s="44">
        <f>IF((A1006&gt;=2021),ROUND(((E1006*D1006)/F1006),1),C1006)</f>
        <v/>
      </c>
      <c r="C1006" s="45" t="n"/>
      <c r="D1006" s="45" t="n">
        <v>141681.38</v>
      </c>
      <c r="E1006" s="45" t="n">
        <v>140</v>
      </c>
      <c r="F1006" s="45" t="n">
        <v>145918.6</v>
      </c>
    </row>
    <row r="1007" ht="14" customHeight="1">
      <c r="A1007" s="15" t="n">
        <v>2022</v>
      </c>
      <c r="B1007" s="42">
        <f>IF((A1007&gt;=2021),ROUND(((E1007*D1007)/F1007),1),C1007)</f>
        <v/>
      </c>
      <c r="C1007" s="43" t="n"/>
      <c r="D1007" s="43" t="n">
        <v>134410.04</v>
      </c>
      <c r="E1007" s="43" t="n">
        <v>140</v>
      </c>
      <c r="F1007" s="43" t="n">
        <v>145918.6</v>
      </c>
    </row>
    <row r="1008" ht="14" customHeight="1">
      <c r="A1008" s="21" t="n">
        <v>2023</v>
      </c>
      <c r="B1008" s="44">
        <f>IF((A1008&gt;=2021),ROUND(((E1008*D1008)/F1008),1),C1008)</f>
        <v/>
      </c>
      <c r="C1008" s="45" t="n"/>
      <c r="D1008" s="45" t="n">
        <v>132845.67</v>
      </c>
      <c r="E1008" s="45" t="n">
        <v>140</v>
      </c>
      <c r="F1008" s="45" t="n">
        <v>145918.6</v>
      </c>
    </row>
    <row r="1009" ht="14" customHeight="1">
      <c r="A1009" s="15" t="n">
        <v>2024</v>
      </c>
      <c r="B1009" s="42">
        <f>IF((A1009&gt;=2021),ROUND(((E1009*D1009)/F1009),1),C1009)</f>
        <v/>
      </c>
      <c r="C1009" s="43" t="n"/>
      <c r="D1009" s="43" t="n">
        <v>132135.52</v>
      </c>
      <c r="E1009" s="43" t="n">
        <v>140</v>
      </c>
      <c r="F1009" s="43" t="n">
        <v>145918.6</v>
      </c>
    </row>
    <row r="1010" ht="14" customHeight="1">
      <c r="A1010" s="21" t="n">
        <v>2025</v>
      </c>
      <c r="B1010" s="44">
        <f>IF((A1010&gt;=2021),ROUND(((E1010*D1010)/F1010),1),C1010)</f>
        <v/>
      </c>
      <c r="C1010" s="45" t="n"/>
      <c r="D1010" s="45" t="n">
        <v>131450.44</v>
      </c>
      <c r="E1010" s="45" t="n">
        <v>140</v>
      </c>
      <c r="F1010" s="45" t="n">
        <v>145918.6</v>
      </c>
    </row>
    <row r="1013">
      <c r="A1013" s="51" t="inlineStr">
        <is>
          <t>A4 (pig, production) · Pig meat: production (EU)  (Mt)</t>
        </is>
      </c>
    </row>
    <row r="1014" ht="24" customHeight="1">
      <c r="A1014" s="3" t="inlineStr">
        <is>
          <t>Derivation:  Value = IF(A &gt;= 2021, ROUND([apro_mt_pann B3100] * [Unit conversion (× 0.001)], 2), [Report figure (2024 report underlying data)])</t>
        </is>
      </c>
    </row>
    <row r="1015" ht="42" customHeight="1">
      <c r="A1015" s="41" t="inlineStr">
        <is>
          <t>Year</t>
        </is>
      </c>
      <c r="B1015" s="41" t="inlineStr">
        <is>
          <t>Value</t>
        </is>
      </c>
      <c r="C1015" s="41" t="inlineStr">
        <is>
          <t>Report figure (2024 report underlying data)</t>
        </is>
      </c>
      <c r="D1015" s="41" t="inlineStr">
        <is>
          <t>apro_mt_pann B3100</t>
        </is>
      </c>
      <c r="E1015" s="41" t="inlineStr">
        <is>
          <t>Unit conversion (× 0.001)</t>
        </is>
      </c>
    </row>
    <row r="1016" ht="14" customHeight="1">
      <c r="A1016" s="15" t="n">
        <v>2010</v>
      </c>
      <c r="B1016" s="42">
        <f>IF((A1016&gt;=2021),ROUND((D1016*E1016),2),C1016)</f>
        <v/>
      </c>
      <c r="C1016" s="43" t="n">
        <v>22.22</v>
      </c>
      <c r="D1016" s="43" t="n"/>
      <c r="E1016" s="43" t="n"/>
    </row>
    <row r="1017" ht="14" customHeight="1">
      <c r="A1017" s="21" t="n">
        <v>2011</v>
      </c>
      <c r="B1017" s="44">
        <f>IF((A1017&gt;=2021),ROUND((D1017*E1017),2),C1017)</f>
        <v/>
      </c>
      <c r="C1017" s="45" t="n">
        <v>22.46</v>
      </c>
      <c r="D1017" s="45" t="n"/>
      <c r="E1017" s="45" t="n"/>
    </row>
    <row r="1018" ht="14" customHeight="1">
      <c r="A1018" s="15" t="n">
        <v>2012</v>
      </c>
      <c r="B1018" s="42">
        <f>IF((A1018&gt;=2021),ROUND((D1018*E1018),2),C1018)</f>
        <v/>
      </c>
      <c r="C1018" s="43" t="n">
        <v>22</v>
      </c>
      <c r="D1018" s="43" t="n"/>
      <c r="E1018" s="43" t="n"/>
    </row>
    <row r="1019" ht="14" customHeight="1">
      <c r="A1019" s="21" t="n">
        <v>2013</v>
      </c>
      <c r="B1019" s="44">
        <f>IF((A1019&gt;=2021),ROUND((D1019*E1019),2),C1019)</f>
        <v/>
      </c>
      <c r="C1019" s="45" t="n">
        <v>21.69</v>
      </c>
      <c r="D1019" s="45" t="n"/>
      <c r="E1019" s="45" t="n"/>
    </row>
    <row r="1020" ht="14" customHeight="1">
      <c r="A1020" s="15" t="n">
        <v>2014</v>
      </c>
      <c r="B1020" s="42">
        <f>IF((A1020&gt;=2021),ROUND((D1020*E1020),2),C1020)</f>
        <v/>
      </c>
      <c r="C1020" s="43" t="n">
        <v>21.75</v>
      </c>
      <c r="D1020" s="43" t="n"/>
      <c r="E1020" s="43" t="n"/>
    </row>
    <row r="1021" ht="14" customHeight="1">
      <c r="A1021" s="21" t="n">
        <v>2015</v>
      </c>
      <c r="B1021" s="44">
        <f>IF((A1021&gt;=2021),ROUND((D1021*E1021),2),C1021)</f>
        <v/>
      </c>
      <c r="C1021" s="45" t="n">
        <v>22.57</v>
      </c>
      <c r="D1021" s="45" t="n"/>
      <c r="E1021" s="45" t="n"/>
    </row>
    <row r="1022" ht="14" customHeight="1">
      <c r="A1022" s="15" t="n">
        <v>2016</v>
      </c>
      <c r="B1022" s="42">
        <f>IF((A1022&gt;=2021),ROUND((D1022*E1022),2),C1022)</f>
        <v/>
      </c>
      <c r="C1022" s="43" t="n">
        <v>22.95</v>
      </c>
      <c r="D1022" s="43" t="n"/>
      <c r="E1022" s="43" t="n"/>
    </row>
    <row r="1023" ht="14" customHeight="1">
      <c r="A1023" s="21" t="n">
        <v>2017</v>
      </c>
      <c r="B1023" s="44">
        <f>IF((A1023&gt;=2021),ROUND((D1023*E1023),2),C1023)</f>
        <v/>
      </c>
      <c r="C1023" s="45" t="n">
        <v>22.82</v>
      </c>
      <c r="D1023" s="45" t="n"/>
      <c r="E1023" s="45" t="n"/>
    </row>
    <row r="1024" ht="14" customHeight="1">
      <c r="A1024" s="15" t="n">
        <v>2018</v>
      </c>
      <c r="B1024" s="42">
        <f>IF((A1024&gt;=2021),ROUND((D1024*E1024),2),C1024)</f>
        <v/>
      </c>
      <c r="C1024" s="43" t="n">
        <v>23.22</v>
      </c>
      <c r="D1024" s="43" t="n"/>
      <c r="E1024" s="43" t="n"/>
    </row>
    <row r="1025" ht="14" customHeight="1">
      <c r="A1025" s="21" t="n">
        <v>2019</v>
      </c>
      <c r="B1025" s="44">
        <f>IF((A1025&gt;=2021),ROUND((D1025*E1025),2),C1025)</f>
        <v/>
      </c>
      <c r="C1025" s="45" t="n">
        <v>23</v>
      </c>
      <c r="D1025" s="45" t="n"/>
      <c r="E1025" s="45" t="n"/>
    </row>
    <row r="1026" ht="14" customHeight="1">
      <c r="A1026" s="15" t="n">
        <v>2020</v>
      </c>
      <c r="B1026" s="42">
        <f>IF((A1026&gt;=2021),ROUND((D1026*E1026),2),C1026)</f>
        <v/>
      </c>
      <c r="C1026" s="43" t="n">
        <v>23.22</v>
      </c>
      <c r="D1026" s="43" t="n"/>
      <c r="E1026" s="43" t="n"/>
    </row>
    <row r="1027" ht="14" customHeight="1">
      <c r="A1027" s="21" t="n">
        <v>2021</v>
      </c>
      <c r="B1027" s="44">
        <f>IF((A1027&gt;=2021),ROUND((D1027*E1027),2),C1027)</f>
        <v/>
      </c>
      <c r="C1027" s="45" t="n"/>
      <c r="D1027" s="45" t="n">
        <v>23393.67</v>
      </c>
      <c r="E1027" s="45" t="n">
        <v>0.001</v>
      </c>
    </row>
    <row r="1028" ht="14" customHeight="1">
      <c r="A1028" s="15" t="n">
        <v>2022</v>
      </c>
      <c r="B1028" s="42">
        <f>IF((A1028&gt;=2021),ROUND((D1028*E1028),2),C1028)</f>
        <v/>
      </c>
      <c r="C1028" s="43" t="n"/>
      <c r="D1028" s="43" t="n">
        <v>22065.92</v>
      </c>
      <c r="E1028" s="43" t="n">
        <v>0.001</v>
      </c>
    </row>
    <row r="1029" ht="14" customHeight="1">
      <c r="A1029" s="21" t="n">
        <v>2023</v>
      </c>
      <c r="B1029" s="44">
        <f>IF((A1029&gt;=2021),ROUND((D1029*E1029),2),C1029)</f>
        <v/>
      </c>
      <c r="C1029" s="45" t="n"/>
      <c r="D1029" s="45" t="n">
        <v>20641.09</v>
      </c>
      <c r="E1029" s="45" t="n">
        <v>0.001</v>
      </c>
    </row>
    <row r="1030" ht="14" customHeight="1">
      <c r="A1030" s="15" t="n">
        <v>2024</v>
      </c>
      <c r="B1030" s="42">
        <f>IF((A1030&gt;=2021),ROUND((D1030*E1030),2),C1030)</f>
        <v/>
      </c>
      <c r="C1030" s="43" t="n"/>
      <c r="D1030" s="43" t="n">
        <v>21091.62</v>
      </c>
      <c r="E1030" s="43" t="n">
        <v>0.001</v>
      </c>
    </row>
    <row r="1031" ht="14" customHeight="1">
      <c r="A1031" s="21" t="n">
        <v>2025</v>
      </c>
      <c r="B1031" s="44">
        <f>IF((A1031&gt;=2021),ROUND((D1031*E1031),2),C1031)</f>
        <v/>
      </c>
      <c r="C1031" s="45" t="n"/>
      <c r="D1031" s="45" t="n">
        <v>21837.73</v>
      </c>
      <c r="E1031" s="45" t="n">
        <v>0.001</v>
      </c>
    </row>
    <row r="1034">
      <c r="A1034" s="51" t="inlineStr">
        <is>
          <t>A6 · Food waste per capita (EU)  (kg/cap/year)</t>
        </is>
      </c>
    </row>
    <row r="1035" ht="24" customHeight="1">
      <c r="A1035" s="3" t="inlineStr">
        <is>
          <t>Derivation:  Value = IF(A &gt;= 2021, ROUND([env_wasfw TOT], 0), [Report figure (2024 report underlying data)])</t>
        </is>
      </c>
    </row>
    <row r="1036" ht="42" customHeight="1">
      <c r="A1036" s="41" t="inlineStr">
        <is>
          <t>Year</t>
        </is>
      </c>
      <c r="B1036" s="41" t="inlineStr">
        <is>
          <t>Value</t>
        </is>
      </c>
      <c r="C1036" s="41" t="inlineStr">
        <is>
          <t>Report figure (2024 report underlying data)</t>
        </is>
      </c>
      <c r="D1036" s="41" t="inlineStr">
        <is>
          <t>env_wasfw TOT</t>
        </is>
      </c>
    </row>
    <row r="1037" ht="14" customHeight="1">
      <c r="A1037" s="15" t="n">
        <v>2020</v>
      </c>
      <c r="B1037" s="42">
        <f>IF((A1037&gt;=2021),ROUND(D1037,0),C1037)</f>
        <v/>
      </c>
      <c r="C1037" s="43" t="n">
        <v>131</v>
      </c>
      <c r="D1037" s="43" t="n"/>
    </row>
    <row r="1038" ht="14" customHeight="1">
      <c r="A1038" s="21" t="n">
        <v>2021</v>
      </c>
      <c r="B1038" s="44">
        <f>IF((A1038&gt;=2021),ROUND(D1038,0),C1038)</f>
        <v/>
      </c>
      <c r="C1038" s="45" t="n"/>
      <c r="D1038" s="45" t="n">
        <v>129</v>
      </c>
    </row>
    <row r="1039" ht="14" customHeight="1">
      <c r="A1039" s="15" t="n">
        <v>2022</v>
      </c>
      <c r="B1039" s="42">
        <f>IF((A1039&gt;=2021),ROUND(D1039,0),C1039)</f>
        <v/>
      </c>
      <c r="C1039" s="43" t="n"/>
      <c r="D1039" s="43" t="n">
        <v>129</v>
      </c>
    </row>
    <row r="1040" ht="14" customHeight="1">
      <c r="A1040" s="21" t="n">
        <v>2023</v>
      </c>
      <c r="B1040" s="44">
        <f>IF((A1040&gt;=2021),ROUND(D1040,0),C1040)</f>
        <v/>
      </c>
      <c r="C1040" s="45" t="n"/>
      <c r="D1040" s="45" t="n">
        <v>129</v>
      </c>
    </row>
    <row r="1043">
      <c r="A1043" s="52" t="inlineStr">
        <is>
          <t>L1 · LULUCF net GHG balance  (Mt CO₂eq)</t>
        </is>
      </c>
    </row>
    <row r="1044" ht="24" customHeight="1">
      <c r="A1044" s="3" t="inlineStr">
        <is>
          <t>Derivation:  Value = IF(A &gt;= 2023, ROUND([env_air_gge CRF4], 1), [4 - Land Use, Land-Use Change and Forestry] / 1000)</t>
        </is>
      </c>
    </row>
    <row r="1045" ht="42" customHeight="1">
      <c r="A1045" s="41" t="inlineStr">
        <is>
          <t>Year</t>
        </is>
      </c>
      <c r="B1045" s="41" t="inlineStr">
        <is>
          <t>Value</t>
        </is>
      </c>
      <c r="C1045" s="41" t="inlineStr">
        <is>
          <t>4 - Land Use, Land-Use Change and Forestry</t>
        </is>
      </c>
      <c r="D1045" s="41" t="inlineStr">
        <is>
          <t>env_air_gge CRF4</t>
        </is>
      </c>
    </row>
    <row r="1046" ht="14" customHeight="1">
      <c r="A1046" s="15" t="n">
        <v>2005</v>
      </c>
      <c r="B1046" s="42">
        <f>IF((A1046&gt;=2023),ROUND(D1046,1),(C1046/1000))</f>
        <v/>
      </c>
      <c r="C1046" s="43" t="n">
        <v>-342109.4761312911</v>
      </c>
      <c r="D1046" s="43" t="n"/>
    </row>
    <row r="1047" ht="14" customHeight="1">
      <c r="A1047" s="21" t="n">
        <v>2006</v>
      </c>
      <c r="B1047" s="44">
        <f>IF((A1047&gt;=2023),ROUND(D1047,1),(C1047/1000))</f>
        <v/>
      </c>
      <c r="C1047" s="45" t="n">
        <v>-351296.38360007</v>
      </c>
      <c r="D1047" s="45" t="n"/>
    </row>
    <row r="1048" ht="14" customHeight="1">
      <c r="A1048" s="15" t="n">
        <v>2007</v>
      </c>
      <c r="B1048" s="42">
        <f>IF((A1048&gt;=2023),ROUND(D1048,1),(C1048/1000))</f>
        <v/>
      </c>
      <c r="C1048" s="43" t="n">
        <v>-300617.2864973615</v>
      </c>
      <c r="D1048" s="43" t="n"/>
    </row>
    <row r="1049" ht="14" customHeight="1">
      <c r="A1049" s="21" t="n">
        <v>2008</v>
      </c>
      <c r="B1049" s="44">
        <f>IF((A1049&gt;=2023),ROUND(D1049,1),(C1049/1000))</f>
        <v/>
      </c>
      <c r="C1049" s="45" t="n">
        <v>-344262.7716834369</v>
      </c>
      <c r="D1049" s="45" t="n"/>
    </row>
    <row r="1050" ht="14" customHeight="1">
      <c r="A1050" s="15" t="n">
        <v>2009</v>
      </c>
      <c r="B1050" s="42">
        <f>IF((A1050&gt;=2023),ROUND(D1050,1),(C1050/1000))</f>
        <v/>
      </c>
      <c r="C1050" s="43" t="n">
        <v>-347022.328623644</v>
      </c>
      <c r="D1050" s="43" t="n"/>
    </row>
    <row r="1051" ht="14" customHeight="1">
      <c r="A1051" s="21" t="n">
        <v>2010</v>
      </c>
      <c r="B1051" s="44">
        <f>IF((A1051&gt;=2023),ROUND(D1051,1),(C1051/1000))</f>
        <v/>
      </c>
      <c r="C1051" s="45" t="n">
        <v>-352590.1909498173</v>
      </c>
      <c r="D1051" s="45" t="n"/>
    </row>
    <row r="1052" ht="14" customHeight="1">
      <c r="A1052" s="15" t="n">
        <v>2011</v>
      </c>
      <c r="B1052" s="42">
        <f>IF((A1052&gt;=2023),ROUND(D1052,1),(C1052/1000))</f>
        <v/>
      </c>
      <c r="C1052" s="43" t="n">
        <v>-347273.8004383777</v>
      </c>
      <c r="D1052" s="43" t="n"/>
    </row>
    <row r="1053" ht="14" customHeight="1">
      <c r="A1053" s="21" t="n">
        <v>2012</v>
      </c>
      <c r="B1053" s="44">
        <f>IF((A1053&gt;=2023),ROUND(D1053,1),(C1053/1000))</f>
        <v/>
      </c>
      <c r="C1053" s="45" t="n">
        <v>-342633.5989882683</v>
      </c>
      <c r="D1053" s="45" t="n"/>
    </row>
    <row r="1054" ht="14" customHeight="1">
      <c r="A1054" s="15" t="n">
        <v>2013</v>
      </c>
      <c r="B1054" s="42">
        <f>IF((A1054&gt;=2023),ROUND(D1054,1),(C1054/1000))</f>
        <v/>
      </c>
      <c r="C1054" s="43" t="n">
        <v>-342604.9051712324</v>
      </c>
      <c r="D1054" s="43" t="n"/>
    </row>
    <row r="1055" ht="14" customHeight="1">
      <c r="A1055" s="21" t="n">
        <v>2014</v>
      </c>
      <c r="B1055" s="44">
        <f>IF((A1055&gt;=2023),ROUND(D1055,1),(C1055/1000))</f>
        <v/>
      </c>
      <c r="C1055" s="45" t="n">
        <v>-327802.7208805995</v>
      </c>
      <c r="D1055" s="45" t="n"/>
    </row>
    <row r="1056" ht="14" customHeight="1">
      <c r="A1056" s="15" t="n">
        <v>2015</v>
      </c>
      <c r="B1056" s="42">
        <f>IF((A1056&gt;=2023),ROUND(D1056,1),(C1056/1000))</f>
        <v/>
      </c>
      <c r="C1056" s="43" t="n">
        <v>-322423.8390120481</v>
      </c>
      <c r="D1056" s="43" t="n"/>
    </row>
    <row r="1057" ht="14" customHeight="1">
      <c r="A1057" s="21" t="n">
        <v>2016</v>
      </c>
      <c r="B1057" s="44">
        <f>IF((A1057&gt;=2023),ROUND(D1057,1),(C1057/1000))</f>
        <v/>
      </c>
      <c r="C1057" s="45" t="n">
        <v>-318486.5248315362</v>
      </c>
      <c r="D1057" s="45" t="n"/>
    </row>
    <row r="1058" ht="14" customHeight="1">
      <c r="A1058" s="15" t="n">
        <v>2017</v>
      </c>
      <c r="B1058" s="42">
        <f>IF((A1058&gt;=2023),ROUND(D1058,1),(C1058/1000))</f>
        <v/>
      </c>
      <c r="C1058" s="43" t="n">
        <v>-249795.8911803428</v>
      </c>
      <c r="D1058" s="43" t="n"/>
    </row>
    <row r="1059" ht="14" customHeight="1">
      <c r="A1059" s="21" t="n">
        <v>2018</v>
      </c>
      <c r="B1059" s="44">
        <f>IF((A1059&gt;=2023),ROUND(D1059,1),(C1059/1000))</f>
        <v/>
      </c>
      <c r="C1059" s="45" t="n">
        <v>-257789.0407210758</v>
      </c>
      <c r="D1059" s="45" t="n"/>
    </row>
    <row r="1060" ht="14" customHeight="1">
      <c r="A1060" s="15" t="n">
        <v>2019</v>
      </c>
      <c r="B1060" s="42">
        <f>IF((A1060&gt;=2023),ROUND(D1060,1),(C1060/1000))</f>
        <v/>
      </c>
      <c r="C1060" s="43" t="n">
        <v>-247317.6236412184</v>
      </c>
      <c r="D1060" s="43" t="n"/>
    </row>
    <row r="1061" ht="14" customHeight="1">
      <c r="A1061" s="21" t="n">
        <v>2020</v>
      </c>
      <c r="B1061" s="44">
        <f>IF((A1061&gt;=2023),ROUND(D1061,1),(C1061/1000))</f>
        <v/>
      </c>
      <c r="C1061" s="45" t="n">
        <v>-241038.0579270464</v>
      </c>
      <c r="D1061" s="45" t="n"/>
    </row>
    <row r="1062" ht="14" customHeight="1">
      <c r="A1062" s="15" t="n">
        <v>2021</v>
      </c>
      <c r="B1062" s="42">
        <f>IF((A1062&gt;=2023),ROUND(D1062,1),(C1062/1000))</f>
        <v/>
      </c>
      <c r="C1062" s="43" t="n">
        <v>-229984.6664172722</v>
      </c>
      <c r="D1062" s="43" t="n"/>
    </row>
    <row r="1063" ht="14" customHeight="1">
      <c r="A1063" s="21" t="n">
        <v>2022</v>
      </c>
      <c r="B1063" s="44">
        <f>IF((A1063&gt;=2023),ROUND(D1063,1),(C1063/1000))</f>
        <v/>
      </c>
      <c r="C1063" s="45" t="n">
        <v>-243767.28937</v>
      </c>
      <c r="D1063" s="45" t="n"/>
    </row>
    <row r="1064" ht="14" customHeight="1">
      <c r="A1064" s="15" t="n">
        <v>2023</v>
      </c>
      <c r="B1064" s="42">
        <f>IF((A1064&gt;=2023),ROUND(D1064,1),(C1064/1000))</f>
        <v/>
      </c>
      <c r="C1064" s="43" t="n"/>
      <c r="D1064" s="43" t="n">
        <v>-215.51495</v>
      </c>
    </row>
    <row r="1065" ht="14" customHeight="1">
      <c r="A1065" s="21" t="n">
        <v>2024</v>
      </c>
      <c r="B1065" s="44">
        <f>IF((A1065&gt;=2023),ROUND(D1065,1),(C1065/1000))</f>
        <v/>
      </c>
      <c r="C1065" s="45" t="n"/>
      <c r="D1065" s="45" t="n">
        <v>-230.98516</v>
      </c>
    </row>
    <row r="1068">
      <c r="A1068" s="52" t="inlineStr">
        <is>
          <t>L6 · Forest land living-biomass carbon sink  (Mt CO₂eq)</t>
        </is>
      </c>
    </row>
    <row r="1069" ht="24" customHeight="1">
      <c r="A1069" s="3" t="inlineStr">
        <is>
          <t>Derivation:  Value = IF(A &gt;= 2022, ROUND([Report baseline 2021 (Mt CO₂eq)] * [env_air_gge CRF4A] / [Live source at 2021 (same basis as the columns left)], 1), ([Carbon stock gain in living biomass]+[Carbon stock loss in living biomass]) * 0.003664)</t>
        </is>
      </c>
    </row>
    <row r="1070" ht="42" customHeight="1">
      <c r="A1070" s="41" t="inlineStr">
        <is>
          <t>Year</t>
        </is>
      </c>
      <c r="B1070" s="41" t="inlineStr">
        <is>
          <t>Value</t>
        </is>
      </c>
      <c r="C1070" s="41" t="inlineStr">
        <is>
          <t>Carbon stock gain in living biomass</t>
        </is>
      </c>
      <c r="D1070" s="41" t="inlineStr">
        <is>
          <t>Carbon stock loss in living biomass</t>
        </is>
      </c>
      <c r="E1070" s="41" t="inlineStr">
        <is>
          <t>env_air_gge CRF4A</t>
        </is>
      </c>
      <c r="F1070" s="41" t="inlineStr">
        <is>
          <t>Report baseline 2021 (Mt CO₂eq)</t>
        </is>
      </c>
      <c r="G1070" s="41" t="inlineStr">
        <is>
          <t>Live source at 2021 (same basis as the columns left)</t>
        </is>
      </c>
    </row>
    <row r="1071" ht="14" customHeight="1">
      <c r="A1071" s="15" t="n">
        <v>2005</v>
      </c>
      <c r="B1071" s="42">
        <f>IF((A1071&gt;=2022),ROUND(((F1071*E1071)/G1071),1),((C1071+D1071)*0.003664))</f>
        <v/>
      </c>
      <c r="C1071" s="43" t="n">
        <v>207379.8132773199</v>
      </c>
      <c r="D1071" s="43" t="n">
        <v>-108647.4672517596</v>
      </c>
      <c r="E1071" s="43" t="n"/>
      <c r="F1071" s="43" t="n"/>
      <c r="G1071" s="43" t="n"/>
    </row>
    <row r="1072" ht="14" customHeight="1">
      <c r="A1072" s="21" t="n">
        <v>2006</v>
      </c>
      <c r="B1072" s="44">
        <f>IF((A1072&gt;=2022),ROUND(((F1072*E1072)/G1072),1),((C1072+D1072)*0.003664))</f>
        <v/>
      </c>
      <c r="C1072" s="45" t="n">
        <v>206916.6342726697</v>
      </c>
      <c r="D1072" s="45" t="n">
        <v>-109615.2832467052</v>
      </c>
      <c r="E1072" s="45" t="n"/>
      <c r="F1072" s="45" t="n"/>
      <c r="G1072" s="45" t="n"/>
    </row>
    <row r="1073" ht="14" customHeight="1">
      <c r="A1073" s="15" t="n">
        <v>2007</v>
      </c>
      <c r="B1073" s="42">
        <f>IF((A1073&gt;=2022),ROUND(((F1073*E1073)/G1073),1),((C1073+D1073)*0.003664))</f>
        <v/>
      </c>
      <c r="C1073" s="43" t="n">
        <v>206146.0255351207</v>
      </c>
      <c r="D1073" s="43" t="n">
        <v>-118877.2328007463</v>
      </c>
      <c r="E1073" s="43" t="n"/>
      <c r="F1073" s="43" t="n"/>
      <c r="G1073" s="43" t="n"/>
    </row>
    <row r="1074" ht="14" customHeight="1">
      <c r="A1074" s="21" t="n">
        <v>2008</v>
      </c>
      <c r="B1074" s="44">
        <f>IF((A1074&gt;=2022),ROUND(((F1074*E1074)/G1074),1),((C1074+D1074)*0.003664))</f>
        <v/>
      </c>
      <c r="C1074" s="45" t="n">
        <v>218343.4324759636</v>
      </c>
      <c r="D1074" s="45" t="n">
        <v>-111331.8908057094</v>
      </c>
      <c r="E1074" s="45" t="n"/>
      <c r="F1074" s="45" t="n"/>
      <c r="G1074" s="45" t="n"/>
    </row>
    <row r="1075" ht="14" customHeight="1">
      <c r="A1075" s="15" t="n">
        <v>2009</v>
      </c>
      <c r="B1075" s="42">
        <f>IF((A1075&gt;=2022),ROUND(((F1075*E1075)/G1075),1),((C1075+D1075)*0.003664))</f>
        <v/>
      </c>
      <c r="C1075" s="43" t="n">
        <v>220287.8026072701</v>
      </c>
      <c r="D1075" s="43" t="n">
        <v>-111815.4305960167</v>
      </c>
      <c r="E1075" s="43" t="n"/>
      <c r="F1075" s="43" t="n"/>
      <c r="G1075" s="43" t="n"/>
    </row>
    <row r="1076" ht="14" customHeight="1">
      <c r="A1076" s="21" t="n">
        <v>2010</v>
      </c>
      <c r="B1076" s="44">
        <f>IF((A1076&gt;=2022),ROUND(((F1076*E1076)/G1076),1),((C1076+D1076)*0.003664))</f>
        <v/>
      </c>
      <c r="C1076" s="45" t="n">
        <v>219703.9830732426</v>
      </c>
      <c r="D1076" s="45" t="n">
        <v>-113516.9416650466</v>
      </c>
      <c r="E1076" s="45" t="n"/>
      <c r="F1076" s="45" t="n"/>
      <c r="G1076" s="45" t="n"/>
    </row>
    <row r="1077" ht="14" customHeight="1">
      <c r="A1077" s="15" t="n">
        <v>2011</v>
      </c>
      <c r="B1077" s="42">
        <f>IF((A1077&gt;=2022),ROUND(((F1077*E1077)/G1077),1),((C1077+D1077)*0.003664))</f>
        <v/>
      </c>
      <c r="C1077" s="43" t="n">
        <v>219467.8846049077</v>
      </c>
      <c r="D1077" s="43" t="n">
        <v>-115631.1785442941</v>
      </c>
      <c r="E1077" s="43" t="n"/>
      <c r="F1077" s="43" t="n"/>
      <c r="G1077" s="43" t="n"/>
    </row>
    <row r="1078" ht="14" customHeight="1">
      <c r="A1078" s="21" t="n">
        <v>2012</v>
      </c>
      <c r="B1078" s="44">
        <f>IF((A1078&gt;=2022),ROUND(((F1078*E1078)/G1078),1),((C1078+D1078)*0.003664))</f>
        <v/>
      </c>
      <c r="C1078" s="45" t="n">
        <v>219573.0602329362</v>
      </c>
      <c r="D1078" s="45" t="n">
        <v>-115119.9142167146</v>
      </c>
      <c r="E1078" s="45" t="n"/>
      <c r="F1078" s="45" t="n"/>
      <c r="G1078" s="45" t="n"/>
    </row>
    <row r="1079" ht="14" customHeight="1">
      <c r="A1079" s="15" t="n">
        <v>2013</v>
      </c>
      <c r="B1079" s="42">
        <f>IF((A1079&gt;=2022),ROUND(((F1079*E1079)/G1079),1),((C1079+D1079)*0.003664))</f>
        <v/>
      </c>
      <c r="C1079" s="43" t="n">
        <v>219562.6129285752</v>
      </c>
      <c r="D1079" s="43" t="n">
        <v>-112829.1262625964</v>
      </c>
      <c r="E1079" s="43" t="n"/>
      <c r="F1079" s="43" t="n"/>
      <c r="G1079" s="43" t="n"/>
    </row>
    <row r="1080" ht="14" customHeight="1">
      <c r="A1080" s="21" t="n">
        <v>2014</v>
      </c>
      <c r="B1080" s="44">
        <f>IF((A1080&gt;=2022),ROUND(((F1080*E1080)/G1080),1),((C1080+D1080)*0.003664))</f>
        <v/>
      </c>
      <c r="C1080" s="45" t="n">
        <v>216997.7891821671</v>
      </c>
      <c r="D1080" s="45" t="n">
        <v>-118203.6520073728</v>
      </c>
      <c r="E1080" s="45" t="n"/>
      <c r="F1080" s="45" t="n"/>
      <c r="G1080" s="45" t="n"/>
    </row>
    <row r="1081" ht="14" customHeight="1">
      <c r="A1081" s="15" t="n">
        <v>2015</v>
      </c>
      <c r="B1081" s="42">
        <f>IF((A1081&gt;=2022),ROUND(((F1081*E1081)/G1081),1),((C1081+D1081)*0.003664))</f>
        <v/>
      </c>
      <c r="C1081" s="43" t="n">
        <v>213886.8459289117</v>
      </c>
      <c r="D1081" s="43" t="n">
        <v>-120294.1172633766</v>
      </c>
      <c r="E1081" s="43" t="n"/>
      <c r="F1081" s="43" t="n"/>
      <c r="G1081" s="43" t="n"/>
    </row>
    <row r="1082" ht="14" customHeight="1">
      <c r="A1082" s="21" t="n">
        <v>2016</v>
      </c>
      <c r="B1082" s="44">
        <f>IF((A1082&gt;=2022),ROUND(((F1082*E1082)/G1082),1),((C1082+D1082)*0.003664))</f>
        <v/>
      </c>
      <c r="C1082" s="45" t="n">
        <v>216230.8909257157</v>
      </c>
      <c r="D1082" s="45" t="n">
        <v>-124158.3386760134</v>
      </c>
      <c r="E1082" s="45" t="n"/>
      <c r="F1082" s="45" t="n"/>
      <c r="G1082" s="45" t="n"/>
    </row>
    <row r="1083" ht="14" customHeight="1">
      <c r="A1083" s="15" t="n">
        <v>2017</v>
      </c>
      <c r="B1083" s="42">
        <f>IF((A1083&gt;=2022),ROUND(((F1083*E1083)/G1083),1),((C1083+D1083)*0.003664))</f>
        <v/>
      </c>
      <c r="C1083" s="43" t="n">
        <v>212622.7923346734</v>
      </c>
      <c r="D1083" s="43" t="n">
        <v>-134132.3124979317</v>
      </c>
      <c r="E1083" s="43" t="n"/>
      <c r="F1083" s="43" t="n"/>
      <c r="G1083" s="43" t="n"/>
    </row>
    <row r="1084" ht="14" customHeight="1">
      <c r="A1084" s="21" t="n">
        <v>2018</v>
      </c>
      <c r="B1084" s="44">
        <f>IF((A1084&gt;=2022),ROUND(((F1084*E1084)/G1084),1),((C1084+D1084)*0.003664))</f>
        <v/>
      </c>
      <c r="C1084" s="45" t="n">
        <v>210749.7858134234</v>
      </c>
      <c r="D1084" s="45" t="n">
        <v>-137835.9901411061</v>
      </c>
      <c r="E1084" s="45" t="n"/>
      <c r="F1084" s="45" t="n"/>
      <c r="G1084" s="45" t="n"/>
    </row>
    <row r="1085" ht="14" customHeight="1">
      <c r="A1085" s="15" t="n">
        <v>2019</v>
      </c>
      <c r="B1085" s="42">
        <f>IF((A1085&gt;=2022),ROUND(((F1085*E1085)/G1085),1),((C1085+D1085)*0.003664))</f>
        <v/>
      </c>
      <c r="C1085" s="43" t="n">
        <v>205781.4262134005</v>
      </c>
      <c r="D1085" s="43" t="n">
        <v>-138888.3265831124</v>
      </c>
      <c r="E1085" s="43" t="n"/>
      <c r="F1085" s="43" t="n"/>
      <c r="G1085" s="43" t="n"/>
    </row>
    <row r="1086" ht="14" customHeight="1">
      <c r="A1086" s="21" t="n">
        <v>2020</v>
      </c>
      <c r="B1086" s="44">
        <f>IF((A1086&gt;=2022),ROUND(((F1086*E1086)/G1086),1),((C1086+D1086)*0.003664))</f>
        <v/>
      </c>
      <c r="C1086" s="45" t="n">
        <v>205587.3657522208</v>
      </c>
      <c r="D1086" s="45" t="n">
        <v>-138253.0479172974</v>
      </c>
      <c r="E1086" s="45" t="n"/>
      <c r="F1086" s="45" t="n"/>
      <c r="G1086" s="45" t="n"/>
    </row>
    <row r="1087" ht="14" customHeight="1">
      <c r="A1087" s="15" t="n">
        <v>2021</v>
      </c>
      <c r="B1087" s="42">
        <f>IF((A1087&gt;=2022),ROUND(((F1087*E1087)/G1087),1),((C1087+D1087)*0.003664))</f>
        <v/>
      </c>
      <c r="C1087" s="43" t="n">
        <v>204988.0727520452</v>
      </c>
      <c r="D1087" s="43" t="n">
        <v>-141734.8538595825</v>
      </c>
      <c r="E1087" s="43" t="n"/>
      <c r="F1087" s="43" t="n"/>
      <c r="G1087" s="43" t="n"/>
    </row>
    <row r="1088" ht="14" customHeight="1">
      <c r="A1088" s="21" t="n">
        <v>2022</v>
      </c>
      <c r="B1088" s="44">
        <f>IF((A1088&gt;=2022),ROUND(((F1088*E1088)/G1088),1),((C1088+D1088)*0.003664))</f>
        <v/>
      </c>
      <c r="C1088" s="45" t="n"/>
      <c r="D1088" s="45" t="n"/>
      <c r="E1088" s="45" t="n">
        <v>-302.45655</v>
      </c>
      <c r="F1088" s="45" t="n">
        <v>231.8</v>
      </c>
      <c r="G1088" s="45" t="n">
        <v>-296.16285</v>
      </c>
    </row>
    <row r="1089" ht="14" customHeight="1">
      <c r="A1089" s="15" t="n">
        <v>2023</v>
      </c>
      <c r="B1089" s="42">
        <f>IF((A1089&gt;=2022),ROUND(((F1089*E1089)/G1089),1),((C1089+D1089)*0.003664))</f>
        <v/>
      </c>
      <c r="C1089" s="43" t="n"/>
      <c r="D1089" s="43" t="n"/>
      <c r="E1089" s="43" t="n">
        <v>-326.66099</v>
      </c>
      <c r="F1089" s="43" t="n">
        <v>231.8</v>
      </c>
      <c r="G1089" s="43" t="n">
        <v>-296.16285</v>
      </c>
    </row>
    <row r="1090" ht="14" customHeight="1">
      <c r="A1090" s="21" t="n">
        <v>2024</v>
      </c>
      <c r="B1090" s="44">
        <f>IF((A1090&gt;=2022),ROUND(((F1090*E1090)/G1090),1),((C1090+D1090)*0.003664))</f>
        <v/>
      </c>
      <c r="C1090" s="45" t="n"/>
      <c r="D1090" s="45" t="n"/>
      <c r="E1090" s="45" t="n">
        <v>-329.98746</v>
      </c>
      <c r="F1090" s="45" t="n">
        <v>231.8</v>
      </c>
      <c r="G1090" s="45" t="n">
        <v>-296.16285</v>
      </c>
    </row>
    <row r="1093">
      <c r="A1093" s="52" t="inlineStr">
        <is>
          <t>L7 · Non-forest LULUCF net GHG emissions  (Mt CO₂eq)</t>
        </is>
      </c>
    </row>
    <row r="1094" ht="24" customHeight="1">
      <c r="A1094" s="3" t="inlineStr">
        <is>
          <t>Derivation:  Value = IF(A &gt;= 2022, ROUND(([env_air_gge CRF4B] + [env_air_gge CRF4C] + [env_air_gge CRF4D] + [env_air_gge CRF4E] + [env_air_gge CRF4F]), 1), ([4.B - Cropland]+[4.C - Grassland]+[4.D - Wetlands]+[4.E - Settlements]+[4.F - Other Land]+[4.H - Other LULUCF]) * 0.001)</t>
        </is>
      </c>
    </row>
    <row r="1095" ht="42" customHeight="1">
      <c r="A1095" s="41" t="inlineStr">
        <is>
          <t>Year</t>
        </is>
      </c>
      <c r="B1095" s="41" t="inlineStr">
        <is>
          <t>Value</t>
        </is>
      </c>
      <c r="C1095" s="41" t="inlineStr">
        <is>
          <t>4.B - Cropland</t>
        </is>
      </c>
      <c r="D1095" s="41" t="inlineStr">
        <is>
          <t>4.C - Grassland</t>
        </is>
      </c>
      <c r="E1095" s="41" t="inlineStr">
        <is>
          <t>4.D - Wetlands</t>
        </is>
      </c>
      <c r="F1095" s="41" t="inlineStr">
        <is>
          <t>4.E - Settlements</t>
        </is>
      </c>
      <c r="G1095" s="41" t="inlineStr">
        <is>
          <t>4.F - Other Land</t>
        </is>
      </c>
      <c r="H1095" s="41" t="inlineStr">
        <is>
          <t>4.H - Other LULUCF</t>
        </is>
      </c>
      <c r="I1095" s="41" t="inlineStr">
        <is>
          <t>env_air_gge CRF4B</t>
        </is>
      </c>
      <c r="J1095" s="41" t="inlineStr">
        <is>
          <t>env_air_gge CRF4C</t>
        </is>
      </c>
      <c r="K1095" s="41" t="inlineStr">
        <is>
          <t>env_air_gge CRF4D</t>
        </is>
      </c>
      <c r="L1095" s="41" t="inlineStr">
        <is>
          <t>env_air_gge CRF4E</t>
        </is>
      </c>
      <c r="M1095" s="41" t="inlineStr">
        <is>
          <t>env_air_gge CRF4F</t>
        </is>
      </c>
    </row>
    <row r="1096" ht="14" customHeight="1">
      <c r="A1096" s="15" t="n">
        <v>2005</v>
      </c>
      <c r="B1096" s="42">
        <f>IF((A1096&gt;=2022),ROUND(((((I1096+J1096)+K1096)+L1096)+M1096),1),((((((C1096+D1096)+E1096)+F1096)+G1096)+H1096)*0.001))</f>
        <v/>
      </c>
      <c r="C1096" s="43" t="n">
        <v>41885.53425752837</v>
      </c>
      <c r="D1096" s="43" t="n">
        <v>32510.71108131449</v>
      </c>
      <c r="E1096" s="43" t="n">
        <v>20342.63347867101</v>
      </c>
      <c r="F1096" s="43" t="n">
        <v>31372.47531632753</v>
      </c>
      <c r="G1096" s="43" t="n">
        <v>996.0482301247856</v>
      </c>
      <c r="H1096" s="43" t="n">
        <v>741.448671589</v>
      </c>
      <c r="I1096" s="43" t="n"/>
      <c r="J1096" s="43" t="n"/>
      <c r="K1096" s="43" t="n"/>
      <c r="L1096" s="43" t="n"/>
      <c r="M1096" s="43" t="n"/>
    </row>
    <row r="1097" ht="14" customHeight="1">
      <c r="A1097" s="21" t="n">
        <v>2006</v>
      </c>
      <c r="B1097" s="44">
        <f>IF((A1097&gt;=2022),ROUND(((((I1097+J1097)+K1097)+L1097)+M1097),1),((((((C1097+D1097)+E1097)+F1097)+G1097)+H1097)*0.001))</f>
        <v/>
      </c>
      <c r="C1097" s="45" t="n">
        <v>42292.71847651808</v>
      </c>
      <c r="D1097" s="45" t="n">
        <v>27337.3261531531</v>
      </c>
      <c r="E1097" s="45" t="n">
        <v>19996.68425504841</v>
      </c>
      <c r="F1097" s="45" t="n">
        <v>29132.04507132273</v>
      </c>
      <c r="G1097" s="45" t="n">
        <v>2406.758732125177</v>
      </c>
      <c r="H1097" s="45" t="n">
        <v>673.5702670200001</v>
      </c>
      <c r="I1097" s="45" t="n"/>
      <c r="J1097" s="45" t="n"/>
      <c r="K1097" s="45" t="n"/>
      <c r="L1097" s="45" t="n"/>
      <c r="M1097" s="45" t="n"/>
    </row>
    <row r="1098" ht="14" customHeight="1">
      <c r="A1098" s="15" t="n">
        <v>2007</v>
      </c>
      <c r="B1098" s="42">
        <f>IF((A1098&gt;=2022),ROUND(((((I1098+J1098)+K1098)+L1098)+M1098),1),((((((C1098+D1098)+E1098)+F1098)+G1098)+H1098)*0.001))</f>
        <v/>
      </c>
      <c r="C1098" s="43" t="n">
        <v>46325.95223374323</v>
      </c>
      <c r="D1098" s="43" t="n">
        <v>33798.48280035835</v>
      </c>
      <c r="E1098" s="43" t="n">
        <v>18814.03561608521</v>
      </c>
      <c r="F1098" s="43" t="n">
        <v>31382.47763486252</v>
      </c>
      <c r="G1098" s="43" t="n">
        <v>991.204401472444</v>
      </c>
      <c r="H1098" s="43" t="n">
        <v>618.7291145610001</v>
      </c>
      <c r="I1098" s="43" t="n"/>
      <c r="J1098" s="43" t="n"/>
      <c r="K1098" s="43" t="n"/>
      <c r="L1098" s="43" t="n"/>
      <c r="M1098" s="43" t="n"/>
    </row>
    <row r="1099" ht="14" customHeight="1">
      <c r="A1099" s="21" t="n">
        <v>2008</v>
      </c>
      <c r="B1099" s="44">
        <f>IF((A1099&gt;=2022),ROUND(((((I1099+J1099)+K1099)+L1099)+M1099),1),((((((C1099+D1099)+E1099)+F1099)+G1099)+H1099)*0.001))</f>
        <v/>
      </c>
      <c r="C1099" s="45" t="n">
        <v>47762.40103886886</v>
      </c>
      <c r="D1099" s="45" t="n">
        <v>31158.82576921384</v>
      </c>
      <c r="E1099" s="45" t="n">
        <v>19020.27565720151</v>
      </c>
      <c r="F1099" s="45" t="n">
        <v>31168.62671812822</v>
      </c>
      <c r="G1099" s="45" t="n">
        <v>1041.668919946932</v>
      </c>
      <c r="H1099" s="45" t="n">
        <v>574.0462698709999</v>
      </c>
      <c r="I1099" s="45" t="n"/>
      <c r="J1099" s="45" t="n"/>
      <c r="K1099" s="45" t="n"/>
      <c r="L1099" s="45" t="n"/>
      <c r="M1099" s="45" t="n"/>
    </row>
    <row r="1100" ht="14" customHeight="1">
      <c r="A1100" s="15" t="n">
        <v>2009</v>
      </c>
      <c r="B1100" s="42">
        <f>IF((A1100&gt;=2022),ROUND(((((I1100+J1100)+K1100)+L1100)+M1100),1),((((((C1100+D1100)+E1100)+F1100)+G1100)+H1100)*0.001))</f>
        <v/>
      </c>
      <c r="C1100" s="43" t="n">
        <v>46350.09970271496</v>
      </c>
      <c r="D1100" s="43" t="n">
        <v>32804.09480950376</v>
      </c>
      <c r="E1100" s="43" t="n">
        <v>18775.73437068779</v>
      </c>
      <c r="F1100" s="43" t="n">
        <v>31187.65999044619</v>
      </c>
      <c r="G1100" s="43" t="n">
        <v>1282.988906952395</v>
      </c>
      <c r="H1100" s="43" t="n">
        <v>537.2664758450001</v>
      </c>
      <c r="I1100" s="43" t="n"/>
      <c r="J1100" s="43" t="n"/>
      <c r="K1100" s="43" t="n"/>
      <c r="L1100" s="43" t="n"/>
      <c r="M1100" s="43" t="n"/>
    </row>
    <row r="1101" ht="14" customHeight="1">
      <c r="A1101" s="21" t="n">
        <v>2010</v>
      </c>
      <c r="B1101" s="44">
        <f>IF((A1101&gt;=2022),ROUND(((((I1101+J1101)+K1101)+L1101)+M1101),1),((((((C1101+D1101)+E1101)+F1101)+G1101)+H1101)*0.001))</f>
        <v/>
      </c>
      <c r="C1101" s="45" t="n">
        <v>36721.83150255705</v>
      </c>
      <c r="D1101" s="45" t="n">
        <v>31258.86063810398</v>
      </c>
      <c r="E1101" s="45" t="n">
        <v>20203.80607813424</v>
      </c>
      <c r="F1101" s="45" t="n">
        <v>27887.39176383215</v>
      </c>
      <c r="G1101" s="45" t="n">
        <v>1195.450924808085</v>
      </c>
      <c r="H1101" s="45" t="n">
        <v>506.7938481376</v>
      </c>
      <c r="I1101" s="45" t="n"/>
      <c r="J1101" s="45" t="n"/>
      <c r="K1101" s="45" t="n"/>
      <c r="L1101" s="45" t="n"/>
      <c r="M1101" s="45" t="n"/>
    </row>
    <row r="1102" ht="14" customHeight="1">
      <c r="A1102" s="15" t="n">
        <v>2011</v>
      </c>
      <c r="B1102" s="42">
        <f>IF((A1102&gt;=2022),ROUND(((((I1102+J1102)+K1102)+L1102)+M1102),1),((((((C1102+D1102)+E1102)+F1102)+G1102)+H1102)*0.001))</f>
        <v/>
      </c>
      <c r="C1102" s="43" t="n">
        <v>36216.02107721435</v>
      </c>
      <c r="D1102" s="43" t="n">
        <v>32793.28038378709</v>
      </c>
      <c r="E1102" s="43" t="n">
        <v>19884.20119229088</v>
      </c>
      <c r="F1102" s="43" t="n">
        <v>25402.42417670629</v>
      </c>
      <c r="G1102" s="43" t="n">
        <v>1104.582020437688</v>
      </c>
      <c r="H1102" s="43" t="n">
        <v>483.69278719</v>
      </c>
      <c r="I1102" s="43" t="n"/>
      <c r="J1102" s="43" t="n"/>
      <c r="K1102" s="43" t="n"/>
      <c r="L1102" s="43" t="n"/>
      <c r="M1102" s="43" t="n"/>
    </row>
    <row r="1103" ht="14" customHeight="1">
      <c r="A1103" s="21" t="n">
        <v>2012</v>
      </c>
      <c r="B1103" s="44">
        <f>IF((A1103&gt;=2022),ROUND(((((I1103+J1103)+K1103)+L1103)+M1103),1),((((((C1103+D1103)+E1103)+F1103)+G1103)+H1103)*0.001))</f>
        <v/>
      </c>
      <c r="C1103" s="45" t="n">
        <v>36317.39548750013</v>
      </c>
      <c r="D1103" s="45" t="n">
        <v>33714.56839464341</v>
      </c>
      <c r="E1103" s="45" t="n">
        <v>18656.85199674396</v>
      </c>
      <c r="F1103" s="45" t="n">
        <v>24349.69852581686</v>
      </c>
      <c r="G1103" s="45" t="n">
        <v>1129.46977280674</v>
      </c>
      <c r="H1103" s="45" t="n">
        <v>464.686148165</v>
      </c>
      <c r="I1103" s="45" t="n"/>
      <c r="J1103" s="45" t="n"/>
      <c r="K1103" s="45" t="n"/>
      <c r="L1103" s="45" t="n"/>
      <c r="M1103" s="45" t="n"/>
    </row>
    <row r="1104" ht="14" customHeight="1">
      <c r="A1104" s="15" t="n">
        <v>2013</v>
      </c>
      <c r="B1104" s="42">
        <f>IF((A1104&gt;=2022),ROUND(((((I1104+J1104)+K1104)+L1104)+M1104),1),((((((C1104+D1104)+E1104)+F1104)+G1104)+H1104)*0.001))</f>
        <v/>
      </c>
      <c r="C1104" s="43" t="n">
        <v>38971.12944807648</v>
      </c>
      <c r="D1104" s="43" t="n">
        <v>40699.15963587457</v>
      </c>
      <c r="E1104" s="43" t="n">
        <v>21154.75104807447</v>
      </c>
      <c r="F1104" s="43" t="n">
        <v>25666.8183585163</v>
      </c>
      <c r="G1104" s="43" t="n">
        <v>1084.039730474763</v>
      </c>
      <c r="H1104" s="43" t="n">
        <v>448.9723866126</v>
      </c>
      <c r="I1104" s="43" t="n"/>
      <c r="J1104" s="43" t="n"/>
      <c r="K1104" s="43" t="n"/>
      <c r="L1104" s="43" t="n"/>
      <c r="M1104" s="43" t="n"/>
    </row>
    <row r="1105" ht="14" customHeight="1">
      <c r="A1105" s="21" t="n">
        <v>2014</v>
      </c>
      <c r="B1105" s="44">
        <f>IF((A1105&gt;=2022),ROUND(((((I1105+J1105)+K1105)+L1105)+M1105),1),((((((C1105+D1105)+E1105)+F1105)+G1105)+H1105)*0.001))</f>
        <v/>
      </c>
      <c r="C1105" s="45" t="n">
        <v>36049.32332552515</v>
      </c>
      <c r="D1105" s="45" t="n">
        <v>23694.8825455224</v>
      </c>
      <c r="E1105" s="45" t="n">
        <v>20163.3243364918</v>
      </c>
      <c r="F1105" s="45" t="n">
        <v>26768.59169342736</v>
      </c>
      <c r="G1105" s="45" t="n">
        <v>1136.119442811357</v>
      </c>
      <c r="H1105" s="45" t="n">
        <v>435.927059493</v>
      </c>
      <c r="I1105" s="45" t="n"/>
      <c r="J1105" s="45" t="n"/>
      <c r="K1105" s="45" t="n"/>
      <c r="L1105" s="45" t="n"/>
      <c r="M1105" s="45" t="n"/>
    </row>
    <row r="1106" ht="14" customHeight="1">
      <c r="A1106" s="15" t="n">
        <v>2015</v>
      </c>
      <c r="B1106" s="42">
        <f>IF((A1106&gt;=2022),ROUND(((((I1106+J1106)+K1106)+L1106)+M1106),1),((((((C1106+D1106)+E1106)+F1106)+G1106)+H1106)*0.001))</f>
        <v/>
      </c>
      <c r="C1106" s="43" t="n">
        <v>30257.07408019602</v>
      </c>
      <c r="D1106" s="43" t="n">
        <v>21547.00293944589</v>
      </c>
      <c r="E1106" s="43" t="n">
        <v>22092.72679723136</v>
      </c>
      <c r="F1106" s="43" t="n">
        <v>27576.62073681327</v>
      </c>
      <c r="G1106" s="43" t="n">
        <v>1180.763064035405</v>
      </c>
      <c r="H1106" s="43" t="n">
        <v>425.1381658574</v>
      </c>
      <c r="I1106" s="43" t="n"/>
      <c r="J1106" s="43" t="n"/>
      <c r="K1106" s="43" t="n"/>
      <c r="L1106" s="43" t="n"/>
      <c r="M1106" s="43" t="n"/>
    </row>
    <row r="1107" ht="14" customHeight="1">
      <c r="A1107" s="21" t="n">
        <v>2016</v>
      </c>
      <c r="B1107" s="44">
        <f>IF((A1107&gt;=2022),ROUND(((((I1107+J1107)+K1107)+L1107)+M1107),1),((((((C1107+D1107)+E1107)+F1107)+G1107)+H1107)*0.001))</f>
        <v/>
      </c>
      <c r="C1107" s="45" t="n">
        <v>25855.2039899661</v>
      </c>
      <c r="D1107" s="45" t="n">
        <v>21169.80502123257</v>
      </c>
      <c r="E1107" s="45" t="n">
        <v>20224.48018239814</v>
      </c>
      <c r="F1107" s="45" t="n">
        <v>31537.09695079203</v>
      </c>
      <c r="G1107" s="45" t="n">
        <v>1154.72789249218</v>
      </c>
      <c r="H1107" s="45" t="n">
        <v>415.6123884053999</v>
      </c>
      <c r="I1107" s="45" t="n"/>
      <c r="J1107" s="45" t="n"/>
      <c r="K1107" s="45" t="n"/>
      <c r="L1107" s="45" t="n"/>
      <c r="M1107" s="45" t="n"/>
    </row>
    <row r="1108" ht="14" customHeight="1">
      <c r="A1108" s="15" t="n">
        <v>2017</v>
      </c>
      <c r="B1108" s="42">
        <f>IF((A1108&gt;=2022),ROUND(((((I1108+J1108)+K1108)+L1108)+M1108),1),((((((C1108+D1108)+E1108)+F1108)+G1108)+H1108)*0.001))</f>
        <v/>
      </c>
      <c r="C1108" s="43" t="n">
        <v>27354.58630304968</v>
      </c>
      <c r="D1108" s="43" t="n">
        <v>25072.84337739296</v>
      </c>
      <c r="E1108" s="43" t="n">
        <v>21688.3769685278</v>
      </c>
      <c r="F1108" s="43" t="n">
        <v>27604.46441605618</v>
      </c>
      <c r="G1108" s="43" t="n">
        <v>1165.208596127795</v>
      </c>
      <c r="H1108" s="43" t="n">
        <v>407.649855303</v>
      </c>
      <c r="I1108" s="43" t="n"/>
      <c r="J1108" s="43" t="n"/>
      <c r="K1108" s="43" t="n"/>
      <c r="L1108" s="43" t="n"/>
      <c r="M1108" s="43" t="n"/>
    </row>
    <row r="1109" ht="14" customHeight="1">
      <c r="A1109" s="21" t="n">
        <v>2018</v>
      </c>
      <c r="B1109" s="44">
        <f>IF((A1109&gt;=2022),ROUND(((((I1109+J1109)+K1109)+L1109)+M1109),1),((((((C1109+D1109)+E1109)+F1109)+G1109)+H1109)*0.001))</f>
        <v/>
      </c>
      <c r="C1109" s="45" t="n">
        <v>25495.21994768171</v>
      </c>
      <c r="D1109" s="45" t="n">
        <v>16449.56001501077</v>
      </c>
      <c r="E1109" s="45" t="n">
        <v>21436.10278885118</v>
      </c>
      <c r="F1109" s="45" t="n">
        <v>28513.4817810418</v>
      </c>
      <c r="G1109" s="45" t="n">
        <v>1706.347266419505</v>
      </c>
      <c r="H1109" s="45" t="n">
        <v>400.9797448954</v>
      </c>
      <c r="I1109" s="45" t="n"/>
      <c r="J1109" s="45" t="n"/>
      <c r="K1109" s="45" t="n"/>
      <c r="L1109" s="45" t="n"/>
      <c r="M1109" s="45" t="n"/>
    </row>
    <row r="1110" ht="14" customHeight="1">
      <c r="A1110" s="15" t="n">
        <v>2019</v>
      </c>
      <c r="B1110" s="42">
        <f>IF((A1110&gt;=2022),ROUND(((((I1110+J1110)+K1110)+L1110)+M1110),1),((((((C1110+D1110)+E1110)+F1110)+G1110)+H1110)*0.001))</f>
        <v/>
      </c>
      <c r="C1110" s="43" t="n">
        <v>21646.50313641412</v>
      </c>
      <c r="D1110" s="43" t="n">
        <v>18244.11219561336</v>
      </c>
      <c r="E1110" s="43" t="n">
        <v>20796.37730009013</v>
      </c>
      <c r="F1110" s="43" t="n">
        <v>27175.25161722646</v>
      </c>
      <c r="G1110" s="43" t="n">
        <v>1180.914747992109</v>
      </c>
      <c r="H1110" s="43" t="n">
        <v>395.448533892</v>
      </c>
      <c r="I1110" s="43" t="n"/>
      <c r="J1110" s="43" t="n"/>
      <c r="K1110" s="43" t="n"/>
      <c r="L1110" s="43" t="n"/>
      <c r="M1110" s="43" t="n"/>
    </row>
    <row r="1111" ht="14" customHeight="1">
      <c r="A1111" s="21" t="n">
        <v>2020</v>
      </c>
      <c r="B1111" s="44">
        <f>IF((A1111&gt;=2022),ROUND(((((I1111+J1111)+K1111)+L1111)+M1111),1),((((((C1111+D1111)+E1111)+F1111)+G1111)+H1111)*0.001))</f>
        <v/>
      </c>
      <c r="C1111" s="45" t="n">
        <v>22368.51151880113</v>
      </c>
      <c r="D1111" s="45" t="n">
        <v>18543.52960201591</v>
      </c>
      <c r="E1111" s="45" t="n">
        <v>21449.86892665799</v>
      </c>
      <c r="F1111" s="45" t="n">
        <v>27265.66564140092</v>
      </c>
      <c r="G1111" s="45" t="n">
        <v>1196.299958804059</v>
      </c>
      <c r="H1111" s="45" t="n">
        <v>390.8816272546</v>
      </c>
      <c r="I1111" s="45" t="n"/>
      <c r="J1111" s="45" t="n"/>
      <c r="K1111" s="45" t="n"/>
      <c r="L1111" s="45" t="n"/>
      <c r="M1111" s="45" t="n"/>
    </row>
    <row r="1112" ht="14" customHeight="1">
      <c r="A1112" s="15" t="n">
        <v>2021</v>
      </c>
      <c r="B1112" s="42">
        <f>IF((A1112&gt;=2022),ROUND(((((I1112+J1112)+K1112)+L1112)+M1112),1),((((((C1112+D1112)+E1112)+F1112)+G1112)+H1112)*0.001))</f>
        <v/>
      </c>
      <c r="C1112" s="43" t="n">
        <v>22646.39783576392</v>
      </c>
      <c r="D1112" s="43" t="n">
        <v>24955.05350112291</v>
      </c>
      <c r="E1112" s="43" t="n">
        <v>21269.811792639</v>
      </c>
      <c r="F1112" s="43" t="n">
        <v>26988.93925864455</v>
      </c>
      <c r="G1112" s="43" t="n">
        <v>1192.624582561036</v>
      </c>
      <c r="H1112" s="43" t="n">
        <v>387.93264465</v>
      </c>
      <c r="I1112" s="43" t="n"/>
      <c r="J1112" s="43" t="n"/>
      <c r="K1112" s="43" t="n"/>
      <c r="L1112" s="43" t="n"/>
      <c r="M1112" s="43" t="n"/>
    </row>
    <row r="1113" ht="14" customHeight="1">
      <c r="A1113" s="21" t="n">
        <v>2022</v>
      </c>
      <c r="B1113" s="44">
        <f>IF((A1113&gt;=2022),ROUND(((((I1113+J1113)+K1113)+L1113)+M1113),1),((((((C1113+D1113)+E1113)+F1113)+G1113)+H1113)*0.001))</f>
        <v/>
      </c>
      <c r="C1113" s="45" t="n"/>
      <c r="D1113" s="45" t="n"/>
      <c r="E1113" s="45" t="n"/>
      <c r="F1113" s="45" t="n"/>
      <c r="G1113" s="45" t="n"/>
      <c r="H1113" s="45" t="n"/>
      <c r="I1113" s="45" t="n">
        <v>48.81144</v>
      </c>
      <c r="J1113" s="45" t="n">
        <v>13.87313</v>
      </c>
      <c r="K1113" s="45" t="n">
        <v>24.99028</v>
      </c>
      <c r="L1113" s="45" t="n">
        <v>31.19317</v>
      </c>
      <c r="M1113" s="45" t="n">
        <v>2.15242</v>
      </c>
    </row>
    <row r="1114" ht="14" customHeight="1">
      <c r="A1114" s="15" t="n">
        <v>2023</v>
      </c>
      <c r="B1114" s="42">
        <f>IF((A1114&gt;=2022),ROUND(((((I1114+J1114)+K1114)+L1114)+M1114),1),((((((C1114+D1114)+E1114)+F1114)+G1114)+H1114)*0.001))</f>
        <v/>
      </c>
      <c r="C1114" s="43" t="n"/>
      <c r="D1114" s="43" t="n"/>
      <c r="E1114" s="43" t="n"/>
      <c r="F1114" s="43" t="n"/>
      <c r="G1114" s="43" t="n"/>
      <c r="H1114" s="43" t="n"/>
      <c r="I1114" s="43" t="n">
        <v>64.02566</v>
      </c>
      <c r="J1114" s="43" t="n">
        <v>6.01163</v>
      </c>
      <c r="K1114" s="43" t="n">
        <v>23.35143</v>
      </c>
      <c r="L1114" s="43" t="n">
        <v>40.4274</v>
      </c>
      <c r="M1114" s="43" t="n">
        <v>1.83318</v>
      </c>
    </row>
    <row r="1115" ht="14" customHeight="1">
      <c r="A1115" s="21" t="n">
        <v>2024</v>
      </c>
      <c r="B1115" s="44">
        <f>IF((A1115&gt;=2022),ROUND(((((I1115+J1115)+K1115)+L1115)+M1115),1),((((((C1115+D1115)+E1115)+F1115)+G1115)+H1115)*0.001))</f>
        <v/>
      </c>
      <c r="C1115" s="45" t="n"/>
      <c r="D1115" s="45" t="n"/>
      <c r="E1115" s="45" t="n"/>
      <c r="F1115" s="45" t="n"/>
      <c r="G1115" s="45" t="n"/>
      <c r="H1115" s="45" t="n"/>
      <c r="I1115" s="45" t="n">
        <v>48.87363</v>
      </c>
      <c r="J1115" s="45" t="n">
        <v>9.16827</v>
      </c>
      <c r="K1115" s="45" t="n">
        <v>23.08914</v>
      </c>
      <c r="L1115" s="45" t="n">
        <v>39.8874</v>
      </c>
      <c r="M1115" s="45" t="n">
        <v>1.9467</v>
      </c>
    </row>
    <row r="1118">
      <c r="A1118" s="52" t="inlineStr">
        <is>
          <t>L8 · Total bioenergy use (EU-27)  (TWh)</t>
        </is>
      </c>
    </row>
    <row r="1119" ht="24" customHeight="1">
      <c r="A1119" s="3" t="inlineStr">
        <is>
          <t>Derivation:  Value = IF(A &gt;= 2022, ROUND([nrg_bal_c BIOE] * [Unit conversion (× 0.001)], 1), ([Power and heat: Primary solid biofuels]+[Power and heat: Charcoal]+[Power and heat: Pure biogasoline]+[Power and heat: Blended biogasoline]+[Power and heat: Pure biodiesels]+[Power and heat: Blended biodiesels]+[Power and heat: Pure bio jet kerosene]+[Power and heat: Blended bio jet kerosene]+[Power and heat: Other liquid biofuels]+[Power and heat: Biogases]+[Industry: Primary solid biofuels]+[Industry: Charcoal]+[Industry: Pure biogasoline]+[Industry: Blended biogasoline]+[Industry: Pure biodiesels]+[Industry: Blended biodiesels]+[Industry: Pure bio jet kerosene]+[Industry: Blended bio jet kerosene]+[Industry: Other liquid biofuels]+[Industry: Biogases]+[Transport: Primary solid biofuels]+[Transport: Charcoal]+[Transport: Pure biogasoline]+[Transport: Blended biogasoline]+[Transport: Pure biodiesels]+[Transport: Blended biodiesels]+[Transport: Pure bio jet kerosene]+[Transport: Blended bio jet kerosene]+[Transport: Other liquid biofuels]+[Transport: Biogases]+[Other sectors: Primary solid biofuels]+[Other sectors: Charcoal]+[Other sectors: Pure biogasoline]+[Other sectors: Blended biogasoline]+[Other sectors: Pure biodiesels]+[Other sectors: Blended biodiesels]+[Other sectors: Pure bio jet kerosene]+[Other sectors: Blended bio jet kerosene]+[Other sectors: Other liquid biofuels]+[Other sectors: Biogases]) * 0.001)</t>
        </is>
      </c>
    </row>
    <row r="1120" ht="42" customHeight="1">
      <c r="A1120" s="41" t="inlineStr">
        <is>
          <t>Year</t>
        </is>
      </c>
      <c r="B1120" s="41" t="inlineStr">
        <is>
          <t>Value</t>
        </is>
      </c>
      <c r="C1120" s="41" t="inlineStr">
        <is>
          <t>Power and heat: Primary solid biofuels</t>
        </is>
      </c>
      <c r="D1120" s="41" t="inlineStr">
        <is>
          <t>Power and heat: Charcoal</t>
        </is>
      </c>
      <c r="E1120" s="41" t="inlineStr">
        <is>
          <t>Power and heat: Pure biogasoline</t>
        </is>
      </c>
      <c r="F1120" s="41" t="inlineStr">
        <is>
          <t>Power and heat: Blended biogasoline</t>
        </is>
      </c>
      <c r="G1120" s="41" t="inlineStr">
        <is>
          <t>Power and heat: Pure biodiesels</t>
        </is>
      </c>
      <c r="H1120" s="41" t="inlineStr">
        <is>
          <t>Power and heat: Blended biodiesels</t>
        </is>
      </c>
      <c r="I1120" s="41" t="inlineStr">
        <is>
          <t>Power and heat: Pure bio jet kerosene</t>
        </is>
      </c>
      <c r="J1120" s="41" t="inlineStr">
        <is>
          <t>Power and heat: Blended bio jet kerosene</t>
        </is>
      </c>
      <c r="K1120" s="41" t="inlineStr">
        <is>
          <t>Power and heat: Other liquid biofuels</t>
        </is>
      </c>
      <c r="L1120" s="41" t="inlineStr">
        <is>
          <t>Power and heat: Biogases</t>
        </is>
      </c>
      <c r="M1120" s="41" t="inlineStr">
        <is>
          <t>Industry: Primary solid biofuels</t>
        </is>
      </c>
      <c r="N1120" s="41" t="inlineStr">
        <is>
          <t>Industry: Charcoal</t>
        </is>
      </c>
      <c r="O1120" s="41" t="inlineStr">
        <is>
          <t>Industry: Pure biogasoline</t>
        </is>
      </c>
      <c r="P1120" s="41" t="inlineStr">
        <is>
          <t>Industry: Blended biogasoline</t>
        </is>
      </c>
      <c r="Q1120" s="41" t="inlineStr">
        <is>
          <t>Industry: Pure biodiesels</t>
        </is>
      </c>
      <c r="R1120" s="41" t="inlineStr">
        <is>
          <t>Industry: Blended biodiesels</t>
        </is>
      </c>
      <c r="S1120" s="41" t="inlineStr">
        <is>
          <t>Industry: Pure bio jet kerosene</t>
        </is>
      </c>
      <c r="T1120" s="41" t="inlineStr">
        <is>
          <t>Industry: Blended bio jet kerosene</t>
        </is>
      </c>
      <c r="U1120" s="41" t="inlineStr">
        <is>
          <t>Industry: Other liquid biofuels</t>
        </is>
      </c>
      <c r="V1120" s="41" t="inlineStr">
        <is>
          <t>Industry: Biogases</t>
        </is>
      </c>
      <c r="W1120" s="41" t="inlineStr">
        <is>
          <t>Transport: Primary solid biofuels</t>
        </is>
      </c>
      <c r="X1120" s="41" t="inlineStr">
        <is>
          <t>Transport: Charcoal</t>
        </is>
      </c>
      <c r="Y1120" s="41" t="inlineStr">
        <is>
          <t>Transport: Pure biogasoline</t>
        </is>
      </c>
      <c r="Z1120" s="41" t="inlineStr">
        <is>
          <t>Transport: Blended biogasoline</t>
        </is>
      </c>
      <c r="AA1120" s="41" t="inlineStr">
        <is>
          <t>Transport: Pure biodiesels</t>
        </is>
      </c>
      <c r="AB1120" s="41" t="inlineStr">
        <is>
          <t>Transport: Blended biodiesels</t>
        </is>
      </c>
      <c r="AC1120" s="41" t="inlineStr">
        <is>
          <t>Transport: Pure bio jet kerosene</t>
        </is>
      </c>
      <c r="AD1120" s="41" t="inlineStr">
        <is>
          <t>Transport: Blended bio jet kerosene</t>
        </is>
      </c>
      <c r="AE1120" s="41" t="inlineStr">
        <is>
          <t>Transport: Other liquid biofuels</t>
        </is>
      </c>
      <c r="AF1120" s="41" t="inlineStr">
        <is>
          <t>Transport: Biogases</t>
        </is>
      </c>
      <c r="AG1120" s="41" t="inlineStr">
        <is>
          <t>Other sectors: Primary solid biofuels</t>
        </is>
      </c>
      <c r="AH1120" s="41" t="inlineStr">
        <is>
          <t>Other sectors: Charcoal</t>
        </is>
      </c>
      <c r="AI1120" s="41" t="inlineStr">
        <is>
          <t>Other sectors: Pure biogasoline</t>
        </is>
      </c>
      <c r="AJ1120" s="41" t="inlineStr">
        <is>
          <t>Other sectors: Blended biogasoline</t>
        </is>
      </c>
      <c r="AK1120" s="41" t="inlineStr">
        <is>
          <t>Other sectors: Pure biodiesels</t>
        </is>
      </c>
      <c r="AL1120" s="41" t="inlineStr">
        <is>
          <t>Other sectors: Blended biodiesels</t>
        </is>
      </c>
      <c r="AM1120" s="41" t="inlineStr">
        <is>
          <t>Other sectors: Pure bio jet kerosene</t>
        </is>
      </c>
      <c r="AN1120" s="41" t="inlineStr">
        <is>
          <t>Other sectors: Blended bio jet kerosene</t>
        </is>
      </c>
      <c r="AO1120" s="41" t="inlineStr">
        <is>
          <t>Other sectors: Other liquid biofuels</t>
        </is>
      </c>
      <c r="AP1120" s="41" t="inlineStr">
        <is>
          <t>Other sectors: Biogases</t>
        </is>
      </c>
      <c r="AQ1120" s="41" t="inlineStr">
        <is>
          <t>nrg_bal_c BIOE</t>
        </is>
      </c>
      <c r="AR1120" s="41" t="inlineStr">
        <is>
          <t>Unit conversion (× 0.001)</t>
        </is>
      </c>
    </row>
    <row r="1121" ht="14" customHeight="1">
      <c r="A1121" s="15" t="n">
        <v>2005</v>
      </c>
      <c r="B1121" s="42">
        <f>IF((A1121&gt;=2022),ROUND((AQ1121*AR1121),1),((((((((((((((((((((((((((((((((((((((((C1121+D1121)+E1121)+F1121)+G1121)+H1121)+I1121)+J1121)+K1121)+L1121)+M1121)+N1121)+O1121)+P1121)+Q1121)+R1121)+S1121)+T1121)+U1121)+V1121)+W1121)+X1121)+Y1121)+Z1121)+AA1121)+AB1121)+AC1121)+AD1121)+AE1121)+AF1121)+AG1121)+AH1121)+AI1121)+AJ1121)+AK1121)+AL1121)+AM1121)+AN1121)+AO1121)+AP1121)*0.001))</f>
        <v/>
      </c>
      <c r="C1121" s="43" t="n">
        <v>164104.332</v>
      </c>
      <c r="D1121" s="43" t="n">
        <v>0</v>
      </c>
      <c r="E1121" s="43" t="n">
        <v>6454.615</v>
      </c>
      <c r="F1121" s="43" t="n">
        <v>0</v>
      </c>
      <c r="G1121" s="43" t="n">
        <v>17620.64</v>
      </c>
      <c r="H1121" s="43" t="n">
        <v>0</v>
      </c>
      <c r="I1121" s="43" t="n">
        <v>0</v>
      </c>
      <c r="J1121" s="43" t="n">
        <v>0</v>
      </c>
      <c r="K1121" s="43" t="n">
        <v>5673.882</v>
      </c>
      <c r="L1121" s="43" t="n">
        <v>22981.133</v>
      </c>
      <c r="M1121" s="43" t="n">
        <v>199345.482</v>
      </c>
      <c r="N1121" s="43" t="n">
        <v>171.111</v>
      </c>
      <c r="O1121" s="43" t="n">
        <v>0</v>
      </c>
      <c r="P1121" s="43" t="n">
        <v>1.733</v>
      </c>
      <c r="Q1121" s="43" t="n">
        <v>0.677</v>
      </c>
      <c r="R1121" s="43" t="n">
        <v>42.046</v>
      </c>
      <c r="S1121" s="43" t="n">
        <v>0</v>
      </c>
      <c r="T1121" s="43" t="n">
        <v>0</v>
      </c>
      <c r="U1121" s="43" t="n">
        <v>230.951</v>
      </c>
      <c r="V1121" s="43" t="n">
        <v>1530.049</v>
      </c>
      <c r="W1121" s="43" t="n">
        <v>7.864</v>
      </c>
      <c r="X1121" s="43" t="n">
        <v>0</v>
      </c>
      <c r="Y1121" s="43" t="n">
        <v>92.15900000000001</v>
      </c>
      <c r="Z1121" s="43" t="n">
        <v>6228.402</v>
      </c>
      <c r="AA1121" s="43" t="n">
        <v>11283.492</v>
      </c>
      <c r="AB1121" s="43" t="n">
        <v>17212.74</v>
      </c>
      <c r="AC1121" s="43" t="n">
        <v>0</v>
      </c>
      <c r="AD1121" s="43" t="n">
        <v>0</v>
      </c>
      <c r="AE1121" s="43" t="n">
        <v>1696.31</v>
      </c>
      <c r="AF1121" s="43" t="n">
        <v>0</v>
      </c>
      <c r="AG1121" s="43" t="n">
        <v>433247.502</v>
      </c>
      <c r="AH1121" s="43" t="n">
        <v>2489.039</v>
      </c>
      <c r="AI1121" s="43" t="n">
        <v>0</v>
      </c>
      <c r="AJ1121" s="43" t="n">
        <v>72.533</v>
      </c>
      <c r="AK1121" s="43" t="n">
        <v>339.462</v>
      </c>
      <c r="AL1121" s="43" t="n">
        <v>571.213</v>
      </c>
      <c r="AM1121" s="43" t="n">
        <v>0</v>
      </c>
      <c r="AN1121" s="43" t="n">
        <v>0</v>
      </c>
      <c r="AO1121" s="43" t="n">
        <v>261.3</v>
      </c>
      <c r="AP1121" s="43" t="n">
        <v>4726.776</v>
      </c>
      <c r="AQ1121" s="43" t="n"/>
      <c r="AR1121" s="43" t="n"/>
    </row>
    <row r="1122" ht="14" customHeight="1">
      <c r="A1122" s="21" t="n">
        <v>2006</v>
      </c>
      <c r="B1122" s="44">
        <f>IF((A1122&gt;=2022),ROUND((AQ1122*AR1122),1),((((((((((((((((((((((((((((((((((((((((C1122+D1122)+E1122)+F1122)+G1122)+H1122)+I1122)+J1122)+K1122)+L1122)+M1122)+N1122)+O1122)+P1122)+Q1122)+R1122)+S1122)+T1122)+U1122)+V1122)+W1122)+X1122)+Y1122)+Z1122)+AA1122)+AB1122)+AC1122)+AD1122)+AE1122)+AF1122)+AG1122)+AH1122)+AI1122)+AJ1122)+AK1122)+AL1122)+AM1122)+AN1122)+AO1122)+AP1122)*0.001))</f>
        <v/>
      </c>
      <c r="C1122" s="45" t="n">
        <v>174969.609</v>
      </c>
      <c r="D1122" s="45" t="n">
        <v>0</v>
      </c>
      <c r="E1122" s="45" t="n">
        <v>9707.165000000001</v>
      </c>
      <c r="F1122" s="45" t="n">
        <v>0</v>
      </c>
      <c r="G1122" s="45" t="n">
        <v>24534.078</v>
      </c>
      <c r="H1122" s="45" t="n">
        <v>0</v>
      </c>
      <c r="I1122" s="45" t="n">
        <v>0</v>
      </c>
      <c r="J1122" s="45" t="n">
        <v>0</v>
      </c>
      <c r="K1122" s="45" t="n">
        <v>8271.969999999999</v>
      </c>
      <c r="L1122" s="45" t="n">
        <v>25942.633</v>
      </c>
      <c r="M1122" s="45" t="n">
        <v>207534.157</v>
      </c>
      <c r="N1122" s="45" t="n">
        <v>179.667</v>
      </c>
      <c r="O1122" s="45" t="n">
        <v>0</v>
      </c>
      <c r="P1122" s="45" t="n">
        <v>2.07</v>
      </c>
      <c r="Q1122" s="45" t="n">
        <v>4.504</v>
      </c>
      <c r="R1122" s="45" t="n">
        <v>178.028</v>
      </c>
      <c r="S1122" s="45" t="n">
        <v>0</v>
      </c>
      <c r="T1122" s="45" t="n">
        <v>0</v>
      </c>
      <c r="U1122" s="45" t="n">
        <v>506.874</v>
      </c>
      <c r="V1122" s="45" t="n">
        <v>1351.062</v>
      </c>
      <c r="W1122" s="45" t="n">
        <v>7.03</v>
      </c>
      <c r="X1122" s="45" t="n">
        <v>0</v>
      </c>
      <c r="Y1122" s="45" t="n">
        <v>106.67</v>
      </c>
      <c r="Z1122" s="45" t="n">
        <v>9677.332</v>
      </c>
      <c r="AA1122" s="45" t="n">
        <v>19615.94</v>
      </c>
      <c r="AB1122" s="45" t="n">
        <v>23963.742</v>
      </c>
      <c r="AC1122" s="45" t="n">
        <v>0</v>
      </c>
      <c r="AD1122" s="45" t="n">
        <v>0</v>
      </c>
      <c r="AE1122" s="45" t="n">
        <v>7050.42</v>
      </c>
      <c r="AF1122" s="45" t="n">
        <v>0</v>
      </c>
      <c r="AG1122" s="45" t="n">
        <v>447735.163</v>
      </c>
      <c r="AH1122" s="45" t="n">
        <v>2486.05</v>
      </c>
      <c r="AI1122" s="45" t="n">
        <v>0</v>
      </c>
      <c r="AJ1122" s="45" t="n">
        <v>87.203</v>
      </c>
      <c r="AK1122" s="45" t="n">
        <v>349.498</v>
      </c>
      <c r="AL1122" s="45" t="n">
        <v>1346.269</v>
      </c>
      <c r="AM1122" s="45" t="n">
        <v>0</v>
      </c>
      <c r="AN1122" s="45" t="n">
        <v>0</v>
      </c>
      <c r="AO1122" s="45" t="n">
        <v>675.1849999999999</v>
      </c>
      <c r="AP1122" s="45" t="n">
        <v>5783.141</v>
      </c>
      <c r="AQ1122" s="45" t="n"/>
      <c r="AR1122" s="45" t="n"/>
    </row>
    <row r="1123" ht="14" customHeight="1">
      <c r="A1123" s="15" t="n">
        <v>2007</v>
      </c>
      <c r="B1123" s="42">
        <f>IF((A1123&gt;=2022),ROUND((AQ1123*AR1123),1),((((((((((((((((((((((((((((((((((((((((C1123+D1123)+E1123)+F1123)+G1123)+H1123)+I1123)+J1123)+K1123)+L1123)+M1123)+N1123)+O1123)+P1123)+Q1123)+R1123)+S1123)+T1123)+U1123)+V1123)+W1123)+X1123)+Y1123)+Z1123)+AA1123)+AB1123)+AC1123)+AD1123)+AE1123)+AF1123)+AG1123)+AH1123)+AI1123)+AJ1123)+AK1123)+AL1123)+AM1123)+AN1123)+AO1123)+AP1123)*0.001))</f>
        <v/>
      </c>
      <c r="C1123" s="43" t="n">
        <v>183274.444</v>
      </c>
      <c r="D1123" s="43" t="n">
        <v>0</v>
      </c>
      <c r="E1123" s="43" t="n">
        <v>12366.48</v>
      </c>
      <c r="F1123" s="43" t="n">
        <v>0</v>
      </c>
      <c r="G1123" s="43" t="n">
        <v>43572.87</v>
      </c>
      <c r="H1123" s="43" t="n">
        <v>0</v>
      </c>
      <c r="I1123" s="43" t="n">
        <v>0</v>
      </c>
      <c r="J1123" s="43" t="n">
        <v>0</v>
      </c>
      <c r="K1123" s="43" t="n">
        <v>4926.736</v>
      </c>
      <c r="L1123" s="43" t="n">
        <v>37618.637</v>
      </c>
      <c r="M1123" s="43" t="n">
        <v>215460.945</v>
      </c>
      <c r="N1123" s="43" t="n">
        <v>171.111</v>
      </c>
      <c r="O1123" s="43" t="n">
        <v>0</v>
      </c>
      <c r="P1123" s="43" t="n">
        <v>2.46</v>
      </c>
      <c r="Q1123" s="43" t="n">
        <v>2.404</v>
      </c>
      <c r="R1123" s="43" t="n">
        <v>298.432</v>
      </c>
      <c r="S1123" s="43" t="n">
        <v>0</v>
      </c>
      <c r="T1123" s="43" t="n">
        <v>0</v>
      </c>
      <c r="U1123" s="43" t="n">
        <v>640.785</v>
      </c>
      <c r="V1123" s="43" t="n">
        <v>1790.342</v>
      </c>
      <c r="W1123" s="43" t="n">
        <v>16.197</v>
      </c>
      <c r="X1123" s="43" t="n">
        <v>0</v>
      </c>
      <c r="Y1123" s="43" t="n">
        <v>166.789</v>
      </c>
      <c r="Z1123" s="43" t="n">
        <v>12521.524</v>
      </c>
      <c r="AA1123" s="43" t="n">
        <v>19535.293</v>
      </c>
      <c r="AB1123" s="43" t="n">
        <v>43990.075</v>
      </c>
      <c r="AC1123" s="43" t="n">
        <v>0</v>
      </c>
      <c r="AD1123" s="43" t="n">
        <v>0</v>
      </c>
      <c r="AE1123" s="43" t="n">
        <v>8256.715</v>
      </c>
      <c r="AF1123" s="43" t="n">
        <v>0</v>
      </c>
      <c r="AG1123" s="43" t="n">
        <v>476947.058</v>
      </c>
      <c r="AH1123" s="43" t="n">
        <v>3179.457</v>
      </c>
      <c r="AI1123" s="43" t="n">
        <v>0</v>
      </c>
      <c r="AJ1123" s="43" t="n">
        <v>104.805</v>
      </c>
      <c r="AK1123" s="43" t="n">
        <v>798.319</v>
      </c>
      <c r="AL1123" s="43" t="n">
        <v>1903.77</v>
      </c>
      <c r="AM1123" s="43" t="n">
        <v>0</v>
      </c>
      <c r="AN1123" s="43" t="n">
        <v>0</v>
      </c>
      <c r="AO1123" s="43" t="n">
        <v>824.015</v>
      </c>
      <c r="AP1123" s="43" t="n">
        <v>7578.54</v>
      </c>
      <c r="AQ1123" s="43" t="n"/>
      <c r="AR1123" s="43" t="n"/>
    </row>
    <row r="1124" ht="14" customHeight="1">
      <c r="A1124" s="21" t="n">
        <v>2008</v>
      </c>
      <c r="B1124" s="44">
        <f>IF((A1124&gt;=2022),ROUND((AQ1124*AR1124),1),((((((((((((((((((((((((((((((((((((((((C1124+D1124)+E1124)+F1124)+G1124)+H1124)+I1124)+J1124)+K1124)+L1124)+M1124)+N1124)+O1124)+P1124)+Q1124)+R1124)+S1124)+T1124)+U1124)+V1124)+W1124)+X1124)+Y1124)+Z1124)+AA1124)+AB1124)+AC1124)+AD1124)+AE1124)+AF1124)+AG1124)+AH1124)+AI1124)+AJ1124)+AK1124)+AL1124)+AM1124)+AN1124)+AO1124)+AP1124)*0.001))</f>
        <v/>
      </c>
      <c r="C1124" s="45" t="n">
        <v>202074.777</v>
      </c>
      <c r="D1124" s="45" t="n">
        <v>0</v>
      </c>
      <c r="E1124" s="45" t="n">
        <v>19619.537</v>
      </c>
      <c r="F1124" s="45" t="n">
        <v>0</v>
      </c>
      <c r="G1124" s="45" t="n">
        <v>70563.715</v>
      </c>
      <c r="H1124" s="45" t="n">
        <v>0</v>
      </c>
      <c r="I1124" s="45" t="n">
        <v>0</v>
      </c>
      <c r="J1124" s="45" t="n">
        <v>0</v>
      </c>
      <c r="K1124" s="45" t="n">
        <v>5506.914</v>
      </c>
      <c r="L1124" s="45" t="n">
        <v>45957.729</v>
      </c>
      <c r="M1124" s="45" t="n">
        <v>207137.574</v>
      </c>
      <c r="N1124" s="45" t="n">
        <v>436.333</v>
      </c>
      <c r="O1124" s="45" t="n">
        <v>0</v>
      </c>
      <c r="P1124" s="45" t="n">
        <v>3.203</v>
      </c>
      <c r="Q1124" s="45" t="n">
        <v>2.466</v>
      </c>
      <c r="R1124" s="45" t="n">
        <v>329.435</v>
      </c>
      <c r="S1124" s="45" t="n">
        <v>0</v>
      </c>
      <c r="T1124" s="45" t="n">
        <v>0</v>
      </c>
      <c r="U1124" s="45" t="n">
        <v>1250.876</v>
      </c>
      <c r="V1124" s="45" t="n">
        <v>1552.163</v>
      </c>
      <c r="W1124" s="45" t="n">
        <v>1.753</v>
      </c>
      <c r="X1124" s="45" t="n">
        <v>0</v>
      </c>
      <c r="Y1124" s="45" t="n">
        <v>188.995</v>
      </c>
      <c r="Z1124" s="45" t="n">
        <v>19497.558</v>
      </c>
      <c r="AA1124" s="45" t="n">
        <v>12420.581</v>
      </c>
      <c r="AB1124" s="45" t="n">
        <v>68471.726</v>
      </c>
      <c r="AC1124" s="45" t="n">
        <v>0</v>
      </c>
      <c r="AD1124" s="45" t="n">
        <v>0</v>
      </c>
      <c r="AE1124" s="45" t="n">
        <v>3357.445</v>
      </c>
      <c r="AF1124" s="45" t="n">
        <v>221.67</v>
      </c>
      <c r="AG1124" s="45" t="n">
        <v>519431.005</v>
      </c>
      <c r="AH1124" s="45" t="n">
        <v>3013.484</v>
      </c>
      <c r="AI1124" s="45" t="n">
        <v>0</v>
      </c>
      <c r="AJ1124" s="45" t="n">
        <v>164.078</v>
      </c>
      <c r="AK1124" s="45" t="n">
        <v>692.451</v>
      </c>
      <c r="AL1124" s="45" t="n">
        <v>1616.235</v>
      </c>
      <c r="AM1124" s="45" t="n">
        <v>0</v>
      </c>
      <c r="AN1124" s="45" t="n">
        <v>0</v>
      </c>
      <c r="AO1124" s="45" t="n">
        <v>808.683</v>
      </c>
      <c r="AP1124" s="45" t="n">
        <v>8301.276</v>
      </c>
      <c r="AQ1124" s="45" t="n"/>
      <c r="AR1124" s="45" t="n"/>
    </row>
    <row r="1125" ht="14" customHeight="1">
      <c r="A1125" s="15" t="n">
        <v>2009</v>
      </c>
      <c r="B1125" s="42">
        <f>IF((A1125&gt;=2022),ROUND((AQ1125*AR1125),1),((((((((((((((((((((((((((((((((((((((((C1125+D1125)+E1125)+F1125)+G1125)+H1125)+I1125)+J1125)+K1125)+L1125)+M1125)+N1125)+O1125)+P1125)+Q1125)+R1125)+S1125)+T1125)+U1125)+V1125)+W1125)+X1125)+Y1125)+Z1125)+AA1125)+AB1125)+AC1125)+AD1125)+AE1125)+AF1125)+AG1125)+AH1125)+AI1125)+AJ1125)+AK1125)+AL1125)+AM1125)+AN1125)+AO1125)+AP1125)*0.001))</f>
        <v/>
      </c>
      <c r="C1125" s="43" t="n">
        <v>217786.843</v>
      </c>
      <c r="D1125" s="43" t="n">
        <v>0</v>
      </c>
      <c r="E1125" s="43" t="n">
        <v>24059.307</v>
      </c>
      <c r="F1125" s="43" t="n">
        <v>0</v>
      </c>
      <c r="G1125" s="43" t="n">
        <v>93601.753</v>
      </c>
      <c r="H1125" s="43" t="n">
        <v>0</v>
      </c>
      <c r="I1125" s="43" t="n">
        <v>0</v>
      </c>
      <c r="J1125" s="43" t="n">
        <v>0</v>
      </c>
      <c r="K1125" s="43" t="n">
        <v>10314.912</v>
      </c>
      <c r="L1125" s="43" t="n">
        <v>52179.243</v>
      </c>
      <c r="M1125" s="43" t="n">
        <v>204216.188</v>
      </c>
      <c r="N1125" s="43" t="n">
        <v>222.444</v>
      </c>
      <c r="O1125" s="43" t="n">
        <v>0</v>
      </c>
      <c r="P1125" s="43" t="n">
        <v>2.708</v>
      </c>
      <c r="Q1125" s="43" t="n">
        <v>7.307</v>
      </c>
      <c r="R1125" s="43" t="n">
        <v>428.916</v>
      </c>
      <c r="S1125" s="43" t="n">
        <v>0</v>
      </c>
      <c r="T1125" s="43" t="n">
        <v>0</v>
      </c>
      <c r="U1125" s="43" t="n">
        <v>995.092</v>
      </c>
      <c r="V1125" s="43" t="n">
        <v>1903.97</v>
      </c>
      <c r="W1125" s="43" t="n">
        <v>0.919</v>
      </c>
      <c r="X1125" s="43" t="n">
        <v>0</v>
      </c>
      <c r="Y1125" s="43" t="n">
        <v>188.337</v>
      </c>
      <c r="Z1125" s="43" t="n">
        <v>23885.804</v>
      </c>
      <c r="AA1125" s="43" t="n">
        <v>5941.212</v>
      </c>
      <c r="AB1125" s="43" t="n">
        <v>91954.921</v>
      </c>
      <c r="AC1125" s="43" t="n">
        <v>0</v>
      </c>
      <c r="AD1125" s="43" t="n">
        <v>0</v>
      </c>
      <c r="AE1125" s="43" t="n">
        <v>883.452</v>
      </c>
      <c r="AF1125" s="43" t="n">
        <v>259.183</v>
      </c>
      <c r="AG1125" s="43" t="n">
        <v>522911.208</v>
      </c>
      <c r="AH1125" s="43" t="n">
        <v>4050.954</v>
      </c>
      <c r="AI1125" s="43" t="n">
        <v>0</v>
      </c>
      <c r="AJ1125" s="43" t="n">
        <v>160.98</v>
      </c>
      <c r="AK1125" s="43" t="n">
        <v>396.163</v>
      </c>
      <c r="AL1125" s="43" t="n">
        <v>2236.838</v>
      </c>
      <c r="AM1125" s="43" t="n">
        <v>0</v>
      </c>
      <c r="AN1125" s="43" t="n">
        <v>0</v>
      </c>
      <c r="AO1125" s="43" t="n">
        <v>1414.662</v>
      </c>
      <c r="AP1125" s="43" t="n">
        <v>10252.725</v>
      </c>
      <c r="AQ1125" s="43" t="n"/>
      <c r="AR1125" s="43" t="n"/>
    </row>
    <row r="1126" ht="14" customHeight="1">
      <c r="A1126" s="21" t="n">
        <v>2010</v>
      </c>
      <c r="B1126" s="44">
        <f>IF((A1126&gt;=2022),ROUND((AQ1126*AR1126),1),((((((((((((((((((((((((((((((((((((((((C1126+D1126)+E1126)+F1126)+G1126)+H1126)+I1126)+J1126)+K1126)+L1126)+M1126)+N1126)+O1126)+P1126)+Q1126)+R1126)+S1126)+T1126)+U1126)+V1126)+W1126)+X1126)+Y1126)+Z1126)+AA1126)+AB1126)+AC1126)+AD1126)+AE1126)+AF1126)+AG1126)+AH1126)+AI1126)+AJ1126)+AK1126)+AL1126)+AM1126)+AN1126)+AO1126)+AP1126)*0.001))</f>
        <v/>
      </c>
      <c r="C1126" s="45" t="n">
        <v>257534.265</v>
      </c>
      <c r="D1126" s="45" t="n">
        <v>0</v>
      </c>
      <c r="E1126" s="45" t="n">
        <v>28028.452</v>
      </c>
      <c r="F1126" s="45" t="n">
        <v>0</v>
      </c>
      <c r="G1126" s="45" t="n">
        <v>104794.637</v>
      </c>
      <c r="H1126" s="45" t="n">
        <v>0</v>
      </c>
      <c r="I1126" s="45" t="n">
        <v>0</v>
      </c>
      <c r="J1126" s="45" t="n">
        <v>0</v>
      </c>
      <c r="K1126" s="45" t="n">
        <v>12830.382</v>
      </c>
      <c r="L1126" s="45" t="n">
        <v>60329.74</v>
      </c>
      <c r="M1126" s="45" t="n">
        <v>219870.824</v>
      </c>
      <c r="N1126" s="45" t="n">
        <v>85.556</v>
      </c>
      <c r="O1126" s="45" t="n">
        <v>0.03</v>
      </c>
      <c r="P1126" s="45" t="n">
        <v>2.928</v>
      </c>
      <c r="Q1126" s="45" t="n">
        <v>15.953</v>
      </c>
      <c r="R1126" s="45" t="n">
        <v>449.05</v>
      </c>
      <c r="S1126" s="45" t="n">
        <v>0</v>
      </c>
      <c r="T1126" s="45" t="n">
        <v>0</v>
      </c>
      <c r="U1126" s="45" t="n">
        <v>940.647</v>
      </c>
      <c r="V1126" s="45" t="n">
        <v>3574.416</v>
      </c>
      <c r="W1126" s="45" t="n">
        <v>0.08599999999999999</v>
      </c>
      <c r="X1126" s="45" t="n">
        <v>0</v>
      </c>
      <c r="Y1126" s="45" t="n">
        <v>266.151</v>
      </c>
      <c r="Z1126" s="45" t="n">
        <v>28575.893</v>
      </c>
      <c r="AA1126" s="45" t="n">
        <v>6419.342</v>
      </c>
      <c r="AB1126" s="45" t="n">
        <v>103490.793</v>
      </c>
      <c r="AC1126" s="45" t="n">
        <v>0</v>
      </c>
      <c r="AD1126" s="45" t="n">
        <v>0</v>
      </c>
      <c r="AE1126" s="45" t="n">
        <v>602.652</v>
      </c>
      <c r="AF1126" s="45" t="n">
        <v>321.691</v>
      </c>
      <c r="AG1126" s="45" t="n">
        <v>557961.404</v>
      </c>
      <c r="AH1126" s="45" t="n">
        <v>4017.172</v>
      </c>
      <c r="AI1126" s="45" t="n">
        <v>0</v>
      </c>
      <c r="AJ1126" s="45" t="n">
        <v>177.809</v>
      </c>
      <c r="AK1126" s="45" t="n">
        <v>295.856</v>
      </c>
      <c r="AL1126" s="45" t="n">
        <v>2147.737</v>
      </c>
      <c r="AM1126" s="45" t="n">
        <v>0</v>
      </c>
      <c r="AN1126" s="45" t="n">
        <v>0</v>
      </c>
      <c r="AO1126" s="45" t="n">
        <v>1317.551</v>
      </c>
      <c r="AP1126" s="45" t="n">
        <v>12131.37</v>
      </c>
      <c r="AQ1126" s="45" t="n"/>
      <c r="AR1126" s="45" t="n"/>
    </row>
    <row r="1127" ht="14" customHeight="1">
      <c r="A1127" s="15" t="n">
        <v>2011</v>
      </c>
      <c r="B1127" s="42">
        <f>IF((A1127&gt;=2022),ROUND((AQ1127*AR1127),1),((((((((((((((((((((((((((((((((((((((((C1127+D1127)+E1127)+F1127)+G1127)+H1127)+I1127)+J1127)+K1127)+L1127)+M1127)+N1127)+O1127)+P1127)+Q1127)+R1127)+S1127)+T1127)+U1127)+V1127)+W1127)+X1127)+Y1127)+Z1127)+AA1127)+AB1127)+AC1127)+AD1127)+AE1127)+AF1127)+AG1127)+AH1127)+AI1127)+AJ1127)+AK1127)+AL1127)+AM1127)+AN1127)+AO1127)+AP1127)*0.001))</f>
        <v/>
      </c>
      <c r="C1127" s="43" t="n">
        <v>255453.042</v>
      </c>
      <c r="D1127" s="43" t="n">
        <v>0</v>
      </c>
      <c r="E1127" s="43" t="n">
        <v>28089.302</v>
      </c>
      <c r="F1127" s="43" t="n">
        <v>0</v>
      </c>
      <c r="G1127" s="43" t="n">
        <v>112777.528</v>
      </c>
      <c r="H1127" s="43" t="n">
        <v>0</v>
      </c>
      <c r="I1127" s="43" t="n">
        <v>0</v>
      </c>
      <c r="J1127" s="43" t="n">
        <v>0</v>
      </c>
      <c r="K1127" s="43" t="n">
        <v>8366.450000000001</v>
      </c>
      <c r="L1127" s="43" t="n">
        <v>76821.349</v>
      </c>
      <c r="M1127" s="43" t="n">
        <v>219628.873</v>
      </c>
      <c r="N1127" s="43" t="n">
        <v>85.556</v>
      </c>
      <c r="O1127" s="43" t="n">
        <v>0</v>
      </c>
      <c r="P1127" s="43" t="n">
        <v>3.42</v>
      </c>
      <c r="Q1127" s="43" t="n">
        <v>34.156</v>
      </c>
      <c r="R1127" s="43" t="n">
        <v>465.226</v>
      </c>
      <c r="S1127" s="43" t="n">
        <v>0</v>
      </c>
      <c r="T1127" s="43" t="n">
        <v>0</v>
      </c>
      <c r="U1127" s="43" t="n">
        <v>503.496</v>
      </c>
      <c r="V1127" s="43" t="n">
        <v>3949.935</v>
      </c>
      <c r="W1127" s="43" t="n">
        <v>0.364</v>
      </c>
      <c r="X1127" s="43" t="n">
        <v>0</v>
      </c>
      <c r="Y1127" s="43" t="n">
        <v>323.489</v>
      </c>
      <c r="Z1127" s="43" t="n">
        <v>29158.612</v>
      </c>
      <c r="AA1127" s="43" t="n">
        <v>4834.156</v>
      </c>
      <c r="AB1127" s="43" t="n">
        <v>112229.807</v>
      </c>
      <c r="AC1127" s="43" t="n">
        <v>0</v>
      </c>
      <c r="AD1127" s="43" t="n">
        <v>0</v>
      </c>
      <c r="AE1127" s="43" t="n">
        <v>191.675</v>
      </c>
      <c r="AF1127" s="43" t="n">
        <v>822.308</v>
      </c>
      <c r="AG1127" s="43" t="n">
        <v>499386.409</v>
      </c>
      <c r="AH1127" s="43" t="n">
        <v>4193.423</v>
      </c>
      <c r="AI1127" s="43" t="n">
        <v>0</v>
      </c>
      <c r="AJ1127" s="43" t="n">
        <v>199.525</v>
      </c>
      <c r="AK1127" s="43" t="n">
        <v>139.566</v>
      </c>
      <c r="AL1127" s="43" t="n">
        <v>2218.155</v>
      </c>
      <c r="AM1127" s="43" t="n">
        <v>0</v>
      </c>
      <c r="AN1127" s="43" t="n">
        <v>0</v>
      </c>
      <c r="AO1127" s="43" t="n">
        <v>598.8339999999999</v>
      </c>
      <c r="AP1127" s="43" t="n">
        <v>13487.874</v>
      </c>
      <c r="AQ1127" s="43" t="n"/>
      <c r="AR1127" s="43" t="n"/>
    </row>
    <row r="1128" ht="14" customHeight="1">
      <c r="A1128" s="21" t="n">
        <v>2012</v>
      </c>
      <c r="B1128" s="44">
        <f>IF((A1128&gt;=2022),ROUND((AQ1128*AR1128),1),((((((((((((((((((((((((((((((((((((((((C1128+D1128)+E1128)+F1128)+G1128)+H1128)+I1128)+J1128)+K1128)+L1128)+M1128)+N1128)+O1128)+P1128)+Q1128)+R1128)+S1128)+T1128)+U1128)+V1128)+W1128)+X1128)+Y1128)+Z1128)+AA1128)+AB1128)+AC1128)+AD1128)+AE1128)+AF1128)+AG1128)+AH1128)+AI1128)+AJ1128)+AK1128)+AL1128)+AM1128)+AN1128)+AO1128)+AP1128)*0.001))</f>
        <v/>
      </c>
      <c r="C1128" s="45" t="n">
        <v>287713.128</v>
      </c>
      <c r="D1128" s="45" t="n">
        <v>0</v>
      </c>
      <c r="E1128" s="45" t="n">
        <v>28373.948</v>
      </c>
      <c r="F1128" s="45" t="n">
        <v>0</v>
      </c>
      <c r="G1128" s="45" t="n">
        <v>125982.657</v>
      </c>
      <c r="H1128" s="45" t="n">
        <v>0</v>
      </c>
      <c r="I1128" s="45" t="n">
        <v>0</v>
      </c>
      <c r="J1128" s="45" t="n">
        <v>0</v>
      </c>
      <c r="K1128" s="45" t="n">
        <v>9238.421</v>
      </c>
      <c r="L1128" s="45" t="n">
        <v>92870.045</v>
      </c>
      <c r="M1128" s="45" t="n">
        <v>213283.065</v>
      </c>
      <c r="N1128" s="45" t="n">
        <v>85.556</v>
      </c>
      <c r="O1128" s="45" t="n">
        <v>10.471</v>
      </c>
      <c r="P1128" s="45" t="n">
        <v>3.241</v>
      </c>
      <c r="Q1128" s="45" t="n">
        <v>22.954</v>
      </c>
      <c r="R1128" s="45" t="n">
        <v>756.167</v>
      </c>
      <c r="S1128" s="45" t="n">
        <v>0</v>
      </c>
      <c r="T1128" s="45" t="n">
        <v>0</v>
      </c>
      <c r="U1128" s="45" t="n">
        <v>165.803</v>
      </c>
      <c r="V1128" s="45" t="n">
        <v>2634.923</v>
      </c>
      <c r="W1128" s="45" t="n">
        <v>0.365</v>
      </c>
      <c r="X1128" s="45" t="n">
        <v>0</v>
      </c>
      <c r="Y1128" s="45" t="n">
        <v>338.24</v>
      </c>
      <c r="Z1128" s="45" t="n">
        <v>28391.595</v>
      </c>
      <c r="AA1128" s="45" t="n">
        <v>3500.495</v>
      </c>
      <c r="AB1128" s="45" t="n">
        <v>123723.405</v>
      </c>
      <c r="AC1128" s="45" t="n">
        <v>0</v>
      </c>
      <c r="AD1128" s="45" t="n">
        <v>0</v>
      </c>
      <c r="AE1128" s="45" t="n">
        <v>185.374</v>
      </c>
      <c r="AF1128" s="45" t="n">
        <v>1142.907</v>
      </c>
      <c r="AG1128" s="45" t="n">
        <v>561599.938</v>
      </c>
      <c r="AH1128" s="45" t="n">
        <v>4621.624</v>
      </c>
      <c r="AI1128" s="45" t="n">
        <v>0</v>
      </c>
      <c r="AJ1128" s="45" t="n">
        <v>227.027</v>
      </c>
      <c r="AK1128" s="45" t="n">
        <v>188.285</v>
      </c>
      <c r="AL1128" s="45" t="n">
        <v>2693.427</v>
      </c>
      <c r="AM1128" s="45" t="n">
        <v>0</v>
      </c>
      <c r="AN1128" s="45" t="n">
        <v>0</v>
      </c>
      <c r="AO1128" s="45" t="n">
        <v>229.528</v>
      </c>
      <c r="AP1128" s="45" t="n">
        <v>16246.299</v>
      </c>
      <c r="AQ1128" s="45" t="n"/>
      <c r="AR1128" s="45" t="n"/>
    </row>
    <row r="1129" ht="14" customHeight="1">
      <c r="A1129" s="15" t="n">
        <v>2013</v>
      </c>
      <c r="B1129" s="42">
        <f>IF((A1129&gt;=2022),ROUND((AQ1129*AR1129),1),((((((((((((((((((((((((((((((((((((((((C1129+D1129)+E1129)+F1129)+G1129)+H1129)+I1129)+J1129)+K1129)+L1129)+M1129)+N1129)+O1129)+P1129)+Q1129)+R1129)+S1129)+T1129)+U1129)+V1129)+W1129)+X1129)+Y1129)+Z1129)+AA1129)+AB1129)+AC1129)+AD1129)+AE1129)+AF1129)+AG1129)+AH1129)+AI1129)+AJ1129)+AK1129)+AL1129)+AM1129)+AN1129)+AO1129)+AP1129)*0.001))</f>
        <v/>
      </c>
      <c r="C1129" s="43" t="n">
        <v>291684.305</v>
      </c>
      <c r="D1129" s="43" t="n">
        <v>0</v>
      </c>
      <c r="E1129" s="43" t="n">
        <v>26724.414</v>
      </c>
      <c r="F1129" s="43" t="n">
        <v>0</v>
      </c>
      <c r="G1129" s="43" t="n">
        <v>111173.898</v>
      </c>
      <c r="H1129" s="43" t="n">
        <v>10.278</v>
      </c>
      <c r="I1129" s="43" t="n">
        <v>0</v>
      </c>
      <c r="J1129" s="43" t="n">
        <v>0</v>
      </c>
      <c r="K1129" s="43" t="n">
        <v>10973.93</v>
      </c>
      <c r="L1129" s="43" t="n">
        <v>107159.001</v>
      </c>
      <c r="M1129" s="43" t="n">
        <v>216596.685</v>
      </c>
      <c r="N1129" s="43" t="n">
        <v>96.807</v>
      </c>
      <c r="O1129" s="43" t="n">
        <v>12.838</v>
      </c>
      <c r="P1129" s="43" t="n">
        <v>3.04</v>
      </c>
      <c r="Q1129" s="43" t="n">
        <v>23.711</v>
      </c>
      <c r="R1129" s="43" t="n">
        <v>759.173</v>
      </c>
      <c r="S1129" s="43" t="n">
        <v>0</v>
      </c>
      <c r="T1129" s="43" t="n">
        <v>0</v>
      </c>
      <c r="U1129" s="43" t="n">
        <v>254.388</v>
      </c>
      <c r="V1129" s="43" t="n">
        <v>3358.469</v>
      </c>
      <c r="W1129" s="43" t="n">
        <v>3.692</v>
      </c>
      <c r="X1129" s="43" t="n">
        <v>0</v>
      </c>
      <c r="Y1129" s="43" t="n">
        <v>292.131</v>
      </c>
      <c r="Z1129" s="43" t="n">
        <v>26387.954</v>
      </c>
      <c r="AA1129" s="43" t="n">
        <v>2296.807</v>
      </c>
      <c r="AB1129" s="43" t="n">
        <v>109722.477</v>
      </c>
      <c r="AC1129" s="43" t="n">
        <v>0</v>
      </c>
      <c r="AD1129" s="43" t="n">
        <v>0</v>
      </c>
      <c r="AE1129" s="43" t="n">
        <v>48.134</v>
      </c>
      <c r="AF1129" s="43" t="n">
        <v>1355.767</v>
      </c>
      <c r="AG1129" s="43" t="n">
        <v>570560.179</v>
      </c>
      <c r="AH1129" s="43" t="n">
        <v>4483.024</v>
      </c>
      <c r="AI1129" s="43" t="n">
        <v>0</v>
      </c>
      <c r="AJ1129" s="43" t="n">
        <v>214.227</v>
      </c>
      <c r="AK1129" s="43" t="n">
        <v>173.918</v>
      </c>
      <c r="AL1129" s="43" t="n">
        <v>2729.411</v>
      </c>
      <c r="AM1129" s="43" t="n">
        <v>0</v>
      </c>
      <c r="AN1129" s="43" t="n">
        <v>0</v>
      </c>
      <c r="AO1129" s="43" t="n">
        <v>246.217</v>
      </c>
      <c r="AP1129" s="43" t="n">
        <v>18370.087</v>
      </c>
      <c r="AQ1129" s="43" t="n"/>
      <c r="AR1129" s="43" t="n"/>
    </row>
    <row r="1130" ht="14" customHeight="1">
      <c r="A1130" s="21" t="n">
        <v>2014</v>
      </c>
      <c r="B1130" s="44">
        <f>IF((A1130&gt;=2022),ROUND((AQ1130*AR1130),1),((((((((((((((((((((((((((((((((((((((((C1130+D1130)+E1130)+F1130)+G1130)+H1130)+I1130)+J1130)+K1130)+L1130)+M1130)+N1130)+O1130)+P1130)+Q1130)+R1130)+S1130)+T1130)+U1130)+V1130)+W1130)+X1130)+Y1130)+Z1130)+AA1130)+AB1130)+AC1130)+AD1130)+AE1130)+AF1130)+AG1130)+AH1130)+AI1130)+AJ1130)+AK1130)+AL1130)+AM1130)+AN1130)+AO1130)+AP1130)*0.001))</f>
        <v/>
      </c>
      <c r="C1130" s="45" t="n">
        <v>293392.067</v>
      </c>
      <c r="D1130" s="45" t="n">
        <v>0</v>
      </c>
      <c r="E1130" s="45" t="n">
        <v>26432.067</v>
      </c>
      <c r="F1130" s="45" t="n">
        <v>0</v>
      </c>
      <c r="G1130" s="45" t="n">
        <v>120701.752</v>
      </c>
      <c r="H1130" s="45" t="n">
        <v>10.278</v>
      </c>
      <c r="I1130" s="45" t="n">
        <v>0</v>
      </c>
      <c r="J1130" s="45" t="n">
        <v>0</v>
      </c>
      <c r="K1130" s="45" t="n">
        <v>11663.528</v>
      </c>
      <c r="L1130" s="45" t="n">
        <v>114866.093</v>
      </c>
      <c r="M1130" s="45" t="n">
        <v>219163.446</v>
      </c>
      <c r="N1130" s="45" t="n">
        <v>96.65000000000001</v>
      </c>
      <c r="O1130" s="45" t="n">
        <v>14.496</v>
      </c>
      <c r="P1130" s="45" t="n">
        <v>2.86</v>
      </c>
      <c r="Q1130" s="45" t="n">
        <v>74.31999999999999</v>
      </c>
      <c r="R1130" s="45" t="n">
        <v>877.913</v>
      </c>
      <c r="S1130" s="45" t="n">
        <v>0</v>
      </c>
      <c r="T1130" s="45" t="n">
        <v>0</v>
      </c>
      <c r="U1130" s="45" t="n">
        <v>442.742</v>
      </c>
      <c r="V1130" s="45" t="n">
        <v>3629.316</v>
      </c>
      <c r="W1130" s="45" t="n">
        <v>3.692</v>
      </c>
      <c r="X1130" s="45" t="n">
        <v>0</v>
      </c>
      <c r="Y1130" s="45" t="n">
        <v>252.36</v>
      </c>
      <c r="Z1130" s="45" t="n">
        <v>26312.495</v>
      </c>
      <c r="AA1130" s="45" t="n">
        <v>4171.505</v>
      </c>
      <c r="AB1130" s="45" t="n">
        <v>118883.897</v>
      </c>
      <c r="AC1130" s="45" t="n">
        <v>0</v>
      </c>
      <c r="AD1130" s="45" t="n">
        <v>0</v>
      </c>
      <c r="AE1130" s="45" t="n">
        <v>90.676</v>
      </c>
      <c r="AF1130" s="45" t="n">
        <v>1429.432</v>
      </c>
      <c r="AG1130" s="45" t="n">
        <v>503708.303</v>
      </c>
      <c r="AH1130" s="45" t="n">
        <v>4369.424</v>
      </c>
      <c r="AI1130" s="45" t="n">
        <v>0</v>
      </c>
      <c r="AJ1130" s="45" t="n">
        <v>204.883</v>
      </c>
      <c r="AK1130" s="45" t="n">
        <v>271.854</v>
      </c>
      <c r="AL1130" s="45" t="n">
        <v>2902.607</v>
      </c>
      <c r="AM1130" s="45" t="n">
        <v>0</v>
      </c>
      <c r="AN1130" s="45" t="n">
        <v>0</v>
      </c>
      <c r="AO1130" s="45" t="n">
        <v>260.658</v>
      </c>
      <c r="AP1130" s="45" t="n">
        <v>20097.055</v>
      </c>
      <c r="AQ1130" s="45" t="n"/>
      <c r="AR1130" s="45" t="n"/>
    </row>
    <row r="1131" ht="14" customHeight="1">
      <c r="A1131" s="15" t="n">
        <v>2015</v>
      </c>
      <c r="B1131" s="42">
        <f>IF((A1131&gt;=2022),ROUND((AQ1131*AR1131),1),((((((((((((((((((((((((((((((((((((((((C1131+D1131)+E1131)+F1131)+G1131)+H1131)+I1131)+J1131)+K1131)+L1131)+M1131)+N1131)+O1131)+P1131)+Q1131)+R1131)+S1131)+T1131)+U1131)+V1131)+W1131)+X1131)+Y1131)+Z1131)+AA1131)+AB1131)+AC1131)+AD1131)+AE1131)+AF1131)+AG1131)+AH1131)+AI1131)+AJ1131)+AK1131)+AL1131)+AM1131)+AN1131)+AO1131)+AP1131)*0.001))</f>
        <v/>
      </c>
      <c r="C1131" s="43" t="n">
        <v>298222.057</v>
      </c>
      <c r="D1131" s="43" t="n">
        <v>0</v>
      </c>
      <c r="E1131" s="43" t="n">
        <v>27441.63</v>
      </c>
      <c r="F1131" s="43" t="n">
        <v>0</v>
      </c>
      <c r="G1131" s="43" t="n">
        <v>119256.327</v>
      </c>
      <c r="H1131" s="43" t="n">
        <v>20.556</v>
      </c>
      <c r="I1131" s="43" t="n">
        <v>0</v>
      </c>
      <c r="J1131" s="43" t="n">
        <v>0</v>
      </c>
      <c r="K1131" s="43" t="n">
        <v>12864.803</v>
      </c>
      <c r="L1131" s="43" t="n">
        <v>119559.138</v>
      </c>
      <c r="M1131" s="43" t="n">
        <v>227848.516</v>
      </c>
      <c r="N1131" s="43" t="n">
        <v>96.492</v>
      </c>
      <c r="O1131" s="43" t="n">
        <v>17.566</v>
      </c>
      <c r="P1131" s="43" t="n">
        <v>2.711</v>
      </c>
      <c r="Q1131" s="43" t="n">
        <v>89.054</v>
      </c>
      <c r="R1131" s="43" t="n">
        <v>1058.156</v>
      </c>
      <c r="S1131" s="43" t="n">
        <v>0</v>
      </c>
      <c r="T1131" s="43" t="n">
        <v>0</v>
      </c>
      <c r="U1131" s="43" t="n">
        <v>319.516</v>
      </c>
      <c r="V1131" s="43" t="n">
        <v>3593.657</v>
      </c>
      <c r="W1131" s="43" t="n">
        <v>0.637</v>
      </c>
      <c r="X1131" s="43" t="n">
        <v>0</v>
      </c>
      <c r="Y1131" s="43" t="n">
        <v>243.849</v>
      </c>
      <c r="Z1131" s="43" t="n">
        <v>26819.71</v>
      </c>
      <c r="AA1131" s="43" t="n">
        <v>4843.304</v>
      </c>
      <c r="AB1131" s="43" t="n">
        <v>117829.293</v>
      </c>
      <c r="AC1131" s="43" t="n">
        <v>0</v>
      </c>
      <c r="AD1131" s="43" t="n">
        <v>0</v>
      </c>
      <c r="AE1131" s="43" t="n">
        <v>45.262</v>
      </c>
      <c r="AF1131" s="43" t="n">
        <v>1480.612</v>
      </c>
      <c r="AG1131" s="43" t="n">
        <v>524177.56</v>
      </c>
      <c r="AH1131" s="43" t="n">
        <v>4495.224</v>
      </c>
      <c r="AI1131" s="43" t="n">
        <v>0</v>
      </c>
      <c r="AJ1131" s="43" t="n">
        <v>183.447</v>
      </c>
      <c r="AK1131" s="43" t="n">
        <v>274.194</v>
      </c>
      <c r="AL1131" s="43" t="n">
        <v>2992.058</v>
      </c>
      <c r="AM1131" s="43" t="n">
        <v>0</v>
      </c>
      <c r="AN1131" s="43" t="n">
        <v>0</v>
      </c>
      <c r="AO1131" s="43" t="n">
        <v>304.23</v>
      </c>
      <c r="AP1131" s="43" t="n">
        <v>21356.529</v>
      </c>
      <c r="AQ1131" s="43" t="n"/>
      <c r="AR1131" s="43" t="n"/>
    </row>
    <row r="1132" ht="14" customHeight="1">
      <c r="A1132" s="21" t="n">
        <v>2016</v>
      </c>
      <c r="B1132" s="44">
        <f>IF((A1132&gt;=2022),ROUND((AQ1132*AR1132),1),((((((((((((((((((((((((((((((((((((((((C1132+D1132)+E1132)+F1132)+G1132)+H1132)+I1132)+J1132)+K1132)+L1132)+M1132)+N1132)+O1132)+P1132)+Q1132)+R1132)+S1132)+T1132)+U1132)+V1132)+W1132)+X1132)+Y1132)+Z1132)+AA1132)+AB1132)+AC1132)+AD1132)+AE1132)+AF1132)+AG1132)+AH1132)+AI1132)+AJ1132)+AK1132)+AL1132)+AM1132)+AN1132)+AO1132)+AP1132)*0.001))</f>
        <v/>
      </c>
      <c r="C1132" s="45" t="n">
        <v>304271.558</v>
      </c>
      <c r="D1132" s="45" t="n">
        <v>0</v>
      </c>
      <c r="E1132" s="45" t="n">
        <v>27263.683</v>
      </c>
      <c r="F1132" s="45" t="n">
        <v>0</v>
      </c>
      <c r="G1132" s="45" t="n">
        <v>117261.488</v>
      </c>
      <c r="H1132" s="45" t="n">
        <v>10.278</v>
      </c>
      <c r="I1132" s="45" t="n">
        <v>0</v>
      </c>
      <c r="J1132" s="45" t="n">
        <v>0</v>
      </c>
      <c r="K1132" s="45" t="n">
        <v>12402.728</v>
      </c>
      <c r="L1132" s="45" t="n">
        <v>121834.215</v>
      </c>
      <c r="M1132" s="45" t="n">
        <v>236864.389</v>
      </c>
      <c r="N1132" s="45" t="n">
        <v>96.383</v>
      </c>
      <c r="O1132" s="45" t="n">
        <v>0</v>
      </c>
      <c r="P1132" s="45" t="n">
        <v>2.353</v>
      </c>
      <c r="Q1132" s="45" t="n">
        <v>166.468</v>
      </c>
      <c r="R1132" s="45" t="n">
        <v>1609.307</v>
      </c>
      <c r="S1132" s="45" t="n">
        <v>0</v>
      </c>
      <c r="T1132" s="45" t="n">
        <v>0</v>
      </c>
      <c r="U1132" s="45" t="n">
        <v>439.393</v>
      </c>
      <c r="V1132" s="45" t="n">
        <v>3859.314</v>
      </c>
      <c r="W1132" s="45" t="n">
        <v>1.748</v>
      </c>
      <c r="X1132" s="45" t="n">
        <v>0</v>
      </c>
      <c r="Y1132" s="45" t="n">
        <v>123.653</v>
      </c>
      <c r="Z1132" s="45" t="n">
        <v>26532.308</v>
      </c>
      <c r="AA1132" s="45" t="n">
        <v>3794.673</v>
      </c>
      <c r="AB1132" s="45" t="n">
        <v>115492.313</v>
      </c>
      <c r="AC1132" s="45" t="n">
        <v>0</v>
      </c>
      <c r="AD1132" s="45" t="n">
        <v>0</v>
      </c>
      <c r="AE1132" s="45" t="n">
        <v>45.123</v>
      </c>
      <c r="AF1132" s="45" t="n">
        <v>1537.013</v>
      </c>
      <c r="AG1132" s="45" t="n">
        <v>517953.795</v>
      </c>
      <c r="AH1132" s="45" t="n">
        <v>4137.818</v>
      </c>
      <c r="AI1132" s="45" t="n">
        <v>0</v>
      </c>
      <c r="AJ1132" s="45" t="n">
        <v>162.536</v>
      </c>
      <c r="AK1132" s="45" t="n">
        <v>357.673</v>
      </c>
      <c r="AL1132" s="45" t="n">
        <v>4268.548</v>
      </c>
      <c r="AM1132" s="45" t="n">
        <v>0</v>
      </c>
      <c r="AN1132" s="45" t="n">
        <v>0</v>
      </c>
      <c r="AO1132" s="45" t="n">
        <v>321.032</v>
      </c>
      <c r="AP1132" s="45" t="n">
        <v>23591.913</v>
      </c>
      <c r="AQ1132" s="45" t="n"/>
      <c r="AR1132" s="45" t="n"/>
    </row>
    <row r="1133" ht="14" customHeight="1">
      <c r="A1133" s="15" t="n">
        <v>2017</v>
      </c>
      <c r="B1133" s="42">
        <f>IF((A1133&gt;=2022),ROUND((AQ1133*AR1133),1),((((((((((((((((((((((((((((((((((((((((C1133+D1133)+E1133)+F1133)+G1133)+H1133)+I1133)+J1133)+K1133)+L1133)+M1133)+N1133)+O1133)+P1133)+Q1133)+R1133)+S1133)+T1133)+U1133)+V1133)+W1133)+X1133)+Y1133)+Z1133)+AA1133)+AB1133)+AC1133)+AD1133)+AE1133)+AF1133)+AG1133)+AH1133)+AI1133)+AJ1133)+AK1133)+AL1133)+AM1133)+AN1133)+AO1133)+AP1133)*0.001))</f>
        <v/>
      </c>
      <c r="C1133" s="43" t="n">
        <v>312410.142</v>
      </c>
      <c r="D1133" s="43" t="n">
        <v>0</v>
      </c>
      <c r="E1133" s="43" t="n">
        <v>29042.607</v>
      </c>
      <c r="F1133" s="43" t="n">
        <v>0</v>
      </c>
      <c r="G1133" s="43" t="n">
        <v>128558.103</v>
      </c>
      <c r="H1133" s="43" t="n">
        <v>13.587</v>
      </c>
      <c r="I1133" s="43" t="n">
        <v>0</v>
      </c>
      <c r="J1133" s="43" t="n">
        <v>0</v>
      </c>
      <c r="K1133" s="43" t="n">
        <v>11680.658</v>
      </c>
      <c r="L1133" s="43" t="n">
        <v>124093.253</v>
      </c>
      <c r="M1133" s="43" t="n">
        <v>238161.752</v>
      </c>
      <c r="N1133" s="43" t="n">
        <v>99.202</v>
      </c>
      <c r="O1133" s="43" t="n">
        <v>0</v>
      </c>
      <c r="P1133" s="43" t="n">
        <v>1.756</v>
      </c>
      <c r="Q1133" s="43" t="n">
        <v>390.905</v>
      </c>
      <c r="R1133" s="43" t="n">
        <v>1902.936</v>
      </c>
      <c r="S1133" s="43" t="n">
        <v>0</v>
      </c>
      <c r="T1133" s="43" t="n">
        <v>0</v>
      </c>
      <c r="U1133" s="43" t="n">
        <v>378.78</v>
      </c>
      <c r="V1133" s="43" t="n">
        <v>4485.214</v>
      </c>
      <c r="W1133" s="43" t="n">
        <v>1.489</v>
      </c>
      <c r="X1133" s="43" t="n">
        <v>0</v>
      </c>
      <c r="Y1133" s="43" t="n">
        <v>88.557</v>
      </c>
      <c r="Z1133" s="43" t="n">
        <v>28067.39</v>
      </c>
      <c r="AA1133" s="43" t="n">
        <v>5831.785</v>
      </c>
      <c r="AB1133" s="43" t="n">
        <v>125118.071</v>
      </c>
      <c r="AC1133" s="43" t="n">
        <v>0</v>
      </c>
      <c r="AD1133" s="43" t="n">
        <v>0</v>
      </c>
      <c r="AE1133" s="43" t="n">
        <v>19.648</v>
      </c>
      <c r="AF1133" s="43" t="n">
        <v>1748.556</v>
      </c>
      <c r="AG1133" s="43" t="n">
        <v>524108.114</v>
      </c>
      <c r="AH1133" s="43" t="n">
        <v>4341.313</v>
      </c>
      <c r="AI1133" s="43" t="n">
        <v>0</v>
      </c>
      <c r="AJ1133" s="43" t="n">
        <v>180.578</v>
      </c>
      <c r="AK1133" s="43" t="n">
        <v>640.353</v>
      </c>
      <c r="AL1133" s="43" t="n">
        <v>4983.159</v>
      </c>
      <c r="AM1133" s="43" t="n">
        <v>0</v>
      </c>
      <c r="AN1133" s="43" t="n">
        <v>0</v>
      </c>
      <c r="AO1133" s="43" t="n">
        <v>347.807</v>
      </c>
      <c r="AP1133" s="43" t="n">
        <v>24009.795</v>
      </c>
      <c r="AQ1133" s="43" t="n"/>
      <c r="AR1133" s="43" t="n"/>
    </row>
    <row r="1134" ht="14" customHeight="1">
      <c r="A1134" s="21" t="n">
        <v>2018</v>
      </c>
      <c r="B1134" s="44">
        <f>IF((A1134&gt;=2022),ROUND((AQ1134*AR1134),1),((((((((((((((((((((((((((((((((((((((((C1134+D1134)+E1134)+F1134)+G1134)+H1134)+I1134)+J1134)+K1134)+L1134)+M1134)+N1134)+O1134)+P1134)+Q1134)+R1134)+S1134)+T1134)+U1134)+V1134)+W1134)+X1134)+Y1134)+Z1134)+AA1134)+AB1134)+AC1134)+AD1134)+AE1134)+AF1134)+AG1134)+AH1134)+AI1134)+AJ1134)+AK1134)+AL1134)+AM1134)+AN1134)+AO1134)+AP1134)*0.001))</f>
        <v/>
      </c>
      <c r="C1134" s="45" t="n">
        <v>317735.01</v>
      </c>
      <c r="D1134" s="45" t="n">
        <v>0.167</v>
      </c>
      <c r="E1134" s="45" t="n">
        <v>31362.43</v>
      </c>
      <c r="F1134" s="45" t="n">
        <v>0</v>
      </c>
      <c r="G1134" s="45" t="n">
        <v>145347.2</v>
      </c>
      <c r="H1134" s="45" t="n">
        <v>11.906</v>
      </c>
      <c r="I1134" s="45" t="n">
        <v>0</v>
      </c>
      <c r="J1134" s="45" t="n">
        <v>0</v>
      </c>
      <c r="K1134" s="45" t="n">
        <v>11944.37</v>
      </c>
      <c r="L1134" s="45" t="n">
        <v>124776.732</v>
      </c>
      <c r="M1134" s="45" t="n">
        <v>240546.693</v>
      </c>
      <c r="N1134" s="45" t="n">
        <v>89.541</v>
      </c>
      <c r="O1134" s="45" t="n">
        <v>0</v>
      </c>
      <c r="P1134" s="45" t="n">
        <v>41.276</v>
      </c>
      <c r="Q1134" s="45" t="n">
        <v>435.761</v>
      </c>
      <c r="R1134" s="45" t="n">
        <v>3116.328</v>
      </c>
      <c r="S1134" s="45" t="n">
        <v>0</v>
      </c>
      <c r="T1134" s="45" t="n">
        <v>0</v>
      </c>
      <c r="U1134" s="45" t="n">
        <v>820.627</v>
      </c>
      <c r="V1134" s="45" t="n">
        <v>4737.841</v>
      </c>
      <c r="W1134" s="45" t="n">
        <v>0.488</v>
      </c>
      <c r="X1134" s="45" t="n">
        <v>0</v>
      </c>
      <c r="Y1134" s="45" t="n">
        <v>69.613</v>
      </c>
      <c r="Z1134" s="45" t="n">
        <v>30166.822</v>
      </c>
      <c r="AA1134" s="45" t="n">
        <v>5682.091</v>
      </c>
      <c r="AB1134" s="45" t="n">
        <v>139813.526</v>
      </c>
      <c r="AC1134" s="45" t="n">
        <v>0</v>
      </c>
      <c r="AD1134" s="45" t="n">
        <v>0</v>
      </c>
      <c r="AE1134" s="45" t="n">
        <v>7.974</v>
      </c>
      <c r="AF1134" s="45" t="n">
        <v>1788.903</v>
      </c>
      <c r="AG1134" s="45" t="n">
        <v>549148.716</v>
      </c>
      <c r="AH1134" s="45" t="n">
        <v>4462.967</v>
      </c>
      <c r="AI1134" s="45" t="n">
        <v>0</v>
      </c>
      <c r="AJ1134" s="45" t="n">
        <v>223.752</v>
      </c>
      <c r="AK1134" s="45" t="n">
        <v>591.255</v>
      </c>
      <c r="AL1134" s="45" t="n">
        <v>5413.652</v>
      </c>
      <c r="AM1134" s="45" t="n">
        <v>0</v>
      </c>
      <c r="AN1134" s="45" t="n">
        <v>0</v>
      </c>
      <c r="AO1134" s="45" t="n">
        <v>534.485</v>
      </c>
      <c r="AP1134" s="45" t="n">
        <v>23230.473</v>
      </c>
      <c r="AQ1134" s="45" t="n"/>
      <c r="AR1134" s="45" t="n"/>
    </row>
    <row r="1135" ht="14" customHeight="1">
      <c r="A1135" s="15" t="n">
        <v>2019</v>
      </c>
      <c r="B1135" s="42">
        <f>IF((A1135&gt;=2022),ROUND((AQ1135*AR1135),1),((((((((((((((((((((((((((((((((((((((((C1135+D1135)+E1135)+F1135)+G1135)+H1135)+I1135)+J1135)+K1135)+L1135)+M1135)+N1135)+O1135)+P1135)+Q1135)+R1135)+S1135)+T1135)+U1135)+V1135)+W1135)+X1135)+Y1135)+Z1135)+AA1135)+AB1135)+AC1135)+AD1135)+AE1135)+AF1135)+AG1135)+AH1135)+AI1135)+AJ1135)+AK1135)+AL1135)+AM1135)+AN1135)+AO1135)+AP1135)*0.001))</f>
        <v/>
      </c>
      <c r="C1135" s="43" t="n">
        <v>332665.14</v>
      </c>
      <c r="D1135" s="43" t="n">
        <v>6.833</v>
      </c>
      <c r="E1135" s="43" t="n">
        <v>32815.067</v>
      </c>
      <c r="F1135" s="43" t="n">
        <v>0</v>
      </c>
      <c r="G1135" s="43" t="n">
        <v>149101.339</v>
      </c>
      <c r="H1135" s="43" t="n">
        <v>11.478</v>
      </c>
      <c r="I1135" s="43" t="n">
        <v>0</v>
      </c>
      <c r="J1135" s="43" t="n">
        <v>0</v>
      </c>
      <c r="K1135" s="43" t="n">
        <v>12882.295</v>
      </c>
      <c r="L1135" s="43" t="n">
        <v>127449.813</v>
      </c>
      <c r="M1135" s="43" t="n">
        <v>245080.04</v>
      </c>
      <c r="N1135" s="43" t="n">
        <v>86.26900000000001</v>
      </c>
      <c r="O1135" s="43" t="n">
        <v>0</v>
      </c>
      <c r="P1135" s="43" t="n">
        <v>40.494</v>
      </c>
      <c r="Q1135" s="43" t="n">
        <v>335.273</v>
      </c>
      <c r="R1135" s="43" t="n">
        <v>3237.223</v>
      </c>
      <c r="S1135" s="43" t="n">
        <v>0</v>
      </c>
      <c r="T1135" s="43" t="n">
        <v>0</v>
      </c>
      <c r="U1135" s="43" t="n">
        <v>844.421</v>
      </c>
      <c r="V1135" s="43" t="n">
        <v>5452.62</v>
      </c>
      <c r="W1135" s="43" t="n">
        <v>0.407</v>
      </c>
      <c r="X1135" s="43" t="n">
        <v>0</v>
      </c>
      <c r="Y1135" s="43" t="n">
        <v>43.402</v>
      </c>
      <c r="Z1135" s="43" t="n">
        <v>31413.82</v>
      </c>
      <c r="AA1135" s="43" t="n">
        <v>5383.157</v>
      </c>
      <c r="AB1135" s="43" t="n">
        <v>145302.759</v>
      </c>
      <c r="AC1135" s="43" t="n">
        <v>0</v>
      </c>
      <c r="AD1135" s="43" t="n">
        <v>0</v>
      </c>
      <c r="AE1135" s="43" t="n">
        <v>15.18</v>
      </c>
      <c r="AF1135" s="43" t="n">
        <v>1877.897</v>
      </c>
      <c r="AG1135" s="43" t="n">
        <v>550665.4080000001</v>
      </c>
      <c r="AH1135" s="43" t="n">
        <v>4208.496</v>
      </c>
      <c r="AI1135" s="43" t="n">
        <v>0</v>
      </c>
      <c r="AJ1135" s="43" t="n">
        <v>191.899</v>
      </c>
      <c r="AK1135" s="43" t="n">
        <v>427.068</v>
      </c>
      <c r="AL1135" s="43" t="n">
        <v>5629.701</v>
      </c>
      <c r="AM1135" s="43" t="n">
        <v>0</v>
      </c>
      <c r="AN1135" s="43" t="n">
        <v>0</v>
      </c>
      <c r="AO1135" s="43" t="n">
        <v>612.448</v>
      </c>
      <c r="AP1135" s="43" t="n">
        <v>23194.132</v>
      </c>
      <c r="AQ1135" s="43" t="n"/>
      <c r="AR1135" s="43" t="n"/>
    </row>
    <row r="1136" ht="14" customHeight="1">
      <c r="A1136" s="21" t="n">
        <v>2020</v>
      </c>
      <c r="B1136" s="44">
        <f>IF((A1136&gt;=2022),ROUND((AQ1136*AR1136),1),((((((((((((((((((((((((((((((((((((((((C1136+D1136)+E1136)+F1136)+G1136)+H1136)+I1136)+J1136)+K1136)+L1136)+M1136)+N1136)+O1136)+P1136)+Q1136)+R1136)+S1136)+T1136)+U1136)+V1136)+W1136)+X1136)+Y1136)+Z1136)+AA1136)+AB1136)+AC1136)+AD1136)+AE1136)+AF1136)+AG1136)+AH1136)+AI1136)+AJ1136)+AK1136)+AL1136)+AM1136)+AN1136)+AO1136)+AP1136)*0.001))</f>
        <v/>
      </c>
      <c r="C1136" s="45" t="n">
        <v>341979.283</v>
      </c>
      <c r="D1136" s="45" t="n">
        <v>0</v>
      </c>
      <c r="E1136" s="45" t="n">
        <v>32710.338</v>
      </c>
      <c r="F1136" s="45" t="n">
        <v>0</v>
      </c>
      <c r="G1136" s="45" t="n">
        <v>155275.687</v>
      </c>
      <c r="H1136" s="45" t="n">
        <v>11.929</v>
      </c>
      <c r="I1136" s="45" t="n">
        <v>0</v>
      </c>
      <c r="J1136" s="45" t="n">
        <v>0</v>
      </c>
      <c r="K1136" s="45" t="n">
        <v>12275.861</v>
      </c>
      <c r="L1136" s="45" t="n">
        <v>132721.135</v>
      </c>
      <c r="M1136" s="45" t="n">
        <v>244203.963</v>
      </c>
      <c r="N1136" s="45" t="n">
        <v>86.261</v>
      </c>
      <c r="O1136" s="45" t="n">
        <v>0</v>
      </c>
      <c r="P1136" s="45" t="n">
        <v>39.757</v>
      </c>
      <c r="Q1136" s="45" t="n">
        <v>332.252</v>
      </c>
      <c r="R1136" s="45" t="n">
        <v>3124.552</v>
      </c>
      <c r="S1136" s="45" t="n">
        <v>0</v>
      </c>
      <c r="T1136" s="45" t="n">
        <v>0</v>
      </c>
      <c r="U1136" s="45" t="n">
        <v>1420.072</v>
      </c>
      <c r="V1136" s="45" t="n">
        <v>6069.95</v>
      </c>
      <c r="W1136" s="45" t="n">
        <v>0.423</v>
      </c>
      <c r="X1136" s="45" t="n">
        <v>0</v>
      </c>
      <c r="Y1136" s="45" t="n">
        <v>40.207</v>
      </c>
      <c r="Z1136" s="45" t="n">
        <v>30844.576</v>
      </c>
      <c r="AA1136" s="45" t="n">
        <v>5037.271</v>
      </c>
      <c r="AB1136" s="45" t="n">
        <v>148039.893</v>
      </c>
      <c r="AC1136" s="45" t="n">
        <v>0</v>
      </c>
      <c r="AD1136" s="45" t="n">
        <v>0</v>
      </c>
      <c r="AE1136" s="45" t="n">
        <v>8.574</v>
      </c>
      <c r="AF1136" s="45" t="n">
        <v>2078.783</v>
      </c>
      <c r="AG1136" s="45" t="n">
        <v>533390.709</v>
      </c>
      <c r="AH1136" s="45" t="n">
        <v>3723.283</v>
      </c>
      <c r="AI1136" s="45" t="n">
        <v>0</v>
      </c>
      <c r="AJ1136" s="45" t="n">
        <v>223.696</v>
      </c>
      <c r="AK1136" s="45" t="n">
        <v>464.234</v>
      </c>
      <c r="AL1136" s="45" t="n">
        <v>6169.91</v>
      </c>
      <c r="AM1136" s="45" t="n">
        <v>0</v>
      </c>
      <c r="AN1136" s="45" t="n">
        <v>0</v>
      </c>
      <c r="AO1136" s="45" t="n">
        <v>644.428</v>
      </c>
      <c r="AP1136" s="45" t="n">
        <v>23178.613</v>
      </c>
      <c r="AQ1136" s="45" t="n"/>
      <c r="AR1136" s="45" t="n"/>
    </row>
    <row r="1137" ht="14" customHeight="1">
      <c r="A1137" s="15" t="n">
        <v>2021</v>
      </c>
      <c r="B1137" s="42">
        <f>IF((A1137&gt;=2022),ROUND((AQ1137*AR1137),1),((((((((((((((((((((((((((((((((((((((((C1137+D1137)+E1137)+F1137)+G1137)+H1137)+I1137)+J1137)+K1137)+L1137)+M1137)+N1137)+O1137)+P1137)+Q1137)+R1137)+S1137)+T1137)+U1137)+V1137)+W1137)+X1137)+Y1137)+Z1137)+AA1137)+AB1137)+AC1137)+AD1137)+AE1137)+AF1137)+AG1137)+AH1137)+AI1137)+AJ1137)+AK1137)+AL1137)+AM1137)+AN1137)+AO1137)+AP1137)*0.001))</f>
        <v/>
      </c>
      <c r="C1137" s="43" t="n">
        <v>384161.476</v>
      </c>
      <c r="D1137" s="43" t="n">
        <v>0</v>
      </c>
      <c r="E1137" s="43" t="n">
        <v>36531.809</v>
      </c>
      <c r="F1137" s="43" t="n">
        <v>0</v>
      </c>
      <c r="G1137" s="43" t="n">
        <v>158092.28</v>
      </c>
      <c r="H1137" s="43" t="n">
        <v>54.976</v>
      </c>
      <c r="I1137" s="43" t="n">
        <v>0</v>
      </c>
      <c r="J1137" s="43" t="n">
        <v>0</v>
      </c>
      <c r="K1137" s="43" t="n">
        <v>11634.687</v>
      </c>
      <c r="L1137" s="43" t="n">
        <v>138700.057</v>
      </c>
      <c r="M1137" s="43" t="n">
        <v>245631.234</v>
      </c>
      <c r="N1137" s="43" t="n">
        <v>86.261</v>
      </c>
      <c r="O1137" s="43" t="n">
        <v>0</v>
      </c>
      <c r="P1137" s="43" t="n">
        <v>40.482</v>
      </c>
      <c r="Q1137" s="43" t="n">
        <v>262.269</v>
      </c>
      <c r="R1137" s="43" t="n">
        <v>3560.056</v>
      </c>
      <c r="S1137" s="43" t="n">
        <v>0</v>
      </c>
      <c r="T1137" s="43" t="n">
        <v>0</v>
      </c>
      <c r="U1137" s="43" t="n">
        <v>1304.164</v>
      </c>
      <c r="V1137" s="43" t="n">
        <v>5913.059</v>
      </c>
      <c r="W1137" s="43" t="n">
        <v>0.334</v>
      </c>
      <c r="X1137" s="43" t="n">
        <v>0</v>
      </c>
      <c r="Y1137" s="43" t="n">
        <v>29.639</v>
      </c>
      <c r="Z1137" s="43" t="n">
        <v>35123.005</v>
      </c>
      <c r="AA1137" s="43" t="n">
        <v>5441.528</v>
      </c>
      <c r="AB1137" s="43" t="n">
        <v>152780.422</v>
      </c>
      <c r="AC1137" s="43" t="n">
        <v>0</v>
      </c>
      <c r="AD1137" s="43" t="n">
        <v>0</v>
      </c>
      <c r="AE1137" s="43" t="n">
        <v>18.4</v>
      </c>
      <c r="AF1137" s="43" t="n">
        <v>1366.588</v>
      </c>
      <c r="AG1137" s="43" t="n">
        <v>582656.724</v>
      </c>
      <c r="AH1137" s="43" t="n">
        <v>3648.893</v>
      </c>
      <c r="AI1137" s="43" t="n">
        <v>0</v>
      </c>
      <c r="AJ1137" s="43" t="n">
        <v>244.062</v>
      </c>
      <c r="AK1137" s="43" t="n">
        <v>457.353</v>
      </c>
      <c r="AL1137" s="43" t="n">
        <v>6359.96</v>
      </c>
      <c r="AM1137" s="43" t="n">
        <v>0</v>
      </c>
      <c r="AN1137" s="43" t="n">
        <v>0</v>
      </c>
      <c r="AO1137" s="43" t="n">
        <v>476.599</v>
      </c>
      <c r="AP1137" s="43" t="n">
        <v>21119.913</v>
      </c>
      <c r="AQ1137" s="43" t="n"/>
      <c r="AR1137" s="43" t="n"/>
    </row>
    <row r="1138" ht="14" customHeight="1">
      <c r="A1138" s="21" t="n">
        <v>2022</v>
      </c>
      <c r="B1138" s="44">
        <f>IF((A1138&gt;=2022),ROUND((AQ1138*AR1138),1),((((((((((((((((((((((((((((((((((((((((C1138+D1138)+E1138)+F1138)+G1138)+H1138)+I1138)+J1138)+K1138)+L1138)+M1138)+N1138)+O1138)+P1138)+Q1138)+R1138)+S1138)+T1138)+U1138)+V1138)+W1138)+X1138)+Y1138)+Z1138)+AA1138)+AB1138)+AC1138)+AD1138)+AE1138)+AF1138)+AG1138)+AH1138)+AI1138)+AJ1138)+AK1138)+AL1138)+AM1138)+AN1138)+AO1138)+AP1138)*0.001))</f>
        <v/>
      </c>
      <c r="C1138" s="45" t="n"/>
      <c r="D1138" s="45" t="n"/>
      <c r="E1138" s="45" t="n"/>
      <c r="F1138" s="45" t="n"/>
      <c r="G1138" s="45" t="n"/>
      <c r="H1138" s="45" t="n"/>
      <c r="I1138" s="45" t="n"/>
      <c r="J1138" s="45" t="n"/>
      <c r="K1138" s="45" t="n"/>
      <c r="L1138" s="45" t="n"/>
      <c r="M1138" s="45" t="n"/>
      <c r="N1138" s="45" t="n"/>
      <c r="O1138" s="45" t="n"/>
      <c r="P1138" s="45" t="n"/>
      <c r="Q1138" s="45" t="n"/>
      <c r="R1138" s="45" t="n"/>
      <c r="S1138" s="45" t="n"/>
      <c r="T1138" s="45" t="n"/>
      <c r="U1138" s="45" t="n"/>
      <c r="V1138" s="45" t="n"/>
      <c r="W1138" s="45" t="n"/>
      <c r="X1138" s="45" t="n"/>
      <c r="Y1138" s="45" t="n"/>
      <c r="Z1138" s="45" t="n"/>
      <c r="AA1138" s="45" t="n"/>
      <c r="AB1138" s="45" t="n"/>
      <c r="AC1138" s="45" t="n"/>
      <c r="AD1138" s="45" t="n"/>
      <c r="AE1138" s="45" t="n"/>
      <c r="AF1138" s="45" t="n"/>
      <c r="AG1138" s="45" t="n"/>
      <c r="AH1138" s="45" t="n"/>
      <c r="AI1138" s="45" t="n"/>
      <c r="AJ1138" s="45" t="n"/>
      <c r="AK1138" s="45" t="n"/>
      <c r="AL1138" s="45" t="n"/>
      <c r="AM1138" s="45" t="n"/>
      <c r="AN1138" s="45" t="n"/>
      <c r="AO1138" s="45" t="n"/>
      <c r="AP1138" s="45" t="n"/>
      <c r="AQ1138" s="45" t="n">
        <v>1698044.762</v>
      </c>
      <c r="AR1138" s="45" t="n">
        <v>0.001</v>
      </c>
    </row>
    <row r="1139" ht="14" customHeight="1">
      <c r="A1139" s="15" t="n">
        <v>2023</v>
      </c>
      <c r="B1139" s="42">
        <f>IF((A1139&gt;=2022),ROUND((AQ1139*AR1139),1),((((((((((((((((((((((((((((((((((((((((C1139+D1139)+E1139)+F1139)+G1139)+H1139)+I1139)+J1139)+K1139)+L1139)+M1139)+N1139)+O1139)+P1139)+Q1139)+R1139)+S1139)+T1139)+U1139)+V1139)+W1139)+X1139)+Y1139)+Z1139)+AA1139)+AB1139)+AC1139)+AD1139)+AE1139)+AF1139)+AG1139)+AH1139)+AI1139)+AJ1139)+AK1139)+AL1139)+AM1139)+AN1139)+AO1139)+AP1139)*0.001))</f>
        <v/>
      </c>
      <c r="C1139" s="43" t="n"/>
      <c r="D1139" s="43" t="n"/>
      <c r="E1139" s="43" t="n"/>
      <c r="F1139" s="43" t="n"/>
      <c r="G1139" s="43" t="n"/>
      <c r="H1139" s="43" t="n"/>
      <c r="I1139" s="43" t="n"/>
      <c r="J1139" s="43" t="n"/>
      <c r="K1139" s="43" t="n"/>
      <c r="L1139" s="43" t="n"/>
      <c r="M1139" s="43" t="n"/>
      <c r="N1139" s="43" t="n"/>
      <c r="O1139" s="43" t="n"/>
      <c r="P1139" s="43" t="n"/>
      <c r="Q1139" s="43" t="n"/>
      <c r="R1139" s="43" t="n"/>
      <c r="S1139" s="43" t="n"/>
      <c r="T1139" s="43" t="n"/>
      <c r="U1139" s="43" t="n"/>
      <c r="V1139" s="43" t="n"/>
      <c r="W1139" s="43" t="n"/>
      <c r="X1139" s="43" t="n"/>
      <c r="Y1139" s="43" t="n"/>
      <c r="Z1139" s="43" t="n"/>
      <c r="AA1139" s="43" t="n"/>
      <c r="AB1139" s="43" t="n"/>
      <c r="AC1139" s="43" t="n"/>
      <c r="AD1139" s="43" t="n"/>
      <c r="AE1139" s="43" t="n"/>
      <c r="AF1139" s="43" t="n"/>
      <c r="AG1139" s="43" t="n"/>
      <c r="AH1139" s="43" t="n"/>
      <c r="AI1139" s="43" t="n"/>
      <c r="AJ1139" s="43" t="n"/>
      <c r="AK1139" s="43" t="n"/>
      <c r="AL1139" s="43" t="n"/>
      <c r="AM1139" s="43" t="n"/>
      <c r="AN1139" s="43" t="n"/>
      <c r="AO1139" s="43" t="n"/>
      <c r="AP1139" s="43" t="n"/>
      <c r="AQ1139" s="43" t="n">
        <v>1664896.118</v>
      </c>
      <c r="AR1139" s="43" t="n">
        <v>0.001</v>
      </c>
    </row>
    <row r="1140" ht="14" customHeight="1">
      <c r="A1140" s="21" t="n">
        <v>2024</v>
      </c>
      <c r="B1140" s="44">
        <f>IF((A1140&gt;=2022),ROUND((AQ1140*AR1140),1),((((((((((((((((((((((((((((((((((((((((C1140+D1140)+E1140)+F1140)+G1140)+H1140)+I1140)+J1140)+K1140)+L1140)+M1140)+N1140)+O1140)+P1140)+Q1140)+R1140)+S1140)+T1140)+U1140)+V1140)+W1140)+X1140)+Y1140)+Z1140)+AA1140)+AB1140)+AC1140)+AD1140)+AE1140)+AF1140)+AG1140)+AH1140)+AI1140)+AJ1140)+AK1140)+AL1140)+AM1140)+AN1140)+AO1140)+AP1140)*0.001))</f>
        <v/>
      </c>
      <c r="C1140" s="45" t="n"/>
      <c r="D1140" s="45" t="n"/>
      <c r="E1140" s="45" t="n"/>
      <c r="F1140" s="45" t="n"/>
      <c r="G1140" s="45" t="n"/>
      <c r="H1140" s="45" t="n"/>
      <c r="I1140" s="45" t="n"/>
      <c r="J1140" s="45" t="n"/>
      <c r="K1140" s="45" t="n"/>
      <c r="L1140" s="45" t="n"/>
      <c r="M1140" s="45" t="n"/>
      <c r="N1140" s="45" t="n"/>
      <c r="O1140" s="45" t="n"/>
      <c r="P1140" s="45" t="n"/>
      <c r="Q1140" s="45" t="n"/>
      <c r="R1140" s="45" t="n"/>
      <c r="S1140" s="45" t="n"/>
      <c r="T1140" s="45" t="n"/>
      <c r="U1140" s="45" t="n"/>
      <c r="V1140" s="45" t="n"/>
      <c r="W1140" s="45" t="n"/>
      <c r="X1140" s="45" t="n"/>
      <c r="Y1140" s="45" t="n"/>
      <c r="Z1140" s="45" t="n"/>
      <c r="AA1140" s="45" t="n"/>
      <c r="AB1140" s="45" t="n"/>
      <c r="AC1140" s="45" t="n"/>
      <c r="AD1140" s="45" t="n"/>
      <c r="AE1140" s="45" t="n"/>
      <c r="AF1140" s="45" t="n"/>
      <c r="AG1140" s="45" t="n"/>
      <c r="AH1140" s="45" t="n"/>
      <c r="AI1140" s="45" t="n"/>
      <c r="AJ1140" s="45" t="n"/>
      <c r="AK1140" s="45" t="n"/>
      <c r="AL1140" s="45" t="n"/>
      <c r="AM1140" s="45" t="n"/>
      <c r="AN1140" s="45" t="n"/>
      <c r="AO1140" s="45" t="n"/>
      <c r="AP1140" s="45" t="n"/>
      <c r="AQ1140" s="45" t="n">
        <v>1663518.857</v>
      </c>
      <c r="AR1140" s="45" t="n">
        <v>0.001</v>
      </c>
    </row>
    <row r="1143">
      <c r="A1143" s="53" t="inlineStr">
        <is>
          <t>F1 · EU fossil-fuel subsidies (FFST)  (billion EUR)</t>
        </is>
      </c>
    </row>
    <row r="1144" ht="24" customHeight="1">
      <c r="A1144" s="3" t="inlineStr">
        <is>
          <t>Derivation:  Value = [Report figure (2024 report underlying data)]</t>
        </is>
      </c>
    </row>
    <row r="1145" ht="42" customHeight="1">
      <c r="A1145" s="41" t="inlineStr">
        <is>
          <t>Year</t>
        </is>
      </c>
      <c r="B1145" s="41" t="inlineStr">
        <is>
          <t>Value</t>
        </is>
      </c>
      <c r="C1145" s="41" t="inlineStr">
        <is>
          <t>Report figure (2024 report underlying data)</t>
        </is>
      </c>
    </row>
    <row r="1146" ht="14" customHeight="1">
      <c r="A1146" s="15" t="n">
        <v>2010</v>
      </c>
      <c r="B1146" s="42">
        <f>C1146</f>
        <v/>
      </c>
      <c r="C1146" s="43" t="n">
        <v>46.1</v>
      </c>
    </row>
    <row r="1147" ht="14" customHeight="1">
      <c r="A1147" s="21" t="n">
        <v>2011</v>
      </c>
      <c r="B1147" s="44">
        <f>C1147</f>
        <v/>
      </c>
      <c r="C1147" s="45" t="n">
        <v>49.08</v>
      </c>
    </row>
    <row r="1148" ht="14" customHeight="1">
      <c r="A1148" s="15" t="n">
        <v>2012</v>
      </c>
      <c r="B1148" s="42">
        <f>C1148</f>
        <v/>
      </c>
      <c r="C1148" s="43" t="n">
        <v>48.05</v>
      </c>
    </row>
    <row r="1149" ht="14" customHeight="1">
      <c r="A1149" s="21" t="n">
        <v>2013</v>
      </c>
      <c r="B1149" s="44">
        <f>C1149</f>
        <v/>
      </c>
      <c r="C1149" s="45" t="n">
        <v>48.38</v>
      </c>
    </row>
    <row r="1150" ht="14" customHeight="1">
      <c r="A1150" s="15" t="n">
        <v>2014</v>
      </c>
      <c r="B1150" s="42">
        <f>C1150</f>
        <v/>
      </c>
      <c r="C1150" s="43" t="n">
        <v>48.25</v>
      </c>
    </row>
    <row r="1151" ht="14" customHeight="1">
      <c r="A1151" s="21" t="n">
        <v>2015</v>
      </c>
      <c r="B1151" s="44">
        <f>C1151</f>
        <v/>
      </c>
      <c r="C1151" s="45" t="n">
        <v>44.22</v>
      </c>
    </row>
    <row r="1152" ht="14" customHeight="1">
      <c r="A1152" s="15" t="n">
        <v>2016</v>
      </c>
      <c r="B1152" s="42">
        <f>C1152</f>
        <v/>
      </c>
      <c r="C1152" s="43" t="n">
        <v>45</v>
      </c>
    </row>
    <row r="1153" ht="14" customHeight="1">
      <c r="A1153" s="21" t="n">
        <v>2017</v>
      </c>
      <c r="B1153" s="44">
        <f>C1153</f>
        <v/>
      </c>
      <c r="C1153" s="45" t="n">
        <v>47.59</v>
      </c>
    </row>
    <row r="1154" ht="14" customHeight="1">
      <c r="A1154" s="15" t="n">
        <v>2018</v>
      </c>
      <c r="B1154" s="42">
        <f>C1154</f>
        <v/>
      </c>
      <c r="C1154" s="43" t="n">
        <v>53.77</v>
      </c>
    </row>
    <row r="1155" ht="14" customHeight="1">
      <c r="A1155" s="21" t="n">
        <v>2019</v>
      </c>
      <c r="B1155" s="44">
        <f>C1155</f>
        <v/>
      </c>
      <c r="C1155" s="45" t="n">
        <v>51.53</v>
      </c>
    </row>
    <row r="1156" ht="14" customHeight="1">
      <c r="A1156" s="15" t="n">
        <v>2020</v>
      </c>
      <c r="B1156" s="42">
        <f>C1156</f>
        <v/>
      </c>
      <c r="C1156" s="43" t="n">
        <v>50.78</v>
      </c>
    </row>
    <row r="1157" ht="14" customHeight="1">
      <c r="A1157" s="21" t="n">
        <v>2021</v>
      </c>
      <c r="B1157" s="44">
        <f>C1157</f>
        <v/>
      </c>
      <c r="C1157" s="45" t="n">
        <v>56</v>
      </c>
    </row>
    <row r="1158" ht="14" customHeight="1">
      <c r="A1158" s="15" t="n">
        <v>2022</v>
      </c>
      <c r="B1158" s="42">
        <f>C1158</f>
        <v/>
      </c>
      <c r="C1158" s="43" t="n">
        <v>122</v>
      </c>
    </row>
    <row r="1159" ht="14" customHeight="1">
      <c r="A1159" s="21" t="n">
        <v>2023</v>
      </c>
      <c r="B1159" s="44">
        <f>C1159</f>
        <v/>
      </c>
      <c r="C1159" s="45" t="n">
        <v>111</v>
      </c>
    </row>
    <row r="1162">
      <c r="A1162" s="53" t="inlineStr">
        <is>
          <t>F2 (share) · Green share of EU bond issuance  (%)</t>
        </is>
      </c>
    </row>
    <row r="1163" ht="24" customHeight="1">
      <c r="A1163" s="3" t="inlineStr">
        <is>
          <t>Derivation:  Value = [Report figure (2024 report underlying data)]</t>
        </is>
      </c>
    </row>
    <row r="1164" ht="42" customHeight="1">
      <c r="A1164" s="41" t="inlineStr">
        <is>
          <t>Year</t>
        </is>
      </c>
      <c r="B1164" s="41" t="inlineStr">
        <is>
          <t>Value</t>
        </is>
      </c>
      <c r="C1164" s="41" t="inlineStr">
        <is>
          <t>Report figure (2024 report underlying data)</t>
        </is>
      </c>
    </row>
    <row r="1165" ht="14" customHeight="1">
      <c r="A1165" s="15" t="n">
        <v>2012</v>
      </c>
      <c r="B1165" s="42">
        <f>C1165</f>
        <v/>
      </c>
      <c r="C1165" s="43" t="n">
        <v>0.08</v>
      </c>
    </row>
    <row r="1166" ht="14" customHeight="1">
      <c r="A1166" s="21" t="n">
        <v>2013</v>
      </c>
      <c r="B1166" s="44">
        <f>C1166</f>
        <v/>
      </c>
      <c r="C1166" s="45" t="n">
        <v>0.1</v>
      </c>
    </row>
    <row r="1167" ht="14" customHeight="1">
      <c r="A1167" s="15" t="n">
        <v>2014</v>
      </c>
      <c r="B1167" s="42">
        <f>C1167</f>
        <v/>
      </c>
      <c r="C1167" s="43" t="n">
        <v>0.83</v>
      </c>
    </row>
    <row r="1168" ht="14" customHeight="1">
      <c r="A1168" s="21" t="n">
        <v>2015</v>
      </c>
      <c r="B1168" s="44">
        <f>C1168</f>
        <v/>
      </c>
      <c r="C1168" s="45" t="n">
        <v>0.85</v>
      </c>
    </row>
    <row r="1169" ht="14" customHeight="1">
      <c r="A1169" s="15" t="n">
        <v>2016</v>
      </c>
      <c r="B1169" s="42">
        <f>C1169</f>
        <v/>
      </c>
      <c r="C1169" s="43" t="n">
        <v>1.69</v>
      </c>
    </row>
    <row r="1170" ht="14" customHeight="1">
      <c r="A1170" s="21" t="n">
        <v>2017</v>
      </c>
      <c r="B1170" s="44">
        <f>C1170</f>
        <v/>
      </c>
      <c r="C1170" s="45" t="n">
        <v>4.18</v>
      </c>
    </row>
    <row r="1171" ht="14" customHeight="1">
      <c r="A1171" s="15" t="n">
        <v>2018</v>
      </c>
      <c r="B1171" s="42">
        <f>C1171</f>
        <v/>
      </c>
      <c r="C1171" s="43" t="n">
        <v>3.19</v>
      </c>
    </row>
    <row r="1172" ht="14" customHeight="1">
      <c r="A1172" s="21" t="n">
        <v>2019</v>
      </c>
      <c r="B1172" s="44">
        <f>C1172</f>
        <v/>
      </c>
      <c r="C1172" s="45" t="n">
        <v>4.82</v>
      </c>
    </row>
    <row r="1173" ht="14" customHeight="1">
      <c r="A1173" s="15" t="n">
        <v>2020</v>
      </c>
      <c r="B1173" s="42">
        <f>C1173</f>
        <v/>
      </c>
      <c r="C1173" s="43" t="n">
        <v>4.57</v>
      </c>
    </row>
    <row r="1174" ht="14" customHeight="1">
      <c r="A1174" s="21" t="n">
        <v>2021</v>
      </c>
      <c r="B1174" s="44">
        <f>C1174</f>
        <v/>
      </c>
      <c r="C1174" s="45" t="n">
        <v>8.08</v>
      </c>
    </row>
    <row r="1175" ht="14" customHeight="1">
      <c r="A1175" s="15" t="n">
        <v>2022</v>
      </c>
      <c r="B1175" s="42">
        <f>C1175</f>
        <v/>
      </c>
      <c r="C1175" s="43" t="n">
        <v>6.74</v>
      </c>
    </row>
    <row r="1176" ht="14" customHeight="1">
      <c r="A1176" s="21" t="n">
        <v>2023</v>
      </c>
      <c r="B1176" s="44">
        <f>C1176</f>
        <v/>
      </c>
      <c r="C1176" s="45" t="n">
        <v>5.3</v>
      </c>
    </row>
    <row r="1177" ht="14" customHeight="1">
      <c r="A1177" s="15" t="n">
        <v>2024</v>
      </c>
      <c r="B1177" s="42">
        <f>C1177</f>
        <v/>
      </c>
      <c r="C1177" s="43" t="n">
        <v>6.9</v>
      </c>
    </row>
    <row r="1180">
      <c r="A1180" s="53" t="inlineStr">
        <is>
          <t>F3 · EU R&amp;D expenditure (GERD)  (% of GDP)</t>
        </is>
      </c>
    </row>
    <row r="1181" ht="24" customHeight="1">
      <c r="A1181" s="3" t="inlineStr">
        <is>
          <t>Derivation:  Value = IF(A &gt;= 2023, ROUND([rd_e_gerdtot TOTAL], 2), [Report figure (2024 report underlying data)])</t>
        </is>
      </c>
    </row>
    <row r="1182" ht="42" customHeight="1">
      <c r="A1182" s="41" t="inlineStr">
        <is>
          <t>Year</t>
        </is>
      </c>
      <c r="B1182" s="41" t="inlineStr">
        <is>
          <t>Value</t>
        </is>
      </c>
      <c r="C1182" s="41" t="inlineStr">
        <is>
          <t>Report figure (2024 report underlying data)</t>
        </is>
      </c>
      <c r="D1182" s="41" t="inlineStr">
        <is>
          <t>rd_e_gerdtot TOTAL</t>
        </is>
      </c>
    </row>
    <row r="1183" ht="14" customHeight="1">
      <c r="A1183" s="15" t="n">
        <v>2012</v>
      </c>
      <c r="B1183" s="42">
        <f>IF((A1183&gt;=2023),ROUND(D1183,2),C1183)</f>
        <v/>
      </c>
      <c r="C1183" s="43" t="n">
        <v>2.02</v>
      </c>
      <c r="D1183" s="43" t="n"/>
    </row>
    <row r="1184" ht="14" customHeight="1">
      <c r="A1184" s="21" t="n">
        <v>2013</v>
      </c>
      <c r="B1184" s="44">
        <f>IF((A1184&gt;=2023),ROUND(D1184,2),C1184)</f>
        <v/>
      </c>
      <c r="C1184" s="45" t="n">
        <v>2.08</v>
      </c>
      <c r="D1184" s="45" t="n"/>
    </row>
    <row r="1185" ht="14" customHeight="1">
      <c r="A1185" s="15" t="n">
        <v>2014</v>
      </c>
      <c r="B1185" s="42">
        <f>IF((A1185&gt;=2023),ROUND(D1185,2),C1185)</f>
        <v/>
      </c>
      <c r="C1185" s="43" t="n">
        <v>2.1</v>
      </c>
      <c r="D1185" s="43" t="n"/>
    </row>
    <row r="1186" ht="14" customHeight="1">
      <c r="A1186" s="21" t="n">
        <v>2015</v>
      </c>
      <c r="B1186" s="44">
        <f>IF((A1186&gt;=2023),ROUND(D1186,2),C1186)</f>
        <v/>
      </c>
      <c r="C1186" s="45" t="n">
        <v>2.11</v>
      </c>
      <c r="D1186" s="45" t="n"/>
    </row>
    <row r="1187" ht="14" customHeight="1">
      <c r="A1187" s="15" t="n">
        <v>2016</v>
      </c>
      <c r="B1187" s="42">
        <f>IF((A1187&gt;=2023),ROUND(D1187,2),C1187)</f>
        <v/>
      </c>
      <c r="C1187" s="43" t="n">
        <v>2.12</v>
      </c>
      <c r="D1187" s="43" t="n"/>
    </row>
    <row r="1188" ht="14" customHeight="1">
      <c r="A1188" s="21" t="n">
        <v>2017</v>
      </c>
      <c r="B1188" s="44">
        <f>IF((A1188&gt;=2023),ROUND(D1188,2),C1188)</f>
        <v/>
      </c>
      <c r="C1188" s="45" t="n">
        <v>2.12</v>
      </c>
      <c r="D1188" s="45" t="n"/>
    </row>
    <row r="1189" ht="14" customHeight="1">
      <c r="A1189" s="15" t="n">
        <v>2018</v>
      </c>
      <c r="B1189" s="42">
        <f>IF((A1189&gt;=2023),ROUND(D1189,2),C1189)</f>
        <v/>
      </c>
      <c r="C1189" s="43" t="n">
        <v>2.15</v>
      </c>
      <c r="D1189" s="43" t="n"/>
    </row>
    <row r="1190" ht="14" customHeight="1">
      <c r="A1190" s="21" t="n">
        <v>2019</v>
      </c>
      <c r="B1190" s="44">
        <f>IF((A1190&gt;=2023),ROUND(D1190,2),C1190)</f>
        <v/>
      </c>
      <c r="C1190" s="45" t="n">
        <v>2.19</v>
      </c>
      <c r="D1190" s="45" t="n"/>
    </row>
    <row r="1191" ht="14" customHeight="1">
      <c r="A1191" s="15" t="n">
        <v>2020</v>
      </c>
      <c r="B1191" s="42">
        <f>IF((A1191&gt;=2023),ROUND(D1191,2),C1191)</f>
        <v/>
      </c>
      <c r="C1191" s="43" t="n">
        <v>2.23</v>
      </c>
      <c r="D1191" s="43" t="n"/>
    </row>
    <row r="1192" ht="14" customHeight="1">
      <c r="A1192" s="21" t="n">
        <v>2021</v>
      </c>
      <c r="B1192" s="44">
        <f>IF((A1192&gt;=2023),ROUND(D1192,2),C1192)</f>
        <v/>
      </c>
      <c r="C1192" s="45" t="n">
        <v>2.31</v>
      </c>
      <c r="D1192" s="45" t="n"/>
    </row>
    <row r="1193" ht="14" customHeight="1">
      <c r="A1193" s="15" t="n">
        <v>2022</v>
      </c>
      <c r="B1193" s="42">
        <f>IF((A1193&gt;=2023),ROUND(D1193,2),C1193)</f>
        <v/>
      </c>
      <c r="C1193" s="43" t="n">
        <v>2.27</v>
      </c>
      <c r="D1193" s="43" t="n"/>
    </row>
    <row r="1194" ht="14" customHeight="1">
      <c r="A1194" s="21" t="n">
        <v>2023</v>
      </c>
      <c r="B1194" s="44">
        <f>IF((A1194&gt;=2023),ROUND(D1194,2),C1194)</f>
        <v/>
      </c>
      <c r="C1194" s="45" t="n"/>
      <c r="D1194" s="45" t="n">
        <v>2.26</v>
      </c>
    </row>
    <row r="1195" ht="14" customHeight="1">
      <c r="A1195" s="15" t="n">
        <v>2024</v>
      </c>
      <c r="B1195" s="42">
        <f>IF((A1195&gt;=2023),ROUND(D1195,2),C1195)</f>
        <v/>
      </c>
      <c r="C1195" s="43" t="n"/>
      <c r="D1195" s="43" t="n">
        <v>2.24</v>
      </c>
    </row>
    <row r="1198">
      <c r="A1198" s="53" t="inlineStr">
        <is>
          <t>F5 · Cleantech venture &amp; growth investment in the EU  (% of GDP)</t>
        </is>
      </c>
    </row>
    <row r="1199" ht="24" customHeight="1">
      <c r="A1199" s="3" t="inlineStr">
        <is>
          <t>Derivation:  Value = [Report figure (2024 report underlying data)]</t>
        </is>
      </c>
    </row>
    <row r="1200" ht="42" customHeight="1">
      <c r="A1200" s="41" t="inlineStr">
        <is>
          <t>Year</t>
        </is>
      </c>
      <c r="B1200" s="41" t="inlineStr">
        <is>
          <t>Value</t>
        </is>
      </c>
      <c r="C1200" s="41" t="inlineStr">
        <is>
          <t>Report figure (2024 report underlying data)</t>
        </is>
      </c>
    </row>
    <row r="1201" ht="14" customHeight="1">
      <c r="A1201" s="15" t="n">
        <v>2018</v>
      </c>
      <c r="B1201" s="42">
        <f>C1201</f>
        <v/>
      </c>
      <c r="C1201" s="43" t="n">
        <v>0.02</v>
      </c>
    </row>
    <row r="1202" ht="14" customHeight="1">
      <c r="A1202" s="21" t="n">
        <v>2019</v>
      </c>
      <c r="B1202" s="44">
        <f>C1202</f>
        <v/>
      </c>
      <c r="C1202" s="45" t="n">
        <v>0.03</v>
      </c>
    </row>
    <row r="1203" ht="14" customHeight="1">
      <c r="A1203" s="15" t="n">
        <v>2020</v>
      </c>
      <c r="B1203" s="42">
        <f>C1203</f>
        <v/>
      </c>
      <c r="C1203" s="43" t="n">
        <v>0.03</v>
      </c>
    </row>
    <row r="1204" ht="14" customHeight="1">
      <c r="A1204" s="21" t="n">
        <v>2021</v>
      </c>
      <c r="B1204" s="44">
        <f>C1204</f>
        <v/>
      </c>
      <c r="C1204" s="45" t="n">
        <v>0.07000000000000001</v>
      </c>
    </row>
    <row r="1205" ht="14" customHeight="1">
      <c r="A1205" s="15" t="n">
        <v>2022</v>
      </c>
      <c r="B1205" s="42">
        <f>C1205</f>
        <v/>
      </c>
      <c r="C1205" s="43" t="n">
        <v>0.06</v>
      </c>
    </row>
    <row r="1206" ht="14" customHeight="1">
      <c r="A1206" s="21" t="n">
        <v>2023</v>
      </c>
      <c r="B1206" s="44">
        <f>C1206</f>
        <v/>
      </c>
      <c r="C1206" s="45" t="n">
        <v>0.07000000000000001</v>
      </c>
    </row>
    <row r="1207" ht="14" customHeight="1">
      <c r="A1207" s="15" t="n">
        <v>2024</v>
      </c>
      <c r="B1207" s="42">
        <f>C1207</f>
        <v/>
      </c>
      <c r="C1207" s="43" t="n">
        <v>0.05</v>
      </c>
    </row>
    <row r="1208" ht="14" customHeight="1">
      <c r="A1208" s="21" t="n">
        <v>2025</v>
      </c>
      <c r="B1208" s="44">
        <f>C1208</f>
        <v/>
      </c>
      <c r="C1208" s="45" t="n">
        <v>0.04</v>
      </c>
    </row>
    <row r="1211">
      <c r="A1211" s="54" t="inlineStr">
        <is>
          <t>Notes: a formula of the form =IF(A…&gt;=2023, ROUND(&lt;live-source recipe&gt;), &lt;report recipe&gt;) keeps the report years on the 2024 workbook's derivation and computes the later years from the live source. Both derivations are shown because they are genuinely different.</t>
        </is>
      </c>
    </row>
  </sheetData>
  <mergeCells count="111">
    <mergeCell ref="A557:L557"/>
    <mergeCell ref="A1198:H1198"/>
    <mergeCell ref="A909:H909"/>
    <mergeCell ref="A105:L105"/>
    <mergeCell ref="A417:H417"/>
    <mergeCell ref="A1180:H1180"/>
    <mergeCell ref="A203:L203"/>
    <mergeCell ref="A636:H636"/>
    <mergeCell ref="A1044:L1044"/>
    <mergeCell ref="A685:H685"/>
    <mergeCell ref="A889:L889"/>
    <mergeCell ref="A612:L612"/>
    <mergeCell ref="A299:L299"/>
    <mergeCell ref="A1043:H1043"/>
    <mergeCell ref="A1181:L1181"/>
    <mergeCell ref="A104:H104"/>
    <mergeCell ref="A130:L130"/>
    <mergeCell ref="A579:H579"/>
    <mergeCell ref="A224:H224"/>
    <mergeCell ref="A29:H29"/>
    <mergeCell ref="A323:H323"/>
    <mergeCell ref="A274:H274"/>
    <mergeCell ref="A848:H848"/>
    <mergeCell ref="A249:H249"/>
    <mergeCell ref="A202:H202"/>
    <mergeCell ref="A1144:L1144"/>
    <mergeCell ref="A1199:L1199"/>
    <mergeCell ref="A910:L910"/>
    <mergeCell ref="A80:L80"/>
    <mergeCell ref="A418:L418"/>
    <mergeCell ref="A758:L758"/>
    <mergeCell ref="A55:L55"/>
    <mergeCell ref="A535:H535"/>
    <mergeCell ref="A993:L993"/>
    <mergeCell ref="A5:L5"/>
    <mergeCell ref="A1013:H1013"/>
    <mergeCell ref="A397:H397"/>
    <mergeCell ref="A514:L514"/>
    <mergeCell ref="A930:H930"/>
    <mergeCell ref="A1035:L1035"/>
    <mergeCell ref="A465:H465"/>
    <mergeCell ref="A1163:L1163"/>
    <mergeCell ref="A828:H828"/>
    <mergeCell ref="A734:H734"/>
    <mergeCell ref="A868:H868"/>
    <mergeCell ref="A275:L275"/>
    <mergeCell ref="A513:H513"/>
    <mergeCell ref="A931:L931"/>
    <mergeCell ref="A951:H951"/>
    <mergeCell ref="A536:L536"/>
    <mergeCell ref="A250:L250"/>
    <mergeCell ref="A1034:H1034"/>
    <mergeCell ref="A348:H348"/>
    <mergeCell ref="A711:H711"/>
    <mergeCell ref="A782:H782"/>
    <mergeCell ref="A490:H490"/>
    <mergeCell ref="A590:H590"/>
    <mergeCell ref="A888:H888"/>
    <mergeCell ref="A79:H79"/>
    <mergeCell ref="A2:L2"/>
    <mergeCell ref="A153:H153"/>
    <mergeCell ref="A54:H54"/>
    <mergeCell ref="A177:H177"/>
    <mergeCell ref="A591:L591"/>
    <mergeCell ref="A491:L491"/>
    <mergeCell ref="A611:H611"/>
    <mergeCell ref="A662:L662"/>
    <mergeCell ref="A1093:H1093"/>
    <mergeCell ref="A556:H556"/>
    <mergeCell ref="A849:L849"/>
    <mergeCell ref="A129:H129"/>
    <mergeCell ref="A1068:H1068"/>
    <mergeCell ref="A686:L686"/>
    <mergeCell ref="A374:H374"/>
    <mergeCell ref="A735:L735"/>
    <mergeCell ref="A783:L783"/>
    <mergeCell ref="A952:L952"/>
    <mergeCell ref="A580:L580"/>
    <mergeCell ref="A178:L178"/>
    <mergeCell ref="A349:L349"/>
    <mergeCell ref="A661:H661"/>
    <mergeCell ref="A712:L712"/>
    <mergeCell ref="A1143:H1143"/>
    <mergeCell ref="A398:L398"/>
    <mergeCell ref="A1118:H1118"/>
    <mergeCell ref="A441:H441"/>
    <mergeCell ref="A808:L808"/>
    <mergeCell ref="A757:H757"/>
    <mergeCell ref="A375:L375"/>
    <mergeCell ref="A154:L154"/>
    <mergeCell ref="A992:H992"/>
    <mergeCell ref="A973:L973"/>
    <mergeCell ref="A1014:L1014"/>
    <mergeCell ref="A324:L324"/>
    <mergeCell ref="A1094:L1094"/>
    <mergeCell ref="A807:H807"/>
    <mergeCell ref="A1162:H1162"/>
    <mergeCell ref="A1069:L1069"/>
    <mergeCell ref="A466:L466"/>
    <mergeCell ref="A637:L637"/>
    <mergeCell ref="A298:H298"/>
    <mergeCell ref="A1119:L1119"/>
    <mergeCell ref="A829:L829"/>
    <mergeCell ref="A1211:L1211"/>
    <mergeCell ref="A4:H4"/>
    <mergeCell ref="A30:L30"/>
    <mergeCell ref="A1:L1"/>
    <mergeCell ref="A225:L225"/>
    <mergeCell ref="A869:L869"/>
    <mergeCell ref="A972:H972"/>
    <mergeCell ref="A442:L4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D7E83"/>
    <outlinePr summaryBelow="1" summaryRight="1"/>
    <pageSetUpPr/>
  </sheetPr>
  <dimension ref="A1:D387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40" customWidth="1" min="3" max="3"/>
    <col width="100" customWidth="1" min="4" max="4"/>
  </cols>
  <sheetData>
    <row r="1" ht="22" customHeight="1">
      <c r="A1" s="12" t="inlineStr">
        <is>
          <t>Code</t>
        </is>
      </c>
      <c r="B1" s="12" t="inlineStr">
        <is>
          <t>Indicator</t>
        </is>
      </c>
      <c r="C1" s="12" t="inlineStr">
        <is>
          <t>Input column</t>
        </is>
      </c>
      <c r="D1" s="12" t="inlineStr">
        <is>
          <t>Where that input comes from</t>
        </is>
      </c>
    </row>
    <row r="2" ht="26" customHeight="1">
      <c r="A2" s="13" t="inlineStr">
        <is>
          <t>O1</t>
        </is>
      </c>
      <c r="B2" s="14" t="inlineStr">
        <is>
          <t>Total EU GHG emissions (European Climate Law scope)</t>
        </is>
      </c>
      <c r="C2" s="14" t="inlineStr">
        <is>
          <t>Value</t>
        </is>
      </c>
      <c r="D2" s="18" t="inlineStr">
        <is>
          <t>EEA GHG data viewer</t>
        </is>
      </c>
    </row>
    <row r="3" ht="26" customHeight="1">
      <c r="A3" s="55" t="inlineStr"/>
      <c r="B3" s="20" t="inlineStr"/>
      <c r="C3" s="20" t="inlineStr">
        <is>
          <t>International aviation</t>
        </is>
      </c>
      <c r="D3" s="24" t="inlineStr">
        <is>
          <t>EEA GHG data viewer</t>
        </is>
      </c>
    </row>
    <row r="4" ht="26" customHeight="1">
      <c r="A4" s="13" t="inlineStr"/>
      <c r="B4" s="14" t="inlineStr"/>
      <c r="C4" s="14" t="inlineStr">
        <is>
          <t>Energy supply</t>
        </is>
      </c>
      <c r="D4" s="18" t="inlineStr">
        <is>
          <t>EEA GHG data viewer</t>
        </is>
      </c>
    </row>
    <row r="5" ht="26" customHeight="1">
      <c r="A5" s="55" t="inlineStr"/>
      <c r="B5" s="20" t="inlineStr"/>
      <c r="C5" s="20" t="inlineStr">
        <is>
          <t>Industry</t>
        </is>
      </c>
      <c r="D5" s="24" t="inlineStr">
        <is>
          <t>EEA GHG data viewer</t>
        </is>
      </c>
    </row>
    <row r="6" ht="26" customHeight="1">
      <c r="A6" s="13" t="inlineStr"/>
      <c r="B6" s="14" t="inlineStr"/>
      <c r="C6" s="14" t="inlineStr">
        <is>
          <t>Transport</t>
        </is>
      </c>
      <c r="D6" s="18" t="inlineStr">
        <is>
          <t>EEA GHG data viewer</t>
        </is>
      </c>
    </row>
    <row r="7" ht="26" customHeight="1">
      <c r="A7" s="55" t="inlineStr"/>
      <c r="B7" s="20" t="inlineStr"/>
      <c r="C7" s="20" t="inlineStr">
        <is>
          <t>Buildings and agriculture energy</t>
        </is>
      </c>
      <c r="D7" s="24" t="inlineStr">
        <is>
          <t>EEA GHG data viewer</t>
        </is>
      </c>
    </row>
    <row r="8" ht="26" customHeight="1">
      <c r="A8" s="13" t="inlineStr"/>
      <c r="B8" s="14" t="inlineStr"/>
      <c r="C8" s="14" t="inlineStr">
        <is>
          <t>Agriculture (non-energy)</t>
        </is>
      </c>
      <c r="D8" s="18" t="inlineStr">
        <is>
          <t>EEA GHG data viewer</t>
        </is>
      </c>
    </row>
    <row r="9" ht="26" customHeight="1">
      <c r="A9" s="55" t="inlineStr"/>
      <c r="B9" s="20" t="inlineStr"/>
      <c r="C9" s="20" t="inlineStr">
        <is>
          <t>LULUCF</t>
        </is>
      </c>
      <c r="D9" s="24" t="inlineStr">
        <is>
          <t>EEA GHG data viewer</t>
        </is>
      </c>
    </row>
    <row r="10" ht="26" customHeight="1">
      <c r="A10" s="13" t="inlineStr"/>
      <c r="B10" s="14" t="inlineStr"/>
      <c r="C10" s="14" t="inlineStr">
        <is>
          <t>Waste and other sectors</t>
        </is>
      </c>
      <c r="D10" s="18" t="inlineStr">
        <is>
          <t>EEA GHG data viewer</t>
        </is>
      </c>
    </row>
    <row r="11" ht="26" customHeight="1">
      <c r="A11" s="55" t="inlineStr"/>
      <c r="B11" s="20" t="inlineStr"/>
      <c r="C11" s="20" t="inlineStr">
        <is>
          <t>International maritime</t>
        </is>
      </c>
      <c r="D11" s="24" t="inlineStr">
        <is>
          <t>EEA GHG data viewer</t>
        </is>
      </c>
    </row>
    <row r="12" ht="26" customHeight="1">
      <c r="A12" s="13" t="inlineStr"/>
      <c r="B12" s="14" t="inlineStr"/>
      <c r="C12" s="14" t="inlineStr">
        <is>
          <t>1.D.1.a - International Aviation</t>
        </is>
      </c>
      <c r="D12" s="18" t="inlineStr">
        <is>
          <t>EEA GHG data viewer</t>
        </is>
      </c>
    </row>
    <row r="13" ht="26" customHeight="1">
      <c r="A13" s="55" t="inlineStr"/>
      <c r="B13" s="20" t="inlineStr"/>
      <c r="C13" s="20" t="inlineStr">
        <is>
          <t>1.A.1 - Energy Industries</t>
        </is>
      </c>
      <c r="D13" s="24" t="inlineStr">
        <is>
          <t>EEA GHG data viewer</t>
        </is>
      </c>
    </row>
    <row r="14" ht="26" customHeight="1">
      <c r="A14" s="13" t="inlineStr"/>
      <c r="B14" s="14" t="inlineStr"/>
      <c r="C14" s="14" t="inlineStr">
        <is>
          <t>1.B - Fugitive Emissions from Fuels</t>
        </is>
      </c>
      <c r="D14" s="18" t="inlineStr">
        <is>
          <t>EEA GHG data viewer</t>
        </is>
      </c>
    </row>
    <row r="15" ht="26" customHeight="1">
      <c r="A15" s="55" t="inlineStr"/>
      <c r="B15" s="20" t="inlineStr"/>
      <c r="C15" s="20" t="inlineStr">
        <is>
          <t>1.A.2 - Manufacturing Industries and Construction</t>
        </is>
      </c>
      <c r="D15" s="24" t="inlineStr">
        <is>
          <t>EEA GHG data viewer</t>
        </is>
      </c>
    </row>
    <row r="16" ht="26" customHeight="1">
      <c r="A16" s="13" t="inlineStr"/>
      <c r="B16" s="14" t="inlineStr"/>
      <c r="C16" s="14" t="inlineStr">
        <is>
          <t>2 - Industrial Processes and Product Use</t>
        </is>
      </c>
      <c r="D16" s="18" t="inlineStr">
        <is>
          <t>EEA GHG data viewer</t>
        </is>
      </c>
    </row>
    <row r="17" ht="26" customHeight="1">
      <c r="A17" s="55" t="inlineStr"/>
      <c r="B17" s="20" t="inlineStr"/>
      <c r="C17" s="20" t="inlineStr">
        <is>
          <t>1.A.3 - Transport</t>
        </is>
      </c>
      <c r="D17" s="24" t="inlineStr">
        <is>
          <t>EEA GHG data viewer</t>
        </is>
      </c>
    </row>
    <row r="18" ht="26" customHeight="1">
      <c r="A18" s="13" t="inlineStr"/>
      <c r="B18" s="14" t="inlineStr"/>
      <c r="C18" s="14" t="inlineStr">
        <is>
          <t>1.A.4 - Other Sectors</t>
        </is>
      </c>
      <c r="D18" s="18" t="inlineStr">
        <is>
          <t>EEA GHG data viewer</t>
        </is>
      </c>
    </row>
    <row r="19" ht="26" customHeight="1">
      <c r="A19" s="55" t="inlineStr"/>
      <c r="B19" s="20" t="inlineStr"/>
      <c r="C19" s="20" t="inlineStr">
        <is>
          <t>3 - Agriculture</t>
        </is>
      </c>
      <c r="D19" s="24" t="inlineStr">
        <is>
          <t>EEA GHG data viewer</t>
        </is>
      </c>
    </row>
    <row r="20" ht="26" customHeight="1">
      <c r="A20" s="13" t="inlineStr"/>
      <c r="B20" s="14" t="inlineStr"/>
      <c r="C20" s="14" t="inlineStr">
        <is>
          <t>4 - Land Use, Land-Use Change and Forestry</t>
        </is>
      </c>
      <c r="D20" s="18" t="inlineStr">
        <is>
          <t>EEA GHG data viewer</t>
        </is>
      </c>
    </row>
    <row r="21" ht="26" customHeight="1">
      <c r="A21" s="55" t="inlineStr"/>
      <c r="B21" s="20" t="inlineStr"/>
      <c r="C21" s="20" t="inlineStr">
        <is>
          <t>Total net emissions (UNFCCC)</t>
        </is>
      </c>
      <c r="D21" s="24" t="inlineStr">
        <is>
          <t>EEA GHG data viewer</t>
        </is>
      </c>
    </row>
    <row r="22" ht="26" customHeight="1">
      <c r="A22" s="13" t="inlineStr"/>
      <c r="B22" s="14" t="inlineStr"/>
      <c r="C22" s="14" t="inlineStr">
        <is>
          <t>1.D.1.b - International Navigation</t>
        </is>
      </c>
      <c r="D22" s="18" t="inlineStr">
        <is>
          <t>EEA GHG data viewer</t>
        </is>
      </c>
    </row>
    <row r="23" ht="26" customHeight="1">
      <c r="A23" s="55" t="inlineStr"/>
      <c r="B23" s="20" t="inlineStr"/>
      <c r="C23" s="20" t="inlineStr">
        <is>
          <t>env_air_gge TOTXMEMO</t>
        </is>
      </c>
      <c r="D23" s="24" t="inlineStr">
        <is>
          <t>Eurostat env_air_gge · geo=EU27_2020, unit=MIO_T, freq=A, airpol=GHG, src_crf=TOTXMEMO · https://ec.europa.eu/eurostat/api/dissemination/statistics/1.0/data/env_air_gge?format=JSON&amp;lang=EN&amp;geo=EU27_2020&amp;unit=MIO_T&amp;freq=A&amp;airpol=GHG&amp;src_crf=TOTXMEMO</t>
        </is>
      </c>
    </row>
    <row r="24" ht="26" customHeight="1">
      <c r="A24" s="13" t="inlineStr"/>
      <c r="B24" s="14" t="inlineStr"/>
      <c r="C24" s="14" t="inlineStr">
        <is>
          <t>env_air_gge CRF1D1A</t>
        </is>
      </c>
      <c r="D24" s="18" t="inlineStr">
        <is>
          <t>Eurostat env_air_gge · geo=EU27_2020, unit=MIO_T, freq=A, airpol=GHG, src_crf=CRF1D1A · https://ec.europa.eu/eurostat/api/dissemination/statistics/1.0/data/env_air_gge?format=JSON&amp;lang=EN&amp;geo=EU27_2020&amp;unit=MIO_T&amp;freq=A&amp;airpol=GHG&amp;src_crf=CRF1D1A</t>
        </is>
      </c>
    </row>
    <row r="25" ht="26" customHeight="1">
      <c r="A25" s="55" t="inlineStr"/>
      <c r="B25" s="20" t="inlineStr"/>
      <c r="C25" s="20" t="inlineStr">
        <is>
          <t>env_air_gge CRF1D1B</t>
        </is>
      </c>
      <c r="D25" s="24" t="inlineStr">
        <is>
          <t>Eurostat env_air_gge · geo=EU27_2020, unit=MIO_T, freq=A, airpol=GHG, src_crf=CRF1D1B · https://ec.europa.eu/eurostat/api/dissemination/statistics/1.0/data/env_air_gge?format=JSON&amp;lang=EN&amp;geo=EU27_2020&amp;unit=MIO_T&amp;freq=A&amp;airpol=GHG&amp;src_crf=CRF1D1B</t>
        </is>
      </c>
    </row>
    <row r="26" ht="26" customHeight="1">
      <c r="A26" s="13" t="inlineStr">
        <is>
          <t>E1</t>
        </is>
      </c>
      <c r="B26" s="14" t="inlineStr">
        <is>
          <t>Energy supply GHG emissions</t>
        </is>
      </c>
      <c r="C26" s="14" t="inlineStr">
        <is>
          <t>Value</t>
        </is>
      </c>
      <c r="D26" s="18" t="inlineStr">
        <is>
          <t>EEA / EU GHG inventory (UNFCCC CRF), EU-27</t>
        </is>
      </c>
    </row>
    <row r="27" ht="26" customHeight="1">
      <c r="A27" s="55" t="inlineStr"/>
      <c r="B27" s="20" t="inlineStr"/>
      <c r="C27" s="20" t="inlineStr">
        <is>
          <t>Power and heat</t>
        </is>
      </c>
      <c r="D27" s="24" t="inlineStr">
        <is>
          <t>CRF table (2023 submission): 1.A.1.a (total)</t>
        </is>
      </c>
    </row>
    <row r="28" ht="26" customHeight="1">
      <c r="A28" s="13" t="inlineStr"/>
      <c r="B28" s="14" t="inlineStr"/>
      <c r="C28" s="14" t="inlineStr">
        <is>
          <t>Petroleum refineries</t>
        </is>
      </c>
      <c r="D28" s="18" t="inlineStr">
        <is>
          <t>CRF table (2023 submission): 1.A.1.b (total)</t>
        </is>
      </c>
    </row>
    <row r="29" ht="26" customHeight="1">
      <c r="A29" s="55" t="inlineStr"/>
      <c r="B29" s="20" t="inlineStr"/>
      <c r="C29" s="20" t="inlineStr">
        <is>
          <t>Other (mining, gas transport, …)</t>
        </is>
      </c>
      <c r="D29" s="24" t="inlineStr">
        <is>
          <t>CRF table (2023 submission): 1.A.1.c (total)</t>
        </is>
      </c>
    </row>
    <row r="30" ht="26" customHeight="1">
      <c r="A30" s="13" t="inlineStr"/>
      <c r="B30" s="14" t="inlineStr"/>
      <c r="C30" s="14" t="inlineStr">
        <is>
          <t>Fugitive emissions</t>
        </is>
      </c>
      <c r="D30" s="18" t="inlineStr">
        <is>
          <t>EEA inventory CSV: 1.B (given as CO2e total)</t>
        </is>
      </c>
    </row>
    <row r="31" ht="26" customHeight="1">
      <c r="A31" s="55" t="inlineStr"/>
      <c r="B31" s="20" t="inlineStr"/>
      <c r="C31" s="20" t="inlineStr">
        <is>
          <t>Total (reported, no breakdown)</t>
        </is>
      </c>
      <c r="D31" s="24" t="inlineStr">
        <is>
          <t>EEA / EU GHG inventory (UNFCCC CRF), EU-27</t>
        </is>
      </c>
    </row>
    <row r="32" ht="26" customHeight="1">
      <c r="A32" s="13" t="inlineStr"/>
      <c r="B32" s="14" t="inlineStr"/>
      <c r="C32" s="14" t="inlineStr">
        <is>
          <t>env_air_gge CRF1A1</t>
        </is>
      </c>
      <c r="D32" s="18" t="inlineStr">
        <is>
          <t>Eurostat env_air_gge · geo=EU27_2020, unit=MIO_T, freq=A, airpol=GHG, src_crf=CRF1A1 · https://ec.europa.eu/eurostat/api/dissemination/statistics/1.0/data/env_air_gge?format=JSON&amp;lang=EN&amp;geo=EU27_2020&amp;unit=MIO_T&amp;freq=A&amp;airpol=GHG&amp;src_crf=CRF1A1</t>
        </is>
      </c>
    </row>
    <row r="33" ht="26" customHeight="1">
      <c r="A33" s="55" t="inlineStr"/>
      <c r="B33" s="20" t="inlineStr"/>
      <c r="C33" s="20" t="inlineStr">
        <is>
          <t>env_air_gge CRF1B</t>
        </is>
      </c>
      <c r="D33" s="24" t="inlineStr">
        <is>
          <t>Eurostat env_air_gge · geo=EU27_2020, unit=MIO_T, freq=A, airpol=GHG, src_crf=CRF1B · https://ec.europa.eu/eurostat/api/dissemination/statistics/1.0/data/env_air_gge?format=JSON&amp;lang=EN&amp;geo=EU27_2020&amp;unit=MIO_T&amp;freq=A&amp;airpol=GHG&amp;src_crf=CRF1B</t>
        </is>
      </c>
    </row>
    <row r="34" ht="26" customHeight="1">
      <c r="A34" s="13" t="inlineStr">
        <is>
          <t>E2 (RES)</t>
        </is>
      </c>
      <c r="B34" s="14" t="inlineStr">
        <is>
          <t>Non-biomass renewable share of EU electricity mix</t>
        </is>
      </c>
      <c r="C34" s="14" t="inlineStr">
        <is>
          <t>Value</t>
        </is>
      </c>
      <c r="D34" s="18" t="inlineStr">
        <is>
          <t>Eurostat energy balances (EU-27 gross electricity generation)</t>
        </is>
      </c>
    </row>
    <row r="35" ht="26" customHeight="1">
      <c r="A35" s="55" t="inlineStr"/>
      <c r="B35" s="20" t="inlineStr"/>
      <c r="C35" s="20" t="inlineStr">
        <is>
          <t>Renewable - hydro</t>
        </is>
      </c>
      <c r="D35" s="24" t="inlineStr">
        <is>
          <t>See 4bis tab for sources and categorisation details</t>
        </is>
      </c>
    </row>
    <row r="36" ht="26" customHeight="1">
      <c r="A36" s="13" t="inlineStr"/>
      <c r="B36" s="14" t="inlineStr"/>
      <c r="C36" s="14" t="inlineStr">
        <is>
          <t>Renewable - solar</t>
        </is>
      </c>
      <c r="D36" s="18" t="inlineStr">
        <is>
          <t>See 4bis tab for sources and categorisation details</t>
        </is>
      </c>
    </row>
    <row r="37" ht="26" customHeight="1">
      <c r="A37" s="55" t="inlineStr"/>
      <c r="B37" s="20" t="inlineStr"/>
      <c r="C37" s="20" t="inlineStr">
        <is>
          <t>Renewable - wind</t>
        </is>
      </c>
      <c r="D37" s="24" t="inlineStr">
        <is>
          <t>See 4bis tab for sources and categorisation details</t>
        </is>
      </c>
    </row>
    <row r="38" ht="26" customHeight="1">
      <c r="A38" s="13" t="inlineStr"/>
      <c r="B38" s="14" t="inlineStr"/>
      <c r="C38" s="14" t="inlineStr">
        <is>
          <t>Renewable - other non-bio</t>
        </is>
      </c>
      <c r="D38" s="18" t="inlineStr">
        <is>
          <t>See 4bis tab for sources and categorisation details</t>
        </is>
      </c>
    </row>
    <row r="39" ht="26" customHeight="1">
      <c r="A39" s="55" t="inlineStr"/>
      <c r="B39" s="20" t="inlineStr"/>
      <c r="C39" s="20" t="inlineStr">
        <is>
          <t>Total</t>
        </is>
      </c>
      <c r="D39" s="24" t="inlineStr">
        <is>
          <t>Eurostat energy balances, EU27 gross electricity generation</t>
        </is>
      </c>
    </row>
    <row r="40" ht="26" customHeight="1">
      <c r="A40" s="13" t="inlineStr"/>
      <c r="B40" s="14" t="inlineStr"/>
      <c r="C40" s="14" t="inlineStr">
        <is>
          <t>Post-report figure as published</t>
        </is>
      </c>
      <c r="D40" s="18" t="inlineStr">
        <is>
          <t>Eurostat (nrg_bal_peh) — https://ec.europa.eu/eurostat/databrowser/view/nrg_bal_peh/default/table</t>
        </is>
      </c>
    </row>
    <row r="41" ht="26" customHeight="1">
      <c r="A41" s="55" t="inlineStr"/>
      <c r="B41" s="20" t="inlineStr"/>
      <c r="C41" s="20" t="inlineStr">
        <is>
          <t>fraction → % (× 100)</t>
        </is>
      </c>
      <c r="D41" s="24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42" ht="26" customHeight="1">
      <c r="A42" s="13" t="inlineStr">
        <is>
          <t>E2 (fossil)</t>
        </is>
      </c>
      <c r="B42" s="14" t="inlineStr">
        <is>
          <t>Fossil share of EU electricity mix</t>
        </is>
      </c>
      <c r="C42" s="14" t="inlineStr">
        <is>
          <t>Value</t>
        </is>
      </c>
      <c r="D42" s="18" t="inlineStr">
        <is>
          <t>Eurostat energy balances (EU-27 gross electricity generation)</t>
        </is>
      </c>
    </row>
    <row r="43" ht="26" customHeight="1">
      <c r="A43" s="55" t="inlineStr"/>
      <c r="B43" s="20" t="inlineStr"/>
      <c r="C43" s="20" t="inlineStr">
        <is>
          <t>Solid fossil fuels</t>
        </is>
      </c>
      <c r="D43" s="24" t="inlineStr">
        <is>
          <t>See 4bis tab for sources and categorisation details</t>
        </is>
      </c>
    </row>
    <row r="44" ht="26" customHeight="1">
      <c r="A44" s="13" t="inlineStr"/>
      <c r="B44" s="14" t="inlineStr"/>
      <c r="C44" s="14" t="inlineStr">
        <is>
          <t>Natural &amp; manufactured gases</t>
        </is>
      </c>
      <c r="D44" s="18" t="inlineStr">
        <is>
          <t>See 4bis tab for sources and categorisation details</t>
        </is>
      </c>
    </row>
    <row r="45" ht="26" customHeight="1">
      <c r="A45" s="55" t="inlineStr"/>
      <c r="B45" s="20" t="inlineStr"/>
      <c r="C45" s="20" t="inlineStr">
        <is>
          <t>Oil products &amp; other fossils</t>
        </is>
      </c>
      <c r="D45" s="24" t="inlineStr">
        <is>
          <t>See 4bis tab for sources and categorisation details</t>
        </is>
      </c>
    </row>
    <row r="46" ht="26" customHeight="1">
      <c r="A46" s="13" t="inlineStr"/>
      <c r="B46" s="14" t="inlineStr"/>
      <c r="C46" s="14" t="inlineStr">
        <is>
          <t>Total</t>
        </is>
      </c>
      <c r="D46" s="18" t="inlineStr">
        <is>
          <t>Eurostat energy balances, EU27 gross electricity generation</t>
        </is>
      </c>
    </row>
    <row r="47" ht="26" customHeight="1">
      <c r="A47" s="55" t="inlineStr"/>
      <c r="B47" s="20" t="inlineStr"/>
      <c r="C47" s="20" t="inlineStr">
        <is>
          <t>Numerator · nrg_bal_peh C0000X0350-0370</t>
        </is>
      </c>
      <c r="D47" s="24" t="inlineStr">
        <is>
          <t>Eurostat nrg_bal_peh · geo=EU27_2020, unit=GWH, freq=A, nrg_bal=GEP, siec=C0000X0350-0370 · https://ec.europa.eu/eurostat/api/dissemination/statistics/1.0/data/nrg_bal_peh?format=JSON&amp;lang=EN&amp;geo=EU27_2020&amp;unit=GWH&amp;freq=A&amp;nrg_bal=GEP&amp;siec=C0000X0350-0370</t>
        </is>
      </c>
    </row>
    <row r="48" ht="26" customHeight="1">
      <c r="A48" s="13" t="inlineStr"/>
      <c r="B48" s="14" t="inlineStr"/>
      <c r="C48" s="14" t="inlineStr">
        <is>
          <t>Numerator · nrg_bal_peh P1000</t>
        </is>
      </c>
      <c r="D48" s="18" t="inlineStr">
        <is>
          <t>Eurostat nrg_bal_peh · geo=EU27_2020, unit=GWH, freq=A, nrg_bal=GEP, siec=P1000 · https://ec.europa.eu/eurostat/api/dissemination/statistics/1.0/data/nrg_bal_peh?format=JSON&amp;lang=EN&amp;geo=EU27_2020&amp;unit=GWH&amp;freq=A&amp;nrg_bal=GEP&amp;siec=P1000</t>
        </is>
      </c>
    </row>
    <row r="49" ht="26" customHeight="1">
      <c r="A49" s="55" t="inlineStr"/>
      <c r="B49" s="20" t="inlineStr"/>
      <c r="C49" s="20" t="inlineStr">
        <is>
          <t>Numerator · nrg_bal_peh S2000</t>
        </is>
      </c>
      <c r="D49" s="24" t="inlineStr">
        <is>
          <t>Eurostat nrg_bal_peh · geo=EU27_2020, unit=GWH, freq=A, nrg_bal=GEP, siec=S2000 · https://ec.europa.eu/eurostat/api/dissemination/statistics/1.0/data/nrg_bal_peh?format=JSON&amp;lang=EN&amp;geo=EU27_2020&amp;unit=GWH&amp;freq=A&amp;nrg_bal=GEP&amp;siec=S2000</t>
        </is>
      </c>
    </row>
    <row r="50" ht="26" customHeight="1">
      <c r="A50" s="13" t="inlineStr"/>
      <c r="B50" s="14" t="inlineStr"/>
      <c r="C50" s="14" t="inlineStr">
        <is>
          <t>Numerator · nrg_bal_peh O4000XBIO</t>
        </is>
      </c>
      <c r="D50" s="18" t="inlineStr">
        <is>
          <t>Eurostat nrg_bal_peh · geo=EU27_2020, unit=GWH, freq=A, nrg_bal=GEP, siec=O4000XBIO · https://ec.europa.eu/eurostat/api/dissemination/statistics/1.0/data/nrg_bal_peh?format=JSON&amp;lang=EN&amp;geo=EU27_2020&amp;unit=GWH&amp;freq=A&amp;nrg_bal=GEP&amp;siec=O4000XBIO</t>
        </is>
      </c>
    </row>
    <row r="51" ht="26" customHeight="1">
      <c r="A51" s="55" t="inlineStr"/>
      <c r="B51" s="20" t="inlineStr"/>
      <c r="C51" s="20" t="inlineStr">
        <is>
          <t>Numerator · nrg_bal_peh G3000</t>
        </is>
      </c>
      <c r="D51" s="24" t="inlineStr">
        <is>
          <t>Eurostat nrg_bal_peh · geo=EU27_2020, unit=GWH, freq=A, nrg_bal=GEP, siec=G3000 · https://ec.europa.eu/eurostat/api/dissemination/statistics/1.0/data/nrg_bal_peh?format=JSON&amp;lang=EN&amp;geo=EU27_2020&amp;unit=GWH&amp;freq=A&amp;nrg_bal=GEP&amp;siec=G3000</t>
        </is>
      </c>
    </row>
    <row r="52" ht="26" customHeight="1">
      <c r="A52" s="13" t="inlineStr"/>
      <c r="B52" s="14" t="inlineStr"/>
      <c r="C52" s="14" t="inlineStr">
        <is>
          <t>Denominator · nrg_bal_peh TOTAL</t>
        </is>
      </c>
      <c r="D52" s="18" t="inlineStr">
        <is>
          <t>Eurostat nrg_bal_peh · geo=EU27_2020, unit=GWH, freq=A, nrg_bal=GEP, siec=TOTAL · https://ec.europa.eu/eurostat/api/dissemination/statistics/1.0/data/nrg_bal_peh?format=JSON&amp;lang=EN&amp;geo=EU27_2020&amp;unit=GWH&amp;freq=A&amp;nrg_bal=GEP&amp;siec=TOTAL</t>
        </is>
      </c>
    </row>
    <row r="53" ht="26" customHeight="1">
      <c r="A53" s="55" t="inlineStr"/>
      <c r="B53" s="20" t="inlineStr"/>
      <c r="C53" s="20" t="inlineStr">
        <is>
          <t>Report baseline 2022 (%)</t>
        </is>
      </c>
      <c r="D53" s="24" t="inlineStr">
        <is>
          <t>ESABCC (2024) “Towards EU climate neutrality”, underlying-data workbook — the report's own 2022 figure, the anchor the later years are spliced onto.</t>
        </is>
      </c>
    </row>
    <row r="54" ht="26" customHeight="1">
      <c r="A54" s="13" t="inlineStr"/>
      <c r="B54" s="14" t="inlineStr"/>
      <c r="C54" s="14" t="inlineStr">
        <is>
          <t>Live source at 2022 (same basis as the columns left)</t>
        </is>
      </c>
      <c r="D54" s="18" t="inlineStr">
        <is>
          <t>Eurostat nrg_bal_peh · fossil ÷ total gross electricity production · EU27_2020 — the same query, read at 2022; dividing by it cancels the level difference between the source's scope and the report's, leaving only the year-on-year change.</t>
        </is>
      </c>
    </row>
    <row r="55" ht="26" customHeight="1">
      <c r="A55" s="55" t="inlineStr"/>
      <c r="B55" s="20" t="inlineStr"/>
      <c r="C55" s="20" t="inlineStr">
        <is>
          <t>fraction → % (× 100)</t>
        </is>
      </c>
      <c r="D55" s="24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56" ht="26" customHeight="1">
      <c r="A56" s="13" t="inlineStr">
        <is>
          <t>E3</t>
        </is>
      </c>
      <c r="B56" s="14" t="inlineStr">
        <is>
          <t>Average GHG intensity of EU electricity</t>
        </is>
      </c>
      <c r="C56" s="14" t="inlineStr">
        <is>
          <t>Value</t>
        </is>
      </c>
      <c r="D56" s="18" t="inlineStr">
        <is>
          <t>EEA: GHG intensity of electricity generation in Europe (EU-27)</t>
        </is>
      </c>
    </row>
    <row r="57" ht="26" customHeight="1">
      <c r="A57" s="55" t="inlineStr"/>
      <c r="B57" s="20" t="inlineStr"/>
      <c r="C57" s="20" t="inlineStr">
        <is>
          <t>Historical</t>
        </is>
      </c>
      <c r="D57" s="24" t="inlineStr">
        <is>
          <t>EEA: GHG intensity of electricity generation in Europe</t>
        </is>
      </c>
    </row>
    <row r="58" ht="26" customHeight="1">
      <c r="A58" s="13" t="inlineStr"/>
      <c r="B58" s="14" t="inlineStr"/>
      <c r="C58" s="14" t="inlineStr">
        <is>
          <t>Numerator · env_air_gge CRF1A1</t>
        </is>
      </c>
      <c r="D58" s="18" t="inlineStr">
        <is>
          <t>Eurostat env_air_gge · geo=EU27_2020, unit=MIO_T, freq=A, airpol=GHG, src_crf=CRF1A1 · https://ec.europa.eu/eurostat/api/dissemination/statistics/1.0/data/env_air_gge?format=JSON&amp;lang=EN&amp;geo=EU27_2020&amp;unit=MIO_T&amp;freq=A&amp;airpol=GHG&amp;src_crf=CRF1A1</t>
        </is>
      </c>
    </row>
    <row r="59" ht="26" customHeight="1">
      <c r="A59" s="55" t="inlineStr"/>
      <c r="B59" s="20" t="inlineStr"/>
      <c r="C59" s="20" t="inlineStr">
        <is>
          <t>Denominator · nrg_bal_peh TOTAL</t>
        </is>
      </c>
      <c r="D59" s="24" t="inlineStr">
        <is>
          <t>Eurostat nrg_bal_peh · geo=EU27_2020, unit=GWH, freq=A, nrg_bal=GEP, siec=TOTAL · https://ec.europa.eu/eurostat/api/dissemination/statistics/1.0/data/nrg_bal_peh?format=JSON&amp;lang=EN&amp;geo=EU27_2020&amp;unit=GWH&amp;freq=A&amp;nrg_bal=GEP&amp;siec=TOTAL</t>
        </is>
      </c>
    </row>
    <row r="60" ht="26" customHeight="1">
      <c r="A60" s="13" t="inlineStr"/>
      <c r="B60" s="14" t="inlineStr"/>
      <c r="C60" s="14" t="inlineStr">
        <is>
          <t>Report baseline 2022 (g CO₂eq/kWh)</t>
        </is>
      </c>
      <c r="D60" s="18" t="inlineStr">
        <is>
          <t>ESABCC (2024) “Towards EU climate neutrality”, underlying-data workbook — the report's own 2022 figure, the anchor the later years are spliced onto.</t>
        </is>
      </c>
    </row>
    <row r="61" ht="26" customHeight="1">
      <c r="A61" s="55" t="inlineStr"/>
      <c r="B61" s="20" t="inlineStr"/>
      <c r="C61" s="20" t="inlineStr">
        <is>
          <t>Live source at 2022 (same basis as the columns left)</t>
        </is>
      </c>
      <c r="D61" s="24" t="inlineStr">
        <is>
          <t>Eurostat env_air_gge CRF 1.A.1 ÷ nrg_bal_peh gross electricity production · EU27_2020 — the same query, read at 2022; dividing by it cancels the level difference between the source's scope and the report's, leaving only the year-on-year change.</t>
        </is>
      </c>
    </row>
    <row r="62" ht="26" customHeight="1">
      <c r="A62" s="13" t="inlineStr">
        <is>
          <t>E4a</t>
        </is>
      </c>
      <c r="B62" s="14" t="inlineStr">
        <is>
          <t>Annual solar PV capacity additions (EU)</t>
        </is>
      </c>
      <c r="C62" s="14" t="inlineStr">
        <is>
          <t>Value</t>
        </is>
      </c>
      <c r="D62" s="18" t="inlineStr">
        <is>
          <t>Eurostat NRG_INF_EPCRW (annual change in cumulative solar-PV capacity)</t>
        </is>
      </c>
    </row>
    <row r="63" ht="26" customHeight="1">
      <c r="A63" s="55" t="inlineStr"/>
      <c r="B63" s="20" t="inlineStr"/>
      <c r="C63" s="20" t="inlineStr">
        <is>
          <t>Solar PV cumulative capacity (MW)</t>
        </is>
      </c>
      <c r="D63" s="24" t="inlineStr">
        <is>
          <t>Eurostat NRG_INF_EPCRW (cumulative installed capacity, EU-27)</t>
        </is>
      </c>
    </row>
    <row r="64" ht="26" customHeight="1">
      <c r="A64" s="13" t="inlineStr"/>
      <c r="B64" s="14" t="inlineStr"/>
      <c r="C64" s="14" t="inlineStr">
        <is>
          <t>Solar PV cumulative capacity (MW) (previous year)</t>
        </is>
      </c>
      <c r="D64" s="18" t="inlineStr">
        <is>
          <t>Eurostat NRG_INF_EPCRW (cumulative installed capacity, EU-27)</t>
        </is>
      </c>
    </row>
    <row r="65" ht="26" customHeight="1">
      <c r="A65" s="55" t="inlineStr"/>
      <c r="B65" s="20" t="inlineStr"/>
      <c r="C65" s="20" t="inlineStr">
        <is>
          <t>Post-report figure as published</t>
        </is>
      </c>
      <c r="D65" s="24" t="inlineStr">
        <is>
          <t>Eurostat (nrg_inf_epcrw); 2023+ SolarPower Europe, EU Market Outlook — https://ec.europa.eu/eurostat/databrowser/view/nrg_inf_epcrw/default/table</t>
        </is>
      </c>
    </row>
    <row r="66" ht="26" customHeight="1">
      <c r="A66" s="13" t="inlineStr">
        <is>
          <t>E4b/c</t>
        </is>
      </c>
      <c r="B66" s="14" t="inlineStr">
        <is>
          <t>Annual wind capacity additions (EU)</t>
        </is>
      </c>
      <c r="C66" s="14" t="inlineStr">
        <is>
          <t>Value</t>
        </is>
      </c>
      <c r="D66" s="18" t="inlineStr">
        <is>
          <t>Eurostat NRG_INF_EPCRW (annual change in cumulative onshore-wind capacity)</t>
        </is>
      </c>
    </row>
    <row r="67" ht="26" customHeight="1">
      <c r="A67" s="55" t="inlineStr"/>
      <c r="B67" s="20" t="inlineStr"/>
      <c r="C67" s="20" t="inlineStr">
        <is>
          <t>Onshore wind cumulative capacity (MW)</t>
        </is>
      </c>
      <c r="D67" s="24" t="inlineStr">
        <is>
          <t>Eurostat NRG_INF_EPCRW (cumulative installed capacity, EU-27)</t>
        </is>
      </c>
    </row>
    <row r="68" ht="26" customHeight="1">
      <c r="A68" s="13" t="inlineStr"/>
      <c r="B68" s="14" t="inlineStr"/>
      <c r="C68" s="14" t="inlineStr">
        <is>
          <t>Onshore wind cumulative capacity (MW) (previous year)</t>
        </is>
      </c>
      <c r="D68" s="18" t="inlineStr">
        <is>
          <t>Eurostat NRG_INF_EPCRW (cumulative installed capacity, EU-27)</t>
        </is>
      </c>
    </row>
    <row r="69" ht="26" customHeight="1">
      <c r="A69" s="55" t="inlineStr"/>
      <c r="B69" s="20" t="inlineStr"/>
      <c r="C69" s="20" t="inlineStr">
        <is>
          <t>Post-report figure as published</t>
        </is>
      </c>
      <c r="D69" s="24" t="inlineStr">
        <is>
          <t>Eurostat (nrg_inf_epcrw); 2023+ WindEurope annual statistics — https://ec.europa.eu/eurostat/databrowser/view/nrg_inf_epcrw/default/table</t>
        </is>
      </c>
    </row>
    <row r="70" ht="26" customHeight="1">
      <c r="A70" s="13" t="inlineStr">
        <is>
          <t>E6</t>
        </is>
      </c>
      <c r="B70" s="14" t="inlineStr">
        <is>
          <t>Energy-related methane emissions (EU-27)</t>
        </is>
      </c>
      <c r="C70" s="14" t="inlineStr">
        <is>
          <t>Value</t>
        </is>
      </c>
      <c r="D70" s="18" t="inlineStr">
        <is>
          <t>EEA / EU GHG inventory (UNFCCC CRF Table 1s1 &amp; 1s2, CH4), EU-27</t>
        </is>
      </c>
    </row>
    <row r="71" ht="26" customHeight="1">
      <c r="A71" s="55" t="inlineStr"/>
      <c r="B71" s="20" t="inlineStr"/>
      <c r="C71" s="20" t="inlineStr">
        <is>
          <t>Fuel combustion</t>
        </is>
      </c>
      <c r="D71" s="24" t="inlineStr">
        <is>
          <t>Sum of below</t>
        </is>
      </c>
    </row>
    <row r="72" ht="26" customHeight="1">
      <c r="A72" s="13" t="inlineStr"/>
      <c r="B72" s="14" t="inlineStr"/>
      <c r="C72" s="14" t="inlineStr">
        <is>
          <t>Fugitive - solid fuels</t>
        </is>
      </c>
      <c r="D72" s="18" t="inlineStr">
        <is>
          <t>CRF Table 1s1 &amp; 1s2</t>
        </is>
      </c>
    </row>
    <row r="73" ht="26" customHeight="1">
      <c r="A73" s="55" t="inlineStr"/>
      <c r="B73" s="20" t="inlineStr"/>
      <c r="C73" s="20" t="inlineStr">
        <is>
          <t>Fugitive - other</t>
        </is>
      </c>
      <c r="D73" s="24" t="inlineStr">
        <is>
          <t>CRF Table 1s1 &amp; 1s2</t>
        </is>
      </c>
    </row>
    <row r="74" ht="26" customHeight="1">
      <c r="A74" s="13" t="inlineStr"/>
      <c r="B74" s="14" t="inlineStr"/>
      <c r="C74" s="14" t="inlineStr">
        <is>
          <t>env_air_gge CRF1 CH4</t>
        </is>
      </c>
      <c r="D74" s="18" t="inlineStr">
        <is>
          <t>Eurostat env_air_gge · geo=EU27_2020, unit=MIO_T, freq=A, airpol=CH4, src_crf=CRF1 · https://ec.europa.eu/eurostat/api/dissemination/statistics/1.0/data/env_air_gge?format=JSON&amp;lang=EN&amp;geo=EU27_2020&amp;unit=MIO_T&amp;freq=A&amp;airpol=CH4&amp;src_crf=CRF1</t>
        </is>
      </c>
    </row>
    <row r="75" ht="26" customHeight="1">
      <c r="A75" s="55" t="inlineStr"/>
      <c r="B75" s="20" t="inlineStr"/>
      <c r="C75" s="20" t="inlineStr">
        <is>
          <t>Report baseline 2021 (Mt CO₂eq)</t>
        </is>
      </c>
      <c r="D75" s="24" t="inlineStr">
        <is>
          <t>ESABCC (2024) “Towards EU climate neutrality”, underlying-data workbook — the report's own 2021 figure, the anchor the later years are spliced onto.</t>
        </is>
      </c>
    </row>
    <row r="76" ht="26" customHeight="1">
      <c r="A76" s="13" t="inlineStr"/>
      <c r="B76" s="14" t="inlineStr"/>
      <c r="C76" s="14" t="inlineStr">
        <is>
          <t>Live source at 2021 (same basis as the columns left)</t>
        </is>
      </c>
      <c r="D76" s="18" t="inlineStr">
        <is>
          <t>Eurostat env_air_gge · CRF 1 energy CH₄ · EU27_2020 — the same query, read at 2021; dividing by it cancels the level difference between the source's scope and the report's, leaving only the year-on-year change.</t>
        </is>
      </c>
    </row>
    <row r="77" ht="26" customHeight="1">
      <c r="A77" s="55" t="inlineStr">
        <is>
          <t>E5</t>
        </is>
      </c>
      <c r="B77" s="20" t="inlineStr">
        <is>
          <t>Electrification rate of final energy use</t>
        </is>
      </c>
      <c r="C77" s="20" t="inlineStr">
        <is>
          <t>Value</t>
        </is>
      </c>
      <c r="D77" s="24" t="inlineStr">
        <is>
          <t>Eurostat energy balances (EU-27 final energy consumption)</t>
        </is>
      </c>
    </row>
    <row r="78" ht="26" customHeight="1">
      <c r="A78" s="13" t="inlineStr"/>
      <c r="B78" s="14" t="inlineStr"/>
      <c r="C78" s="14" t="inlineStr">
        <is>
          <t>FEC - electricity</t>
        </is>
      </c>
      <c r="D78" s="18" t="inlineStr">
        <is>
          <t>Energy balance</t>
        </is>
      </c>
    </row>
    <row r="79" ht="26" customHeight="1">
      <c r="A79" s="55" t="inlineStr"/>
      <c r="B79" s="20" t="inlineStr"/>
      <c r="C79" s="20" t="inlineStr">
        <is>
          <t>FEC - total</t>
        </is>
      </c>
      <c r="D79" s="24" t="inlineStr">
        <is>
          <t>Energy balance</t>
        </is>
      </c>
    </row>
    <row r="80" ht="26" customHeight="1">
      <c r="A80" s="13" t="inlineStr"/>
      <c r="B80" s="14" t="inlineStr"/>
      <c r="C80" s="14" t="inlineStr">
        <is>
          <t>fraction → % (× 100)</t>
        </is>
      </c>
      <c r="D80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81" ht="26" customHeight="1">
      <c r="A81" s="55" t="inlineStr">
        <is>
          <t>O2 (FEC)</t>
        </is>
      </c>
      <c r="B81" s="20" t="inlineStr">
        <is>
          <t>Final energy consumption (EU-27)</t>
        </is>
      </c>
      <c r="C81" s="20" t="inlineStr">
        <is>
          <t>Value</t>
        </is>
      </c>
      <c r="D81" s="24" t="inlineStr">
        <is>
          <t>Eurostat (nrg_bal_c)</t>
        </is>
      </c>
    </row>
    <row r="82" ht="26" customHeight="1">
      <c r="A82" s="13" t="inlineStr"/>
      <c r="B82" s="14" t="inlineStr"/>
      <c r="C82" s="14" t="inlineStr">
        <is>
          <t>FEC (Mtoe)</t>
        </is>
      </c>
      <c r="D82" s="18" t="inlineStr">
        <is>
          <t>Eurostat (nrg_bal_c)</t>
        </is>
      </c>
    </row>
    <row r="83" ht="26" customHeight="1">
      <c r="A83" s="55" t="inlineStr"/>
      <c r="B83" s="20" t="inlineStr"/>
      <c r="C83" s="20" t="inlineStr">
        <is>
          <t>Mtoe → TWh</t>
        </is>
      </c>
      <c r="D83" s="24" t="inlineStr">
        <is>
          <t>IEA unit converter</t>
        </is>
      </c>
    </row>
    <row r="84" ht="26" customHeight="1">
      <c r="A84" s="13" t="inlineStr"/>
      <c r="B84" s="14" t="inlineStr"/>
      <c r="C84" s="14" t="inlineStr">
        <is>
          <t>nrg_ind_eff FEC_EED</t>
        </is>
      </c>
      <c r="D84" s="18" t="inlineStr">
        <is>
          <t>Eurostat nrg_ind_eff · geo=EU27_2020, nrg_bal=FEC_EED, unit=MTOE · https://ec.europa.eu/eurostat/api/dissemination/statistics/1.0/data/nrg_ind_eff?format=JSON&amp;lang=EN&amp;geo=EU27_2020&amp;nrg_bal=FEC_EED&amp;unit=MTOE</t>
        </is>
      </c>
    </row>
    <row r="85" ht="26" customHeight="1">
      <c r="A85" s="55" t="inlineStr"/>
      <c r="B85" s="20" t="inlineStr"/>
      <c r="C85" s="20" t="inlineStr">
        <is>
          <t>Unit conversion (× 11.63)</t>
        </is>
      </c>
      <c r="D85" s="24" t="inlineStr">
        <is>
          <t>Unit conversion applied to the source figure so it is expressed in TWh.</t>
        </is>
      </c>
    </row>
    <row r="86" ht="26" customHeight="1">
      <c r="A86" s="13" t="inlineStr">
        <is>
          <t>O2 (PEC)</t>
        </is>
      </c>
      <c r="B86" s="14" t="inlineStr">
        <is>
          <t>Primary energy consumption (EU-27)</t>
        </is>
      </c>
      <c r="C86" s="14" t="inlineStr">
        <is>
          <t>Value</t>
        </is>
      </c>
      <c r="D86" s="18" t="inlineStr">
        <is>
          <t>Eurostat (nrg_bal_c)</t>
        </is>
      </c>
    </row>
    <row r="87" ht="26" customHeight="1">
      <c r="A87" s="55" t="inlineStr"/>
      <c r="B87" s="20" t="inlineStr"/>
      <c r="C87" s="20" t="inlineStr">
        <is>
          <t>PEC (Mtoe)</t>
        </is>
      </c>
      <c r="D87" s="24" t="inlineStr">
        <is>
          <t>Eurostat (nrg_bal_c)</t>
        </is>
      </c>
    </row>
    <row r="88" ht="26" customHeight="1">
      <c r="A88" s="13" t="inlineStr"/>
      <c r="B88" s="14" t="inlineStr"/>
      <c r="C88" s="14" t="inlineStr">
        <is>
          <t>Mtoe → TWh</t>
        </is>
      </c>
      <c r="D88" s="18" t="inlineStr">
        <is>
          <t>IEA unit converter</t>
        </is>
      </c>
    </row>
    <row r="89" ht="26" customHeight="1">
      <c r="A89" s="55" t="inlineStr"/>
      <c r="B89" s="20" t="inlineStr"/>
      <c r="C89" s="20" t="inlineStr">
        <is>
          <t>nrg_ind_eff PEC_EED</t>
        </is>
      </c>
      <c r="D89" s="24" t="inlineStr">
        <is>
          <t>Eurostat nrg_ind_eff · geo=EU27_2020, nrg_bal=PEC_EED, unit=MTOE · https://ec.europa.eu/eurostat/api/dissemination/statistics/1.0/data/nrg_ind_eff?format=JSON&amp;lang=EN&amp;geo=EU27_2020&amp;nrg_bal=PEC_EED&amp;unit=MTOE</t>
        </is>
      </c>
    </row>
    <row r="90" ht="26" customHeight="1">
      <c r="A90" s="13" t="inlineStr"/>
      <c r="B90" s="14" t="inlineStr"/>
      <c r="C90" s="14" t="inlineStr">
        <is>
          <t>Unit conversion (× 11.63)</t>
        </is>
      </c>
      <c r="D90" s="18" t="inlineStr">
        <is>
          <t>Unit conversion applied to the source figure so it is expressed in TWh.</t>
        </is>
      </c>
    </row>
    <row r="91" ht="26" customHeight="1">
      <c r="A91" s="55" t="inlineStr">
        <is>
          <t>O3</t>
        </is>
      </c>
      <c r="B91" s="20" t="inlineStr">
        <is>
          <t>Gross inland energy consumption (EU-27)</t>
        </is>
      </c>
      <c r="C91" s="20" t="inlineStr">
        <is>
          <t>Value</t>
        </is>
      </c>
      <c r="D91" s="24" t="inlineStr">
        <is>
          <t>Eurostat (nrg_bal_c)</t>
        </is>
      </c>
    </row>
    <row r="92" ht="26" customHeight="1">
      <c r="A92" s="13" t="inlineStr"/>
      <c r="B92" s="14" t="inlineStr"/>
      <c r="C92" s="14" t="inlineStr">
        <is>
          <t>Gross inland (ktoe)</t>
        </is>
      </c>
      <c r="D92" s="18" t="inlineStr">
        <is>
          <t>Eurostat (nrg_bal_c)</t>
        </is>
      </c>
    </row>
    <row r="93" ht="26" customHeight="1">
      <c r="A93" s="55" t="inlineStr"/>
      <c r="B93" s="20" t="inlineStr"/>
      <c r="C93" s="20" t="inlineStr">
        <is>
          <t>ktoe → TWh</t>
        </is>
      </c>
      <c r="D93" s="24" t="inlineStr">
        <is>
          <t>IEA unit converter</t>
        </is>
      </c>
    </row>
    <row r="94" ht="26" customHeight="1">
      <c r="A94" s="13" t="inlineStr">
        <is>
          <t>I1</t>
        </is>
      </c>
      <c r="B94" s="14" t="inlineStr">
        <is>
          <t>Industrial GHG emissions</t>
        </is>
      </c>
      <c r="C94" s="14" t="inlineStr">
        <is>
          <t>Value</t>
        </is>
      </c>
      <c r="D94" s="18" t="inlineStr">
        <is>
          <t>EEA GHG data viewer</t>
        </is>
      </c>
    </row>
    <row r="95" ht="26" customHeight="1">
      <c r="A95" s="55" t="inlineStr"/>
      <c r="B95" s="20" t="inlineStr"/>
      <c r="C95" s="20" t="inlineStr">
        <is>
          <t>1.A.2 - Manufacturing Industries and Construction</t>
        </is>
      </c>
      <c r="D95" s="24" t="inlineStr">
        <is>
          <t>EEA GHG data viewer</t>
        </is>
      </c>
    </row>
    <row r="96" ht="26" customHeight="1">
      <c r="A96" s="13" t="inlineStr"/>
      <c r="B96" s="14" t="inlineStr"/>
      <c r="C96" s="14" t="inlineStr">
        <is>
          <t>2 - Industrial Processes and Product Use</t>
        </is>
      </c>
      <c r="D96" s="18" t="inlineStr">
        <is>
          <t>EEA GHG data viewer</t>
        </is>
      </c>
    </row>
    <row r="97" ht="26" customHeight="1">
      <c r="A97" s="55" t="inlineStr"/>
      <c r="B97" s="20" t="inlineStr"/>
      <c r="C97" s="20" t="inlineStr">
        <is>
          <t>env_air_gge CRF1A2</t>
        </is>
      </c>
      <c r="D97" s="24" t="inlineStr">
        <is>
          <t>Eurostat env_air_gge · geo=EU27_2020, unit=MIO_T, freq=A, airpol=GHG, src_crf=CRF1A2 · https://ec.europa.eu/eurostat/api/dissemination/statistics/1.0/data/env_air_gge?format=JSON&amp;lang=EN&amp;geo=EU27_2020&amp;unit=MIO_T&amp;freq=A&amp;airpol=GHG&amp;src_crf=CRF1A2</t>
        </is>
      </c>
    </row>
    <row r="98" ht="26" customHeight="1">
      <c r="A98" s="13" t="inlineStr"/>
      <c r="B98" s="14" t="inlineStr"/>
      <c r="C98" s="14" t="inlineStr">
        <is>
          <t>env_air_gge CRF2</t>
        </is>
      </c>
      <c r="D98" s="18" t="inlineStr">
        <is>
          <t>Eurostat env_air_gge · geo=EU27_2020, unit=MIO_T, freq=A, airpol=GHG, src_crf=CRF2 · https://ec.europa.eu/eurostat/api/dissemination/statistics/1.0/data/env_air_gge?format=JSON&amp;lang=EN&amp;geo=EU27_2020&amp;unit=MIO_T&amp;freq=A&amp;airpol=GHG&amp;src_crf=CRF2</t>
        </is>
      </c>
    </row>
    <row r="99" ht="26" customHeight="1">
      <c r="A99" s="55" t="inlineStr">
        <is>
          <t>I2 (cement, production)</t>
        </is>
      </c>
      <c r="B99" s="20" t="inlineStr">
        <is>
          <t>Cement production (EU)</t>
        </is>
      </c>
      <c r="C99" s="20" t="inlineStr">
        <is>
          <t>Value</t>
        </is>
      </c>
      <c r="D99" s="24" t="inlineStr">
        <is>
          <t>Cembureau (data provided)</t>
        </is>
      </c>
    </row>
    <row r="100" ht="26" customHeight="1">
      <c r="A100" s="13" t="inlineStr"/>
      <c r="B100" s="14" t="inlineStr"/>
      <c r="C100" s="14" t="inlineStr">
        <is>
          <t>Report figure (2024 report underlying data)</t>
        </is>
      </c>
      <c r="D100" s="18" t="inlineStr">
        <is>
          <t>ESABCC (2024) “Towards EU climate neutrality: Progress, policy gaps and opportunities”, underlying-data workbook — Cembureau (data provided). The report carries this indicator as a published series, with no further breakdown.</t>
        </is>
      </c>
    </row>
    <row r="101" ht="26" customHeight="1">
      <c r="A101" s="55" t="inlineStr"/>
      <c r="B101" s="20" t="inlineStr"/>
      <c r="C101" s="20" t="inlineStr">
        <is>
          <t>sts_inpr_a C235</t>
        </is>
      </c>
      <c r="D101" s="24" t="inlineStr">
        <is>
          <t>Eurostat sts_inpr_a · geo=EU27_2020, indic_bt=PRD, s_adj=CA, unit=I21, nace_r2=C235 · https://ec.europa.eu/eurostat/api/dissemination/statistics/1.0/data/sts_inpr_a?format=JSON&amp;lang=EN&amp;geo=EU27_2020&amp;indic_bt=PRD&amp;s_adj=CA&amp;unit=I21&amp;nace_r2=C235</t>
        </is>
      </c>
    </row>
    <row r="102" ht="26" customHeight="1">
      <c r="A102" s="13" t="inlineStr"/>
      <c r="B102" s="14" t="inlineStr"/>
      <c r="C102" s="14" t="inlineStr">
        <is>
          <t>Report baseline 2021 (Mt)</t>
        </is>
      </c>
      <c r="D102" s="18" t="inlineStr">
        <is>
          <t>ESABCC (2024) “Towards EU climate neutrality”, underlying-data workbook — the report's own 2021 figure, the anchor the later years are spliced onto.</t>
        </is>
      </c>
    </row>
    <row r="103" ht="26" customHeight="1">
      <c r="A103" s="55" t="inlineStr"/>
      <c r="B103" s="20" t="inlineStr"/>
      <c r="C103" s="20" t="inlineStr">
        <is>
          <t>Live source at 2021 (same basis as the columns left)</t>
        </is>
      </c>
      <c r="D103" s="24" t="inlineStr">
        <is>
          <t>Eurostat sts_inpr_a · production-volume index (2021=100), NACE C235 cement/lime/plaster · EU27_2020 — the same query, read at 2021; dividing by it cancels the level difference between the source's scope and the report's, leaving only the year-on-year change.</t>
        </is>
      </c>
    </row>
    <row r="104" ht="26" customHeight="1">
      <c r="A104" s="13" t="inlineStr">
        <is>
          <t>I2 (chemicals, production)</t>
        </is>
      </c>
      <c r="B104" s="14" t="inlineStr">
        <is>
          <t>Chemicals production (EU)</t>
        </is>
      </c>
      <c r="C104" s="14" t="inlineStr">
        <is>
          <t>Value</t>
        </is>
      </c>
      <c r="D104" s="18" t="inlineStr">
        <is>
          <t>Eurostat DS-056120 (sold production) and DS-059268 (trade)</t>
        </is>
      </c>
    </row>
    <row r="105" ht="26" customHeight="1">
      <c r="A105" s="55" t="inlineStr"/>
      <c r="B105" s="20" t="inlineStr"/>
      <c r="C105" s="20" t="inlineStr">
        <is>
          <t>Report figure (2024 report underlying data)</t>
        </is>
      </c>
      <c r="D105" s="24" t="inlineStr">
        <is>
          <t>ESABCC (2024) “Towards EU climate neutrality: Progress, policy gaps and opportunities”, underlying-data workbook — Eurostat DS-056120 (sold production) and DS-059268 (trade). The report carries this indicator as a published series, with no further breakdown.</t>
        </is>
      </c>
    </row>
    <row r="106" ht="26" customHeight="1">
      <c r="A106" s="13" t="inlineStr"/>
      <c r="B106" s="14" t="inlineStr"/>
      <c r="C106" s="14" t="inlineStr">
        <is>
          <t>sts_inpr_a C201</t>
        </is>
      </c>
      <c r="D106" s="18" t="inlineStr">
        <is>
          <t>Eurostat sts_inpr_a · geo=EU27_2020, indic_bt=PRD, s_adj=CA, unit=I21, nace_r2=C201 · https://ec.europa.eu/eurostat/api/dissemination/statistics/1.0/data/sts_inpr_a?format=JSON&amp;lang=EN&amp;geo=EU27_2020&amp;indic_bt=PRD&amp;s_adj=CA&amp;unit=I21&amp;nace_r2=C201</t>
        </is>
      </c>
    </row>
    <row r="107" ht="26" customHeight="1">
      <c r="A107" s="55" t="inlineStr"/>
      <c r="B107" s="20" t="inlineStr"/>
      <c r="C107" s="20" t="inlineStr">
        <is>
          <t>Report baseline 2021 (Mt)</t>
        </is>
      </c>
      <c r="D107" s="24" t="inlineStr">
        <is>
          <t>ESABCC (2024) “Towards EU climate neutrality”, underlying-data workbook — the report's own 2021 figure, the anchor the later years are spliced onto.</t>
        </is>
      </c>
    </row>
    <row r="108" ht="26" customHeight="1">
      <c r="A108" s="13" t="inlineStr"/>
      <c r="B108" s="14" t="inlineStr"/>
      <c r="C108" s="14" t="inlineStr">
        <is>
          <t>Live source at 2021 (same basis as the columns left)</t>
        </is>
      </c>
      <c r="D108" s="18" t="inlineStr">
        <is>
          <t>Eurostat sts_inpr_a · production-volume index (2021=100), NACE C201 basic chemicals · EU27_2020 — the same query, read at 2021; dividing by it cancels the level difference between the source's scope and the report's, leaving only the year-on-year change.</t>
        </is>
      </c>
    </row>
    <row r="109" ht="26" customHeight="1">
      <c r="A109" s="55" t="inlineStr">
        <is>
          <t>I2 (steel, production)</t>
        </is>
      </c>
      <c r="B109" s="20" t="inlineStr">
        <is>
          <t>Steel production (EU)</t>
        </is>
      </c>
      <c r="C109" s="20" t="inlineStr">
        <is>
          <t>Value</t>
        </is>
      </c>
      <c r="D109" s="24" t="inlineStr">
        <is>
          <t>Eurofer, Steel in figures 2022</t>
        </is>
      </c>
    </row>
    <row r="110" ht="26" customHeight="1">
      <c r="A110" s="13" t="inlineStr"/>
      <c r="B110" s="14" t="inlineStr"/>
      <c r="C110" s="14" t="inlineStr">
        <is>
          <t>Report figure (2024 report underlying data)</t>
        </is>
      </c>
      <c r="D110" s="18" t="inlineStr">
        <is>
          <t>ESABCC (2024) “Towards EU climate neutrality: Progress, policy gaps and opportunities”, underlying-data workbook — Eurofer, Steel in figures 2022. The report carries this indicator as a published series, with no further breakdown.</t>
        </is>
      </c>
    </row>
    <row r="111" ht="26" customHeight="1">
      <c r="A111" s="55" t="inlineStr">
        <is>
          <t>I3</t>
        </is>
      </c>
      <c r="B111" s="20" t="inlineStr">
        <is>
          <t>Circular material use rate (EU)</t>
        </is>
      </c>
      <c r="C111" s="20" t="inlineStr">
        <is>
          <t>Value</t>
        </is>
      </c>
      <c r="D111" s="24" t="inlineStr">
        <is>
          <t>Eurostat SDG_12_41</t>
        </is>
      </c>
    </row>
    <row r="112" ht="26" customHeight="1">
      <c r="A112" s="13" t="inlineStr"/>
      <c r="B112" s="14" t="inlineStr"/>
      <c r="C112" s="14" t="inlineStr">
        <is>
          <t>Report figure (2024 report underlying data)</t>
        </is>
      </c>
      <c r="D112" s="18" t="inlineStr">
        <is>
          <t>ESABCC (2024) “Towards EU climate neutrality”, underlying-data workbook — Eurostat SDG_12_41. Published as a series, with no further breakdown.</t>
        </is>
      </c>
    </row>
    <row r="113" ht="26" customHeight="1">
      <c r="A113" s="55" t="inlineStr"/>
      <c r="B113" s="20" t="inlineStr"/>
      <c r="C113" s="20" t="inlineStr">
        <is>
          <t>cei_srm030 PC</t>
        </is>
      </c>
      <c r="D113" s="24" t="inlineStr">
        <is>
          <t>Eurostat cei_srm030 · geo=EU27_2020, unit=PC · https://ec.europa.eu/eurostat/api/dissemination/statistics/1.0/data/cei_srm030?format=JSON&amp;lang=EN&amp;geo=EU27_2020&amp;unit=PC</t>
        </is>
      </c>
    </row>
    <row r="114" ht="26" customHeight="1">
      <c r="A114" s="13" t="inlineStr"/>
      <c r="B114" s="14" t="inlineStr"/>
      <c r="C114" s="14" t="inlineStr">
        <is>
          <t>fraction → % (× 100)</t>
        </is>
      </c>
      <c r="D114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15" ht="26" customHeight="1">
      <c r="A115" s="55" t="inlineStr">
        <is>
          <t>I5</t>
        </is>
      </c>
      <c r="B115" s="20" t="inlineStr">
        <is>
          <t>Industrial final energy consumption (EU)</t>
        </is>
      </c>
      <c r="C115" s="20" t="inlineStr">
        <is>
          <t>Value</t>
        </is>
      </c>
      <c r="D115" s="24" t="inlineStr">
        <is>
          <t>Eurostat energy balances</t>
        </is>
      </c>
    </row>
    <row r="116" ht="26" customHeight="1">
      <c r="A116" s="13" t="inlineStr"/>
      <c r="B116" s="14" t="inlineStr"/>
      <c r="C116" s="14" t="inlineStr">
        <is>
          <t>Total</t>
        </is>
      </c>
      <c r="D116" s="18" t="inlineStr">
        <is>
          <t>Eurostat energy balances</t>
        </is>
      </c>
    </row>
    <row r="117" ht="26" customHeight="1">
      <c r="A117" s="55" t="inlineStr">
        <is>
          <t>I6</t>
        </is>
      </c>
      <c r="B117" s="20" t="inlineStr">
        <is>
          <t>Electricity share of industrial final energy use</t>
        </is>
      </c>
      <c r="C117" s="20" t="inlineStr">
        <is>
          <t>Value</t>
        </is>
      </c>
      <c r="D117" s="24" t="inlineStr">
        <is>
          <t>Eurostat energy balances</t>
        </is>
      </c>
    </row>
    <row r="118" ht="26" customHeight="1">
      <c r="A118" s="13" t="inlineStr"/>
      <c r="B118" s="14" t="inlineStr"/>
      <c r="C118" s="14" t="inlineStr">
        <is>
          <t>electricity</t>
        </is>
      </c>
      <c r="D118" s="18" t="inlineStr">
        <is>
          <t>Eurostat energy balances</t>
        </is>
      </c>
    </row>
    <row r="119" ht="26" customHeight="1">
      <c r="A119" s="55" t="inlineStr"/>
      <c r="B119" s="20" t="inlineStr"/>
      <c r="C119" s="20" t="inlineStr">
        <is>
          <t>Total energy use</t>
        </is>
      </c>
      <c r="D119" s="24" t="inlineStr">
        <is>
          <t>Eurostat energy balances</t>
        </is>
      </c>
    </row>
    <row r="120" ht="26" customHeight="1">
      <c r="A120" s="13" t="inlineStr"/>
      <c r="B120" s="14" t="inlineStr"/>
      <c r="C120" s="14" t="inlineStr">
        <is>
          <t>Electricity (raw input)</t>
        </is>
      </c>
      <c r="D120" s="18" t="inlineStr">
        <is>
          <t>Eurostat energy balances</t>
        </is>
      </c>
    </row>
    <row r="121" ht="26" customHeight="1">
      <c r="A121" s="55" t="inlineStr"/>
      <c r="B121" s="20" t="inlineStr"/>
      <c r="C121" s="20" t="inlineStr">
        <is>
          <t>Total</t>
        </is>
      </c>
      <c r="D121" s="24" t="inlineStr">
        <is>
          <t>Eurostat energy balances</t>
        </is>
      </c>
    </row>
    <row r="122" ht="26" customHeight="1">
      <c r="A122" s="13" t="inlineStr"/>
      <c r="B122" s="14" t="inlineStr"/>
      <c r="C122" s="14" t="inlineStr">
        <is>
          <t>Post-report figure as published</t>
        </is>
      </c>
      <c r="D122" s="18" t="inlineStr">
        <is>
          <t>Eurostat (nrg_bal_c) — https://ec.europa.eu/eurostat/databrowser/view/nrg_bal_c/default/table</t>
        </is>
      </c>
    </row>
    <row r="123" ht="26" customHeight="1">
      <c r="A123" s="55" t="inlineStr"/>
      <c r="B123" s="20" t="inlineStr"/>
      <c r="C123" s="20" t="inlineStr">
        <is>
          <t>fraction → % (× 100)</t>
        </is>
      </c>
      <c r="D123" s="24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24" ht="26" customHeight="1">
      <c r="A124" s="13" t="inlineStr">
        <is>
          <t>T1</t>
        </is>
      </c>
      <c r="B124" s="14" t="inlineStr">
        <is>
          <t>Transport GHG emissions (EU)</t>
        </is>
      </c>
      <c r="C124" s="14" t="inlineStr">
        <is>
          <t>Value</t>
        </is>
      </c>
      <c r="D124" s="18" t="inlineStr">
        <is>
          <t>EEA GHG data viewer</t>
        </is>
      </c>
    </row>
    <row r="125" ht="26" customHeight="1">
      <c r="A125" s="55" t="inlineStr"/>
      <c r="B125" s="20" t="inlineStr"/>
      <c r="C125" s="20" t="inlineStr">
        <is>
          <t>Road - cars and motorcycles</t>
        </is>
      </c>
      <c r="D125" s="24" t="inlineStr">
        <is>
          <t>EEA GHG data viewer</t>
        </is>
      </c>
    </row>
    <row r="126" ht="26" customHeight="1">
      <c r="A126" s="13" t="inlineStr"/>
      <c r="B126" s="14" t="inlineStr"/>
      <c r="C126" s="14" t="inlineStr">
        <is>
          <t>Road - HDV and buses</t>
        </is>
      </c>
      <c r="D126" s="18" t="inlineStr">
        <is>
          <t>EEA GHG data viewer</t>
        </is>
      </c>
    </row>
    <row r="127" ht="26" customHeight="1">
      <c r="A127" s="55" t="inlineStr"/>
      <c r="B127" s="20" t="inlineStr"/>
      <c r="C127" s="20" t="inlineStr">
        <is>
          <t>Road - Light Duty Trucks</t>
        </is>
      </c>
      <c r="D127" s="24" t="inlineStr">
        <is>
          <t>EEA GHG data viewer</t>
        </is>
      </c>
    </row>
    <row r="128" ht="26" customHeight="1">
      <c r="A128" s="13" t="inlineStr"/>
      <c r="B128" s="14" t="inlineStr"/>
      <c r="C128" s="14" t="inlineStr">
        <is>
          <t>- of which Railways, IWW</t>
        </is>
      </c>
      <c r="D128" s="18" t="inlineStr">
        <is>
          <t>EEA GHG data viewer</t>
        </is>
      </c>
    </row>
    <row r="129" ht="26" customHeight="1">
      <c r="A129" s="55" t="inlineStr"/>
      <c r="B129" s="20" t="inlineStr"/>
      <c r="C129" s="20" t="inlineStr">
        <is>
          <t>Aviation</t>
        </is>
      </c>
      <c r="D129" s="24" t="inlineStr">
        <is>
          <t>EEA GHG data viewer</t>
        </is>
      </c>
    </row>
    <row r="130" ht="26" customHeight="1">
      <c r="A130" s="13" t="inlineStr"/>
      <c r="B130" s="14" t="inlineStr"/>
      <c r="C130" s="14" t="inlineStr">
        <is>
          <t>- of which Other</t>
        </is>
      </c>
      <c r="D130" s="18" t="inlineStr">
        <is>
          <t>EEA GHG data viewer</t>
        </is>
      </c>
    </row>
    <row r="131" ht="26" customHeight="1">
      <c r="A131" s="55" t="inlineStr"/>
      <c r="B131" s="20" t="inlineStr"/>
      <c r="C131" s="20" t="inlineStr">
        <is>
          <t>1.A.3.b.i - Cars</t>
        </is>
      </c>
      <c r="D131" s="24" t="inlineStr">
        <is>
          <t>EEA GHG data viewer</t>
        </is>
      </c>
    </row>
    <row r="132" ht="26" customHeight="1">
      <c r="A132" s="13" t="inlineStr"/>
      <c r="B132" s="14" t="inlineStr"/>
      <c r="C132" s="14" t="inlineStr">
        <is>
          <t>1.A.3.b.iv - Motorcycles</t>
        </is>
      </c>
      <c r="D132" s="18" t="inlineStr">
        <is>
          <t>EEA GHG data viewer</t>
        </is>
      </c>
    </row>
    <row r="133" ht="26" customHeight="1">
      <c r="A133" s="55" t="inlineStr"/>
      <c r="B133" s="20" t="inlineStr"/>
      <c r="C133" s="20" t="inlineStr">
        <is>
          <t>1.A.3.b.iii - Heavy duty trucks and buses</t>
        </is>
      </c>
      <c r="D133" s="24" t="inlineStr">
        <is>
          <t>EEA GHG data viewer</t>
        </is>
      </c>
    </row>
    <row r="134" ht="26" customHeight="1">
      <c r="A134" s="13" t="inlineStr"/>
      <c r="B134" s="14" t="inlineStr"/>
      <c r="C134" s="14" t="inlineStr">
        <is>
          <t>1.A.3.b.ii - Light duty trucks</t>
        </is>
      </c>
      <c r="D134" s="18" t="inlineStr">
        <is>
          <t>EEA GHG data viewer</t>
        </is>
      </c>
    </row>
    <row r="135" ht="26" customHeight="1">
      <c r="A135" s="55" t="inlineStr"/>
      <c r="B135" s="20" t="inlineStr"/>
      <c r="C135" s="20" t="inlineStr">
        <is>
          <t>1.A.3.c - Railways</t>
        </is>
      </c>
      <c r="D135" s="24" t="inlineStr">
        <is>
          <t>EEA GHG data viewer</t>
        </is>
      </c>
    </row>
    <row r="136" ht="26" customHeight="1">
      <c r="A136" s="13" t="inlineStr"/>
      <c r="B136" s="14" t="inlineStr"/>
      <c r="C136" s="14" t="inlineStr">
        <is>
          <t>1.A.3.d - Domestic Navigation</t>
        </is>
      </c>
      <c r="D136" s="18" t="inlineStr">
        <is>
          <t>EEA GHG data viewer</t>
        </is>
      </c>
    </row>
    <row r="137" ht="26" customHeight="1">
      <c r="A137" s="55" t="inlineStr"/>
      <c r="B137" s="20" t="inlineStr"/>
      <c r="C137" s="20" t="inlineStr">
        <is>
          <t>- of which domestic</t>
        </is>
      </c>
      <c r="D137" s="24" t="inlineStr">
        <is>
          <t>EEA GHG data viewer</t>
        </is>
      </c>
    </row>
    <row r="138" ht="26" customHeight="1">
      <c r="A138" s="13" t="inlineStr"/>
      <c r="B138" s="14" t="inlineStr"/>
      <c r="C138" s="14" t="inlineStr">
        <is>
          <t>- of which international</t>
        </is>
      </c>
      <c r="D138" s="18" t="inlineStr">
        <is>
          <t>EEA GHG data viewer</t>
        </is>
      </c>
    </row>
    <row r="139" ht="26" customHeight="1">
      <c r="A139" s="55" t="inlineStr"/>
      <c r="B139" s="20" t="inlineStr"/>
      <c r="C139" s="20" t="inlineStr">
        <is>
          <t>1.A.3.b.v - Other Road Transportation</t>
        </is>
      </c>
      <c r="D139" s="24" t="inlineStr">
        <is>
          <t>EEA GHG data viewer</t>
        </is>
      </c>
    </row>
    <row r="140" ht="26" customHeight="1">
      <c r="A140" s="13" t="inlineStr"/>
      <c r="B140" s="14" t="inlineStr"/>
      <c r="C140" s="14" t="inlineStr">
        <is>
          <t>1.A.3.e - Other Transportation</t>
        </is>
      </c>
      <c r="D140" s="18" t="inlineStr">
        <is>
          <t>EEA GHG data viewer</t>
        </is>
      </c>
    </row>
    <row r="141" ht="26" customHeight="1">
      <c r="A141" s="55" t="inlineStr"/>
      <c r="B141" s="20" t="inlineStr"/>
      <c r="C141" s="20" t="inlineStr">
        <is>
          <t>1.A.3.a - Domestic Aviation</t>
        </is>
      </c>
      <c r="D141" s="24" t="inlineStr">
        <is>
          <t>EEA GHG data viewer</t>
        </is>
      </c>
    </row>
    <row r="142" ht="26" customHeight="1">
      <c r="A142" s="13" t="inlineStr"/>
      <c r="B142" s="14" t="inlineStr"/>
      <c r="C142" s="14" t="inlineStr">
        <is>
          <t>1.D.1.a - International Aviation</t>
        </is>
      </c>
      <c r="D142" s="18" t="inlineStr">
        <is>
          <t>EEA GHG data viewer</t>
        </is>
      </c>
    </row>
    <row r="143" ht="26" customHeight="1">
      <c r="A143" s="55" t="inlineStr"/>
      <c r="B143" s="20" t="inlineStr"/>
      <c r="C143" s="20" t="inlineStr">
        <is>
          <t>Report figure — row missing from the seeded grid</t>
        </is>
      </c>
      <c r="D143" s="24" t="inlineStr">
        <is>
          <t>ESABCC (2024) “Towards EU climate neutrality”, underlying-data workbook — EEA GHG data viewer. The report carries this year; the seeded calc grid stopped before it.</t>
        </is>
      </c>
    </row>
    <row r="144" ht="26" customHeight="1">
      <c r="A144" s="13" t="inlineStr"/>
      <c r="B144" s="14" t="inlineStr"/>
      <c r="C144" s="14" t="inlineStr">
        <is>
          <t>env_air_gge CRF1A3</t>
        </is>
      </c>
      <c r="D144" s="18" t="inlineStr">
        <is>
          <t>Eurostat env_air_gge · geo=EU27_2020, unit=MIO_T, freq=A, airpol=GHG, src_crf=CRF1A3 · https://ec.europa.eu/eurostat/api/dissemination/statistics/1.0/data/env_air_gge?format=JSON&amp;lang=EN&amp;geo=EU27_2020&amp;unit=MIO_T&amp;freq=A&amp;airpol=GHG&amp;src_crf=CRF1A3</t>
        </is>
      </c>
    </row>
    <row r="145" ht="26" customHeight="1">
      <c r="A145" s="55" t="inlineStr"/>
      <c r="B145" s="20" t="inlineStr"/>
      <c r="C145" s="20" t="inlineStr">
        <is>
          <t>env_air_gge CRF1D1A</t>
        </is>
      </c>
      <c r="D145" s="24" t="inlineStr">
        <is>
          <t>Eurostat env_air_gge · geo=EU27_2020, unit=MIO_T, freq=A, airpol=GHG, src_crf=CRF1D1A · https://ec.europa.eu/eurostat/api/dissemination/statistics/1.0/data/env_air_gge?format=JSON&amp;lang=EN&amp;geo=EU27_2020&amp;unit=MIO_T&amp;freq=A&amp;airpol=GHG&amp;src_crf=CRF1D1A</t>
        </is>
      </c>
    </row>
    <row r="146" ht="26" customHeight="1">
      <c r="A146" s="13" t="inlineStr">
        <is>
          <t>T2a</t>
        </is>
      </c>
      <c r="B146" s="14" t="inlineStr">
        <is>
          <t>Total passenger transport demand</t>
        </is>
      </c>
      <c r="C146" s="14" t="inlineStr">
        <is>
          <t>Value</t>
        </is>
      </c>
      <c r="D146" s="18" t="inlineStr">
        <is>
          <t>Eurostat Statistical Pocketbook 2022</t>
        </is>
      </c>
    </row>
    <row r="147" ht="26" customHeight="1">
      <c r="A147" s="55" t="inlineStr"/>
      <c r="B147" s="20" t="inlineStr"/>
      <c r="C147" s="20" t="inlineStr">
        <is>
          <t>cars and 2-wheels</t>
        </is>
      </c>
      <c r="D147" s="24" t="inlineStr">
        <is>
          <t>Eurostat Statistical Pocketbook 2022</t>
        </is>
      </c>
    </row>
    <row r="148" ht="26" customHeight="1">
      <c r="A148" s="13" t="inlineStr"/>
      <c r="B148" s="14" t="inlineStr"/>
      <c r="C148" s="14" t="inlineStr">
        <is>
          <t>buses and coaches</t>
        </is>
      </c>
      <c r="D148" s="18" t="inlineStr">
        <is>
          <t>Eurostat Statistical Pocketbook 2022</t>
        </is>
      </c>
    </row>
    <row r="149" ht="26" customHeight="1">
      <c r="A149" s="55" t="inlineStr"/>
      <c r="B149" s="20" t="inlineStr"/>
      <c r="C149" s="20" t="inlineStr">
        <is>
          <t>rail</t>
        </is>
      </c>
      <c r="D149" s="24" t="inlineStr">
        <is>
          <t>Eurostat Statistical Pocketbook 2022</t>
        </is>
      </c>
    </row>
    <row r="150" ht="26" customHeight="1">
      <c r="A150" s="13" t="inlineStr"/>
      <c r="B150" s="14" t="inlineStr"/>
      <c r="C150" s="14" t="inlineStr">
        <is>
          <t>aviation</t>
        </is>
      </c>
      <c r="D150" s="18" t="inlineStr">
        <is>
          <t>Eurostat Statistical Pocketbook 2022</t>
        </is>
      </c>
    </row>
    <row r="151" ht="26" customHeight="1">
      <c r="A151" s="55" t="inlineStr"/>
      <c r="B151" s="20" t="inlineStr"/>
      <c r="C151" s="20" t="inlineStr">
        <is>
          <t>Passenger Cars</t>
        </is>
      </c>
      <c r="D151" s="24" t="inlineStr">
        <is>
          <t>Eurostat Statistical Pocketbook 2022</t>
        </is>
      </c>
    </row>
    <row r="152" ht="26" customHeight="1">
      <c r="A152" s="13" t="inlineStr"/>
      <c r="B152" s="14" t="inlineStr"/>
      <c r="C152" s="14" t="inlineStr">
        <is>
          <t>Powered 2-wheelers</t>
        </is>
      </c>
      <c r="D152" s="18" t="inlineStr">
        <is>
          <t>Eurostat Statistical Pocketbook 2022</t>
        </is>
      </c>
    </row>
    <row r="153" ht="26" customHeight="1">
      <c r="A153" s="55" t="inlineStr"/>
      <c r="B153" s="20" t="inlineStr"/>
      <c r="C153" s="20" t="inlineStr">
        <is>
          <t>Buses &amp; Coaches</t>
        </is>
      </c>
      <c r="D153" s="24" t="inlineStr">
        <is>
          <t>Eurostat Statistical Pocketbook 2022</t>
        </is>
      </c>
    </row>
    <row r="154" ht="26" customHeight="1">
      <c r="A154" s="13" t="inlineStr"/>
      <c r="B154" s="14" t="inlineStr"/>
      <c r="C154" s="14" t="inlineStr">
        <is>
          <t>Railways</t>
        </is>
      </c>
      <c r="D154" s="18" t="inlineStr">
        <is>
          <t>Eurostat Statistical Pocketbook 2022</t>
        </is>
      </c>
    </row>
    <row r="155" ht="26" customHeight="1">
      <c r="A155" s="55" t="inlineStr"/>
      <c r="B155" s="20" t="inlineStr"/>
      <c r="C155" s="20" t="inlineStr">
        <is>
          <t>Tram &amp; Metro</t>
        </is>
      </c>
      <c r="D155" s="24" t="inlineStr">
        <is>
          <t>Eurostat Statistical Pocketbook 2022</t>
        </is>
      </c>
    </row>
    <row r="156" ht="26" customHeight="1">
      <c r="A156" s="13" t="inlineStr"/>
      <c r="B156" s="14" t="inlineStr"/>
      <c r="C156" s="14" t="inlineStr">
        <is>
          <t>Air</t>
        </is>
      </c>
      <c r="D156" s="18" t="inlineStr">
        <is>
          <t>Eurostat Statistical Pocketbook 2022</t>
        </is>
      </c>
    </row>
    <row r="157" ht="26" customHeight="1">
      <c r="A157" s="55" t="inlineStr"/>
      <c r="B157" s="20" t="inlineStr"/>
      <c r="C157" s="20" t="inlineStr">
        <is>
          <t>Post-report figure as published</t>
        </is>
      </c>
      <c r="D157" s="24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158" ht="26" customHeight="1">
      <c r="A158" s="13" t="inlineStr">
        <is>
          <t>T2b</t>
        </is>
      </c>
      <c r="B158" s="14" t="inlineStr">
        <is>
          <t>Total freight transport demand</t>
        </is>
      </c>
      <c r="C158" s="14" t="inlineStr">
        <is>
          <t>Value</t>
        </is>
      </c>
      <c r="D158" s="18" t="inlineStr">
        <is>
          <t>Eurostat Statistical Pocketbook 2022</t>
        </is>
      </c>
    </row>
    <row r="159" ht="26" customHeight="1">
      <c r="A159" s="55" t="inlineStr"/>
      <c r="B159" s="20" t="inlineStr"/>
      <c r="C159" s="20" t="inlineStr">
        <is>
          <t>Road</t>
        </is>
      </c>
      <c r="D159" s="24" t="inlineStr">
        <is>
          <t>Eurostat Statistical Pocketbook 2022</t>
        </is>
      </c>
    </row>
    <row r="160" ht="26" customHeight="1">
      <c r="A160" s="13" t="inlineStr"/>
      <c r="B160" s="14" t="inlineStr"/>
      <c r="C160" s="14" t="inlineStr">
        <is>
          <t>Rail</t>
        </is>
      </c>
      <c r="D160" s="18" t="inlineStr">
        <is>
          <t>Eurostat Statistical Pocketbook 2022</t>
        </is>
      </c>
    </row>
    <row r="161" ht="26" customHeight="1">
      <c r="A161" s="55" t="inlineStr"/>
      <c r="B161" s="20" t="inlineStr"/>
      <c r="C161" s="20" t="inlineStr">
        <is>
          <t>IWW</t>
        </is>
      </c>
      <c r="D161" s="24" t="inlineStr">
        <is>
          <t>Eurostat Statistical Pocketbook 2022</t>
        </is>
      </c>
    </row>
    <row r="162" ht="26" customHeight="1">
      <c r="A162" s="13" t="inlineStr"/>
      <c r="B162" s="14" t="inlineStr"/>
      <c r="C162" s="14" t="inlineStr">
        <is>
          <t>Road (2)</t>
        </is>
      </c>
      <c r="D162" s="18" t="inlineStr">
        <is>
          <t>Eurostat Statistical Pocketbook 2022</t>
        </is>
      </c>
    </row>
    <row r="163" ht="26" customHeight="1">
      <c r="A163" s="55" t="inlineStr"/>
      <c r="B163" s="20" t="inlineStr"/>
      <c r="C163" s="20" t="inlineStr">
        <is>
          <t>Rail (2)</t>
        </is>
      </c>
      <c r="D163" s="24" t="inlineStr">
        <is>
          <t>Eurostat Statistical Pocketbook 2022</t>
        </is>
      </c>
    </row>
    <row r="164" ht="26" customHeight="1">
      <c r="A164" s="13" t="inlineStr"/>
      <c r="B164" s="14" t="inlineStr"/>
      <c r="C164" s="14" t="inlineStr">
        <is>
          <t>Inland Waterway</t>
        </is>
      </c>
      <c r="D164" s="18" t="inlineStr">
        <is>
          <t>Eurostat Statistical Pocketbook 2022</t>
        </is>
      </c>
    </row>
    <row r="165" ht="26" customHeight="1">
      <c r="A165" s="55" t="inlineStr"/>
      <c r="B165" s="20" t="inlineStr"/>
      <c r="C165" s="20" t="inlineStr">
        <is>
          <t>Post-report figure as published</t>
        </is>
      </c>
      <c r="D165" s="24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166" ht="26" customHeight="1">
      <c r="A166" s="13" t="inlineStr">
        <is>
          <t>T3a</t>
        </is>
      </c>
      <c r="B166" s="14" t="inlineStr">
        <is>
          <t>Road share of motorised inland passenger transport</t>
        </is>
      </c>
      <c r="C166" s="14" t="inlineStr">
        <is>
          <t>Value</t>
        </is>
      </c>
      <c r="D166" s="18" t="inlineStr">
        <is>
          <t>Eurostat Statistical Pocketbook 2022</t>
        </is>
      </c>
    </row>
    <row r="167" ht="26" customHeight="1">
      <c r="A167" s="55" t="inlineStr"/>
      <c r="B167" s="20" t="inlineStr"/>
      <c r="C167" s="20" t="inlineStr">
        <is>
          <t>Passenger Cars</t>
        </is>
      </c>
      <c r="D167" s="24" t="inlineStr">
        <is>
          <t>Eurostat Statistical Pocketbook 2022</t>
        </is>
      </c>
    </row>
    <row r="168" ht="26" customHeight="1">
      <c r="A168" s="13" t="inlineStr"/>
      <c r="B168" s="14" t="inlineStr"/>
      <c r="C168" s="14" t="inlineStr">
        <is>
          <t>Powered 2-wheelers</t>
        </is>
      </c>
      <c r="D168" s="18" t="inlineStr">
        <is>
          <t>Eurostat Statistical Pocketbook 2022</t>
        </is>
      </c>
    </row>
    <row r="169" ht="26" customHeight="1">
      <c r="A169" s="55" t="inlineStr"/>
      <c r="B169" s="20" t="inlineStr"/>
      <c r="C169" s="20" t="inlineStr">
        <is>
          <t>Buses &amp; Coaches</t>
        </is>
      </c>
      <c r="D169" s="24" t="inlineStr">
        <is>
          <t>Eurostat Statistical Pocketbook 2022</t>
        </is>
      </c>
    </row>
    <row r="170" ht="26" customHeight="1">
      <c r="A170" s="13" t="inlineStr"/>
      <c r="B170" s="14" t="inlineStr"/>
      <c r="C170" s="14" t="inlineStr">
        <is>
          <t>Railways</t>
        </is>
      </c>
      <c r="D170" s="18" t="inlineStr">
        <is>
          <t>Eurostat Statistical Pocketbook 2022</t>
        </is>
      </c>
    </row>
    <row r="171" ht="26" customHeight="1">
      <c r="A171" s="55" t="inlineStr"/>
      <c r="B171" s="20" t="inlineStr"/>
      <c r="C171" s="20" t="inlineStr">
        <is>
          <t>Tram &amp; Metro</t>
        </is>
      </c>
      <c r="D171" s="24" t="inlineStr">
        <is>
          <t>Eurostat Statistical Pocketbook 2022</t>
        </is>
      </c>
    </row>
    <row r="172" ht="26" customHeight="1">
      <c r="A172" s="13" t="inlineStr"/>
      <c r="B172" s="14" t="inlineStr"/>
      <c r="C172" s="14" t="inlineStr">
        <is>
          <t>fraction → % (× 100)</t>
        </is>
      </c>
      <c r="D17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73" ht="26" customHeight="1">
      <c r="A173" s="55" t="inlineStr">
        <is>
          <t>T3b</t>
        </is>
      </c>
      <c r="B173" s="20" t="inlineStr">
        <is>
          <t>Intra-EU air passenger transport</t>
        </is>
      </c>
      <c r="C173" s="20" t="inlineStr">
        <is>
          <t>Value</t>
        </is>
      </c>
      <c r="D173" s="24" t="inlineStr">
        <is>
          <t>Eurostat Statistical Pocketbook 2022</t>
        </is>
      </c>
    </row>
    <row r="174" ht="26" customHeight="1">
      <c r="A174" s="13" t="inlineStr"/>
      <c r="B174" s="14" t="inlineStr"/>
      <c r="C174" s="14" t="inlineStr">
        <is>
          <t>Air passenger demand (Gpkm)</t>
        </is>
      </c>
      <c r="D174" s="18" t="inlineStr">
        <is>
          <t>Eurostat Statistical Pocketbook 2022</t>
        </is>
      </c>
    </row>
    <row r="175" ht="26" customHeight="1">
      <c r="A175" s="55" t="inlineStr">
        <is>
          <t>T4</t>
        </is>
      </c>
      <c r="B175" s="20" t="inlineStr">
        <is>
          <t>Average CO₂ intensity of new passenger cars (WLTP)</t>
        </is>
      </c>
      <c r="C175" s="20" t="inlineStr">
        <is>
          <t>Value</t>
        </is>
      </c>
      <c r="D175" s="24" t="inlineStr">
        <is>
          <t>EEA</t>
        </is>
      </c>
    </row>
    <row r="176" ht="26" customHeight="1">
      <c r="A176" s="13" t="inlineStr"/>
      <c r="B176" s="14" t="inlineStr"/>
      <c r="C176" s="14" t="inlineStr">
        <is>
          <t>New-car CO2 intensity WLTP (gCO2/km)</t>
        </is>
      </c>
      <c r="D176" s="18" t="inlineStr">
        <is>
          <t>EEA</t>
        </is>
      </c>
    </row>
    <row r="177" ht="26" customHeight="1">
      <c r="A177" s="55" t="inlineStr">
        <is>
          <t>T5a</t>
        </is>
      </c>
      <c r="B177" s="20" t="inlineStr">
        <is>
          <t>ZEV share of new passenger car registrations</t>
        </is>
      </c>
      <c r="C177" s="20" t="inlineStr">
        <is>
          <t>Value</t>
        </is>
      </c>
      <c r="D177" s="24" t="inlineStr">
        <is>
          <t>EU alternative fuel observatory, EEA for 2022</t>
        </is>
      </c>
    </row>
    <row r="178" ht="26" customHeight="1">
      <c r="A178" s="13" t="inlineStr"/>
      <c r="B178" s="14" t="inlineStr"/>
      <c r="C178" s="14" t="inlineStr">
        <is>
          <t>ZEV</t>
        </is>
      </c>
      <c r="D178" s="18" t="inlineStr">
        <is>
          <t>EU alternative fuel observatory</t>
        </is>
      </c>
    </row>
    <row r="179" ht="26" customHeight="1">
      <c r="A179" s="55" t="inlineStr"/>
      <c r="B179" s="20" t="inlineStr"/>
      <c r="C179" s="20" t="inlineStr">
        <is>
          <t>BEV</t>
        </is>
      </c>
      <c r="D179" s="24" t="inlineStr">
        <is>
          <t>EU alternative fuel observatory, EEA for 2022</t>
        </is>
      </c>
    </row>
    <row r="180" ht="26" customHeight="1">
      <c r="A180" s="13" t="inlineStr"/>
      <c r="B180" s="14" t="inlineStr"/>
      <c r="C180" s="14" t="inlineStr">
        <is>
          <t>H2</t>
        </is>
      </c>
      <c r="D180" s="18" t="inlineStr">
        <is>
          <t>EU alternative fuel observatory</t>
        </is>
      </c>
    </row>
    <row r="181" ht="26" customHeight="1">
      <c r="A181" s="55" t="inlineStr"/>
      <c r="B181" s="20" t="inlineStr"/>
      <c r="C181" s="20" t="inlineStr">
        <is>
          <t>Post-report figure as published</t>
        </is>
      </c>
      <c r="D181" s="24" t="inlineStr">
        <is>
          <t>EU Alternative Fuels Observatory; EEA for 2022 — https://alternative-fuels-observatory.ec.europa.eu/</t>
        </is>
      </c>
    </row>
    <row r="182" ht="26" customHeight="1">
      <c r="A182" s="13" t="inlineStr"/>
      <c r="B182" s="14" t="inlineStr"/>
      <c r="C182" s="14" t="inlineStr">
        <is>
          <t>fraction → % (× 100)</t>
        </is>
      </c>
      <c r="D18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83" ht="26" customHeight="1">
      <c r="A183" s="55" t="inlineStr">
        <is>
          <t>T6a</t>
        </is>
      </c>
      <c r="B183" s="20" t="inlineStr">
        <is>
          <t>Fossil share of transport energy use</t>
        </is>
      </c>
      <c r="C183" s="20" t="inlineStr">
        <is>
          <t>Value</t>
        </is>
      </c>
      <c r="D183" s="24" t="inlineStr">
        <is>
          <t>Energy balances</t>
        </is>
      </c>
    </row>
    <row r="184" ht="26" customHeight="1">
      <c r="A184" s="13" t="inlineStr"/>
      <c r="B184" s="14" t="inlineStr"/>
      <c r="C184" s="14" t="inlineStr">
        <is>
          <t>Solid fossil fuels</t>
        </is>
      </c>
      <c r="D184" s="18" t="inlineStr">
        <is>
          <t>Eurostat energy balance</t>
        </is>
      </c>
    </row>
    <row r="185" ht="26" customHeight="1">
      <c r="A185" s="55" t="inlineStr"/>
      <c r="B185" s="20" t="inlineStr"/>
      <c r="C185" s="20" t="inlineStr">
        <is>
          <t>Manufactured gases</t>
        </is>
      </c>
      <c r="D185" s="24" t="inlineStr">
        <is>
          <t>Eurostat energy balance</t>
        </is>
      </c>
    </row>
    <row r="186" ht="26" customHeight="1">
      <c r="A186" s="13" t="inlineStr"/>
      <c r="B186" s="14" t="inlineStr"/>
      <c r="C186" s="14" t="inlineStr">
        <is>
          <t>Peat and peat products</t>
        </is>
      </c>
      <c r="D186" s="18" t="inlineStr">
        <is>
          <t>Eurostat energy balance</t>
        </is>
      </c>
    </row>
    <row r="187" ht="26" customHeight="1">
      <c r="A187" s="55" t="inlineStr"/>
      <c r="B187" s="20" t="inlineStr"/>
      <c r="C187" s="20" t="inlineStr">
        <is>
          <t>Natural gas</t>
        </is>
      </c>
      <c r="D187" s="24" t="inlineStr">
        <is>
          <t>Eurostat energy balance</t>
        </is>
      </c>
    </row>
    <row r="188" ht="26" customHeight="1">
      <c r="A188" s="13" t="inlineStr"/>
      <c r="B188" s="14" t="inlineStr"/>
      <c r="C188" s="14" t="inlineStr">
        <is>
          <t>Oil and petroleum products (excluding biofuel portion)</t>
        </is>
      </c>
      <c r="D188" s="18" t="inlineStr">
        <is>
          <t>Eurostat energy balance</t>
        </is>
      </c>
    </row>
    <row r="189" ht="26" customHeight="1">
      <c r="A189" s="55" t="inlineStr"/>
      <c r="B189" s="20" t="inlineStr"/>
      <c r="C189" s="20" t="inlineStr">
        <is>
          <t>Solid fossil fuels (2)</t>
        </is>
      </c>
      <c r="D189" s="24" t="inlineStr">
        <is>
          <t>Eurostat energy balance</t>
        </is>
      </c>
    </row>
    <row r="190" ht="26" customHeight="1">
      <c r="A190" s="13" t="inlineStr"/>
      <c r="B190" s="14" t="inlineStr"/>
      <c r="C190" s="14" t="inlineStr">
        <is>
          <t>Manufactured gases (2)</t>
        </is>
      </c>
      <c r="D190" s="18" t="inlineStr">
        <is>
          <t>Eurostat energy balance</t>
        </is>
      </c>
    </row>
    <row r="191" ht="26" customHeight="1">
      <c r="A191" s="55" t="inlineStr"/>
      <c r="B191" s="20" t="inlineStr"/>
      <c r="C191" s="20" t="inlineStr">
        <is>
          <t>Peat and peat products (2)</t>
        </is>
      </c>
      <c r="D191" s="24" t="inlineStr">
        <is>
          <t>Eurostat energy balance</t>
        </is>
      </c>
    </row>
    <row r="192" ht="26" customHeight="1">
      <c r="A192" s="13" t="inlineStr"/>
      <c r="B192" s="14" t="inlineStr"/>
      <c r="C192" s="14" t="inlineStr">
        <is>
          <t>Natural gas (2)</t>
        </is>
      </c>
      <c r="D192" s="18" t="inlineStr">
        <is>
          <t>Eurostat energy balance</t>
        </is>
      </c>
    </row>
    <row r="193" ht="26" customHeight="1">
      <c r="A193" s="55" t="inlineStr"/>
      <c r="B193" s="20" t="inlineStr"/>
      <c r="C193" s="20" t="inlineStr">
        <is>
          <t>Oil and petroleum products (excluding biofuel portion) (2)</t>
        </is>
      </c>
      <c r="D193" s="24" t="inlineStr">
        <is>
          <t>Eurostat energy balance</t>
        </is>
      </c>
    </row>
    <row r="194" ht="26" customHeight="1">
      <c r="A194" s="13" t="inlineStr"/>
      <c r="B194" s="14" t="inlineStr"/>
      <c r="C194" s="14" t="inlineStr">
        <is>
          <t>Solid fossil fuels (3)</t>
        </is>
      </c>
      <c r="D194" s="18" t="inlineStr">
        <is>
          <t>Eurostat energy balance</t>
        </is>
      </c>
    </row>
    <row r="195" ht="26" customHeight="1">
      <c r="A195" s="55" t="inlineStr"/>
      <c r="B195" s="20" t="inlineStr"/>
      <c r="C195" s="20" t="inlineStr">
        <is>
          <t>Manufactured gases (3)</t>
        </is>
      </c>
      <c r="D195" s="24" t="inlineStr">
        <is>
          <t>Eurostat energy balance</t>
        </is>
      </c>
    </row>
    <row r="196" ht="26" customHeight="1">
      <c r="A196" s="13" t="inlineStr"/>
      <c r="B196" s="14" t="inlineStr"/>
      <c r="C196" s="14" t="inlineStr">
        <is>
          <t>Peat and peat products (3)</t>
        </is>
      </c>
      <c r="D196" s="18" t="inlineStr">
        <is>
          <t>Eurostat energy balance</t>
        </is>
      </c>
    </row>
    <row r="197" ht="26" customHeight="1">
      <c r="A197" s="55" t="inlineStr"/>
      <c r="B197" s="20" t="inlineStr"/>
      <c r="C197" s="20" t="inlineStr">
        <is>
          <t>Natural gas (3)</t>
        </is>
      </c>
      <c r="D197" s="24" t="inlineStr">
        <is>
          <t>Eurostat energy balance</t>
        </is>
      </c>
    </row>
    <row r="198" ht="26" customHeight="1">
      <c r="A198" s="13" t="inlineStr"/>
      <c r="B198" s="14" t="inlineStr"/>
      <c r="C198" s="14" t="inlineStr">
        <is>
          <t>Oil and petroleum products (excluding biofuel portion) (3)</t>
        </is>
      </c>
      <c r="D198" s="18" t="inlineStr">
        <is>
          <t>Eurostat energy balance</t>
        </is>
      </c>
    </row>
    <row r="199" ht="26" customHeight="1">
      <c r="A199" s="55" t="inlineStr"/>
      <c r="B199" s="20" t="inlineStr"/>
      <c r="C199" s="20" t="inlineStr">
        <is>
          <t>Total</t>
        </is>
      </c>
      <c r="D199" s="24" t="inlineStr">
        <is>
          <t>Eurostat energy balance</t>
        </is>
      </c>
    </row>
    <row r="200" ht="26" customHeight="1">
      <c r="A200" s="13" t="inlineStr"/>
      <c r="B200" s="14" t="inlineStr"/>
      <c r="C200" s="14" t="inlineStr">
        <is>
          <t>Total (2)</t>
        </is>
      </c>
      <c r="D200" s="18" t="inlineStr">
        <is>
          <t>Eurostat energy balance</t>
        </is>
      </c>
    </row>
    <row r="201" ht="26" customHeight="1">
      <c r="A201" s="55" t="inlineStr"/>
      <c r="B201" s="20" t="inlineStr"/>
      <c r="C201" s="20" t="inlineStr">
        <is>
          <t>Total (3)</t>
        </is>
      </c>
      <c r="D201" s="24" t="inlineStr">
        <is>
          <t>Eurostat energy balance</t>
        </is>
      </c>
    </row>
    <row r="202" ht="26" customHeight="1">
      <c r="A202" s="13" t="inlineStr"/>
      <c r="B202" s="14" t="inlineStr"/>
      <c r="C202" s="14" t="inlineStr">
        <is>
          <t>Numerator · nrg_bal_s O4000XBIO</t>
        </is>
      </c>
      <c r="D202" s="18" t="inlineStr">
        <is>
          <t>Eurostat nrg_bal_s · geo=EU27_2020, unit=GWH, freq=A, nrg_bal=FC_TRA_E, siec=O4000XBIO · https://ec.europa.eu/eurostat/api/dissemination/statistics/1.0/data/nrg_bal_s?format=JSON&amp;lang=EN&amp;geo=EU27_2020&amp;unit=GWH&amp;freq=A&amp;nrg_bal=FC_TRA_E&amp;siec=O4000XBIO</t>
        </is>
      </c>
    </row>
    <row r="203" ht="26" customHeight="1">
      <c r="A203" s="55" t="inlineStr"/>
      <c r="B203" s="20" t="inlineStr"/>
      <c r="C203" s="20" t="inlineStr">
        <is>
          <t>Numerator · nrg_bal_s G3000</t>
        </is>
      </c>
      <c r="D203" s="24" t="inlineStr">
        <is>
          <t>Eurostat nrg_bal_s · geo=EU27_2020, unit=GWH, freq=A, nrg_bal=FC_TRA_E, siec=G3000 · https://ec.europa.eu/eurostat/api/dissemination/statistics/1.0/data/nrg_bal_s?format=JSON&amp;lang=EN&amp;geo=EU27_2020&amp;unit=GWH&amp;freq=A&amp;nrg_bal=FC_TRA_E&amp;siec=G3000</t>
        </is>
      </c>
    </row>
    <row r="204" ht="26" customHeight="1">
      <c r="A204" s="13" t="inlineStr"/>
      <c r="B204" s="14" t="inlineStr"/>
      <c r="C204" s="14" t="inlineStr">
        <is>
          <t>Numerator · nrg_bal_s C0000X0350-0370</t>
        </is>
      </c>
      <c r="D204" s="18" t="inlineStr">
        <is>
          <t>Eurostat nrg_bal_s · geo=EU27_2020, unit=GWH, freq=A, nrg_bal=FC_TRA_E, siec=C0000X0350-0370 · https://ec.europa.eu/eurostat/api/dissemination/statistics/1.0/data/nrg_bal_s?format=JSON&amp;lang=EN&amp;geo=EU27_2020&amp;unit=GWH&amp;freq=A&amp;nrg_bal=FC_TRA_E&amp;siec=C0000X0350-0370</t>
        </is>
      </c>
    </row>
    <row r="205" ht="26" customHeight="1">
      <c r="A205" s="55" t="inlineStr"/>
      <c r="B205" s="20" t="inlineStr"/>
      <c r="C205" s="20" t="inlineStr">
        <is>
          <t>Denominator · nrg_bal_s TOTAL</t>
        </is>
      </c>
      <c r="D205" s="24" t="inlineStr">
        <is>
          <t>Eurostat nrg_bal_s · geo=EU27_2020, unit=GWH, freq=A, nrg_bal=FC_TRA_E, siec=TOTAL · https://ec.europa.eu/eurostat/api/dissemination/statistics/1.0/data/nrg_bal_s?format=JSON&amp;lang=EN&amp;geo=EU27_2020&amp;unit=GWH&amp;freq=A&amp;nrg_bal=FC_TRA_E&amp;siec=TOTAL</t>
        </is>
      </c>
    </row>
    <row r="206" ht="26" customHeight="1">
      <c r="A206" s="13" t="inlineStr"/>
      <c r="B206" s="14" t="inlineStr"/>
      <c r="C206" s="14" t="inlineStr">
        <is>
          <t>Report baseline 2021 (%)</t>
        </is>
      </c>
      <c r="D206" s="18" t="inlineStr">
        <is>
          <t>ESABCC (2024) “Towards EU climate neutrality”, underlying-data workbook — the report's own 2021 figure, the anchor the later years are spliced onto.</t>
        </is>
      </c>
    </row>
    <row r="207" ht="26" customHeight="1">
      <c r="A207" s="55" t="inlineStr"/>
      <c r="B207" s="20" t="inlineStr"/>
      <c r="C207" s="20" t="inlineStr">
        <is>
          <t>Live source at 2021 (same basis as the columns left)</t>
        </is>
      </c>
      <c r="D207" s="24" t="inlineStr">
        <is>
          <t>Eurostat nrg_bal_s · fossil ÷ total transport final energy · EU27_2020 — the same query, read at 2021; dividing by it cancels the level difference between the source's scope and the report's, leaving only the year-on-year change.</t>
        </is>
      </c>
    </row>
    <row r="208" ht="26" customHeight="1">
      <c r="A208" s="13" t="inlineStr"/>
      <c r="B208" s="14" t="inlineStr"/>
      <c r="C208" s="14" t="inlineStr">
        <is>
          <t>fraction → % (× 100)</t>
        </is>
      </c>
      <c r="D208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09" ht="26" customHeight="1">
      <c r="A209" s="55" t="inlineStr">
        <is>
          <t>B1</t>
        </is>
      </c>
      <c r="B209" s="20" t="inlineStr">
        <is>
          <t>Residential + tertiary building GHG emissions</t>
        </is>
      </c>
      <c r="C209" s="20" t="inlineStr">
        <is>
          <t>Value</t>
        </is>
      </c>
      <c r="D209" s="24" t="inlineStr">
        <is>
          <t>EEA GHG data viewer (UNFCCC CRF)</t>
        </is>
      </c>
    </row>
    <row r="210" ht="26" customHeight="1">
      <c r="A210" s="13" t="inlineStr"/>
      <c r="B210" s="14" t="inlineStr"/>
      <c r="C210" s="14" t="inlineStr">
        <is>
          <t>Residential (CRF 1.A.4.b)</t>
        </is>
      </c>
      <c r="D210" s="18" t="inlineStr">
        <is>
          <t>EEA / UNFCCC inventory CRF Table 1.A(a)s4</t>
        </is>
      </c>
    </row>
    <row r="211" ht="26" customHeight="1">
      <c r="A211" s="55" t="inlineStr"/>
      <c r="B211" s="20" t="inlineStr"/>
      <c r="C211" s="20" t="inlineStr">
        <is>
          <t>Tertiary (CRF 1.A.4.a)</t>
        </is>
      </c>
      <c r="D211" s="24" t="inlineStr">
        <is>
          <t>EEA / UNFCCC inventory CRF Table 1.A(a)s4</t>
        </is>
      </c>
    </row>
    <row r="212" ht="26" customHeight="1">
      <c r="A212" s="13" t="inlineStr"/>
      <c r="B212" s="14" t="inlineStr"/>
      <c r="C212" s="14" t="inlineStr">
        <is>
          <t>Agriculture &amp; fisheries energy (CRF 1.A.4.c)</t>
        </is>
      </c>
      <c r="D212" s="18" t="inlineStr">
        <is>
          <t>EEA / UNFCCC inventory CRF Table 1.A(a)s4</t>
        </is>
      </c>
    </row>
    <row r="213" ht="26" customHeight="1">
      <c r="A213" s="55" t="inlineStr"/>
      <c r="B213" s="20" t="inlineStr"/>
      <c r="C213" s="20" t="inlineStr">
        <is>
          <t>Report figure — row missing from the seeded grid</t>
        </is>
      </c>
      <c r="D213" s="24" t="inlineStr">
        <is>
          <t>ESABCC (2024) “Towards EU climate neutrality”, underlying-data workbook — EEA GHG data viewer. The report carries this year; the seeded calc grid stopped before it.</t>
        </is>
      </c>
    </row>
    <row r="214" ht="26" customHeight="1">
      <c r="A214" s="13" t="inlineStr"/>
      <c r="B214" s="14" t="inlineStr"/>
      <c r="C214" s="14" t="inlineStr">
        <is>
          <t>env_air_gge CRF1A4</t>
        </is>
      </c>
      <c r="D214" s="18" t="inlineStr">
        <is>
          <t>Eurostat env_air_gge · geo=EU27_2020, unit=MIO_T, freq=A, airpol=GHG, src_crf=CRF1A4 · https://ec.europa.eu/eurostat/api/dissemination/statistics/1.0/data/env_air_gge?format=JSON&amp;lang=EN&amp;geo=EU27_2020&amp;unit=MIO_T&amp;freq=A&amp;airpol=GHG&amp;src_crf=CRF1A4</t>
        </is>
      </c>
    </row>
    <row r="215" ht="26" customHeight="1">
      <c r="A215" s="55" t="inlineStr">
        <is>
          <t>B2</t>
        </is>
      </c>
      <c r="B215" s="20" t="inlineStr">
        <is>
          <t>Final energy consumption in buildings</t>
        </is>
      </c>
      <c r="C215" s="20" t="inlineStr">
        <is>
          <t>Value</t>
        </is>
      </c>
      <c r="D215" s="24" t="inlineStr">
        <is>
          <t>Eurostat energy balances</t>
        </is>
      </c>
    </row>
    <row r="216" ht="26" customHeight="1">
      <c r="A216" s="13" t="inlineStr"/>
      <c r="B216" s="14" t="inlineStr"/>
      <c r="C216" s="14" t="inlineStr">
        <is>
          <t>Tertiary commercial &amp; public services (TJ)</t>
        </is>
      </c>
      <c r="D216" s="18" t="inlineStr">
        <is>
          <t>Eurostat energy balances</t>
        </is>
      </c>
    </row>
    <row r="217" ht="26" customHeight="1">
      <c r="A217" s="55" t="inlineStr"/>
      <c r="B217" s="20" t="inlineStr"/>
      <c r="C217" s="20" t="inlineStr">
        <is>
          <t>Residential households (TJ)</t>
        </is>
      </c>
      <c r="D217" s="24" t="inlineStr">
        <is>
          <t>Eurostat energy balances</t>
        </is>
      </c>
    </row>
    <row r="218" ht="26" customHeight="1">
      <c r="A218" s="13" t="inlineStr"/>
      <c r="B218" s="14" t="inlineStr"/>
      <c r="C218" s="14" t="inlineStr">
        <is>
          <t>Agriculture &amp; forestry (TJ)</t>
        </is>
      </c>
      <c r="D218" s="18" t="inlineStr">
        <is>
          <t>Eurostat energy balances</t>
        </is>
      </c>
    </row>
    <row r="219" ht="26" customHeight="1">
      <c r="A219" s="55" t="inlineStr"/>
      <c r="B219" s="20" t="inlineStr"/>
      <c r="C219" s="20" t="inlineStr">
        <is>
          <t>TJ → TWh (EJ2TWh/1e6)</t>
        </is>
      </c>
      <c r="D219" s="24" t="inlineStr">
        <is>
          <t>Named Refs&amp;Conversions</t>
        </is>
      </c>
    </row>
    <row r="220" ht="26" customHeight="1">
      <c r="A220" s="13" t="inlineStr"/>
      <c r="B220" s="14" t="inlineStr"/>
      <c r="C220" s="14" t="inlineStr">
        <is>
          <t>Post-report figure as published</t>
        </is>
      </c>
      <c r="D220" s="18" t="inlineStr">
        <is>
          <t>Eurostat (nrg_bal_c) — https://ec.europa.eu/eurostat/databrowser/view/nrg_bal_c/default/table</t>
        </is>
      </c>
    </row>
    <row r="221" ht="26" customHeight="1">
      <c r="A221" s="55" t="inlineStr">
        <is>
          <t>B4 (population)</t>
        </is>
      </c>
      <c r="B221" s="20" t="inlineStr">
        <is>
          <t>EU population (index, 2005 = 1.0)</t>
        </is>
      </c>
      <c r="C221" s="20" t="inlineStr">
        <is>
          <t>Value</t>
        </is>
      </c>
      <c r="D221" s="24" t="inlineStr">
        <is>
          <t>European Building Stock Observatory (DG ENER) + Odyssee-Mure; population from Eurostat demo_gind</t>
        </is>
      </c>
    </row>
    <row r="222" ht="26" customHeight="1">
      <c r="A222" s="13" t="inlineStr"/>
      <c r="B222" s="14" t="inlineStr"/>
      <c r="C222" s="14" t="inlineStr">
        <is>
          <t>Report figure (2024 report underlying data)</t>
        </is>
      </c>
      <c r="D222" s="18" t="inlineStr">
        <is>
          <t>ESABCC (2024) “Towards EU climate neutrality: Progress, policy gaps and opportunities”, underlying-data workbook — European Building Stock Observatory (DG ENER) + Odyssee-Mure; population from Eurostat demo_gind. The report carries this indicator as a published series, with no further breakdown.</t>
        </is>
      </c>
    </row>
    <row r="223" ht="26" customHeight="1">
      <c r="A223" s="55" t="inlineStr"/>
      <c r="B223" s="20" t="inlineStr"/>
      <c r="C223" s="20" t="inlineStr">
        <is>
          <t>demo_gind AVG</t>
        </is>
      </c>
      <c r="D223" s="24" t="inlineStr">
        <is>
          <t>Eurostat demo_gind · geo=EU27_2020, indic_de=AVG · https://ec.europa.eu/eurostat/api/dissemination/statistics/1.0/data/demo_gind?format=JSON&amp;lang=EN&amp;geo=EU27_2020&amp;indic_de=AVG</t>
        </is>
      </c>
    </row>
    <row r="224" ht="26" customHeight="1">
      <c r="A224" s="13" t="inlineStr"/>
      <c r="B224" s="14" t="inlineStr"/>
      <c r="C224" s="14" t="inlineStr">
        <is>
          <t>Report baseline 2020 (index (2005 = 1.0))</t>
        </is>
      </c>
      <c r="D224" s="18" t="inlineStr">
        <is>
          <t>ESABCC (2024) “Towards EU climate neutrality”, underlying-data workbook — the report's own 2020 figure, the anchor the later years are spliced onto.</t>
        </is>
      </c>
    </row>
    <row r="225" ht="26" customHeight="1">
      <c r="A225" s="55" t="inlineStr"/>
      <c r="B225" s="20" t="inlineStr"/>
      <c r="C225" s="20" t="inlineStr">
        <is>
          <t>Live source at 2020 (same basis as the columns left)</t>
        </is>
      </c>
      <c r="D225" s="24" t="inlineStr">
        <is>
          <t>Eurostat demo_gind · average population (indexed onto report 2005=1.0 baseline) · EU27_2020 — the same query, read at 2020; dividing by it cancels the level difference between the source's scope and the report's, leaving only the year-on-year change.</t>
        </is>
      </c>
    </row>
    <row r="226" ht="26" customHeight="1">
      <c r="A226" s="13" t="inlineStr">
        <is>
          <t>B5a</t>
        </is>
      </c>
      <c r="B226" s="14" t="inlineStr">
        <is>
          <t>Fossil share of residential energy mix</t>
        </is>
      </c>
      <c r="C226" s="14" t="inlineStr">
        <is>
          <t>Value</t>
        </is>
      </c>
      <c r="D226" s="18" t="inlineStr">
        <is>
          <t>Eurostat energy balances</t>
        </is>
      </c>
    </row>
    <row r="227" ht="26" customHeight="1">
      <c r="A227" s="55" t="inlineStr"/>
      <c r="B227" s="20" t="inlineStr"/>
      <c r="C227" s="20" t="inlineStr">
        <is>
          <t>Other fossils (solids, …)</t>
        </is>
      </c>
      <c r="D227" s="24" t="inlineStr">
        <is>
          <t>Eurostat energy balance</t>
        </is>
      </c>
    </row>
    <row r="228" ht="26" customHeight="1">
      <c r="A228" s="13" t="inlineStr"/>
      <c r="B228" s="14" t="inlineStr"/>
      <c r="C228" s="14" t="inlineStr">
        <is>
          <t>Liquid fossils</t>
        </is>
      </c>
      <c r="D228" s="18" t="inlineStr">
        <is>
          <t>Eurostat energy balance</t>
        </is>
      </c>
    </row>
    <row r="229" ht="26" customHeight="1">
      <c r="A229" s="55" t="inlineStr"/>
      <c r="B229" s="20" t="inlineStr"/>
      <c r="C229" s="20" t="inlineStr">
        <is>
          <t>Natural gas</t>
        </is>
      </c>
      <c r="D229" s="24" t="inlineStr">
        <is>
          <t>Eurostat energy balance</t>
        </is>
      </c>
    </row>
    <row r="230" ht="26" customHeight="1">
      <c r="A230" s="13" t="inlineStr"/>
      <c r="B230" s="14" t="inlineStr"/>
      <c r="C230" s="14" t="inlineStr">
        <is>
          <t>Total</t>
        </is>
      </c>
      <c r="D230" s="18" t="inlineStr">
        <is>
          <t>calculated</t>
        </is>
      </c>
    </row>
    <row r="231" ht="26" customHeight="1">
      <c r="A231" s="55" t="inlineStr"/>
      <c r="B231" s="20" t="inlineStr"/>
      <c r="C231" s="20" t="inlineStr">
        <is>
          <t>Electricity</t>
        </is>
      </c>
      <c r="D231" s="24" t="inlineStr">
        <is>
          <t>Eurostat energy balance</t>
        </is>
      </c>
    </row>
    <row r="232" ht="26" customHeight="1">
      <c r="A232" s="13" t="inlineStr"/>
      <c r="B232" s="14" t="inlineStr"/>
      <c r="C232" s="14" t="inlineStr">
        <is>
          <t>District heating</t>
        </is>
      </c>
      <c r="D232" s="18" t="inlineStr">
        <is>
          <t>Eurostat energy balance</t>
        </is>
      </c>
    </row>
    <row r="233" ht="26" customHeight="1">
      <c r="A233" s="55" t="inlineStr"/>
      <c r="B233" s="20" t="inlineStr"/>
      <c r="C233" s="20" t="inlineStr">
        <is>
          <t>Renewables - bio</t>
        </is>
      </c>
      <c r="D233" s="24" t="inlineStr">
        <is>
          <t>Eurostat energy balance</t>
        </is>
      </c>
    </row>
    <row r="234" ht="26" customHeight="1">
      <c r="A234" s="13" t="inlineStr"/>
      <c r="B234" s="14" t="inlineStr"/>
      <c r="C234" s="14" t="inlineStr">
        <is>
          <t>Renewables - other</t>
        </is>
      </c>
      <c r="D234" s="18" t="inlineStr">
        <is>
          <t>Eurostat energy balance</t>
        </is>
      </c>
    </row>
    <row r="235" ht="26" customHeight="1">
      <c r="A235" s="55" t="inlineStr"/>
      <c r="B235" s="20" t="inlineStr"/>
      <c r="C235" s="20" t="inlineStr">
        <is>
          <t>Post-report figure as published</t>
        </is>
      </c>
      <c r="D235" s="24" t="inlineStr">
        <is>
          <t>Eurostat (nrg_bal_c) — https://ec.europa.eu/eurostat/databrowser/view/nrg_bal_c/default/table</t>
        </is>
      </c>
    </row>
    <row r="236" ht="26" customHeight="1">
      <c r="A236" s="13" t="inlineStr"/>
      <c r="B236" s="14" t="inlineStr"/>
      <c r="C236" s="14" t="inlineStr">
        <is>
          <t>fraction → % (× 100)</t>
        </is>
      </c>
      <c r="D23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37" ht="26" customHeight="1">
      <c r="A237" s="55" t="inlineStr">
        <is>
          <t>B5b</t>
        </is>
      </c>
      <c r="B237" s="20" t="inlineStr">
        <is>
          <t>Fossil share of tertiary energy mix</t>
        </is>
      </c>
      <c r="C237" s="20" t="inlineStr">
        <is>
          <t>Value</t>
        </is>
      </c>
      <c r="D237" s="24" t="inlineStr">
        <is>
          <t>Eurostat energy balances</t>
        </is>
      </c>
    </row>
    <row r="238" ht="26" customHeight="1">
      <c r="A238" s="13" t="inlineStr"/>
      <c r="B238" s="14" t="inlineStr"/>
      <c r="C238" s="14" t="inlineStr">
        <is>
          <t>Other fossils (solids/liquid) (tertiary, ktoe)</t>
        </is>
      </c>
      <c r="D238" s="18" t="inlineStr">
        <is>
          <t>Eurostat energy balances</t>
        </is>
      </c>
    </row>
    <row r="239" ht="26" customHeight="1">
      <c r="A239" s="55" t="inlineStr"/>
      <c r="B239" s="20" t="inlineStr"/>
      <c r="C239" s="20" t="inlineStr">
        <is>
          <t>Liquid fossils (tertiary, ktoe)</t>
        </is>
      </c>
      <c r="D239" s="24" t="inlineStr">
        <is>
          <t>Eurostat energy balances</t>
        </is>
      </c>
    </row>
    <row r="240" ht="26" customHeight="1">
      <c r="A240" s="13" t="inlineStr"/>
      <c r="B240" s="14" t="inlineStr"/>
      <c r="C240" s="14" t="inlineStr">
        <is>
          <t>Natural gas (tertiary, ktoe)</t>
        </is>
      </c>
      <c r="D240" s="18" t="inlineStr">
        <is>
          <t>Eurostat energy balances</t>
        </is>
      </c>
    </row>
    <row r="241" ht="26" customHeight="1">
      <c r="A241" s="55" t="inlineStr"/>
      <c r="B241" s="20" t="inlineStr"/>
      <c r="C241" s="20" t="inlineStr">
        <is>
          <t>Electricity (tertiary, ktoe)</t>
        </is>
      </c>
      <c r="D241" s="24" t="inlineStr">
        <is>
          <t>Eurostat energy balances</t>
        </is>
      </c>
    </row>
    <row r="242" ht="26" customHeight="1">
      <c r="A242" s="13" t="inlineStr"/>
      <c r="B242" s="14" t="inlineStr"/>
      <c r="C242" s="14" t="inlineStr">
        <is>
          <t>District heating (tertiary, ktoe)</t>
        </is>
      </c>
      <c r="D242" s="18" t="inlineStr">
        <is>
          <t>Eurostat energy balances</t>
        </is>
      </c>
    </row>
    <row r="243" ht="26" customHeight="1">
      <c r="A243" s="55" t="inlineStr"/>
      <c r="B243" s="20" t="inlineStr"/>
      <c r="C243" s="20" t="inlineStr">
        <is>
          <t>Renewables - bio (tertiary, ktoe)</t>
        </is>
      </c>
      <c r="D243" s="24" t="inlineStr">
        <is>
          <t>Eurostat energy balances</t>
        </is>
      </c>
    </row>
    <row r="244" ht="26" customHeight="1">
      <c r="A244" s="13" t="inlineStr"/>
      <c r="B244" s="14" t="inlineStr"/>
      <c r="C244" s="14" t="inlineStr">
        <is>
          <t>Renewables - other (tertiary, ktoe)</t>
        </is>
      </c>
      <c r="D244" s="18" t="inlineStr">
        <is>
          <t>Eurostat energy balances</t>
        </is>
      </c>
    </row>
    <row r="245" ht="26" customHeight="1">
      <c r="A245" s="55" t="inlineStr"/>
      <c r="B245" s="20" t="inlineStr"/>
      <c r="C245" s="20" t="inlineStr">
        <is>
          <t>Post-report figure as published</t>
        </is>
      </c>
      <c r="D245" s="24" t="inlineStr">
        <is>
          <t>Eurostat (nrg_bal_c) — https://ec.europa.eu/eurostat/databrowser/view/nrg_bal_c/default/table</t>
        </is>
      </c>
    </row>
    <row r="246" ht="26" customHeight="1">
      <c r="A246" s="13" t="inlineStr"/>
      <c r="B246" s="14" t="inlineStr"/>
      <c r="C246" s="14" t="inlineStr">
        <is>
          <t>fraction → % (× 100)</t>
        </is>
      </c>
      <c r="D24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47" ht="26" customHeight="1">
      <c r="A247" s="55" t="inlineStr">
        <is>
          <t>B6</t>
        </is>
      </c>
      <c r="B247" s="20" t="inlineStr">
        <is>
          <t>EU stock of installed heat pumps</t>
        </is>
      </c>
      <c r="C247" s="20" t="inlineStr">
        <is>
          <t>Value</t>
        </is>
      </c>
      <c r="D247" s="24" t="inlineStr">
        <is>
          <t>EHPA annual report</t>
        </is>
      </c>
    </row>
    <row r="248" ht="26" customHeight="1">
      <c r="A248" s="13" t="inlineStr"/>
      <c r="B248" s="14" t="inlineStr"/>
      <c r="C248" s="14" t="inlineStr">
        <is>
          <t>Total heat-pump stock (thousand units)</t>
        </is>
      </c>
      <c r="D248" s="18" t="inlineStr">
        <is>
          <t>EHPA annual report</t>
        </is>
      </c>
    </row>
    <row r="249" ht="26" customHeight="1">
      <c r="A249" s="55" t="inlineStr">
        <is>
          <t>A1</t>
        </is>
      </c>
      <c r="B249" s="20" t="inlineStr">
        <is>
          <t>Agricultural non-CO₂ emissions</t>
        </is>
      </c>
      <c r="C249" s="20" t="inlineStr">
        <is>
          <t>Value</t>
        </is>
      </c>
      <c r="D249" s="24" t="inlineStr">
        <is>
          <t>EEA GHG data viewer</t>
        </is>
      </c>
    </row>
    <row r="250" ht="26" customHeight="1">
      <c r="A250" s="13" t="inlineStr"/>
      <c r="B250" s="14" t="inlineStr"/>
      <c r="C250" s="14" t="inlineStr">
        <is>
          <t>Enteric fermentation</t>
        </is>
      </c>
      <c r="D250" s="18" t="inlineStr">
        <is>
          <t>EEA GHG data viewer</t>
        </is>
      </c>
    </row>
    <row r="251" ht="26" customHeight="1">
      <c r="A251" s="55" t="inlineStr"/>
      <c r="B251" s="20" t="inlineStr"/>
      <c r="C251" s="20" t="inlineStr">
        <is>
          <t>Manure management</t>
        </is>
      </c>
      <c r="D251" s="24" t="inlineStr">
        <is>
          <t>EEA GHG data viewer</t>
        </is>
      </c>
    </row>
    <row r="252" ht="26" customHeight="1">
      <c r="A252" s="13" t="inlineStr"/>
      <c r="B252" s="14" t="inlineStr"/>
      <c r="C252" s="14" t="inlineStr">
        <is>
          <t>Fertilizer use</t>
        </is>
      </c>
      <c r="D252" s="18" t="inlineStr">
        <is>
          <t>EEA GHG data viewer</t>
        </is>
      </c>
    </row>
    <row r="253" ht="26" customHeight="1">
      <c r="A253" s="55" t="inlineStr"/>
      <c r="B253" s="20" t="inlineStr"/>
      <c r="C253" s="20" t="inlineStr">
        <is>
          <t>Other</t>
        </is>
      </c>
      <c r="D253" s="24" t="inlineStr">
        <is>
          <t>EEA GHG data viewer</t>
        </is>
      </c>
    </row>
    <row r="254" ht="26" customHeight="1">
      <c r="A254" s="13" t="inlineStr"/>
      <c r="B254" s="14" t="inlineStr"/>
      <c r="C254" s="14" t="inlineStr">
        <is>
          <t>Report figure — row missing from the seeded grid</t>
        </is>
      </c>
      <c r="D254" s="18" t="inlineStr">
        <is>
          <t>ESABCC (2024) “Towards EU climate neutrality”, underlying-data workbook — EEA GHG data viewer. The report carries this year; the seeded calc grid stopped before it.</t>
        </is>
      </c>
    </row>
    <row r="255" ht="26" customHeight="1">
      <c r="A255" s="55" t="inlineStr"/>
      <c r="B255" s="20" t="inlineStr"/>
      <c r="C255" s="20" t="inlineStr">
        <is>
          <t>env_air_gge CRF3 CH4</t>
        </is>
      </c>
      <c r="D255" s="24" t="inlineStr">
        <is>
          <t>Eurostat env_air_gge · geo=EU27_2020, unit=MIO_T, freq=A, airpol=CH4, src_crf=CRF3 · https://ec.europa.eu/eurostat/api/dissemination/statistics/1.0/data/env_air_gge?format=JSON&amp;lang=EN&amp;geo=EU27_2020&amp;unit=MIO_T&amp;freq=A&amp;airpol=CH4&amp;src_crf=CRF3</t>
        </is>
      </c>
    </row>
    <row r="256" ht="26" customHeight="1">
      <c r="A256" s="13" t="inlineStr"/>
      <c r="B256" s="14" t="inlineStr"/>
      <c r="C256" s="14" t="inlineStr">
        <is>
          <t>env_air_gge CRF3 N2O</t>
        </is>
      </c>
      <c r="D256" s="18" t="inlineStr">
        <is>
          <t>Eurostat env_air_gge · geo=EU27_2020, unit=MIO_T, freq=A, airpol=N2O, src_crf=CRF3 · https://ec.europa.eu/eurostat/api/dissemination/statistics/1.0/data/env_air_gge?format=JSON&amp;lang=EN&amp;geo=EU27_2020&amp;unit=MIO_T&amp;freq=A&amp;airpol=N2O&amp;src_crf=CRF3</t>
        </is>
      </c>
    </row>
    <row r="257" ht="26" customHeight="1">
      <c r="A257" s="55" t="inlineStr"/>
      <c r="B257" s="20" t="inlineStr"/>
      <c r="C257" s="20" t="inlineStr">
        <is>
          <t>Report baseline 2022 (Mt CO₂eq)</t>
        </is>
      </c>
      <c r="D257" s="24" t="inlineStr">
        <is>
          <t>ESABCC (2024) “Towards EU climate neutrality”, underlying-data workbook — the report's own 2022 figure, the anchor the later years are spliced onto.</t>
        </is>
      </c>
    </row>
    <row r="258" ht="26" customHeight="1">
      <c r="A258" s="13" t="inlineStr"/>
      <c r="B258" s="14" t="inlineStr"/>
      <c r="C258" s="14" t="inlineStr">
        <is>
          <t>Live source at 2022 (same basis as the columns left)</t>
        </is>
      </c>
      <c r="D258" s="18" t="inlineStr">
        <is>
          <t>Eurostat env_air_gge · CRF 3 CH₄+N₂O (GWP-weighted) · EU27_2020 — the same query, read at 2022; dividing by it cancels the level difference between the source's scope and the report's, leaving only the year-on-year change.</t>
        </is>
      </c>
    </row>
    <row r="259" ht="26" customHeight="1">
      <c r="A259" s="55" t="inlineStr">
        <is>
          <t>A2 (bovine, production)</t>
        </is>
      </c>
      <c r="B259" s="20" t="inlineStr">
        <is>
          <t>Bovine meat: production (EU)</t>
        </is>
      </c>
      <c r="C259" s="20" t="inlineStr">
        <is>
          <t>Value</t>
        </is>
      </c>
      <c r="D259" s="24" t="inlineStr">
        <is>
          <t>EEA GHG data viewer + Eurostat/FAOSTAT production</t>
        </is>
      </c>
    </row>
    <row r="260" ht="26" customHeight="1">
      <c r="A260" s="13" t="inlineStr"/>
      <c r="B260" s="14" t="inlineStr"/>
      <c r="C260" s="14" t="inlineStr">
        <is>
          <t>Report figure (2024 report underlying data)</t>
        </is>
      </c>
      <c r="D260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</row>
    <row r="261" ht="26" customHeight="1">
      <c r="A261" s="55" t="inlineStr"/>
      <c r="B261" s="20" t="inlineStr"/>
      <c r="C261" s="20" t="inlineStr">
        <is>
          <t>apro_mt_pann B1000</t>
        </is>
      </c>
      <c r="D261" s="24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</row>
    <row r="262" ht="26" customHeight="1">
      <c r="A262" s="13" t="inlineStr"/>
      <c r="B262" s="14" t="inlineStr"/>
      <c r="C262" s="14" t="inlineStr">
        <is>
          <t>Unit conversion (× 0.001)</t>
        </is>
      </c>
      <c r="D262" s="18" t="inlineStr">
        <is>
          <t>Unit conversion applied to the source figure so it is expressed in Mt.</t>
        </is>
      </c>
    </row>
    <row r="263" ht="26" customHeight="1">
      <c r="A263" s="55" t="inlineStr">
        <is>
          <t>A2 (dairy, production)</t>
        </is>
      </c>
      <c r="B263" s="20" t="inlineStr">
        <is>
          <t>Dairy products: production (EU)</t>
        </is>
      </c>
      <c r="C263" s="20" t="inlineStr">
        <is>
          <t>Value</t>
        </is>
      </c>
      <c r="D263" s="24" t="inlineStr">
        <is>
          <t>EEA GHG data viewer + Eurostat/FAOSTAT production</t>
        </is>
      </c>
    </row>
    <row r="264" ht="26" customHeight="1">
      <c r="A264" s="13" t="inlineStr"/>
      <c r="B264" s="14" t="inlineStr"/>
      <c r="C264" s="14" t="inlineStr">
        <is>
          <t>Report figure (2024 report underlying data)</t>
        </is>
      </c>
      <c r="D264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</row>
    <row r="265" ht="26" customHeight="1">
      <c r="A265" s="55" t="inlineStr"/>
      <c r="B265" s="20" t="inlineStr"/>
      <c r="C265" s="20" t="inlineStr">
        <is>
          <t>apro_mk_farm D1100A</t>
        </is>
      </c>
      <c r="D265" s="24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</row>
    <row r="266" ht="26" customHeight="1">
      <c r="A266" s="13" t="inlineStr"/>
      <c r="B266" s="14" t="inlineStr"/>
      <c r="C266" s="14" t="inlineStr">
        <is>
          <t>Report baseline 2020 (Mt)</t>
        </is>
      </c>
      <c r="D266" s="18" t="inlineStr">
        <is>
          <t>ESABCC (2024) “Towards EU climate neutrality”, underlying-data workbook — the report's own 2020 figure, the anchor the later years are spliced onto.</t>
        </is>
      </c>
    </row>
    <row r="267" ht="26" customHeight="1">
      <c r="A267" s="55" t="inlineStr"/>
      <c r="B267" s="20" t="inlineStr"/>
      <c r="C267" s="20" t="inlineStr">
        <is>
          <t>Live source at 2020 (same basis as the columns left)</t>
        </is>
      </c>
      <c r="D267" s="24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</row>
    <row r="268" ht="26" customHeight="1">
      <c r="A268" s="13" t="inlineStr">
        <is>
          <t>A2 (pig, GHG)</t>
        </is>
      </c>
      <c r="B268" s="14" t="inlineStr">
        <is>
          <t>Pig meat: GHG emissions (EU)</t>
        </is>
      </c>
      <c r="C268" s="14" t="inlineStr">
        <is>
          <t>Value</t>
        </is>
      </c>
      <c r="D268" s="18" t="inlineStr">
        <is>
          <t>EEA GHG data viewer + Eurostat/FAOSTAT production</t>
        </is>
      </c>
    </row>
    <row r="269" ht="26" customHeight="1">
      <c r="A269" s="55" t="inlineStr"/>
      <c r="B269" s="20" t="inlineStr"/>
      <c r="C269" s="20" t="inlineStr">
        <is>
          <t>Report figure (2024 report underlying data)</t>
        </is>
      </c>
      <c r="D269" s="24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</row>
    <row r="270" ht="26" customHeight="1">
      <c r="A270" s="13" t="inlineStr"/>
      <c r="B270" s="14" t="inlineStr"/>
      <c r="C270" s="14" t="inlineStr">
        <is>
          <t>env_air_gge CRF3A3</t>
        </is>
      </c>
      <c r="D270" s="18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</row>
    <row r="271" ht="26" customHeight="1">
      <c r="A271" s="55" t="inlineStr"/>
      <c r="B271" s="20" t="inlineStr"/>
      <c r="C271" s="20" t="inlineStr">
        <is>
          <t>env_air_gge CRF3B3</t>
        </is>
      </c>
      <c r="D271" s="24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</row>
    <row r="272" ht="26" customHeight="1">
      <c r="A272" s="13" t="inlineStr"/>
      <c r="B272" s="14" t="inlineStr"/>
      <c r="C272" s="14" t="inlineStr">
        <is>
          <t>Report baseline 2021 (Mt CO₂eq)</t>
        </is>
      </c>
      <c r="D272" s="18" t="inlineStr">
        <is>
          <t>ESABCC (2024) “Towards EU climate neutrality”, underlying-data workbook — the report's own 2021 figure, the anchor the later years are spliced onto.</t>
        </is>
      </c>
    </row>
    <row r="273" ht="26" customHeight="1">
      <c r="A273" s="55" t="inlineStr"/>
      <c r="B273" s="20" t="inlineStr"/>
      <c r="C273" s="20" t="inlineStr">
        <is>
          <t>Live source at 2021 (same basis as the columns left)</t>
        </is>
      </c>
      <c r="D273" s="24" t="inlineStr">
        <is>
          <t>Eurostat env_air_gge · swine enteric (CRF 3.A.3) + manure (CRF 3.B.3) GHG · EU27_2020 — the same query, read at 2021; dividing by it cancels the level difference between the source's scope and the report's, leaving only the year-on-year change.</t>
        </is>
      </c>
    </row>
    <row r="274" ht="26" customHeight="1">
      <c r="A274" s="13" t="inlineStr">
        <is>
          <t>A2 (pig, intensity)</t>
        </is>
      </c>
      <c r="B274" s="14" t="inlineStr">
        <is>
          <t>Pig meat: GHG intensity (EU)</t>
        </is>
      </c>
      <c r="C274" s="14" t="inlineStr">
        <is>
          <t>Value</t>
        </is>
      </c>
      <c r="D274" s="18" t="inlineStr">
        <is>
          <t>EEA GHG data viewer + Eurostat/FAOSTAT production</t>
        </is>
      </c>
    </row>
    <row r="275" ht="26" customHeight="1">
      <c r="A275" s="55" t="inlineStr"/>
      <c r="B275" s="20" t="inlineStr"/>
      <c r="C275" s="20" t="inlineStr">
        <is>
          <t>Report figure (2024 report underlying data)</t>
        </is>
      </c>
      <c r="D275" s="24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</row>
    <row r="276" ht="26" customHeight="1">
      <c r="A276" s="13" t="inlineStr"/>
      <c r="B276" s="14" t="inlineStr"/>
      <c r="C276" s="14" t="inlineStr">
        <is>
          <t>Numerator · env_air_gge CRF3A3</t>
        </is>
      </c>
      <c r="D276" s="18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</row>
    <row r="277" ht="26" customHeight="1">
      <c r="A277" s="55" t="inlineStr"/>
      <c r="B277" s="20" t="inlineStr"/>
      <c r="C277" s="20" t="inlineStr">
        <is>
          <t>Numerator · env_air_gge CRF3B3</t>
        </is>
      </c>
      <c r="D277" s="24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</row>
    <row r="278" ht="26" customHeight="1">
      <c r="A278" s="13" t="inlineStr"/>
      <c r="B278" s="14" t="inlineStr"/>
      <c r="C278" s="14" t="inlineStr">
        <is>
          <t>Denominator · apro_mt_pann B3100</t>
        </is>
      </c>
      <c r="D278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</row>
    <row r="279" ht="26" customHeight="1">
      <c r="A279" s="55" t="inlineStr"/>
      <c r="B279" s="20" t="inlineStr"/>
      <c r="C279" s="20" t="inlineStr">
        <is>
          <t>Report baseline 2020 (t CO₂eq/t)</t>
        </is>
      </c>
      <c r="D279" s="24" t="inlineStr">
        <is>
          <t>ESABCC (2024) “Towards EU climate neutrality”, underlying-data workbook — the report's own 2020 figure, the anchor the later years are spliced onto.</t>
        </is>
      </c>
    </row>
    <row r="280" ht="26" customHeight="1">
      <c r="A280" s="13" t="inlineStr"/>
      <c r="B280" s="14" t="inlineStr"/>
      <c r="C280" s="14" t="inlineStr">
        <is>
          <t>Live source at 2020 (same basis as the columns left)</t>
        </is>
      </c>
      <c r="D280" s="18" t="inlineStr">
        <is>
          <t>Eurostat env_air_gge swine GHG (3.A.3 + 3.B.3) ÷ apro_mt_pann pigmeat (B3100) · EU27_2020 — the same query, read at 2020; dividing by it cancels the level difference between the source's scope and the report's, leaving only the year-on-year change.</t>
        </is>
      </c>
    </row>
    <row r="281" ht="26" customHeight="1">
      <c r="A281" s="55" t="inlineStr">
        <is>
          <t>A2 (pig, production)</t>
        </is>
      </c>
      <c r="B281" s="20" t="inlineStr">
        <is>
          <t>Pig meat: production (EU)</t>
        </is>
      </c>
      <c r="C281" s="20" t="inlineStr">
        <is>
          <t>Value</t>
        </is>
      </c>
      <c r="D281" s="24" t="inlineStr">
        <is>
          <t>EEA GHG data viewer + Eurostat/FAOSTAT production</t>
        </is>
      </c>
    </row>
    <row r="282" ht="26" customHeight="1">
      <c r="A282" s="13" t="inlineStr"/>
      <c r="B282" s="14" t="inlineStr"/>
      <c r="C282" s="14" t="inlineStr">
        <is>
          <t>Report figure (2024 report underlying data)</t>
        </is>
      </c>
      <c r="D282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</row>
    <row r="283" ht="26" customHeight="1">
      <c r="A283" s="55" t="inlineStr"/>
      <c r="B283" s="20" t="inlineStr"/>
      <c r="C283" s="20" t="inlineStr">
        <is>
          <t>apro_mt_pann B3100</t>
        </is>
      </c>
      <c r="D283" s="24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</row>
    <row r="284" ht="26" customHeight="1">
      <c r="A284" s="13" t="inlineStr"/>
      <c r="B284" s="14" t="inlineStr"/>
      <c r="C284" s="14" t="inlineStr">
        <is>
          <t>Unit conversion (× 0.001)</t>
        </is>
      </c>
      <c r="D284" s="18" t="inlineStr">
        <is>
          <t>Unit conversion applied to the source figure so it is expressed in Mt.</t>
        </is>
      </c>
    </row>
    <row r="285" ht="26" customHeight="1">
      <c r="A285" s="55" t="inlineStr">
        <is>
          <t>A4 (bovine, herd)</t>
        </is>
      </c>
      <c r="B285" s="20" t="inlineStr">
        <is>
          <t>Bovine meat: herd size (EU)</t>
        </is>
      </c>
      <c r="C285" s="20" t="inlineStr">
        <is>
          <t>Value</t>
        </is>
      </c>
      <c r="D285" s="24" t="inlineStr">
        <is>
          <t>EU GHG inventory (CRF) livestock populations; 2021+ Eurostat survey trend</t>
        </is>
      </c>
    </row>
    <row r="286" ht="26" customHeight="1">
      <c r="A286" s="13" t="inlineStr"/>
      <c r="B286" s="14" t="inlineStr"/>
      <c r="C286" s="14" t="inlineStr">
        <is>
          <t>Report figure (2024 report underlying data)</t>
        </is>
      </c>
      <c r="D286" s="18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</row>
    <row r="287" ht="26" customHeight="1">
      <c r="A287" s="55" t="inlineStr"/>
      <c r="B287" s="20" t="inlineStr"/>
      <c r="C287" s="20" t="inlineStr">
        <is>
          <t>apro_mt_lscatl A2000</t>
        </is>
      </c>
      <c r="D287" s="24" t="inlineStr">
        <is>
          <t>Eurostat apro_mt_lscatl · geo=EU27_2020, animals=A2000, month=M11_M12, unit=THS_HD · https://ec.europa.eu/eurostat/api/dissemination/statistics/1.0/data/apro_mt_lscatl?format=JSON&amp;lang=EN&amp;geo=EU27_2020&amp;animals=A2000&amp;month=M11_M12&amp;unit=THS_HD</t>
        </is>
      </c>
    </row>
    <row r="288" ht="26" customHeight="1">
      <c r="A288" s="13" t="inlineStr"/>
      <c r="B288" s="14" t="inlineStr"/>
      <c r="C288" s="14" t="inlineStr">
        <is>
          <t>Report baseline 2020 (million heads)</t>
        </is>
      </c>
      <c r="D288" s="18" t="inlineStr">
        <is>
          <t>ESABCC (2024) “Towards EU climate neutrality”, underlying-data workbook — the report's own 2020 figure, the anchor the later years are spliced onto.</t>
        </is>
      </c>
    </row>
    <row r="289" ht="26" customHeight="1">
      <c r="A289" s="55" t="inlineStr"/>
      <c r="B289" s="20" t="inlineStr"/>
      <c r="C289" s="20" t="inlineStr">
        <is>
          <t>Live source at 2020 (same basis as the columns left)</t>
        </is>
      </c>
      <c r="D289" s="24" t="inlineStr">
        <is>
          <t>Eurostat apro_mt_lscatl · live bovine animals (A2000), Nov–Dec survey · EU27_2020 — the same query, read at 2020; dividing by it cancels the level difference between the source's scope and the report's, leaving only the year-on-year change.</t>
        </is>
      </c>
    </row>
    <row r="290" ht="26" customHeight="1">
      <c r="A290" s="13" t="inlineStr">
        <is>
          <t>A4 (bovine, production)</t>
        </is>
      </c>
      <c r="B290" s="14" t="inlineStr">
        <is>
          <t>Bovine meat: production (EU)</t>
        </is>
      </c>
      <c r="C290" s="14" t="inlineStr">
        <is>
          <t>Value</t>
        </is>
      </c>
      <c r="D290" s="18" t="inlineStr">
        <is>
          <t>Eurostat/FAOSTAT food balances + livestock surveys</t>
        </is>
      </c>
    </row>
    <row r="291" ht="26" customHeight="1">
      <c r="A291" s="55" t="inlineStr"/>
      <c r="B291" s="20" t="inlineStr"/>
      <c r="C291" s="20" t="inlineStr">
        <is>
          <t>Report figure (2024 report underlying data)</t>
        </is>
      </c>
      <c r="D291" s="24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292" ht="26" customHeight="1">
      <c r="A292" s="13" t="inlineStr"/>
      <c r="B292" s="14" t="inlineStr"/>
      <c r="C292" s="14" t="inlineStr">
        <is>
          <t>apro_mt_pann B1000</t>
        </is>
      </c>
      <c r="D292" s="18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</row>
    <row r="293" ht="26" customHeight="1">
      <c r="A293" s="55" t="inlineStr"/>
      <c r="B293" s="20" t="inlineStr"/>
      <c r="C293" s="20" t="inlineStr">
        <is>
          <t>Unit conversion (× 0.001)</t>
        </is>
      </c>
      <c r="D293" s="24" t="inlineStr">
        <is>
          <t>Unit conversion applied to the source figure so it is expressed in Mt.</t>
        </is>
      </c>
    </row>
    <row r="294" ht="26" customHeight="1">
      <c r="A294" s="13" t="inlineStr">
        <is>
          <t>A4 (dairy, herd)</t>
        </is>
      </c>
      <c r="B294" s="14" t="inlineStr">
        <is>
          <t>Dairy products: herd size (EU)</t>
        </is>
      </c>
      <c r="C294" s="14" t="inlineStr">
        <is>
          <t>Value</t>
        </is>
      </c>
      <c r="D294" s="18" t="inlineStr">
        <is>
          <t>EU GHG inventory (CRF) livestock populations; 2021+ Eurostat survey trend</t>
        </is>
      </c>
    </row>
    <row r="295" ht="26" customHeight="1">
      <c r="A295" s="55" t="inlineStr"/>
      <c r="B295" s="20" t="inlineStr"/>
      <c r="C295" s="20" t="inlineStr">
        <is>
          <t>Report figure (2024 report underlying data)</t>
        </is>
      </c>
      <c r="D295" s="24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</row>
    <row r="296" ht="26" customHeight="1">
      <c r="A296" s="13" t="inlineStr"/>
      <c r="B296" s="14" t="inlineStr"/>
      <c r="C296" s="14" t="inlineStr">
        <is>
          <t>apro_mt_lscatl A2300F</t>
        </is>
      </c>
      <c r="D296" s="18" t="inlineStr">
        <is>
          <t>Eurostat apro_mt_lscatl · geo=EU27_2020, animals=A2300F, month=M11_M12, unit=THS_HD · https://ec.europa.eu/eurostat/api/dissemination/statistics/1.0/data/apro_mt_lscatl?format=JSON&amp;lang=EN&amp;geo=EU27_2020&amp;animals=A2300F&amp;month=M11_M12&amp;unit=THS_HD</t>
        </is>
      </c>
    </row>
    <row r="297" ht="26" customHeight="1">
      <c r="A297" s="55" t="inlineStr"/>
      <c r="B297" s="20" t="inlineStr"/>
      <c r="C297" s="20" t="inlineStr">
        <is>
          <t>Unit conversion (× 0.001)</t>
        </is>
      </c>
      <c r="D297" s="24" t="inlineStr">
        <is>
          <t>Unit conversion applied to the source figure so it is expressed in million heads.</t>
        </is>
      </c>
    </row>
    <row r="298" ht="26" customHeight="1">
      <c r="A298" s="13" t="inlineStr">
        <is>
          <t>A4 (dairy, production)</t>
        </is>
      </c>
      <c r="B298" s="14" t="inlineStr">
        <is>
          <t>Dairy products: production (EU)</t>
        </is>
      </c>
      <c r="C298" s="14" t="inlineStr">
        <is>
          <t>Value</t>
        </is>
      </c>
      <c r="D298" s="18" t="inlineStr">
        <is>
          <t>Eurostat/FAOSTAT food balances + livestock surveys</t>
        </is>
      </c>
    </row>
    <row r="299" ht="26" customHeight="1">
      <c r="A299" s="55" t="inlineStr"/>
      <c r="B299" s="20" t="inlineStr"/>
      <c r="C299" s="20" t="inlineStr">
        <is>
          <t>Report figure (2024 report underlying data)</t>
        </is>
      </c>
      <c r="D299" s="24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300" ht="26" customHeight="1">
      <c r="A300" s="13" t="inlineStr"/>
      <c r="B300" s="14" t="inlineStr"/>
      <c r="C300" s="14" t="inlineStr">
        <is>
          <t>apro_mk_farm D1100A</t>
        </is>
      </c>
      <c r="D300" s="18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</row>
    <row r="301" ht="26" customHeight="1">
      <c r="A301" s="55" t="inlineStr"/>
      <c r="B301" s="20" t="inlineStr"/>
      <c r="C301" s="20" t="inlineStr">
        <is>
          <t>Report baseline 2020 (Mt)</t>
        </is>
      </c>
      <c r="D301" s="24" t="inlineStr">
        <is>
          <t>ESABCC (2024) “Towards EU climate neutrality”, underlying-data workbook — the report's own 2020 figure, the anchor the later years are spliced onto.</t>
        </is>
      </c>
    </row>
    <row r="302" ht="26" customHeight="1">
      <c r="A302" s="13" t="inlineStr"/>
      <c r="B302" s="14" t="inlineStr"/>
      <c r="C302" s="14" t="inlineStr">
        <is>
          <t>Live source at 2020 (same basis as the columns left)</t>
        </is>
      </c>
      <c r="D302" s="18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</row>
    <row r="303" ht="26" customHeight="1">
      <c r="A303" s="55" t="inlineStr">
        <is>
          <t>A4 (pig, herd)</t>
        </is>
      </c>
      <c r="B303" s="20" t="inlineStr">
        <is>
          <t>Pig meat: herd size (EU)</t>
        </is>
      </c>
      <c r="C303" s="20" t="inlineStr">
        <is>
          <t>Value</t>
        </is>
      </c>
      <c r="D303" s="24" t="inlineStr">
        <is>
          <t>EU GHG inventory (CRF) livestock populations; 2021+ Eurostat apro_mt_lspig (swine) survey trend</t>
        </is>
      </c>
    </row>
    <row r="304" ht="26" customHeight="1">
      <c r="A304" s="13" t="inlineStr"/>
      <c r="B304" s="14" t="inlineStr"/>
      <c r="C304" s="14" t="inlineStr">
        <is>
          <t>Report figure (2024 report underlying data)</t>
        </is>
      </c>
      <c r="D304" s="18" t="inlineStr">
        <is>
          <t>ESABCC (2024) “Towards EU climate neutrality: Progress, policy gaps and opportunities”, underlying-data workbook — EU GHG inventory (CRF) livestock populations; 2021+ Eurostat apro_mt_lspig (swine) survey trend. The report carries this indicator as a published series, with no further breakdown.</t>
        </is>
      </c>
    </row>
    <row r="305" ht="26" customHeight="1">
      <c r="A305" s="55" t="inlineStr"/>
      <c r="B305" s="20" t="inlineStr"/>
      <c r="C305" s="20" t="inlineStr">
        <is>
          <t>apro_mt_lspig A3100</t>
        </is>
      </c>
      <c r="D305" s="24" t="inlineStr">
        <is>
          <t>Eurostat apro_mt_lspig · geo=EU27_2020, animals=A3100, month=M11_M12, unit=THS_HD · https://ec.europa.eu/eurostat/api/dissemination/statistics/1.0/data/apro_mt_lspig?format=JSON&amp;lang=EN&amp;geo=EU27_2020&amp;animals=A3100&amp;month=M11_M12&amp;unit=THS_HD</t>
        </is>
      </c>
    </row>
    <row r="306" ht="26" customHeight="1">
      <c r="A306" s="13" t="inlineStr"/>
      <c r="B306" s="14" t="inlineStr"/>
      <c r="C306" s="14" t="inlineStr">
        <is>
          <t>Report baseline 2020 (million heads)</t>
        </is>
      </c>
      <c r="D306" s="18" t="inlineStr">
        <is>
          <t>ESABCC (2024) “Towards EU climate neutrality”, underlying-data workbook — the report's own 2020 figure, the anchor the later years are spliced onto.</t>
        </is>
      </c>
    </row>
    <row r="307" ht="26" customHeight="1">
      <c r="A307" s="55" t="inlineStr"/>
      <c r="B307" s="20" t="inlineStr"/>
      <c r="C307" s="20" t="inlineStr">
        <is>
          <t>Live source at 2020 (same basis as the columns left)</t>
        </is>
      </c>
      <c r="D307" s="24" t="inlineStr">
        <is>
          <t>Eurostat apro_mt_lspig · live swine (A3100), Nov–Dec survey · EU27_2020 — the same query, read at 2020; dividing by it cancels the level difference between the source's scope and the report's, leaving only the year-on-year change.</t>
        </is>
      </c>
    </row>
    <row r="308" ht="26" customHeight="1">
      <c r="A308" s="13" t="inlineStr">
        <is>
          <t>A4 (pig, production)</t>
        </is>
      </c>
      <c r="B308" s="14" t="inlineStr">
        <is>
          <t>Pig meat: production (EU)</t>
        </is>
      </c>
      <c r="C308" s="14" t="inlineStr">
        <is>
          <t>Value</t>
        </is>
      </c>
      <c r="D308" s="18" t="inlineStr">
        <is>
          <t>Eurostat/FAOSTAT food balances + livestock surveys</t>
        </is>
      </c>
    </row>
    <row r="309" ht="26" customHeight="1">
      <c r="A309" s="55" t="inlineStr"/>
      <c r="B309" s="20" t="inlineStr"/>
      <c r="C309" s="20" t="inlineStr">
        <is>
          <t>Report figure (2024 report underlying data)</t>
        </is>
      </c>
      <c r="D309" s="24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310" ht="26" customHeight="1">
      <c r="A310" s="13" t="inlineStr"/>
      <c r="B310" s="14" t="inlineStr"/>
      <c r="C310" s="14" t="inlineStr">
        <is>
          <t>apro_mt_pann B3100</t>
        </is>
      </c>
      <c r="D310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</row>
    <row r="311" ht="26" customHeight="1">
      <c r="A311" s="55" t="inlineStr"/>
      <c r="B311" s="20" t="inlineStr"/>
      <c r="C311" s="20" t="inlineStr">
        <is>
          <t>Unit conversion (× 0.001)</t>
        </is>
      </c>
      <c r="D311" s="24" t="inlineStr">
        <is>
          <t>Unit conversion applied to the source figure so it is expressed in Mt.</t>
        </is>
      </c>
    </row>
    <row r="312" ht="26" customHeight="1">
      <c r="A312" s="13" t="inlineStr">
        <is>
          <t>A6</t>
        </is>
      </c>
      <c r="B312" s="14" t="inlineStr">
        <is>
          <t>Food waste per capita (EU)</t>
        </is>
      </c>
      <c r="C312" s="14" t="inlineStr">
        <is>
          <t>Value</t>
        </is>
      </c>
      <c r="D312" s="18" t="inlineStr">
        <is>
          <t>Eurostat (env_wasfw)</t>
        </is>
      </c>
    </row>
    <row r="313" ht="26" customHeight="1">
      <c r="A313" s="55" t="inlineStr"/>
      <c r="B313" s="20" t="inlineStr"/>
      <c r="C313" s="20" t="inlineStr">
        <is>
          <t>Report figure (2024 report underlying data)</t>
        </is>
      </c>
      <c r="D313" s="24" t="inlineStr">
        <is>
          <t>ESABCC (2024) “Towards EU climate neutrality: Progress, policy gaps and opportunities”, underlying-data workbook — Eurostat (env_wasfw). The report carries this indicator as a published series, with no further breakdown.</t>
        </is>
      </c>
    </row>
    <row r="314" ht="26" customHeight="1">
      <c r="A314" s="13" t="inlineStr"/>
      <c r="B314" s="14" t="inlineStr"/>
      <c r="C314" s="14" t="inlineStr">
        <is>
          <t>env_wasfw TOT</t>
        </is>
      </c>
      <c r="D314" s="18" t="inlineStr">
        <is>
          <t>Eurostat env_wasfw · geo=EU27_2020, nace_r2=TOT, unit=KG_HAB · https://ec.europa.eu/eurostat/api/dissemination/statistics/1.0/data/env_wasfw?format=JSON&amp;lang=EN&amp;geo=EU27_2020&amp;nace_r2=TOT&amp;unit=KG_HAB</t>
        </is>
      </c>
    </row>
    <row r="315" ht="26" customHeight="1">
      <c r="A315" s="55" t="inlineStr">
        <is>
          <t>L1</t>
        </is>
      </c>
      <c r="B315" s="20" t="inlineStr">
        <is>
          <t>LULUCF net GHG balance</t>
        </is>
      </c>
      <c r="C315" s="20" t="inlineStr">
        <is>
          <t>Value</t>
        </is>
      </c>
      <c r="D315" s="24" t="inlineStr">
        <is>
          <t>EEA GHG data viewer</t>
        </is>
      </c>
    </row>
    <row r="316" ht="26" customHeight="1">
      <c r="A316" s="13" t="inlineStr"/>
      <c r="B316" s="14" t="inlineStr"/>
      <c r="C316" s="14" t="inlineStr">
        <is>
          <t>4 - Land Use, Land-Use Change and Forestry</t>
        </is>
      </c>
      <c r="D316" s="18" t="inlineStr">
        <is>
          <t>EEA GHG data viewer</t>
        </is>
      </c>
    </row>
    <row r="317" ht="26" customHeight="1">
      <c r="A317" s="55" t="inlineStr"/>
      <c r="B317" s="20" t="inlineStr"/>
      <c r="C317" s="20" t="inlineStr">
        <is>
          <t>env_air_gge CRF4</t>
        </is>
      </c>
      <c r="D317" s="24" t="inlineStr">
        <is>
          <t>Eurostat env_air_gge · geo=EU27_2020, unit=MIO_T, freq=A, airpol=GHG, src_crf=CRF4 · https://ec.europa.eu/eurostat/api/dissemination/statistics/1.0/data/env_air_gge?format=JSON&amp;lang=EN&amp;geo=EU27_2020&amp;unit=MIO_T&amp;freq=A&amp;airpol=GHG&amp;src_crf=CRF4</t>
        </is>
      </c>
    </row>
    <row r="318" ht="26" customHeight="1">
      <c r="A318" s="13" t="inlineStr">
        <is>
          <t>L6</t>
        </is>
      </c>
      <c r="B318" s="14" t="inlineStr">
        <is>
          <t>Forest land living-biomass carbon sink</t>
        </is>
      </c>
      <c r="C318" s="14" t="inlineStr">
        <is>
          <t>Value</t>
        </is>
      </c>
      <c r="D318" s="18" t="inlineStr">
        <is>
          <t>EU GHG inventory CRF</t>
        </is>
      </c>
    </row>
    <row r="319" ht="26" customHeight="1">
      <c r="A319" s="55" t="inlineStr"/>
      <c r="B319" s="20" t="inlineStr"/>
      <c r="C319" s="20" t="inlineStr">
        <is>
          <t>Carbon stock gain in living biomass</t>
        </is>
      </c>
      <c r="D319" s="24" t="inlineStr">
        <is>
          <t>EU GHG inventory CRF</t>
        </is>
      </c>
    </row>
    <row r="320" ht="26" customHeight="1">
      <c r="A320" s="13" t="inlineStr"/>
      <c r="B320" s="14" t="inlineStr"/>
      <c r="C320" s="14" t="inlineStr">
        <is>
          <t>Carbon stock loss in living biomass</t>
        </is>
      </c>
      <c r="D320" s="18" t="inlineStr">
        <is>
          <t>EU GHG inventory CRF</t>
        </is>
      </c>
    </row>
    <row r="321" ht="26" customHeight="1">
      <c r="A321" s="55" t="inlineStr"/>
      <c r="B321" s="20" t="inlineStr"/>
      <c r="C321" s="20" t="inlineStr">
        <is>
          <t>env_air_gge CRF4A</t>
        </is>
      </c>
      <c r="D321" s="24" t="inlineStr">
        <is>
          <t>Eurostat env_air_gge · geo=EU27_2020, unit=MIO_T, freq=A, airpol=GHG, src_crf=CRF4A · https://ec.europa.eu/eurostat/api/dissemination/statistics/1.0/data/env_air_gge?format=JSON&amp;lang=EN&amp;geo=EU27_2020&amp;unit=MIO_T&amp;freq=A&amp;airpol=GHG&amp;src_crf=CRF4A</t>
        </is>
      </c>
    </row>
    <row r="322" ht="26" customHeight="1">
      <c r="A322" s="13" t="inlineStr"/>
      <c r="B322" s="14" t="inlineStr"/>
      <c r="C322" s="14" t="inlineStr">
        <is>
          <t>Report baseline 2021 (Mt CO₂eq)</t>
        </is>
      </c>
      <c r="D322" s="18" t="inlineStr">
        <is>
          <t>ESABCC (2024) “Towards EU climate neutrality”, underlying-data workbook — the report's own 2021 figure, the anchor the later years are spliced onto.</t>
        </is>
      </c>
    </row>
    <row r="323" ht="26" customHeight="1">
      <c r="A323" s="55" t="inlineStr"/>
      <c r="B323" s="20" t="inlineStr"/>
      <c r="C323" s="20" t="inlineStr">
        <is>
          <t>Live source at 2021 (same basis as the columns left)</t>
        </is>
      </c>
      <c r="D323" s="24" t="inlineStr">
        <is>
          <t>Eurostat env_air_gge · CRF 4.A forest land · EU27_2020 — the same query, read at 2021; dividing by it cancels the level difference between the source's scope and the report's, leaving only the year-on-year change.</t>
        </is>
      </c>
    </row>
    <row r="324" ht="26" customHeight="1">
      <c r="A324" s="13" t="inlineStr">
        <is>
          <t>L7</t>
        </is>
      </c>
      <c r="B324" s="14" t="inlineStr">
        <is>
          <t>Non-forest LULUCF net GHG emissions</t>
        </is>
      </c>
      <c r="C324" s="14" t="inlineStr">
        <is>
          <t>Value</t>
        </is>
      </c>
      <c r="D324" s="18" t="inlineStr">
        <is>
          <t>EEA GHG data viewer</t>
        </is>
      </c>
    </row>
    <row r="325" ht="26" customHeight="1">
      <c r="A325" s="55" t="inlineStr"/>
      <c r="B325" s="20" t="inlineStr"/>
      <c r="C325" s="20" t="inlineStr">
        <is>
          <t>4.B - Cropland</t>
        </is>
      </c>
      <c r="D325" s="24" t="inlineStr">
        <is>
          <t>EEA GHG data viewer</t>
        </is>
      </c>
    </row>
    <row r="326" ht="26" customHeight="1">
      <c r="A326" s="13" t="inlineStr"/>
      <c r="B326" s="14" t="inlineStr"/>
      <c r="C326" s="14" t="inlineStr">
        <is>
          <t>4.C - Grassland</t>
        </is>
      </c>
      <c r="D326" s="18" t="inlineStr">
        <is>
          <t>EEA GHG data viewer</t>
        </is>
      </c>
    </row>
    <row r="327" ht="26" customHeight="1">
      <c r="A327" s="55" t="inlineStr"/>
      <c r="B327" s="20" t="inlineStr"/>
      <c r="C327" s="20" t="inlineStr">
        <is>
          <t>4.D - Wetlands</t>
        </is>
      </c>
      <c r="D327" s="24" t="inlineStr">
        <is>
          <t>EEA GHG data viewer</t>
        </is>
      </c>
    </row>
    <row r="328" ht="26" customHeight="1">
      <c r="A328" s="13" t="inlineStr"/>
      <c r="B328" s="14" t="inlineStr"/>
      <c r="C328" s="14" t="inlineStr">
        <is>
          <t>4.E - Settlements</t>
        </is>
      </c>
      <c r="D328" s="18" t="inlineStr">
        <is>
          <t>EEA GHG data viewer</t>
        </is>
      </c>
    </row>
    <row r="329" ht="26" customHeight="1">
      <c r="A329" s="55" t="inlineStr"/>
      <c r="B329" s="20" t="inlineStr"/>
      <c r="C329" s="20" t="inlineStr">
        <is>
          <t>4.F - Other Land</t>
        </is>
      </c>
      <c r="D329" s="24" t="inlineStr">
        <is>
          <t>EEA GHG data viewer</t>
        </is>
      </c>
    </row>
    <row r="330" ht="26" customHeight="1">
      <c r="A330" s="13" t="inlineStr"/>
      <c r="B330" s="14" t="inlineStr"/>
      <c r="C330" s="14" t="inlineStr">
        <is>
          <t>4.H - Other LULUCF</t>
        </is>
      </c>
      <c r="D330" s="18" t="inlineStr">
        <is>
          <t>EEA GHG data viewer</t>
        </is>
      </c>
    </row>
    <row r="331" ht="26" customHeight="1">
      <c r="A331" s="55" t="inlineStr"/>
      <c r="B331" s="20" t="inlineStr"/>
      <c r="C331" s="20" t="inlineStr">
        <is>
          <t>env_air_gge CRF4B</t>
        </is>
      </c>
      <c r="D331" s="24" t="inlineStr">
        <is>
          <t>Eurostat env_air_gge · geo=EU27_2020, unit=MIO_T, freq=A, airpol=GHG, src_crf=CRF4B · https://ec.europa.eu/eurostat/api/dissemination/statistics/1.0/data/env_air_gge?format=JSON&amp;lang=EN&amp;geo=EU27_2020&amp;unit=MIO_T&amp;freq=A&amp;airpol=GHG&amp;src_crf=CRF4B</t>
        </is>
      </c>
    </row>
    <row r="332" ht="26" customHeight="1">
      <c r="A332" s="13" t="inlineStr"/>
      <c r="B332" s="14" t="inlineStr"/>
      <c r="C332" s="14" t="inlineStr">
        <is>
          <t>env_air_gge CRF4C</t>
        </is>
      </c>
      <c r="D332" s="18" t="inlineStr">
        <is>
          <t>Eurostat env_air_gge · geo=EU27_2020, unit=MIO_T, freq=A, airpol=GHG, src_crf=CRF4C · https://ec.europa.eu/eurostat/api/dissemination/statistics/1.0/data/env_air_gge?format=JSON&amp;lang=EN&amp;geo=EU27_2020&amp;unit=MIO_T&amp;freq=A&amp;airpol=GHG&amp;src_crf=CRF4C</t>
        </is>
      </c>
    </row>
    <row r="333" ht="26" customHeight="1">
      <c r="A333" s="55" t="inlineStr"/>
      <c r="B333" s="20" t="inlineStr"/>
      <c r="C333" s="20" t="inlineStr">
        <is>
          <t>env_air_gge CRF4D</t>
        </is>
      </c>
      <c r="D333" s="24" t="inlineStr">
        <is>
          <t>Eurostat env_air_gge · geo=EU27_2020, unit=MIO_T, freq=A, airpol=GHG, src_crf=CRF4D · https://ec.europa.eu/eurostat/api/dissemination/statistics/1.0/data/env_air_gge?format=JSON&amp;lang=EN&amp;geo=EU27_2020&amp;unit=MIO_T&amp;freq=A&amp;airpol=GHG&amp;src_crf=CRF4D</t>
        </is>
      </c>
    </row>
    <row r="334" ht="26" customHeight="1">
      <c r="A334" s="13" t="inlineStr"/>
      <c r="B334" s="14" t="inlineStr"/>
      <c r="C334" s="14" t="inlineStr">
        <is>
          <t>env_air_gge CRF4E</t>
        </is>
      </c>
      <c r="D334" s="18" t="inlineStr">
        <is>
          <t>Eurostat env_air_gge · geo=EU27_2020, unit=MIO_T, freq=A, airpol=GHG, src_crf=CRF4E · https://ec.europa.eu/eurostat/api/dissemination/statistics/1.0/data/env_air_gge?format=JSON&amp;lang=EN&amp;geo=EU27_2020&amp;unit=MIO_T&amp;freq=A&amp;airpol=GHG&amp;src_crf=CRF4E</t>
        </is>
      </c>
    </row>
    <row r="335" ht="26" customHeight="1">
      <c r="A335" s="55" t="inlineStr"/>
      <c r="B335" s="20" t="inlineStr"/>
      <c r="C335" s="20" t="inlineStr">
        <is>
          <t>env_air_gge CRF4F</t>
        </is>
      </c>
      <c r="D335" s="24" t="inlineStr">
        <is>
          <t>Eurostat env_air_gge · geo=EU27_2020, unit=MIO_T, freq=A, airpol=GHG, src_crf=CRF4F · https://ec.europa.eu/eurostat/api/dissemination/statistics/1.0/data/env_air_gge?format=JSON&amp;lang=EN&amp;geo=EU27_2020&amp;unit=MIO_T&amp;freq=A&amp;airpol=GHG&amp;src_crf=CRF4F</t>
        </is>
      </c>
    </row>
    <row r="336" ht="26" customHeight="1">
      <c r="A336" s="13" t="inlineStr">
        <is>
          <t>L8</t>
        </is>
      </c>
      <c r="B336" s="14" t="inlineStr">
        <is>
          <t>Total bioenergy use (EU-27)</t>
        </is>
      </c>
      <c r="C336" s="14" t="inlineStr">
        <is>
          <t>Value</t>
        </is>
      </c>
      <c r="D336" s="18" t="inlineStr">
        <is>
          <t>Eurostat energy balance</t>
        </is>
      </c>
    </row>
    <row r="337" ht="26" customHeight="1">
      <c r="A337" s="55" t="inlineStr"/>
      <c r="B337" s="20" t="inlineStr"/>
      <c r="C337" s="20" t="inlineStr">
        <is>
          <t>Power and heat: Primary solid biofuels</t>
        </is>
      </c>
      <c r="D337" s="24" t="inlineStr">
        <is>
          <t>energy balance</t>
        </is>
      </c>
    </row>
    <row r="338" ht="26" customHeight="1">
      <c r="A338" s="13" t="inlineStr"/>
      <c r="B338" s="14" t="inlineStr"/>
      <c r="C338" s="14" t="inlineStr">
        <is>
          <t>Power and heat: Charcoal</t>
        </is>
      </c>
      <c r="D338" s="18" t="inlineStr">
        <is>
          <t>energy balance</t>
        </is>
      </c>
    </row>
    <row r="339" ht="26" customHeight="1">
      <c r="A339" s="55" t="inlineStr"/>
      <c r="B339" s="20" t="inlineStr"/>
      <c r="C339" s="20" t="inlineStr">
        <is>
          <t>Power and heat: Pure biogasoline</t>
        </is>
      </c>
      <c r="D339" s="24" t="inlineStr">
        <is>
          <t>energy balance</t>
        </is>
      </c>
    </row>
    <row r="340" ht="26" customHeight="1">
      <c r="A340" s="13" t="inlineStr"/>
      <c r="B340" s="14" t="inlineStr"/>
      <c r="C340" s="14" t="inlineStr">
        <is>
          <t>Power and heat: Blended biogasoline</t>
        </is>
      </c>
      <c r="D340" s="18" t="inlineStr">
        <is>
          <t>energy balance</t>
        </is>
      </c>
    </row>
    <row r="341" ht="26" customHeight="1">
      <c r="A341" s="55" t="inlineStr"/>
      <c r="B341" s="20" t="inlineStr"/>
      <c r="C341" s="20" t="inlineStr">
        <is>
          <t>Power and heat: Pure biodiesels</t>
        </is>
      </c>
      <c r="D341" s="24" t="inlineStr">
        <is>
          <t>energy balance</t>
        </is>
      </c>
    </row>
    <row r="342" ht="26" customHeight="1">
      <c r="A342" s="13" t="inlineStr"/>
      <c r="B342" s="14" t="inlineStr"/>
      <c r="C342" s="14" t="inlineStr">
        <is>
          <t>Power and heat: Blended biodiesels</t>
        </is>
      </c>
      <c r="D342" s="18" t="inlineStr">
        <is>
          <t>energy balance</t>
        </is>
      </c>
    </row>
    <row r="343" ht="26" customHeight="1">
      <c r="A343" s="55" t="inlineStr"/>
      <c r="B343" s="20" t="inlineStr"/>
      <c r="C343" s="20" t="inlineStr">
        <is>
          <t>Power and heat: Pure bio jet kerosene</t>
        </is>
      </c>
      <c r="D343" s="24" t="inlineStr">
        <is>
          <t>energy balance</t>
        </is>
      </c>
    </row>
    <row r="344" ht="26" customHeight="1">
      <c r="A344" s="13" t="inlineStr"/>
      <c r="B344" s="14" t="inlineStr"/>
      <c r="C344" s="14" t="inlineStr">
        <is>
          <t>Power and heat: Blended bio jet kerosene</t>
        </is>
      </c>
      <c r="D344" s="18" t="inlineStr">
        <is>
          <t>energy balance</t>
        </is>
      </c>
    </row>
    <row r="345" ht="26" customHeight="1">
      <c r="A345" s="55" t="inlineStr"/>
      <c r="B345" s="20" t="inlineStr"/>
      <c r="C345" s="20" t="inlineStr">
        <is>
          <t>Power and heat: Other liquid biofuels</t>
        </is>
      </c>
      <c r="D345" s="24" t="inlineStr">
        <is>
          <t>energy balance</t>
        </is>
      </c>
    </row>
    <row r="346" ht="26" customHeight="1">
      <c r="A346" s="13" t="inlineStr"/>
      <c r="B346" s="14" t="inlineStr"/>
      <c r="C346" s="14" t="inlineStr">
        <is>
          <t>Power and heat: Biogases</t>
        </is>
      </c>
      <c r="D346" s="18" t="inlineStr">
        <is>
          <t>energy balance</t>
        </is>
      </c>
    </row>
    <row r="347" ht="26" customHeight="1">
      <c r="A347" s="55" t="inlineStr"/>
      <c r="B347" s="20" t="inlineStr"/>
      <c r="C347" s="20" t="inlineStr">
        <is>
          <t>Industry: Primary solid biofuels</t>
        </is>
      </c>
      <c r="D347" s="24" t="inlineStr">
        <is>
          <t>energy balance</t>
        </is>
      </c>
    </row>
    <row r="348" ht="26" customHeight="1">
      <c r="A348" s="13" t="inlineStr"/>
      <c r="B348" s="14" t="inlineStr"/>
      <c r="C348" s="14" t="inlineStr">
        <is>
          <t>Industry: Charcoal</t>
        </is>
      </c>
      <c r="D348" s="18" t="inlineStr">
        <is>
          <t>energy balance</t>
        </is>
      </c>
    </row>
    <row r="349" ht="26" customHeight="1">
      <c r="A349" s="55" t="inlineStr"/>
      <c r="B349" s="20" t="inlineStr"/>
      <c r="C349" s="20" t="inlineStr">
        <is>
          <t>Industry: Pure biogasoline</t>
        </is>
      </c>
      <c r="D349" s="24" t="inlineStr">
        <is>
          <t>energy balance</t>
        </is>
      </c>
    </row>
    <row r="350" ht="26" customHeight="1">
      <c r="A350" s="13" t="inlineStr"/>
      <c r="B350" s="14" t="inlineStr"/>
      <c r="C350" s="14" t="inlineStr">
        <is>
          <t>Industry: Blended biogasoline</t>
        </is>
      </c>
      <c r="D350" s="18" t="inlineStr">
        <is>
          <t>energy balance</t>
        </is>
      </c>
    </row>
    <row r="351" ht="26" customHeight="1">
      <c r="A351" s="55" t="inlineStr"/>
      <c r="B351" s="20" t="inlineStr"/>
      <c r="C351" s="20" t="inlineStr">
        <is>
          <t>Industry: Pure biodiesels</t>
        </is>
      </c>
      <c r="D351" s="24" t="inlineStr">
        <is>
          <t>energy balance</t>
        </is>
      </c>
    </row>
    <row r="352" ht="26" customHeight="1">
      <c r="A352" s="13" t="inlineStr"/>
      <c r="B352" s="14" t="inlineStr"/>
      <c r="C352" s="14" t="inlineStr">
        <is>
          <t>Industry: Blended biodiesels</t>
        </is>
      </c>
      <c r="D352" s="18" t="inlineStr">
        <is>
          <t>energy balance</t>
        </is>
      </c>
    </row>
    <row r="353" ht="26" customHeight="1">
      <c r="A353" s="55" t="inlineStr"/>
      <c r="B353" s="20" t="inlineStr"/>
      <c r="C353" s="20" t="inlineStr">
        <is>
          <t>Industry: Pure bio jet kerosene</t>
        </is>
      </c>
      <c r="D353" s="24" t="inlineStr">
        <is>
          <t>energy balance</t>
        </is>
      </c>
    </row>
    <row r="354" ht="26" customHeight="1">
      <c r="A354" s="13" t="inlineStr"/>
      <c r="B354" s="14" t="inlineStr"/>
      <c r="C354" s="14" t="inlineStr">
        <is>
          <t>Industry: Blended bio jet kerosene</t>
        </is>
      </c>
      <c r="D354" s="18" t="inlineStr">
        <is>
          <t>energy balance</t>
        </is>
      </c>
    </row>
    <row r="355" ht="26" customHeight="1">
      <c r="A355" s="55" t="inlineStr"/>
      <c r="B355" s="20" t="inlineStr"/>
      <c r="C355" s="20" t="inlineStr">
        <is>
          <t>Industry: Other liquid biofuels</t>
        </is>
      </c>
      <c r="D355" s="24" t="inlineStr">
        <is>
          <t>energy balance</t>
        </is>
      </c>
    </row>
    <row r="356" ht="26" customHeight="1">
      <c r="A356" s="13" t="inlineStr"/>
      <c r="B356" s="14" t="inlineStr"/>
      <c r="C356" s="14" t="inlineStr">
        <is>
          <t>Industry: Biogases</t>
        </is>
      </c>
      <c r="D356" s="18" t="inlineStr">
        <is>
          <t>energy balance</t>
        </is>
      </c>
    </row>
    <row r="357" ht="26" customHeight="1">
      <c r="A357" s="55" t="inlineStr"/>
      <c r="B357" s="20" t="inlineStr"/>
      <c r="C357" s="20" t="inlineStr">
        <is>
          <t>Transport: Primary solid biofuels</t>
        </is>
      </c>
      <c r="D357" s="24" t="inlineStr">
        <is>
          <t>energy balance</t>
        </is>
      </c>
    </row>
    <row r="358" ht="26" customHeight="1">
      <c r="A358" s="13" t="inlineStr"/>
      <c r="B358" s="14" t="inlineStr"/>
      <c r="C358" s="14" t="inlineStr">
        <is>
          <t>Transport: Charcoal</t>
        </is>
      </c>
      <c r="D358" s="18" t="inlineStr">
        <is>
          <t>energy balance</t>
        </is>
      </c>
    </row>
    <row r="359" ht="26" customHeight="1">
      <c r="A359" s="55" t="inlineStr"/>
      <c r="B359" s="20" t="inlineStr"/>
      <c r="C359" s="20" t="inlineStr">
        <is>
          <t>Transport: Pure biogasoline</t>
        </is>
      </c>
      <c r="D359" s="24" t="inlineStr">
        <is>
          <t>energy balance</t>
        </is>
      </c>
    </row>
    <row r="360" ht="26" customHeight="1">
      <c r="A360" s="13" t="inlineStr"/>
      <c r="B360" s="14" t="inlineStr"/>
      <c r="C360" s="14" t="inlineStr">
        <is>
          <t>Transport: Blended biogasoline</t>
        </is>
      </c>
      <c r="D360" s="18" t="inlineStr">
        <is>
          <t>energy balance</t>
        </is>
      </c>
    </row>
    <row r="361" ht="26" customHeight="1">
      <c r="A361" s="55" t="inlineStr"/>
      <c r="B361" s="20" t="inlineStr"/>
      <c r="C361" s="20" t="inlineStr">
        <is>
          <t>Transport: Pure biodiesels</t>
        </is>
      </c>
      <c r="D361" s="24" t="inlineStr">
        <is>
          <t>energy balance</t>
        </is>
      </c>
    </row>
    <row r="362" ht="26" customHeight="1">
      <c r="A362" s="13" t="inlineStr"/>
      <c r="B362" s="14" t="inlineStr"/>
      <c r="C362" s="14" t="inlineStr">
        <is>
          <t>Transport: Blended biodiesels</t>
        </is>
      </c>
      <c r="D362" s="18" t="inlineStr">
        <is>
          <t>energy balance</t>
        </is>
      </c>
    </row>
    <row r="363" ht="26" customHeight="1">
      <c r="A363" s="55" t="inlineStr"/>
      <c r="B363" s="20" t="inlineStr"/>
      <c r="C363" s="20" t="inlineStr">
        <is>
          <t>Transport: Pure bio jet kerosene</t>
        </is>
      </c>
      <c r="D363" s="24" t="inlineStr">
        <is>
          <t>energy balance</t>
        </is>
      </c>
    </row>
    <row r="364" ht="26" customHeight="1">
      <c r="A364" s="13" t="inlineStr"/>
      <c r="B364" s="14" t="inlineStr"/>
      <c r="C364" s="14" t="inlineStr">
        <is>
          <t>Transport: Blended bio jet kerosene</t>
        </is>
      </c>
      <c r="D364" s="18" t="inlineStr">
        <is>
          <t>energy balance</t>
        </is>
      </c>
    </row>
    <row r="365" ht="26" customHeight="1">
      <c r="A365" s="55" t="inlineStr"/>
      <c r="B365" s="20" t="inlineStr"/>
      <c r="C365" s="20" t="inlineStr">
        <is>
          <t>Transport: Other liquid biofuels</t>
        </is>
      </c>
      <c r="D365" s="24" t="inlineStr">
        <is>
          <t>energy balance</t>
        </is>
      </c>
    </row>
    <row r="366" ht="26" customHeight="1">
      <c r="A366" s="13" t="inlineStr"/>
      <c r="B366" s="14" t="inlineStr"/>
      <c r="C366" s="14" t="inlineStr">
        <is>
          <t>Transport: Biogases</t>
        </is>
      </c>
      <c r="D366" s="18" t="inlineStr">
        <is>
          <t>energy balance</t>
        </is>
      </c>
    </row>
    <row r="367" ht="26" customHeight="1">
      <c r="A367" s="55" t="inlineStr"/>
      <c r="B367" s="20" t="inlineStr"/>
      <c r="C367" s="20" t="inlineStr">
        <is>
          <t>Other sectors: Primary solid biofuels</t>
        </is>
      </c>
      <c r="D367" s="24" t="inlineStr">
        <is>
          <t>energy balance</t>
        </is>
      </c>
    </row>
    <row r="368" ht="26" customHeight="1">
      <c r="A368" s="13" t="inlineStr"/>
      <c r="B368" s="14" t="inlineStr"/>
      <c r="C368" s="14" t="inlineStr">
        <is>
          <t>Other sectors: Charcoal</t>
        </is>
      </c>
      <c r="D368" s="18" t="inlineStr">
        <is>
          <t>energy balance</t>
        </is>
      </c>
    </row>
    <row r="369" ht="26" customHeight="1">
      <c r="A369" s="55" t="inlineStr"/>
      <c r="B369" s="20" t="inlineStr"/>
      <c r="C369" s="20" t="inlineStr">
        <is>
          <t>Other sectors: Pure biogasoline</t>
        </is>
      </c>
      <c r="D369" s="24" t="inlineStr">
        <is>
          <t>energy balance</t>
        </is>
      </c>
    </row>
    <row r="370" ht="26" customHeight="1">
      <c r="A370" s="13" t="inlineStr"/>
      <c r="B370" s="14" t="inlineStr"/>
      <c r="C370" s="14" t="inlineStr">
        <is>
          <t>Other sectors: Blended biogasoline</t>
        </is>
      </c>
      <c r="D370" s="18" t="inlineStr">
        <is>
          <t>energy balance</t>
        </is>
      </c>
    </row>
    <row r="371" ht="26" customHeight="1">
      <c r="A371" s="55" t="inlineStr"/>
      <c r="B371" s="20" t="inlineStr"/>
      <c r="C371" s="20" t="inlineStr">
        <is>
          <t>Other sectors: Pure biodiesels</t>
        </is>
      </c>
      <c r="D371" s="24" t="inlineStr">
        <is>
          <t>energy balance</t>
        </is>
      </c>
    </row>
    <row r="372" ht="26" customHeight="1">
      <c r="A372" s="13" t="inlineStr"/>
      <c r="B372" s="14" t="inlineStr"/>
      <c r="C372" s="14" t="inlineStr">
        <is>
          <t>Other sectors: Blended biodiesels</t>
        </is>
      </c>
      <c r="D372" s="18" t="inlineStr">
        <is>
          <t>energy balance</t>
        </is>
      </c>
    </row>
    <row r="373" ht="26" customHeight="1">
      <c r="A373" s="55" t="inlineStr"/>
      <c r="B373" s="20" t="inlineStr"/>
      <c r="C373" s="20" t="inlineStr">
        <is>
          <t>Other sectors: Pure bio jet kerosene</t>
        </is>
      </c>
      <c r="D373" s="24" t="inlineStr">
        <is>
          <t>energy balance</t>
        </is>
      </c>
    </row>
    <row r="374" ht="26" customHeight="1">
      <c r="A374" s="13" t="inlineStr"/>
      <c r="B374" s="14" t="inlineStr"/>
      <c r="C374" s="14" t="inlineStr">
        <is>
          <t>Other sectors: Blended bio jet kerosene</t>
        </is>
      </c>
      <c r="D374" s="18" t="inlineStr">
        <is>
          <t>energy balance</t>
        </is>
      </c>
    </row>
    <row r="375" ht="26" customHeight="1">
      <c r="A375" s="55" t="inlineStr"/>
      <c r="B375" s="20" t="inlineStr"/>
      <c r="C375" s="20" t="inlineStr">
        <is>
          <t>Other sectors: Other liquid biofuels</t>
        </is>
      </c>
      <c r="D375" s="24" t="inlineStr">
        <is>
          <t>energy balance</t>
        </is>
      </c>
    </row>
    <row r="376" ht="26" customHeight="1">
      <c r="A376" s="13" t="inlineStr"/>
      <c r="B376" s="14" t="inlineStr"/>
      <c r="C376" s="14" t="inlineStr">
        <is>
          <t>Other sectors: Biogases</t>
        </is>
      </c>
      <c r="D376" s="18" t="inlineStr">
        <is>
          <t>energy balance</t>
        </is>
      </c>
    </row>
    <row r="377" ht="26" customHeight="1">
      <c r="A377" s="55" t="inlineStr"/>
      <c r="B377" s="20" t="inlineStr"/>
      <c r="C377" s="20" t="inlineStr">
        <is>
          <t>nrg_bal_c BIOE</t>
        </is>
      </c>
      <c r="D377" s="24" t="inlineStr">
        <is>
          <t>Eurostat nrg_bal_c · geo=EU27_2020, unit=GWH, freq=A, nrg_bal=GIC, siec=BIOE · https://ec.europa.eu/eurostat/api/dissemination/statistics/1.0/data/nrg_bal_c?format=JSON&amp;lang=EN&amp;geo=EU27_2020&amp;unit=GWH&amp;freq=A&amp;nrg_bal=GIC&amp;siec=BIOE</t>
        </is>
      </c>
    </row>
    <row r="378" ht="26" customHeight="1">
      <c r="A378" s="13" t="inlineStr"/>
      <c r="B378" s="14" t="inlineStr"/>
      <c r="C378" s="14" t="inlineStr">
        <is>
          <t>Unit conversion (× 0.001)</t>
        </is>
      </c>
      <c r="D378" s="18" t="inlineStr">
        <is>
          <t>Unit conversion applied to the source figure so it is expressed in TWh.</t>
        </is>
      </c>
    </row>
    <row r="379" ht="26" customHeight="1">
      <c r="A379" s="55" t="inlineStr">
        <is>
          <t>F1</t>
        </is>
      </c>
      <c r="B379" s="20" t="inlineStr">
        <is>
          <t>EU fossil-fuel subsidies (FFST)</t>
        </is>
      </c>
      <c r="C379" s="20" t="inlineStr">
        <is>
          <t>Value</t>
        </is>
      </c>
      <c r="D379" s="24" t="inlineStr">
        <is>
          <t>Fossil Fuel Subsidy Tracker; 2023: EC Report on Energy Subsidies in the EU (COM(2025)17)</t>
        </is>
      </c>
    </row>
    <row r="380" ht="26" customHeight="1">
      <c r="A380" s="13" t="inlineStr"/>
      <c r="B380" s="14" t="inlineStr"/>
      <c r="C380" s="14" t="inlineStr">
        <is>
          <t>Report figure (2024 report underlying data)</t>
        </is>
      </c>
      <c r="D380" s="18" t="inlineStr">
        <is>
          <t>ESABCC (2024) “Towards EU climate neutrality: Progress, policy gaps and opportunities”, underlying-data workbook — Fossil Fuel Subsidy Tracker; 2023: EC Report on Energy Subsidies in the EU (COM(2025)17). The report carries this indicator as a published series, with no further breakdown.</t>
        </is>
      </c>
    </row>
    <row r="381" ht="26" customHeight="1">
      <c r="A381" s="55" t="inlineStr">
        <is>
          <t>F2 (share)</t>
        </is>
      </c>
      <c r="B381" s="20" t="inlineStr">
        <is>
          <t>Green share of EU bond issuance</t>
        </is>
      </c>
      <c r="C381" s="20" t="inlineStr">
        <is>
          <t>Value</t>
        </is>
      </c>
      <c r="D381" s="24" t="inlineStr">
        <is>
          <t>BloombergNEF; 2023+ EEA "Green bonds in Europe" (LSEG/Refinitiv)</t>
        </is>
      </c>
    </row>
    <row r="382" ht="26" customHeight="1">
      <c r="A382" s="13" t="inlineStr"/>
      <c r="B382" s="14" t="inlineStr"/>
      <c r="C382" s="14" t="inlineStr">
        <is>
          <t>Report figure (2024 report underlying data)</t>
        </is>
      </c>
      <c r="D382" s="18" t="inlineStr">
        <is>
          <t>ESABCC (2024) “Towards EU climate neutrality: Progress, policy gaps and opportunities”, underlying-data workbook — BloombergNEF; 2023+ EEA "Green bonds in Europe" (LSEG/Refinitiv). The report carries this indicator as a published series, with no further breakdown.</t>
        </is>
      </c>
    </row>
    <row r="383" ht="26" customHeight="1">
      <c r="A383" s="55" t="inlineStr">
        <is>
          <t>F3</t>
        </is>
      </c>
      <c r="B383" s="20" t="inlineStr">
        <is>
          <t>EU R&amp;D expenditure (GERD)</t>
        </is>
      </c>
      <c r="C383" s="20" t="inlineStr">
        <is>
          <t>Value</t>
        </is>
      </c>
      <c r="D383" s="24" t="inlineStr">
        <is>
          <t>Eurostat (rd_e_gerdtot)</t>
        </is>
      </c>
    </row>
    <row r="384" ht="26" customHeight="1">
      <c r="A384" s="13" t="inlineStr"/>
      <c r="B384" s="14" t="inlineStr"/>
      <c r="C384" s="14" t="inlineStr">
        <is>
          <t>Report figure (2024 report underlying data)</t>
        </is>
      </c>
      <c r="D384" s="18" t="inlineStr">
        <is>
          <t>ESABCC (2024) “Towards EU climate neutrality: Progress, policy gaps and opportunities”, underlying-data workbook — Eurostat (rd_e_gerdtot). The report carries this indicator as a published series, with no further breakdown.</t>
        </is>
      </c>
    </row>
    <row r="385" ht="26" customHeight="1">
      <c r="A385" s="55" t="inlineStr"/>
      <c r="B385" s="20" t="inlineStr"/>
      <c r="C385" s="20" t="inlineStr">
        <is>
          <t>rd_e_gerdtot TOTAL</t>
        </is>
      </c>
      <c r="D385" s="24" t="inlineStr">
        <is>
          <t>Eurostat rd_e_gerdtot · geo=EU27_2020, sectperf=TOTAL, unit=PC_GDP · https://ec.europa.eu/eurostat/api/dissemination/statistics/1.0/data/rd_e_gerdtot?format=JSON&amp;lang=EN&amp;geo=EU27_2020&amp;sectperf=TOTAL&amp;unit=PC_GDP</t>
        </is>
      </c>
    </row>
    <row r="386" ht="26" customHeight="1">
      <c r="A386" s="13" t="inlineStr">
        <is>
          <t>F5</t>
        </is>
      </c>
      <c r="B386" s="14" t="inlineStr">
        <is>
          <t>Cleantech venture &amp; growth investment in the EU</t>
        </is>
      </c>
      <c r="C386" s="14" t="inlineStr">
        <is>
          <t>Value</t>
        </is>
      </c>
      <c r="D386" s="18" t="inlineStr">
        <is>
          <t>Cleantech for Europe</t>
        </is>
      </c>
    </row>
    <row r="387" ht="26" customHeight="1">
      <c r="A387" s="55" t="inlineStr"/>
      <c r="B387" s="20" t="inlineStr"/>
      <c r="C387" s="20" t="inlineStr">
        <is>
          <t>Report figure (2024 report underlying data)</t>
        </is>
      </c>
      <c r="D387" s="24" t="inlineStr">
        <is>
          <t>ESABCC (2024) “Towards EU climate neutrality: Progress, policy gaps and opportunities”, underlying-data workbook — Cleantech for Europe. The report carries this indicator as a published series, with no further breakdown.</t>
        </is>
      </c>
    </row>
  </sheetData>
  <autoFilter ref="A1:D3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ESABCC Method Hub</dc:creator>
  <dc:title xmlns:dc="http://purl.org/dc/elements/1.1/">ESABCC report indicators — old figures, new data, and the derivations</dc:title>
  <dcterms:created xmlns:dcterms="http://purl.org/dc/terms/" xmlns:xsi="http://www.w3.org/2001/XMLSchema-instance" xsi:type="dcterms:W3CDTF">2026-07-27T18:38:23Z</dcterms:created>
  <dcterms:modified xmlns:dcterms="http://purl.org/dc/terms/" xmlns:xsi="http://www.w3.org/2001/XMLSchema-instance" xsi:type="dcterms:W3CDTF">2026-07-27T18:38:24Z</dcterms:modified>
</cp:coreProperties>
</file>