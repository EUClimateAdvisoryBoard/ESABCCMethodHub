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one big figure" sheetId="1" state="visible" r:id="rId1"/>
  </sheets>
  <definedNames>
    <definedName name="_xlnm._FilterDatabase" localSheetId="0" hidden="1">'The one big figure'!$A$5:$K$57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17">
    <font>
      <name val="Calibri"/>
      <family val="2"/>
      <color theme="1"/>
      <sz val="11"/>
      <scheme val="minor"/>
    </font>
    <font>
      <name val="Segoe UI Semibold"/>
      <b val="1"/>
      <color rgb="004D7E83"/>
      <sz val="18"/>
    </font>
    <font>
      <name val="Segoe UI Semilight"/>
      <color rgb="004D7E83"/>
      <sz val="11"/>
    </font>
    <font>
      <name val="Segoe UI Semilight"/>
      <color rgb="006E7A7B"/>
      <sz val="8"/>
    </font>
    <font>
      <name val="Segoe UI Semibold"/>
      <color rgb="00FFFFFF"/>
      <sz val="9"/>
    </font>
    <font>
      <name val="Segoe UI"/>
      <color rgb="002C2D2D"/>
      <sz val="9"/>
    </font>
    <font>
      <name val="Segoe UI Semibold"/>
      <color rgb="00A530B8"/>
      <sz val="9"/>
    </font>
    <font>
      <name val="Segoe UI Semibold"/>
      <color rgb="00B04545"/>
      <sz val="9"/>
    </font>
    <font>
      <name val="Segoe UI Semibold"/>
      <color rgb="003A6165"/>
      <sz val="9"/>
    </font>
    <font>
      <name val="Segoe UI Semibold"/>
      <color rgb="0000928F"/>
      <sz val="9"/>
    </font>
    <font>
      <name val="Segoe UI Semibold"/>
      <color rgb="00B487C7"/>
      <sz val="9"/>
    </font>
    <font>
      <name val="Segoe UI Semibold"/>
      <color rgb="006E8B1F"/>
      <sz val="9"/>
    </font>
    <font>
      <name val="Segoe UI Semibold"/>
      <color rgb="004D7E83"/>
      <sz val="9"/>
    </font>
    <font>
      <name val="Segoe UI Semibold"/>
      <color rgb="00648ECA"/>
      <sz val="9"/>
    </font>
    <font>
      <name val="Segoe UI Semibold"/>
      <color rgb="00007B6C"/>
      <sz val="9"/>
    </font>
    <font>
      <name val="Segoe UI Semilight"/>
      <color rgb="004D7E83"/>
      <sz val="8.5"/>
    </font>
    <font>
      <name val="Segoe UI Semibold"/>
      <b val="1"/>
      <color rgb="004D7E83"/>
      <sz val="12"/>
    </font>
  </fonts>
  <fills count="5">
    <fill>
      <patternFill/>
    </fill>
    <fill>
      <patternFill patternType="gray125"/>
    </fill>
    <fill>
      <patternFill patternType="solid">
        <fgColor rgb="004D7E83"/>
      </patternFill>
    </fill>
    <fill>
      <patternFill patternType="solid">
        <fgColor rgb="00D8E7E8"/>
      </patternFill>
    </fill>
    <fill>
      <patternFill patternType="solid">
        <fgColor rgb="00EFF6F6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1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1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left" vertical="top" wrapText="1"/>
    </xf>
    <xf numFmtId="0" fontId="15" fillId="0" borderId="0" applyAlignment="1" pivotButton="0" quotePrefix="0" xfId="0">
      <alignment vertical="top" wrapText="1"/>
    </xf>
    <xf numFmtId="0" fontId="16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4D7E83"/>
                </a:solidFill>
                <a:latin typeface="Segoe UI Semibold"/>
              </a:defRPr>
            </a:pPr>
            <a:r>
              <a:rPr sz="1100" b="0">
                <a:solidFill>
                  <a:srgbClr val="4D7E83"/>
                </a:solidFill>
                <a:latin typeface="Segoe UI Semibold"/>
              </a:rPr>
              <a:t>Change since the report baseline — every indicator with new data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'The one big figure'!J5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A530B8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0454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3A616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3A616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3A616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B0454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3A616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00928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00928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B0454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B0454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B0454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B487C7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00928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6E8B1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A530B8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6E8B1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7"/>
            <spPr>
              <a:solidFill xmlns:a="http://schemas.openxmlformats.org/drawingml/2006/main">
                <a:srgbClr val="6E8B1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8"/>
            <spPr>
              <a:solidFill xmlns:a="http://schemas.openxmlformats.org/drawingml/2006/main">
                <a:srgbClr val="4D7E8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9"/>
            <spPr>
              <a:solidFill xmlns:a="http://schemas.openxmlformats.org/drawingml/2006/main">
                <a:srgbClr val="6E8B1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0"/>
            <spPr>
              <a:solidFill xmlns:a="http://schemas.openxmlformats.org/drawingml/2006/main">
                <a:srgbClr val="648ECA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1"/>
            <spPr>
              <a:solidFill xmlns:a="http://schemas.openxmlformats.org/drawingml/2006/main">
                <a:srgbClr val="00928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2"/>
            <spPr>
              <a:solidFill xmlns:a="http://schemas.openxmlformats.org/drawingml/2006/main">
                <a:srgbClr val="6E8B1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3"/>
            <spPr>
              <a:solidFill xmlns:a="http://schemas.openxmlformats.org/drawingml/2006/main">
                <a:srgbClr val="007B6C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4"/>
            <spPr>
              <a:solidFill xmlns:a="http://schemas.openxmlformats.org/drawingml/2006/main">
                <a:srgbClr val="648ECA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5"/>
            <spPr>
              <a:solidFill xmlns:a="http://schemas.openxmlformats.org/drawingml/2006/main">
                <a:srgbClr val="6E8B1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6"/>
            <spPr>
              <a:solidFill xmlns:a="http://schemas.openxmlformats.org/drawingml/2006/main">
                <a:srgbClr val="6E8B1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7"/>
            <spPr>
              <a:solidFill xmlns:a="http://schemas.openxmlformats.org/drawingml/2006/main">
                <a:srgbClr val="6E8B1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8"/>
            <spPr>
              <a:solidFill xmlns:a="http://schemas.openxmlformats.org/drawingml/2006/main">
                <a:srgbClr val="648ECA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9"/>
            <spPr>
              <a:solidFill xmlns:a="http://schemas.openxmlformats.org/drawingml/2006/main">
                <a:srgbClr val="6E8B1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0"/>
            <spPr>
              <a:solidFill xmlns:a="http://schemas.openxmlformats.org/drawingml/2006/main">
                <a:srgbClr val="B0454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1"/>
            <spPr>
              <a:solidFill xmlns:a="http://schemas.openxmlformats.org/drawingml/2006/main">
                <a:srgbClr val="6E8B1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2"/>
            <spPr>
              <a:solidFill xmlns:a="http://schemas.openxmlformats.org/drawingml/2006/main">
                <a:srgbClr val="6E8B1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3"/>
            <spPr>
              <a:solidFill xmlns:a="http://schemas.openxmlformats.org/drawingml/2006/main">
                <a:srgbClr val="A530B8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4"/>
            <spPr>
              <a:solidFill xmlns:a="http://schemas.openxmlformats.org/drawingml/2006/main">
                <a:srgbClr val="B487C7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5"/>
            <spPr>
              <a:solidFill xmlns:a="http://schemas.openxmlformats.org/drawingml/2006/main">
                <a:srgbClr val="6E8B1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6"/>
            <spPr>
              <a:solidFill xmlns:a="http://schemas.openxmlformats.org/drawingml/2006/main">
                <a:srgbClr val="6E8B1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7"/>
            <spPr>
              <a:solidFill xmlns:a="http://schemas.openxmlformats.org/drawingml/2006/main">
                <a:srgbClr val="00928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8"/>
            <spPr>
              <a:solidFill xmlns:a="http://schemas.openxmlformats.org/drawingml/2006/main">
                <a:srgbClr val="A530B8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9"/>
            <spPr>
              <a:solidFill xmlns:a="http://schemas.openxmlformats.org/drawingml/2006/main">
                <a:srgbClr val="B487C7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0"/>
            <spPr>
              <a:solidFill xmlns:a="http://schemas.openxmlformats.org/drawingml/2006/main">
                <a:srgbClr val="B487C7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1"/>
            <spPr>
              <a:solidFill xmlns:a="http://schemas.openxmlformats.org/drawingml/2006/main">
                <a:srgbClr val="B0454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2"/>
            <spPr>
              <a:solidFill xmlns:a="http://schemas.openxmlformats.org/drawingml/2006/main">
                <a:srgbClr val="007B6C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3"/>
            <spPr>
              <a:solidFill xmlns:a="http://schemas.openxmlformats.org/drawingml/2006/main">
                <a:srgbClr val="007B6C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4"/>
            <spPr>
              <a:solidFill xmlns:a="http://schemas.openxmlformats.org/drawingml/2006/main">
                <a:srgbClr val="3A616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5"/>
            <spPr>
              <a:solidFill xmlns:a="http://schemas.openxmlformats.org/drawingml/2006/main">
                <a:srgbClr val="007B6C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6"/>
            <spPr>
              <a:solidFill xmlns:a="http://schemas.openxmlformats.org/drawingml/2006/main">
                <a:srgbClr val="00928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7"/>
            <spPr>
              <a:solidFill xmlns:a="http://schemas.openxmlformats.org/drawingml/2006/main">
                <a:srgbClr val="B487C7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8"/>
            <spPr>
              <a:solidFill xmlns:a="http://schemas.openxmlformats.org/drawingml/2006/main">
                <a:srgbClr val="B487C7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9"/>
            <spPr>
              <a:solidFill xmlns:a="http://schemas.openxmlformats.org/drawingml/2006/main">
                <a:srgbClr val="3A616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0"/>
            <spPr>
              <a:solidFill xmlns:a="http://schemas.openxmlformats.org/drawingml/2006/main">
                <a:srgbClr val="3A616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1"/>
            <spPr>
              <a:solidFill xmlns:a="http://schemas.openxmlformats.org/drawingml/2006/main">
                <a:srgbClr val="B487C7"/>
              </a:solidFill>
              <a:ln xmlns:a="http://schemas.openxmlformats.org/drawingml/2006/main">
                <a:noFill/>
                <a:prstDash val="solid"/>
              </a:ln>
            </spPr>
          </dPt>
          <cat>
            <strRef>
              <f>'The one big figure'!$B$6:$B$57</f>
            </strRef>
          </cat>
          <val>
            <numRef>
              <f>'The one big figure'!$J$6:$J$57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Change vs the report's last figure (%)</a:t>
                </a:r>
              </a:p>
            </rich>
          </tx>
        </title>
        <numFmt formatCode="0%" sourceLinked="0"/>
        <majorTickMark val="none"/>
        <minorTickMark val="none"/>
        <tickLblPos val="nextTo"/>
        <spPr>
          <a:ln xmlns:a="http://schemas.openxmlformats.org/drawingml/2006/main">
            <a:solidFill>
              <a:srgbClr val="B9CFD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2C2D2D"/>
                </a:solidFill>
                <a:latin typeface="Segoe UI"/>
              </a:defRPr>
            </a:pPr>
            <a:r>
              <a:t/>
            </a:r>
            <a:endParaRPr sz="800">
              <a:solidFill>
                <a:srgbClr val="2C2D2D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tickLblPos val="nextTo"/>
        <spPr>
          <a:ln xmlns:a="http://schemas.openxmlformats.org/drawingml/2006/main">
            <a:solidFill>
              <a:srgbClr val="B9CFD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2C2D2D"/>
                </a:solidFill>
                <a:latin typeface="Segoe UI"/>
              </a:defRPr>
            </a:pPr>
            <a:r>
              <a:t/>
            </a:r>
            <a:endParaRPr sz="800">
              <a:solidFill>
                <a:srgbClr val="2C2D2D"/>
              </a:solidFill>
              <a:latin typeface="Segoe UI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4D7E83"/>
                </a:solidFill>
                <a:latin typeface="Segoe UI Semibold"/>
              </a:defRPr>
            </a:pPr>
            <a:r>
              <a:rPr sz="1100" b="0">
                <a:solidFill>
                  <a:srgbClr val="4D7E83"/>
                </a:solidFill>
                <a:latin typeface="Segoe UI Semibold"/>
              </a:rPr>
              <a:t>Indicators with new data since the report, by chapter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'The one big figure'!C63</f>
            </strRef>
          </tx>
          <spPr>
            <a:solidFill xmlns:a="http://schemas.openxmlformats.org/drawingml/2006/main">
              <a:srgbClr val="4D7E83"/>
            </a:solidFill>
            <a:ln xmlns:a="http://schemas.openxmlformats.org/drawingml/2006/main">
              <a:noFill/>
              <a:prstDash val="solid"/>
            </a:ln>
          </spPr>
          <cat>
            <strRef>
              <f>'The one big figure'!$B$64:$B$72</f>
            </strRef>
          </cat>
          <val>
            <numRef>
              <f>'The one big figure'!$C$64:$C$72</f>
            </numRef>
          </val>
        </ser>
        <ser>
          <idx val="1"/>
          <order val="1"/>
          <tx>
            <strRef>
              <f>'The one big figure'!D63</f>
            </strRef>
          </tx>
          <spPr>
            <a:solidFill xmlns:a="http://schemas.openxmlformats.org/drawingml/2006/main">
              <a:srgbClr val="D8E7E8"/>
            </a:solidFill>
            <a:ln xmlns:a="http://schemas.openxmlformats.org/drawingml/2006/main">
              <a:noFill/>
              <a:prstDash val="solid"/>
            </a:ln>
          </spPr>
          <cat>
            <strRef>
              <f>'The one big figure'!$B$64:$B$72</f>
            </strRef>
          </cat>
          <val>
            <numRef>
              <f>'The one big figure'!$D$64:$D$72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spPr>
          <a:ln xmlns:a="http://schemas.openxmlformats.org/drawingml/2006/main">
            <a:solidFill>
              <a:srgbClr val="B9CFD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2C2D2D"/>
                </a:solidFill>
                <a:latin typeface="Segoe UI"/>
              </a:defRPr>
            </a:pPr>
            <a:r>
              <a:t/>
            </a:r>
            <a:endParaRPr sz="800">
              <a:solidFill>
                <a:srgbClr val="2C2D2D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Indicators</a:t>
                </a:r>
              </a:p>
            </rich>
          </tx>
        </title>
        <majorTickMark val="none"/>
        <minorTickMark val="none"/>
        <tickLblPos val="nextTo"/>
        <spPr>
          <a:ln xmlns:a="http://schemas.openxmlformats.org/drawingml/2006/main">
            <a:solidFill>
              <a:srgbClr val="B9CFD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2C2D2D"/>
                </a:solidFill>
                <a:latin typeface="Segoe UI"/>
              </a:defRPr>
            </a:pPr>
            <a:r>
              <a:t/>
            </a:r>
            <a:endParaRPr sz="800">
              <a:solidFill>
                <a:srgbClr val="2C2D2D"/>
              </a:solidFill>
              <a:latin typeface="Segoe UI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00">
              <a:solidFill>
                <a:srgbClr val="2C2D2D"/>
              </a:solidFill>
              <a:latin typeface="Segoe UI"/>
            </a:defRPr>
          </a:pPr>
          <a:r>
            <a:t/>
          </a:r>
          <a:endParaRPr sz="800">
            <a:solidFill>
              <a:srgbClr val="2C2D2D"/>
            </a:solidFill>
            <a:latin typeface="Segoe UI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12</col>
      <colOff>0</colOff>
      <row>4</row>
      <rowOff>0</rowOff>
    </from>
    <ext cx="9360000" cy="21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62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D7E83"/>
    <outlinePr summaryBelow="1" summaryRight="1"/>
    <pageSetUpPr/>
  </sheetPr>
  <dimension ref="A1:K72"/>
  <sheetViews>
    <sheetView showGridLines="0" zoomScale="10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7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  <col width="12" customWidth="1" min="9" max="9"/>
    <col width="13" customWidth="1" min="10" max="10"/>
    <col width="26" customWidth="1" min="11" max="11"/>
  </cols>
  <sheetData>
    <row r="1" ht="26" customHeight="1">
      <c r="A1" s="1" t="inlineStr">
        <is>
          <t>Everything that has moved since the 2024 report, in one figure</t>
        </is>
      </c>
    </row>
    <row r="2" ht="30" customHeight="1">
      <c r="A2" s="2" t="inlineStr">
        <is>
          <t>52 of the 97 progress indicators have gained data since the report. They are measured in Mt, TWh, %, vehicles and head of cattle, so they are shown as the change against each indicator's own report baseline — the figure answers “how far, and which way”, not “how big”. The numbers behind every bar are in the table below it.</t>
        </is>
      </c>
    </row>
    <row r="3">
      <c r="A3" s="3" t="inlineStr">
        <is>
          <t>Summer Prep · Policy Gap 2.0 Report — prepared 27 July 2026. No better/worse reading is applied: whether a move is progress depends on the indicator.</t>
        </is>
      </c>
    </row>
    <row r="5" ht="32" customHeight="1">
      <c r="A5" s="4" t="inlineStr">
        <is>
          <t>Code</t>
        </is>
      </c>
      <c r="B5" s="4" t="inlineStr">
        <is>
          <t>Indicator</t>
        </is>
      </c>
      <c r="C5" s="4" t="inlineStr">
        <is>
          <t>Chapter</t>
        </is>
      </c>
      <c r="D5" s="4" t="inlineStr">
        <is>
          <t>Unit</t>
        </is>
      </c>
      <c r="E5" s="4" t="inlineStr">
        <is>
          <t>Baseline yr</t>
        </is>
      </c>
      <c r="F5" s="4" t="inlineStr">
        <is>
          <t>Baseline value</t>
        </is>
      </c>
      <c r="G5" s="4" t="inlineStr">
        <is>
          <t>Latest yr</t>
        </is>
      </c>
      <c r="H5" s="4" t="inlineStr">
        <is>
          <t>Latest value</t>
        </is>
      </c>
      <c r="I5" s="4" t="inlineStr">
        <is>
          <t>Change</t>
        </is>
      </c>
      <c r="J5" s="4" t="inlineStr">
        <is>
          <t>Change %</t>
        </is>
      </c>
      <c r="K5" s="4" t="inlineStr">
        <is>
          <t>Source check (27 Jul 2026)</t>
        </is>
      </c>
    </row>
    <row r="6" ht="15" customHeight="1">
      <c r="A6" s="5" t="inlineStr">
        <is>
          <t>F5</t>
        </is>
      </c>
      <c r="B6" s="6" t="inlineStr">
        <is>
          <t>Cleantech venture &amp; growth investment in the EU</t>
        </is>
      </c>
      <c r="C6" s="6" t="inlineStr">
        <is>
          <t>Finance &amp; innovation</t>
        </is>
      </c>
      <c r="D6" s="6" t="inlineStr">
        <is>
          <t>% of GDP</t>
        </is>
      </c>
      <c r="E6" s="7" t="n">
        <v>2022</v>
      </c>
      <c r="F6" s="8" t="n">
        <v>0.06</v>
      </c>
      <c r="G6" s="7" t="n">
        <v>2025</v>
      </c>
      <c r="H6" s="8" t="n">
        <v>0.04</v>
      </c>
      <c r="I6" s="8" t="n">
        <v>-0.02</v>
      </c>
      <c r="J6" s="9" t="n">
        <v>-0.3333333333333333</v>
      </c>
      <c r="K6" s="10" t="inlineStr">
        <is>
          <t>Published figure, not re-derived</t>
        </is>
      </c>
    </row>
    <row r="7" ht="15" customHeight="1">
      <c r="A7" s="11" t="inlineStr">
        <is>
          <t>I2 (chemicals, production)</t>
        </is>
      </c>
      <c r="B7" s="12" t="inlineStr">
        <is>
          <t>Chemicals production (EU)</t>
        </is>
      </c>
      <c r="C7" s="12" t="inlineStr">
        <is>
          <t>Industry</t>
        </is>
      </c>
      <c r="D7" s="12" t="inlineStr">
        <is>
          <t>Mt</t>
        </is>
      </c>
      <c r="E7" s="13" t="n">
        <v>2021</v>
      </c>
      <c r="F7" s="14" t="n">
        <v>26.84</v>
      </c>
      <c r="G7" s="13" t="n">
        <v>2025</v>
      </c>
      <c r="H7" s="14" t="n">
        <v>18.55</v>
      </c>
      <c r="I7" s="14" t="n">
        <v>-8.289999999999999</v>
      </c>
      <c r="J7" s="15" t="n">
        <v>-0.3088673621460507</v>
      </c>
      <c r="K7" s="16" t="inlineStr">
        <is>
          <t>Reproduces from source</t>
        </is>
      </c>
    </row>
    <row r="8" ht="15" customHeight="1">
      <c r="A8" s="17" t="inlineStr">
        <is>
          <t>E2 (fossil)</t>
        </is>
      </c>
      <c r="B8" s="6" t="inlineStr">
        <is>
          <t>Fossil share of EU electricity mix</t>
        </is>
      </c>
      <c r="C8" s="6" t="inlineStr">
        <is>
          <t>Energy supply</t>
        </is>
      </c>
      <c r="D8" s="6" t="inlineStr">
        <is>
          <t>%</t>
        </is>
      </c>
      <c r="E8" s="7" t="n">
        <v>2022</v>
      </c>
      <c r="F8" s="8" t="n">
        <v>38.76</v>
      </c>
      <c r="G8" s="7" t="n">
        <v>2024</v>
      </c>
      <c r="H8" s="8" t="n">
        <v>28.11</v>
      </c>
      <c r="I8" s="8" t="n">
        <v>-10.65</v>
      </c>
      <c r="J8" s="9" t="n">
        <v>-0.2747678018575851</v>
      </c>
      <c r="K8" s="10" t="inlineStr">
        <is>
          <t>Reproduces from source</t>
        </is>
      </c>
    </row>
    <row r="9" ht="15" customHeight="1">
      <c r="A9" s="18" t="inlineStr">
        <is>
          <t>E1</t>
        </is>
      </c>
      <c r="B9" s="12" t="inlineStr">
        <is>
          <t>Energy supply GHG emissions</t>
        </is>
      </c>
      <c r="C9" s="12" t="inlineStr">
        <is>
          <t>Energy supply</t>
        </is>
      </c>
      <c r="D9" s="12" t="inlineStr">
        <is>
          <t>Mt CO₂eq</t>
        </is>
      </c>
      <c r="E9" s="13" t="n">
        <v>2022</v>
      </c>
      <c r="F9" s="14" t="n">
        <v>924</v>
      </c>
      <c r="G9" s="13" t="n">
        <v>2024</v>
      </c>
      <c r="H9" s="14" t="n">
        <v>689.1</v>
      </c>
      <c r="I9" s="14" t="n">
        <v>-234.9</v>
      </c>
      <c r="J9" s="15" t="n">
        <v>-0.2542207792207792</v>
      </c>
      <c r="K9" s="16" t="inlineStr">
        <is>
          <t>Reproduces from source</t>
        </is>
      </c>
    </row>
    <row r="10" ht="15" customHeight="1">
      <c r="A10" s="17" t="inlineStr">
        <is>
          <t>E3</t>
        </is>
      </c>
      <c r="B10" s="6" t="inlineStr">
        <is>
          <t>Average GHG intensity of EU electricity</t>
        </is>
      </c>
      <c r="C10" s="6" t="inlineStr">
        <is>
          <t>Energy supply</t>
        </is>
      </c>
      <c r="D10" s="6" t="inlineStr">
        <is>
          <t>g CO₂eq/kWh</t>
        </is>
      </c>
      <c r="E10" s="7" t="n">
        <v>2022</v>
      </c>
      <c r="F10" s="8" t="n">
        <v>251</v>
      </c>
      <c r="G10" s="7" t="n">
        <v>2024</v>
      </c>
      <c r="H10" s="8" t="n">
        <v>187.4</v>
      </c>
      <c r="I10" s="8" t="n">
        <v>-63.59999999999999</v>
      </c>
      <c r="J10" s="9" t="n">
        <v>-0.2533864541832669</v>
      </c>
      <c r="K10" s="10" t="inlineStr">
        <is>
          <t>Reproduces from source</t>
        </is>
      </c>
    </row>
    <row r="11" ht="15" customHeight="1">
      <c r="A11" s="11" t="inlineStr">
        <is>
          <t>I2 (steel, production)</t>
        </is>
      </c>
      <c r="B11" s="12" t="inlineStr">
        <is>
          <t>Steel production (EU)</t>
        </is>
      </c>
      <c r="C11" s="12" t="inlineStr">
        <is>
          <t>Industry</t>
        </is>
      </c>
      <c r="D11" s="12" t="inlineStr">
        <is>
          <t>Mt</t>
        </is>
      </c>
      <c r="E11" s="13" t="n">
        <v>2021</v>
      </c>
      <c r="F11" s="14" t="n">
        <v>152.8</v>
      </c>
      <c r="G11" s="13" t="n">
        <v>2025</v>
      </c>
      <c r="H11" s="14" t="n">
        <v>126.2</v>
      </c>
      <c r="I11" s="14" t="n">
        <v>-26.60000000000001</v>
      </c>
      <c r="J11" s="15" t="n">
        <v>-0.1740837696335079</v>
      </c>
      <c r="K11" s="16" t="inlineStr">
        <is>
          <t>2–5% off source</t>
        </is>
      </c>
    </row>
    <row r="12" ht="15" customHeight="1">
      <c r="A12" s="17" t="inlineStr">
        <is>
          <t>E6</t>
        </is>
      </c>
      <c r="B12" s="6" t="inlineStr">
        <is>
          <t>Energy-related methane emissions (EU-27)</t>
        </is>
      </c>
      <c r="C12" s="6" t="inlineStr">
        <is>
          <t>Energy supply</t>
        </is>
      </c>
      <c r="D12" s="6" t="inlineStr">
        <is>
          <t>Mt CO₂eq</t>
        </is>
      </c>
      <c r="E12" s="7" t="n">
        <v>2021</v>
      </c>
      <c r="F12" s="8" t="n">
        <v>69.91</v>
      </c>
      <c r="G12" s="7" t="n">
        <v>2024</v>
      </c>
      <c r="H12" s="8" t="n">
        <v>57.77</v>
      </c>
      <c r="I12" s="8" t="n">
        <v>-12.13999999999999</v>
      </c>
      <c r="J12" s="9" t="n">
        <v>-0.1736518380775282</v>
      </c>
      <c r="K12" s="10" t="inlineStr">
        <is>
          <t>Reproduces from source</t>
        </is>
      </c>
    </row>
    <row r="13" ht="15" customHeight="1">
      <c r="A13" s="19" t="inlineStr">
        <is>
          <t>B2</t>
        </is>
      </c>
      <c r="B13" s="12" t="inlineStr">
        <is>
          <t>Final energy consumption in buildings</t>
        </is>
      </c>
      <c r="C13" s="12" t="inlineStr">
        <is>
          <t>Buildings</t>
        </is>
      </c>
      <c r="D13" s="12" t="inlineStr">
        <is>
          <t>TWh</t>
        </is>
      </c>
      <c r="E13" s="13" t="n">
        <v>2021</v>
      </c>
      <c r="F13" s="14" t="n">
        <v>4878.7</v>
      </c>
      <c r="G13" s="13" t="n">
        <v>2023</v>
      </c>
      <c r="H13" s="14" t="n">
        <v>4037.9</v>
      </c>
      <c r="I13" s="14" t="n">
        <v>-840.7999999999997</v>
      </c>
      <c r="J13" s="15" t="n">
        <v>-0.1723409924775042</v>
      </c>
      <c r="K13" s="16" t="inlineStr">
        <is>
          <t>Published figure, not re-derived</t>
        </is>
      </c>
    </row>
    <row r="14" ht="15" customHeight="1">
      <c r="A14" s="20" t="inlineStr">
        <is>
          <t>B5b</t>
        </is>
      </c>
      <c r="B14" s="6" t="inlineStr">
        <is>
          <t>Fossil share of tertiary energy mix</t>
        </is>
      </c>
      <c r="C14" s="6" t="inlineStr">
        <is>
          <t>Buildings</t>
        </is>
      </c>
      <c r="D14" s="6" t="inlineStr">
        <is>
          <t>%</t>
        </is>
      </c>
      <c r="E14" s="7" t="n">
        <v>2021</v>
      </c>
      <c r="F14" s="8" t="n">
        <v>38.74</v>
      </c>
      <c r="G14" s="7" t="n">
        <v>2023</v>
      </c>
      <c r="H14" s="8" t="n">
        <v>32.2</v>
      </c>
      <c r="I14" s="8" t="n">
        <v>-6.539999999999999</v>
      </c>
      <c r="J14" s="9" t="n">
        <v>-0.1688177594217862</v>
      </c>
      <c r="K14" s="10" t="inlineStr">
        <is>
          <t>Published figure, not re-derived</t>
        </is>
      </c>
    </row>
    <row r="15" ht="15" customHeight="1">
      <c r="A15" s="11" t="inlineStr">
        <is>
          <t>I2 (cement, production)</t>
        </is>
      </c>
      <c r="B15" s="12" t="inlineStr">
        <is>
          <t>Cement production (EU)</t>
        </is>
      </c>
      <c r="C15" s="12" t="inlineStr">
        <is>
          <t>Industry</t>
        </is>
      </c>
      <c r="D15" s="12" t="inlineStr">
        <is>
          <t>Mt</t>
        </is>
      </c>
      <c r="E15" s="13" t="n">
        <v>2021</v>
      </c>
      <c r="F15" s="14" t="n">
        <v>182.5</v>
      </c>
      <c r="G15" s="13" t="n">
        <v>2024</v>
      </c>
      <c r="H15" s="14" t="n">
        <v>159.1</v>
      </c>
      <c r="I15" s="14" t="n">
        <v>-23.40000000000001</v>
      </c>
      <c r="J15" s="15" t="n">
        <v>-0.1282191780821918</v>
      </c>
      <c r="K15" s="16" t="inlineStr">
        <is>
          <t>Reproduces from source</t>
        </is>
      </c>
    </row>
    <row r="16" ht="15" customHeight="1">
      <c r="A16" s="21" t="inlineStr">
        <is>
          <t>I1</t>
        </is>
      </c>
      <c r="B16" s="6" t="inlineStr">
        <is>
          <t>Industrial GHG emissions</t>
        </is>
      </c>
      <c r="C16" s="6" t="inlineStr">
        <is>
          <t>Industry</t>
        </is>
      </c>
      <c r="D16" s="6" t="inlineStr">
        <is>
          <t>Mt CO₂eq</t>
        </is>
      </c>
      <c r="E16" s="7" t="n">
        <v>2022</v>
      </c>
      <c r="F16" s="8" t="n">
        <v>691.3</v>
      </c>
      <c r="G16" s="7" t="n">
        <v>2024</v>
      </c>
      <c r="H16" s="8" t="n">
        <v>611.4</v>
      </c>
      <c r="I16" s="8" t="n">
        <v>-79.89999999999998</v>
      </c>
      <c r="J16" s="9" t="n">
        <v>-0.1155793432663098</v>
      </c>
      <c r="K16" s="10" t="inlineStr">
        <is>
          <t>Reproduces from source</t>
        </is>
      </c>
    </row>
    <row r="17" ht="15" customHeight="1">
      <c r="A17" s="11" t="inlineStr">
        <is>
          <t>I5</t>
        </is>
      </c>
      <c r="B17" s="12" t="inlineStr">
        <is>
          <t>Industrial final energy consumption (EU)</t>
        </is>
      </c>
      <c r="C17" s="12" t="inlineStr">
        <is>
          <t>Industry</t>
        </is>
      </c>
      <c r="D17" s="12" t="inlineStr">
        <is>
          <t>TWh</t>
        </is>
      </c>
      <c r="E17" s="13" t="n">
        <v>2021</v>
      </c>
      <c r="F17" s="14" t="n">
        <v>2795.2</v>
      </c>
      <c r="G17" s="13" t="n">
        <v>2023</v>
      </c>
      <c r="H17" s="14" t="n">
        <v>2497.2</v>
      </c>
      <c r="I17" s="14" t="n">
        <v>-298</v>
      </c>
      <c r="J17" s="15" t="n">
        <v>-0.1066113337149399</v>
      </c>
      <c r="K17" s="16" t="inlineStr">
        <is>
          <t>Published figure, not re-derived</t>
        </is>
      </c>
    </row>
    <row r="18" ht="15" customHeight="1">
      <c r="A18" s="22" t="inlineStr">
        <is>
          <t>T4</t>
        </is>
      </c>
      <c r="B18" s="6" t="inlineStr">
        <is>
          <t>Average CO₂ intensity of new passenger cars (WLTP)</t>
        </is>
      </c>
      <c r="C18" s="6" t="inlineStr">
        <is>
          <t>Transport</t>
        </is>
      </c>
      <c r="D18" s="6" t="inlineStr">
        <is>
          <t>g CO₂/km</t>
        </is>
      </c>
      <c r="E18" s="7" t="n">
        <v>2022</v>
      </c>
      <c r="F18" s="8" t="n">
        <v>108.2</v>
      </c>
      <c r="G18" s="7" t="n">
        <v>2025</v>
      </c>
      <c r="H18" s="8" t="n">
        <v>96.7</v>
      </c>
      <c r="I18" s="8" t="n">
        <v>-11.5</v>
      </c>
      <c r="J18" s="9" t="n">
        <v>-0.1062846580406654</v>
      </c>
      <c r="K18" s="10" t="inlineStr">
        <is>
          <t>Published figure, not re-derived</t>
        </is>
      </c>
    </row>
    <row r="19" ht="15" customHeight="1">
      <c r="A19" s="19" t="inlineStr">
        <is>
          <t>B1</t>
        </is>
      </c>
      <c r="B19" s="12" t="inlineStr">
        <is>
          <t>Residential + tertiary building GHG emissions</t>
        </is>
      </c>
      <c r="C19" s="12" t="inlineStr">
        <is>
          <t>Buildings</t>
        </is>
      </c>
      <c r="D19" s="12" t="inlineStr">
        <is>
          <t>Mt CO₂eq</t>
        </is>
      </c>
      <c r="E19" s="13" t="n">
        <v>2022</v>
      </c>
      <c r="F19" s="14" t="n">
        <v>481.8</v>
      </c>
      <c r="G19" s="13" t="n">
        <v>2024</v>
      </c>
      <c r="H19" s="14" t="n">
        <v>430.7</v>
      </c>
      <c r="I19" s="14" t="n">
        <v>-51.10000000000002</v>
      </c>
      <c r="J19" s="15" t="n">
        <v>-0.1060606060606061</v>
      </c>
      <c r="K19" s="16" t="inlineStr">
        <is>
          <t>Reproduces from source</t>
        </is>
      </c>
    </row>
    <row r="20" ht="15" customHeight="1">
      <c r="A20" s="23" t="inlineStr">
        <is>
          <t>A4 (pig, herd)</t>
        </is>
      </c>
      <c r="B20" s="6" t="inlineStr">
        <is>
          <t>Pig meat: herd size (EU)</t>
        </is>
      </c>
      <c r="C20" s="6" t="inlineStr">
        <is>
          <t>Agriculture</t>
        </is>
      </c>
      <c r="D20" s="6" t="inlineStr">
        <is>
          <t>million heads</t>
        </is>
      </c>
      <c r="E20" s="7" t="n">
        <v>2020</v>
      </c>
      <c r="F20" s="8" t="n">
        <v>140</v>
      </c>
      <c r="G20" s="7" t="n">
        <v>2025</v>
      </c>
      <c r="H20" s="8" t="n">
        <v>126.1</v>
      </c>
      <c r="I20" s="8" t="n">
        <v>-13.90000000000001</v>
      </c>
      <c r="J20" s="9" t="n">
        <v>-0.09928571428571432</v>
      </c>
      <c r="K20" s="10" t="inlineStr">
        <is>
          <t>Reproduces from source</t>
        </is>
      </c>
    </row>
    <row r="21" ht="15" customHeight="1">
      <c r="A21" s="24" t="inlineStr">
        <is>
          <t>F1</t>
        </is>
      </c>
      <c r="B21" s="12" t="inlineStr">
        <is>
          <t>EU fossil-fuel subsidies (FFST)</t>
        </is>
      </c>
      <c r="C21" s="12" t="inlineStr">
        <is>
          <t>Finance &amp; innovation</t>
        </is>
      </c>
      <c r="D21" s="12" t="inlineStr">
        <is>
          <t>billion EUR</t>
        </is>
      </c>
      <c r="E21" s="13" t="n">
        <v>2022</v>
      </c>
      <c r="F21" s="14" t="n">
        <v>122</v>
      </c>
      <c r="G21" s="13" t="n">
        <v>2023</v>
      </c>
      <c r="H21" s="14" t="n">
        <v>111</v>
      </c>
      <c r="I21" s="14" t="n">
        <v>-11</v>
      </c>
      <c r="J21" s="15" t="n">
        <v>-0.09016393442622951</v>
      </c>
      <c r="K21" s="16" t="inlineStr">
        <is>
          <t>Published figure, not re-derived</t>
        </is>
      </c>
    </row>
    <row r="22" ht="15" customHeight="1">
      <c r="A22" s="23" t="inlineStr">
        <is>
          <t>A2 (bovine, production)</t>
        </is>
      </c>
      <c r="B22" s="6" t="inlineStr">
        <is>
          <t>Bovine meat: production (EU)</t>
        </is>
      </c>
      <c r="C22" s="6" t="inlineStr">
        <is>
          <t>Agriculture</t>
        </is>
      </c>
      <c r="D22" s="6" t="inlineStr">
        <is>
          <t>Mt</t>
        </is>
      </c>
      <c r="E22" s="7" t="n">
        <v>2020</v>
      </c>
      <c r="F22" s="8" t="n">
        <v>6.936</v>
      </c>
      <c r="G22" s="7" t="n">
        <v>2025</v>
      </c>
      <c r="H22" s="8" t="n">
        <v>6.32</v>
      </c>
      <c r="I22" s="8" t="n">
        <v>-0.6159999999999997</v>
      </c>
      <c r="J22" s="9" t="n">
        <v>-0.08881199538638979</v>
      </c>
      <c r="K22" s="10" t="inlineStr">
        <is>
          <t>Reproduces from source</t>
        </is>
      </c>
    </row>
    <row r="23" ht="15" customHeight="1">
      <c r="A23" s="25" t="inlineStr">
        <is>
          <t>A4 (bovine, production)</t>
        </is>
      </c>
      <c r="B23" s="12" t="inlineStr">
        <is>
          <t>Bovine meat: production (EU)</t>
        </is>
      </c>
      <c r="C23" s="12" t="inlineStr">
        <is>
          <t>Agriculture</t>
        </is>
      </c>
      <c r="D23" s="12" t="inlineStr">
        <is>
          <t>Mt</t>
        </is>
      </c>
      <c r="E23" s="13" t="n">
        <v>2020</v>
      </c>
      <c r="F23" s="14" t="n">
        <v>6.936</v>
      </c>
      <c r="G23" s="13" t="n">
        <v>2025</v>
      </c>
      <c r="H23" s="14" t="n">
        <v>6.32</v>
      </c>
      <c r="I23" s="14" t="n">
        <v>-0.6159999999999997</v>
      </c>
      <c r="J23" s="15" t="n">
        <v>-0.08881199538638979</v>
      </c>
      <c r="K23" s="16" t="inlineStr">
        <is>
          <t>Reproduces from source</t>
        </is>
      </c>
    </row>
    <row r="24" ht="15" customHeight="1">
      <c r="A24" s="26" t="inlineStr">
        <is>
          <t>O1</t>
        </is>
      </c>
      <c r="B24" s="6" t="inlineStr">
        <is>
          <t>Total EU GHG emissions (European Climate Law scope)</t>
        </is>
      </c>
      <c r="C24" s="6" t="inlineStr">
        <is>
          <t>Emissions</t>
        </is>
      </c>
      <c r="D24" s="6" t="inlineStr">
        <is>
          <t>Mt CO₂eq</t>
        </is>
      </c>
      <c r="E24" s="7" t="n">
        <v>2022</v>
      </c>
      <c r="F24" s="8" t="n">
        <v>3333.9</v>
      </c>
      <c r="G24" s="7" t="n">
        <v>2024</v>
      </c>
      <c r="H24" s="8" t="n">
        <v>3043.2</v>
      </c>
      <c r="I24" s="8" t="n">
        <v>-290.7000000000003</v>
      </c>
      <c r="J24" s="9" t="n">
        <v>-0.08719517681994068</v>
      </c>
      <c r="K24" s="10" t="inlineStr">
        <is>
          <t>Reproduces from source</t>
        </is>
      </c>
    </row>
    <row r="25" ht="15" customHeight="1">
      <c r="A25" s="25" t="inlineStr">
        <is>
          <t>A2 (pig, GHG)</t>
        </is>
      </c>
      <c r="B25" s="12" t="inlineStr">
        <is>
          <t>Pig meat: GHG emissions (EU)</t>
        </is>
      </c>
      <c r="C25" s="12" t="inlineStr">
        <is>
          <t>Agriculture</t>
        </is>
      </c>
      <c r="D25" s="12" t="inlineStr">
        <is>
          <t>Mt CO₂eq</t>
        </is>
      </c>
      <c r="E25" s="13" t="n">
        <v>2021</v>
      </c>
      <c r="F25" s="14" t="n">
        <v>28.58</v>
      </c>
      <c r="G25" s="13" t="n">
        <v>2024</v>
      </c>
      <c r="H25" s="14" t="n">
        <v>26.18</v>
      </c>
      <c r="I25" s="14" t="n">
        <v>-2.399999999999999</v>
      </c>
      <c r="J25" s="15" t="n">
        <v>-0.08397480755773264</v>
      </c>
      <c r="K25" s="16" t="inlineStr">
        <is>
          <t>Reproduces from source</t>
        </is>
      </c>
    </row>
    <row r="26" ht="15" customHeight="1">
      <c r="A26" s="27" t="inlineStr">
        <is>
          <t>O2 (PEC)</t>
        </is>
      </c>
      <c r="B26" s="6" t="inlineStr">
        <is>
          <t>Primary energy consumption (EU-27)</t>
        </is>
      </c>
      <c r="C26" s="6" t="inlineStr">
        <is>
          <t>Energy demand</t>
        </is>
      </c>
      <c r="D26" s="6" t="inlineStr">
        <is>
          <t>TWh</t>
        </is>
      </c>
      <c r="E26" s="7" t="n">
        <v>2021</v>
      </c>
      <c r="F26" s="8" t="n">
        <v>15248</v>
      </c>
      <c r="G26" s="7" t="n">
        <v>2024</v>
      </c>
      <c r="H26" s="8" t="n">
        <v>13979.3</v>
      </c>
      <c r="I26" s="8" t="n">
        <v>-1268.700000000001</v>
      </c>
      <c r="J26" s="9" t="n">
        <v>-0.08320435466946491</v>
      </c>
      <c r="K26" s="10" t="inlineStr">
        <is>
          <t>Reproduces from source</t>
        </is>
      </c>
    </row>
    <row r="27" ht="15" customHeight="1">
      <c r="A27" s="19" t="inlineStr">
        <is>
          <t>B5a</t>
        </is>
      </c>
      <c r="B27" s="12" t="inlineStr">
        <is>
          <t>Fossil share of residential energy mix</t>
        </is>
      </c>
      <c r="C27" s="12" t="inlineStr">
        <is>
          <t>Buildings</t>
        </is>
      </c>
      <c r="D27" s="12" t="inlineStr">
        <is>
          <t>%</t>
        </is>
      </c>
      <c r="E27" s="13" t="n">
        <v>2021</v>
      </c>
      <c r="F27" s="14" t="n">
        <v>45.58</v>
      </c>
      <c r="G27" s="13" t="n">
        <v>2023</v>
      </c>
      <c r="H27" s="14" t="n">
        <v>42</v>
      </c>
      <c r="I27" s="14" t="n">
        <v>-3.579999999999998</v>
      </c>
      <c r="J27" s="15" t="n">
        <v>-0.07854322071083805</v>
      </c>
      <c r="K27" s="16" t="inlineStr">
        <is>
          <t>Published figure, not re-derived</t>
        </is>
      </c>
    </row>
    <row r="28" ht="15" customHeight="1">
      <c r="A28" s="23" t="inlineStr">
        <is>
          <t>A4 (dairy, herd)</t>
        </is>
      </c>
      <c r="B28" s="6" t="inlineStr">
        <is>
          <t>Dairy products: herd size (EU)</t>
        </is>
      </c>
      <c r="C28" s="6" t="inlineStr">
        <is>
          <t>Agriculture</t>
        </is>
      </c>
      <c r="D28" s="6" t="inlineStr">
        <is>
          <t>million heads</t>
        </is>
      </c>
      <c r="E28" s="7" t="n">
        <v>2020</v>
      </c>
      <c r="F28" s="8" t="n">
        <v>20.63</v>
      </c>
      <c r="G28" s="7" t="n">
        <v>2025</v>
      </c>
      <c r="H28" s="8" t="n">
        <v>19.02</v>
      </c>
      <c r="I28" s="8" t="n">
        <v>-1.609999999999999</v>
      </c>
      <c r="J28" s="9" t="n">
        <v>-0.07804168686379057</v>
      </c>
      <c r="K28" s="10" t="inlineStr">
        <is>
          <t>Reproduces from source</t>
        </is>
      </c>
    </row>
    <row r="29" ht="15" customHeight="1">
      <c r="A29" s="28" t="inlineStr">
        <is>
          <t>L8</t>
        </is>
      </c>
      <c r="B29" s="12" t="inlineStr">
        <is>
          <t>Total bioenergy use (EU-27)</t>
        </is>
      </c>
      <c r="C29" s="12" t="inlineStr">
        <is>
          <t>LULUCF</t>
        </is>
      </c>
      <c r="D29" s="12" t="inlineStr">
        <is>
          <t>TWh</t>
        </is>
      </c>
      <c r="E29" s="13" t="n">
        <v>2021</v>
      </c>
      <c r="F29" s="14" t="n">
        <v>1795.7</v>
      </c>
      <c r="G29" s="13" t="n">
        <v>2024</v>
      </c>
      <c r="H29" s="14" t="n">
        <v>1663.5</v>
      </c>
      <c r="I29" s="14" t="n">
        <v>-132.2</v>
      </c>
      <c r="J29" s="15" t="n">
        <v>-0.07362031519741608</v>
      </c>
      <c r="K29" s="16" t="inlineStr">
        <is>
          <t>Reproduces from source</t>
        </is>
      </c>
    </row>
    <row r="30" ht="15" customHeight="1">
      <c r="A30" s="27" t="inlineStr">
        <is>
          <t>O2 (FEC)</t>
        </is>
      </c>
      <c r="B30" s="6" t="inlineStr">
        <is>
          <t>Final energy consumption (EU-27)</t>
        </is>
      </c>
      <c r="C30" s="6" t="inlineStr">
        <is>
          <t>Energy demand</t>
        </is>
      </c>
      <c r="D30" s="6" t="inlineStr">
        <is>
          <t>TWh</t>
        </is>
      </c>
      <c r="E30" s="7" t="n">
        <v>2021</v>
      </c>
      <c r="F30" s="8" t="n">
        <v>11263</v>
      </c>
      <c r="G30" s="7" t="n">
        <v>2024</v>
      </c>
      <c r="H30" s="8" t="n">
        <v>10467</v>
      </c>
      <c r="I30" s="8" t="n">
        <v>-796</v>
      </c>
      <c r="J30" s="9" t="n">
        <v>-0.07067388795170025</v>
      </c>
      <c r="K30" s="10" t="inlineStr">
        <is>
          <t>Reproduces from source</t>
        </is>
      </c>
    </row>
    <row r="31" ht="15" customHeight="1">
      <c r="A31" s="25" t="inlineStr">
        <is>
          <t>A4 (bovine, herd)</t>
        </is>
      </c>
      <c r="B31" s="12" t="inlineStr">
        <is>
          <t>Bovine meat: herd size (EU)</t>
        </is>
      </c>
      <c r="C31" s="12" t="inlineStr">
        <is>
          <t>Agriculture</t>
        </is>
      </c>
      <c r="D31" s="12" t="inlineStr">
        <is>
          <t>million heads</t>
        </is>
      </c>
      <c r="E31" s="13" t="n">
        <v>2020</v>
      </c>
      <c r="F31" s="14" t="n">
        <v>60.16</v>
      </c>
      <c r="G31" s="13" t="n">
        <v>2025</v>
      </c>
      <c r="H31" s="14" t="n">
        <v>56.26</v>
      </c>
      <c r="I31" s="14" t="n">
        <v>-3.899999999999999</v>
      </c>
      <c r="J31" s="15" t="n">
        <v>-0.06482712765957445</v>
      </c>
      <c r="K31" s="16" t="inlineStr">
        <is>
          <t>Reproduces from source</t>
        </is>
      </c>
    </row>
    <row r="32" ht="15" customHeight="1">
      <c r="A32" s="23" t="inlineStr">
        <is>
          <t>A2 (pig, production)</t>
        </is>
      </c>
      <c r="B32" s="6" t="inlineStr">
        <is>
          <t>Pig meat: production (EU)</t>
        </is>
      </c>
      <c r="C32" s="6" t="inlineStr">
        <is>
          <t>Agriculture</t>
        </is>
      </c>
      <c r="D32" s="6" t="inlineStr">
        <is>
          <t>Mt</t>
        </is>
      </c>
      <c r="E32" s="7" t="n">
        <v>2020</v>
      </c>
      <c r="F32" s="8" t="n">
        <v>23.22</v>
      </c>
      <c r="G32" s="7" t="n">
        <v>2025</v>
      </c>
      <c r="H32" s="8" t="n">
        <v>21.84</v>
      </c>
      <c r="I32" s="8" t="n">
        <v>-1.379999999999999</v>
      </c>
      <c r="J32" s="9" t="n">
        <v>-0.05943152454780358</v>
      </c>
      <c r="K32" s="10" t="inlineStr">
        <is>
          <t>Reproduces from source</t>
        </is>
      </c>
    </row>
    <row r="33" ht="15" customHeight="1">
      <c r="A33" s="25" t="inlineStr">
        <is>
          <t>A4 (pig, production)</t>
        </is>
      </c>
      <c r="B33" s="12" t="inlineStr">
        <is>
          <t>Pig meat: production (EU)</t>
        </is>
      </c>
      <c r="C33" s="12" t="inlineStr">
        <is>
          <t>Agriculture</t>
        </is>
      </c>
      <c r="D33" s="12" t="inlineStr">
        <is>
          <t>Mt</t>
        </is>
      </c>
      <c r="E33" s="13" t="n">
        <v>2020</v>
      </c>
      <c r="F33" s="14" t="n">
        <v>23.22</v>
      </c>
      <c r="G33" s="13" t="n">
        <v>2025</v>
      </c>
      <c r="H33" s="14" t="n">
        <v>21.84</v>
      </c>
      <c r="I33" s="14" t="n">
        <v>-1.379999999999999</v>
      </c>
      <c r="J33" s="15" t="n">
        <v>-0.05943152454780358</v>
      </c>
      <c r="K33" s="16" t="inlineStr">
        <is>
          <t>Reproduces from source</t>
        </is>
      </c>
    </row>
    <row r="34" ht="15" customHeight="1">
      <c r="A34" s="27" t="inlineStr">
        <is>
          <t>O3</t>
        </is>
      </c>
      <c r="B34" s="6" t="inlineStr">
        <is>
          <t>Gross inland energy consumption (EU-27)</t>
        </is>
      </c>
      <c r="C34" s="6" t="inlineStr">
        <is>
          <t>Energy demand</t>
        </is>
      </c>
      <c r="D34" s="6" t="inlineStr">
        <is>
          <t>TWh</t>
        </is>
      </c>
      <c r="E34" s="7" t="n">
        <v>2021</v>
      </c>
      <c r="F34" s="8" t="n">
        <v>16534</v>
      </c>
      <c r="G34" s="7" t="n">
        <v>2023</v>
      </c>
      <c r="H34" s="8" t="n">
        <v>15575.3</v>
      </c>
      <c r="I34" s="8" t="n">
        <v>-958.7000000000007</v>
      </c>
      <c r="J34" s="9" t="n">
        <v>-0.05798354905044156</v>
      </c>
      <c r="K34" s="10" t="inlineStr">
        <is>
          <t>Published figure, not re-derived</t>
        </is>
      </c>
    </row>
    <row r="35" ht="15" customHeight="1">
      <c r="A35" s="25" t="inlineStr">
        <is>
          <t>A2 (pig, intensity)</t>
        </is>
      </c>
      <c r="B35" s="12" t="inlineStr">
        <is>
          <t>Pig meat: GHG intensity (EU)</t>
        </is>
      </c>
      <c r="C35" s="12" t="inlineStr">
        <is>
          <t>Agriculture</t>
        </is>
      </c>
      <c r="D35" s="12" t="inlineStr">
        <is>
          <t>t CO₂eq/t</t>
        </is>
      </c>
      <c r="E35" s="13" t="n">
        <v>2020</v>
      </c>
      <c r="F35" s="14" t="n">
        <v>1.264</v>
      </c>
      <c r="G35" s="13" t="n">
        <v>2024</v>
      </c>
      <c r="H35" s="14" t="n">
        <v>1.238</v>
      </c>
      <c r="I35" s="14" t="n">
        <v>-0.02600000000000002</v>
      </c>
      <c r="J35" s="15" t="n">
        <v>-0.02056962025316458</v>
      </c>
      <c r="K35" s="16" t="inlineStr">
        <is>
          <t>Reproduces from source</t>
        </is>
      </c>
    </row>
    <row r="36" ht="15" customHeight="1">
      <c r="A36" s="21" t="inlineStr">
        <is>
          <t>I6</t>
        </is>
      </c>
      <c r="B36" s="6" t="inlineStr">
        <is>
          <t>Electricity share of industrial final energy use</t>
        </is>
      </c>
      <c r="C36" s="6" t="inlineStr">
        <is>
          <t>Industry</t>
        </is>
      </c>
      <c r="D36" s="6" t="inlineStr">
        <is>
          <t>%</t>
        </is>
      </c>
      <c r="E36" s="7" t="n">
        <v>2021</v>
      </c>
      <c r="F36" s="8" t="n">
        <v>33.22</v>
      </c>
      <c r="G36" s="7" t="n">
        <v>2023</v>
      </c>
      <c r="H36" s="8" t="n">
        <v>32.6</v>
      </c>
      <c r="I36" s="8" t="n">
        <v>-0.6199999999999974</v>
      </c>
      <c r="J36" s="9" t="n">
        <v>-0.01866345574954839</v>
      </c>
      <c r="K36" s="10" t="inlineStr">
        <is>
          <t>2–5% off source</t>
        </is>
      </c>
    </row>
    <row r="37" ht="15" customHeight="1">
      <c r="A37" s="25" t="inlineStr">
        <is>
          <t>A6</t>
        </is>
      </c>
      <c r="B37" s="12" t="inlineStr">
        <is>
          <t>Food waste per capita (EU)</t>
        </is>
      </c>
      <c r="C37" s="12" t="inlineStr">
        <is>
          <t>Agriculture</t>
        </is>
      </c>
      <c r="D37" s="12" t="inlineStr">
        <is>
          <t>kg/cap/year</t>
        </is>
      </c>
      <c r="E37" s="13" t="n">
        <v>2020</v>
      </c>
      <c r="F37" s="14" t="n">
        <v>131</v>
      </c>
      <c r="G37" s="13" t="n">
        <v>2023</v>
      </c>
      <c r="H37" s="14" t="n">
        <v>129</v>
      </c>
      <c r="I37" s="14" t="n">
        <v>-2</v>
      </c>
      <c r="J37" s="15" t="n">
        <v>-0.01526717557251908</v>
      </c>
      <c r="K37" s="16" t="inlineStr">
        <is>
          <t>Reproduces from source</t>
        </is>
      </c>
    </row>
    <row r="38" ht="15" customHeight="1">
      <c r="A38" s="23" t="inlineStr">
        <is>
          <t>A1</t>
        </is>
      </c>
      <c r="B38" s="6" t="inlineStr">
        <is>
          <t>Agricultural non-CO₂ emissions</t>
        </is>
      </c>
      <c r="C38" s="6" t="inlineStr">
        <is>
          <t>Agriculture</t>
        </is>
      </c>
      <c r="D38" s="6" t="inlineStr">
        <is>
          <t>Mt CO₂eq</t>
        </is>
      </c>
      <c r="E38" s="7" t="n">
        <v>2022</v>
      </c>
      <c r="F38" s="8" t="n">
        <v>360.9</v>
      </c>
      <c r="G38" s="7" t="n">
        <v>2024</v>
      </c>
      <c r="H38" s="8" t="n">
        <v>355.7</v>
      </c>
      <c r="I38" s="8" t="n">
        <v>-5.199999999999989</v>
      </c>
      <c r="J38" s="9" t="n">
        <v>-0.01440842338597947</v>
      </c>
      <c r="K38" s="10" t="inlineStr">
        <is>
          <t>Reproduces from source</t>
        </is>
      </c>
    </row>
    <row r="39" ht="15" customHeight="1">
      <c r="A39" s="24" t="inlineStr">
        <is>
          <t>F3</t>
        </is>
      </c>
      <c r="B39" s="12" t="inlineStr">
        <is>
          <t>EU R&amp;D expenditure (GERD)</t>
        </is>
      </c>
      <c r="C39" s="12" t="inlineStr">
        <is>
          <t>Finance &amp; innovation</t>
        </is>
      </c>
      <c r="D39" s="12" t="inlineStr">
        <is>
          <t>% of GDP</t>
        </is>
      </c>
      <c r="E39" s="13" t="n">
        <v>2022</v>
      </c>
      <c r="F39" s="14" t="n">
        <v>2.27</v>
      </c>
      <c r="G39" s="13" t="n">
        <v>2024</v>
      </c>
      <c r="H39" s="14" t="n">
        <v>2.24</v>
      </c>
      <c r="I39" s="14" t="n">
        <v>-0.0299999999999998</v>
      </c>
      <c r="J39" s="15" t="n">
        <v>-0.01321585903083692</v>
      </c>
      <c r="K39" s="16" t="inlineStr">
        <is>
          <t>Reproduces from source</t>
        </is>
      </c>
    </row>
    <row r="40" ht="15" customHeight="1">
      <c r="A40" s="22" t="inlineStr">
        <is>
          <t>T6a</t>
        </is>
      </c>
      <c r="B40" s="6" t="inlineStr">
        <is>
          <t>Fossil share of transport energy use</t>
        </is>
      </c>
      <c r="C40" s="6" t="inlineStr">
        <is>
          <t>Transport</t>
        </is>
      </c>
      <c r="D40" s="6" t="inlineStr">
        <is>
          <t>%</t>
        </is>
      </c>
      <c r="E40" s="7" t="n">
        <v>2021</v>
      </c>
      <c r="F40" s="8" t="n">
        <v>93.44</v>
      </c>
      <c r="G40" s="7" t="n">
        <v>2024</v>
      </c>
      <c r="H40" s="8" t="n">
        <v>93.17</v>
      </c>
      <c r="I40" s="8" t="n">
        <v>-0.269999999999996</v>
      </c>
      <c r="J40" s="9" t="n">
        <v>-0.002889554794520505</v>
      </c>
      <c r="K40" s="10" t="inlineStr">
        <is>
          <t>Reproduces from source</t>
        </is>
      </c>
    </row>
    <row r="41" ht="15" customHeight="1">
      <c r="A41" s="25" t="inlineStr">
        <is>
          <t>A2 (dairy, production)</t>
        </is>
      </c>
      <c r="B41" s="12" t="inlineStr">
        <is>
          <t>Dairy products: production (EU)</t>
        </is>
      </c>
      <c r="C41" s="12" t="inlineStr">
        <is>
          <t>Agriculture</t>
        </is>
      </c>
      <c r="D41" s="12" t="inlineStr">
        <is>
          <t>Mt</t>
        </is>
      </c>
      <c r="E41" s="13" t="n">
        <v>2020</v>
      </c>
      <c r="F41" s="14" t="n">
        <v>163.1</v>
      </c>
      <c r="G41" s="13" t="n">
        <v>2024</v>
      </c>
      <c r="H41" s="14" t="n">
        <v>164.6</v>
      </c>
      <c r="I41" s="14" t="n">
        <v>1.5</v>
      </c>
      <c r="J41" s="15" t="n">
        <v>0.009196811771919068</v>
      </c>
      <c r="K41" s="16" t="inlineStr">
        <is>
          <t>Reproduces from source</t>
        </is>
      </c>
    </row>
    <row r="42" ht="15" customHeight="1">
      <c r="A42" s="23" t="inlineStr">
        <is>
          <t>A4 (dairy, production)</t>
        </is>
      </c>
      <c r="B42" s="6" t="inlineStr">
        <is>
          <t>Dairy products: production (EU)</t>
        </is>
      </c>
      <c r="C42" s="6" t="inlineStr">
        <is>
          <t>Agriculture</t>
        </is>
      </c>
      <c r="D42" s="6" t="inlineStr">
        <is>
          <t>Mt</t>
        </is>
      </c>
      <c r="E42" s="7" t="n">
        <v>2020</v>
      </c>
      <c r="F42" s="8" t="n">
        <v>163.1</v>
      </c>
      <c r="G42" s="7" t="n">
        <v>2024</v>
      </c>
      <c r="H42" s="8" t="n">
        <v>164.6</v>
      </c>
      <c r="I42" s="8" t="n">
        <v>1.5</v>
      </c>
      <c r="J42" s="9" t="n">
        <v>0.009196811771919068</v>
      </c>
      <c r="K42" s="10" t="inlineStr">
        <is>
          <t>Reproduces from source</t>
        </is>
      </c>
    </row>
    <row r="43" ht="15" customHeight="1">
      <c r="A43" s="19" t="inlineStr">
        <is>
          <t>B4 (population)</t>
        </is>
      </c>
      <c r="B43" s="12" t="inlineStr">
        <is>
          <t>EU population (index, 2005 = 1.0)</t>
        </is>
      </c>
      <c r="C43" s="12" t="inlineStr">
        <is>
          <t>Buildings</t>
        </is>
      </c>
      <c r="D43" s="12" t="inlineStr">
        <is>
          <t>index (2005 = 1.0)</t>
        </is>
      </c>
      <c r="E43" s="13" t="n">
        <v>2020</v>
      </c>
      <c r="F43" s="14" t="n">
        <v>1.028</v>
      </c>
      <c r="G43" s="13" t="n">
        <v>2025</v>
      </c>
      <c r="H43" s="14" t="n">
        <v>1.04</v>
      </c>
      <c r="I43" s="14" t="n">
        <v>0.01200000000000001</v>
      </c>
      <c r="J43" s="15" t="n">
        <v>0.01167315175097277</v>
      </c>
      <c r="K43" s="16" t="inlineStr">
        <is>
          <t>Reproduces from source</t>
        </is>
      </c>
    </row>
    <row r="44" ht="15" customHeight="1">
      <c r="A44" s="5" t="inlineStr">
        <is>
          <t>F2 (share)</t>
        </is>
      </c>
      <c r="B44" s="6" t="inlineStr">
        <is>
          <t>Green share of EU bond issuance</t>
        </is>
      </c>
      <c r="C44" s="6" t="inlineStr">
        <is>
          <t>Finance &amp; innovation</t>
        </is>
      </c>
      <c r="D44" s="6" t="inlineStr">
        <is>
          <t>%</t>
        </is>
      </c>
      <c r="E44" s="7" t="n">
        <v>2022</v>
      </c>
      <c r="F44" s="8" t="n">
        <v>6.74</v>
      </c>
      <c r="G44" s="7" t="n">
        <v>2024</v>
      </c>
      <c r="H44" s="8" t="n">
        <v>6.9</v>
      </c>
      <c r="I44" s="8" t="n">
        <v>0.1600000000000001</v>
      </c>
      <c r="J44" s="9" t="n">
        <v>0.02373887240356085</v>
      </c>
      <c r="K44" s="10" t="inlineStr">
        <is>
          <t>Published figure, not re-derived</t>
        </is>
      </c>
    </row>
    <row r="45" ht="15" customHeight="1">
      <c r="A45" s="29" t="inlineStr">
        <is>
          <t>T2b</t>
        </is>
      </c>
      <c r="B45" s="12" t="inlineStr">
        <is>
          <t>Total freight transport demand</t>
        </is>
      </c>
      <c r="C45" s="12" t="inlineStr">
        <is>
          <t>Transport</t>
        </is>
      </c>
      <c r="D45" s="12" t="inlineStr">
        <is>
          <t>Gtkm</t>
        </is>
      </c>
      <c r="E45" s="13" t="n">
        <v>2020</v>
      </c>
      <c r="F45" s="14" t="n">
        <v>2254</v>
      </c>
      <c r="G45" s="13" t="n">
        <v>2023</v>
      </c>
      <c r="H45" s="14" t="n">
        <v>2319</v>
      </c>
      <c r="I45" s="14" t="n">
        <v>65</v>
      </c>
      <c r="J45" s="15" t="n">
        <v>0.02883762200532387</v>
      </c>
      <c r="K45" s="16" t="inlineStr">
        <is>
          <t>Published figure, not re-derived</t>
        </is>
      </c>
    </row>
    <row r="46" ht="15" customHeight="1">
      <c r="A46" s="22" t="inlineStr">
        <is>
          <t>T1</t>
        </is>
      </c>
      <c r="B46" s="6" t="inlineStr">
        <is>
          <t>Transport GHG emissions (EU)</t>
        </is>
      </c>
      <c r="C46" s="6" t="inlineStr">
        <is>
          <t>Transport</t>
        </is>
      </c>
      <c r="D46" s="6" t="inlineStr">
        <is>
          <t>Mt CO₂eq</t>
        </is>
      </c>
      <c r="E46" s="7" t="n">
        <v>2022</v>
      </c>
      <c r="F46" s="8" t="n">
        <v>906.6</v>
      </c>
      <c r="G46" s="7" t="n">
        <v>2024</v>
      </c>
      <c r="H46" s="8" t="n">
        <v>934.7</v>
      </c>
      <c r="I46" s="8" t="n">
        <v>28.10000000000002</v>
      </c>
      <c r="J46" s="9" t="n">
        <v>0.03099492609750719</v>
      </c>
      <c r="K46" s="10" t="inlineStr">
        <is>
          <t>Reproduces from source</t>
        </is>
      </c>
    </row>
    <row r="47" ht="15" customHeight="1">
      <c r="A47" s="11" t="inlineStr">
        <is>
          <t>I3</t>
        </is>
      </c>
      <c r="B47" s="12" t="inlineStr">
        <is>
          <t>Circular material use rate (EU)</t>
        </is>
      </c>
      <c r="C47" s="12" t="inlineStr">
        <is>
          <t>Industry</t>
        </is>
      </c>
      <c r="D47" s="12" t="inlineStr">
        <is>
          <t>%</t>
        </is>
      </c>
      <c r="E47" s="13" t="n">
        <v>2021</v>
      </c>
      <c r="F47" s="14" t="n">
        <v>11.7</v>
      </c>
      <c r="G47" s="13" t="n">
        <v>2024</v>
      </c>
      <c r="H47" s="14" t="n">
        <v>12.2</v>
      </c>
      <c r="I47" s="14" t="n">
        <v>0.5</v>
      </c>
      <c r="J47" s="15" t="n">
        <v>0.04273504273504274</v>
      </c>
      <c r="K47" s="16" t="inlineStr">
        <is>
          <t>Reproduces from source</t>
        </is>
      </c>
    </row>
    <row r="48" ht="15" customHeight="1">
      <c r="A48" s="30" t="inlineStr">
        <is>
          <t>L1</t>
        </is>
      </c>
      <c r="B48" s="6" t="inlineStr">
        <is>
          <t>LULUCF net GHG balance</t>
        </is>
      </c>
      <c r="C48" s="6" t="inlineStr">
        <is>
          <t>LULUCF</t>
        </is>
      </c>
      <c r="D48" s="6" t="inlineStr">
        <is>
          <t>Mt CO₂eq</t>
        </is>
      </c>
      <c r="E48" s="7" t="n">
        <v>2022</v>
      </c>
      <c r="F48" s="8" t="n">
        <v>-244</v>
      </c>
      <c r="G48" s="7" t="n">
        <v>2024</v>
      </c>
      <c r="H48" s="8" t="n">
        <v>-231</v>
      </c>
      <c r="I48" s="8" t="n">
        <v>13</v>
      </c>
      <c r="J48" s="9" t="n">
        <v>0.05327868852459016</v>
      </c>
      <c r="K48" s="10" t="inlineStr">
        <is>
          <t>Reproduces from source</t>
        </is>
      </c>
    </row>
    <row r="49" ht="15" customHeight="1">
      <c r="A49" s="28" t="inlineStr">
        <is>
          <t>L6</t>
        </is>
      </c>
      <c r="B49" s="12" t="inlineStr">
        <is>
          <t>Forest land living-biomass carbon sink</t>
        </is>
      </c>
      <c r="C49" s="12" t="inlineStr">
        <is>
          <t>LULUCF</t>
        </is>
      </c>
      <c r="D49" s="12" t="inlineStr">
        <is>
          <t>Mt CO₂eq</t>
        </is>
      </c>
      <c r="E49" s="13" t="n">
        <v>2021</v>
      </c>
      <c r="F49" s="14" t="n">
        <v>231.8</v>
      </c>
      <c r="G49" s="13" t="n">
        <v>2024</v>
      </c>
      <c r="H49" s="14" t="n">
        <v>258.3</v>
      </c>
      <c r="I49" s="14" t="n">
        <v>26.5</v>
      </c>
      <c r="J49" s="15" t="n">
        <v>0.1143226919758412</v>
      </c>
      <c r="K49" s="16" t="inlineStr">
        <is>
          <t>Reproduces from source</t>
        </is>
      </c>
    </row>
    <row r="50" ht="15" customHeight="1">
      <c r="A50" s="17" t="inlineStr">
        <is>
          <t>E2 (RES)</t>
        </is>
      </c>
      <c r="B50" s="6" t="inlineStr">
        <is>
          <t>Non-biomass renewable share of EU electricity mix</t>
        </is>
      </c>
      <c r="C50" s="6" t="inlineStr">
        <is>
          <t>Energy supply</t>
        </is>
      </c>
      <c r="D50" s="6" t="inlineStr">
        <is>
          <t>%</t>
        </is>
      </c>
      <c r="E50" s="7" t="n">
        <v>2022</v>
      </c>
      <c r="F50" s="8" t="n">
        <v>33.76</v>
      </c>
      <c r="G50" s="7" t="n">
        <v>2024</v>
      </c>
      <c r="H50" s="8" t="n">
        <v>41.38</v>
      </c>
      <c r="I50" s="8" t="n">
        <v>7.620000000000005</v>
      </c>
      <c r="J50" s="9" t="n">
        <v>0.2257109004739338</v>
      </c>
      <c r="K50" s="10" t="inlineStr">
        <is>
          <t>2–5% off source</t>
        </is>
      </c>
    </row>
    <row r="51" ht="15" customHeight="1">
      <c r="A51" s="28" t="inlineStr">
        <is>
          <t>L7</t>
        </is>
      </c>
      <c r="B51" s="12" t="inlineStr">
        <is>
          <t>Non-forest LULUCF net GHG emissions</t>
        </is>
      </c>
      <c r="C51" s="12" t="inlineStr">
        <is>
          <t>LULUCF</t>
        </is>
      </c>
      <c r="D51" s="12" t="inlineStr">
        <is>
          <t>Mt CO₂eq</t>
        </is>
      </c>
      <c r="E51" s="13" t="n">
        <v>2021</v>
      </c>
      <c r="F51" s="14" t="n">
        <v>97.44</v>
      </c>
      <c r="G51" s="13" t="n">
        <v>2024</v>
      </c>
      <c r="H51" s="14" t="n">
        <v>123</v>
      </c>
      <c r="I51" s="14" t="n">
        <v>25.56</v>
      </c>
      <c r="J51" s="15" t="n">
        <v>0.2623152709359606</v>
      </c>
      <c r="K51" s="16" t="inlineStr">
        <is>
          <t>Reproduces from source</t>
        </is>
      </c>
    </row>
    <row r="52" ht="15" customHeight="1">
      <c r="A52" s="20" t="inlineStr">
        <is>
          <t>B6</t>
        </is>
      </c>
      <c r="B52" s="6" t="inlineStr">
        <is>
          <t>EU stock of installed heat pumps</t>
        </is>
      </c>
      <c r="C52" s="6" t="inlineStr">
        <is>
          <t>Buildings</t>
        </is>
      </c>
      <c r="D52" s="6" t="inlineStr">
        <is>
          <t>million units</t>
        </is>
      </c>
      <c r="E52" s="7" t="n">
        <v>2022</v>
      </c>
      <c r="F52" s="8" t="n">
        <v>19.79</v>
      </c>
      <c r="G52" s="7" t="n">
        <v>2024</v>
      </c>
      <c r="H52" s="8" t="n">
        <v>25.5</v>
      </c>
      <c r="I52" s="8" t="n">
        <v>5.710000000000001</v>
      </c>
      <c r="J52" s="9" t="n">
        <v>0.2885295603840324</v>
      </c>
      <c r="K52" s="10" t="inlineStr">
        <is>
          <t>Published figure, not re-derived</t>
        </is>
      </c>
    </row>
    <row r="53" ht="15" customHeight="1">
      <c r="A53" s="29" t="inlineStr">
        <is>
          <t>T5a</t>
        </is>
      </c>
      <c r="B53" s="12" t="inlineStr">
        <is>
          <t>ZEV share of new passenger car registrations</t>
        </is>
      </c>
      <c r="C53" s="12" t="inlineStr">
        <is>
          <t>Transport</t>
        </is>
      </c>
      <c r="D53" s="12" t="inlineStr">
        <is>
          <t>%</t>
        </is>
      </c>
      <c r="E53" s="13" t="n">
        <v>2022</v>
      </c>
      <c r="F53" s="14" t="n">
        <v>13.41</v>
      </c>
      <c r="G53" s="13" t="n">
        <v>2025</v>
      </c>
      <c r="H53" s="14" t="n">
        <v>17.4</v>
      </c>
      <c r="I53" s="14" t="n">
        <v>3.989999999999998</v>
      </c>
      <c r="J53" s="15" t="n">
        <v>0.2975391498881431</v>
      </c>
      <c r="K53" s="16" t="inlineStr">
        <is>
          <t>Published figure, not re-derived</t>
        </is>
      </c>
    </row>
    <row r="54" ht="15" customHeight="1">
      <c r="A54" s="22" t="inlineStr">
        <is>
          <t>T2a</t>
        </is>
      </c>
      <c r="B54" s="6" t="inlineStr">
        <is>
          <t>Total passenger transport demand</t>
        </is>
      </c>
      <c r="C54" s="6" t="inlineStr">
        <is>
          <t>Transport</t>
        </is>
      </c>
      <c r="D54" s="6" t="inlineStr">
        <is>
          <t>Gpkm</t>
        </is>
      </c>
      <c r="E54" s="7" t="n">
        <v>2020</v>
      </c>
      <c r="F54" s="8" t="n">
        <v>4435.8</v>
      </c>
      <c r="G54" s="7" t="n">
        <v>2023</v>
      </c>
      <c r="H54" s="8" t="n">
        <v>5932</v>
      </c>
      <c r="I54" s="8" t="n">
        <v>1496.2</v>
      </c>
      <c r="J54" s="9" t="n">
        <v>0.3373010505433067</v>
      </c>
      <c r="K54" s="10" t="inlineStr">
        <is>
          <t>Published figure, not re-derived</t>
        </is>
      </c>
    </row>
    <row r="55" ht="15" customHeight="1">
      <c r="A55" s="18" t="inlineStr">
        <is>
          <t>E4b/c</t>
        </is>
      </c>
      <c r="B55" s="12" t="inlineStr">
        <is>
          <t>Annual wind capacity additions (EU)</t>
        </is>
      </c>
      <c r="C55" s="12" t="inlineStr">
        <is>
          <t>Energy supply</t>
        </is>
      </c>
      <c r="D55" s="12" t="inlineStr">
        <is>
          <t>GW/yr</t>
        </is>
      </c>
      <c r="E55" s="13" t="n">
        <v>2021</v>
      </c>
      <c r="F55" s="14" t="n">
        <v>10.72</v>
      </c>
      <c r="G55" s="13" t="n">
        <v>2025</v>
      </c>
      <c r="H55" s="14" t="n">
        <v>15.1</v>
      </c>
      <c r="I55" s="14" t="n">
        <v>4.379999999999999</v>
      </c>
      <c r="J55" s="15" t="n">
        <v>0.4085820895522387</v>
      </c>
      <c r="K55" s="16" t="inlineStr">
        <is>
          <t>Published figure, not re-derived</t>
        </is>
      </c>
    </row>
    <row r="56" ht="15" customHeight="1">
      <c r="A56" s="17" t="inlineStr">
        <is>
          <t>E4a</t>
        </is>
      </c>
      <c r="B56" s="6" t="inlineStr">
        <is>
          <t>Annual solar PV capacity additions (EU)</t>
        </is>
      </c>
      <c r="C56" s="6" t="inlineStr">
        <is>
          <t>Energy supply</t>
        </is>
      </c>
      <c r="D56" s="6" t="inlineStr">
        <is>
          <t>GW/yr</t>
        </is>
      </c>
      <c r="E56" s="7" t="n">
        <v>2021</v>
      </c>
      <c r="F56" s="8" t="n">
        <v>25.7</v>
      </c>
      <c r="G56" s="7" t="n">
        <v>2025</v>
      </c>
      <c r="H56" s="8" t="n">
        <v>65.09999999999999</v>
      </c>
      <c r="I56" s="8" t="n">
        <v>39.39999999999999</v>
      </c>
      <c r="J56" s="9" t="n">
        <v>1.533073929961089</v>
      </c>
      <c r="K56" s="10" t="inlineStr">
        <is>
          <t>Published figure, not re-derived</t>
        </is>
      </c>
    </row>
    <row r="57" ht="15" customHeight="1">
      <c r="A57" s="29" t="inlineStr">
        <is>
          <t>T3b</t>
        </is>
      </c>
      <c r="B57" s="12" t="inlineStr">
        <is>
          <t>Intra-EU air passenger transport</t>
        </is>
      </c>
      <c r="C57" s="12" t="inlineStr">
        <is>
          <t>Transport</t>
        </is>
      </c>
      <c r="D57" s="12" t="inlineStr">
        <is>
          <t>Gpkm</t>
        </is>
      </c>
      <c r="E57" s="13" t="n">
        <v>2020</v>
      </c>
      <c r="F57" s="14" t="n">
        <v>177.9</v>
      </c>
      <c r="G57" s="13" t="n">
        <v>2023</v>
      </c>
      <c r="H57" s="14" t="n">
        <v>582</v>
      </c>
      <c r="I57" s="14" t="n">
        <v>404.1</v>
      </c>
      <c r="J57" s="15" t="n">
        <v>2.27150084317032</v>
      </c>
      <c r="K57" s="16" t="inlineStr">
        <is>
          <t>Published figure, not re-derived</t>
        </is>
      </c>
    </row>
    <row r="59">
      <c r="A59" s="31" t="inlineStr">
        <is>
          <t>Notes: bars are coloured by report chapter. A long bar is a large move relative to that indicator's own baseline, not a large quantity — indicators with small baselines (capacity additions, ZEV shares) move by large percentages by nature.</t>
        </is>
      </c>
    </row>
    <row r="60">
      <c r="A60" s="31" t="inlineStr">
        <is>
          <t>Source: ESABCC (2024) “Towards EU climate neutrality”, progress indicators, extended with the post-publication points in the Policy Gap 2.0 indicator database. Every post-report value was re-checked against its primary source on 27 July 2026 (see the “Source check” column).</t>
        </is>
      </c>
    </row>
    <row r="62">
      <c r="A62" s="32" t="inlineStr">
        <is>
          <t>Coverage — how much of each chapter has new data</t>
        </is>
      </c>
    </row>
    <row r="63" ht="22" customHeight="1">
      <c r="A63" s="4" t="inlineStr"/>
      <c r="B63" s="4" t="inlineStr">
        <is>
          <t>Chapter</t>
        </is>
      </c>
      <c r="C63" s="4" t="inlineStr">
        <is>
          <t>With new data</t>
        </is>
      </c>
      <c r="D63" s="4" t="inlineStr">
        <is>
          <t>Still at the report figure</t>
        </is>
      </c>
      <c r="E63" s="4" t="inlineStr"/>
      <c r="F63" s="4" t="inlineStr"/>
      <c r="G63" s="4" t="inlineStr"/>
      <c r="H63" s="4" t="inlineStr"/>
      <c r="I63" s="4" t="inlineStr"/>
      <c r="J63" s="4" t="inlineStr"/>
      <c r="K63" s="4" t="inlineStr"/>
    </row>
    <row r="64" ht="15" customHeight="1">
      <c r="A64" s="6" t="inlineStr"/>
      <c r="B64" s="6" t="inlineStr">
        <is>
          <t>Emissions</t>
        </is>
      </c>
      <c r="C64" s="33" t="n">
        <v>1</v>
      </c>
      <c r="D64" s="33" t="n">
        <v>0</v>
      </c>
    </row>
    <row r="65" ht="15" customHeight="1">
      <c r="A65" s="12" t="inlineStr"/>
      <c r="B65" s="12" t="inlineStr">
        <is>
          <t>Energy supply</t>
        </is>
      </c>
      <c r="C65" s="34" t="n">
        <v>7</v>
      </c>
      <c r="D65" s="34" t="n">
        <v>0</v>
      </c>
    </row>
    <row r="66" ht="15" customHeight="1">
      <c r="A66" s="6" t="inlineStr"/>
      <c r="B66" s="6" t="inlineStr">
        <is>
          <t>Energy demand</t>
        </is>
      </c>
      <c r="C66" s="33" t="n">
        <v>3</v>
      </c>
      <c r="D66" s="33" t="n">
        <v>1</v>
      </c>
    </row>
    <row r="67" ht="15" customHeight="1">
      <c r="A67" s="12" t="inlineStr"/>
      <c r="B67" s="12" t="inlineStr">
        <is>
          <t>Industry</t>
        </is>
      </c>
      <c r="C67" s="34" t="n">
        <v>7</v>
      </c>
      <c r="D67" s="34" t="n">
        <v>11</v>
      </c>
    </row>
    <row r="68" ht="15" customHeight="1">
      <c r="A68" s="6" t="inlineStr"/>
      <c r="B68" s="6" t="inlineStr">
        <is>
          <t>Transport</t>
        </is>
      </c>
      <c r="C68" s="33" t="n">
        <v>7</v>
      </c>
      <c r="D68" s="33" t="n">
        <v>3</v>
      </c>
    </row>
    <row r="69" ht="15" customHeight="1">
      <c r="A69" s="12" t="inlineStr"/>
      <c r="B69" s="12" t="inlineStr">
        <is>
          <t>Buildings</t>
        </is>
      </c>
      <c r="C69" s="34" t="n">
        <v>6</v>
      </c>
      <c r="D69" s="34" t="n">
        <v>6</v>
      </c>
    </row>
    <row r="70" ht="15" customHeight="1">
      <c r="A70" s="6" t="inlineStr"/>
      <c r="B70" s="6" t="inlineStr">
        <is>
          <t>Agriculture</t>
        </is>
      </c>
      <c r="C70" s="33" t="n">
        <v>13</v>
      </c>
      <c r="D70" s="33" t="n">
        <v>13</v>
      </c>
    </row>
    <row r="71" ht="15" customHeight="1">
      <c r="A71" s="12" t="inlineStr"/>
      <c r="B71" s="12" t="inlineStr">
        <is>
          <t>LULUCF</t>
        </is>
      </c>
      <c r="C71" s="34" t="n">
        <v>4</v>
      </c>
      <c r="D71" s="34" t="n">
        <v>9</v>
      </c>
    </row>
    <row r="72" ht="15" customHeight="1">
      <c r="A72" s="6" t="inlineStr"/>
      <c r="B72" s="6" t="inlineStr">
        <is>
          <t>Finance &amp; innovation</t>
        </is>
      </c>
      <c r="C72" s="33" t="n">
        <v>4</v>
      </c>
      <c r="D72" s="33" t="n">
        <v>2</v>
      </c>
    </row>
  </sheetData>
  <autoFilter ref="A5:K57"/>
  <mergeCells count="5">
    <mergeCell ref="A3:K3"/>
    <mergeCell ref="A59:K59"/>
    <mergeCell ref="A2:K2"/>
    <mergeCell ref="A60:K60"/>
    <mergeCell ref="A1:K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ESABCC Method Hub</dc:creator>
  <dc:title xmlns:dc="http://purl.org/dc/elements/1.1/">ESABCC indicators — everything that has moved since the 2024 report</dc:title>
  <dcterms:created xmlns:dcterms="http://purl.org/dc/terms/" xmlns:xsi="http://www.w3.org/2001/XMLSchema-instance" xsi:type="dcterms:W3CDTF">2026-07-27T18:38:23Z</dcterms:created>
  <dcterms:modified xmlns:dcterms="http://purl.org/dc/terms/" xmlns:xsi="http://www.w3.org/2001/XMLSchema-instance" xsi:type="dcterms:W3CDTF">2026-07-27T18:38:23Z</dcterms:modified>
</cp:coreProperties>
</file>