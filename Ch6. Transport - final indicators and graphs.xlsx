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8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9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ttps://eea1.sharepoint.com/teams/EuropeanScientificAdvisoryBoardonClimateChange2/Shared Documents/General/Subgroups/1b. Consistency EU measures/Drafts/underlying excels and flowcharts/Final Figures and Graphs/"/>
    </mc:Choice>
  </mc:AlternateContent>
  <xr:revisionPtr revIDLastSave="8477" documentId="11_5149935FDFAAC8D342AC02DDBFF15129D7704391" xr6:coauthVersionLast="47" xr6:coauthVersionMax="47" xr10:uidLastSave="{4375BF20-7C19-4433-815D-7FD50BD09829}"/>
  <bookViews>
    <workbookView xWindow="0" yWindow="0" windowWidth="14400" windowHeight="15600" firstSheet="3" activeTab="5" xr2:uid="{00000000-000D-0000-FFFF-FFFF00000000}"/>
  </bookViews>
  <sheets>
    <sheet name="T1. GHG emissions" sheetId="17" r:id="rId1"/>
    <sheet name="T2a. total demand passenger" sheetId="32" r:id="rId2"/>
    <sheet name="T2b. total demand freight" sheetId="33" r:id="rId3"/>
    <sheet name="T3a &amp; T3c modal split" sheetId="45" r:id="rId4"/>
    <sheet name="T3b. modal split passenger" sheetId="34" r:id="rId5"/>
    <sheet name="T4. GHG intensity" sheetId="37" r:id="rId6"/>
    <sheet name="T5a&amp;b. ZEV shares" sheetId="39" r:id="rId7"/>
    <sheet name="T6a. % of fossil fuels" sheetId="41" r:id="rId8"/>
    <sheet name="T6b. conventional biofuels" sheetId="42" r:id="rId9"/>
    <sheet name="3. modal split freight" sheetId="35" r:id="rId10"/>
    <sheet name="Colour palette" sheetId="44" r:id="rId11"/>
  </sheets>
  <externalReferences>
    <externalReference r:id="rId1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11" i="42" l="1"/>
  <c r="W10" i="42"/>
  <c r="AQ12" i="42"/>
  <c r="AP12" i="42"/>
  <c r="AO12" i="42"/>
  <c r="AN12" i="42"/>
  <c r="AM12" i="42"/>
  <c r="AL12" i="42"/>
  <c r="AK12" i="42"/>
  <c r="AJ12" i="42"/>
  <c r="AI12" i="42"/>
  <c r="AH12" i="42"/>
  <c r="AG12" i="42"/>
  <c r="AF12" i="42"/>
  <c r="AE12" i="42"/>
  <c r="AD12" i="42"/>
  <c r="AC12" i="42"/>
  <c r="AB12" i="42"/>
  <c r="AA12" i="42"/>
  <c r="Z12" i="42"/>
  <c r="Y12" i="42"/>
  <c r="X12" i="42"/>
  <c r="W12" i="42"/>
  <c r="V12" i="42"/>
  <c r="U12" i="42"/>
  <c r="T12" i="42"/>
  <c r="S12" i="42"/>
  <c r="R12" i="42"/>
  <c r="Q12" i="42"/>
  <c r="P12" i="42"/>
  <c r="O12" i="42"/>
  <c r="N12" i="42"/>
  <c r="M12" i="42"/>
  <c r="L12" i="42"/>
  <c r="E9" i="42"/>
  <c r="F9" i="42"/>
  <c r="G9" i="42"/>
  <c r="H9" i="42"/>
  <c r="I9" i="42"/>
  <c r="J9" i="42"/>
  <c r="K9" i="42"/>
  <c r="L9" i="42"/>
  <c r="M9" i="42"/>
  <c r="N9" i="42"/>
  <c r="D9" i="42"/>
  <c r="E23" i="17" l="1"/>
  <c r="AX70" i="17"/>
  <c r="AX69" i="17"/>
  <c r="AX68" i="17"/>
  <c r="AX67" i="17"/>
  <c r="AX66" i="17"/>
  <c r="AX65" i="17"/>
  <c r="AS70" i="17"/>
  <c r="AS69" i="17"/>
  <c r="AS68" i="17"/>
  <c r="AS67" i="17"/>
  <c r="AS66" i="17"/>
  <c r="AS65" i="17"/>
  <c r="AN70" i="17"/>
  <c r="AN69" i="17"/>
  <c r="AN68" i="17"/>
  <c r="AN67" i="17"/>
  <c r="AN66" i="17"/>
  <c r="AN65" i="17"/>
  <c r="AI70" i="17"/>
  <c r="AI69" i="17"/>
  <c r="AI68" i="17"/>
  <c r="AI67" i="17"/>
  <c r="AI66" i="17"/>
  <c r="AI65" i="17"/>
  <c r="AD70" i="17"/>
  <c r="AD69" i="17"/>
  <c r="AD68" i="17"/>
  <c r="AD67" i="17"/>
  <c r="AD66" i="17"/>
  <c r="AD65" i="17"/>
  <c r="Y70" i="17"/>
  <c r="Y69" i="17"/>
  <c r="Y68" i="17"/>
  <c r="Y67" i="17"/>
  <c r="Y66" i="17"/>
  <c r="Y65" i="17"/>
  <c r="T70" i="17"/>
  <c r="T69" i="17"/>
  <c r="T68" i="17"/>
  <c r="T67" i="17"/>
  <c r="T66" i="17"/>
  <c r="T65" i="17"/>
  <c r="T77" i="17" s="1"/>
  <c r="O70" i="17"/>
  <c r="O69" i="17"/>
  <c r="O68" i="17"/>
  <c r="O67" i="17"/>
  <c r="O66" i="17"/>
  <c r="O65" i="17"/>
  <c r="J70" i="17"/>
  <c r="J69" i="17"/>
  <c r="J68" i="17"/>
  <c r="J67" i="17"/>
  <c r="J66" i="17"/>
  <c r="J65" i="17"/>
  <c r="F38" i="45"/>
  <c r="F37" i="45"/>
  <c r="F36" i="45"/>
  <c r="AX15" i="17"/>
  <c r="AD14" i="17"/>
  <c r="D3" i="17"/>
  <c r="E10" i="17"/>
  <c r="E3" i="17" s="1"/>
  <c r="E19" i="17" s="1"/>
  <c r="E5" i="17"/>
  <c r="E4" i="17"/>
  <c r="E7" i="17"/>
  <c r="E6" i="17"/>
  <c r="V3" i="17"/>
  <c r="AC5" i="45"/>
  <c r="AN77" i="17" l="1"/>
  <c r="AI77" i="17"/>
  <c r="O77" i="17"/>
  <c r="AD77" i="17"/>
  <c r="AX77" i="17"/>
  <c r="AS77" i="17"/>
  <c r="Y77" i="17"/>
  <c r="AI73" i="17"/>
  <c r="J71" i="17" l="1"/>
  <c r="AD16" i="17"/>
  <c r="AN72" i="17"/>
  <c r="Y73" i="17"/>
  <c r="AI72" i="17"/>
  <c r="AN73" i="17"/>
  <c r="AX71" i="17"/>
  <c r="J73" i="17"/>
  <c r="J72" i="17"/>
  <c r="T72" i="17"/>
  <c r="AX73" i="17"/>
  <c r="O73" i="17"/>
  <c r="O78" i="17" s="1"/>
  <c r="AN71" i="17"/>
  <c r="AS73" i="17"/>
  <c r="AS72" i="17"/>
  <c r="AD73" i="17"/>
  <c r="AD78" i="17" s="1"/>
  <c r="AI71" i="17"/>
  <c r="T73" i="17"/>
  <c r="AX72" i="17"/>
  <c r="AS71" i="17"/>
  <c r="AD71" i="17"/>
  <c r="AD72" i="17"/>
  <c r="Y71" i="17"/>
  <c r="Y72" i="17"/>
  <c r="T71" i="17"/>
  <c r="O71" i="17"/>
  <c r="O75" i="17" s="1"/>
  <c r="O72" i="17"/>
  <c r="O76" i="17" s="1"/>
  <c r="T78" i="17" l="1"/>
  <c r="AS78" i="17"/>
  <c r="AN78" i="17"/>
  <c r="AN17" i="17" s="1"/>
  <c r="Y78" i="17"/>
  <c r="AX78" i="17"/>
  <c r="AX17" i="17" s="1"/>
  <c r="AD17" i="17"/>
  <c r="AI78" i="17"/>
  <c r="AI75" i="17"/>
  <c r="AN16" i="17" l="1"/>
  <c r="AI76" i="17"/>
  <c r="T75" i="17"/>
  <c r="AN75" i="17"/>
  <c r="Y75" i="17"/>
  <c r="AS75" i="17"/>
  <c r="AD76" i="17"/>
  <c r="AX76" i="17"/>
  <c r="T76" i="17"/>
  <c r="AN76" i="17"/>
  <c r="Y76" i="17"/>
  <c r="AS76" i="17"/>
  <c r="AD75" i="17"/>
  <c r="AX75" i="17"/>
  <c r="C86" i="17" s="1"/>
  <c r="C85" i="17" l="1"/>
  <c r="B85" i="17"/>
  <c r="E27" i="17"/>
  <c r="B86" i="17"/>
  <c r="F27" i="17"/>
  <c r="AX16" i="17"/>
  <c r="N26" i="42"/>
  <c r="M26" i="42"/>
  <c r="L26" i="42"/>
  <c r="K26" i="42"/>
  <c r="J26" i="42"/>
  <c r="I26" i="42"/>
  <c r="H26" i="42"/>
  <c r="G26" i="42"/>
  <c r="F26" i="42"/>
  <c r="E26" i="42"/>
  <c r="D26" i="42"/>
  <c r="BA28" i="45"/>
  <c r="BA27" i="45"/>
  <c r="BA26" i="45"/>
  <c r="AZ28" i="45"/>
  <c r="AZ27" i="45"/>
  <c r="AZ26" i="45"/>
  <c r="C27" i="45"/>
  <c r="B27" i="45"/>
  <c r="C4" i="45"/>
  <c r="B4" i="45"/>
  <c r="AD61" i="17"/>
  <c r="Y61" i="17"/>
  <c r="T61" i="17"/>
  <c r="O61" i="17"/>
  <c r="J61" i="17"/>
  <c r="E61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D12" i="17"/>
  <c r="U11" i="17"/>
  <c r="T11" i="17"/>
  <c r="S11" i="17"/>
  <c r="R11" i="17"/>
  <c r="Q11" i="17"/>
  <c r="Q10" i="17" s="1"/>
  <c r="P11" i="17"/>
  <c r="O11" i="17"/>
  <c r="N11" i="17"/>
  <c r="M11" i="17"/>
  <c r="L11" i="17"/>
  <c r="K11" i="17"/>
  <c r="J11" i="17"/>
  <c r="I11" i="17"/>
  <c r="I10" i="17" s="1"/>
  <c r="H11" i="17"/>
  <c r="G11" i="17"/>
  <c r="F11" i="17"/>
  <c r="D11" i="17"/>
  <c r="E12" i="17"/>
  <c r="E11" i="17"/>
  <c r="D9" i="17"/>
  <c r="D8" i="17"/>
  <c r="D7" i="17" s="1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U6" i="17"/>
  <c r="T6" i="17"/>
  <c r="S6" i="17"/>
  <c r="R6" i="17"/>
  <c r="Q6" i="17"/>
  <c r="P6" i="17"/>
  <c r="O6" i="17"/>
  <c r="N6" i="17"/>
  <c r="M6" i="17"/>
  <c r="L6" i="17"/>
  <c r="K6" i="17"/>
  <c r="J6" i="17"/>
  <c r="I6" i="17"/>
  <c r="H6" i="17"/>
  <c r="G6" i="17"/>
  <c r="F6" i="17"/>
  <c r="D6" i="17"/>
  <c r="D5" i="17"/>
  <c r="U5" i="17"/>
  <c r="T5" i="17"/>
  <c r="S5" i="17"/>
  <c r="R5" i="17"/>
  <c r="Q5" i="17"/>
  <c r="P5" i="17"/>
  <c r="O5" i="17"/>
  <c r="N5" i="17"/>
  <c r="M5" i="17"/>
  <c r="L5" i="17"/>
  <c r="K5" i="17"/>
  <c r="J5" i="17"/>
  <c r="I5" i="17"/>
  <c r="H5" i="17"/>
  <c r="G5" i="17"/>
  <c r="F5" i="17"/>
  <c r="D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G10" i="17" l="1"/>
  <c r="O10" i="17"/>
  <c r="T10" i="17"/>
  <c r="F10" i="17"/>
  <c r="F3" i="17" s="1"/>
  <c r="L10" i="17"/>
  <c r="P10" i="17"/>
  <c r="H10" i="17"/>
  <c r="K10" i="17"/>
  <c r="J10" i="17"/>
  <c r="R10" i="17"/>
  <c r="S10" i="17"/>
  <c r="D10" i="17"/>
  <c r="M10" i="17"/>
  <c r="N10" i="17"/>
  <c r="U10" i="17"/>
  <c r="D20" i="42" l="1"/>
  <c r="D18" i="42"/>
  <c r="W15" i="42"/>
  <c r="W16" i="42" s="1"/>
  <c r="D19" i="42" s="1"/>
  <c r="B31" i="39"/>
  <c r="U49" i="39"/>
  <c r="U48" i="39" s="1"/>
  <c r="D9" i="37"/>
  <c r="D41" i="37"/>
  <c r="D40" i="37"/>
  <c r="D8" i="37"/>
  <c r="T18" i="41"/>
  <c r="S18" i="41"/>
  <c r="R18" i="41"/>
  <c r="Q18" i="41"/>
  <c r="P18" i="41"/>
  <c r="O18" i="41"/>
  <c r="N18" i="41"/>
  <c r="M18" i="41"/>
  <c r="L18" i="41"/>
  <c r="K18" i="41"/>
  <c r="J18" i="41"/>
  <c r="I18" i="41"/>
  <c r="H18" i="41"/>
  <c r="G18" i="41"/>
  <c r="F18" i="41"/>
  <c r="E18" i="41"/>
  <c r="D18" i="41"/>
  <c r="T17" i="41"/>
  <c r="S17" i="41"/>
  <c r="R17" i="41"/>
  <c r="Q17" i="41"/>
  <c r="P17" i="41"/>
  <c r="O17" i="41"/>
  <c r="N17" i="41"/>
  <c r="M17" i="41"/>
  <c r="L17" i="41"/>
  <c r="K17" i="41"/>
  <c r="J17" i="41"/>
  <c r="I17" i="41"/>
  <c r="H17" i="41"/>
  <c r="G17" i="41"/>
  <c r="F17" i="41"/>
  <c r="E17" i="41"/>
  <c r="D17" i="41"/>
  <c r="L3" i="41"/>
  <c r="J3" i="41"/>
  <c r="T16" i="41"/>
  <c r="T3" i="41" s="1"/>
  <c r="S16" i="41"/>
  <c r="S3" i="41" s="1"/>
  <c r="R16" i="41"/>
  <c r="R3" i="41" s="1"/>
  <c r="Q16" i="41"/>
  <c r="Q3" i="41" s="1"/>
  <c r="P16" i="41"/>
  <c r="P3" i="41" s="1"/>
  <c r="O16" i="41"/>
  <c r="O3" i="41" s="1"/>
  <c r="N16" i="41"/>
  <c r="N3" i="41" s="1"/>
  <c r="M16" i="41"/>
  <c r="M3" i="41" s="1"/>
  <c r="L16" i="41"/>
  <c r="K16" i="41"/>
  <c r="K3" i="41" s="1"/>
  <c r="J16" i="41"/>
  <c r="I16" i="41"/>
  <c r="I3" i="41" s="1"/>
  <c r="H16" i="41"/>
  <c r="H3" i="41" s="1"/>
  <c r="G16" i="41"/>
  <c r="G3" i="41" s="1"/>
  <c r="F16" i="41"/>
  <c r="F3" i="41" s="1"/>
  <c r="E16" i="41"/>
  <c r="E3" i="41" s="1"/>
  <c r="D16" i="41"/>
  <c r="D3" i="41" s="1"/>
  <c r="D9" i="41"/>
  <c r="AW70" i="41"/>
  <c r="AW5" i="41" s="1"/>
  <c r="AC70" i="41"/>
  <c r="AC4" i="41" s="1"/>
  <c r="AC55" i="41"/>
  <c r="X55" i="41"/>
  <c r="S55" i="41"/>
  <c r="N55" i="41"/>
  <c r="I55" i="41"/>
  <c r="D55" i="41"/>
  <c r="B95" i="39"/>
  <c r="U102" i="39"/>
  <c r="T102" i="39"/>
  <c r="S102" i="39"/>
  <c r="R102" i="39"/>
  <c r="Q102" i="39"/>
  <c r="P102" i="39"/>
  <c r="O102" i="39"/>
  <c r="N102" i="39"/>
  <c r="U99" i="39"/>
  <c r="U90" i="39" s="1"/>
  <c r="T99" i="39"/>
  <c r="T90" i="39" s="1"/>
  <c r="S99" i="39"/>
  <c r="S90" i="39" s="1"/>
  <c r="R99" i="39"/>
  <c r="R90" i="39" s="1"/>
  <c r="Q99" i="39"/>
  <c r="Q90" i="39" s="1"/>
  <c r="P99" i="39"/>
  <c r="P90" i="39" s="1"/>
  <c r="O99" i="39"/>
  <c r="O90" i="39" s="1"/>
  <c r="N99" i="39"/>
  <c r="N90" i="39" s="1"/>
  <c r="T66" i="39"/>
  <c r="S66" i="39"/>
  <c r="R66" i="39"/>
  <c r="Q66" i="39"/>
  <c r="P66" i="39"/>
  <c r="O66" i="39"/>
  <c r="N66" i="39"/>
  <c r="M66" i="39"/>
  <c r="L66" i="39"/>
  <c r="K66" i="39"/>
  <c r="J66" i="39"/>
  <c r="I66" i="39"/>
  <c r="U66" i="39"/>
  <c r="U69" i="39"/>
  <c r="T69" i="39"/>
  <c r="S69" i="39"/>
  <c r="R69" i="39"/>
  <c r="Q69" i="39"/>
  <c r="P69" i="39"/>
  <c r="O69" i="39"/>
  <c r="N69" i="39"/>
  <c r="M69" i="39"/>
  <c r="L69" i="39"/>
  <c r="K69" i="39"/>
  <c r="J69" i="39"/>
  <c r="I69" i="39"/>
  <c r="U80" i="39"/>
  <c r="T80" i="39"/>
  <c r="S80" i="39"/>
  <c r="R80" i="39"/>
  <c r="Q80" i="39"/>
  <c r="P80" i="39"/>
  <c r="O80" i="39"/>
  <c r="N80" i="39"/>
  <c r="M80" i="39"/>
  <c r="L80" i="39"/>
  <c r="K80" i="39"/>
  <c r="J80" i="39"/>
  <c r="I80" i="39"/>
  <c r="U77" i="39"/>
  <c r="U56" i="39" s="1"/>
  <c r="T77" i="39"/>
  <c r="T56" i="39" s="1"/>
  <c r="S77" i="39"/>
  <c r="S56" i="39" s="1"/>
  <c r="R77" i="39"/>
  <c r="R56" i="39" s="1"/>
  <c r="Q77" i="39"/>
  <c r="Q56" i="39" s="1"/>
  <c r="P77" i="39"/>
  <c r="P56" i="39" s="1"/>
  <c r="O77" i="39"/>
  <c r="O56" i="39" s="1"/>
  <c r="N77" i="39"/>
  <c r="N56" i="39" s="1"/>
  <c r="M77" i="39"/>
  <c r="M56" i="39" s="1"/>
  <c r="L77" i="39"/>
  <c r="L56" i="39" s="1"/>
  <c r="K77" i="39"/>
  <c r="K56" i="39" s="1"/>
  <c r="J77" i="39"/>
  <c r="J56" i="39" s="1"/>
  <c r="I77" i="39"/>
  <c r="I56" i="39" s="1"/>
  <c r="B62" i="39"/>
  <c r="T48" i="39"/>
  <c r="S48" i="39"/>
  <c r="R48" i="39"/>
  <c r="Q48" i="39"/>
  <c r="P48" i="39"/>
  <c r="O48" i="39"/>
  <c r="N48" i="39"/>
  <c r="M48" i="39"/>
  <c r="L48" i="39"/>
  <c r="K48" i="39"/>
  <c r="J48" i="39"/>
  <c r="I48" i="39"/>
  <c r="U45" i="39"/>
  <c r="U25" i="39" s="1"/>
  <c r="T45" i="39"/>
  <c r="T25" i="39" s="1"/>
  <c r="S45" i="39"/>
  <c r="S25" i="39" s="1"/>
  <c r="R45" i="39"/>
  <c r="R25" i="39" s="1"/>
  <c r="Q45" i="39"/>
  <c r="Q25" i="39" s="1"/>
  <c r="P45" i="39"/>
  <c r="P25" i="39" s="1"/>
  <c r="O45" i="39"/>
  <c r="O25" i="39" s="1"/>
  <c r="N45" i="39"/>
  <c r="N25" i="39" s="1"/>
  <c r="M45" i="39"/>
  <c r="M25" i="39" s="1"/>
  <c r="L45" i="39"/>
  <c r="L25" i="39" s="1"/>
  <c r="K45" i="39"/>
  <c r="K25" i="39" s="1"/>
  <c r="J45" i="39"/>
  <c r="J25" i="39" s="1"/>
  <c r="I45" i="39"/>
  <c r="I25" i="39" s="1"/>
  <c r="U38" i="39"/>
  <c r="T38" i="39"/>
  <c r="S38" i="39"/>
  <c r="R38" i="39"/>
  <c r="Q38" i="39"/>
  <c r="P38" i="39"/>
  <c r="O38" i="39"/>
  <c r="N38" i="39"/>
  <c r="M38" i="39"/>
  <c r="L38" i="39"/>
  <c r="K38" i="39"/>
  <c r="J38" i="39"/>
  <c r="I38" i="39"/>
  <c r="U35" i="39"/>
  <c r="T35" i="39"/>
  <c r="S35" i="39"/>
  <c r="R35" i="39"/>
  <c r="Q35" i="39"/>
  <c r="P35" i="39"/>
  <c r="O35" i="39"/>
  <c r="N35" i="39"/>
  <c r="M35" i="39"/>
  <c r="L35" i="39"/>
  <c r="K35" i="39"/>
  <c r="J35" i="39"/>
  <c r="I35" i="39"/>
  <c r="D8" i="41" l="1"/>
  <c r="D7" i="41"/>
  <c r="E9" i="41" s="1"/>
  <c r="Q57" i="39"/>
  <c r="J57" i="39"/>
  <c r="I57" i="39"/>
  <c r="R57" i="39"/>
  <c r="B94" i="39"/>
  <c r="C95" i="39" s="1"/>
  <c r="L57" i="39"/>
  <c r="K57" i="39"/>
  <c r="K26" i="39"/>
  <c r="S26" i="39"/>
  <c r="P26" i="39"/>
  <c r="N57" i="39"/>
  <c r="M57" i="39"/>
  <c r="O57" i="39"/>
  <c r="S57" i="39"/>
  <c r="P57" i="39"/>
  <c r="T57" i="39"/>
  <c r="U57" i="39"/>
  <c r="P75" i="39"/>
  <c r="P74" i="39" s="1"/>
  <c r="I75" i="39"/>
  <c r="I74" i="39" s="1"/>
  <c r="J75" i="39"/>
  <c r="J74" i="39" s="1"/>
  <c r="R75" i="39"/>
  <c r="R74" i="39" s="1"/>
  <c r="K75" i="39"/>
  <c r="K74" i="39" s="1"/>
  <c r="L75" i="39"/>
  <c r="L74" i="39" s="1"/>
  <c r="Q75" i="39"/>
  <c r="Q74" i="39" s="1"/>
  <c r="S75" i="39"/>
  <c r="S74" i="39" s="1"/>
  <c r="T75" i="39"/>
  <c r="T74" i="39" s="1"/>
  <c r="N75" i="39"/>
  <c r="N74" i="39" s="1"/>
  <c r="O75" i="39"/>
  <c r="O74" i="39" s="1"/>
  <c r="U75" i="39"/>
  <c r="U74" i="39" s="1"/>
  <c r="M75" i="39"/>
  <c r="M74" i="39" s="1"/>
  <c r="J26" i="39"/>
  <c r="R26" i="39"/>
  <c r="I26" i="39"/>
  <c r="L26" i="39"/>
  <c r="M26" i="39"/>
  <c r="U26" i="39"/>
  <c r="Q26" i="39"/>
  <c r="T26" i="39"/>
  <c r="N26" i="39"/>
  <c r="B61" i="39"/>
  <c r="O26" i="39"/>
  <c r="B30" i="39"/>
  <c r="C31" i="39" s="1"/>
  <c r="O43" i="39"/>
  <c r="O42" i="39" s="1"/>
  <c r="P43" i="39"/>
  <c r="P42" i="39" s="1"/>
  <c r="I43" i="39"/>
  <c r="I42" i="39" s="1"/>
  <c r="Q43" i="39"/>
  <c r="Q42" i="39" s="1"/>
  <c r="L43" i="39"/>
  <c r="L42" i="39" s="1"/>
  <c r="T43" i="39"/>
  <c r="T42" i="39" s="1"/>
  <c r="M43" i="39"/>
  <c r="M42" i="39" s="1"/>
  <c r="U43" i="39"/>
  <c r="U42" i="39" s="1"/>
  <c r="N43" i="39"/>
  <c r="N42" i="39" s="1"/>
  <c r="J43" i="39"/>
  <c r="J42" i="39" s="1"/>
  <c r="R43" i="39"/>
  <c r="R42" i="39" s="1"/>
  <c r="K43" i="39"/>
  <c r="K42" i="39" s="1"/>
  <c r="S43" i="39"/>
  <c r="S42" i="39" s="1"/>
  <c r="E8" i="41" l="1"/>
  <c r="AC69" i="37"/>
  <c r="X69" i="37"/>
  <c r="AL70" i="37"/>
  <c r="AG70" i="37"/>
  <c r="AC70" i="37"/>
  <c r="D72" i="37" s="1"/>
  <c r="X70" i="37"/>
  <c r="D10" i="37"/>
  <c r="AC38" i="37"/>
  <c r="S42" i="35"/>
  <c r="S28" i="45" s="1"/>
  <c r="R42" i="35"/>
  <c r="Q42" i="35"/>
  <c r="Q28" i="45" s="1"/>
  <c r="P42" i="35"/>
  <c r="P28" i="45" s="1"/>
  <c r="O42" i="35"/>
  <c r="O28" i="45" s="1"/>
  <c r="N42" i="35"/>
  <c r="M42" i="35"/>
  <c r="M28" i="45" s="1"/>
  <c r="L42" i="35"/>
  <c r="L28" i="45" s="1"/>
  <c r="K42" i="35"/>
  <c r="K28" i="45" s="1"/>
  <c r="J42" i="35"/>
  <c r="J28" i="45" s="1"/>
  <c r="I42" i="35"/>
  <c r="I28" i="45" s="1"/>
  <c r="H42" i="35"/>
  <c r="H28" i="45" s="1"/>
  <c r="G42" i="35"/>
  <c r="G28" i="45" s="1"/>
  <c r="F42" i="35"/>
  <c r="F28" i="45" s="1"/>
  <c r="E42" i="35"/>
  <c r="E28" i="45" s="1"/>
  <c r="D42" i="35"/>
  <c r="D28" i="45" s="1"/>
  <c r="E31" i="35"/>
  <c r="E27" i="45" s="1"/>
  <c r="F31" i="35"/>
  <c r="F27" i="45" s="1"/>
  <c r="G31" i="35"/>
  <c r="G27" i="45" s="1"/>
  <c r="H31" i="35"/>
  <c r="H27" i="45" s="1"/>
  <c r="I31" i="35"/>
  <c r="I27" i="45" s="1"/>
  <c r="J31" i="35"/>
  <c r="J27" i="45" s="1"/>
  <c r="K31" i="35"/>
  <c r="K27" i="45" s="1"/>
  <c r="L31" i="35"/>
  <c r="L27" i="45" s="1"/>
  <c r="M31" i="35"/>
  <c r="M27" i="45" s="1"/>
  <c r="N31" i="35"/>
  <c r="N27" i="45" s="1"/>
  <c r="O31" i="35"/>
  <c r="O27" i="45" s="1"/>
  <c r="P31" i="35"/>
  <c r="P27" i="45" s="1"/>
  <c r="Q31" i="35"/>
  <c r="Q27" i="45" s="1"/>
  <c r="R31" i="35"/>
  <c r="S31" i="35"/>
  <c r="S27" i="45" s="1"/>
  <c r="D31" i="35"/>
  <c r="D27" i="45" s="1"/>
  <c r="D49" i="35"/>
  <c r="D38" i="35"/>
  <c r="D17" i="35"/>
  <c r="D21" i="35"/>
  <c r="D27" i="35"/>
  <c r="D68" i="34"/>
  <c r="D67" i="34"/>
  <c r="S72" i="34"/>
  <c r="S26" i="45" s="1"/>
  <c r="R72" i="34"/>
  <c r="R26" i="45" s="1"/>
  <c r="Q72" i="34"/>
  <c r="Q26" i="45" s="1"/>
  <c r="P72" i="34"/>
  <c r="P26" i="45" s="1"/>
  <c r="O72" i="34"/>
  <c r="O26" i="45" s="1"/>
  <c r="N72" i="34"/>
  <c r="M72" i="34"/>
  <c r="M26" i="45" s="1"/>
  <c r="L72" i="34"/>
  <c r="L26" i="45" s="1"/>
  <c r="K72" i="34"/>
  <c r="K26" i="45" s="1"/>
  <c r="J72" i="34"/>
  <c r="J26" i="45" s="1"/>
  <c r="H72" i="34"/>
  <c r="H26" i="45" s="1"/>
  <c r="G72" i="34"/>
  <c r="G26" i="45" s="1"/>
  <c r="F72" i="34"/>
  <c r="F26" i="45" s="1"/>
  <c r="E72" i="34"/>
  <c r="E26" i="45" s="1"/>
  <c r="D72" i="34"/>
  <c r="D26" i="45" s="1"/>
  <c r="I72" i="34"/>
  <c r="I26" i="45" s="1"/>
  <c r="D73" i="37" l="1"/>
  <c r="AC32" i="35"/>
  <c r="AW33" i="35"/>
  <c r="AW30" i="45"/>
  <c r="AC30" i="45"/>
  <c r="E37" i="45" s="1"/>
  <c r="D48" i="35"/>
  <c r="R28" i="45"/>
  <c r="AW74" i="34"/>
  <c r="N26" i="45"/>
  <c r="D36" i="45" s="1"/>
  <c r="D77" i="34"/>
  <c r="D36" i="35"/>
  <c r="E38" i="35" s="1"/>
  <c r="R27" i="45"/>
  <c r="AW44" i="35"/>
  <c r="N28" i="45"/>
  <c r="E10" i="37"/>
  <c r="D42" i="37"/>
  <c r="E9" i="37"/>
  <c r="D37" i="35"/>
  <c r="D47" i="35"/>
  <c r="AC43" i="35"/>
  <c r="AC73" i="34"/>
  <c r="D78" i="34" s="1"/>
  <c r="X34" i="34"/>
  <c r="AC34" i="34"/>
  <c r="S33" i="34"/>
  <c r="R33" i="34"/>
  <c r="Q33" i="34"/>
  <c r="P33" i="34"/>
  <c r="O33" i="34"/>
  <c r="N33" i="34"/>
  <c r="M33" i="34"/>
  <c r="L33" i="34"/>
  <c r="K33" i="34"/>
  <c r="J33" i="34"/>
  <c r="I33" i="34"/>
  <c r="H33" i="34"/>
  <c r="G33" i="34"/>
  <c r="F33" i="34"/>
  <c r="E33" i="34"/>
  <c r="D33" i="34"/>
  <c r="AC6" i="34"/>
  <c r="AC7" i="34"/>
  <c r="AC8" i="34"/>
  <c r="D59" i="33"/>
  <c r="D55" i="33" s="1"/>
  <c r="D6" i="33"/>
  <c r="S6" i="33"/>
  <c r="R6" i="33"/>
  <c r="Q6" i="33"/>
  <c r="P6" i="33"/>
  <c r="O6" i="33"/>
  <c r="N6" i="33"/>
  <c r="M6" i="33"/>
  <c r="L6" i="33"/>
  <c r="K6" i="33"/>
  <c r="J6" i="33"/>
  <c r="I6" i="33"/>
  <c r="H6" i="33"/>
  <c r="G6" i="33"/>
  <c r="F6" i="33"/>
  <c r="E6" i="33"/>
  <c r="S5" i="33"/>
  <c r="R5" i="33"/>
  <c r="Q5" i="33"/>
  <c r="P5" i="33"/>
  <c r="O5" i="33"/>
  <c r="N5" i="33"/>
  <c r="M5" i="33"/>
  <c r="L5" i="33"/>
  <c r="K5" i="33"/>
  <c r="J5" i="33"/>
  <c r="I5" i="33"/>
  <c r="H5" i="33"/>
  <c r="G5" i="33"/>
  <c r="F5" i="33"/>
  <c r="E5" i="33"/>
  <c r="S4" i="33"/>
  <c r="R4" i="33"/>
  <c r="Q4" i="33"/>
  <c r="P4" i="33"/>
  <c r="O4" i="33"/>
  <c r="N4" i="33"/>
  <c r="M4" i="33"/>
  <c r="L4" i="33"/>
  <c r="K4" i="33"/>
  <c r="J4" i="33"/>
  <c r="I4" i="33"/>
  <c r="H4" i="33"/>
  <c r="G4" i="33"/>
  <c r="F4" i="33"/>
  <c r="E4" i="33"/>
  <c r="D5" i="33"/>
  <c r="D4" i="33"/>
  <c r="N67" i="33"/>
  <c r="O67" i="33" s="1"/>
  <c r="P67" i="33" s="1"/>
  <c r="Q67" i="33" s="1"/>
  <c r="R67" i="33" s="1"/>
  <c r="S67" i="33" s="1"/>
  <c r="T67" i="33" s="1"/>
  <c r="U67" i="33" s="1"/>
  <c r="V67" i="33" s="1"/>
  <c r="W67" i="33" s="1"/>
  <c r="X67" i="33" s="1"/>
  <c r="Y67" i="33" s="1"/>
  <c r="Z67" i="33" s="1"/>
  <c r="AA67" i="33" s="1"/>
  <c r="AB67" i="33" s="1"/>
  <c r="AC67" i="33" s="1"/>
  <c r="AD67" i="33" s="1"/>
  <c r="AE67" i="33" s="1"/>
  <c r="AF67" i="33" s="1"/>
  <c r="AG67" i="33" s="1"/>
  <c r="AH67" i="33" s="1"/>
  <c r="AI67" i="33" s="1"/>
  <c r="AJ67" i="33" s="1"/>
  <c r="AK67" i="33" s="1"/>
  <c r="AL67" i="33" s="1"/>
  <c r="AM67" i="33" s="1"/>
  <c r="AN67" i="33" s="1"/>
  <c r="AO67" i="33" s="1"/>
  <c r="AP67" i="33" s="1"/>
  <c r="AQ67" i="33" s="1"/>
  <c r="AR67" i="33" s="1"/>
  <c r="AS67" i="33" s="1"/>
  <c r="AT67" i="33" s="1"/>
  <c r="AU67" i="33" s="1"/>
  <c r="AV67" i="33" s="1"/>
  <c r="AW67" i="33" s="1"/>
  <c r="N66" i="33"/>
  <c r="N65" i="33"/>
  <c r="O65" i="33" s="1"/>
  <c r="P65" i="33" s="1"/>
  <c r="Q65" i="33" s="1"/>
  <c r="R65" i="33" s="1"/>
  <c r="S65" i="33" s="1"/>
  <c r="T65" i="33" s="1"/>
  <c r="U65" i="33" s="1"/>
  <c r="V65" i="33" s="1"/>
  <c r="W65" i="33" s="1"/>
  <c r="X65" i="33" s="1"/>
  <c r="Y65" i="33" s="1"/>
  <c r="Z65" i="33" s="1"/>
  <c r="AA65" i="33" s="1"/>
  <c r="AB65" i="33" s="1"/>
  <c r="AC65" i="33" s="1"/>
  <c r="AD65" i="33" s="1"/>
  <c r="AE65" i="33" s="1"/>
  <c r="AF65" i="33" s="1"/>
  <c r="AG65" i="33" s="1"/>
  <c r="AH65" i="33" s="1"/>
  <c r="AI65" i="33" s="1"/>
  <c r="AJ65" i="33" s="1"/>
  <c r="AK65" i="33" s="1"/>
  <c r="AL65" i="33" s="1"/>
  <c r="AM65" i="33" s="1"/>
  <c r="AN65" i="33" s="1"/>
  <c r="AO65" i="33" s="1"/>
  <c r="AP65" i="33" s="1"/>
  <c r="AQ65" i="33" s="1"/>
  <c r="AR65" i="33" s="1"/>
  <c r="AS65" i="33" s="1"/>
  <c r="AT65" i="33" s="1"/>
  <c r="AU65" i="33" s="1"/>
  <c r="AV65" i="33" s="1"/>
  <c r="AW65" i="33" s="1"/>
  <c r="AC8" i="32"/>
  <c r="AW53" i="32"/>
  <c r="S7" i="32"/>
  <c r="R7" i="32"/>
  <c r="Q7" i="32"/>
  <c r="P7" i="32"/>
  <c r="O7" i="32"/>
  <c r="N7" i="32"/>
  <c r="M7" i="32"/>
  <c r="L7" i="32"/>
  <c r="K7" i="32"/>
  <c r="J7" i="32"/>
  <c r="I7" i="32"/>
  <c r="H7" i="32"/>
  <c r="G7" i="32"/>
  <c r="F7" i="32"/>
  <c r="E7" i="32"/>
  <c r="S6" i="32"/>
  <c r="R6" i="32"/>
  <c r="Q6" i="32"/>
  <c r="P6" i="32"/>
  <c r="O6" i="32"/>
  <c r="N6" i="32"/>
  <c r="M6" i="32"/>
  <c r="L6" i="32"/>
  <c r="K6" i="32"/>
  <c r="J6" i="32"/>
  <c r="I6" i="32"/>
  <c r="H6" i="32"/>
  <c r="G6" i="32"/>
  <c r="F6" i="32"/>
  <c r="E6" i="32"/>
  <c r="S5" i="32"/>
  <c r="R5" i="32"/>
  <c r="Q5" i="32"/>
  <c r="P5" i="32"/>
  <c r="O5" i="32"/>
  <c r="N5" i="32"/>
  <c r="M5" i="32"/>
  <c r="L5" i="32"/>
  <c r="K5" i="32"/>
  <c r="J5" i="32"/>
  <c r="I5" i="32"/>
  <c r="H5" i="32"/>
  <c r="G5" i="32"/>
  <c r="F5" i="32"/>
  <c r="E5" i="32"/>
  <c r="S4" i="32"/>
  <c r="R4" i="32"/>
  <c r="Q4" i="32"/>
  <c r="P4" i="32"/>
  <c r="O4" i="32"/>
  <c r="N4" i="32"/>
  <c r="M4" i="32"/>
  <c r="L4" i="32"/>
  <c r="K4" i="32"/>
  <c r="J4" i="32"/>
  <c r="I4" i="32"/>
  <c r="H4" i="32"/>
  <c r="G4" i="32"/>
  <c r="F4" i="32"/>
  <c r="E4" i="32"/>
  <c r="D7" i="32"/>
  <c r="D6" i="32"/>
  <c r="D5" i="32"/>
  <c r="D4" i="32"/>
  <c r="N57" i="32"/>
  <c r="O57" i="32" s="1"/>
  <c r="P57" i="32" s="1"/>
  <c r="Q57" i="32" s="1"/>
  <c r="R57" i="32" s="1"/>
  <c r="S57" i="32" s="1"/>
  <c r="T57" i="32" s="1"/>
  <c r="U57" i="32" s="1"/>
  <c r="V57" i="32" s="1"/>
  <c r="W57" i="32" s="1"/>
  <c r="X57" i="32" s="1"/>
  <c r="Y57" i="32" s="1"/>
  <c r="Z57" i="32" s="1"/>
  <c r="AA57" i="32" s="1"/>
  <c r="AB57" i="32" s="1"/>
  <c r="AC57" i="32" s="1"/>
  <c r="AD57" i="32" s="1"/>
  <c r="AE57" i="32" s="1"/>
  <c r="AF57" i="32" s="1"/>
  <c r="AG57" i="32" s="1"/>
  <c r="AH57" i="32" s="1"/>
  <c r="AI57" i="32" s="1"/>
  <c r="AJ57" i="32" s="1"/>
  <c r="AK57" i="32" s="1"/>
  <c r="AL57" i="32" s="1"/>
  <c r="AM57" i="32" s="1"/>
  <c r="AN57" i="32" s="1"/>
  <c r="AO57" i="32" s="1"/>
  <c r="AP57" i="32" s="1"/>
  <c r="AQ57" i="32" s="1"/>
  <c r="AR57" i="32" s="1"/>
  <c r="AS57" i="32" s="1"/>
  <c r="AT57" i="32" s="1"/>
  <c r="AU57" i="32" s="1"/>
  <c r="AV57" i="32" s="1"/>
  <c r="AW57" i="32" s="1"/>
  <c r="N56" i="32"/>
  <c r="O56" i="32" s="1"/>
  <c r="P56" i="32" s="1"/>
  <c r="Q56" i="32" s="1"/>
  <c r="R56" i="32" s="1"/>
  <c r="S56" i="32" s="1"/>
  <c r="T56" i="32" s="1"/>
  <c r="U56" i="32" s="1"/>
  <c r="V56" i="32" s="1"/>
  <c r="W56" i="32" s="1"/>
  <c r="X56" i="32" s="1"/>
  <c r="Y56" i="32" s="1"/>
  <c r="Z56" i="32" s="1"/>
  <c r="AA56" i="32" s="1"/>
  <c r="AB56" i="32" s="1"/>
  <c r="AC56" i="32" s="1"/>
  <c r="AD56" i="32" s="1"/>
  <c r="AE56" i="32" s="1"/>
  <c r="AF56" i="32" s="1"/>
  <c r="AG56" i="32" s="1"/>
  <c r="AH56" i="32" s="1"/>
  <c r="AI56" i="32" s="1"/>
  <c r="AJ56" i="32" s="1"/>
  <c r="AK56" i="32" s="1"/>
  <c r="AL56" i="32" s="1"/>
  <c r="AM56" i="32" s="1"/>
  <c r="AN56" i="32" s="1"/>
  <c r="AO56" i="32" s="1"/>
  <c r="AP56" i="32" s="1"/>
  <c r="AQ56" i="32" s="1"/>
  <c r="AR56" i="32" s="1"/>
  <c r="AS56" i="32" s="1"/>
  <c r="AT56" i="32" s="1"/>
  <c r="AU56" i="32" s="1"/>
  <c r="AV56" i="32" s="1"/>
  <c r="AW56" i="32" s="1"/>
  <c r="N55" i="32"/>
  <c r="O55" i="32" s="1"/>
  <c r="P55" i="32" s="1"/>
  <c r="Q55" i="32" s="1"/>
  <c r="R55" i="32" s="1"/>
  <c r="S55" i="32" s="1"/>
  <c r="T55" i="32" s="1"/>
  <c r="U55" i="32" s="1"/>
  <c r="V55" i="32" s="1"/>
  <c r="W55" i="32" s="1"/>
  <c r="X55" i="32" s="1"/>
  <c r="Y55" i="32" s="1"/>
  <c r="Z55" i="32" s="1"/>
  <c r="AA55" i="32" s="1"/>
  <c r="AB55" i="32" s="1"/>
  <c r="AC55" i="32" s="1"/>
  <c r="AD55" i="32" s="1"/>
  <c r="AE55" i="32" s="1"/>
  <c r="AF55" i="32" s="1"/>
  <c r="AG55" i="32" s="1"/>
  <c r="AH55" i="32" s="1"/>
  <c r="AI55" i="32" s="1"/>
  <c r="AJ55" i="32" s="1"/>
  <c r="AK55" i="32" s="1"/>
  <c r="AL55" i="32" s="1"/>
  <c r="AM55" i="32" s="1"/>
  <c r="AN55" i="32" s="1"/>
  <c r="AO55" i="32" s="1"/>
  <c r="AP55" i="32" s="1"/>
  <c r="AQ55" i="32" s="1"/>
  <c r="AR55" i="32" s="1"/>
  <c r="AS55" i="32" s="1"/>
  <c r="AT55" i="32" s="1"/>
  <c r="AU55" i="32" s="1"/>
  <c r="AV55" i="32" s="1"/>
  <c r="AW55" i="32" s="1"/>
  <c r="N54" i="32"/>
  <c r="O54" i="32" s="1"/>
  <c r="P54" i="32" s="1"/>
  <c r="Q54" i="32" s="1"/>
  <c r="R54" i="32" s="1"/>
  <c r="S54" i="32" s="1"/>
  <c r="T54" i="32" s="1"/>
  <c r="U54" i="32" s="1"/>
  <c r="V54" i="32" s="1"/>
  <c r="W54" i="32" s="1"/>
  <c r="X54" i="32" s="1"/>
  <c r="Y54" i="32" s="1"/>
  <c r="Z54" i="32" s="1"/>
  <c r="AA54" i="32" s="1"/>
  <c r="AB54" i="32" s="1"/>
  <c r="AC54" i="32" s="1"/>
  <c r="AD54" i="32" s="1"/>
  <c r="AE54" i="32" s="1"/>
  <c r="AF54" i="32" s="1"/>
  <c r="AG54" i="32" s="1"/>
  <c r="AH54" i="32" s="1"/>
  <c r="AI54" i="32" s="1"/>
  <c r="AJ54" i="32" s="1"/>
  <c r="AK54" i="32" s="1"/>
  <c r="AL54" i="32" s="1"/>
  <c r="AM54" i="32" s="1"/>
  <c r="AN54" i="32" s="1"/>
  <c r="AO54" i="32" s="1"/>
  <c r="AP54" i="32" s="1"/>
  <c r="AQ54" i="32" s="1"/>
  <c r="AR54" i="32" s="1"/>
  <c r="AS54" i="32" s="1"/>
  <c r="AT54" i="32" s="1"/>
  <c r="AU54" i="32" s="1"/>
  <c r="AV54" i="32" s="1"/>
  <c r="AW54" i="32" s="1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E78" i="34" l="1"/>
  <c r="AY28" i="45"/>
  <c r="D38" i="45"/>
  <c r="AY27" i="45"/>
  <c r="D37" i="45"/>
  <c r="E3" i="32"/>
  <c r="M3" i="32"/>
  <c r="L3" i="32"/>
  <c r="F3" i="32"/>
  <c r="N3" i="32"/>
  <c r="G3" i="32"/>
  <c r="G5" i="34" s="1"/>
  <c r="O3" i="32"/>
  <c r="I5" i="34"/>
  <c r="Q5" i="34"/>
  <c r="I4" i="34"/>
  <c r="Q4" i="34"/>
  <c r="I3" i="32"/>
  <c r="Q3" i="32"/>
  <c r="H3" i="32"/>
  <c r="H4" i="34" s="1"/>
  <c r="J3" i="32"/>
  <c r="R3" i="32"/>
  <c r="R5" i="34" s="1"/>
  <c r="D26" i="34" s="1"/>
  <c r="L5" i="34"/>
  <c r="P3" i="32"/>
  <c r="P4" i="34" s="1"/>
  <c r="R4" i="34"/>
  <c r="L4" i="34"/>
  <c r="E5" i="34"/>
  <c r="M5" i="34"/>
  <c r="E4" i="34"/>
  <c r="M4" i="34"/>
  <c r="F4" i="34"/>
  <c r="F3" i="34"/>
  <c r="F3" i="45" s="1"/>
  <c r="N4" i="34"/>
  <c r="N3" i="34"/>
  <c r="N3" i="45" s="1"/>
  <c r="J4" i="34"/>
  <c r="J3" i="34"/>
  <c r="J3" i="45" s="1"/>
  <c r="J5" i="34"/>
  <c r="O5" i="34"/>
  <c r="O4" i="34"/>
  <c r="AW29" i="45"/>
  <c r="AC29" i="45"/>
  <c r="E36" i="45" s="1"/>
  <c r="AC59" i="33"/>
  <c r="N64" i="33"/>
  <c r="L3" i="34"/>
  <c r="L3" i="45" s="1"/>
  <c r="K3" i="32"/>
  <c r="S3" i="32"/>
  <c r="E3" i="34"/>
  <c r="E3" i="45" s="1"/>
  <c r="M3" i="34"/>
  <c r="M3" i="45" s="1"/>
  <c r="N5" i="34"/>
  <c r="D3" i="32"/>
  <c r="I3" i="33"/>
  <c r="I5" i="35" s="1"/>
  <c r="G3" i="34"/>
  <c r="G3" i="45" s="1"/>
  <c r="O3" i="34"/>
  <c r="O3" i="45" s="1"/>
  <c r="D40" i="34"/>
  <c r="AC31" i="45"/>
  <c r="E38" i="45" s="1"/>
  <c r="AW31" i="45"/>
  <c r="P3" i="35"/>
  <c r="P4" i="45" s="1"/>
  <c r="I4" i="35"/>
  <c r="F5" i="34"/>
  <c r="I3" i="34"/>
  <c r="I3" i="45" s="1"/>
  <c r="Q3" i="34"/>
  <c r="Q3" i="45" s="1"/>
  <c r="E37" i="35"/>
  <c r="D79" i="34"/>
  <c r="E79" i="34" s="1"/>
  <c r="AY26" i="45"/>
  <c r="D41" i="34"/>
  <c r="F41" i="34" s="1"/>
  <c r="S59" i="33"/>
  <c r="S55" i="33" s="1"/>
  <c r="S3" i="33"/>
  <c r="S5" i="35" s="1"/>
  <c r="I59" i="33"/>
  <c r="I55" i="33" s="1"/>
  <c r="N59" i="33"/>
  <c r="N55" i="33" s="1"/>
  <c r="H3" i="33"/>
  <c r="X59" i="33"/>
  <c r="X55" i="33" s="1"/>
  <c r="J3" i="33"/>
  <c r="R3" i="33"/>
  <c r="R4" i="35" s="1"/>
  <c r="K3" i="33"/>
  <c r="L3" i="33"/>
  <c r="L4" i="35" s="1"/>
  <c r="G3" i="33"/>
  <c r="P3" i="33"/>
  <c r="Q3" i="33"/>
  <c r="Q3" i="35" s="1"/>
  <c r="Q4" i="45" s="1"/>
  <c r="D3" i="33"/>
  <c r="D4" i="35" s="1"/>
  <c r="E3" i="33"/>
  <c r="O3" i="33"/>
  <c r="O4" i="35" s="1"/>
  <c r="F3" i="33"/>
  <c r="F4" i="35" s="1"/>
  <c r="M3" i="33"/>
  <c r="N3" i="33"/>
  <c r="O66" i="33"/>
  <c r="P66" i="33" s="1"/>
  <c r="AW79" i="33"/>
  <c r="AW72" i="33"/>
  <c r="AW81" i="33"/>
  <c r="AW74" i="33"/>
  <c r="AT53" i="32"/>
  <c r="AK53" i="32"/>
  <c r="AL53" i="32"/>
  <c r="W53" i="32"/>
  <c r="AM53" i="32"/>
  <c r="P53" i="32"/>
  <c r="AF53" i="32"/>
  <c r="AV53" i="32"/>
  <c r="Q53" i="32"/>
  <c r="Y53" i="32"/>
  <c r="AG53" i="32"/>
  <c r="AO53" i="32"/>
  <c r="V53" i="32"/>
  <c r="O53" i="32"/>
  <c r="AE53" i="32"/>
  <c r="AU53" i="32"/>
  <c r="X53" i="32"/>
  <c r="AN53" i="32"/>
  <c r="R53" i="32"/>
  <c r="Z53" i="32"/>
  <c r="AH53" i="32"/>
  <c r="AP53" i="32"/>
  <c r="AC53" i="32"/>
  <c r="N53" i="32"/>
  <c r="S53" i="32"/>
  <c r="AA53" i="32"/>
  <c r="AI53" i="32"/>
  <c r="AQ53" i="32"/>
  <c r="U53" i="32"/>
  <c r="AS53" i="32"/>
  <c r="AD53" i="32"/>
  <c r="T53" i="32"/>
  <c r="AB53" i="32"/>
  <c r="AJ53" i="32"/>
  <c r="AR53" i="32"/>
  <c r="AW70" i="32"/>
  <c r="AW62" i="32"/>
  <c r="AW65" i="32"/>
  <c r="AW73" i="32"/>
  <c r="AW71" i="32"/>
  <c r="AW63" i="32"/>
  <c r="AW64" i="32"/>
  <c r="AW35" i="34" s="1"/>
  <c r="D42" i="34" s="1"/>
  <c r="F42" i="34" s="1"/>
  <c r="AW72" i="32"/>
  <c r="AW36" i="34" s="1"/>
  <c r="D43" i="34" s="1"/>
  <c r="F43" i="34" s="1"/>
  <c r="O3" i="35" l="1"/>
  <c r="O4" i="45" s="1"/>
  <c r="D3" i="35"/>
  <c r="D4" i="45" s="1"/>
  <c r="I3" i="35"/>
  <c r="I4" i="45" s="1"/>
  <c r="R5" i="35"/>
  <c r="O64" i="33"/>
  <c r="H3" i="34"/>
  <c r="H3" i="45" s="1"/>
  <c r="H5" i="34"/>
  <c r="P5" i="34"/>
  <c r="D25" i="34" s="1"/>
  <c r="E26" i="34" s="1"/>
  <c r="R3" i="34"/>
  <c r="D16" i="34" s="1"/>
  <c r="G4" i="34"/>
  <c r="D14" i="32"/>
  <c r="E17" i="32" s="1"/>
  <c r="P3" i="34"/>
  <c r="P3" i="45" s="1"/>
  <c r="D20" i="34"/>
  <c r="AW61" i="32"/>
  <c r="AW10" i="32" s="1"/>
  <c r="D17" i="32" s="1"/>
  <c r="D15" i="32"/>
  <c r="M5" i="35"/>
  <c r="Q4" i="35"/>
  <c r="E3" i="35"/>
  <c r="E4" i="45" s="1"/>
  <c r="L3" i="35"/>
  <c r="L4" i="45" s="1"/>
  <c r="AW69" i="32"/>
  <c r="AW9" i="32" s="1"/>
  <c r="D16" i="32" s="1"/>
  <c r="E16" i="32" s="1"/>
  <c r="Q66" i="33"/>
  <c r="P64" i="33"/>
  <c r="E5" i="35"/>
  <c r="J4" i="35"/>
  <c r="Q5" i="35"/>
  <c r="S3" i="35"/>
  <c r="S4" i="45" s="1"/>
  <c r="H3" i="35"/>
  <c r="H4" i="45" s="1"/>
  <c r="F3" i="35"/>
  <c r="F4" i="45" s="1"/>
  <c r="O5" i="35"/>
  <c r="L5" i="35"/>
  <c r="N5" i="35"/>
  <c r="S3" i="34"/>
  <c r="S3" i="45" s="1"/>
  <c r="F40" i="34"/>
  <c r="E41" i="34"/>
  <c r="E43" i="34"/>
  <c r="E42" i="34"/>
  <c r="K3" i="35"/>
  <c r="K4" i="45" s="1"/>
  <c r="P4" i="35"/>
  <c r="G5" i="35"/>
  <c r="J3" i="35"/>
  <c r="J4" i="45" s="1"/>
  <c r="AC55" i="33"/>
  <c r="AC8" i="35" s="1"/>
  <c r="D26" i="35" s="1"/>
  <c r="S4" i="35"/>
  <c r="K3" i="34"/>
  <c r="K3" i="45" s="1"/>
  <c r="P5" i="35"/>
  <c r="H5" i="35"/>
  <c r="H4" i="35"/>
  <c r="N4" i="35"/>
  <c r="F5" i="35"/>
  <c r="D5" i="34"/>
  <c r="K5" i="34"/>
  <c r="G4" i="35"/>
  <c r="N3" i="35"/>
  <c r="N4" i="45" s="1"/>
  <c r="M4" i="35"/>
  <c r="S4" i="34"/>
  <c r="K4" i="34"/>
  <c r="D3" i="34"/>
  <c r="D3" i="45" s="1"/>
  <c r="D5" i="35"/>
  <c r="K5" i="35"/>
  <c r="R3" i="35"/>
  <c r="J5" i="35"/>
  <c r="K4" i="35"/>
  <c r="G3" i="35"/>
  <c r="G4" i="45" s="1"/>
  <c r="M3" i="35"/>
  <c r="M4" i="45" s="1"/>
  <c r="E4" i="35"/>
  <c r="D4" i="34"/>
  <c r="S5" i="34"/>
  <c r="D13" i="33"/>
  <c r="R3" i="45" l="1"/>
  <c r="D20" i="35"/>
  <c r="D25" i="35"/>
  <c r="E15" i="32"/>
  <c r="D15" i="34"/>
  <c r="AW8" i="34"/>
  <c r="D27" i="34" s="1"/>
  <c r="E27" i="34" s="1"/>
  <c r="AW6" i="34"/>
  <c r="AW5" i="45" s="1"/>
  <c r="R66" i="33"/>
  <c r="Q64" i="33"/>
  <c r="AC7" i="33"/>
  <c r="D14" i="33" s="1"/>
  <c r="E14" i="33" s="1"/>
  <c r="AC6" i="35"/>
  <c r="AC7" i="35"/>
  <c r="R4" i="45"/>
  <c r="D15" i="35"/>
  <c r="U3" i="17"/>
  <c r="U7" i="17"/>
  <c r="D17" i="34" l="1"/>
  <c r="E22" i="17"/>
  <c r="S66" i="33"/>
  <c r="R64" i="33"/>
  <c r="D16" i="35"/>
  <c r="AC6" i="45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T3" i="17"/>
  <c r="S3" i="17"/>
  <c r="R3" i="17"/>
  <c r="Q3" i="17"/>
  <c r="E20" i="17" s="1"/>
  <c r="P3" i="17"/>
  <c r="O3" i="17"/>
  <c r="N3" i="17"/>
  <c r="M3" i="17"/>
  <c r="L3" i="17"/>
  <c r="K3" i="17"/>
  <c r="J3" i="17"/>
  <c r="I3" i="17"/>
  <c r="H3" i="17"/>
  <c r="G3" i="17"/>
  <c r="E21" i="17" l="1"/>
  <c r="B89" i="17"/>
  <c r="B90" i="17"/>
  <c r="C90" i="17"/>
  <c r="C89" i="17"/>
  <c r="E24" i="17"/>
  <c r="T66" i="33"/>
  <c r="S64" i="33"/>
  <c r="F24" i="17" l="1"/>
  <c r="U66" i="33"/>
  <c r="T64" i="33"/>
  <c r="F23" i="17"/>
  <c r="V66" i="33" l="1"/>
  <c r="U64" i="33"/>
  <c r="W66" i="33" l="1"/>
  <c r="V64" i="33"/>
  <c r="X66" i="33" l="1"/>
  <c r="W64" i="33"/>
  <c r="Y66" i="33" l="1"/>
  <c r="X64" i="33"/>
  <c r="Z66" i="33" l="1"/>
  <c r="Y64" i="33"/>
  <c r="AA66" i="33" l="1"/>
  <c r="Z64" i="33"/>
  <c r="AB66" i="33" l="1"/>
  <c r="AA64" i="33"/>
  <c r="AC66" i="33" l="1"/>
  <c r="AB64" i="33"/>
  <c r="AD66" i="33" l="1"/>
  <c r="AC64" i="33"/>
  <c r="AE66" i="33" l="1"/>
  <c r="AD64" i="33"/>
  <c r="AF66" i="33" l="1"/>
  <c r="AE64" i="33"/>
  <c r="AG66" i="33" l="1"/>
  <c r="AF64" i="33"/>
  <c r="AH66" i="33" l="1"/>
  <c r="AG64" i="33"/>
  <c r="AI66" i="33" l="1"/>
  <c r="AH64" i="33"/>
  <c r="AJ66" i="33" l="1"/>
  <c r="AI64" i="33"/>
  <c r="AK66" i="33" l="1"/>
  <c r="AJ64" i="33"/>
  <c r="AL66" i="33" l="1"/>
  <c r="AK64" i="33"/>
  <c r="AM66" i="33" l="1"/>
  <c r="AL64" i="33"/>
  <c r="AN66" i="33" l="1"/>
  <c r="AM64" i="33"/>
  <c r="AO66" i="33" l="1"/>
  <c r="AN64" i="33"/>
  <c r="AP66" i="33" l="1"/>
  <c r="AO64" i="33"/>
  <c r="AQ66" i="33" l="1"/>
  <c r="AP64" i="33"/>
  <c r="AR66" i="33" l="1"/>
  <c r="AQ64" i="33"/>
  <c r="AS66" i="33" l="1"/>
  <c r="AR64" i="33"/>
  <c r="AT66" i="33" l="1"/>
  <c r="AS64" i="33"/>
  <c r="AU66" i="33" l="1"/>
  <c r="AT64" i="33"/>
  <c r="AV66" i="33" l="1"/>
  <c r="AU64" i="33"/>
  <c r="AW66" i="33" l="1"/>
  <c r="AV64" i="33"/>
  <c r="AW80" i="33" l="1"/>
  <c r="AW64" i="33"/>
  <c r="AW73" i="33"/>
  <c r="AW71" i="33" s="1"/>
  <c r="AW8" i="33" s="1"/>
  <c r="D15" i="33" s="1"/>
  <c r="E15" i="33" s="1"/>
  <c r="AW78" i="33" l="1"/>
  <c r="AW9" i="33" l="1"/>
  <c r="D16" i="33" s="1"/>
  <c r="E16" i="33" s="1"/>
  <c r="AW6" i="35"/>
  <c r="AW6" i="45" s="1"/>
  <c r="AW8" i="35"/>
  <c r="AW7" i="35"/>
  <c r="D22" i="35" s="1"/>
</calcChain>
</file>

<file path=xl/sharedStrings.xml><?xml version="1.0" encoding="utf-8"?>
<sst xmlns="http://schemas.openxmlformats.org/spreadsheetml/2006/main" count="1171" uniqueCount="359">
  <si>
    <t>Total transport incl. international aviation, excl. international maritime</t>
  </si>
  <si>
    <t>Source</t>
  </si>
  <si>
    <t>Unit</t>
  </si>
  <si>
    <t>2005</t>
  </si>
  <si>
    <t>2010</t>
  </si>
  <si>
    <t>2015</t>
  </si>
  <si>
    <t>2020</t>
  </si>
  <si>
    <t>Total</t>
  </si>
  <si>
    <t>EEA GHG data viewer</t>
  </si>
  <si>
    <t>Mt CO2e</t>
  </si>
  <si>
    <t>Road - cars and motorcycles</t>
  </si>
  <si>
    <t>Road - HDV and buses</t>
  </si>
  <si>
    <t>Road - Light Duty Trucks</t>
  </si>
  <si>
    <t>Railways, IWW and others</t>
  </si>
  <si>
    <t>- of which Railways, IWW</t>
  </si>
  <si>
    <t>- of which Other</t>
  </si>
  <si>
    <t>Aviation</t>
  </si>
  <si>
    <t>- of which domestic</t>
  </si>
  <si>
    <t>- of which international</t>
  </si>
  <si>
    <t>linear trajector to benchmarks</t>
  </si>
  <si>
    <t>linear trajectory</t>
  </si>
  <si>
    <t>2030 benchmark</t>
  </si>
  <si>
    <t>CTP MIX</t>
  </si>
  <si>
    <t>2050 benchmark</t>
  </si>
  <si>
    <t>ESABCC db</t>
  </si>
  <si>
    <t>2040 advice min</t>
  </si>
  <si>
    <t>Average 2005-2022</t>
  </si>
  <si>
    <t>Average 2017-2021</t>
  </si>
  <si>
    <t>Average 2018-2022</t>
  </si>
  <si>
    <t>calculated</t>
  </si>
  <si>
    <t>Average 2022-2030</t>
  </si>
  <si>
    <t>Average 2023-2030</t>
  </si>
  <si>
    <t>Average 2031-2050</t>
  </si>
  <si>
    <t>min</t>
  </si>
  <si>
    <t>max</t>
  </si>
  <si>
    <t>Average 2031-2040</t>
  </si>
  <si>
    <t>Indicator T1</t>
  </si>
  <si>
    <t>Historic data</t>
  </si>
  <si>
    <t>2022 (proxy)</t>
  </si>
  <si>
    <t>1.A.3 - Transport</t>
  </si>
  <si>
    <t>kt CO2e</t>
  </si>
  <si>
    <t>1.A.3.a - Domestic Aviation</t>
  </si>
  <si>
    <t>1.A.3.b - Road Transportation</t>
  </si>
  <si>
    <t>1.A.3.b.i - Cars</t>
  </si>
  <si>
    <t>1.A.3.b.ii - Light duty trucks</t>
  </si>
  <si>
    <t>1.A.3.b.iii - Heavy duty trucks and buses</t>
  </si>
  <si>
    <t>1.A.3.b.iv - Motorcycles</t>
  </si>
  <si>
    <t>1.A.3.b.v - Other Road Transportation</t>
  </si>
  <si>
    <t>1.A.3.c - Railways</t>
  </si>
  <si>
    <t>1.A.3.d - Domestic Navigation</t>
  </si>
  <si>
    <t>1.A.3.e - Other Transportation</t>
  </si>
  <si>
    <t>1.D.1 - International Bunkers</t>
  </si>
  <si>
    <t>1.D.1.a - International Aviation</t>
  </si>
  <si>
    <t>1.D.1.b - International Navigation</t>
  </si>
  <si>
    <t>Benchmark data</t>
  </si>
  <si>
    <t>Transport excl. bunkers</t>
  </si>
  <si>
    <t>FF55 MIX</t>
  </si>
  <si>
    <t>Bunkers</t>
  </si>
  <si>
    <t>of which int. aviation</t>
  </si>
  <si>
    <t>of which int. maritime</t>
  </si>
  <si>
    <t>Total incl aviation, excl. maritime</t>
  </si>
  <si>
    <t>2040 advice data</t>
  </si>
  <si>
    <t>NZero_bioLim7p5_withICEPhOP</t>
  </si>
  <si>
    <t>90-95% range excl bunkers + EC SMSS-based aviation</t>
  </si>
  <si>
    <t>def_bioLim7p5_300_withICEPhOP</t>
  </si>
  <si>
    <t>def_bioLim7p5_500_withICEPhOP</t>
  </si>
  <si>
    <t>flex_bioLim7p5_300_withICEPhOP</t>
  </si>
  <si>
    <t>flex_bioLim7p5_500_withICEPhOP</t>
  </si>
  <si>
    <t>rigid_bioLim7p5_500_withICEPhOP</t>
  </si>
  <si>
    <t>Min</t>
  </si>
  <si>
    <t>Max</t>
  </si>
  <si>
    <t>Median</t>
  </si>
  <si>
    <t>calibrated to inventory in 2015</t>
  </si>
  <si>
    <t>High Renewable Energy Pathway</t>
  </si>
  <si>
    <t>Median 90-95%</t>
  </si>
  <si>
    <t>Bunker estimates - used in 2040 advice (from sustainable &amp; smart mobility strategy)</t>
  </si>
  <si>
    <t>2011</t>
  </si>
  <si>
    <t>2012</t>
  </si>
  <si>
    <t>2013</t>
  </si>
  <si>
    <t>2014</t>
  </si>
  <si>
    <t>2016</t>
  </si>
  <si>
    <t>2017</t>
  </si>
  <si>
    <t>2018</t>
  </si>
  <si>
    <t>2019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</si>
  <si>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</si>
  <si>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</si>
  <si>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</si>
  <si>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</si>
  <si>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</si>
  <si>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</si>
  <si>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</si>
  <si>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</si>
  <si>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</si>
  <si>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</si>
  <si>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</si>
  <si>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</si>
  <si>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</si>
  <si>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</si>
  <si>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</si>
  <si>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</si>
  <si>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</si>
  <si>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</si>
  <si>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</si>
  <si>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</si>
  <si>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</si>
  <si>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</si>
  <si>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</si>
  <si>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</si>
  <si>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</si>
  <si>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</si>
  <si>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</si>
  <si>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</si>
  <si>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</si>
  <si>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</si>
  <si>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international aviation (intra-EU + extra)</t>
  </si>
  <si>
    <t>international shipping (intra-EU + extra)</t>
  </si>
  <si>
    <t>% reductions: 2050 vs 2020</t>
  </si>
  <si>
    <t>% reductions vs 1990</t>
  </si>
  <si>
    <t>graph feed (excl. IWW and maritime)</t>
  </si>
  <si>
    <t>Eurostat Statistical Pocketbook 2022</t>
  </si>
  <si>
    <t>Gpkm</t>
  </si>
  <si>
    <t>cars and 2-wheels</t>
  </si>
  <si>
    <t>buses and coaches</t>
  </si>
  <si>
    <t>rail</t>
  </si>
  <si>
    <t>aviation</t>
  </si>
  <si>
    <t>CTP-MIX</t>
  </si>
  <si>
    <t>2050 benchmark (min)</t>
  </si>
  <si>
    <t>1.5TECH</t>
  </si>
  <si>
    <t>2050 benchmark (max)</t>
  </si>
  <si>
    <t>1.5LIFE</t>
  </si>
  <si>
    <t>linear trajectory to benchmark</t>
  </si>
  <si>
    <t>linear trajectory to benchmark 2</t>
  </si>
  <si>
    <t>Change 2015-2019</t>
  </si>
  <si>
    <t>Change 2019-2030</t>
  </si>
  <si>
    <t>Change 2031-2050 1</t>
  </si>
  <si>
    <t>Change 2031-2050 2</t>
  </si>
  <si>
    <t>Raw historic data</t>
  </si>
  <si>
    <t xml:space="preserve">Passenger travel </t>
  </si>
  <si>
    <t>Indicator T2a</t>
  </si>
  <si>
    <t>Passenger Cars</t>
  </si>
  <si>
    <t>Powered 2-wheelers</t>
  </si>
  <si>
    <t>Buses &amp; Coaches</t>
  </si>
  <si>
    <t>Railways</t>
  </si>
  <si>
    <t>- of which highspeed rail</t>
  </si>
  <si>
    <t>Tram &amp; Metro</t>
  </si>
  <si>
    <t>Air</t>
  </si>
  <si>
    <t>Sea</t>
  </si>
  <si>
    <t>IWW</t>
  </si>
  <si>
    <t>Total excluding air, sea</t>
  </si>
  <si>
    <t>2030 decarbonisation scenarios</t>
  </si>
  <si>
    <t>Passenger transport activity (Gpkm)</t>
  </si>
  <si>
    <t>Buses and coaches</t>
  </si>
  <si>
    <t xml:space="preserve">Passenger cars </t>
  </si>
  <si>
    <t>Powered two-wheelers</t>
  </si>
  <si>
    <t>Rail</t>
  </si>
  <si>
    <t>Intra-EU aviation</t>
  </si>
  <si>
    <t>Inland waterways and domestic maritime</t>
  </si>
  <si>
    <t>2050 decarbonization scenarios</t>
  </si>
  <si>
    <t>Baseline</t>
  </si>
  <si>
    <t>rate 2015-2030</t>
  </si>
  <si>
    <t>rate 2030-2050</t>
  </si>
  <si>
    <t>Total (excl. IWW)</t>
  </si>
  <si>
    <t>Road</t>
  </si>
  <si>
    <t>ACP4A In-depth analysis fig 45</t>
  </si>
  <si>
    <t xml:space="preserve">Rail </t>
  </si>
  <si>
    <t>Inland navigation</t>
  </si>
  <si>
    <t>1,5TECH</t>
  </si>
  <si>
    <t>2050 difference to baseline</t>
  </si>
  <si>
    <t>1,5LIFE</t>
  </si>
  <si>
    <t>(</t>
  </si>
  <si>
    <t>Gtkm</t>
  </si>
  <si>
    <t>Indicator T2b</t>
  </si>
  <si>
    <t>Inland Waterway</t>
  </si>
  <si>
    <t>Oil Pipeline</t>
  </si>
  <si>
    <t>Total excl. domestic maritime</t>
  </si>
  <si>
    <t>own calculation</t>
  </si>
  <si>
    <t>Heavy goods and light commercial vehicles</t>
  </si>
  <si>
    <t xml:space="preserve">IWW only </t>
  </si>
  <si>
    <t>ACP4A In-depth analysis fig 46</t>
  </si>
  <si>
    <t>Figure 1</t>
  </si>
  <si>
    <t>%</t>
  </si>
  <si>
    <t>Freight (vans and lorries)</t>
  </si>
  <si>
    <t>Benchmark passenger</t>
  </si>
  <si>
    <t xml:space="preserve">CTP-MIX </t>
  </si>
  <si>
    <t>Benchmark Freight</t>
  </si>
  <si>
    <t>linear trajectory passenger</t>
  </si>
  <si>
    <t>linear trajectory freight</t>
  </si>
  <si>
    <t>Indicator T3a</t>
  </si>
  <si>
    <t>Figure 2</t>
  </si>
  <si>
    <t>Average 2015-2019</t>
  </si>
  <si>
    <t>Average until 2030</t>
  </si>
  <si>
    <t>HSR (passenger)</t>
  </si>
  <si>
    <t>Rail (freight)</t>
  </si>
  <si>
    <t>IWW (freight)</t>
  </si>
  <si>
    <t>HSR (passenger) benchmark</t>
  </si>
  <si>
    <t>Rail (freight) benchmark</t>
  </si>
  <si>
    <t>IWW (freight) benchmark</t>
  </si>
  <si>
    <t>2020-2030</t>
  </si>
  <si>
    <t>2031-2050</t>
  </si>
  <si>
    <t>HSR</t>
  </si>
  <si>
    <t>Rail freight</t>
  </si>
  <si>
    <t>IWW freight</t>
  </si>
  <si>
    <t>Indicator T3c</t>
  </si>
  <si>
    <t>Modal shares land transport</t>
  </si>
  <si>
    <t>Cars&amp;2W</t>
  </si>
  <si>
    <t>Buses&amp;coaches</t>
  </si>
  <si>
    <t>Benchmark - cars&amp;2W</t>
  </si>
  <si>
    <t>Benchmark - buses&amp;coaches</t>
  </si>
  <si>
    <t>Benchmark - rail</t>
  </si>
  <si>
    <t>linear trajectories</t>
  </si>
  <si>
    <t>% of cars and 2W</t>
  </si>
  <si>
    <t>Change 2031-2050</t>
  </si>
  <si>
    <t>% of buses and coaches</t>
  </si>
  <si>
    <t>% of rail</t>
  </si>
  <si>
    <t>Historic</t>
  </si>
  <si>
    <t>benchmark 2030</t>
  </si>
  <si>
    <t>benchmark 2050 (min)</t>
  </si>
  <si>
    <t>benchmark 2050 (max)</t>
  </si>
  <si>
    <t>linear trajectory 2</t>
  </si>
  <si>
    <t>annual change (% vs 2015 level)</t>
  </si>
  <si>
    <t>Indicator T3b</t>
  </si>
  <si>
    <t>Short haul aviation and high-speed rail</t>
  </si>
  <si>
    <t>Short haul flights</t>
  </si>
  <si>
    <t>Eurostat AVIA_PAODIS</t>
  </si>
  <si>
    <t>million passengers</t>
  </si>
  <si>
    <t>Smart and Sustainable Mobility Strategy</t>
  </si>
  <si>
    <t>High-speed rail</t>
  </si>
  <si>
    <t>benchmark 2050</t>
  </si>
  <si>
    <t>Passenger cars</t>
  </si>
  <si>
    <t>Historic - NEDC</t>
  </si>
  <si>
    <t>EEA</t>
  </si>
  <si>
    <t>gCO2/km</t>
  </si>
  <si>
    <t>Historic - WLTP</t>
  </si>
  <si>
    <t>Previous objectives (NEDC)</t>
  </si>
  <si>
    <t>Regulation (EU) 2019/631</t>
  </si>
  <si>
    <t>New objectives (WLTP)</t>
  </si>
  <si>
    <t>Regulation (EU) 2023/851</t>
  </si>
  <si>
    <t>Required 2023-2030</t>
  </si>
  <si>
    <t>Required 2031-2035</t>
  </si>
  <si>
    <t>Indicator T4 (left)</t>
  </si>
  <si>
    <t>Note: This figure and the figure below to be combined into one figure, with a left pane and right pane. The legend on the bottom should be common to both panes.</t>
  </si>
  <si>
    <t>Vans</t>
  </si>
  <si>
    <t>Previous objectives</t>
  </si>
  <si>
    <t>New objectives</t>
  </si>
  <si>
    <t>Inditor T4 (right)</t>
  </si>
  <si>
    <t>HDV</t>
  </si>
  <si>
    <t>gCO2/tkm</t>
  </si>
  <si>
    <t>Regulation (EU) 2019/1242</t>
  </si>
  <si>
    <t>COM(2023) 88 final</t>
  </si>
  <si>
    <t>Required 2019-2030</t>
  </si>
  <si>
    <t>Required 2031-2040</t>
  </si>
  <si>
    <t>Indicator T5a</t>
  </si>
  <si>
    <t>Indicator T5b</t>
  </si>
  <si>
    <t>Graph feed</t>
  </si>
  <si>
    <t>ZEV share</t>
  </si>
  <si>
    <t>EU alternative fuel observatory, EEA for 2022</t>
  </si>
  <si>
    <t>% of sales</t>
  </si>
  <si>
    <t>LEV share</t>
  </si>
  <si>
    <t>benchmark</t>
  </si>
  <si>
    <t>pp.</t>
  </si>
  <si>
    <t>% increase</t>
  </si>
  <si>
    <t>Required 2023-2035</t>
  </si>
  <si>
    <t>Category</t>
  </si>
  <si>
    <t>ZEV</t>
  </si>
  <si>
    <t>EU alternative fuel observatory</t>
  </si>
  <si>
    <t># of sales</t>
  </si>
  <si>
    <t>BEV</t>
  </si>
  <si>
    <t>H2</t>
  </si>
  <si>
    <t>LEV</t>
  </si>
  <si>
    <t>PHEV</t>
  </si>
  <si>
    <t>LPG</t>
  </si>
  <si>
    <t>CNG</t>
  </si>
  <si>
    <t>Conventional ICE</t>
  </si>
  <si>
    <t>Calculated</t>
  </si>
  <si>
    <t>#</t>
  </si>
  <si>
    <t>LNG</t>
  </si>
  <si>
    <t>EU alternative fuel observatory, EEA data for 2022</t>
  </si>
  <si>
    <t>Trucks/HDV</t>
  </si>
  <si>
    <t># in fleet</t>
  </si>
  <si>
    <t>% of fossil fuels</t>
  </si>
  <si>
    <t>Energy balances</t>
  </si>
  <si>
    <t>Required 2022-2030</t>
  </si>
  <si>
    <t>Total overviez</t>
  </si>
  <si>
    <t>Indicator T6a</t>
  </si>
  <si>
    <t>% fossil</t>
  </si>
  <si>
    <t>%  bio</t>
  </si>
  <si>
    <t>% electricity</t>
  </si>
  <si>
    <t>Transport excl. Bunkers</t>
  </si>
  <si>
    <t>Eurostat energy balance</t>
  </si>
  <si>
    <t>ktoe</t>
  </si>
  <si>
    <t>Solid fossil fuels</t>
  </si>
  <si>
    <t>Manufactured gases</t>
  </si>
  <si>
    <t>Peat and peat products</t>
  </si>
  <si>
    <t>Natural gas</t>
  </si>
  <si>
    <t>Oil and petroleum products (excluding biofuel portion)</t>
  </si>
  <si>
    <t>Electricity</t>
  </si>
  <si>
    <t>Bioenergy</t>
  </si>
  <si>
    <t>International maritime</t>
  </si>
  <si>
    <t>International aviation</t>
  </si>
  <si>
    <t>2030 and 2050 benchmarks</t>
  </si>
  <si>
    <t>Total incl. Bunkers</t>
  </si>
  <si>
    <t>Total excl. Bunkers</t>
  </si>
  <si>
    <t>CTP Mix</t>
  </si>
  <si>
    <t xml:space="preserve">International maritime </t>
  </si>
  <si>
    <t>CTP Mix (IA part 2 figure 63)</t>
  </si>
  <si>
    <t>mtoe</t>
  </si>
  <si>
    <t>Hydrogen</t>
  </si>
  <si>
    <t>E-Gas</t>
  </si>
  <si>
    <t>Biogas</t>
  </si>
  <si>
    <t>Natural Gas</t>
  </si>
  <si>
    <t>Liquid Biofuel</t>
  </si>
  <si>
    <t>E-Liquids</t>
  </si>
  <si>
    <t>Oil Products</t>
  </si>
  <si>
    <t>TOTAL</t>
  </si>
  <si>
    <t>% fossil fuels</t>
  </si>
  <si>
    <t>Food-based biofuel demand</t>
  </si>
  <si>
    <t>Data source</t>
  </si>
  <si>
    <t>unit</t>
  </si>
  <si>
    <t>Biofuels from food crops</t>
  </si>
  <si>
    <t>SHARES summary sheet</t>
  </si>
  <si>
    <t>Mtoe</t>
  </si>
  <si>
    <t>CTP MIX (see below)</t>
  </si>
  <si>
    <t>Conventional biofuel share</t>
  </si>
  <si>
    <t>total energy use</t>
  </si>
  <si>
    <t>Conventional biofuel use</t>
  </si>
  <si>
    <t>Share of first gen in total biofuels</t>
  </si>
  <si>
    <t>Indicator T6b</t>
  </si>
  <si>
    <t>Benchmark - road</t>
  </si>
  <si>
    <t>Benchmark - IWW</t>
  </si>
  <si>
    <t>% of road</t>
  </si>
  <si>
    <t>% of IWW</t>
  </si>
  <si>
    <t>billion tkm</t>
  </si>
  <si>
    <t>SSMS</t>
  </si>
  <si>
    <t>Linear trajectory to benchmarks</t>
  </si>
  <si>
    <t>Demand-side Focus Pathway</t>
  </si>
  <si>
    <t>Font and colours:</t>
  </si>
  <si>
    <t>Half page width:</t>
  </si>
  <si>
    <t>Mixed Options Pathway</t>
  </si>
  <si>
    <t xml:space="preserve">Font: </t>
  </si>
  <si>
    <t xml:space="preserve">Segoe UI, size 8 </t>
  </si>
  <si>
    <t>Signature colour</t>
  </si>
  <si>
    <t>Gridlines:</t>
  </si>
  <si>
    <t>Transparency: 90%</t>
  </si>
  <si>
    <t>Lines:</t>
  </si>
  <si>
    <t>High width: 2.25 pt</t>
  </si>
  <si>
    <t>Low width: 0.25 pt</t>
  </si>
  <si>
    <t>Colours:</t>
  </si>
  <si>
    <t>Primary colour palette</t>
  </si>
  <si>
    <t>Full page width:</t>
  </si>
  <si>
    <t>Title and</t>
  </si>
  <si>
    <t xml:space="preserve">In Word document </t>
  </si>
  <si>
    <t>source:</t>
  </si>
  <si>
    <t>(CO2 / Energy / Supply / Electricity)</t>
  </si>
  <si>
    <t xml:space="preserve"> </t>
  </si>
  <si>
    <t>90-95% average</t>
  </si>
  <si>
    <t>2040 advice</t>
  </si>
  <si>
    <t>Passenger (cars and two-wheelers)</t>
  </si>
  <si>
    <t>TWh</t>
  </si>
  <si>
    <t>FF55 - MIX 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</si>
</sst>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0.0"/>
    <numFmt numFmtId="165" formatCode="0.0%"/>
    <numFmt numFmtId="166" formatCode="###0.00_)"/>
    <numFmt numFmtId="167" formatCode="#,##0_)"/>
    <numFmt numFmtId="168" formatCode="#,##0.0_i"/>
    <numFmt numFmtId="169" formatCode="_-* #,##0.00\ _€_-;\-* #,##0.00\ _€_-;_-* &quot;-&quot;??\ _€_-;_-@_-"/>
    <numFmt numFmtId="170" formatCode="???,???.00"/>
    <numFmt numFmtId="171" formatCode="#,##0.0000"/>
    <numFmt numFmtId="172" formatCode="0.0000%"/>
  </numFmts>
  <fonts count="5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rgb="FF000000"/>
      <name val="Calibri"/>
      <family val="2"/>
    </font>
    <font>
      <sz val="1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Arial"/>
      <family val="2"/>
    </font>
    <font>
      <b/>
      <sz val="10"/>
      <color indexed="18"/>
      <name val="Arial"/>
      <family val="2"/>
    </font>
    <font>
      <b/>
      <sz val="10"/>
      <color indexed="8"/>
      <name val="Arial"/>
      <family val="2"/>
    </font>
    <font>
      <sz val="11"/>
      <name val="Arial"/>
      <family val="2"/>
    </font>
    <font>
      <b/>
      <sz val="14"/>
      <name val="Helv"/>
    </font>
    <font>
      <b/>
      <sz val="10"/>
      <name val="Helv"/>
    </font>
    <font>
      <sz val="10"/>
      <name val="Helv"/>
    </font>
    <font>
      <sz val="12"/>
      <name val="Helv"/>
    </font>
    <font>
      <b/>
      <sz val="12"/>
      <name val="Helv"/>
    </font>
    <font>
      <sz val="9"/>
      <name val="Helv"/>
    </font>
    <font>
      <vertAlign val="superscript"/>
      <sz val="12"/>
      <name val="Helv"/>
    </font>
    <font>
      <b/>
      <sz val="9"/>
      <name val="Helv"/>
    </font>
    <font>
      <sz val="8.5"/>
      <name val="Helv"/>
    </font>
    <font>
      <sz val="8"/>
      <name val="Helv"/>
    </font>
    <font>
      <sz val="11"/>
      <color rgb="FF9C6500"/>
      <name val="Calibri"/>
      <family val="2"/>
      <scheme val="minor"/>
    </font>
    <font>
      <sz val="9"/>
      <color theme="1"/>
      <name val="Arial"/>
      <family val="2"/>
    </font>
    <font>
      <b/>
      <sz val="18"/>
      <color theme="3"/>
      <name val="Calibri Light"/>
      <family val="2"/>
      <scheme val="major"/>
    </font>
    <font>
      <sz val="8"/>
      <name val="Arial"/>
      <family val="2"/>
      <charset val="161"/>
    </font>
    <font>
      <sz val="9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8"/>
      <name val="Helvetica"/>
    </font>
    <font>
      <b/>
      <sz val="12"/>
      <color indexed="10"/>
      <name val="Arial"/>
      <family val="2"/>
    </font>
    <font>
      <sz val="10"/>
      <name val="Arial"/>
      <family val="2"/>
      <charset val="161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</font>
    <font>
      <sz val="9"/>
      <color rgb="FF000000"/>
      <name val="Arial"/>
      <family val="2"/>
    </font>
    <font>
      <b/>
      <i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6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indexed="22"/>
        <bgColor indexed="55"/>
      </patternFill>
    </fill>
    <fill>
      <patternFill patternType="lightGray">
        <fgColor indexed="9"/>
      </patternFill>
    </fill>
    <fill>
      <patternFill patternType="gray0625">
        <fgColor indexed="9"/>
      </patternFill>
    </fill>
    <fill>
      <patternFill patternType="solid">
        <fgColor indexed="22"/>
        <bgColor indexed="64"/>
      </patternFill>
    </fill>
    <fill>
      <patternFill patternType="darkTrellis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608C95"/>
        <bgColor rgb="FF000000"/>
      </patternFill>
    </fill>
    <fill>
      <patternFill patternType="solid">
        <fgColor rgb="FF3D5584"/>
        <bgColor rgb="FF000000"/>
      </patternFill>
    </fill>
    <fill>
      <patternFill patternType="solid">
        <fgColor rgb="FF648ECA"/>
        <bgColor rgb="FF000000"/>
      </patternFill>
    </fill>
    <fill>
      <patternFill patternType="solid">
        <fgColor rgb="FF98C9EE"/>
        <bgColor rgb="FF000000"/>
      </patternFill>
    </fill>
    <fill>
      <patternFill patternType="solid">
        <fgColor rgb="FFA2C0B6"/>
        <bgColor rgb="FF000000"/>
      </patternFill>
    </fill>
    <fill>
      <patternFill patternType="solid">
        <fgColor rgb="FF64786A"/>
        <bgColor rgb="FF000000"/>
      </patternFill>
    </fill>
    <fill>
      <patternFill patternType="solid">
        <fgColor rgb="FF2E422F"/>
        <bgColor rgb="FF000000"/>
      </patternFill>
    </fill>
    <fill>
      <patternFill patternType="solid">
        <fgColor rgb="FFEFE973"/>
        <bgColor rgb="FF000000"/>
      </patternFill>
    </fill>
    <fill>
      <patternFill patternType="solid">
        <fgColor rgb="FFF59E2D"/>
        <bgColor rgb="FF000000"/>
      </patternFill>
    </fill>
    <fill>
      <patternFill patternType="solid">
        <fgColor rgb="FFF26119"/>
        <bgColor rgb="FF000000"/>
      </patternFill>
    </fill>
    <fill>
      <patternFill patternType="solid">
        <fgColor rgb="FFB04545"/>
        <bgColor rgb="FF000000"/>
      </patternFill>
    </fill>
    <fill>
      <patternFill patternType="solid">
        <fgColor rgb="FFF0CBD9"/>
        <bgColor rgb="FF000000"/>
      </patternFill>
    </fill>
    <fill>
      <patternFill patternType="solid">
        <fgColor rgb="FFB487C7"/>
        <bgColor rgb="FF000000"/>
      </patternFill>
    </fill>
    <fill>
      <patternFill patternType="solid">
        <fgColor rgb="FF4F3A66"/>
        <bgColor rgb="FF000000"/>
      </patternFill>
    </fill>
    <fill>
      <patternFill patternType="solid">
        <fgColor rgb="FF2C2D2D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FE97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</borders>
  <cellStyleXfs count="171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0"/>
    <xf numFmtId="0" fontId="5" fillId="0" borderId="0"/>
    <xf numFmtId="0" fontId="6" fillId="0" borderId="0"/>
    <xf numFmtId="0" fontId="7" fillId="0" borderId="0"/>
    <xf numFmtId="0" fontId="8" fillId="0" borderId="0" applyNumberFormat="0" applyFill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6" applyNumberFormat="0" applyAlignment="0" applyProtection="0"/>
    <xf numFmtId="0" fontId="16" fillId="7" borderId="7" applyNumberFormat="0" applyAlignment="0" applyProtection="0"/>
    <xf numFmtId="0" fontId="17" fillId="7" borderId="6" applyNumberFormat="0" applyAlignment="0" applyProtection="0"/>
    <xf numFmtId="0" fontId="18" fillId="0" borderId="8" applyNumberFormat="0" applyFill="0" applyAlignment="0" applyProtection="0"/>
    <xf numFmtId="0" fontId="19" fillId="8" borderId="9" applyNumberFormat="0" applyAlignment="0" applyProtection="0"/>
    <xf numFmtId="0" fontId="20" fillId="0" borderId="0" applyNumberFormat="0" applyFill="0" applyBorder="0" applyAlignment="0" applyProtection="0"/>
    <xf numFmtId="0" fontId="1" fillId="9" borderId="10" applyNumberFormat="0" applyFont="0" applyAlignment="0" applyProtection="0"/>
    <xf numFmtId="0" fontId="21" fillId="0" borderId="0" applyNumberFormat="0" applyFill="0" applyBorder="0" applyAlignment="0" applyProtection="0"/>
    <xf numFmtId="0" fontId="4" fillId="0" borderId="11" applyNumberFormat="0" applyFill="0" applyAlignment="0" applyProtection="0"/>
    <xf numFmtId="0" fontId="2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2" fillId="33" borderId="0" applyNumberFormat="0" applyBorder="0" applyAlignment="0" applyProtection="0"/>
    <xf numFmtId="0" fontId="32" fillId="0" borderId="0">
      <alignment horizontal="center" vertical="center" wrapText="1"/>
    </xf>
    <xf numFmtId="43" fontId="7" fillId="0" borderId="0" applyFont="0" applyFill="0" applyBorder="0" applyAlignment="0" applyProtection="0"/>
    <xf numFmtId="0" fontId="33" fillId="0" borderId="0">
      <alignment horizontal="left" vertical="center" wrapText="1"/>
    </xf>
    <xf numFmtId="166" fontId="31" fillId="0" borderId="12" applyNumberFormat="0" applyFill="0">
      <alignment horizontal="right"/>
    </xf>
    <xf numFmtId="167" fontId="34" fillId="0" borderId="12">
      <alignment horizontal="right" vertical="center"/>
    </xf>
    <xf numFmtId="49" fontId="35" fillId="0" borderId="12">
      <alignment horizontal="left" vertical="center"/>
    </xf>
    <xf numFmtId="166" fontId="31" fillId="0" borderId="12" applyNumberFormat="0" applyFill="0">
      <alignment horizontal="right"/>
    </xf>
    <xf numFmtId="0" fontId="30" fillId="0" borderId="12">
      <alignment horizontal="left"/>
    </xf>
    <xf numFmtId="0" fontId="36" fillId="0" borderId="13">
      <alignment horizontal="right" vertical="center"/>
    </xf>
    <xf numFmtId="0" fontId="37" fillId="0" borderId="12">
      <alignment horizontal="left" vertical="center"/>
    </xf>
    <xf numFmtId="0" fontId="31" fillId="0" borderId="12">
      <alignment horizontal="left" vertical="center"/>
    </xf>
    <xf numFmtId="0" fontId="30" fillId="0" borderId="12">
      <alignment horizontal="left"/>
    </xf>
    <xf numFmtId="0" fontId="30" fillId="36" borderId="0">
      <alignment horizontal="centerContinuous" wrapText="1"/>
    </xf>
    <xf numFmtId="49" fontId="30" fillId="36" borderId="14">
      <alignment horizontal="left" vertical="center"/>
    </xf>
    <xf numFmtId="0" fontId="30" fillId="36" borderId="0">
      <alignment horizontal="centerContinuous" vertical="center" wrapText="1"/>
    </xf>
    <xf numFmtId="0" fontId="39" fillId="5" borderId="0" applyNumberFormat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7" fillId="0" borderId="0"/>
    <xf numFmtId="0" fontId="1" fillId="0" borderId="0"/>
    <xf numFmtId="0" fontId="1" fillId="9" borderId="10" applyNumberFormat="0" applyFont="0" applyAlignment="0" applyProtection="0"/>
    <xf numFmtId="0" fontId="1" fillId="9" borderId="10" applyNumberFormat="0" applyFont="0" applyAlignment="0" applyProtection="0"/>
    <xf numFmtId="0" fontId="1" fillId="9" borderId="10" applyNumberFormat="0" applyFont="0" applyAlignment="0" applyProtection="0"/>
    <xf numFmtId="168" fontId="40" fillId="0" borderId="0" applyFill="0" applyBorder="0" applyProtection="0">
      <alignment horizontal="right"/>
    </xf>
    <xf numFmtId="3" fontId="34" fillId="0" borderId="0">
      <alignment horizontal="left" vertical="center"/>
    </xf>
    <xf numFmtId="0" fontId="32" fillId="0" borderId="0">
      <alignment horizontal="left" vertical="center"/>
    </xf>
    <xf numFmtId="0" fontId="38" fillId="0" borderId="0">
      <alignment horizontal="right"/>
    </xf>
    <xf numFmtId="49" fontId="38" fillId="0" borderId="0">
      <alignment horizontal="center"/>
    </xf>
    <xf numFmtId="0" fontId="35" fillId="0" borderId="0">
      <alignment horizontal="right"/>
    </xf>
    <xf numFmtId="0" fontId="38" fillId="0" borderId="0">
      <alignment horizontal="left"/>
    </xf>
    <xf numFmtId="0" fontId="25" fillId="0" borderId="0"/>
    <xf numFmtId="49" fontId="34" fillId="0" borderId="0">
      <alignment horizontal="left" vertical="center"/>
    </xf>
    <xf numFmtId="49" fontId="35" fillId="0" borderId="12">
      <alignment horizontal="left"/>
    </xf>
    <xf numFmtId="166" fontId="34" fillId="0" borderId="0" applyNumberFormat="0">
      <alignment horizontal="right"/>
    </xf>
    <xf numFmtId="0" fontId="36" fillId="37" borderId="0">
      <alignment horizontal="centerContinuous" vertical="center" wrapText="1"/>
    </xf>
    <xf numFmtId="0" fontId="36" fillId="0" borderId="15">
      <alignment horizontal="left" vertical="center"/>
    </xf>
    <xf numFmtId="0" fontId="29" fillId="0" borderId="0">
      <alignment horizontal="left" vertical="top"/>
    </xf>
    <xf numFmtId="0" fontId="41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30" fillId="0" borderId="0">
      <alignment horizontal="left"/>
    </xf>
    <xf numFmtId="0" fontId="33" fillId="0" borderId="0">
      <alignment horizontal="left"/>
    </xf>
    <xf numFmtId="0" fontId="31" fillId="0" borderId="0">
      <alignment horizontal="left"/>
    </xf>
    <xf numFmtId="0" fontId="29" fillId="0" borderId="0">
      <alignment horizontal="left" vertical="top"/>
    </xf>
    <xf numFmtId="0" fontId="33" fillId="0" borderId="0">
      <alignment horizontal="left"/>
    </xf>
    <xf numFmtId="0" fontId="31" fillId="0" borderId="0">
      <alignment horizontal="left"/>
    </xf>
    <xf numFmtId="0" fontId="26" fillId="38" borderId="0" applyNumberFormat="0" applyBorder="0">
      <protection locked="0"/>
    </xf>
    <xf numFmtId="0" fontId="27" fillId="39" borderId="0" applyNumberFormat="0" applyBorder="0">
      <protection locked="0"/>
    </xf>
    <xf numFmtId="49" fontId="34" fillId="0" borderId="12">
      <alignment horizontal="left"/>
    </xf>
    <xf numFmtId="0" fontId="36" fillId="0" borderId="13">
      <alignment horizontal="left"/>
    </xf>
    <xf numFmtId="0" fontId="30" fillId="0" borderId="0">
      <alignment horizontal="left" vertical="center"/>
    </xf>
    <xf numFmtId="49" fontId="38" fillId="0" borderId="12">
      <alignment horizontal="left"/>
    </xf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7" fillId="0" borderId="0"/>
    <xf numFmtId="169" fontId="7" fillId="0" borderId="0" applyFont="0" applyFill="0" applyBorder="0" applyAlignment="0" applyProtection="0"/>
    <xf numFmtId="0" fontId="1" fillId="0" borderId="0"/>
    <xf numFmtId="0" fontId="1" fillId="0" borderId="0"/>
    <xf numFmtId="0" fontId="25" fillId="0" borderId="0"/>
    <xf numFmtId="9" fontId="25" fillId="0" borderId="0" applyFont="0" applyFill="0" applyBorder="0" applyAlignment="0" applyProtection="0"/>
    <xf numFmtId="9" fontId="7" fillId="0" borderId="0" applyFont="0" applyFill="0" applyBorder="0" applyAlignment="0" applyProtection="0"/>
    <xf numFmtId="170" fontId="43" fillId="0" borderId="0" applyNumberFormat="0" applyProtection="0">
      <alignment horizontal="center" vertical="center"/>
    </xf>
    <xf numFmtId="49" fontId="44" fillId="0" borderId="16" applyNumberFormat="0" applyFont="0" applyFill="0" applyBorder="0" applyProtection="0">
      <alignment horizontal="left" vertical="center" indent="5"/>
    </xf>
    <xf numFmtId="4" fontId="45" fillId="0" borderId="2" applyFill="0" applyBorder="0" applyProtection="0">
      <alignment horizontal="right" vertical="center"/>
    </xf>
    <xf numFmtId="43" fontId="1" fillId="0" borderId="0" applyFont="0" applyFill="0" applyBorder="0" applyAlignment="0" applyProtection="0"/>
    <xf numFmtId="0" fontId="46" fillId="0" borderId="0" applyNumberFormat="0" applyFill="0" applyBorder="0" applyAlignment="0" applyProtection="0"/>
    <xf numFmtId="0" fontId="25" fillId="0" borderId="0"/>
    <xf numFmtId="4" fontId="44" fillId="0" borderId="1" applyFill="0" applyBorder="0" applyProtection="0">
      <alignment horizontal="right" vertical="center"/>
    </xf>
    <xf numFmtId="0" fontId="44" fillId="0" borderId="1" applyNumberFormat="0" applyFill="0" applyAlignment="0" applyProtection="0"/>
    <xf numFmtId="0" fontId="47" fillId="40" borderId="0" applyNumberFormat="0" applyFont="0" applyBorder="0" applyAlignment="0" applyProtection="0"/>
    <xf numFmtId="171" fontId="44" fillId="41" borderId="1" applyNumberFormat="0" applyFont="0" applyBorder="0" applyAlignment="0" applyProtection="0">
      <alignment horizontal="right" vertical="center"/>
    </xf>
    <xf numFmtId="0" fontId="48" fillId="0" borderId="17">
      <alignment horizontal="center"/>
      <protection hidden="1"/>
    </xf>
    <xf numFmtId="0" fontId="49" fillId="0" borderId="0"/>
    <xf numFmtId="0" fontId="42" fillId="0" borderId="0"/>
    <xf numFmtId="0" fontId="7" fillId="0" borderId="0"/>
    <xf numFmtId="43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50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54" fillId="0" borderId="0"/>
  </cellStyleXfs>
  <cellXfs count="77">
    <xf numFmtId="0" fontId="0" fillId="0" borderId="0" xfId="0"/>
    <xf numFmtId="1" fontId="0" fillId="0" borderId="0" xfId="0" applyNumberFormat="1"/>
    <xf numFmtId="9" fontId="0" fillId="0" borderId="0" xfId="1" applyFont="1"/>
    <xf numFmtId="0" fontId="0" fillId="0" borderId="0" xfId="0" quotePrefix="1"/>
    <xf numFmtId="3" fontId="0" fillId="0" borderId="0" xfId="0" applyNumberFormat="1"/>
    <xf numFmtId="9" fontId="0" fillId="0" borderId="0" xfId="0" applyNumberFormat="1"/>
    <xf numFmtId="165" fontId="0" fillId="0" borderId="0" xfId="1" applyNumberFormat="1" applyFont="1"/>
    <xf numFmtId="165" fontId="0" fillId="0" borderId="0" xfId="0" applyNumberFormat="1"/>
    <xf numFmtId="10" fontId="0" fillId="0" borderId="0" xfId="0" applyNumberFormat="1"/>
    <xf numFmtId="0" fontId="2" fillId="2" borderId="0" xfId="0" applyFont="1" applyFill="1"/>
    <xf numFmtId="10" fontId="0" fillId="0" borderId="0" xfId="1" applyNumberFormat="1" applyFont="1"/>
    <xf numFmtId="9" fontId="22" fillId="0" borderId="0" xfId="1" applyFont="1" applyAlignment="1">
      <alignment wrapText="1"/>
    </xf>
    <xf numFmtId="0" fontId="22" fillId="0" borderId="0" xfId="0" applyFont="1" applyAlignment="1">
      <alignment wrapText="1"/>
    </xf>
    <xf numFmtId="0" fontId="0" fillId="2" borderId="0" xfId="0" applyFill="1"/>
    <xf numFmtId="0" fontId="0" fillId="34" borderId="0" xfId="0" applyFill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34" borderId="0" xfId="0" applyFill="1" applyAlignment="1">
      <alignment horizontal="center"/>
    </xf>
    <xf numFmtId="0" fontId="23" fillId="35" borderId="0" xfId="0" applyFont="1" applyFill="1"/>
    <xf numFmtId="1" fontId="0" fillId="0" borderId="0" xfId="0" applyNumberFormat="1" applyAlignment="1">
      <alignment horizontal="center"/>
    </xf>
    <xf numFmtId="1" fontId="0" fillId="0" borderId="0" xfId="1" applyNumberFormat="1" applyFont="1"/>
    <xf numFmtId="3" fontId="0" fillId="0" borderId="0" xfId="1" applyNumberFormat="1" applyFont="1"/>
    <xf numFmtId="0" fontId="51" fillId="0" borderId="0" xfId="0" applyFont="1" applyAlignment="1">
      <alignment horizontal="center" vertical="center" wrapText="1"/>
    </xf>
    <xf numFmtId="3" fontId="22" fillId="0" borderId="0" xfId="0" applyNumberFormat="1" applyFont="1" applyAlignment="1">
      <alignment wrapText="1"/>
    </xf>
    <xf numFmtId="0" fontId="23" fillId="34" borderId="0" xfId="0" applyFont="1" applyFill="1"/>
    <xf numFmtId="0" fontId="2" fillId="34" borderId="0" xfId="0" applyFont="1" applyFill="1"/>
    <xf numFmtId="164" fontId="0" fillId="0" borderId="0" xfId="0" applyNumberFormat="1"/>
    <xf numFmtId="172" fontId="0" fillId="0" borderId="0" xfId="0" applyNumberFormat="1"/>
    <xf numFmtId="0" fontId="24" fillId="0" borderId="0" xfId="169"/>
    <xf numFmtId="4" fontId="0" fillId="0" borderId="0" xfId="0" applyNumberFormat="1"/>
    <xf numFmtId="2" fontId="0" fillId="0" borderId="0" xfId="0" applyNumberFormat="1"/>
    <xf numFmtId="0" fontId="0" fillId="42" borderId="0" xfId="0" applyFill="1"/>
    <xf numFmtId="0" fontId="0" fillId="42" borderId="0" xfId="0" applyFill="1" applyAlignment="1">
      <alignment horizontal="center"/>
    </xf>
    <xf numFmtId="0" fontId="52" fillId="0" borderId="0" xfId="0" applyFont="1"/>
    <xf numFmtId="0" fontId="53" fillId="0" borderId="0" xfId="0" applyFont="1"/>
    <xf numFmtId="0" fontId="52" fillId="0" borderId="0" xfId="0" applyFont="1" applyAlignment="1">
      <alignment horizontal="right"/>
    </xf>
    <xf numFmtId="9" fontId="52" fillId="0" borderId="0" xfId="0" applyNumberFormat="1" applyFont="1"/>
    <xf numFmtId="0" fontId="52" fillId="43" borderId="0" xfId="0" applyFont="1" applyFill="1"/>
    <xf numFmtId="0" fontId="52" fillId="44" borderId="0" xfId="0" applyFont="1" applyFill="1"/>
    <xf numFmtId="0" fontId="52" fillId="45" borderId="0" xfId="0" applyFont="1" applyFill="1"/>
    <xf numFmtId="0" fontId="52" fillId="46" borderId="0" xfId="0" applyFont="1" applyFill="1"/>
    <xf numFmtId="0" fontId="52" fillId="47" borderId="0" xfId="0" applyFont="1" applyFill="1"/>
    <xf numFmtId="0" fontId="52" fillId="48" borderId="0" xfId="0" applyFont="1" applyFill="1"/>
    <xf numFmtId="0" fontId="52" fillId="49" borderId="0" xfId="0" applyFont="1" applyFill="1"/>
    <xf numFmtId="0" fontId="52" fillId="50" borderId="0" xfId="0" applyFont="1" applyFill="1"/>
    <xf numFmtId="0" fontId="52" fillId="51" borderId="0" xfId="0" applyFont="1" applyFill="1"/>
    <xf numFmtId="0" fontId="52" fillId="52" borderId="0" xfId="0" applyFont="1" applyFill="1"/>
    <xf numFmtId="0" fontId="52" fillId="53" borderId="0" xfId="0" applyFont="1" applyFill="1"/>
    <xf numFmtId="0" fontId="52" fillId="54" borderId="0" xfId="0" applyFont="1" applyFill="1"/>
    <xf numFmtId="0" fontId="52" fillId="55" borderId="0" xfId="0" applyFont="1" applyFill="1"/>
    <xf numFmtId="0" fontId="52" fillId="56" borderId="0" xfId="0" applyFont="1" applyFill="1"/>
    <xf numFmtId="0" fontId="52" fillId="57" borderId="0" xfId="0" applyFont="1" applyFill="1"/>
    <xf numFmtId="0" fontId="52" fillId="58" borderId="0" xfId="0" applyFont="1" applyFill="1"/>
    <xf numFmtId="0" fontId="55" fillId="0" borderId="0" xfId="170" applyFont="1" applyAlignment="1">
      <alignment horizontal="left" vertical="top"/>
    </xf>
    <xf numFmtId="3" fontId="55" fillId="0" borderId="0" xfId="170" applyNumberFormat="1" applyFont="1" applyAlignment="1">
      <alignment vertical="center"/>
    </xf>
    <xf numFmtId="0" fontId="2" fillId="59" borderId="0" xfId="0" applyFont="1" applyFill="1"/>
    <xf numFmtId="0" fontId="56" fillId="0" borderId="0" xfId="0" applyFont="1"/>
    <xf numFmtId="0" fontId="0" fillId="60" borderId="0" xfId="0" applyFill="1"/>
    <xf numFmtId="0" fontId="0" fillId="60" borderId="0" xfId="0" applyFill="1" applyAlignment="1">
      <alignment horizontal="center"/>
    </xf>
    <xf numFmtId="0" fontId="57" fillId="0" borderId="0" xfId="0" applyFont="1"/>
    <xf numFmtId="0" fontId="0" fillId="61" borderId="0" xfId="0" applyFill="1"/>
    <xf numFmtId="0" fontId="0" fillId="61" borderId="0" xfId="0" applyFill="1" applyAlignment="1">
      <alignment horizontal="center"/>
    </xf>
    <xf numFmtId="9" fontId="0" fillId="0" borderId="0" xfId="1" applyFont="1" applyAlignment="1">
      <alignment horizontal="center"/>
    </xf>
    <xf numFmtId="3" fontId="0" fillId="62" borderId="0" xfId="0" applyNumberFormat="1" applyFill="1"/>
    <xf numFmtId="9" fontId="0" fillId="62" borderId="0" xfId="1" applyFont="1" applyFill="1"/>
    <xf numFmtId="0" fontId="0" fillId="62" borderId="0" xfId="0" applyFill="1"/>
    <xf numFmtId="3" fontId="4" fillId="0" borderId="0" xfId="0" applyNumberFormat="1" applyFont="1"/>
    <xf numFmtId="0" fontId="58" fillId="62" borderId="0" xfId="0" applyFont="1" applyFill="1"/>
    <xf numFmtId="0" fontId="23" fillId="62" borderId="0" xfId="0" applyFont="1" applyFill="1"/>
    <xf numFmtId="0" fontId="0" fillId="62" borderId="0" xfId="0" applyFill="1" applyAlignment="1">
      <alignment horizontal="center"/>
    </xf>
    <xf numFmtId="1" fontId="0" fillId="62" borderId="0" xfId="0" applyNumberFormat="1" applyFill="1"/>
    <xf numFmtId="0" fontId="4" fillId="62" borderId="0" xfId="0" applyFont="1" applyFill="1"/>
    <xf numFmtId="164" fontId="0" fillId="62" borderId="0" xfId="0" applyNumberFormat="1" applyFill="1"/>
    <xf numFmtId="0" fontId="0" fillId="63" borderId="0" xfId="0" applyFill="1"/>
    <xf numFmtId="0" fontId="2" fillId="64" borderId="0" xfId="0" applyFont="1" applyFill="1"/>
    <xf numFmtId="0" fontId="0" fillId="64" borderId="0" xfId="0" applyFill="1"/>
  </cellXfs>
  <cellStyles count="171">
    <cellStyle name="20% - Accent1" xfId="25" builtinId="30" customBuiltin="1"/>
    <cellStyle name="20% - Accent1 2" xfId="48" xr:uid="{EF349DA7-B6E5-4DC5-B767-B6D92AF7E3EC}"/>
    <cellStyle name="20% - Accent1 3" xfId="49" xr:uid="{37799E49-DBAE-4CD5-A067-E42A578A473C}"/>
    <cellStyle name="20% - Accent2" xfId="29" builtinId="34" customBuiltin="1"/>
    <cellStyle name="20% - Accent2 2" xfId="50" xr:uid="{7CECD539-D3CA-4E15-AC9C-D235FA850490}"/>
    <cellStyle name="20% - Accent2 3" xfId="51" xr:uid="{57C6823C-0F62-4670-9A16-CBAC8C50E5D8}"/>
    <cellStyle name="20% - Accent3" xfId="33" builtinId="38" customBuiltin="1"/>
    <cellStyle name="20% - Accent3 2" xfId="52" xr:uid="{885CBCE4-EA76-43E4-8632-BD033B5D73C4}"/>
    <cellStyle name="20% - Accent3 3" xfId="53" xr:uid="{47556736-6C9D-430C-86B6-3B2EBE9D5966}"/>
    <cellStyle name="20% - Accent4" xfId="37" builtinId="42" customBuiltin="1"/>
    <cellStyle name="20% - Accent4 2" xfId="54" xr:uid="{73353521-A73B-44F8-BBDB-5633077675C4}"/>
    <cellStyle name="20% - Accent4 3" xfId="55" xr:uid="{493AE928-2EFD-483A-8162-272BDA473EF0}"/>
    <cellStyle name="20% - Accent5" xfId="41" builtinId="46" customBuiltin="1"/>
    <cellStyle name="20% - Accent5 2" xfId="56" xr:uid="{0A74C958-C6B7-48B4-8428-C3C1CB6B4A40}"/>
    <cellStyle name="20% - Accent5 3" xfId="57" xr:uid="{EE6D92EA-4FDA-4A0A-90CA-CE55F431CBC2}"/>
    <cellStyle name="20% - Accent6" xfId="45" builtinId="50" customBuiltin="1"/>
    <cellStyle name="20% - Accent6 2" xfId="58" xr:uid="{8F33C687-E8BA-4150-AB50-6F10311B956F}"/>
    <cellStyle name="20% - Accent6 3" xfId="59" xr:uid="{4266150C-5E0C-4AF6-8DA2-1AE4872E707E}"/>
    <cellStyle name="40% - Accent1" xfId="26" builtinId="31" customBuiltin="1"/>
    <cellStyle name="40% - Accent1 2" xfId="60" xr:uid="{FD2576D1-BCFA-458F-9DB5-07D64E00509F}"/>
    <cellStyle name="40% - Accent1 3" xfId="61" xr:uid="{2435BF9E-1B3F-46EF-BC28-15EE8DD4C94A}"/>
    <cellStyle name="40% - Accent2" xfId="30" builtinId="35" customBuiltin="1"/>
    <cellStyle name="40% - Accent2 2" xfId="62" xr:uid="{04B6AEBB-7C83-49E0-BCAC-38F16B175B9B}"/>
    <cellStyle name="40% - Accent2 3" xfId="63" xr:uid="{8F91FD4E-2B27-4C63-894C-66BBF13C29B9}"/>
    <cellStyle name="40% - Accent3" xfId="34" builtinId="39" customBuiltin="1"/>
    <cellStyle name="40% - Accent3 2" xfId="64" xr:uid="{1BD7F255-F5E9-41EF-8CE5-15AE35E0F89F}"/>
    <cellStyle name="40% - Accent3 3" xfId="65" xr:uid="{48952A33-7AFE-438E-915A-E7E27EB72B4D}"/>
    <cellStyle name="40% - Accent4" xfId="38" builtinId="43" customBuiltin="1"/>
    <cellStyle name="40% - Accent4 2" xfId="66" xr:uid="{27369165-4219-413F-839B-3F95831A14FB}"/>
    <cellStyle name="40% - Accent4 3" xfId="67" xr:uid="{5DDB81E7-5A82-4FA7-A133-49EC755E72D3}"/>
    <cellStyle name="40% - Accent5" xfId="42" builtinId="47" customBuiltin="1"/>
    <cellStyle name="40% - Accent5 2" xfId="68" xr:uid="{E33EA2F3-09B9-4376-BE5C-FFF84BCBC07E}"/>
    <cellStyle name="40% - Accent5 3" xfId="69" xr:uid="{FCFFAB5E-45FC-4759-B083-AAFB565C56D8}"/>
    <cellStyle name="40% - Accent6" xfId="46" builtinId="51" customBuiltin="1"/>
    <cellStyle name="40% - Accent6 2" xfId="70" xr:uid="{AD01C7EA-54CC-4C67-BD52-1F8A19DB6570}"/>
    <cellStyle name="40% - Accent6 3" xfId="71" xr:uid="{DB26C4B2-C109-4196-B7E7-49A1ECC046CD}"/>
    <cellStyle name="5x indented GHG Textfiels" xfId="143" xr:uid="{F83D2B3E-D80F-499F-BEC3-FFF7B5C2AEBA}"/>
    <cellStyle name="60% - Accent1" xfId="27" builtinId="32" customBuiltin="1"/>
    <cellStyle name="60% - Accent1 2" xfId="72" xr:uid="{E06E8E81-3F1F-4FD5-A7E2-5A909B821531}"/>
    <cellStyle name="60% - Accent2" xfId="31" builtinId="36" customBuiltin="1"/>
    <cellStyle name="60% - Accent2 2" xfId="73" xr:uid="{11FCD26B-6226-4D8F-B666-C3A7340670DD}"/>
    <cellStyle name="60% - Accent3" xfId="35" builtinId="40" customBuiltin="1"/>
    <cellStyle name="60% - Accent3 2" xfId="74" xr:uid="{69224D30-1CB9-4042-AC47-741B3101FB6C}"/>
    <cellStyle name="60% - Accent4" xfId="39" builtinId="44" customBuiltin="1"/>
    <cellStyle name="60% - Accent4 2" xfId="75" xr:uid="{31A1600E-2ADA-4494-830E-19E470E88D31}"/>
    <cellStyle name="60% - Accent5" xfId="43" builtinId="48" customBuiltin="1"/>
    <cellStyle name="60% - Accent5 2" xfId="76" xr:uid="{EF1950ED-4FE6-4B6D-9132-67D459E99238}"/>
    <cellStyle name="60% - Accent6" xfId="47" builtinId="52" customBuiltin="1"/>
    <cellStyle name="60% - Accent6 2" xfId="77" xr:uid="{3EA7A03E-54F0-4C77-B111-82968D28AD79}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Bold GHG Numbers (0.00)" xfId="144" xr:uid="{DA4FF68C-7FF0-4CED-A5EA-0097B6EB2369}"/>
    <cellStyle name="Calculation" xfId="17" builtinId="22" customBuiltin="1"/>
    <cellStyle name="Check Cell" xfId="19" builtinId="23" customBuiltin="1"/>
    <cellStyle name="Column heading" xfId="78" xr:uid="{B7F6F0CA-8447-40B5-B305-0995BEF9DC81}"/>
    <cellStyle name="Comma 2" xfId="79" xr:uid="{E229120F-E6BF-453E-B284-ADB3C2EFF798}"/>
    <cellStyle name="Comma 2 2" xfId="160" xr:uid="{2A2288AD-3C24-4FB2-8418-F26E54997657}"/>
    <cellStyle name="Comma 2 2 2" xfId="167" xr:uid="{EB037193-A471-4CB2-9E7C-8CF3185046D6}"/>
    <cellStyle name="Comma 2 3" xfId="163" xr:uid="{E2D67C64-2CF4-4488-9A8F-645F79D74688}"/>
    <cellStyle name="Comma 2 4" xfId="145" xr:uid="{2BE6E7D8-58DF-4616-A8B4-ACC033CF8394}"/>
    <cellStyle name="Comma 3" xfId="156" xr:uid="{E12608C2-090C-409F-BF94-5C614256EB27}"/>
    <cellStyle name="Comma 3 2" xfId="157" xr:uid="{C669213E-2105-465E-96E8-2B2A1ADD5F86}"/>
    <cellStyle name="Comma 3 3" xfId="161" xr:uid="{84354EFF-D576-4FFC-A206-30B76C92195E}"/>
    <cellStyle name="Comma 3 3 2" xfId="168" xr:uid="{0F5D64C1-E285-420D-B6D8-505AE982E671}"/>
    <cellStyle name="Comma 3 4" xfId="165" xr:uid="{3D09E4A3-5CD1-455D-9B7E-C036370DE385}"/>
    <cellStyle name="Comma 4" xfId="162" xr:uid="{C701A914-F7C5-4135-8657-7A9ABA714A2D}"/>
    <cellStyle name="Comma 5" xfId="159" xr:uid="{086F30DA-0BA8-415D-B817-1952049D5F8A}"/>
    <cellStyle name="Corner heading" xfId="80" xr:uid="{330ED3DB-6560-4052-B4DE-F68437890C69}"/>
    <cellStyle name="Data" xfId="81" xr:uid="{B3481D78-FAE6-4498-BEB0-B4E42369CD22}"/>
    <cellStyle name="Data no deci" xfId="82" xr:uid="{77489161-3B29-4346-8823-96B2E8044414}"/>
    <cellStyle name="Data Superscript" xfId="83" xr:uid="{F640F237-610A-48A7-BE88-46296592F176}"/>
    <cellStyle name="Data_1-1A-Regular" xfId="84" xr:uid="{2AB52574-9598-4CB8-B487-29D8E240C7BF}"/>
    <cellStyle name="Explanatory Text" xfId="22" builtinId="53" customBuiltin="1"/>
    <cellStyle name="Good" xfId="12" builtinId="26" customBuiltin="1"/>
    <cellStyle name="Heading 1" xfId="8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Headline" xfId="146" xr:uid="{4E05191A-A3A7-4E45-B95A-BCD7F498231F}"/>
    <cellStyle name="Hed Side" xfId="85" xr:uid="{7CF23A2E-88A2-4097-BC86-89BEFEED221A}"/>
    <cellStyle name="Hed Side bold" xfId="86" xr:uid="{9F782E38-AE41-4773-941D-50FA1FF86B91}"/>
    <cellStyle name="Hed Side Indent" xfId="87" xr:uid="{17640473-0DD0-4C3B-8441-1B62DE15E0EB}"/>
    <cellStyle name="Hed Side Regular" xfId="88" xr:uid="{E470F15A-3C40-47DB-A3DD-90E86487C31A}"/>
    <cellStyle name="Hed Side_1-1A-Regular" xfId="89" xr:uid="{E9F183F5-C7C6-45E2-816F-496B1C6D77E9}"/>
    <cellStyle name="Hed Top" xfId="90" xr:uid="{7BDA868B-13BF-46CB-AE60-AFE0D0E66FBE}"/>
    <cellStyle name="Hed Top - SECTION" xfId="91" xr:uid="{24B5B5BD-4A52-4F56-BC33-3B0DF32B7AE6}"/>
    <cellStyle name="Hed Top_3-new4" xfId="92" xr:uid="{DD86D1C9-1E75-4C54-8359-BC926AAFA9B5}"/>
    <cellStyle name="Hyperlink" xfId="169" builtinId="8"/>
    <cellStyle name="Hyperlink 2" xfId="134" xr:uid="{8C068579-6944-4469-B8C5-5876577F8569}"/>
    <cellStyle name="Input" xfId="15" builtinId="20" customBuiltin="1"/>
    <cellStyle name="Linked Cell" xfId="18" builtinId="24" customBuiltin="1"/>
    <cellStyle name="Milliers 2" xfId="136" xr:uid="{D8FFE04B-DB51-4D64-B1E0-2B7720A0CD04}"/>
    <cellStyle name="Neutral" xfId="14" builtinId="28" customBuiltin="1"/>
    <cellStyle name="Neutral 2" xfId="93" xr:uid="{9F71F88E-1C42-42BB-9048-2F53E4F20AA1}"/>
    <cellStyle name="Normal" xfId="0" builtinId="0"/>
    <cellStyle name="Normal 10" xfId="170" xr:uid="{07BAEF48-D27D-4E3E-ADBE-64730E27EB19}"/>
    <cellStyle name="Normal 12" xfId="94" xr:uid="{EC410101-D69E-4FCF-A9F1-21B3CF23F348}"/>
    <cellStyle name="Normal 2" xfId="2" xr:uid="{55B6A459-018A-4159-BCD7-B35C942A65A0}"/>
    <cellStyle name="Normal 2 2" xfId="6" xr:uid="{AA58C20A-3AFF-4D45-9EE5-5F1CBF1179BF}"/>
    <cellStyle name="Normal 2 2 2" xfId="97" xr:uid="{58E3476F-BE97-4199-8773-2E33D564CF2D}"/>
    <cellStyle name="Normal 2 2 3" xfId="96" xr:uid="{831227AC-581D-4890-BAB5-3946EF3B389A}"/>
    <cellStyle name="Normal 2 3" xfId="135" xr:uid="{A978334C-3E38-4F8C-9AEC-0A99C8A704DD}"/>
    <cellStyle name="Normal 2 4" xfId="95" xr:uid="{C7DE0F11-6FE3-4C12-A367-016EE4943441}"/>
    <cellStyle name="Normal 3" xfId="4" xr:uid="{2E4BA378-3DE0-42C2-BA23-2407BCA94ACF}"/>
    <cellStyle name="Normal 3 2" xfId="138" xr:uid="{726176F6-8CC2-4CBA-9AA3-933B2AB786CE}"/>
    <cellStyle name="Normal 3 3" xfId="98" xr:uid="{96377BA5-BA51-47A3-8326-7538582DBB83}"/>
    <cellStyle name="Normal 3 4" xfId="147" xr:uid="{B666AE08-34F2-48FA-8465-610E73AE3A38}"/>
    <cellStyle name="Normal 4" xfId="5" xr:uid="{C4A79ADA-18DB-4104-AD79-FCF2C31AE69C}"/>
    <cellStyle name="Normal 4 2" xfId="132" xr:uid="{C19418A3-F747-4D48-9A68-6EFDF0E72F85}"/>
    <cellStyle name="Normal 4 3" xfId="164" xr:uid="{FB4BA9DE-52B1-451E-B473-EB99721C1AC7}"/>
    <cellStyle name="Normal 5" xfId="142" xr:uid="{58842B04-BC91-4B1D-999F-4998E1DC29C8}"/>
    <cellStyle name="Normal 6" xfId="154" xr:uid="{8229B25A-E9AE-48BB-A9AF-E30C655F08A3}"/>
    <cellStyle name="Normal 6 2" xfId="155" xr:uid="{58BF46DA-3A04-4611-B8D3-011CF36A8D09}"/>
    <cellStyle name="Normal 7" xfId="153" xr:uid="{EA3703FF-45DE-42E8-8F10-6E5FF133FBE2}"/>
    <cellStyle name="Normal 8" xfId="139" xr:uid="{2ED08D51-D347-48C3-AC54-F657E20E74FC}"/>
    <cellStyle name="Normal 9" xfId="3" xr:uid="{901E6851-97D6-414B-9218-20533A98EFED}"/>
    <cellStyle name="Normal 9 2" xfId="99" xr:uid="{FB6972EF-B788-4FB0-B93D-37D130E34275}"/>
    <cellStyle name="Normal GHG Numbers (0.00)" xfId="148" xr:uid="{94AA7987-9E96-4F07-8ADF-A2B53B4EE6BB}"/>
    <cellStyle name="Normal GHG whole table" xfId="149" xr:uid="{3156BCC2-469A-4D5D-BC3A-5854C86DB246}"/>
    <cellStyle name="Normal GHG-Shade" xfId="150" xr:uid="{33F64DAB-4759-4EE0-B938-935266B4665D}"/>
    <cellStyle name="Note" xfId="21" builtinId="10" customBuiltin="1"/>
    <cellStyle name="Note 2" xfId="100" xr:uid="{6DEB8261-6E52-4657-8CC1-81718DF31F1A}"/>
    <cellStyle name="Note 3" xfId="101" xr:uid="{39E54385-D062-4AEF-BF96-DE804439AEF4}"/>
    <cellStyle name="Note 4" xfId="102" xr:uid="{022AF93A-D3B5-4DB6-9D7F-99FD54820E9B}"/>
    <cellStyle name="NumberCellStyle" xfId="103" xr:uid="{D09C104C-93B5-410B-9A69-EB5387AFC1C4}"/>
    <cellStyle name="Output" xfId="16" builtinId="21" customBuiltin="1"/>
    <cellStyle name="Pattern" xfId="151" xr:uid="{C5B6B55A-2D4E-4EFE-B52D-08544A8E2869}"/>
    <cellStyle name="Percent" xfId="1" builtinId="5"/>
    <cellStyle name="Percent 2" xfId="133" xr:uid="{EFE8812B-55B9-44C3-8E2C-F87D498E8DE4}"/>
    <cellStyle name="Percent 2 2" xfId="141" xr:uid="{F9E8E6E0-C3F1-49C1-BC66-A469EF843869}"/>
    <cellStyle name="Percent 3" xfId="158" xr:uid="{C739EFB1-9B9D-4C58-9894-942726FEDA0D}"/>
    <cellStyle name="Percent 4" xfId="140" xr:uid="{FD674B19-9311-426D-81A8-A030956D65BD}"/>
    <cellStyle name="Reference" xfId="104" xr:uid="{DBFA3B77-CFDF-4449-A8DD-1E286D1FA68C}"/>
    <cellStyle name="Row heading" xfId="105" xr:uid="{3D5DD19C-7502-48B3-8DA7-2CE786ACE5A2}"/>
    <cellStyle name="Source Hed" xfId="106" xr:uid="{2699F76C-1169-40F1-A181-5C0E99223BEA}"/>
    <cellStyle name="Source Letter" xfId="107" xr:uid="{D0776B51-2F3C-4C2A-B83D-5968884A2806}"/>
    <cellStyle name="Source Superscript" xfId="108" xr:uid="{10F35462-EEE1-48B3-8E71-98E7E28238AE}"/>
    <cellStyle name="Source Text" xfId="109" xr:uid="{8ED7D922-6E8F-4200-91B1-9369FA2EC1D6}"/>
    <cellStyle name="Standard 2" xfId="131" xr:uid="{5FDB74BA-E82A-4194-A5FC-6401D6ADA2B6}"/>
    <cellStyle name="Standard 3" xfId="137" xr:uid="{781C33C5-8D72-4B7A-B3EE-960A5ABD8341}"/>
    <cellStyle name="Standard_E00seit45" xfId="110" xr:uid="{E60E5DFC-99F9-4821-95F9-A448A6D7ED01}"/>
    <cellStyle name="State" xfId="111" xr:uid="{1E22EF94-4035-46A3-B93F-7B4C04D93865}"/>
    <cellStyle name="Superscript" xfId="112" xr:uid="{E095C70B-1BE0-483B-9328-402E4F7F4665}"/>
    <cellStyle name="Table Data" xfId="113" xr:uid="{6D28BA16-B1ED-487E-97D4-E11766253CAB}"/>
    <cellStyle name="Table Head Top" xfId="114" xr:uid="{D73E975F-B195-4C69-ABA9-C3FDF3B768EE}"/>
    <cellStyle name="Table Hed Side" xfId="115" xr:uid="{19764F6F-0584-40C9-86AF-753E0D4ACD46}"/>
    <cellStyle name="Table Title" xfId="116" xr:uid="{DEDC75C9-E546-42B3-A8E7-56EF9F0EAE06}"/>
    <cellStyle name="Title" xfId="7" builtinId="15" customBuiltin="1"/>
    <cellStyle name="Title 2" xfId="118" xr:uid="{D0FC54C7-BAC5-467F-8F57-2084F2E2393E}"/>
    <cellStyle name="Title 3" xfId="117" xr:uid="{62A59C55-F8BD-439D-9818-59BD38960B4A}"/>
    <cellStyle name="Title Text" xfId="119" xr:uid="{46B5E72A-6019-4651-B789-3218EFB90083}"/>
    <cellStyle name="Title Text 1" xfId="120" xr:uid="{B66B38CF-B1B9-4A7F-A767-134AD0C8B60D}"/>
    <cellStyle name="Title Text 2" xfId="121" xr:uid="{8D7959A8-9EB8-4C2C-A363-103B0AD7FAD3}"/>
    <cellStyle name="Title-1" xfId="122" xr:uid="{36D030D9-D8F5-429A-903C-44ADDFF4B66E}"/>
    <cellStyle name="Title-2" xfId="123" xr:uid="{E482A6AF-F54E-46D8-85EC-0F79A3AB2412}"/>
    <cellStyle name="Title-3" xfId="124" xr:uid="{52079772-F763-4205-A35F-F27A24D17A83}"/>
    <cellStyle name="Titre ligne" xfId="125" xr:uid="{B26EA383-68B0-464B-A8D1-9AE2A1714C6F}"/>
    <cellStyle name="Total" xfId="23" builtinId="25" customBuiltin="1"/>
    <cellStyle name="Total intermediaire" xfId="126" xr:uid="{F17DB0AD-BDDB-41FD-8960-52BB3FCB6198}"/>
    <cellStyle name="Warning Text" xfId="20" builtinId="11" customBuiltin="1"/>
    <cellStyle name="Wrap" xfId="127" xr:uid="{374F57C0-3A75-4493-8C04-4C69D4F4D0BF}"/>
    <cellStyle name="Wrap Bold" xfId="128" xr:uid="{A3F8ABE9-DB85-4BEB-8717-FDE1DBC76539}"/>
    <cellStyle name="Wrap Title" xfId="129" xr:uid="{1DF114DE-99D7-4A0A-BF1F-5AB3072093AC}"/>
    <cellStyle name="Wrap_NTS99-~11" xfId="130" xr:uid="{B35AD1E7-4B68-4494-9F06-F6EF3B83D614}"/>
    <cellStyle name="Year" xfId="152" xr:uid="{BF9A27E0-4EC2-4496-B182-E26259F1F3E4}"/>
    <cellStyle name="Κόμμα 2" xfId="166" xr:uid="{39429696-BB52-41AB-928B-DAAD9594DB86}"/>
  </cellStyles>
  <dxfs count="0"/>
  <tableStyles count="0" defaultTableStyle="TableStyleMedium2" defaultPivotStyle="PivotStyleLight16"/>
  <colors>
    <mruColors>
      <color rgb="FF648ECA"/>
      <color rgb="FF3D5584"/>
      <color rgb="FFB487C7"/>
      <color rgb="FFEFE973"/>
      <color rgb="FF8EC26A"/>
      <color rgb="FFB04545"/>
      <color rgb="FF2E422F"/>
      <color rgb="FF98C9EE"/>
      <color rgb="FF608C95"/>
      <color rgb="FFFFE3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BE"/>
              <a:t>International aviation emissions</a:t>
            </a:r>
            <a:r>
              <a:rPr lang="en-BE" baseline="0"/>
              <a:t> (in Mt CO2eq.)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'[2]Indicator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'[2]Indicator 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'[2]Indicator 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3382-415B-8B7E-792B7CCE149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'[2]Indicator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'[2]Indicator 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'[2]Indicator 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3382-415B-8B7E-792B7CCE1499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'[2]Indicator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'[2]Indicator 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'[2]Indicator 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3382-415B-8B7E-792B7CCE1499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'[2]Indicator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'[2]Indicator 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'[2]Indicator 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3382-415B-8B7E-792B7CCE1499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'[2]Indicator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'[2]Indicator 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'[2]Indicator 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F61-44AC-B869-3775691699E2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'[2]Indicator 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'[2]Indicator 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'[2]Indicator 1'!#REF!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EF61-44AC-B869-377569169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742560"/>
        <c:axId val="111744000"/>
      </c:lineChart>
      <c:catAx>
        <c:axId val="11174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11744000"/>
        <c:crosses val="autoZero"/>
        <c:auto val="1"/>
        <c:lblAlgn val="ctr"/>
        <c:lblOffset val="100"/>
        <c:noMultiLvlLbl val="0"/>
      </c:catAx>
      <c:valAx>
        <c:axId val="111744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1174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5"/>
          <c:order val="5"/>
          <c:tx>
            <c:strRef>
              <c:f>'T1. GHG emissions'!$A$8</c:f>
              <c:strCache>
                <c:ptCount val="1"/>
                <c:pt idx="0">
                  <c:v>- of which Railways, IWW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'T1. GHG emissions'!$D$2:$AX$2</c15:sqref>
                  </c15:fullRef>
                </c:ext>
              </c:extLst>
              <c:f>'T1. GHG emissions'!$E$2:$AX$2</c:f>
              <c:strCache>
                <c:ptCount val="46"/>
                <c:pt idx="0">
                  <c:v>1990</c:v>
                </c:pt>
                <c:pt idx="1">
                  <c:v>2005</c:v>
                </c:pt>
                <c:pt idx="6">
                  <c:v>2010</c:v>
                </c:pt>
                <c:pt idx="11">
                  <c:v>2015</c:v>
                </c:pt>
                <c:pt idx="16">
                  <c:v>2020</c:v>
                </c:pt>
                <c:pt idx="21">
                  <c:v>2025</c:v>
                </c:pt>
                <c:pt idx="26">
                  <c:v>2030</c:v>
                </c:pt>
                <c:pt idx="31">
                  <c:v>2035</c:v>
                </c:pt>
                <c:pt idx="36">
                  <c:v>2040</c:v>
                </c:pt>
                <c:pt idx="41">
                  <c:v>2045</c:v>
                </c:pt>
                <c:pt idx="46">
                  <c:v>2050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'T1. GHG emissions'!$D$8:$AX$8</c15:sqref>
                  </c15:fullRef>
                </c:ext>
              </c:extLst>
              <c:f>'T1. GHG emissions'!$E$8:$AX$8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19E8-4168-9FDD-12792C482253}"/>
            </c:ext>
          </c:extLst>
        </c:ser>
        <c:ser>
          <c:idx val="6"/>
          <c:order val="6"/>
          <c:tx>
            <c:strRef>
              <c:f>'T1. GHG emissions'!$A$9</c:f>
              <c:strCache>
                <c:ptCount val="1"/>
                <c:pt idx="0">
                  <c:v>- of which Other</c:v>
                </c:pt>
              </c:strCache>
              <c:extLst xmlns:c15="http://schemas.microsoft.com/office/drawing/2012/chart"/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'T1. GHG emissions'!$D$2:$AX$2</c15:sqref>
                  </c15:fullRef>
                </c:ext>
              </c:extLst>
              <c:f>'T1. GHG emissions'!$E$2:$AX$2</c:f>
              <c:strCache>
                <c:ptCount val="46"/>
                <c:pt idx="0">
                  <c:v>1990</c:v>
                </c:pt>
                <c:pt idx="1">
                  <c:v>2005</c:v>
                </c:pt>
                <c:pt idx="6">
                  <c:v>2010</c:v>
                </c:pt>
                <c:pt idx="11">
                  <c:v>2015</c:v>
                </c:pt>
                <c:pt idx="16">
                  <c:v>2020</c:v>
                </c:pt>
                <c:pt idx="21">
                  <c:v>2025</c:v>
                </c:pt>
                <c:pt idx="26">
                  <c:v>2030</c:v>
                </c:pt>
                <c:pt idx="31">
                  <c:v>2035</c:v>
                </c:pt>
                <c:pt idx="36">
                  <c:v>2040</c:v>
                </c:pt>
                <c:pt idx="41">
                  <c:v>2045</c:v>
                </c:pt>
                <c:pt idx="46">
                  <c:v>2050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'T1. GHG emissions'!$D$9:$AX$9</c15:sqref>
                  </c15:fullRef>
                </c:ext>
              </c:extLst>
              <c:f>'T1. GHG emissions'!$E$9:$AX$9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19E8-4168-9FDD-12792C482253}"/>
            </c:ext>
          </c:extLst>
        </c:ser>
        <c:ser>
          <c:idx val="8"/>
          <c:order val="9"/>
          <c:tx>
            <c:strRef>
              <c:f>'T1. GHG emissions'!$A$11</c:f>
              <c:strCache>
                <c:ptCount val="1"/>
                <c:pt idx="0">
                  <c:v>- of which domestic</c:v>
                </c:pt>
              </c:strCache>
              <c:extLst xmlns:c15="http://schemas.microsoft.com/office/drawing/2012/chart"/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'T1. GHG emissions'!$D$2:$AX$2</c15:sqref>
                  </c15:fullRef>
                </c:ext>
              </c:extLst>
              <c:f>'T1. GHG emissions'!$E$2:$AX$2</c:f>
              <c:strCache>
                <c:ptCount val="46"/>
                <c:pt idx="0">
                  <c:v>1990</c:v>
                </c:pt>
                <c:pt idx="1">
                  <c:v>2005</c:v>
                </c:pt>
                <c:pt idx="6">
                  <c:v>2010</c:v>
                </c:pt>
                <c:pt idx="11">
                  <c:v>2015</c:v>
                </c:pt>
                <c:pt idx="16">
                  <c:v>2020</c:v>
                </c:pt>
                <c:pt idx="21">
                  <c:v>2025</c:v>
                </c:pt>
                <c:pt idx="26">
                  <c:v>2030</c:v>
                </c:pt>
                <c:pt idx="31">
                  <c:v>2035</c:v>
                </c:pt>
                <c:pt idx="36">
                  <c:v>2040</c:v>
                </c:pt>
                <c:pt idx="41">
                  <c:v>2045</c:v>
                </c:pt>
                <c:pt idx="46">
                  <c:v>2050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'T1. GHG emissions'!$D$11:$AX$11</c15:sqref>
                  </c15:fullRef>
                </c:ext>
              </c:extLst>
              <c:f>'T1. GHG emissions'!$E$11:$AX$11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19E8-4168-9FDD-12792C482253}"/>
            </c:ext>
          </c:extLst>
        </c:ser>
        <c:ser>
          <c:idx val="9"/>
          <c:order val="11"/>
          <c:tx>
            <c:strRef>
              <c:f>'T1. GHG emissions'!$A$12</c:f>
              <c:strCache>
                <c:ptCount val="1"/>
                <c:pt idx="0">
                  <c:v>- of which international</c:v>
                </c:pt>
              </c:strCache>
              <c:extLst xmlns:c15="http://schemas.microsoft.com/office/drawing/2012/chart"/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'T1. GHG emissions'!$D$2:$AX$2</c15:sqref>
                  </c15:fullRef>
                </c:ext>
              </c:extLst>
              <c:f>'T1. GHG emissions'!$E$2:$AX$2</c:f>
              <c:strCache>
                <c:ptCount val="46"/>
                <c:pt idx="0">
                  <c:v>1990</c:v>
                </c:pt>
                <c:pt idx="1">
                  <c:v>2005</c:v>
                </c:pt>
                <c:pt idx="6">
                  <c:v>2010</c:v>
                </c:pt>
                <c:pt idx="11">
                  <c:v>2015</c:v>
                </c:pt>
                <c:pt idx="16">
                  <c:v>2020</c:v>
                </c:pt>
                <c:pt idx="21">
                  <c:v>2025</c:v>
                </c:pt>
                <c:pt idx="26">
                  <c:v>2030</c:v>
                </c:pt>
                <c:pt idx="31">
                  <c:v>2035</c:v>
                </c:pt>
                <c:pt idx="36">
                  <c:v>2040</c:v>
                </c:pt>
                <c:pt idx="41">
                  <c:v>2045</c:v>
                </c:pt>
                <c:pt idx="46">
                  <c:v>2050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'T1. GHG emissions'!$D$12:$AX$12</c15:sqref>
                  </c15:fullRef>
                </c:ext>
              </c:extLst>
              <c:f>'T1. GHG emissions'!$E$12:$AX$12</c:f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19E8-4168-9FDD-12792C482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9007903"/>
        <c:axId val="1459005503"/>
        <c:extLst/>
      </c:barChart>
      <c:barChart>
        <c:barDir val="col"/>
        <c:grouping val="stacked"/>
        <c:varyColors val="0"/>
        <c:ser>
          <c:idx val="1"/>
          <c:order val="1"/>
          <c:tx>
            <c:strRef>
              <c:f>'T1. GHG emissions'!$A$4</c:f>
              <c:strCache>
                <c:ptCount val="1"/>
                <c:pt idx="0">
                  <c:v>Road - cars and motorcycles</c:v>
                </c:pt>
              </c:strCache>
            </c:strRef>
          </c:tx>
          <c:spPr>
            <a:solidFill>
              <a:srgbClr val="3D558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'T1. GHG emissions'!$D$2:$AX$2</c15:sqref>
                  </c15:fullRef>
                </c:ext>
              </c:extLst>
              <c:f>'T1. GHG emissions'!$E$2:$AX$2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'T1. GHG emissions'!$D$4:$AX$4</c15:sqref>
                  </c15:fullRef>
                </c:ext>
              </c:extLst>
              <c:f>'T1. GHG emissions'!$E$4:$AX$4</c:f>
              <c:numCache>
                <c:formatCode>#,##0</c:formatCode>
                <c:ptCount val="46"/>
                <c:pt idx="0">
                  <c:v>491.58833576011546</c:v>
                </c:pt>
                <c:pt idx="1">
                  <c:v>493.17413687833317</c:v>
                </c:pt>
                <c:pt idx="2">
                  <c:v>499.67276974915893</c:v>
                </c:pt>
                <c:pt idx="3">
                  <c:v>492.32041008432606</c:v>
                </c:pt>
                <c:pt idx="4">
                  <c:v>487.92104830248309</c:v>
                </c:pt>
                <c:pt idx="5">
                  <c:v>481.69079157490069</c:v>
                </c:pt>
                <c:pt idx="6">
                  <c:v>475.21365971305733</c:v>
                </c:pt>
                <c:pt idx="7">
                  <c:v>456.50393725448805</c:v>
                </c:pt>
                <c:pt idx="8">
                  <c:v>458.79057040730351</c:v>
                </c:pt>
                <c:pt idx="9">
                  <c:v>468.76738189295781</c:v>
                </c:pt>
                <c:pt idx="10">
                  <c:v>477.01732932780152</c:v>
                </c:pt>
                <c:pt idx="11">
                  <c:v>487.73609929566408</c:v>
                </c:pt>
                <c:pt idx="12">
                  <c:v>493.4827909802039</c:v>
                </c:pt>
                <c:pt idx="13">
                  <c:v>490.15449848991346</c:v>
                </c:pt>
                <c:pt idx="14">
                  <c:v>493.39198740200982</c:v>
                </c:pt>
                <c:pt idx="15">
                  <c:v>415.55272211291083</c:v>
                </c:pt>
                <c:pt idx="16">
                  <c:v>450.25307759035792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E8-4168-9FDD-12792C482253}"/>
            </c:ext>
          </c:extLst>
        </c:ser>
        <c:ser>
          <c:idx val="2"/>
          <c:order val="2"/>
          <c:tx>
            <c:strRef>
              <c:f>'T1. GHG emissions'!$A$5</c:f>
              <c:strCache>
                <c:ptCount val="1"/>
                <c:pt idx="0">
                  <c:v>Road - HDV and buses</c:v>
                </c:pt>
              </c:strCache>
            </c:strRef>
          </c:tx>
          <c:spPr>
            <a:solidFill>
              <a:srgbClr val="8EC26A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'T1. GHG emissions'!$D$2:$AX$2</c15:sqref>
                  </c15:fullRef>
                </c:ext>
              </c:extLst>
              <c:f>'T1. GHG emissions'!$E$2:$AX$2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'T1. GHG emissions'!$D$5:$AX$5</c15:sqref>
                  </c15:fullRef>
                </c:ext>
              </c:extLst>
              <c:f>'T1. GHG emissions'!$E$5:$AX$5</c:f>
              <c:numCache>
                <c:formatCode>#,##0</c:formatCode>
                <c:ptCount val="46"/>
                <c:pt idx="0">
                  <c:v>212.7302574256924</c:v>
                </c:pt>
                <c:pt idx="1">
                  <c:v>217.24944792882386</c:v>
                </c:pt>
                <c:pt idx="2">
                  <c:v>217.80182945346203</c:v>
                </c:pt>
                <c:pt idx="3">
                  <c:v>211.14004238098437</c:v>
                </c:pt>
                <c:pt idx="4">
                  <c:v>199.94251536864363</c:v>
                </c:pt>
                <c:pt idx="5">
                  <c:v>201.98021440968085</c:v>
                </c:pt>
                <c:pt idx="6">
                  <c:v>201.56149299947259</c:v>
                </c:pt>
                <c:pt idx="7">
                  <c:v>196.46002548516933</c:v>
                </c:pt>
                <c:pt idx="8">
                  <c:v>194.03132104278404</c:v>
                </c:pt>
                <c:pt idx="9">
                  <c:v>191.77593189016386</c:v>
                </c:pt>
                <c:pt idx="10">
                  <c:v>196.11616918484043</c:v>
                </c:pt>
                <c:pt idx="11">
                  <c:v>200.62442410159201</c:v>
                </c:pt>
                <c:pt idx="12">
                  <c:v>206.07286066193862</c:v>
                </c:pt>
                <c:pt idx="13">
                  <c:v>208.22081622555243</c:v>
                </c:pt>
                <c:pt idx="14">
                  <c:v>210.35703259333403</c:v>
                </c:pt>
                <c:pt idx="15">
                  <c:v>194.38262126578542</c:v>
                </c:pt>
                <c:pt idx="16">
                  <c:v>209.37061450838843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E8-4168-9FDD-12792C482253}"/>
            </c:ext>
          </c:extLst>
        </c:ser>
        <c:ser>
          <c:idx val="3"/>
          <c:order val="3"/>
          <c:tx>
            <c:strRef>
              <c:f>'T1. GHG emissions'!$A$6</c:f>
              <c:strCache>
                <c:ptCount val="1"/>
                <c:pt idx="0">
                  <c:v>Road - Light Duty Trucks</c:v>
                </c:pt>
              </c:strCache>
            </c:strRef>
          </c:tx>
          <c:spPr>
            <a:solidFill>
              <a:srgbClr val="98C9EE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'T1. GHG emissions'!$D$2:$AX$2</c15:sqref>
                  </c15:fullRef>
                </c:ext>
              </c:extLst>
              <c:f>'T1. GHG emissions'!$E$2:$AX$2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'T1. GHG emissions'!$D$6:$AX$6</c15:sqref>
                  </c15:fullRef>
                </c:ext>
              </c:extLst>
              <c:f>'T1. GHG emissions'!$E$6:$AX$6</c:f>
              <c:numCache>
                <c:formatCode>#,##0</c:formatCode>
                <c:ptCount val="46"/>
                <c:pt idx="0">
                  <c:v>92.04230337506155</c:v>
                </c:pt>
                <c:pt idx="1">
                  <c:v>93.929946912008319</c:v>
                </c:pt>
                <c:pt idx="2">
                  <c:v>96.305670836748078</c:v>
                </c:pt>
                <c:pt idx="3">
                  <c:v>91.879212386345941</c:v>
                </c:pt>
                <c:pt idx="4">
                  <c:v>88.31886645627057</c:v>
                </c:pt>
                <c:pt idx="5">
                  <c:v>87.236197633998998</c:v>
                </c:pt>
                <c:pt idx="6">
                  <c:v>86.850326750612439</c:v>
                </c:pt>
                <c:pt idx="7">
                  <c:v>83.852260613758745</c:v>
                </c:pt>
                <c:pt idx="8">
                  <c:v>80.35377327952888</c:v>
                </c:pt>
                <c:pt idx="9">
                  <c:v>80.458778390134611</c:v>
                </c:pt>
                <c:pt idx="10">
                  <c:v>82.200360758168387</c:v>
                </c:pt>
                <c:pt idx="11">
                  <c:v>83.34427680641123</c:v>
                </c:pt>
                <c:pt idx="12">
                  <c:v>84.587235812260815</c:v>
                </c:pt>
                <c:pt idx="13">
                  <c:v>85.923181400813036</c:v>
                </c:pt>
                <c:pt idx="14">
                  <c:v>86.143866124101322</c:v>
                </c:pt>
                <c:pt idx="15">
                  <c:v>77.538642367368681</c:v>
                </c:pt>
                <c:pt idx="16">
                  <c:v>88.12101624361766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E8-4168-9FDD-12792C482253}"/>
            </c:ext>
          </c:extLst>
        </c:ser>
        <c:ser>
          <c:idx val="4"/>
          <c:order val="4"/>
          <c:tx>
            <c:strRef>
              <c:f>'T1. GHG emissions'!$A$7</c:f>
              <c:strCache>
                <c:ptCount val="1"/>
                <c:pt idx="0">
                  <c:v>Railways, IWW and others</c:v>
                </c:pt>
              </c:strCache>
            </c:strRef>
          </c:tx>
          <c:spPr>
            <a:solidFill>
              <a:srgbClr val="B0454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'T1. GHG emissions'!$D$2:$AX$2</c15:sqref>
                  </c15:fullRef>
                </c:ext>
              </c:extLst>
              <c:f>'T1. GHG emissions'!$E$2:$AX$2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'T1. GHG emissions'!$D$7:$AX$7</c15:sqref>
                  </c15:fullRef>
                </c:ext>
              </c:extLst>
              <c:f>'T1. GHG emissions'!$E$7:$AX$7</c:f>
              <c:numCache>
                <c:formatCode>#,##0</c:formatCode>
                <c:ptCount val="46"/>
                <c:pt idx="0">
                  <c:v>34.290610118004153</c:v>
                </c:pt>
                <c:pt idx="1">
                  <c:v>34.447956982721323</c:v>
                </c:pt>
                <c:pt idx="2">
                  <c:v>33.103105382316485</c:v>
                </c:pt>
                <c:pt idx="3">
                  <c:v>32.856116205645449</c:v>
                </c:pt>
                <c:pt idx="4">
                  <c:v>31.099204292808505</c:v>
                </c:pt>
                <c:pt idx="5">
                  <c:v>30.924361275104587</c:v>
                </c:pt>
                <c:pt idx="6">
                  <c:v>28.990937840033418</c:v>
                </c:pt>
                <c:pt idx="7">
                  <c:v>27.410880277118999</c:v>
                </c:pt>
                <c:pt idx="8">
                  <c:v>26.258418069745236</c:v>
                </c:pt>
                <c:pt idx="9">
                  <c:v>24.00296260513905</c:v>
                </c:pt>
                <c:pt idx="10">
                  <c:v>24.754432892221025</c:v>
                </c:pt>
                <c:pt idx="11">
                  <c:v>25.421199302513045</c:v>
                </c:pt>
                <c:pt idx="12">
                  <c:v>26.834910236347447</c:v>
                </c:pt>
                <c:pt idx="13">
                  <c:v>27.562814323849722</c:v>
                </c:pt>
                <c:pt idx="14">
                  <c:v>27.913694417797245</c:v>
                </c:pt>
                <c:pt idx="15">
                  <c:v>24.785387387858421</c:v>
                </c:pt>
                <c:pt idx="16">
                  <c:v>24.539520324410176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9E8-4168-9FDD-12792C482253}"/>
            </c:ext>
          </c:extLst>
        </c:ser>
        <c:ser>
          <c:idx val="7"/>
          <c:order val="7"/>
          <c:tx>
            <c:strRef>
              <c:f>'T1. GHG emissions'!$A$10</c:f>
              <c:strCache>
                <c:ptCount val="1"/>
                <c:pt idx="0">
                  <c:v>Aviation</c:v>
                </c:pt>
              </c:strCache>
            </c:strRef>
          </c:tx>
          <c:spPr>
            <a:solidFill>
              <a:srgbClr val="EFE97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'T1. GHG emissions'!$D$2:$AX$2</c15:sqref>
                  </c15:fullRef>
                </c:ext>
              </c:extLst>
              <c:f>'T1. GHG emissions'!$E$2:$AX$2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'T1. GHG emissions'!$D$10:$AX$10</c15:sqref>
                  </c15:fullRef>
                </c:ext>
              </c:extLst>
              <c:f>'T1. GHG emissions'!$E$10:$AX$10</c:f>
              <c:numCache>
                <c:formatCode>#,##0</c:formatCode>
                <c:ptCount val="46"/>
                <c:pt idx="0">
                  <c:v>112.82793517007606</c:v>
                </c:pt>
                <c:pt idx="1">
                  <c:v>117.85364152620495</c:v>
                </c:pt>
                <c:pt idx="2">
                  <c:v>122.93405357386976</c:v>
                </c:pt>
                <c:pt idx="3">
                  <c:v>124.12270875519829</c:v>
                </c:pt>
                <c:pt idx="4">
                  <c:v>114.56913758564497</c:v>
                </c:pt>
                <c:pt idx="5">
                  <c:v>116.17546668640333</c:v>
                </c:pt>
                <c:pt idx="6">
                  <c:v>118.46107244748154</c:v>
                </c:pt>
                <c:pt idx="7">
                  <c:v>116.19091727639557</c:v>
                </c:pt>
                <c:pt idx="8">
                  <c:v>115.94145472388968</c:v>
                </c:pt>
                <c:pt idx="9">
                  <c:v>117.74347684774402</c:v>
                </c:pt>
                <c:pt idx="10">
                  <c:v>121.68147088098956</c:v>
                </c:pt>
                <c:pt idx="11">
                  <c:v>128.69712969288457</c:v>
                </c:pt>
                <c:pt idx="12">
                  <c:v>138.16512645326827</c:v>
                </c:pt>
                <c:pt idx="13">
                  <c:v>144.98001789257742</c:v>
                </c:pt>
                <c:pt idx="14">
                  <c:v>147.90307220288796</c:v>
                </c:pt>
                <c:pt idx="15">
                  <c:v>64.032298709763467</c:v>
                </c:pt>
                <c:pt idx="16">
                  <c:v>79.570796932363251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9E8-4168-9FDD-12792C482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459007903"/>
        <c:axId val="1459005503"/>
      </c:barChart>
      <c:barChart>
        <c:barDir val="col"/>
        <c:grouping val="stack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59007903"/>
        <c:axId val="1459005503"/>
        <c:extLst>
          <c:ext xmlns:c15="http://schemas.microsoft.com/office/drawing/2012/chart" uri="{02D57815-91ED-43cb-92C2-25804820EDAC}">
            <c15:filteredBarSeries>
              <c15:ser>
                <c:idx val="12"/>
                <c:order val="15"/>
                <c:tx>
                  <c:strRef>
                    <c:extLst>
                      <c:ext uri="{02D57815-91ED-43cb-92C2-25804820EDAC}">
                        <c15:formulaRef>
                          <c15:sqref>'T1. GHG emissions'!$A$18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rgbClr val="EFE97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'T1. GHG emissions'!$D$2:$AX$2</c15:sqref>
                        </c15:fullRef>
                        <c15:formulaRef>
                          <c15:sqref>'T1. GHG emissions'!$E$2:$AX$2</c15:sqref>
                        </c15:formulaRef>
                      </c:ext>
                    </c:extLst>
                    <c:strCache>
                      <c:ptCount val="46"/>
                      <c:pt idx="0">
                        <c:v>2005</c:v>
                      </c:pt>
                      <c:pt idx="5">
                        <c:v>2010</c:v>
                      </c:pt>
                      <c:pt idx="10">
                        <c:v>2015</c:v>
                      </c:pt>
                      <c:pt idx="15">
                        <c:v>2020</c:v>
                      </c:pt>
                      <c:pt idx="20">
                        <c:v>2025</c:v>
                      </c:pt>
                      <c:pt idx="25">
                        <c:v>2030</c:v>
                      </c:pt>
                      <c:pt idx="30">
                        <c:v>2035</c:v>
                      </c:pt>
                      <c:pt idx="35">
                        <c:v>2040</c:v>
                      </c:pt>
                      <c:pt idx="40">
                        <c:v>2045</c:v>
                      </c:pt>
                      <c:pt idx="45">
                        <c:v>2050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'T1. GHG emissions'!$D$18:$AX$18</c15:sqref>
                        </c15:fullRef>
                        <c15:formulaRef>
                          <c15:sqref>'T1. GHG emissions'!$E$18:$AX$18</c15:sqref>
                        </c15:formulaRef>
                      </c:ext>
                    </c:extLst>
                    <c:numCache>
                      <c:formatCode>#,##0</c:formatCode>
                      <c:ptCount val="4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5FE0-4BB5-ABB8-78B6217E688E}"/>
                  </c:ext>
                </c:extLst>
              </c15:ser>
            </c15:filteredBarSeries>
          </c:ext>
        </c:extLst>
      </c:barChart>
      <c:barChart>
        <c:barDir val="col"/>
        <c:grouping val="stack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59007903"/>
        <c:axId val="1459005503"/>
        <c:extLst>
          <c:ext xmlns:c15="http://schemas.microsoft.com/office/drawing/2012/chart" uri="{02D57815-91ED-43cb-92C2-25804820EDAC}">
            <c15:filteredBarSeries>
              <c15:ser>
                <c:idx val="13"/>
                <c:order val="10"/>
                <c:tx>
                  <c:strRef>
                    <c:extLst>
                      <c:ext uri="{02D57815-91ED-43cb-92C2-25804820EDAC}">
                        <c15:formulaRef>
                          <c15:sqref>'T1. GHG emissions'!$A$17</c15:sqref>
                        </c15:formulaRef>
                      </c:ext>
                    </c:extLst>
                    <c:strCache>
                      <c:ptCount val="1"/>
                      <c:pt idx="0">
                        <c:v>2040 advice min</c:v>
                      </c:pt>
                    </c:strCache>
                  </c:strRef>
                </c:tx>
                <c:spPr>
                  <a:solidFill>
                    <a:schemeClr val="bg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'T1. GHG emissions'!$D$2:$AX$2</c15:sqref>
                        </c15:fullRef>
                        <c15:formulaRef>
                          <c15:sqref>'T1. GHG emissions'!$E$2:$AX$2</c15:sqref>
                        </c15:formulaRef>
                      </c:ext>
                    </c:extLst>
                    <c:strCache>
                      <c:ptCount val="46"/>
                      <c:pt idx="0">
                        <c:v>2005</c:v>
                      </c:pt>
                      <c:pt idx="5">
                        <c:v>2010</c:v>
                      </c:pt>
                      <c:pt idx="10">
                        <c:v>2015</c:v>
                      </c:pt>
                      <c:pt idx="15">
                        <c:v>2020</c:v>
                      </c:pt>
                      <c:pt idx="20">
                        <c:v>2025</c:v>
                      </c:pt>
                      <c:pt idx="25">
                        <c:v>2030</c:v>
                      </c:pt>
                      <c:pt idx="30">
                        <c:v>2035</c:v>
                      </c:pt>
                      <c:pt idx="35">
                        <c:v>2040</c:v>
                      </c:pt>
                      <c:pt idx="40">
                        <c:v>2045</c:v>
                      </c:pt>
                      <c:pt idx="45">
                        <c:v>2050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'T1. GHG emissions'!$D$17:$AX$17</c15:sqref>
                        </c15:fullRef>
                        <c15:formulaRef>
                          <c15:sqref>'T1. GHG emissions'!$E$17:$AX$17</c15:sqref>
                        </c15:formulaRef>
                      </c:ext>
                    </c:extLst>
                    <c:numCache>
                      <c:formatCode>#,##0</c:formatCode>
                      <c:ptCount val="46"/>
                      <c:pt idx="25">
                        <c:v>643.33530115254109</c:v>
                      </c:pt>
                      <c:pt idx="35">
                        <c:v>172.03549299480775</c:v>
                      </c:pt>
                      <c:pt idx="45">
                        <c:v>54.947529261420897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5FE0-4BB5-ABB8-78B6217E688E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'T1. GHG emissions'!$A$3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'T1. GHG emissions'!$D$2:$AX$2</c15:sqref>
                  </c15:fullRef>
                </c:ext>
              </c:extLst>
              <c:f>'T1. GHG emissions'!$E$2:$AX$2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'T1. GHG emissions'!$D$3:$AX$3</c15:sqref>
                  </c15:fullRef>
                </c:ext>
              </c:extLst>
              <c:f>'T1. GHG emissions'!$E$3:$AX$3</c:f>
              <c:numCache>
                <c:formatCode>#,##0</c:formatCode>
                <c:ptCount val="46"/>
                <c:pt idx="0">
                  <c:v>943.4794418489497</c:v>
                </c:pt>
                <c:pt idx="1">
                  <c:v>956.65513022809159</c:v>
                </c:pt>
                <c:pt idx="2">
                  <c:v>969.81742899555525</c:v>
                </c:pt>
                <c:pt idx="3">
                  <c:v>952.31848981250016</c:v>
                </c:pt>
                <c:pt idx="4">
                  <c:v>921.85077200585067</c:v>
                </c:pt>
                <c:pt idx="5">
                  <c:v>918.00703158008855</c:v>
                </c:pt>
                <c:pt idx="6">
                  <c:v>911.07748975065738</c:v>
                </c:pt>
                <c:pt idx="7">
                  <c:v>880.41802090693068</c:v>
                </c:pt>
                <c:pt idx="8">
                  <c:v>875.37553752325141</c:v>
                </c:pt>
                <c:pt idx="9">
                  <c:v>882.74853162613931</c:v>
                </c:pt>
                <c:pt idx="10">
                  <c:v>901.76976304402092</c:v>
                </c:pt>
                <c:pt idx="11">
                  <c:v>925.82312919906485</c:v>
                </c:pt>
                <c:pt idx="12">
                  <c:v>949.14292414401905</c:v>
                </c:pt>
                <c:pt idx="13">
                  <c:v>956.8413283327061</c:v>
                </c:pt>
                <c:pt idx="14">
                  <c:v>965.70965274013042</c:v>
                </c:pt>
                <c:pt idx="15">
                  <c:v>776.29167184368669</c:v>
                </c:pt>
                <c:pt idx="16">
                  <c:v>851.85502559913743</c:v>
                </c:pt>
                <c:pt idx="17">
                  <c:v>906.58297866999999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E8-4168-9FDD-12792C482253}"/>
            </c:ext>
          </c:extLst>
        </c:ser>
        <c:ser>
          <c:idx val="15"/>
          <c:order val="8"/>
          <c:tx>
            <c:strRef>
              <c:f>'T1. GHG emissions'!$A$16</c:f>
              <c:strCache>
                <c:ptCount val="1"/>
                <c:pt idx="0">
                  <c:v>2040 advice</c:v>
                </c:pt>
              </c:strCache>
              <c:extLst xmlns:c15="http://schemas.microsoft.com/office/drawing/2012/chart"/>
            </c:strRef>
          </c:tx>
          <c:spPr>
            <a:ln w="28575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608C95"/>
              </a:solidFill>
              <a:ln w="9525">
                <a:solidFill>
                  <a:srgbClr val="608C95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'T1. GHG emissions'!$D$2:$AX$2</c15:sqref>
                  </c15:fullRef>
                </c:ext>
              </c:extLst>
              <c:f>'T1. GHG emissions'!$E$2:$AX$2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'T1. GHG emissions'!$D$16:$AX$16</c15:sqref>
                  </c15:fullRef>
                </c:ext>
              </c:extLst>
              <c:f>'T1. GHG emissions'!$E$16:$AX$16</c:f>
              <c:numCache>
                <c:formatCode>#,##0</c:formatCode>
                <c:ptCount val="46"/>
                <c:pt idx="25">
                  <c:v>643.11258232069758</c:v>
                </c:pt>
                <c:pt idx="35">
                  <c:v>171.09885815004921</c:v>
                </c:pt>
                <c:pt idx="45">
                  <c:v>54.754782069192309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F-19E8-4168-9FDD-12792C482253}"/>
            </c:ext>
          </c:extLst>
        </c:ser>
        <c:ser>
          <c:idx val="11"/>
          <c:order val="13"/>
          <c:tx>
            <c:strRef>
              <c:f>'T1. GHG emissions'!$A$14</c:f>
              <c:strCache>
                <c:ptCount val="1"/>
                <c:pt idx="0">
                  <c:v>2030 benchmark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dPt>
            <c:idx val="20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E0F-42F2-90B0-A18C6924B91B}"/>
              </c:ext>
            </c:extLst>
          </c:dPt>
          <c:dPt>
            <c:idx val="21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5797-4565-8BF8-0CB026D0B594}"/>
              </c:ext>
            </c:extLst>
          </c:dPt>
          <c:dPt>
            <c:idx val="22"/>
            <c:marker>
              <c:symbol val="circle"/>
              <c:size val="5"/>
              <c:spPr>
                <a:solidFill>
                  <a:schemeClr val="accent2">
                    <a:lumMod val="40000"/>
                    <a:lumOff val="60000"/>
                  </a:schemeClr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49BF-43A3-B778-91A8077DEDD9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'T1. GHG emissions'!$D$2:$AX$2</c15:sqref>
                  </c15:fullRef>
                </c:ext>
              </c:extLst>
              <c:f>'T1. GHG emissions'!$E$2:$AX$2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'T1. GHG emissions'!$D$14:$AX$14</c15:sqref>
                  </c15:fullRef>
                </c:ext>
              </c:extLst>
              <c:f>'T1. GHG emissions'!$E$14:$AX$14</c:f>
              <c:numCache>
                <c:formatCode>#,##0</c:formatCode>
                <c:ptCount val="46"/>
                <c:pt idx="25">
                  <c:v>697.23833291079745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9E8-4168-9FDD-12792C482253}"/>
            </c:ext>
          </c:extLst>
        </c:ser>
        <c:ser>
          <c:idx val="14"/>
          <c:order val="14"/>
          <c:tx>
            <c:strRef>
              <c:f>'T1. GHG emissions'!$A$15</c:f>
              <c:strCache>
                <c:ptCount val="1"/>
                <c:pt idx="0">
                  <c:v>2050 benchmark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3D5584"/>
              </a:solidFill>
              <a:ln w="9525">
                <a:noFill/>
              </a:ln>
              <a:effectLst/>
            </c:spPr>
          </c:marker>
          <c:dPt>
            <c:idx val="45"/>
            <c:marker>
              <c:symbol val="circle"/>
              <c:size val="5"/>
              <c:spPr>
                <a:solidFill>
                  <a:srgbClr val="3D5584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49BF-43A3-B778-91A8077DEDD9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'T1. GHG emissions'!$D$2:$AX$2</c15:sqref>
                  </c15:fullRef>
                </c:ext>
              </c:extLst>
              <c:f>'T1. GHG emissions'!$E$2:$AX$2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'T1. GHG emissions'!$D$15:$AX$15</c15:sqref>
                  </c15:fullRef>
                </c:ext>
              </c:extLst>
              <c:f>'T1. GHG emissions'!$E$15:$AX$15</c:f>
              <c:numCache>
                <c:formatCode>#,##0</c:formatCode>
                <c:ptCount val="46"/>
                <c:pt idx="45">
                  <c:v>72.657399999999996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9E8-4168-9FDD-12792C482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9007903"/>
        <c:axId val="1459005503"/>
        <c:extLst>
          <c:ext xmlns:c15="http://schemas.microsoft.com/office/drawing/2012/chart" uri="{02D57815-91ED-43cb-92C2-25804820EDAC}">
            <c15:filteredLineSeries>
              <c15:ser>
                <c:idx val="10"/>
                <c:order val="12"/>
                <c:tx>
                  <c:strRef>
                    <c:extLst>
                      <c:ext uri="{02D57815-91ED-43cb-92C2-25804820EDAC}">
                        <c15:formulaRef>
                          <c15:sqref>'T1. GHG emissions'!$A$13</c15:sqref>
                        </c15:formulaRef>
                      </c:ext>
                    </c:extLst>
                    <c:strCache>
                      <c:ptCount val="1"/>
                      <c:pt idx="0">
                        <c:v>linear trajector to benchmarks</c:v>
                      </c:pt>
                    </c:strCache>
                  </c:strRef>
                </c:tx>
                <c:spPr>
                  <a:ln w="12700" cap="rnd">
                    <a:solidFill>
                      <a:sysClr val="windowText" lastClr="000000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'T1. GHG emissions'!$D$2:$AX$2</c15:sqref>
                        </c15:fullRef>
                        <c15:formulaRef>
                          <c15:sqref>'T1. GHG emissions'!$E$2:$AX$2</c15:sqref>
                        </c15:formulaRef>
                      </c:ext>
                    </c:extLst>
                    <c:strCache>
                      <c:ptCount val="46"/>
                      <c:pt idx="0">
                        <c:v>2005</c:v>
                      </c:pt>
                      <c:pt idx="5">
                        <c:v>2010</c:v>
                      </c:pt>
                      <c:pt idx="10">
                        <c:v>2015</c:v>
                      </c:pt>
                      <c:pt idx="15">
                        <c:v>2020</c:v>
                      </c:pt>
                      <c:pt idx="20">
                        <c:v>2025</c:v>
                      </c:pt>
                      <c:pt idx="25">
                        <c:v>2030</c:v>
                      </c:pt>
                      <c:pt idx="30">
                        <c:v>2035</c:v>
                      </c:pt>
                      <c:pt idx="35">
                        <c:v>2040</c:v>
                      </c:pt>
                      <c:pt idx="40">
                        <c:v>2045</c:v>
                      </c:pt>
                      <c:pt idx="45">
                        <c:v>2050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'T1. GHG emissions'!$D$13:$AX$13</c15:sqref>
                        </c15:fullRef>
                        <c15:formulaRef>
                          <c15:sqref>'T1. GHG emissions'!$E$13:$AX$13</c15:sqref>
                        </c15:formulaRef>
                      </c:ext>
                    </c:extLst>
                    <c:numCache>
                      <c:formatCode>#,##0</c:formatCode>
                      <c:ptCount val="46"/>
                      <c:pt idx="17">
                        <c:v>906.5829786700001</c:v>
                      </c:pt>
                      <c:pt idx="18">
                        <c:v>880.42260633625006</c:v>
                      </c:pt>
                      <c:pt idx="19">
                        <c:v>854.26223400250001</c:v>
                      </c:pt>
                      <c:pt idx="20">
                        <c:v>828.10186166874996</c:v>
                      </c:pt>
                      <c:pt idx="21">
                        <c:v>801.94148933499991</c:v>
                      </c:pt>
                      <c:pt idx="22">
                        <c:v>775.78111700124987</c:v>
                      </c:pt>
                      <c:pt idx="23">
                        <c:v>749.62074466749982</c:v>
                      </c:pt>
                      <c:pt idx="24">
                        <c:v>723.46037233374977</c:v>
                      </c:pt>
                      <c:pt idx="25">
                        <c:v>697.29999999999973</c:v>
                      </c:pt>
                      <c:pt idx="26">
                        <c:v>666.06786999999986</c:v>
                      </c:pt>
                      <c:pt idx="27">
                        <c:v>634.83573999999987</c:v>
                      </c:pt>
                      <c:pt idx="28">
                        <c:v>603.60360999999989</c:v>
                      </c:pt>
                      <c:pt idx="29">
                        <c:v>572.37147999999991</c:v>
                      </c:pt>
                      <c:pt idx="30">
                        <c:v>541.13934999999992</c:v>
                      </c:pt>
                      <c:pt idx="31">
                        <c:v>509.90721999999994</c:v>
                      </c:pt>
                      <c:pt idx="32">
                        <c:v>478.67508999999995</c:v>
                      </c:pt>
                      <c:pt idx="33">
                        <c:v>447.44296000000003</c:v>
                      </c:pt>
                      <c:pt idx="34">
                        <c:v>416.21083000000004</c:v>
                      </c:pt>
                      <c:pt idx="35">
                        <c:v>384.97870000000006</c:v>
                      </c:pt>
                      <c:pt idx="36">
                        <c:v>353.74657000000008</c:v>
                      </c:pt>
                      <c:pt idx="37">
                        <c:v>322.51444000000009</c:v>
                      </c:pt>
                      <c:pt idx="38">
                        <c:v>291.28231000000011</c:v>
                      </c:pt>
                      <c:pt idx="39">
                        <c:v>260.05018000000013</c:v>
                      </c:pt>
                      <c:pt idx="40">
                        <c:v>228.81805000000014</c:v>
                      </c:pt>
                      <c:pt idx="41">
                        <c:v>197.58592000000021</c:v>
                      </c:pt>
                      <c:pt idx="42">
                        <c:v>166.35379000000023</c:v>
                      </c:pt>
                      <c:pt idx="43">
                        <c:v>135.12166000000025</c:v>
                      </c:pt>
                      <c:pt idx="44">
                        <c:v>103.88953000000026</c:v>
                      </c:pt>
                      <c:pt idx="45">
                        <c:v>72.65740000000028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A-19E8-4168-9FDD-12792C482253}"/>
                  </c:ext>
                </c:extLst>
              </c15:ser>
            </c15:filteredLineSeries>
          </c:ext>
        </c:extLst>
      </c:lineChart>
      <c:catAx>
        <c:axId val="145900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DK"/>
          </a:p>
        </c:txPr>
        <c:crossAx val="1459005503"/>
        <c:crosses val="autoZero"/>
        <c:auto val="1"/>
        <c:lblAlgn val="ctr"/>
        <c:lblOffset val="100"/>
        <c:noMultiLvlLbl val="0"/>
      </c:catAx>
      <c:valAx>
        <c:axId val="1459005503"/>
        <c:scaling>
          <c:orientation val="minMax"/>
          <c:max val="1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en-US" b="1"/>
                  <a:t>Mt CO2e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DK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DK"/>
          </a:p>
        </c:txPr>
        <c:crossAx val="1459007903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Segoe UI" panose="020B0502040204020203" pitchFamily="34" charset="0"/>
          <a:cs typeface="Segoe UI" panose="020B0502040204020203" pitchFamily="34" charset="0"/>
        </a:defRPr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'T2a. total demand passenger'!$A$4</c:f>
              <c:strCache>
                <c:ptCount val="1"/>
                <c:pt idx="0">
                  <c:v>cars and 2-wheels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'T2a. total demand passenger'!$D$2:$AW$2</c:f>
              <c:strCache>
                <c:ptCount val="46"/>
                <c:pt idx="5">
                  <c:v>2010</c:v>
                </c:pt>
                <c:pt idx="15">
                  <c:v>2020</c:v>
                </c:pt>
                <c:pt idx="25">
                  <c:v>2030</c:v>
                </c:pt>
                <c:pt idx="35">
                  <c:v>2040</c:v>
                </c:pt>
                <c:pt idx="45">
                  <c:v>2050</c:v>
                </c:pt>
              </c:strCache>
            </c:strRef>
          </c:cat>
          <c:val>
            <c:numRef>
              <c:f>'T2a. total demand passenger'!$D$4:$AW$4</c:f>
              <c:numCache>
                <c:formatCode>0</c:formatCode>
                <c:ptCount val="46"/>
                <c:pt idx="0">
                  <c:v>3953.7999999999997</c:v>
                </c:pt>
                <c:pt idx="1">
                  <c:v>3988.9</c:v>
                </c:pt>
                <c:pt idx="2">
                  <c:v>4030.9</c:v>
                </c:pt>
                <c:pt idx="3">
                  <c:v>4046.1</c:v>
                </c:pt>
                <c:pt idx="4">
                  <c:v>4121.2</c:v>
                </c:pt>
                <c:pt idx="5">
                  <c:v>4089.7000000000003</c:v>
                </c:pt>
                <c:pt idx="6">
                  <c:v>4061.2999999999997</c:v>
                </c:pt>
                <c:pt idx="7">
                  <c:v>4013.6</c:v>
                </c:pt>
                <c:pt idx="8">
                  <c:v>4071.8999999999996</c:v>
                </c:pt>
                <c:pt idx="9">
                  <c:v>4129.8999999999996</c:v>
                </c:pt>
                <c:pt idx="10">
                  <c:v>4218.3999999999996</c:v>
                </c:pt>
                <c:pt idx="11">
                  <c:v>4303.7</c:v>
                </c:pt>
                <c:pt idx="12">
                  <c:v>4340.7</c:v>
                </c:pt>
                <c:pt idx="13">
                  <c:v>4363.8</c:v>
                </c:pt>
                <c:pt idx="14">
                  <c:v>4411.2</c:v>
                </c:pt>
                <c:pt idx="15">
                  <c:v>3683.1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DC-4F2E-912C-75EAD9E50A77}"/>
            </c:ext>
          </c:extLst>
        </c:ser>
        <c:ser>
          <c:idx val="2"/>
          <c:order val="2"/>
          <c:tx>
            <c:strRef>
              <c:f>'T2a. total demand passenger'!$A$5</c:f>
              <c:strCache>
                <c:ptCount val="1"/>
                <c:pt idx="0">
                  <c:v>buses and coaches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'T2a. total demand passenger'!$D$2:$AW$2</c:f>
              <c:strCache>
                <c:ptCount val="46"/>
                <c:pt idx="5">
                  <c:v>2010</c:v>
                </c:pt>
                <c:pt idx="15">
                  <c:v>2020</c:v>
                </c:pt>
                <c:pt idx="25">
                  <c:v>2030</c:v>
                </c:pt>
                <c:pt idx="35">
                  <c:v>2040</c:v>
                </c:pt>
                <c:pt idx="45">
                  <c:v>2050</c:v>
                </c:pt>
              </c:strCache>
            </c:strRef>
          </c:cat>
          <c:val>
            <c:numRef>
              <c:f>'T2a. total demand passenger'!$D$5:$AW$5</c:f>
              <c:numCache>
                <c:formatCode>0</c:formatCode>
                <c:ptCount val="46"/>
                <c:pt idx="0">
                  <c:v>497.8</c:v>
                </c:pt>
                <c:pt idx="1">
                  <c:v>497.8</c:v>
                </c:pt>
                <c:pt idx="2">
                  <c:v>507.9</c:v>
                </c:pt>
                <c:pt idx="3">
                  <c:v>514.1</c:v>
                </c:pt>
                <c:pt idx="4">
                  <c:v>489.7</c:v>
                </c:pt>
                <c:pt idx="5">
                  <c:v>482.2</c:v>
                </c:pt>
                <c:pt idx="6">
                  <c:v>485.6</c:v>
                </c:pt>
                <c:pt idx="7">
                  <c:v>481.6</c:v>
                </c:pt>
                <c:pt idx="8">
                  <c:v>480.5</c:v>
                </c:pt>
                <c:pt idx="9">
                  <c:v>476.2</c:v>
                </c:pt>
                <c:pt idx="10">
                  <c:v>493.4</c:v>
                </c:pt>
                <c:pt idx="11">
                  <c:v>498.3</c:v>
                </c:pt>
                <c:pt idx="12">
                  <c:v>479</c:v>
                </c:pt>
                <c:pt idx="13">
                  <c:v>484.1</c:v>
                </c:pt>
                <c:pt idx="14">
                  <c:v>487.5</c:v>
                </c:pt>
                <c:pt idx="15">
                  <c:v>293.60000000000002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DC-4F2E-912C-75EAD9E50A77}"/>
            </c:ext>
          </c:extLst>
        </c:ser>
        <c:ser>
          <c:idx val="3"/>
          <c:order val="3"/>
          <c:tx>
            <c:strRef>
              <c:f>'T2a. total demand passenger'!$A$6</c:f>
              <c:strCache>
                <c:ptCount val="1"/>
                <c:pt idx="0">
                  <c:v>rail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'T2a. total demand passenger'!$D$2:$AW$2</c:f>
              <c:strCache>
                <c:ptCount val="46"/>
                <c:pt idx="5">
                  <c:v>2010</c:v>
                </c:pt>
                <c:pt idx="15">
                  <c:v>2020</c:v>
                </c:pt>
                <c:pt idx="25">
                  <c:v>2030</c:v>
                </c:pt>
                <c:pt idx="35">
                  <c:v>2040</c:v>
                </c:pt>
                <c:pt idx="45">
                  <c:v>2050</c:v>
                </c:pt>
              </c:strCache>
            </c:strRef>
          </c:cat>
          <c:val>
            <c:numRef>
              <c:f>'T2a. total demand passenger'!$D$6:$AW$6</c:f>
              <c:numCache>
                <c:formatCode>0</c:formatCode>
                <c:ptCount val="46"/>
                <c:pt idx="0">
                  <c:v>413</c:v>
                </c:pt>
                <c:pt idx="1">
                  <c:v>424</c:v>
                </c:pt>
                <c:pt idx="2">
                  <c:v>429.79999999999995</c:v>
                </c:pt>
                <c:pt idx="3">
                  <c:v>445.90000000000003</c:v>
                </c:pt>
                <c:pt idx="4">
                  <c:v>437.9</c:v>
                </c:pt>
                <c:pt idx="5">
                  <c:v>439</c:v>
                </c:pt>
                <c:pt idx="6">
                  <c:v>445.20000000000005</c:v>
                </c:pt>
                <c:pt idx="7">
                  <c:v>449.5</c:v>
                </c:pt>
                <c:pt idx="8">
                  <c:v>453.8</c:v>
                </c:pt>
                <c:pt idx="9">
                  <c:v>458.5</c:v>
                </c:pt>
                <c:pt idx="10">
                  <c:v>461.8</c:v>
                </c:pt>
                <c:pt idx="11">
                  <c:v>469.1</c:v>
                </c:pt>
                <c:pt idx="12">
                  <c:v>485.1</c:v>
                </c:pt>
                <c:pt idx="13">
                  <c:v>494.20000000000005</c:v>
                </c:pt>
                <c:pt idx="14">
                  <c:v>508</c:v>
                </c:pt>
                <c:pt idx="15">
                  <c:v>281.2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DC-4F2E-912C-75EAD9E50A77}"/>
            </c:ext>
          </c:extLst>
        </c:ser>
        <c:ser>
          <c:idx val="4"/>
          <c:order val="4"/>
          <c:tx>
            <c:strRef>
              <c:f>'T2a. total demand passenger'!$A$7</c:f>
              <c:strCache>
                <c:ptCount val="1"/>
                <c:pt idx="0">
                  <c:v>aviation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'T2a. total demand passenger'!$D$2:$AW$2</c:f>
              <c:strCache>
                <c:ptCount val="46"/>
                <c:pt idx="5">
                  <c:v>2010</c:v>
                </c:pt>
                <c:pt idx="15">
                  <c:v>2020</c:v>
                </c:pt>
                <c:pt idx="25">
                  <c:v>2030</c:v>
                </c:pt>
                <c:pt idx="35">
                  <c:v>2040</c:v>
                </c:pt>
                <c:pt idx="45">
                  <c:v>2050</c:v>
                </c:pt>
              </c:strCache>
            </c:strRef>
          </c:cat>
          <c:val>
            <c:numRef>
              <c:f>'T2a. total demand passenger'!$D$7:$AW$7</c:f>
              <c:numCache>
                <c:formatCode>0</c:formatCode>
                <c:ptCount val="46"/>
                <c:pt idx="0">
                  <c:v>361.3</c:v>
                </c:pt>
                <c:pt idx="1">
                  <c:v>376.4</c:v>
                </c:pt>
                <c:pt idx="2">
                  <c:v>392.2</c:v>
                </c:pt>
                <c:pt idx="3">
                  <c:v>383.8</c:v>
                </c:pt>
                <c:pt idx="4">
                  <c:v>361.8</c:v>
                </c:pt>
                <c:pt idx="5">
                  <c:v>377.3</c:v>
                </c:pt>
                <c:pt idx="6">
                  <c:v>408.5</c:v>
                </c:pt>
                <c:pt idx="7">
                  <c:v>402.1</c:v>
                </c:pt>
                <c:pt idx="8">
                  <c:v>406</c:v>
                </c:pt>
                <c:pt idx="9">
                  <c:v>425.6</c:v>
                </c:pt>
                <c:pt idx="10">
                  <c:v>451.8</c:v>
                </c:pt>
                <c:pt idx="11">
                  <c:v>492.6</c:v>
                </c:pt>
                <c:pt idx="12">
                  <c:v>538.4</c:v>
                </c:pt>
                <c:pt idx="13">
                  <c:v>571.79999999999995</c:v>
                </c:pt>
                <c:pt idx="14">
                  <c:v>585.5</c:v>
                </c:pt>
                <c:pt idx="15">
                  <c:v>177.9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DC-4F2E-912C-75EAD9E50A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998024096"/>
        <c:axId val="1998022176"/>
      </c:barChart>
      <c:lineChart>
        <c:grouping val="standard"/>
        <c:varyColors val="0"/>
        <c:ser>
          <c:idx val="0"/>
          <c:order val="0"/>
          <c:tx>
            <c:strRef>
              <c:f>'T2a. total demand passenger'!$A$3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strRef>
              <c:f>'T2a. total demand passenger'!$D$2:$AW$2</c:f>
              <c:strCache>
                <c:ptCount val="46"/>
                <c:pt idx="5">
                  <c:v>2010</c:v>
                </c:pt>
                <c:pt idx="15">
                  <c:v>2020</c:v>
                </c:pt>
                <c:pt idx="25">
                  <c:v>2030</c:v>
                </c:pt>
                <c:pt idx="35">
                  <c:v>2040</c:v>
                </c:pt>
                <c:pt idx="45">
                  <c:v>2050</c:v>
                </c:pt>
              </c:strCache>
            </c:strRef>
          </c:cat>
          <c:val>
            <c:numRef>
              <c:f>'T2a. total demand passenger'!$D$3:$AW$3</c:f>
              <c:numCache>
                <c:formatCode>0</c:formatCode>
                <c:ptCount val="46"/>
                <c:pt idx="0">
                  <c:v>5225.8999999999996</c:v>
                </c:pt>
                <c:pt idx="1">
                  <c:v>5287.0999999999995</c:v>
                </c:pt>
                <c:pt idx="2">
                  <c:v>5360.8</c:v>
                </c:pt>
                <c:pt idx="3">
                  <c:v>5389.9</c:v>
                </c:pt>
                <c:pt idx="4">
                  <c:v>5410.5999999999995</c:v>
                </c:pt>
                <c:pt idx="5">
                  <c:v>5388.2000000000007</c:v>
                </c:pt>
                <c:pt idx="6">
                  <c:v>5400.5999999999995</c:v>
                </c:pt>
                <c:pt idx="7">
                  <c:v>5346.8</c:v>
                </c:pt>
                <c:pt idx="8">
                  <c:v>5412.2</c:v>
                </c:pt>
                <c:pt idx="9">
                  <c:v>5490.2</c:v>
                </c:pt>
                <c:pt idx="10">
                  <c:v>5625.4</c:v>
                </c:pt>
                <c:pt idx="11">
                  <c:v>5763.7000000000007</c:v>
                </c:pt>
                <c:pt idx="12">
                  <c:v>5843.2</c:v>
                </c:pt>
                <c:pt idx="13">
                  <c:v>5913.9000000000005</c:v>
                </c:pt>
                <c:pt idx="14">
                  <c:v>5992.2</c:v>
                </c:pt>
                <c:pt idx="15">
                  <c:v>4435.7999999999993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DC-4F2E-912C-75EAD9E50A77}"/>
            </c:ext>
          </c:extLst>
        </c:ser>
        <c:ser>
          <c:idx val="5"/>
          <c:order val="5"/>
          <c:tx>
            <c:strRef>
              <c:f>'T2a. total demand passenger'!$A$8</c:f>
              <c:strCache>
                <c:ptCount val="1"/>
                <c:pt idx="0">
                  <c:v>2030 benchmark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cat>
            <c:strRef>
              <c:f>'T2a. total demand passenger'!$D$2:$AW$2</c:f>
              <c:strCache>
                <c:ptCount val="46"/>
                <c:pt idx="5">
                  <c:v>2010</c:v>
                </c:pt>
                <c:pt idx="15">
                  <c:v>2020</c:v>
                </c:pt>
                <c:pt idx="25">
                  <c:v>2030</c:v>
                </c:pt>
                <c:pt idx="35">
                  <c:v>2040</c:v>
                </c:pt>
                <c:pt idx="45">
                  <c:v>2050</c:v>
                </c:pt>
              </c:strCache>
            </c:strRef>
          </c:cat>
          <c:val>
            <c:numRef>
              <c:f>'T2a. total demand passenger'!$D$8:$AW$8</c:f>
              <c:numCache>
                <c:formatCode>General</c:formatCode>
                <c:ptCount val="46"/>
                <c:pt idx="25">
                  <c:v>6448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DC-4F2E-912C-75EAD9E50A77}"/>
            </c:ext>
          </c:extLst>
        </c:ser>
        <c:ser>
          <c:idx val="6"/>
          <c:order val="6"/>
          <c:tx>
            <c:strRef>
              <c:f>'T2a. total demand passenger'!$A$9</c:f>
              <c:strCache>
                <c:ptCount val="1"/>
                <c:pt idx="0">
                  <c:v>2050 benchmark (min)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noFill/>
              </a:ln>
              <a:effectLst/>
            </c:spPr>
          </c:marker>
          <c:cat>
            <c:strRef>
              <c:f>'T2a. total demand passenger'!$D$2:$AW$2</c:f>
              <c:strCache>
                <c:ptCount val="46"/>
                <c:pt idx="5">
                  <c:v>2010</c:v>
                </c:pt>
                <c:pt idx="15">
                  <c:v>2020</c:v>
                </c:pt>
                <c:pt idx="25">
                  <c:v>2030</c:v>
                </c:pt>
                <c:pt idx="35">
                  <c:v>2040</c:v>
                </c:pt>
                <c:pt idx="45">
                  <c:v>2050</c:v>
                </c:pt>
              </c:strCache>
            </c:strRef>
          </c:cat>
          <c:val>
            <c:numRef>
              <c:f>'T2a. total demand passenger'!$D$9:$AW$9</c:f>
              <c:numCache>
                <c:formatCode>General</c:formatCode>
                <c:ptCount val="46"/>
                <c:pt idx="45" formatCode="0">
                  <c:v>6656.2999170109651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BDC-4F2E-912C-75EAD9E50A77}"/>
            </c:ext>
          </c:extLst>
        </c:ser>
        <c:ser>
          <c:idx val="7"/>
          <c:order val="7"/>
          <c:tx>
            <c:strRef>
              <c:f>'T2a. total demand passenger'!$A$10</c:f>
              <c:strCache>
                <c:ptCount val="1"/>
                <c:pt idx="0">
                  <c:v>2050 benchmark (max)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cat>
            <c:strRef>
              <c:f>'T2a. total demand passenger'!$D$2:$AW$2</c:f>
              <c:strCache>
                <c:ptCount val="46"/>
                <c:pt idx="5">
                  <c:v>2010</c:v>
                </c:pt>
                <c:pt idx="15">
                  <c:v>2020</c:v>
                </c:pt>
                <c:pt idx="25">
                  <c:v>2030</c:v>
                </c:pt>
                <c:pt idx="35">
                  <c:v>2040</c:v>
                </c:pt>
                <c:pt idx="45">
                  <c:v>2050</c:v>
                </c:pt>
              </c:strCache>
            </c:strRef>
          </c:cat>
          <c:val>
            <c:numRef>
              <c:f>'T2a. total demand passenger'!$D$10:$AW$10</c:f>
              <c:numCache>
                <c:formatCode>General</c:formatCode>
                <c:ptCount val="46"/>
                <c:pt idx="45" formatCode="0">
                  <c:v>6783.9752698429511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BDC-4F2E-912C-75EAD9E50A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8024096"/>
        <c:axId val="1998022176"/>
        <c:extLst>
          <c:ext xmlns:c15="http://schemas.microsoft.com/office/drawing/2012/chart" uri="{02D57815-91ED-43cb-92C2-25804820EDAC}">
            <c15:filteredLineSeries>
              <c15:ser>
                <c:idx val="8"/>
                <c:order val="8"/>
                <c:tx>
                  <c:strRef>
                    <c:extLst>
                      <c:ext uri="{02D57815-91ED-43cb-92C2-25804820EDAC}">
                        <c15:formulaRef>
                          <c15:sqref>'T2a. total demand passenger'!$A$11</c15:sqref>
                        </c15:formulaRef>
                      </c:ext>
                    </c:extLst>
                    <c:strCache>
                      <c:ptCount val="1"/>
                      <c:pt idx="0">
                        <c:v>linear trajectory to benchmark</c:v>
                      </c:pt>
                    </c:strCache>
                  </c:strRef>
                </c:tx>
                <c:spPr>
                  <a:ln w="12700" cap="rnd">
                    <a:solidFill>
                      <a:sysClr val="windowText" lastClr="000000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'T2a. total demand passenger'!$D$2:$AW$2</c15:sqref>
                        </c15:formulaRef>
                      </c:ext>
                    </c:extLst>
                    <c:strCache>
                      <c:ptCount val="46"/>
                      <c:pt idx="5">
                        <c:v>2010</c:v>
                      </c:pt>
                      <c:pt idx="15">
                        <c:v>2020</c:v>
                      </c:pt>
                      <c:pt idx="25">
                        <c:v>2030</c:v>
                      </c:pt>
                      <c:pt idx="35">
                        <c:v>2040</c:v>
                      </c:pt>
                      <c:pt idx="45">
                        <c:v>2050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'T2a. total demand passenger'!$D$11:$AW$11</c15:sqref>
                        </c15:formulaRef>
                      </c:ext>
                    </c:extLst>
                    <c:numCache>
                      <c:formatCode>General</c:formatCode>
                      <c:ptCount val="46"/>
                      <c:pt idx="14" formatCode="0">
                        <c:v>5992.2</c:v>
                      </c:pt>
                      <c:pt idx="15" formatCode="0">
                        <c:v>6033.636363636364</c:v>
                      </c:pt>
                      <c:pt idx="16" formatCode="0">
                        <c:v>6075.0727272727272</c:v>
                      </c:pt>
                      <c:pt idx="17" formatCode="0">
                        <c:v>6116.5090909090914</c:v>
                      </c:pt>
                      <c:pt idx="18" formatCode="0">
                        <c:v>6157.9454545454546</c:v>
                      </c:pt>
                      <c:pt idx="19" formatCode="0">
                        <c:v>6199.3818181818187</c:v>
                      </c:pt>
                      <c:pt idx="20" formatCode="0">
                        <c:v>6240.818181818182</c:v>
                      </c:pt>
                      <c:pt idx="21" formatCode="0">
                        <c:v>6282.2545454545461</c:v>
                      </c:pt>
                      <c:pt idx="22" formatCode="0">
                        <c:v>6323.6909090909094</c:v>
                      </c:pt>
                      <c:pt idx="23" formatCode="0">
                        <c:v>6365.1272727272735</c:v>
                      </c:pt>
                      <c:pt idx="24" formatCode="0">
                        <c:v>6406.5636363636368</c:v>
                      </c:pt>
                      <c:pt idx="25" formatCode="0">
                        <c:v>6448.0000000000009</c:v>
                      </c:pt>
                      <c:pt idx="26">
                        <c:v>6458.4149958505477</c:v>
                      </c:pt>
                      <c:pt idx="27">
                        <c:v>6468.8299917010963</c:v>
                      </c:pt>
                      <c:pt idx="28">
                        <c:v>6479.244987551644</c:v>
                      </c:pt>
                      <c:pt idx="29">
                        <c:v>6489.6599834021927</c:v>
                      </c:pt>
                      <c:pt idx="30">
                        <c:v>6500.0749792527413</c:v>
                      </c:pt>
                      <c:pt idx="31">
                        <c:v>6510.489975103289</c:v>
                      </c:pt>
                      <c:pt idx="32">
                        <c:v>6520.9049709538376</c:v>
                      </c:pt>
                      <c:pt idx="33">
                        <c:v>6531.3199668043853</c:v>
                      </c:pt>
                      <c:pt idx="34">
                        <c:v>6541.734962654934</c:v>
                      </c:pt>
                      <c:pt idx="35">
                        <c:v>6552.1499585054826</c:v>
                      </c:pt>
                      <c:pt idx="36">
                        <c:v>6562.5649543560303</c:v>
                      </c:pt>
                      <c:pt idx="37">
                        <c:v>6572.9799502065789</c:v>
                      </c:pt>
                      <c:pt idx="38">
                        <c:v>6583.3949460571266</c:v>
                      </c:pt>
                      <c:pt idx="39">
                        <c:v>6593.8099419076752</c:v>
                      </c:pt>
                      <c:pt idx="40">
                        <c:v>6604.2249377582239</c:v>
                      </c:pt>
                      <c:pt idx="41">
                        <c:v>6614.6399336087716</c:v>
                      </c:pt>
                      <c:pt idx="42">
                        <c:v>6625.0549294593202</c:v>
                      </c:pt>
                      <c:pt idx="43">
                        <c:v>6635.4699253098679</c:v>
                      </c:pt>
                      <c:pt idx="44">
                        <c:v>6645.8849211604165</c:v>
                      </c:pt>
                      <c:pt idx="45">
                        <c:v>6656.2999170109651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8-8BDC-4F2E-912C-75EAD9E50A77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'T2a. total demand passenger'!$A$12</c15:sqref>
                        </c15:formulaRef>
                      </c:ext>
                    </c:extLst>
                    <c:strCache>
                      <c:ptCount val="1"/>
                      <c:pt idx="0">
                        <c:v>linear trajectory to benchmark 2</c:v>
                      </c:pt>
                    </c:strCache>
                  </c:strRef>
                </c:tx>
                <c:spPr>
                  <a:ln w="12700" cap="rnd">
                    <a:solidFill>
                      <a:sysClr val="windowText" lastClr="000000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'T2a. total demand passenger'!$D$2:$AW$2</c15:sqref>
                        </c15:formulaRef>
                      </c:ext>
                    </c:extLst>
                    <c:strCache>
                      <c:ptCount val="46"/>
                      <c:pt idx="5">
                        <c:v>2010</c:v>
                      </c:pt>
                      <c:pt idx="15">
                        <c:v>2020</c:v>
                      </c:pt>
                      <c:pt idx="25">
                        <c:v>2030</c:v>
                      </c:pt>
                      <c:pt idx="35">
                        <c:v>2040</c:v>
                      </c:pt>
                      <c:pt idx="45">
                        <c:v>2050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'T2a. total demand passenger'!$D$12:$AW$12</c15:sqref>
                        </c15:formulaRef>
                      </c:ext>
                    </c:extLst>
                    <c:numCache>
                      <c:formatCode>General</c:formatCode>
                      <c:ptCount val="46"/>
                      <c:pt idx="25">
                        <c:v>6448</c:v>
                      </c:pt>
                      <c:pt idx="26">
                        <c:v>6464.7987634921474</c:v>
                      </c:pt>
                      <c:pt idx="27">
                        <c:v>6481.5975269842957</c:v>
                      </c:pt>
                      <c:pt idx="28">
                        <c:v>6498.396290476443</c:v>
                      </c:pt>
                      <c:pt idx="29">
                        <c:v>6515.1950539685904</c:v>
                      </c:pt>
                      <c:pt idx="30">
                        <c:v>6531.9938174607378</c:v>
                      </c:pt>
                      <c:pt idx="31">
                        <c:v>6548.7925809528851</c:v>
                      </c:pt>
                      <c:pt idx="32">
                        <c:v>6565.5913444450334</c:v>
                      </c:pt>
                      <c:pt idx="33">
                        <c:v>6582.3901079371808</c:v>
                      </c:pt>
                      <c:pt idx="34">
                        <c:v>6599.1888714293282</c:v>
                      </c:pt>
                      <c:pt idx="35">
                        <c:v>6615.9876349214755</c:v>
                      </c:pt>
                      <c:pt idx="36">
                        <c:v>6632.7863984136229</c:v>
                      </c:pt>
                      <c:pt idx="37">
                        <c:v>6649.5851619057712</c:v>
                      </c:pt>
                      <c:pt idx="38">
                        <c:v>6666.3839253979186</c:v>
                      </c:pt>
                      <c:pt idx="39">
                        <c:v>6683.1826888900659</c:v>
                      </c:pt>
                      <c:pt idx="40">
                        <c:v>6699.9814523822133</c:v>
                      </c:pt>
                      <c:pt idx="41">
                        <c:v>6716.7802158743607</c:v>
                      </c:pt>
                      <c:pt idx="42">
                        <c:v>6733.578979366509</c:v>
                      </c:pt>
                      <c:pt idx="43">
                        <c:v>6750.3777428586563</c:v>
                      </c:pt>
                      <c:pt idx="44">
                        <c:v>6767.1765063508037</c:v>
                      </c:pt>
                      <c:pt idx="45">
                        <c:v>6783.9752698429511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BDC-4F2E-912C-75EAD9E50A77}"/>
                  </c:ext>
                </c:extLst>
              </c15:ser>
            </c15:filteredLineSeries>
          </c:ext>
        </c:extLst>
      </c:lineChart>
      <c:catAx>
        <c:axId val="199802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DK"/>
          </a:p>
        </c:txPr>
        <c:crossAx val="1998022176"/>
        <c:crosses val="autoZero"/>
        <c:auto val="1"/>
        <c:lblAlgn val="ctr"/>
        <c:lblOffset val="100"/>
        <c:noMultiLvlLbl val="0"/>
      </c:catAx>
      <c:valAx>
        <c:axId val="19980221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en-IE" b="1"/>
                  <a:t>Gpkm</a:t>
                </a:r>
                <a:endParaRPr lang="en-DK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DK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DK"/>
          </a:p>
        </c:txPr>
        <c:crossAx val="1998024096"/>
        <c:crosses val="autoZero"/>
        <c:crossBetween val="between"/>
        <c:majorUnit val="20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Segoe UI" panose="020B0502040204020203" pitchFamily="34" charset="0"/>
          <a:cs typeface="Segoe UI" panose="020B0502040204020203" pitchFamily="34" charset="0"/>
        </a:defRPr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'T2b. total demand freight'!$A$4</c:f>
              <c:strCache>
                <c:ptCount val="1"/>
                <c:pt idx="0">
                  <c:v>Road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'T2b. total demand freight'!$B$2:$AW$2</c:f>
              <c:strCache>
                <c:ptCount val="46"/>
                <c:pt idx="5">
                  <c:v>2010</c:v>
                </c:pt>
                <c:pt idx="15">
                  <c:v>2020</c:v>
                </c:pt>
                <c:pt idx="25">
                  <c:v>2030</c:v>
                </c:pt>
                <c:pt idx="35">
                  <c:v>2040</c:v>
                </c:pt>
                <c:pt idx="45">
                  <c:v>2050</c:v>
                </c:pt>
              </c:strCache>
            </c:strRef>
          </c:cat>
          <c:val>
            <c:numRef>
              <c:f>'T2b. total demand freight'!$B$4:$AW$4</c:f>
              <c:numCache>
                <c:formatCode>0</c:formatCode>
                <c:ptCount val="46"/>
                <c:pt idx="0">
                  <c:v>1588.1540655743293</c:v>
                </c:pt>
                <c:pt idx="1">
                  <c:v>1638.7945822386714</c:v>
                </c:pt>
                <c:pt idx="2">
                  <c:v>1697.6440389755346</c:v>
                </c:pt>
                <c:pt idx="3">
                  <c:v>1676.4616408826394</c:v>
                </c:pt>
                <c:pt idx="4">
                  <c:v>1515.3165860635595</c:v>
                </c:pt>
                <c:pt idx="5">
                  <c:v>1558.2925344262567</c:v>
                </c:pt>
                <c:pt idx="6">
                  <c:v>1541.6311993737638</c:v>
                </c:pt>
                <c:pt idx="7">
                  <c:v>1481.6904120467425</c:v>
                </c:pt>
                <c:pt idx="8">
                  <c:v>1516.3640398284499</c:v>
                </c:pt>
                <c:pt idx="9">
                  <c:v>1527.4346235799926</c:v>
                </c:pt>
                <c:pt idx="10">
                  <c:v>1561.9876827709111</c:v>
                </c:pt>
                <c:pt idx="11">
                  <c:v>1619.7477300951773</c:v>
                </c:pt>
                <c:pt idx="12">
                  <c:v>1707.3138634168388</c:v>
                </c:pt>
                <c:pt idx="13">
                  <c:v>1707.4960000000001</c:v>
                </c:pt>
                <c:pt idx="14">
                  <c:v>1764.787</c:v>
                </c:pt>
                <c:pt idx="15">
                  <c:v>1744.9860000000001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5E-4105-8DE8-BEE1A28A1004}"/>
            </c:ext>
          </c:extLst>
        </c:ser>
        <c:ser>
          <c:idx val="2"/>
          <c:order val="2"/>
          <c:tx>
            <c:strRef>
              <c:f>'T2b. total demand freight'!$A$5</c:f>
              <c:strCache>
                <c:ptCount val="1"/>
                <c:pt idx="0">
                  <c:v>Rail</c:v>
                </c:pt>
              </c:strCache>
            </c:strRef>
          </c:tx>
          <c:spPr>
            <a:solidFill>
              <a:srgbClr val="EFE973"/>
            </a:solidFill>
            <a:ln>
              <a:noFill/>
            </a:ln>
            <a:effectLst/>
          </c:spPr>
          <c:invertIfNegative val="0"/>
          <c:cat>
            <c:strRef>
              <c:f>'T2b. total demand freight'!$B$2:$AW$2</c:f>
              <c:strCache>
                <c:ptCount val="46"/>
                <c:pt idx="5">
                  <c:v>2010</c:v>
                </c:pt>
                <c:pt idx="15">
                  <c:v>2020</c:v>
                </c:pt>
                <c:pt idx="25">
                  <c:v>2030</c:v>
                </c:pt>
                <c:pt idx="35">
                  <c:v>2040</c:v>
                </c:pt>
                <c:pt idx="45">
                  <c:v>2050</c:v>
                </c:pt>
              </c:strCache>
            </c:strRef>
          </c:cat>
          <c:val>
            <c:numRef>
              <c:f>'T2b. total demand freight'!$B$5:$AW$5</c:f>
              <c:numCache>
                <c:formatCode>0</c:formatCode>
                <c:ptCount val="46"/>
                <c:pt idx="0">
                  <c:v>394.59700000000004</c:v>
                </c:pt>
                <c:pt idx="1">
                  <c:v>416.24600000000004</c:v>
                </c:pt>
                <c:pt idx="2">
                  <c:v>430.72400000000005</c:v>
                </c:pt>
                <c:pt idx="3">
                  <c:v>421.68599999999992</c:v>
                </c:pt>
                <c:pt idx="4">
                  <c:v>344.36900000000003</c:v>
                </c:pt>
                <c:pt idx="5">
                  <c:v>374.95499999999998</c:v>
                </c:pt>
                <c:pt idx="6">
                  <c:v>401.12199999999984</c:v>
                </c:pt>
                <c:pt idx="7">
                  <c:v>385.18899999999996</c:v>
                </c:pt>
                <c:pt idx="8">
                  <c:v>384.31900000000007</c:v>
                </c:pt>
                <c:pt idx="9">
                  <c:v>388.93199999999996</c:v>
                </c:pt>
                <c:pt idx="10">
                  <c:v>398.51700000000011</c:v>
                </c:pt>
                <c:pt idx="11">
                  <c:v>407.45800000000008</c:v>
                </c:pt>
                <c:pt idx="12">
                  <c:v>411.27800000000002</c:v>
                </c:pt>
                <c:pt idx="13">
                  <c:v>418.31399999999996</c:v>
                </c:pt>
                <c:pt idx="14">
                  <c:v>407.92099999999999</c:v>
                </c:pt>
                <c:pt idx="15">
                  <c:v>377.30700000000007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5E-4105-8DE8-BEE1A28A1004}"/>
            </c:ext>
          </c:extLst>
        </c:ser>
        <c:ser>
          <c:idx val="3"/>
          <c:order val="3"/>
          <c:tx>
            <c:strRef>
              <c:f>'T2b. total demand freight'!$A$6</c:f>
              <c:strCache>
                <c:ptCount val="1"/>
                <c:pt idx="0">
                  <c:v>IWW</c:v>
                </c:pt>
              </c:strCache>
            </c:strRef>
          </c:tx>
          <c:spPr>
            <a:solidFill>
              <a:srgbClr val="8EC26A"/>
            </a:solidFill>
            <a:ln>
              <a:noFill/>
            </a:ln>
            <a:effectLst/>
          </c:spPr>
          <c:invertIfNegative val="0"/>
          <c:cat>
            <c:strRef>
              <c:f>'T2b. total demand freight'!$B$2:$AW$2</c:f>
              <c:strCache>
                <c:ptCount val="46"/>
                <c:pt idx="5">
                  <c:v>2010</c:v>
                </c:pt>
                <c:pt idx="15">
                  <c:v>2020</c:v>
                </c:pt>
                <c:pt idx="25">
                  <c:v>2030</c:v>
                </c:pt>
                <c:pt idx="35">
                  <c:v>2040</c:v>
                </c:pt>
                <c:pt idx="45">
                  <c:v>2050</c:v>
                </c:pt>
              </c:strCache>
            </c:strRef>
          </c:cat>
          <c:val>
            <c:numRef>
              <c:f>'T2b. total demand freight'!$B$6:$AW$6</c:f>
              <c:numCache>
                <c:formatCode>0</c:formatCode>
                <c:ptCount val="46"/>
                <c:pt idx="0">
                  <c:v>138.61097439999998</c:v>
                </c:pt>
                <c:pt idx="1">
                  <c:v>138.41696909999999</c:v>
                </c:pt>
                <c:pt idx="2">
                  <c:v>145.40199999999999</c:v>
                </c:pt>
                <c:pt idx="3">
                  <c:v>146.90300000000002</c:v>
                </c:pt>
                <c:pt idx="4">
                  <c:v>132.60600000000002</c:v>
                </c:pt>
                <c:pt idx="5">
                  <c:v>155.36499999999998</c:v>
                </c:pt>
                <c:pt idx="6">
                  <c:v>141.82500000000002</c:v>
                </c:pt>
                <c:pt idx="7">
                  <c:v>149.822</c:v>
                </c:pt>
                <c:pt idx="8">
                  <c:v>152.58400000000003</c:v>
                </c:pt>
                <c:pt idx="9">
                  <c:v>150.70699999999997</c:v>
                </c:pt>
                <c:pt idx="10">
                  <c:v>147.35100000000003</c:v>
                </c:pt>
                <c:pt idx="11">
                  <c:v>146.60899999999995</c:v>
                </c:pt>
                <c:pt idx="12">
                  <c:v>147.22333333333333</c:v>
                </c:pt>
                <c:pt idx="13">
                  <c:v>131.30277777777778</c:v>
                </c:pt>
                <c:pt idx="14">
                  <c:v>139.69700000000003</c:v>
                </c:pt>
                <c:pt idx="15">
                  <c:v>131.74100000000001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5E-4105-8DE8-BEE1A28A1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841056720"/>
        <c:axId val="1841054800"/>
      </c:barChart>
      <c:lineChart>
        <c:grouping val="standard"/>
        <c:varyColors val="0"/>
        <c:ser>
          <c:idx val="0"/>
          <c:order val="0"/>
          <c:tx>
            <c:strRef>
              <c:f>'T2b. total demand freight'!$A$3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strRef>
              <c:f>'T2b. total demand freight'!$B$2:$AW$2</c:f>
              <c:strCache>
                <c:ptCount val="46"/>
                <c:pt idx="5">
                  <c:v>2010</c:v>
                </c:pt>
                <c:pt idx="15">
                  <c:v>2020</c:v>
                </c:pt>
                <c:pt idx="25">
                  <c:v>2030</c:v>
                </c:pt>
                <c:pt idx="35">
                  <c:v>2040</c:v>
                </c:pt>
                <c:pt idx="45">
                  <c:v>2050</c:v>
                </c:pt>
              </c:strCache>
            </c:strRef>
          </c:cat>
          <c:val>
            <c:numRef>
              <c:f>'T2b. total demand freight'!$B$3:$AW$3</c:f>
              <c:numCache>
                <c:formatCode>0</c:formatCode>
                <c:ptCount val="46"/>
                <c:pt idx="0">
                  <c:v>2121.362039974329</c:v>
                </c:pt>
                <c:pt idx="1">
                  <c:v>2193.4575513386717</c:v>
                </c:pt>
                <c:pt idx="2">
                  <c:v>2273.7700389755346</c:v>
                </c:pt>
                <c:pt idx="3">
                  <c:v>2245.0506408826395</c:v>
                </c:pt>
                <c:pt idx="4">
                  <c:v>1992.2915860635596</c:v>
                </c:pt>
                <c:pt idx="5">
                  <c:v>2088.6125344262564</c:v>
                </c:pt>
                <c:pt idx="6">
                  <c:v>2084.5781993737637</c:v>
                </c:pt>
                <c:pt idx="7">
                  <c:v>2016.7014120467425</c:v>
                </c:pt>
                <c:pt idx="8">
                  <c:v>2053.2670398284499</c:v>
                </c:pt>
                <c:pt idx="9">
                  <c:v>2067.0736235799927</c:v>
                </c:pt>
                <c:pt idx="10">
                  <c:v>2107.8556827709112</c:v>
                </c:pt>
                <c:pt idx="11">
                  <c:v>2173.8147300951773</c:v>
                </c:pt>
                <c:pt idx="12">
                  <c:v>2265.8151967501722</c:v>
                </c:pt>
                <c:pt idx="13">
                  <c:v>2257.1127777777779</c:v>
                </c:pt>
                <c:pt idx="14">
                  <c:v>2312.4050000000002</c:v>
                </c:pt>
                <c:pt idx="15">
                  <c:v>2254.0340000000001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5E-4105-8DE8-BEE1A28A1004}"/>
            </c:ext>
          </c:extLst>
        </c:ser>
        <c:ser>
          <c:idx val="4"/>
          <c:order val="4"/>
          <c:tx>
            <c:strRef>
              <c:f>'T2b. total demand freight'!$A$7</c:f>
              <c:strCache>
                <c:ptCount val="1"/>
                <c:pt idx="0">
                  <c:v>2030 benchmark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cat>
            <c:strRef>
              <c:f>'T2b. total demand freight'!$B$2:$AW$2</c:f>
              <c:strCache>
                <c:ptCount val="46"/>
                <c:pt idx="5">
                  <c:v>2010</c:v>
                </c:pt>
                <c:pt idx="15">
                  <c:v>2020</c:v>
                </c:pt>
                <c:pt idx="25">
                  <c:v>2030</c:v>
                </c:pt>
                <c:pt idx="35">
                  <c:v>2040</c:v>
                </c:pt>
                <c:pt idx="45">
                  <c:v>2050</c:v>
                </c:pt>
              </c:strCache>
            </c:strRef>
          </c:cat>
          <c:val>
            <c:numRef>
              <c:f>'T2b. total demand freight'!$B$7:$AW$7</c:f>
              <c:numCache>
                <c:formatCode>General</c:formatCode>
                <c:ptCount val="46"/>
                <c:pt idx="25" formatCode="0">
                  <c:v>2815.5076586206897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15E-4105-8DE8-BEE1A28A1004}"/>
            </c:ext>
          </c:extLst>
        </c:ser>
        <c:ser>
          <c:idx val="5"/>
          <c:order val="5"/>
          <c:tx>
            <c:strRef>
              <c:f>'T2b. total demand freight'!$A$8</c:f>
              <c:strCache>
                <c:ptCount val="1"/>
                <c:pt idx="0">
                  <c:v>2050 benchmark (min)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noFill/>
              </a:ln>
              <a:effectLst/>
            </c:spPr>
          </c:marker>
          <c:cat>
            <c:strRef>
              <c:f>'T2b. total demand freight'!$B$2:$AW$2</c:f>
              <c:strCache>
                <c:ptCount val="46"/>
                <c:pt idx="5">
                  <c:v>2010</c:v>
                </c:pt>
                <c:pt idx="15">
                  <c:v>2020</c:v>
                </c:pt>
                <c:pt idx="25">
                  <c:v>2030</c:v>
                </c:pt>
                <c:pt idx="35">
                  <c:v>2040</c:v>
                </c:pt>
                <c:pt idx="45">
                  <c:v>2050</c:v>
                </c:pt>
              </c:strCache>
            </c:strRef>
          </c:cat>
          <c:val>
            <c:numRef>
              <c:f>'T2b. total demand freight'!$B$8:$AW$8</c:f>
              <c:numCache>
                <c:formatCode>General</c:formatCode>
                <c:ptCount val="46"/>
                <c:pt idx="45" formatCode="0">
                  <c:v>3183.8632426628947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15E-4105-8DE8-BEE1A28A1004}"/>
            </c:ext>
          </c:extLst>
        </c:ser>
        <c:ser>
          <c:idx val="6"/>
          <c:order val="6"/>
          <c:tx>
            <c:strRef>
              <c:f>'T2b. total demand freight'!$A$9</c:f>
              <c:strCache>
                <c:ptCount val="1"/>
                <c:pt idx="0">
                  <c:v>2050 benchmark (max)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cat>
            <c:strRef>
              <c:f>'T2b. total demand freight'!$B$2:$AW$2</c:f>
              <c:strCache>
                <c:ptCount val="46"/>
                <c:pt idx="5">
                  <c:v>2010</c:v>
                </c:pt>
                <c:pt idx="15">
                  <c:v>2020</c:v>
                </c:pt>
                <c:pt idx="25">
                  <c:v>2030</c:v>
                </c:pt>
                <c:pt idx="35">
                  <c:v>2040</c:v>
                </c:pt>
                <c:pt idx="45">
                  <c:v>2050</c:v>
                </c:pt>
              </c:strCache>
            </c:strRef>
          </c:cat>
          <c:val>
            <c:numRef>
              <c:f>'T2b. total demand freight'!$B$9:$AW$9</c:f>
              <c:numCache>
                <c:formatCode>General</c:formatCode>
                <c:ptCount val="46"/>
                <c:pt idx="45" formatCode="0">
                  <c:v>3198.5454159684268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15E-4105-8DE8-BEE1A28A1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1056720"/>
        <c:axId val="1841054800"/>
        <c:extLst>
          <c:ext xmlns:c15="http://schemas.microsoft.com/office/drawing/2012/chart" uri="{02D57815-91ED-43cb-92C2-25804820EDAC}">
            <c15:filteredLine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'T2b. total demand freight'!$A$10</c15:sqref>
                        </c15:formulaRef>
                      </c:ext>
                    </c:extLst>
                    <c:strCache>
                      <c:ptCount val="1"/>
                      <c:pt idx="0">
                        <c:v>linear trajectory to benchmark</c:v>
                      </c:pt>
                    </c:strCache>
                  </c:strRef>
                </c:tx>
                <c:spPr>
                  <a:ln w="12700" cap="rnd">
                    <a:solidFill>
                      <a:sysClr val="windowText" lastClr="000000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'T2b. total demand freight'!$B$2:$AW$2</c15:sqref>
                        </c15:formulaRef>
                      </c:ext>
                    </c:extLst>
                    <c:strCache>
                      <c:ptCount val="46"/>
                      <c:pt idx="5">
                        <c:v>2010</c:v>
                      </c:pt>
                      <c:pt idx="15">
                        <c:v>2020</c:v>
                      </c:pt>
                      <c:pt idx="25">
                        <c:v>2030</c:v>
                      </c:pt>
                      <c:pt idx="35">
                        <c:v>2040</c:v>
                      </c:pt>
                      <c:pt idx="45">
                        <c:v>2050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'T2b. total demand freight'!$B$10:$AW$10</c15:sqref>
                        </c15:formulaRef>
                      </c:ext>
                    </c:extLst>
                    <c:numCache>
                      <c:formatCode>General</c:formatCode>
                      <c:ptCount val="46"/>
                      <c:pt idx="14" formatCode="0">
                        <c:v>2312.4049999999997</c:v>
                      </c:pt>
                      <c:pt idx="15" formatCode="0">
                        <c:v>2358.1416053291537</c:v>
                      </c:pt>
                      <c:pt idx="16" formatCode="0">
                        <c:v>2403.8782106583071</c:v>
                      </c:pt>
                      <c:pt idx="17" formatCode="0">
                        <c:v>2449.6148159874606</c:v>
                      </c:pt>
                      <c:pt idx="18" formatCode="0">
                        <c:v>2495.3514213166141</c:v>
                      </c:pt>
                      <c:pt idx="19" formatCode="0">
                        <c:v>2541.088026645768</c:v>
                      </c:pt>
                      <c:pt idx="20" formatCode="0">
                        <c:v>2586.8246319749214</c:v>
                      </c:pt>
                      <c:pt idx="21" formatCode="0">
                        <c:v>2632.5612373040749</c:v>
                      </c:pt>
                      <c:pt idx="22" formatCode="0">
                        <c:v>2678.2978426332284</c:v>
                      </c:pt>
                      <c:pt idx="23" formatCode="0">
                        <c:v>2724.0344479623823</c:v>
                      </c:pt>
                      <c:pt idx="24" formatCode="0">
                        <c:v>2769.7710532915357</c:v>
                      </c:pt>
                      <c:pt idx="25" formatCode="0">
                        <c:v>2815.5076586206897</c:v>
                      </c:pt>
                      <c:pt idx="26" formatCode="0">
                        <c:v>2833.9254378228002</c:v>
                      </c:pt>
                      <c:pt idx="27" formatCode="0">
                        <c:v>2852.3432170249102</c:v>
                      </c:pt>
                      <c:pt idx="28" formatCode="0">
                        <c:v>2870.7609962270208</c:v>
                      </c:pt>
                      <c:pt idx="29" formatCode="0">
                        <c:v>2889.1787754291308</c:v>
                      </c:pt>
                      <c:pt idx="30" formatCode="0">
                        <c:v>2907.5965546312409</c:v>
                      </c:pt>
                      <c:pt idx="31" formatCode="0">
                        <c:v>2926.0143338333514</c:v>
                      </c:pt>
                      <c:pt idx="32" formatCode="0">
                        <c:v>2944.4321130354615</c:v>
                      </c:pt>
                      <c:pt idx="33" formatCode="0">
                        <c:v>2962.849892237572</c:v>
                      </c:pt>
                      <c:pt idx="34" formatCode="0">
                        <c:v>2981.2676714396821</c:v>
                      </c:pt>
                      <c:pt idx="35" formatCode="0">
                        <c:v>2999.6854506417922</c:v>
                      </c:pt>
                      <c:pt idx="36" formatCode="0">
                        <c:v>3018.1032298439027</c:v>
                      </c:pt>
                      <c:pt idx="37" formatCode="0">
                        <c:v>3036.5210090460128</c:v>
                      </c:pt>
                      <c:pt idx="38" formatCode="0">
                        <c:v>3054.9387882481233</c:v>
                      </c:pt>
                      <c:pt idx="39" formatCode="0">
                        <c:v>3073.3565674502333</c:v>
                      </c:pt>
                      <c:pt idx="40" formatCode="0">
                        <c:v>3091.7743466523434</c:v>
                      </c:pt>
                      <c:pt idx="41" formatCode="0">
                        <c:v>3110.1921258544539</c:v>
                      </c:pt>
                      <c:pt idx="42" formatCode="0">
                        <c:v>3128.609905056564</c:v>
                      </c:pt>
                      <c:pt idx="43" formatCode="0">
                        <c:v>3147.0276842586745</c:v>
                      </c:pt>
                      <c:pt idx="44" formatCode="0">
                        <c:v>3165.4454634607846</c:v>
                      </c:pt>
                      <c:pt idx="45" formatCode="0">
                        <c:v>3183.8632426628947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E15E-4105-8DE8-BEE1A28A1004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'T2b. total demand freight'!$A$11</c15:sqref>
                        </c15:formulaRef>
                      </c:ext>
                    </c:extLst>
                    <c:strCache>
                      <c:ptCount val="1"/>
                      <c:pt idx="0">
                        <c:v>linear trajectory to benchmark 2</c:v>
                      </c:pt>
                    </c:strCache>
                  </c:strRef>
                </c:tx>
                <c:spPr>
                  <a:ln w="12700" cap="rnd">
                    <a:solidFill>
                      <a:sysClr val="windowText" lastClr="000000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'T2b. total demand freight'!$B$2:$AW$2</c15:sqref>
                        </c15:formulaRef>
                      </c:ext>
                    </c:extLst>
                    <c:strCache>
                      <c:ptCount val="46"/>
                      <c:pt idx="5">
                        <c:v>2010</c:v>
                      </c:pt>
                      <c:pt idx="15">
                        <c:v>2020</c:v>
                      </c:pt>
                      <c:pt idx="25">
                        <c:v>2030</c:v>
                      </c:pt>
                      <c:pt idx="35">
                        <c:v>2040</c:v>
                      </c:pt>
                      <c:pt idx="45">
                        <c:v>2050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'T2b. total demand freight'!$B$11:$AW$11</c15:sqref>
                        </c15:formulaRef>
                      </c:ext>
                    </c:extLst>
                    <c:numCache>
                      <c:formatCode>General</c:formatCode>
                      <c:ptCount val="46"/>
                      <c:pt idx="25" formatCode="0">
                        <c:v>2815.5076586206897</c:v>
                      </c:pt>
                      <c:pt idx="26" formatCode="0">
                        <c:v>2834.6595464880766</c:v>
                      </c:pt>
                      <c:pt idx="27" formatCode="0">
                        <c:v>2853.8114343554635</c:v>
                      </c:pt>
                      <c:pt idx="28" formatCode="0">
                        <c:v>2872.9633222228504</c:v>
                      </c:pt>
                      <c:pt idx="29" formatCode="0">
                        <c:v>2892.1152100902368</c:v>
                      </c:pt>
                      <c:pt idx="30" formatCode="0">
                        <c:v>2911.2670979576237</c:v>
                      </c:pt>
                      <c:pt idx="31" formatCode="0">
                        <c:v>2930.4189858250106</c:v>
                      </c:pt>
                      <c:pt idx="32" formatCode="0">
                        <c:v>2949.5708736923975</c:v>
                      </c:pt>
                      <c:pt idx="33" formatCode="0">
                        <c:v>2968.7227615597844</c:v>
                      </c:pt>
                      <c:pt idx="34" formatCode="0">
                        <c:v>2987.8746494271713</c:v>
                      </c:pt>
                      <c:pt idx="35" formatCode="0">
                        <c:v>3007.0265372945582</c:v>
                      </c:pt>
                      <c:pt idx="36" formatCode="0">
                        <c:v>3026.1784251619451</c:v>
                      </c:pt>
                      <c:pt idx="37" formatCode="0">
                        <c:v>3045.3303130293316</c:v>
                      </c:pt>
                      <c:pt idx="38" formatCode="0">
                        <c:v>3064.4822008967185</c:v>
                      </c:pt>
                      <c:pt idx="39" formatCode="0">
                        <c:v>3083.6340887641054</c:v>
                      </c:pt>
                      <c:pt idx="40" formatCode="0">
                        <c:v>3102.7859766314923</c:v>
                      </c:pt>
                      <c:pt idx="41" formatCode="0">
                        <c:v>3121.9378644988792</c:v>
                      </c:pt>
                      <c:pt idx="42" formatCode="0">
                        <c:v>3141.0897523662661</c:v>
                      </c:pt>
                      <c:pt idx="43" formatCode="0">
                        <c:v>3160.241640233653</c:v>
                      </c:pt>
                      <c:pt idx="44" formatCode="0">
                        <c:v>3179.3935281010399</c:v>
                      </c:pt>
                      <c:pt idx="45" formatCode="0">
                        <c:v>3198.5454159684268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15E-4105-8DE8-BEE1A28A1004}"/>
                  </c:ext>
                </c:extLst>
              </c15:ser>
            </c15:filteredLineSeries>
          </c:ext>
        </c:extLst>
      </c:lineChart>
      <c:catAx>
        <c:axId val="1841056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DK"/>
          </a:p>
        </c:txPr>
        <c:crossAx val="1841054800"/>
        <c:crosses val="autoZero"/>
        <c:auto val="1"/>
        <c:lblAlgn val="ctr"/>
        <c:lblOffset val="100"/>
        <c:noMultiLvlLbl val="0"/>
      </c:catAx>
      <c:valAx>
        <c:axId val="1841054800"/>
        <c:scaling>
          <c:orientation val="minMax"/>
          <c:max val="35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en-IE" b="1"/>
                  <a:t>Gtkm</a:t>
                </a:r>
                <a:endParaRPr lang="en-DK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DK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DK"/>
          </a:p>
        </c:txPr>
        <c:crossAx val="1841056720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Segoe UI" panose="020B0502040204020203" pitchFamily="34" charset="0"/>
          <a:cs typeface="Segoe UI" panose="020B0502040204020203" pitchFamily="34" charset="0"/>
        </a:defRPr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'T3a &amp; T3c modal split'!$A$3</c:f>
              <c:strCache>
                <c:ptCount val="1"/>
                <c:pt idx="0">
                  <c:v>Passenger (cars and two-wheelers)</c:v>
                </c:pt>
              </c:strCache>
            </c:strRef>
          </c:tx>
          <c:spPr>
            <a:ln w="19050" cap="rnd">
              <a:solidFill>
                <a:srgbClr val="3D5584"/>
              </a:solidFill>
              <a:round/>
            </a:ln>
            <a:effectLst/>
          </c:spPr>
          <c:marker>
            <c:symbol val="none"/>
          </c:marker>
          <c:cat>
            <c:strRef>
              <c:f>'T3a &amp; T3c modal split'!$D$2:$AW$2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'T3a &amp; T3c modal split'!$D$3:$AW$3</c:f>
              <c:numCache>
                <c:formatCode>0.0%</c:formatCode>
                <c:ptCount val="46"/>
                <c:pt idx="0">
                  <c:v>0.81276980635612384</c:v>
                </c:pt>
                <c:pt idx="1">
                  <c:v>0.81228745392713875</c:v>
                </c:pt>
                <c:pt idx="2">
                  <c:v>0.8112748057803002</c:v>
                </c:pt>
                <c:pt idx="3">
                  <c:v>0.80823395457541802</c:v>
                </c:pt>
                <c:pt idx="4">
                  <c:v>0.81627317382348286</c:v>
                </c:pt>
                <c:pt idx="5">
                  <c:v>0.8161607695224411</c:v>
                </c:pt>
                <c:pt idx="6">
                  <c:v>0.81354540173474088</c:v>
                </c:pt>
                <c:pt idx="7">
                  <c:v>0.81169737294476918</c:v>
                </c:pt>
                <c:pt idx="8">
                  <c:v>0.81337141943989444</c:v>
                </c:pt>
                <c:pt idx="9">
                  <c:v>0.81544445760770845</c:v>
                </c:pt>
                <c:pt idx="10">
                  <c:v>0.81537034173496215</c:v>
                </c:pt>
                <c:pt idx="11">
                  <c:v>0.81647094534347664</c:v>
                </c:pt>
                <c:pt idx="12">
                  <c:v>0.81825893530387572</c:v>
                </c:pt>
                <c:pt idx="13">
                  <c:v>0.8168697703150446</c:v>
                </c:pt>
                <c:pt idx="14">
                  <c:v>0.81587659755488562</c:v>
                </c:pt>
                <c:pt idx="15">
                  <c:v>0.86500387514972177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98-4408-A301-4DD4FE59E866}"/>
            </c:ext>
          </c:extLst>
        </c:ser>
        <c:ser>
          <c:idx val="1"/>
          <c:order val="1"/>
          <c:tx>
            <c:strRef>
              <c:f>'T3a &amp; T3c modal split'!$A$4</c:f>
              <c:strCache>
                <c:ptCount val="1"/>
                <c:pt idx="0">
                  <c:v>Freight (vans and lorries)</c:v>
                </c:pt>
              </c:strCache>
            </c:strRef>
          </c:tx>
          <c:spPr>
            <a:ln w="19050" cap="rnd">
              <a:solidFill>
                <a:srgbClr val="F26119"/>
              </a:solidFill>
              <a:round/>
            </a:ln>
            <a:effectLst/>
          </c:spPr>
          <c:marker>
            <c:symbol val="none"/>
          </c:marker>
          <c:cat>
            <c:strRef>
              <c:f>'T3a &amp; T3c modal split'!$D$2:$AW$2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'T3a &amp; T3c modal split'!$D$4:$AW$4</c:f>
              <c:numCache>
                <c:formatCode>0.0%</c:formatCode>
                <c:ptCount val="46"/>
                <c:pt idx="0">
                  <c:v>0.74864829088463736</c:v>
                </c:pt>
                <c:pt idx="1">
                  <c:v>0.74712846904126851</c:v>
                </c:pt>
                <c:pt idx="2">
                  <c:v>0.74662081471546782</c:v>
                </c:pt>
                <c:pt idx="3">
                  <c:v>0.74673667059177784</c:v>
                </c:pt>
                <c:pt idx="4">
                  <c:v>0.76058976339782458</c:v>
                </c:pt>
                <c:pt idx="5">
                  <c:v>0.74608981261060991</c:v>
                </c:pt>
                <c:pt idx="6">
                  <c:v>0.73954107350680887</c:v>
                </c:pt>
                <c:pt idx="7">
                  <c:v>0.73470985997028715</c:v>
                </c:pt>
                <c:pt idx="8">
                  <c:v>0.73851282391166317</c:v>
                </c:pt>
                <c:pt idx="9">
                  <c:v>0.73893576220793145</c:v>
                </c:pt>
                <c:pt idx="10">
                  <c:v>0.74103160645114863</c:v>
                </c:pt>
                <c:pt idx="11">
                  <c:v>0.74511765316092926</c:v>
                </c:pt>
                <c:pt idx="12">
                  <c:v>0.7535097592538067</c:v>
                </c:pt>
                <c:pt idx="13">
                  <c:v>0.75649565090899062</c:v>
                </c:pt>
                <c:pt idx="14">
                  <c:v>0.76318248749678363</c:v>
                </c:pt>
                <c:pt idx="15">
                  <c:v>0.77416134805419967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98-4408-A301-4DD4FE59E866}"/>
            </c:ext>
          </c:extLst>
        </c:ser>
        <c:ser>
          <c:idx val="2"/>
          <c:order val="2"/>
          <c:tx>
            <c:strRef>
              <c:f>'T3a &amp; T3c modal split'!$A$5</c:f>
              <c:strCache>
                <c:ptCount val="1"/>
                <c:pt idx="0">
                  <c:v>Benchmark passenger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3D5584"/>
              </a:solidFill>
              <a:ln w="9525">
                <a:noFill/>
              </a:ln>
              <a:effectLst/>
            </c:spPr>
          </c:marker>
          <c:cat>
            <c:strRef>
              <c:f>'T3a &amp; T3c modal split'!$D$2:$AW$2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'T3a &amp; T3c modal split'!$D$5:$AW$5</c:f>
              <c:numCache>
                <c:formatCode>General</c:formatCode>
                <c:ptCount val="46"/>
                <c:pt idx="25" formatCode="0%">
                  <c:v>0.79869796128148018</c:v>
                </c:pt>
                <c:pt idx="45" formatCode="0%">
                  <c:v>0.76704735498992038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98-4408-A301-4DD4FE59E866}"/>
            </c:ext>
          </c:extLst>
        </c:ser>
        <c:ser>
          <c:idx val="3"/>
          <c:order val="3"/>
          <c:tx>
            <c:strRef>
              <c:f>'T3a &amp; T3c modal split'!$A$6</c:f>
              <c:strCache>
                <c:ptCount val="1"/>
                <c:pt idx="0">
                  <c:v>Benchmark Freight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26119"/>
              </a:solidFill>
              <a:ln w="9525">
                <a:noFill/>
              </a:ln>
              <a:effectLst/>
            </c:spPr>
          </c:marker>
          <c:cat>
            <c:strRef>
              <c:f>'T3a &amp; T3c modal split'!$D$2:$AW$2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'T3a &amp; T3c modal split'!$D$6:$AW$6</c:f>
              <c:numCache>
                <c:formatCode>General</c:formatCode>
                <c:ptCount val="46"/>
                <c:pt idx="25" formatCode="0%">
                  <c:v>0.71994121337003303</c:v>
                </c:pt>
                <c:pt idx="45" formatCode="0%">
                  <c:v>0.67162862492452469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98-4408-A301-4DD4FE59E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9614816"/>
        <c:axId val="351615728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'T3a &amp; T3c modal split'!$A$7</c15:sqref>
                        </c15:formulaRef>
                      </c:ext>
                    </c:extLst>
                    <c:strCache>
                      <c:ptCount val="1"/>
                      <c:pt idx="0">
                        <c:v>linear trajectory passenger</c:v>
                      </c:pt>
                    </c:strCache>
                  </c:strRef>
                </c:tx>
                <c:spPr>
                  <a:ln w="12700" cap="rnd">
                    <a:solidFill>
                      <a:sysClr val="windowText" lastClr="000000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'T3a &amp; T3c modal split'!$D$2:$AW$2</c15:sqref>
                        </c15:formulaRef>
                      </c:ext>
                    </c:extLst>
                    <c:strCache>
                      <c:ptCount val="46"/>
                      <c:pt idx="0">
                        <c:v>2005</c:v>
                      </c:pt>
                      <c:pt idx="5">
                        <c:v>2010</c:v>
                      </c:pt>
                      <c:pt idx="10">
                        <c:v>2015</c:v>
                      </c:pt>
                      <c:pt idx="15">
                        <c:v>2020</c:v>
                      </c:pt>
                      <c:pt idx="20">
                        <c:v>2025</c:v>
                      </c:pt>
                      <c:pt idx="25">
                        <c:v>2030</c:v>
                      </c:pt>
                      <c:pt idx="30">
                        <c:v>2035</c:v>
                      </c:pt>
                      <c:pt idx="35">
                        <c:v>2040</c:v>
                      </c:pt>
                      <c:pt idx="40">
                        <c:v>2045</c:v>
                      </c:pt>
                      <c:pt idx="45">
                        <c:v>2050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'T3a &amp; T3c modal split'!$D$7:$AW$7</c15:sqref>
                        </c15:formulaRef>
                      </c:ext>
                    </c:extLst>
                    <c:numCache>
                      <c:formatCode>General</c:formatCode>
                      <c:ptCount val="46"/>
                      <c:pt idx="15" formatCode="0.0%">
                        <c:v>0.86500387514972177</c:v>
                      </c:pt>
                      <c:pt idx="16" formatCode="0.0%">
                        <c:v>0.85838696947162418</c:v>
                      </c:pt>
                      <c:pt idx="17" formatCode="0.0%">
                        <c:v>0.85177006379352649</c:v>
                      </c:pt>
                      <c:pt idx="18" formatCode="0.0%">
                        <c:v>0.8451531581154289</c:v>
                      </c:pt>
                      <c:pt idx="19" formatCode="0.0%">
                        <c:v>0.83853625243733132</c:v>
                      </c:pt>
                      <c:pt idx="20" formatCode="0.0%">
                        <c:v>0.83191934675923374</c:v>
                      </c:pt>
                      <c:pt idx="21" formatCode="0.0%">
                        <c:v>0.82530244108113615</c:v>
                      </c:pt>
                      <c:pt idx="22" formatCode="0.0%">
                        <c:v>0.81868553540303846</c:v>
                      </c:pt>
                      <c:pt idx="23" formatCode="0.0%">
                        <c:v>0.81206862972494087</c:v>
                      </c:pt>
                      <c:pt idx="24" formatCode="0.0%">
                        <c:v>0.80545172404684329</c:v>
                      </c:pt>
                      <c:pt idx="25" formatCode="0.0%">
                        <c:v>0.7988348183687457</c:v>
                      </c:pt>
                      <c:pt idx="26" formatCode="0.0%">
                        <c:v>0.79724544519980445</c:v>
                      </c:pt>
                      <c:pt idx="27" formatCode="0.0%">
                        <c:v>0.79565607203086319</c:v>
                      </c:pt>
                      <c:pt idx="28" formatCode="0.0%">
                        <c:v>0.79406669886192194</c:v>
                      </c:pt>
                      <c:pt idx="29" formatCode="0.0%">
                        <c:v>0.79247732569298068</c:v>
                      </c:pt>
                      <c:pt idx="30" formatCode="0.0%">
                        <c:v>0.79088795252403932</c:v>
                      </c:pt>
                      <c:pt idx="31" formatCode="0.0%">
                        <c:v>0.78929857935509806</c:v>
                      </c:pt>
                      <c:pt idx="32" formatCode="0.0%">
                        <c:v>0.78770920618615681</c:v>
                      </c:pt>
                      <c:pt idx="33" formatCode="0.0%">
                        <c:v>0.78611983301721555</c:v>
                      </c:pt>
                      <c:pt idx="34" formatCode="0.0%">
                        <c:v>0.7845304598482743</c:v>
                      </c:pt>
                      <c:pt idx="35" formatCode="0.0%">
                        <c:v>0.78294108667933304</c:v>
                      </c:pt>
                      <c:pt idx="36" formatCode="0.0%">
                        <c:v>0.78135171351039179</c:v>
                      </c:pt>
                      <c:pt idx="37" formatCode="0.0%">
                        <c:v>0.77976234034145053</c:v>
                      </c:pt>
                      <c:pt idx="38" formatCode="0.0%">
                        <c:v>0.77817296717250928</c:v>
                      </c:pt>
                      <c:pt idx="39" formatCode="0.0%">
                        <c:v>0.77658359400356802</c:v>
                      </c:pt>
                      <c:pt idx="40" formatCode="0.0%">
                        <c:v>0.77499422083462666</c:v>
                      </c:pt>
                      <c:pt idx="41" formatCode="0.0%">
                        <c:v>0.7734048476656854</c:v>
                      </c:pt>
                      <c:pt idx="42" formatCode="0.0%">
                        <c:v>0.77181547449674415</c:v>
                      </c:pt>
                      <c:pt idx="43" formatCode="0.0%">
                        <c:v>0.77022610132780289</c:v>
                      </c:pt>
                      <c:pt idx="44" formatCode="0.0%">
                        <c:v>0.76863672815886164</c:v>
                      </c:pt>
                      <c:pt idx="45" formatCode="0.0%">
                        <c:v>0.76704735498992038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F398-4408-A301-4DD4FE59E86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'T3a &amp; T3c modal split'!$A$8</c15:sqref>
                        </c15:formulaRef>
                      </c:ext>
                    </c:extLst>
                    <c:strCache>
                      <c:ptCount val="1"/>
                      <c:pt idx="0">
                        <c:v>linear trajectory freight</c:v>
                      </c:pt>
                    </c:strCache>
                  </c:strRef>
                </c:tx>
                <c:spPr>
                  <a:ln w="12700" cap="rnd">
                    <a:solidFill>
                      <a:sysClr val="windowText" lastClr="000000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'T3a &amp; T3c modal split'!$D$2:$AW$2</c15:sqref>
                        </c15:formulaRef>
                      </c:ext>
                    </c:extLst>
                    <c:strCache>
                      <c:ptCount val="46"/>
                      <c:pt idx="0">
                        <c:v>2005</c:v>
                      </c:pt>
                      <c:pt idx="5">
                        <c:v>2010</c:v>
                      </c:pt>
                      <c:pt idx="10">
                        <c:v>2015</c:v>
                      </c:pt>
                      <c:pt idx="15">
                        <c:v>2020</c:v>
                      </c:pt>
                      <c:pt idx="20">
                        <c:v>2025</c:v>
                      </c:pt>
                      <c:pt idx="25">
                        <c:v>2030</c:v>
                      </c:pt>
                      <c:pt idx="30">
                        <c:v>2035</c:v>
                      </c:pt>
                      <c:pt idx="35">
                        <c:v>2040</c:v>
                      </c:pt>
                      <c:pt idx="40">
                        <c:v>2045</c:v>
                      </c:pt>
                      <c:pt idx="45">
                        <c:v>2050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'T3a &amp; T3c modal split'!$D$8:$AW$8</c15:sqref>
                        </c15:formulaRef>
                      </c:ext>
                    </c:extLst>
                    <c:numCache>
                      <c:formatCode>General</c:formatCode>
                      <c:ptCount val="46"/>
                      <c:pt idx="15" formatCode="0.0%">
                        <c:v>0.77416134805419967</c:v>
                      </c:pt>
                      <c:pt idx="16" formatCode="0.0%">
                        <c:v>0.76873933458578303</c:v>
                      </c:pt>
                      <c:pt idx="17" formatCode="0.0%">
                        <c:v>0.76331732111736628</c:v>
                      </c:pt>
                      <c:pt idx="18" formatCode="0.0%">
                        <c:v>0.75789530764894963</c:v>
                      </c:pt>
                      <c:pt idx="19" formatCode="0.0%">
                        <c:v>0.75247329418053299</c:v>
                      </c:pt>
                      <c:pt idx="20" formatCode="0.0%">
                        <c:v>0.74705128071211635</c:v>
                      </c:pt>
                      <c:pt idx="21" formatCode="0.0%">
                        <c:v>0.74162926724369971</c:v>
                      </c:pt>
                      <c:pt idx="22" formatCode="0.0%">
                        <c:v>0.73620725377528295</c:v>
                      </c:pt>
                      <c:pt idx="23" formatCode="0.0%">
                        <c:v>0.73078524030686631</c:v>
                      </c:pt>
                      <c:pt idx="24" formatCode="0.0%">
                        <c:v>0.72536322683844967</c:v>
                      </c:pt>
                      <c:pt idx="25" formatCode="0.0%">
                        <c:v>0.71994121337003303</c:v>
                      </c:pt>
                      <c:pt idx="26" formatCode="0.0%">
                        <c:v>0.71752558394775767</c:v>
                      </c:pt>
                      <c:pt idx="27" formatCode="0.0%">
                        <c:v>0.71510995452548221</c:v>
                      </c:pt>
                      <c:pt idx="28" formatCode="0.0%">
                        <c:v>0.71269432510320685</c:v>
                      </c:pt>
                      <c:pt idx="29" formatCode="0.0%">
                        <c:v>0.71027869568093138</c:v>
                      </c:pt>
                      <c:pt idx="30" formatCode="0.0%">
                        <c:v>0.70786306625865603</c:v>
                      </c:pt>
                      <c:pt idx="31" formatCode="0.0%">
                        <c:v>0.70544743683638056</c:v>
                      </c:pt>
                      <c:pt idx="32" formatCode="0.0%">
                        <c:v>0.7030318074141052</c:v>
                      </c:pt>
                      <c:pt idx="33" formatCode="0.0%">
                        <c:v>0.70061617799182974</c:v>
                      </c:pt>
                      <c:pt idx="34" formatCode="0.0%">
                        <c:v>0.69820054856955438</c:v>
                      </c:pt>
                      <c:pt idx="35" formatCode="0.0%">
                        <c:v>0.69578491914727891</c:v>
                      </c:pt>
                      <c:pt idx="36" formatCode="0.0%">
                        <c:v>0.69336928972500345</c:v>
                      </c:pt>
                      <c:pt idx="37" formatCode="0.0%">
                        <c:v>0.69095366030272809</c:v>
                      </c:pt>
                      <c:pt idx="38" formatCode="0.0%">
                        <c:v>0.68853803088045262</c:v>
                      </c:pt>
                      <c:pt idx="39" formatCode="0.0%">
                        <c:v>0.68612240145817727</c:v>
                      </c:pt>
                      <c:pt idx="40" formatCode="0.0%">
                        <c:v>0.6837067720359018</c:v>
                      </c:pt>
                      <c:pt idx="41" formatCode="0.0%">
                        <c:v>0.68129114261362644</c:v>
                      </c:pt>
                      <c:pt idx="42" formatCode="0.0%">
                        <c:v>0.67887551319135098</c:v>
                      </c:pt>
                      <c:pt idx="43" formatCode="0.0%">
                        <c:v>0.67645988376907562</c:v>
                      </c:pt>
                      <c:pt idx="44" formatCode="0.0%">
                        <c:v>0.67404425434680015</c:v>
                      </c:pt>
                      <c:pt idx="45" formatCode="0.0%">
                        <c:v>0.67162862492452469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398-4408-A301-4DD4FE59E866}"/>
                  </c:ext>
                </c:extLst>
              </c15:ser>
            </c15:filteredLineSeries>
          </c:ext>
        </c:extLst>
      </c:lineChart>
      <c:catAx>
        <c:axId val="839614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DK"/>
          </a:p>
        </c:txPr>
        <c:crossAx val="351615728"/>
        <c:crosses val="autoZero"/>
        <c:auto val="1"/>
        <c:lblAlgn val="ctr"/>
        <c:lblOffset val="100"/>
        <c:noMultiLvlLbl val="0"/>
      </c:catAx>
      <c:valAx>
        <c:axId val="3516157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en-US" b="1"/>
                  <a:t>% in total pkm/tkm</a:t>
                </a:r>
                <a:endParaRPr lang="en-DK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DK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DK"/>
          </a:p>
        </c:txPr>
        <c:crossAx val="839614816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Segoe UI" panose="020B0502040204020203" pitchFamily="34" charset="0"/>
          <a:cs typeface="Segoe UI" panose="020B0502040204020203" pitchFamily="34" charset="0"/>
        </a:defRPr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'T3a &amp; T3c modal split'!$A$26</c:f>
              <c:strCache>
                <c:ptCount val="1"/>
                <c:pt idx="0">
                  <c:v>HSR (passenger)</c:v>
                </c:pt>
              </c:strCache>
            </c:strRef>
          </c:tx>
          <c:spPr>
            <a:ln w="19050" cap="rnd">
              <a:solidFill>
                <a:srgbClr val="3D5584"/>
              </a:solidFill>
              <a:round/>
            </a:ln>
            <a:effectLst/>
          </c:spPr>
          <c:marker>
            <c:symbol val="none"/>
          </c:marker>
          <c:cat>
            <c:strRef>
              <c:f>'T3a &amp; T3c modal split'!$D$25:$AW$25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'T3a &amp; T3c modal split'!$D$26:$AW$26</c:f>
              <c:numCache>
                <c:formatCode>0</c:formatCode>
                <c:ptCount val="46"/>
                <c:pt idx="0">
                  <c:v>79.662999999999997</c:v>
                </c:pt>
                <c:pt idx="1">
                  <c:v>83.411000000000001</c:v>
                </c:pt>
                <c:pt idx="2">
                  <c:v>87.302999999999997</c:v>
                </c:pt>
                <c:pt idx="3">
                  <c:v>96.610000000000014</c:v>
                </c:pt>
                <c:pt idx="4">
                  <c:v>103.086</c:v>
                </c:pt>
                <c:pt idx="5">
                  <c:v>104.85537834343801</c:v>
                </c:pt>
                <c:pt idx="6">
                  <c:v>103.69534000000002</c:v>
                </c:pt>
                <c:pt idx="7">
                  <c:v>105.43988</c:v>
                </c:pt>
                <c:pt idx="8">
                  <c:v>107.30405000000002</c:v>
                </c:pt>
                <c:pt idx="9">
                  <c:v>106.37969999999999</c:v>
                </c:pt>
                <c:pt idx="10">
                  <c:v>109.92359999999999</c:v>
                </c:pt>
                <c:pt idx="11">
                  <c:v>114.31549999999999</c:v>
                </c:pt>
                <c:pt idx="12">
                  <c:v>124.23454</c:v>
                </c:pt>
                <c:pt idx="13">
                  <c:v>126.07478999999999</c:v>
                </c:pt>
                <c:pt idx="14">
                  <c:v>132.00773999999998</c:v>
                </c:pt>
                <c:pt idx="15">
                  <c:v>69.37291585115598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4A-44B4-81D7-EFA69EF3F72D}"/>
            </c:ext>
          </c:extLst>
        </c:ser>
        <c:ser>
          <c:idx val="1"/>
          <c:order val="1"/>
          <c:tx>
            <c:strRef>
              <c:f>'T3a &amp; T3c modal split'!$A$27</c:f>
              <c:strCache>
                <c:ptCount val="1"/>
                <c:pt idx="0">
                  <c:v>Rail (freight)</c:v>
                </c:pt>
              </c:strCache>
            </c:strRef>
          </c:tx>
          <c:spPr>
            <a:ln w="19050" cap="rnd">
              <a:solidFill>
                <a:srgbClr val="F26119"/>
              </a:solidFill>
              <a:round/>
            </a:ln>
            <a:effectLst/>
          </c:spPr>
          <c:marker>
            <c:symbol val="none"/>
          </c:marker>
          <c:cat>
            <c:strRef>
              <c:f>'T3a &amp; T3c modal split'!$D$25:$AW$25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'T3a &amp; T3c modal split'!$D$27:$AW$27</c:f>
              <c:numCache>
                <c:formatCode>0</c:formatCode>
                <c:ptCount val="46"/>
                <c:pt idx="0">
                  <c:v>394.59700000000004</c:v>
                </c:pt>
                <c:pt idx="1">
                  <c:v>416.24600000000004</c:v>
                </c:pt>
                <c:pt idx="2">
                  <c:v>430.72400000000005</c:v>
                </c:pt>
                <c:pt idx="3">
                  <c:v>421.68599999999992</c:v>
                </c:pt>
                <c:pt idx="4">
                  <c:v>344.36900000000003</c:v>
                </c:pt>
                <c:pt idx="5">
                  <c:v>374.95499999999998</c:v>
                </c:pt>
                <c:pt idx="6">
                  <c:v>401.12199999999984</c:v>
                </c:pt>
                <c:pt idx="7">
                  <c:v>385.18899999999996</c:v>
                </c:pt>
                <c:pt idx="8">
                  <c:v>384.31900000000007</c:v>
                </c:pt>
                <c:pt idx="9">
                  <c:v>388.93199999999996</c:v>
                </c:pt>
                <c:pt idx="10">
                  <c:v>398.51700000000011</c:v>
                </c:pt>
                <c:pt idx="11">
                  <c:v>407.45800000000008</c:v>
                </c:pt>
                <c:pt idx="12">
                  <c:v>411.27800000000002</c:v>
                </c:pt>
                <c:pt idx="13">
                  <c:v>418.31399999999996</c:v>
                </c:pt>
                <c:pt idx="14">
                  <c:v>407.92099999999999</c:v>
                </c:pt>
                <c:pt idx="15">
                  <c:v>377.30700000000007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4A-44B4-81D7-EFA69EF3F72D}"/>
            </c:ext>
          </c:extLst>
        </c:ser>
        <c:ser>
          <c:idx val="2"/>
          <c:order val="2"/>
          <c:tx>
            <c:strRef>
              <c:f>'T3a &amp; T3c modal split'!$A$28</c:f>
              <c:strCache>
                <c:ptCount val="1"/>
                <c:pt idx="0">
                  <c:v>IWW (freight)</c:v>
                </c:pt>
              </c:strCache>
            </c:strRef>
          </c:tx>
          <c:spPr>
            <a:ln w="19050" cap="rnd">
              <a:solidFill>
                <a:srgbClr val="98C9EE"/>
              </a:solidFill>
              <a:round/>
            </a:ln>
            <a:effectLst/>
          </c:spPr>
          <c:marker>
            <c:symbol val="none"/>
          </c:marker>
          <c:cat>
            <c:strRef>
              <c:f>'T3a &amp; T3c modal split'!$D$25:$AW$25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'T3a &amp; T3c modal split'!$D$28:$AW$28</c:f>
              <c:numCache>
                <c:formatCode>0</c:formatCode>
                <c:ptCount val="46"/>
                <c:pt idx="0">
                  <c:v>138.61097439999998</c:v>
                </c:pt>
                <c:pt idx="1">
                  <c:v>138.41696909999999</c:v>
                </c:pt>
                <c:pt idx="2">
                  <c:v>145.40199999999999</c:v>
                </c:pt>
                <c:pt idx="3">
                  <c:v>146.90300000000002</c:v>
                </c:pt>
                <c:pt idx="4">
                  <c:v>132.60600000000002</c:v>
                </c:pt>
                <c:pt idx="5">
                  <c:v>155.36499999999998</c:v>
                </c:pt>
                <c:pt idx="6">
                  <c:v>141.82500000000002</c:v>
                </c:pt>
                <c:pt idx="7">
                  <c:v>149.822</c:v>
                </c:pt>
                <c:pt idx="8">
                  <c:v>152.58400000000003</c:v>
                </c:pt>
                <c:pt idx="9">
                  <c:v>150.70699999999997</c:v>
                </c:pt>
                <c:pt idx="10">
                  <c:v>147.35100000000003</c:v>
                </c:pt>
                <c:pt idx="11">
                  <c:v>146.60899999999995</c:v>
                </c:pt>
                <c:pt idx="12">
                  <c:v>147.22333333333333</c:v>
                </c:pt>
                <c:pt idx="13">
                  <c:v>131.30277777777778</c:v>
                </c:pt>
                <c:pt idx="14">
                  <c:v>139.69700000000003</c:v>
                </c:pt>
                <c:pt idx="15">
                  <c:v>131.74100000000001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4A-44B4-81D7-EFA69EF3F72D}"/>
            </c:ext>
          </c:extLst>
        </c:ser>
        <c:ser>
          <c:idx val="3"/>
          <c:order val="3"/>
          <c:tx>
            <c:strRef>
              <c:f>'T3a &amp; T3c modal split'!$A$29</c:f>
              <c:strCache>
                <c:ptCount val="1"/>
                <c:pt idx="0">
                  <c:v>HSR (passenger) benchmark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3D5584"/>
              </a:solidFill>
              <a:ln w="9525">
                <a:noFill/>
              </a:ln>
              <a:effectLst/>
            </c:spPr>
          </c:marker>
          <c:cat>
            <c:strRef>
              <c:f>'T3a &amp; T3c modal split'!$D$25:$AW$25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'T3a &amp; T3c modal split'!$D$29:$AW$29</c:f>
              <c:numCache>
                <c:formatCode>0</c:formatCode>
                <c:ptCount val="46"/>
                <c:pt idx="25">
                  <c:v>219.84719999999999</c:v>
                </c:pt>
                <c:pt idx="45">
                  <c:v>329.77080000000001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54A-44B4-81D7-EFA69EF3F72D}"/>
            </c:ext>
          </c:extLst>
        </c:ser>
        <c:ser>
          <c:idx val="4"/>
          <c:order val="4"/>
          <c:tx>
            <c:strRef>
              <c:f>'T3a &amp; T3c modal split'!$A$30</c:f>
              <c:strCache>
                <c:ptCount val="1"/>
                <c:pt idx="0">
                  <c:v>Rail (freight) benchmark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26119"/>
              </a:solidFill>
              <a:ln w="9525">
                <a:noFill/>
              </a:ln>
              <a:effectLst/>
            </c:spPr>
          </c:marker>
          <c:cat>
            <c:strRef>
              <c:f>'T3a &amp; T3c modal split'!$D$25:$AW$25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'T3a &amp; T3c modal split'!$D$30:$AW$30</c:f>
              <c:numCache>
                <c:formatCode>0</c:formatCode>
                <c:ptCount val="46"/>
                <c:pt idx="25">
                  <c:v>597.77550000000019</c:v>
                </c:pt>
                <c:pt idx="45">
                  <c:v>797.03400000000022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54A-44B4-81D7-EFA69EF3F72D}"/>
            </c:ext>
          </c:extLst>
        </c:ser>
        <c:ser>
          <c:idx val="5"/>
          <c:order val="5"/>
          <c:tx>
            <c:strRef>
              <c:f>'T3a &amp; T3c modal split'!$A$31</c:f>
              <c:strCache>
                <c:ptCount val="1"/>
                <c:pt idx="0">
                  <c:v>IWW (freight) benchmark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98C9EE"/>
              </a:solidFill>
              <a:ln w="9525">
                <a:noFill/>
              </a:ln>
              <a:effectLst/>
            </c:spPr>
          </c:marker>
          <c:cat>
            <c:strRef>
              <c:f>'T3a &amp; T3c modal split'!$D$25:$AW$25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'T3a &amp; T3c modal split'!$D$31:$AW$31</c:f>
              <c:numCache>
                <c:formatCode>0</c:formatCode>
                <c:ptCount val="46"/>
                <c:pt idx="25">
                  <c:v>184.18875000000003</c:v>
                </c:pt>
                <c:pt idx="45">
                  <c:v>221.02650000000006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54A-44B4-81D7-EFA69EF3F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1559744"/>
        <c:axId val="1210291328"/>
        <c:extLst>
          <c:ext xmlns:c15="http://schemas.microsoft.com/office/drawing/2012/chart" uri="{02D57815-91ED-43cb-92C2-25804820EDAC}">
            <c15:filteredLine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'T3a &amp; T3c modal split'!$A$32</c15:sqref>
                        </c15:formulaRef>
                      </c:ext>
                    </c:extLst>
                    <c:strCache>
                      <c:ptCount val="1"/>
                      <c:pt idx="0">
                        <c:v>linear trajectory to benchmark</c:v>
                      </c:pt>
                    </c:strCache>
                  </c:strRef>
                </c:tx>
                <c:spPr>
                  <a:ln w="12700" cap="rnd">
                    <a:solidFill>
                      <a:sysClr val="windowText" lastClr="000000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'T3a &amp; T3c modal split'!$D$25:$AW$25</c15:sqref>
                        </c15:formulaRef>
                      </c:ext>
                    </c:extLst>
                    <c:strCache>
                      <c:ptCount val="46"/>
                      <c:pt idx="0">
                        <c:v>2005</c:v>
                      </c:pt>
                      <c:pt idx="5">
                        <c:v>2010</c:v>
                      </c:pt>
                      <c:pt idx="10">
                        <c:v>2015</c:v>
                      </c:pt>
                      <c:pt idx="15">
                        <c:v>2020</c:v>
                      </c:pt>
                      <c:pt idx="20">
                        <c:v>2025</c:v>
                      </c:pt>
                      <c:pt idx="25">
                        <c:v>2030</c:v>
                      </c:pt>
                      <c:pt idx="30">
                        <c:v>2035</c:v>
                      </c:pt>
                      <c:pt idx="35">
                        <c:v>2040</c:v>
                      </c:pt>
                      <c:pt idx="40">
                        <c:v>2045</c:v>
                      </c:pt>
                      <c:pt idx="45">
                        <c:v>2050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'T3a &amp; T3c modal split'!$D$32:$AW$32</c15:sqref>
                        </c15:formulaRef>
                      </c:ext>
                    </c:extLst>
                    <c:numCache>
                      <c:formatCode>0</c:formatCode>
                      <c:ptCount val="46"/>
                      <c:pt idx="14">
                        <c:v>132.00773999999998</c:v>
                      </c:pt>
                      <c:pt idx="15">
                        <c:v>139.99314545454544</c:v>
                      </c:pt>
                      <c:pt idx="16">
                        <c:v>147.9785509090909</c:v>
                      </c:pt>
                      <c:pt idx="17">
                        <c:v>155.96395636363633</c:v>
                      </c:pt>
                      <c:pt idx="18">
                        <c:v>163.94936181818179</c:v>
                      </c:pt>
                      <c:pt idx="19">
                        <c:v>171.93476727272724</c:v>
                      </c:pt>
                      <c:pt idx="20">
                        <c:v>179.9201727272727</c:v>
                      </c:pt>
                      <c:pt idx="21">
                        <c:v>187.90557818181816</c:v>
                      </c:pt>
                      <c:pt idx="22">
                        <c:v>195.89098363636361</c:v>
                      </c:pt>
                      <c:pt idx="23">
                        <c:v>203.87638909090907</c:v>
                      </c:pt>
                      <c:pt idx="24">
                        <c:v>211.86179454545453</c:v>
                      </c:pt>
                      <c:pt idx="25">
                        <c:v>219.84719999999999</c:v>
                      </c:pt>
                      <c:pt idx="26">
                        <c:v>225.34337999999994</c:v>
                      </c:pt>
                      <c:pt idx="27">
                        <c:v>230.83955999999995</c:v>
                      </c:pt>
                      <c:pt idx="28">
                        <c:v>236.33573999999996</c:v>
                      </c:pt>
                      <c:pt idx="29">
                        <c:v>241.83191999999997</c:v>
                      </c:pt>
                      <c:pt idx="30">
                        <c:v>247.32809999999995</c:v>
                      </c:pt>
                      <c:pt idx="31">
                        <c:v>252.82427999999996</c:v>
                      </c:pt>
                      <c:pt idx="32">
                        <c:v>258.32045999999997</c:v>
                      </c:pt>
                      <c:pt idx="33">
                        <c:v>263.81663999999995</c:v>
                      </c:pt>
                      <c:pt idx="34">
                        <c:v>269.31281999999999</c:v>
                      </c:pt>
                      <c:pt idx="35">
                        <c:v>274.80899999999997</c:v>
                      </c:pt>
                      <c:pt idx="36">
                        <c:v>280.30517999999995</c:v>
                      </c:pt>
                      <c:pt idx="37">
                        <c:v>285.80135999999993</c:v>
                      </c:pt>
                      <c:pt idx="38">
                        <c:v>291.29753999999997</c:v>
                      </c:pt>
                      <c:pt idx="39">
                        <c:v>296.79371999999995</c:v>
                      </c:pt>
                      <c:pt idx="40">
                        <c:v>302.28989999999999</c:v>
                      </c:pt>
                      <c:pt idx="41">
                        <c:v>307.78607999999997</c:v>
                      </c:pt>
                      <c:pt idx="42">
                        <c:v>313.28225999999995</c:v>
                      </c:pt>
                      <c:pt idx="43">
                        <c:v>318.77843999999993</c:v>
                      </c:pt>
                      <c:pt idx="44">
                        <c:v>324.27461999999997</c:v>
                      </c:pt>
                      <c:pt idx="45">
                        <c:v>329.77079999999995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E54A-44B4-81D7-EFA69EF3F72D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'T3a &amp; T3c modal split'!$A$33</c15:sqref>
                        </c15:formulaRef>
                      </c:ext>
                    </c:extLst>
                    <c:strCache>
                      <c:ptCount val="1"/>
                      <c:pt idx="0">
                        <c:v>linear trajectory to benchmark</c:v>
                      </c:pt>
                    </c:strCache>
                  </c:strRef>
                </c:tx>
                <c:spPr>
                  <a:ln w="12700" cap="rnd">
                    <a:solidFill>
                      <a:sysClr val="windowText" lastClr="000000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'T3a &amp; T3c modal split'!$D$25:$AW$25</c15:sqref>
                        </c15:formulaRef>
                      </c:ext>
                    </c:extLst>
                    <c:strCache>
                      <c:ptCount val="46"/>
                      <c:pt idx="0">
                        <c:v>2005</c:v>
                      </c:pt>
                      <c:pt idx="5">
                        <c:v>2010</c:v>
                      </c:pt>
                      <c:pt idx="10">
                        <c:v>2015</c:v>
                      </c:pt>
                      <c:pt idx="15">
                        <c:v>2020</c:v>
                      </c:pt>
                      <c:pt idx="20">
                        <c:v>2025</c:v>
                      </c:pt>
                      <c:pt idx="25">
                        <c:v>2030</c:v>
                      </c:pt>
                      <c:pt idx="30">
                        <c:v>2035</c:v>
                      </c:pt>
                      <c:pt idx="35">
                        <c:v>2040</c:v>
                      </c:pt>
                      <c:pt idx="40">
                        <c:v>2045</c:v>
                      </c:pt>
                      <c:pt idx="45">
                        <c:v>2050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'T3a &amp; T3c modal split'!$D$33:$AW$33</c15:sqref>
                        </c15:formulaRef>
                      </c:ext>
                    </c:extLst>
                    <c:numCache>
                      <c:formatCode>0</c:formatCode>
                      <c:ptCount val="46"/>
                      <c:pt idx="14">
                        <c:v>407.92100000000005</c:v>
                      </c:pt>
                      <c:pt idx="15">
                        <c:v>425.18050000000005</c:v>
                      </c:pt>
                      <c:pt idx="16">
                        <c:v>442.44000000000011</c:v>
                      </c:pt>
                      <c:pt idx="17">
                        <c:v>459.69950000000011</c:v>
                      </c:pt>
                      <c:pt idx="18">
                        <c:v>476.95900000000012</c:v>
                      </c:pt>
                      <c:pt idx="19">
                        <c:v>494.21850000000018</c:v>
                      </c:pt>
                      <c:pt idx="20">
                        <c:v>511.47800000000018</c:v>
                      </c:pt>
                      <c:pt idx="21">
                        <c:v>528.73750000000018</c:v>
                      </c:pt>
                      <c:pt idx="22">
                        <c:v>545.99700000000018</c:v>
                      </c:pt>
                      <c:pt idx="23">
                        <c:v>563.25650000000019</c:v>
                      </c:pt>
                      <c:pt idx="24">
                        <c:v>580.5160000000003</c:v>
                      </c:pt>
                      <c:pt idx="25">
                        <c:v>597.77550000000019</c:v>
                      </c:pt>
                      <c:pt idx="26">
                        <c:v>607.73842500000012</c:v>
                      </c:pt>
                      <c:pt idx="27">
                        <c:v>617.70135000000016</c:v>
                      </c:pt>
                      <c:pt idx="28">
                        <c:v>627.6642750000002</c:v>
                      </c:pt>
                      <c:pt idx="29">
                        <c:v>637.62720000000013</c:v>
                      </c:pt>
                      <c:pt idx="30">
                        <c:v>647.59012500000017</c:v>
                      </c:pt>
                      <c:pt idx="31">
                        <c:v>657.55305000000021</c:v>
                      </c:pt>
                      <c:pt idx="32">
                        <c:v>667.51597500000014</c:v>
                      </c:pt>
                      <c:pt idx="33">
                        <c:v>677.47890000000018</c:v>
                      </c:pt>
                      <c:pt idx="34">
                        <c:v>687.44182500000011</c:v>
                      </c:pt>
                      <c:pt idx="35">
                        <c:v>697.40475000000015</c:v>
                      </c:pt>
                      <c:pt idx="36">
                        <c:v>707.36767500000019</c:v>
                      </c:pt>
                      <c:pt idx="37">
                        <c:v>717.33060000000012</c:v>
                      </c:pt>
                      <c:pt idx="38">
                        <c:v>727.29352500000016</c:v>
                      </c:pt>
                      <c:pt idx="39">
                        <c:v>737.25645000000009</c:v>
                      </c:pt>
                      <c:pt idx="40">
                        <c:v>747.21937500000013</c:v>
                      </c:pt>
                      <c:pt idx="41">
                        <c:v>757.18230000000017</c:v>
                      </c:pt>
                      <c:pt idx="42">
                        <c:v>767.14522500000021</c:v>
                      </c:pt>
                      <c:pt idx="43">
                        <c:v>777.10815000000014</c:v>
                      </c:pt>
                      <c:pt idx="44">
                        <c:v>787.07107500000018</c:v>
                      </c:pt>
                      <c:pt idx="45">
                        <c:v>797.03400000000011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54A-44B4-81D7-EFA69EF3F72D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'T3a &amp; T3c modal split'!$A$34</c15:sqref>
                        </c15:formulaRef>
                      </c:ext>
                    </c:extLst>
                    <c:strCache>
                      <c:ptCount val="1"/>
                      <c:pt idx="0">
                        <c:v>linear trajectory to benchmark</c:v>
                      </c:pt>
                    </c:strCache>
                  </c:strRef>
                </c:tx>
                <c:spPr>
                  <a:ln w="12700" cap="rnd">
                    <a:solidFill>
                      <a:sysClr val="windowText" lastClr="000000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'T3a &amp; T3c modal split'!$D$25:$AW$25</c15:sqref>
                        </c15:formulaRef>
                      </c:ext>
                    </c:extLst>
                    <c:strCache>
                      <c:ptCount val="46"/>
                      <c:pt idx="0">
                        <c:v>2005</c:v>
                      </c:pt>
                      <c:pt idx="5">
                        <c:v>2010</c:v>
                      </c:pt>
                      <c:pt idx="10">
                        <c:v>2015</c:v>
                      </c:pt>
                      <c:pt idx="15">
                        <c:v>2020</c:v>
                      </c:pt>
                      <c:pt idx="20">
                        <c:v>2025</c:v>
                      </c:pt>
                      <c:pt idx="25">
                        <c:v>2030</c:v>
                      </c:pt>
                      <c:pt idx="30">
                        <c:v>2035</c:v>
                      </c:pt>
                      <c:pt idx="35">
                        <c:v>2040</c:v>
                      </c:pt>
                      <c:pt idx="40">
                        <c:v>2045</c:v>
                      </c:pt>
                      <c:pt idx="45">
                        <c:v>2050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'T3a &amp; T3c modal split'!$D$34:$AW$34</c15:sqref>
                        </c15:formulaRef>
                      </c:ext>
                    </c:extLst>
                    <c:numCache>
                      <c:formatCode>0</c:formatCode>
                      <c:ptCount val="46"/>
                      <c:pt idx="14">
                        <c:v>139.69700000000003</c:v>
                      </c:pt>
                      <c:pt idx="15">
                        <c:v>143.74170454545458</c:v>
                      </c:pt>
                      <c:pt idx="16">
                        <c:v>147.78640909090913</c:v>
                      </c:pt>
                      <c:pt idx="17">
                        <c:v>151.83111363636368</c:v>
                      </c:pt>
                      <c:pt idx="18">
                        <c:v>155.8758181818182</c:v>
                      </c:pt>
                      <c:pt idx="19">
                        <c:v>159.92052272727278</c:v>
                      </c:pt>
                      <c:pt idx="20">
                        <c:v>163.9652272727273</c:v>
                      </c:pt>
                      <c:pt idx="21">
                        <c:v>168.00993181818185</c:v>
                      </c:pt>
                      <c:pt idx="22">
                        <c:v>172.0546363636364</c:v>
                      </c:pt>
                      <c:pt idx="23">
                        <c:v>176.09934090909096</c:v>
                      </c:pt>
                      <c:pt idx="24">
                        <c:v>180.14404545454551</c:v>
                      </c:pt>
                      <c:pt idx="25">
                        <c:v>184.18875000000006</c:v>
                      </c:pt>
                      <c:pt idx="26">
                        <c:v>186.03063750000004</c:v>
                      </c:pt>
                      <c:pt idx="27">
                        <c:v>187.87252500000005</c:v>
                      </c:pt>
                      <c:pt idx="28">
                        <c:v>189.71441250000004</c:v>
                      </c:pt>
                      <c:pt idx="29">
                        <c:v>191.55630000000005</c:v>
                      </c:pt>
                      <c:pt idx="30">
                        <c:v>193.39818750000006</c:v>
                      </c:pt>
                      <c:pt idx="31">
                        <c:v>195.24007500000005</c:v>
                      </c:pt>
                      <c:pt idx="32">
                        <c:v>197.08196250000006</c:v>
                      </c:pt>
                      <c:pt idx="33">
                        <c:v>198.92385000000004</c:v>
                      </c:pt>
                      <c:pt idx="34">
                        <c:v>200.76573750000006</c:v>
                      </c:pt>
                      <c:pt idx="35">
                        <c:v>202.60762500000004</c:v>
                      </c:pt>
                      <c:pt idx="36">
                        <c:v>204.44951250000005</c:v>
                      </c:pt>
                      <c:pt idx="37">
                        <c:v>206.29140000000007</c:v>
                      </c:pt>
                      <c:pt idx="38">
                        <c:v>208.13328750000005</c:v>
                      </c:pt>
                      <c:pt idx="39">
                        <c:v>209.97517500000006</c:v>
                      </c:pt>
                      <c:pt idx="40">
                        <c:v>211.81706250000005</c:v>
                      </c:pt>
                      <c:pt idx="41">
                        <c:v>213.65895000000006</c:v>
                      </c:pt>
                      <c:pt idx="42">
                        <c:v>215.50083750000005</c:v>
                      </c:pt>
                      <c:pt idx="43">
                        <c:v>217.34272500000006</c:v>
                      </c:pt>
                      <c:pt idx="44">
                        <c:v>219.18461250000007</c:v>
                      </c:pt>
                      <c:pt idx="45">
                        <c:v>221.02650000000006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54A-44B4-81D7-EFA69EF3F72D}"/>
                  </c:ext>
                </c:extLst>
              </c15:ser>
            </c15:filteredLineSeries>
          </c:ext>
        </c:extLst>
      </c:lineChart>
      <c:catAx>
        <c:axId val="122155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DK"/>
          </a:p>
        </c:txPr>
        <c:crossAx val="1210291328"/>
        <c:crosses val="autoZero"/>
        <c:auto val="1"/>
        <c:lblAlgn val="ctr"/>
        <c:lblOffset val="100"/>
        <c:noMultiLvlLbl val="0"/>
      </c:catAx>
      <c:valAx>
        <c:axId val="12102913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en-DK" b="1"/>
                  <a:t>Gpkm (passenger) or Gtkm (freight)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DK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DK"/>
          </a:p>
        </c:txPr>
        <c:crossAx val="1221559744"/>
        <c:crosses val="autoZero"/>
        <c:crossBetween val="between"/>
        <c:majorUnit val="3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913436254513577"/>
          <c:y val="0.30179373030271139"/>
          <c:w val="0.23465057315765675"/>
          <c:h val="0.404970947169514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Segoe UI" panose="020B0502040204020203" pitchFamily="34" charset="0"/>
          <a:cs typeface="Segoe UI" panose="020B0502040204020203" pitchFamily="34" charset="0"/>
        </a:defRPr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847494238895494E-2"/>
          <c:y val="3.8344221317246144E-2"/>
          <c:w val="0.61459552192285483"/>
          <c:h val="0.89372255416978996"/>
        </c:manualLayout>
      </c:layout>
      <c:lineChart>
        <c:grouping val="standard"/>
        <c:varyColors val="0"/>
        <c:ser>
          <c:idx val="0"/>
          <c:order val="0"/>
          <c:tx>
            <c:strRef>
              <c:f>'T3b. modal split passenger'!$A$3</c:f>
              <c:strCache>
                <c:ptCount val="1"/>
                <c:pt idx="0">
                  <c:v>Cars&amp;2W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'T3b. modal split passenger'!$B$2:$AW$2</c:f>
              <c:strCache>
                <c:ptCount val="46"/>
                <c:pt idx="5">
                  <c:v>2010</c:v>
                </c:pt>
                <c:pt idx="15">
                  <c:v>2020</c:v>
                </c:pt>
                <c:pt idx="25">
                  <c:v>2030</c:v>
                </c:pt>
                <c:pt idx="35">
                  <c:v>2040</c:v>
                </c:pt>
                <c:pt idx="45">
                  <c:v>2050</c:v>
                </c:pt>
              </c:strCache>
            </c:strRef>
          </c:cat>
          <c:val>
            <c:numRef>
              <c:f>'T3b. modal split passenger'!$B$3:$AW$3</c:f>
              <c:numCache>
                <c:formatCode>0.0%</c:formatCode>
                <c:ptCount val="46"/>
                <c:pt idx="0">
                  <c:v>0.81276980635612384</c:v>
                </c:pt>
                <c:pt idx="1">
                  <c:v>0.81228745392713875</c:v>
                </c:pt>
                <c:pt idx="2">
                  <c:v>0.8112748057803002</c:v>
                </c:pt>
                <c:pt idx="3">
                  <c:v>0.80823395457541802</c:v>
                </c:pt>
                <c:pt idx="4">
                  <c:v>0.81627317382348286</c:v>
                </c:pt>
                <c:pt idx="5">
                  <c:v>0.8161607695224411</c:v>
                </c:pt>
                <c:pt idx="6">
                  <c:v>0.81354540173474088</c:v>
                </c:pt>
                <c:pt idx="7">
                  <c:v>0.81169737294476918</c:v>
                </c:pt>
                <c:pt idx="8">
                  <c:v>0.81337141943989444</c:v>
                </c:pt>
                <c:pt idx="9">
                  <c:v>0.81544445760770845</c:v>
                </c:pt>
                <c:pt idx="10">
                  <c:v>0.81537034173496215</c:v>
                </c:pt>
                <c:pt idx="11">
                  <c:v>0.81647094534347664</c:v>
                </c:pt>
                <c:pt idx="12">
                  <c:v>0.81825893530387572</c:v>
                </c:pt>
                <c:pt idx="13">
                  <c:v>0.8168697703150446</c:v>
                </c:pt>
                <c:pt idx="14">
                  <c:v>0.81587659755488562</c:v>
                </c:pt>
                <c:pt idx="15" formatCode="0%">
                  <c:v>0.86500387514972177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39-42AF-A0D2-A02D0D892521}"/>
            </c:ext>
          </c:extLst>
        </c:ser>
        <c:ser>
          <c:idx val="1"/>
          <c:order val="1"/>
          <c:tx>
            <c:strRef>
              <c:f>'T3b. modal split passenger'!$A$4</c:f>
              <c:strCache>
                <c:ptCount val="1"/>
                <c:pt idx="0">
                  <c:v>Buses&amp;coaches</c:v>
                </c:pt>
              </c:strCache>
            </c:strRef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'T3b. modal split passenger'!$B$2:$AW$2</c:f>
              <c:strCache>
                <c:ptCount val="46"/>
                <c:pt idx="5">
                  <c:v>2010</c:v>
                </c:pt>
                <c:pt idx="15">
                  <c:v>2020</c:v>
                </c:pt>
                <c:pt idx="25">
                  <c:v>2030</c:v>
                </c:pt>
                <c:pt idx="35">
                  <c:v>2040</c:v>
                </c:pt>
                <c:pt idx="45">
                  <c:v>2050</c:v>
                </c:pt>
              </c:strCache>
            </c:strRef>
          </c:cat>
          <c:val>
            <c:numRef>
              <c:f>'T3b. modal split passenger'!$B$4:$AW$4</c:f>
              <c:numCache>
                <c:formatCode>0.0%</c:formatCode>
                <c:ptCount val="46"/>
                <c:pt idx="0">
                  <c:v>0.10233112691690993</c:v>
                </c:pt>
                <c:pt idx="1">
                  <c:v>0.10137047671411409</c:v>
                </c:pt>
                <c:pt idx="2">
                  <c:v>0.10222195387030551</c:v>
                </c:pt>
                <c:pt idx="3">
                  <c:v>0.10269471245081002</c:v>
                </c:pt>
                <c:pt idx="4">
                  <c:v>9.6993344953256233E-2</c:v>
                </c:pt>
                <c:pt idx="5">
                  <c:v>9.6230218124488606E-2</c:v>
                </c:pt>
                <c:pt idx="6">
                  <c:v>9.7273692434045808E-2</c:v>
                </c:pt>
                <c:pt idx="7">
                  <c:v>9.7397213177745884E-2</c:v>
                </c:pt>
                <c:pt idx="8">
                  <c:v>9.5980983580360363E-2</c:v>
                </c:pt>
                <c:pt idx="9">
                  <c:v>9.4025194487225058E-2</c:v>
                </c:pt>
                <c:pt idx="10">
                  <c:v>9.5368795422916347E-2</c:v>
                </c:pt>
                <c:pt idx="11">
                  <c:v>9.4534347669366928E-2</c:v>
                </c:pt>
                <c:pt idx="12">
                  <c:v>9.0295581360277488E-2</c:v>
                </c:pt>
                <c:pt idx="13">
                  <c:v>9.0619793714082478E-2</c:v>
                </c:pt>
                <c:pt idx="14">
                  <c:v>9.0165905265688864E-2</c:v>
                </c:pt>
                <c:pt idx="15" formatCode="0%">
                  <c:v>6.8954179290260473E-2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39-42AF-A0D2-A02D0D892521}"/>
            </c:ext>
          </c:extLst>
        </c:ser>
        <c:ser>
          <c:idx val="2"/>
          <c:order val="2"/>
          <c:tx>
            <c:strRef>
              <c:f>'T3b. modal split passenger'!$A$5</c:f>
              <c:strCache>
                <c:ptCount val="1"/>
                <c:pt idx="0">
                  <c:v>Rail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'T3b. modal split passenger'!$B$2:$AW$2</c:f>
              <c:strCache>
                <c:ptCount val="46"/>
                <c:pt idx="5">
                  <c:v>2010</c:v>
                </c:pt>
                <c:pt idx="15">
                  <c:v>2020</c:v>
                </c:pt>
                <c:pt idx="25">
                  <c:v>2030</c:v>
                </c:pt>
                <c:pt idx="35">
                  <c:v>2040</c:v>
                </c:pt>
                <c:pt idx="45">
                  <c:v>2050</c:v>
                </c:pt>
              </c:strCache>
            </c:strRef>
          </c:cat>
          <c:val>
            <c:numRef>
              <c:f>'T3b. modal split passenger'!$B$5:$AW$5</c:f>
              <c:numCache>
                <c:formatCode>0.0%</c:formatCode>
                <c:ptCount val="46"/>
                <c:pt idx="0">
                  <c:v>8.489906672696626E-2</c:v>
                </c:pt>
                <c:pt idx="1">
                  <c:v>8.6342069358747234E-2</c:v>
                </c:pt>
                <c:pt idx="2">
                  <c:v>8.6503240349394175E-2</c:v>
                </c:pt>
                <c:pt idx="3">
                  <c:v>8.9071332973772011E-2</c:v>
                </c:pt>
                <c:pt idx="4">
                  <c:v>8.673348122326098E-2</c:v>
                </c:pt>
                <c:pt idx="5">
                  <c:v>8.7609012353070295E-2</c:v>
                </c:pt>
                <c:pt idx="6">
                  <c:v>8.9180905831213339E-2</c:v>
                </c:pt>
                <c:pt idx="7">
                  <c:v>9.0905413877484992E-2</c:v>
                </c:pt>
                <c:pt idx="8">
                  <c:v>9.0647596979745115E-2</c:v>
                </c:pt>
                <c:pt idx="9">
                  <c:v>9.0530347905066547E-2</c:v>
                </c:pt>
                <c:pt idx="10">
                  <c:v>8.9260862842121549E-2</c:v>
                </c:pt>
                <c:pt idx="11">
                  <c:v>8.8994706987156377E-2</c:v>
                </c:pt>
                <c:pt idx="12">
                  <c:v>9.1445483335846775E-2</c:v>
                </c:pt>
                <c:pt idx="13">
                  <c:v>9.2510435970872884E-2</c:v>
                </c:pt>
                <c:pt idx="14">
                  <c:v>9.3957497179425531E-2</c:v>
                </c:pt>
                <c:pt idx="15" formatCode="0%">
                  <c:v>6.6041945560017856E-2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39-42AF-A0D2-A02D0D892521}"/>
            </c:ext>
          </c:extLst>
        </c:ser>
        <c:ser>
          <c:idx val="3"/>
          <c:order val="3"/>
          <c:tx>
            <c:strRef>
              <c:f>'T3b. modal split passenger'!$A$6</c:f>
              <c:strCache>
                <c:ptCount val="1"/>
                <c:pt idx="0">
                  <c:v>Benchmark - cars&amp;2W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noFill/>
              </a:ln>
              <a:effectLst/>
            </c:spPr>
          </c:marker>
          <c:cat>
            <c:strRef>
              <c:f>'T3b. modal split passenger'!$B$2:$AW$2</c:f>
              <c:strCache>
                <c:ptCount val="46"/>
                <c:pt idx="5">
                  <c:v>2010</c:v>
                </c:pt>
                <c:pt idx="15">
                  <c:v>2020</c:v>
                </c:pt>
                <c:pt idx="25">
                  <c:v>2030</c:v>
                </c:pt>
                <c:pt idx="35">
                  <c:v>2040</c:v>
                </c:pt>
                <c:pt idx="45">
                  <c:v>2050</c:v>
                </c:pt>
              </c:strCache>
            </c:strRef>
          </c:cat>
          <c:val>
            <c:numRef>
              <c:f>'T3b. modal split passenger'!$B$6:$AW$6</c:f>
              <c:numCache>
                <c:formatCode>0</c:formatCode>
                <c:ptCount val="46"/>
                <c:pt idx="25" formatCode="0%">
                  <c:v>0.7988348183687457</c:v>
                </c:pt>
                <c:pt idx="45" formatCode="0%">
                  <c:v>0.76704735498992038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39-42AF-A0D2-A02D0D892521}"/>
            </c:ext>
          </c:extLst>
        </c:ser>
        <c:ser>
          <c:idx val="4"/>
          <c:order val="4"/>
          <c:tx>
            <c:strRef>
              <c:f>'T3b. modal split passenger'!$A$7</c:f>
              <c:strCache>
                <c:ptCount val="1"/>
                <c:pt idx="0">
                  <c:v>Benchmark - buses&amp;coaches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5000"/>
                </a:schemeClr>
              </a:solidFill>
              <a:ln w="9525">
                <a:noFill/>
              </a:ln>
              <a:effectLst/>
            </c:spPr>
          </c:marker>
          <c:cat>
            <c:strRef>
              <c:f>'T3b. modal split passenger'!$B$2:$AW$2</c:f>
              <c:strCache>
                <c:ptCount val="46"/>
                <c:pt idx="5">
                  <c:v>2010</c:v>
                </c:pt>
                <c:pt idx="15">
                  <c:v>2020</c:v>
                </c:pt>
                <c:pt idx="25">
                  <c:v>2030</c:v>
                </c:pt>
                <c:pt idx="35">
                  <c:v>2040</c:v>
                </c:pt>
                <c:pt idx="45">
                  <c:v>2050</c:v>
                </c:pt>
              </c:strCache>
            </c:strRef>
          </c:cat>
          <c:val>
            <c:numRef>
              <c:f>'T3b. modal split passenger'!$B$7:$AW$7</c:f>
              <c:numCache>
                <c:formatCode>0</c:formatCode>
                <c:ptCount val="46"/>
                <c:pt idx="25" formatCode="0%">
                  <c:v>9.2871830020562027E-2</c:v>
                </c:pt>
                <c:pt idx="45" formatCode="0%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939-42AF-A0D2-A02D0D892521}"/>
            </c:ext>
          </c:extLst>
        </c:ser>
        <c:ser>
          <c:idx val="5"/>
          <c:order val="5"/>
          <c:tx>
            <c:strRef>
              <c:f>'T3b. modal split passenger'!$A$8</c:f>
              <c:strCache>
                <c:ptCount val="1"/>
                <c:pt idx="0">
                  <c:v>Benchmark - rail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noFill/>
              </a:ln>
              <a:effectLst/>
            </c:spPr>
          </c:marker>
          <c:cat>
            <c:strRef>
              <c:f>'T3b. modal split passenger'!$B$2:$AW$2</c:f>
              <c:strCache>
                <c:ptCount val="46"/>
                <c:pt idx="5">
                  <c:v>2010</c:v>
                </c:pt>
                <c:pt idx="15">
                  <c:v>2020</c:v>
                </c:pt>
                <c:pt idx="25">
                  <c:v>2030</c:v>
                </c:pt>
                <c:pt idx="35">
                  <c:v>2040</c:v>
                </c:pt>
                <c:pt idx="45">
                  <c:v>2050</c:v>
                </c:pt>
              </c:strCache>
            </c:strRef>
          </c:cat>
          <c:val>
            <c:numRef>
              <c:f>'T3b. modal split passenger'!$B$8:$AW$8</c:f>
              <c:numCache>
                <c:formatCode>General</c:formatCode>
                <c:ptCount val="46"/>
                <c:pt idx="25" formatCode="0%">
                  <c:v>0.10846470185058259</c:v>
                </c:pt>
                <c:pt idx="45" formatCode="0%">
                  <c:v>0.14759136956579777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939-42AF-A0D2-A02D0D892521}"/>
            </c:ext>
          </c:extLst>
        </c:ser>
        <c:ser>
          <c:idx val="6"/>
          <c:order val="6"/>
          <c:tx>
            <c:strRef>
              <c:f>'T3b. modal split passenger'!$A$9</c:f>
              <c:strCache>
                <c:ptCount val="1"/>
                <c:pt idx="0">
                  <c:v>linear trajectories</c:v>
                </c:pt>
              </c:strCache>
            </c:strRef>
          </c:tx>
          <c:spPr>
            <a:ln w="12700" cap="rnd">
              <a:solidFill>
                <a:sysClr val="windowText" lastClr="00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'T3b. modal split passenger'!$B$2:$AW$2</c:f>
              <c:strCache>
                <c:ptCount val="46"/>
                <c:pt idx="5">
                  <c:v>2010</c:v>
                </c:pt>
                <c:pt idx="15">
                  <c:v>2020</c:v>
                </c:pt>
                <c:pt idx="25">
                  <c:v>2030</c:v>
                </c:pt>
                <c:pt idx="35">
                  <c:v>2040</c:v>
                </c:pt>
                <c:pt idx="45">
                  <c:v>2050</c:v>
                </c:pt>
              </c:strCache>
            </c:strRef>
          </c:cat>
          <c:val>
            <c:numRef>
              <c:f>'T3b. modal split passenger'!$B$9:$AW$9</c:f>
              <c:numCache>
                <c:formatCode>General</c:formatCode>
                <c:ptCount val="46"/>
                <c:pt idx="15" formatCode="0%">
                  <c:v>0.86500387514972177</c:v>
                </c:pt>
                <c:pt idx="16" formatCode="0%">
                  <c:v>0.85838696947162418</c:v>
                </c:pt>
                <c:pt idx="17" formatCode="0%">
                  <c:v>0.85177006379352649</c:v>
                </c:pt>
                <c:pt idx="18" formatCode="0%">
                  <c:v>0.8451531581154289</c:v>
                </c:pt>
                <c:pt idx="19" formatCode="0%">
                  <c:v>0.83853625243733132</c:v>
                </c:pt>
                <c:pt idx="20" formatCode="0%">
                  <c:v>0.83191934675923374</c:v>
                </c:pt>
                <c:pt idx="21" formatCode="0%">
                  <c:v>0.82530244108113615</c:v>
                </c:pt>
                <c:pt idx="22" formatCode="0%">
                  <c:v>0.81868553540303846</c:v>
                </c:pt>
                <c:pt idx="23" formatCode="0%">
                  <c:v>0.81206862972494087</c:v>
                </c:pt>
                <c:pt idx="24" formatCode="0%">
                  <c:v>0.80545172404684329</c:v>
                </c:pt>
                <c:pt idx="25" formatCode="0%">
                  <c:v>0.79883481836874559</c:v>
                </c:pt>
                <c:pt idx="26" formatCode="0%">
                  <c:v>0.79724544519980434</c:v>
                </c:pt>
                <c:pt idx="27" formatCode="0%">
                  <c:v>0.79565607203086308</c:v>
                </c:pt>
                <c:pt idx="28" formatCode="0%">
                  <c:v>0.79406669886192183</c:v>
                </c:pt>
                <c:pt idx="29" formatCode="0%">
                  <c:v>0.79247732569298057</c:v>
                </c:pt>
                <c:pt idx="30" formatCode="0%">
                  <c:v>0.79088795252403932</c:v>
                </c:pt>
                <c:pt idx="31" formatCode="0%">
                  <c:v>0.78929857935509806</c:v>
                </c:pt>
                <c:pt idx="32" formatCode="0%">
                  <c:v>0.78770920618615681</c:v>
                </c:pt>
                <c:pt idx="33" formatCode="0%">
                  <c:v>0.78611983301721555</c:v>
                </c:pt>
                <c:pt idx="34" formatCode="0%">
                  <c:v>0.7845304598482743</c:v>
                </c:pt>
                <c:pt idx="35" formatCode="0%">
                  <c:v>0.78294108667933293</c:v>
                </c:pt>
                <c:pt idx="36" formatCode="0%">
                  <c:v>0.78135171351039168</c:v>
                </c:pt>
                <c:pt idx="37" formatCode="0%">
                  <c:v>0.77976234034145042</c:v>
                </c:pt>
                <c:pt idx="38" formatCode="0%">
                  <c:v>0.77817296717250917</c:v>
                </c:pt>
                <c:pt idx="39" formatCode="0%">
                  <c:v>0.77658359400356791</c:v>
                </c:pt>
                <c:pt idx="40" formatCode="0%">
                  <c:v>0.77499422083462666</c:v>
                </c:pt>
                <c:pt idx="41" formatCode="0%">
                  <c:v>0.7734048476656854</c:v>
                </c:pt>
                <c:pt idx="42" formatCode="0%">
                  <c:v>0.77181547449674415</c:v>
                </c:pt>
                <c:pt idx="43" formatCode="0%">
                  <c:v>0.77022610132780289</c:v>
                </c:pt>
                <c:pt idx="44" formatCode="0%">
                  <c:v>0.76863672815886164</c:v>
                </c:pt>
                <c:pt idx="45" formatCode="0%">
                  <c:v>0.76704735498992038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939-42AF-A0D2-A02D0D892521}"/>
            </c:ext>
          </c:extLst>
        </c:ser>
        <c:ser>
          <c:idx val="7"/>
          <c:order val="7"/>
          <c:tx>
            <c:strRef>
              <c:f>'T3b. modal split passenger'!$A$10</c:f>
              <c:strCache>
                <c:ptCount val="1"/>
                <c:pt idx="0">
                  <c:v>linear trajectories</c:v>
                </c:pt>
              </c:strCache>
            </c:strRef>
          </c:tx>
          <c:spPr>
            <a:ln w="12700" cap="rnd">
              <a:solidFill>
                <a:sysClr val="windowText" lastClr="00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'T3b. modal split passenger'!$B$2:$AW$2</c:f>
              <c:strCache>
                <c:ptCount val="46"/>
                <c:pt idx="5">
                  <c:v>2010</c:v>
                </c:pt>
                <c:pt idx="15">
                  <c:v>2020</c:v>
                </c:pt>
                <c:pt idx="25">
                  <c:v>2030</c:v>
                </c:pt>
                <c:pt idx="35">
                  <c:v>2040</c:v>
                </c:pt>
                <c:pt idx="45">
                  <c:v>2050</c:v>
                </c:pt>
              </c:strCache>
            </c:strRef>
          </c:cat>
          <c:val>
            <c:numRef>
              <c:f>'T3b. modal split passenger'!$B$10:$AW$10</c:f>
              <c:numCache>
                <c:formatCode>General</c:formatCode>
                <c:ptCount val="46"/>
                <c:pt idx="15" formatCode="0%">
                  <c:v>6.8954179290260487E-2</c:v>
                </c:pt>
                <c:pt idx="16" formatCode="0%">
                  <c:v>7.1345944363290642E-2</c:v>
                </c:pt>
                <c:pt idx="17" formatCode="0%">
                  <c:v>7.3737709436320797E-2</c:v>
                </c:pt>
                <c:pt idx="18" formatCode="0%">
                  <c:v>7.6129474509350953E-2</c:v>
                </c:pt>
                <c:pt idx="19" formatCode="0%">
                  <c:v>7.8521239582381108E-2</c:v>
                </c:pt>
                <c:pt idx="20" formatCode="0%">
                  <c:v>8.0913004655411264E-2</c:v>
                </c:pt>
                <c:pt idx="21" formatCode="0%">
                  <c:v>8.3304769728441405E-2</c:v>
                </c:pt>
                <c:pt idx="22" formatCode="0%">
                  <c:v>8.5696534801471561E-2</c:v>
                </c:pt>
                <c:pt idx="23" formatCode="0%">
                  <c:v>8.8088299874501716E-2</c:v>
                </c:pt>
                <c:pt idx="24" formatCode="0%">
                  <c:v>9.0480064947531871E-2</c:v>
                </c:pt>
                <c:pt idx="25" formatCode="0%">
                  <c:v>9.2871830020562013E-2</c:v>
                </c:pt>
                <c:pt idx="26" formatCode="0%">
                  <c:v>9.272823851953392E-2</c:v>
                </c:pt>
                <c:pt idx="27" formatCode="0%">
                  <c:v>9.2584647018505814E-2</c:v>
                </c:pt>
                <c:pt idx="28" formatCode="0%">
                  <c:v>9.2441055517477708E-2</c:v>
                </c:pt>
                <c:pt idx="29" formatCode="0%">
                  <c:v>9.2297464016449615E-2</c:v>
                </c:pt>
                <c:pt idx="30" formatCode="0%">
                  <c:v>9.2153872515421509E-2</c:v>
                </c:pt>
                <c:pt idx="31" formatCode="0%">
                  <c:v>9.2010281014393402E-2</c:v>
                </c:pt>
                <c:pt idx="32" formatCode="0%">
                  <c:v>9.186668951336531E-2</c:v>
                </c:pt>
                <c:pt idx="33" formatCode="0%">
                  <c:v>9.1723098012337204E-2</c:v>
                </c:pt>
                <c:pt idx="34" formatCode="0%">
                  <c:v>9.1579506511309111E-2</c:v>
                </c:pt>
                <c:pt idx="35" formatCode="0%">
                  <c:v>9.1435915010281005E-2</c:v>
                </c:pt>
                <c:pt idx="36" formatCode="0%">
                  <c:v>9.1292323509252898E-2</c:v>
                </c:pt>
                <c:pt idx="37" formatCode="0%">
                  <c:v>9.1148732008224806E-2</c:v>
                </c:pt>
                <c:pt idx="38" formatCode="0%">
                  <c:v>9.10051405071967E-2</c:v>
                </c:pt>
                <c:pt idx="39" formatCode="0%">
                  <c:v>9.0861549006168593E-2</c:v>
                </c:pt>
                <c:pt idx="40" formatCode="0%">
                  <c:v>9.0717957505140501E-2</c:v>
                </c:pt>
                <c:pt idx="41" formatCode="0%">
                  <c:v>9.0574366004112394E-2</c:v>
                </c:pt>
                <c:pt idx="42" formatCode="0%">
                  <c:v>9.0430774503084288E-2</c:v>
                </c:pt>
                <c:pt idx="43" formatCode="0%">
                  <c:v>9.0287183002056196E-2</c:v>
                </c:pt>
                <c:pt idx="44" formatCode="0%">
                  <c:v>9.0143591501028089E-2</c:v>
                </c:pt>
                <c:pt idx="45" formatCode="0%">
                  <c:v>8.9999999999999983E-2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939-42AF-A0D2-A02D0D892521}"/>
            </c:ext>
          </c:extLst>
        </c:ser>
        <c:ser>
          <c:idx val="8"/>
          <c:order val="8"/>
          <c:tx>
            <c:strRef>
              <c:f>'T3b. modal split passenger'!$A$11</c:f>
              <c:strCache>
                <c:ptCount val="1"/>
                <c:pt idx="0">
                  <c:v>linear trajectories</c:v>
                </c:pt>
              </c:strCache>
            </c:strRef>
          </c:tx>
          <c:spPr>
            <a:ln w="12700" cap="rnd">
              <a:solidFill>
                <a:schemeClr val="accent3">
                  <a:lumMod val="6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'T3b. modal split passenger'!$B$2:$AW$2</c:f>
              <c:strCache>
                <c:ptCount val="46"/>
                <c:pt idx="5">
                  <c:v>2010</c:v>
                </c:pt>
                <c:pt idx="15">
                  <c:v>2020</c:v>
                </c:pt>
                <c:pt idx="25">
                  <c:v>2030</c:v>
                </c:pt>
                <c:pt idx="35">
                  <c:v>2040</c:v>
                </c:pt>
                <c:pt idx="45">
                  <c:v>2050</c:v>
                </c:pt>
              </c:strCache>
            </c:strRef>
          </c:cat>
          <c:val>
            <c:numRef>
              <c:f>'T3b. modal split passenger'!$B$11:$AW$11</c:f>
              <c:numCache>
                <c:formatCode>General</c:formatCode>
                <c:ptCount val="46"/>
                <c:pt idx="15" formatCode="0%">
                  <c:v>6.604194556001787E-2</c:v>
                </c:pt>
                <c:pt idx="16" formatCode="0%">
                  <c:v>7.0284221189074333E-2</c:v>
                </c:pt>
                <c:pt idx="17" formatCode="0%">
                  <c:v>7.4526496818130811E-2</c:v>
                </c:pt>
                <c:pt idx="18" formatCode="0%">
                  <c:v>7.8768772447187274E-2</c:v>
                </c:pt>
                <c:pt idx="19" formatCode="0%">
                  <c:v>8.3011048076243751E-2</c:v>
                </c:pt>
                <c:pt idx="20" formatCode="0%">
                  <c:v>8.7253323705300229E-2</c:v>
                </c:pt>
                <c:pt idx="21" formatCode="0%">
                  <c:v>9.1495599334356692E-2</c:v>
                </c:pt>
                <c:pt idx="22" formatCode="0%">
                  <c:v>9.5737874963413169E-2</c:v>
                </c:pt>
                <c:pt idx="23" formatCode="0%">
                  <c:v>9.9980150592469647E-2</c:v>
                </c:pt>
                <c:pt idx="24" formatCode="0%">
                  <c:v>0.10422242622152611</c:v>
                </c:pt>
                <c:pt idx="25" formatCode="0%">
                  <c:v>0.1084647018505826</c:v>
                </c:pt>
                <c:pt idx="26" formatCode="0%">
                  <c:v>0.11042103523634336</c:v>
                </c:pt>
                <c:pt idx="27" formatCode="0%">
                  <c:v>0.11237736862210412</c:v>
                </c:pt>
                <c:pt idx="28" formatCode="0%">
                  <c:v>0.11433370200786487</c:v>
                </c:pt>
                <c:pt idx="29" formatCode="0%">
                  <c:v>0.11629003539362563</c:v>
                </c:pt>
                <c:pt idx="30" formatCode="0%">
                  <c:v>0.11824636877938639</c:v>
                </c:pt>
                <c:pt idx="31" formatCode="0%">
                  <c:v>0.12020270216514715</c:v>
                </c:pt>
                <c:pt idx="32" formatCode="0%">
                  <c:v>0.12215903555090792</c:v>
                </c:pt>
                <c:pt idx="33" formatCode="0%">
                  <c:v>0.12411536893666866</c:v>
                </c:pt>
                <c:pt idx="34" formatCode="0%">
                  <c:v>0.12607170232242942</c:v>
                </c:pt>
                <c:pt idx="35" formatCode="0%">
                  <c:v>0.12802803570819019</c:v>
                </c:pt>
                <c:pt idx="36" formatCode="0%">
                  <c:v>0.12998436909395095</c:v>
                </c:pt>
                <c:pt idx="37" formatCode="0%">
                  <c:v>0.13194070247971171</c:v>
                </c:pt>
                <c:pt idx="38" formatCode="0%">
                  <c:v>0.13389703586547247</c:v>
                </c:pt>
                <c:pt idx="39" formatCode="0%">
                  <c:v>0.13585336925123323</c:v>
                </c:pt>
                <c:pt idx="40" formatCode="0%">
                  <c:v>0.13780970263699399</c:v>
                </c:pt>
                <c:pt idx="41" formatCode="0%">
                  <c:v>0.13976603602275475</c:v>
                </c:pt>
                <c:pt idx="42" formatCode="0%">
                  <c:v>0.14172236940851551</c:v>
                </c:pt>
                <c:pt idx="43" formatCode="0%">
                  <c:v>0.14367870279427625</c:v>
                </c:pt>
                <c:pt idx="44" formatCode="0%">
                  <c:v>0.14563503618003704</c:v>
                </c:pt>
                <c:pt idx="45" formatCode="0%">
                  <c:v>0.14759136956579777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939-42AF-A0D2-A02D0D8925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2053008"/>
        <c:axId val="1962056368"/>
      </c:lineChart>
      <c:catAx>
        <c:axId val="1962053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962056368"/>
        <c:crosses val="autoZero"/>
        <c:auto val="1"/>
        <c:lblAlgn val="ctr"/>
        <c:lblOffset val="100"/>
        <c:noMultiLvlLbl val="0"/>
      </c:catAx>
      <c:valAx>
        <c:axId val="196205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962053008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'T3b. modal split passenger'!$A$33</c:f>
              <c:strCache>
                <c:ptCount val="1"/>
                <c:pt idx="0">
                  <c:v>Historic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strRef>
              <c:f>'T3b. modal split passenger'!$B$32:$AW$32</c:f>
              <c:strCache>
                <c:ptCount val="46"/>
                <c:pt idx="5">
                  <c:v>2010</c:v>
                </c:pt>
                <c:pt idx="15">
                  <c:v>2020</c:v>
                </c:pt>
                <c:pt idx="25">
                  <c:v>2030</c:v>
                </c:pt>
                <c:pt idx="35">
                  <c:v>2040</c:v>
                </c:pt>
                <c:pt idx="45">
                  <c:v>2050</c:v>
                </c:pt>
              </c:strCache>
            </c:strRef>
          </c:cat>
          <c:val>
            <c:numRef>
              <c:f>'T3b. modal split passenger'!$B$33:$AW$33</c:f>
              <c:numCache>
                <c:formatCode>0</c:formatCode>
                <c:ptCount val="46"/>
                <c:pt idx="0">
                  <c:v>361.3</c:v>
                </c:pt>
                <c:pt idx="1">
                  <c:v>376.4</c:v>
                </c:pt>
                <c:pt idx="2">
                  <c:v>392.2</c:v>
                </c:pt>
                <c:pt idx="3">
                  <c:v>383.8</c:v>
                </c:pt>
                <c:pt idx="4">
                  <c:v>361.8</c:v>
                </c:pt>
                <c:pt idx="5">
                  <c:v>377.3</c:v>
                </c:pt>
                <c:pt idx="6">
                  <c:v>408.5</c:v>
                </c:pt>
                <c:pt idx="7">
                  <c:v>402.1</c:v>
                </c:pt>
                <c:pt idx="8">
                  <c:v>406</c:v>
                </c:pt>
                <c:pt idx="9">
                  <c:v>425.6</c:v>
                </c:pt>
                <c:pt idx="10">
                  <c:v>451.8</c:v>
                </c:pt>
                <c:pt idx="11">
                  <c:v>492.6</c:v>
                </c:pt>
                <c:pt idx="12">
                  <c:v>538.4</c:v>
                </c:pt>
                <c:pt idx="13">
                  <c:v>571.79999999999995</c:v>
                </c:pt>
                <c:pt idx="14">
                  <c:v>585.5</c:v>
                </c:pt>
                <c:pt idx="15">
                  <c:v>177.9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72-4E15-A4B7-2EE4183A14D4}"/>
            </c:ext>
          </c:extLst>
        </c:ser>
        <c:ser>
          <c:idx val="1"/>
          <c:order val="1"/>
          <c:tx>
            <c:strRef>
              <c:f>'T3b. modal split passenger'!$A$34</c:f>
              <c:strCache>
                <c:ptCount val="1"/>
                <c:pt idx="0">
                  <c:v>benchmark 2030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dPt>
            <c:idx val="18"/>
            <c:marker>
              <c:symbol val="circle"/>
              <c:size val="5"/>
              <c:spPr>
                <a:solidFill>
                  <a:schemeClr val="accent2">
                    <a:lumMod val="60000"/>
                    <a:lumOff val="40000"/>
                  </a:schemeClr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CA7E-4CC3-992A-F0ED26276493}"/>
              </c:ext>
            </c:extLst>
          </c:dPt>
          <c:cat>
            <c:strRef>
              <c:f>'T3b. modal split passenger'!$B$32:$AW$32</c:f>
              <c:strCache>
                <c:ptCount val="46"/>
                <c:pt idx="5">
                  <c:v>2010</c:v>
                </c:pt>
                <c:pt idx="15">
                  <c:v>2020</c:v>
                </c:pt>
                <c:pt idx="25">
                  <c:v>2030</c:v>
                </c:pt>
                <c:pt idx="35">
                  <c:v>2040</c:v>
                </c:pt>
                <c:pt idx="45">
                  <c:v>2050</c:v>
                </c:pt>
              </c:strCache>
            </c:strRef>
          </c:cat>
          <c:val>
            <c:numRef>
              <c:f>'T3b. modal split passenger'!$B$34:$AW$34</c:f>
              <c:numCache>
                <c:formatCode>0.0%</c:formatCode>
                <c:ptCount val="46"/>
                <c:pt idx="20" formatCode="General">
                  <c:v>571</c:v>
                </c:pt>
                <c:pt idx="25" formatCode="General">
                  <c:v>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72-4E15-A4B7-2EE4183A14D4}"/>
            </c:ext>
          </c:extLst>
        </c:ser>
        <c:ser>
          <c:idx val="2"/>
          <c:order val="2"/>
          <c:tx>
            <c:strRef>
              <c:f>'T3b. modal split passenger'!$A$35</c:f>
              <c:strCache>
                <c:ptCount val="1"/>
                <c:pt idx="0">
                  <c:v>benchmark 2050 (min)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noFill/>
              </a:ln>
              <a:effectLst/>
            </c:spPr>
          </c:marker>
          <c:cat>
            <c:strRef>
              <c:f>'T3b. modal split passenger'!$B$32:$AW$32</c:f>
              <c:strCache>
                <c:ptCount val="46"/>
                <c:pt idx="5">
                  <c:v>2010</c:v>
                </c:pt>
                <c:pt idx="15">
                  <c:v>2020</c:v>
                </c:pt>
                <c:pt idx="25">
                  <c:v>2030</c:v>
                </c:pt>
                <c:pt idx="35">
                  <c:v>2040</c:v>
                </c:pt>
                <c:pt idx="45">
                  <c:v>2050</c:v>
                </c:pt>
              </c:strCache>
            </c:strRef>
          </c:cat>
          <c:val>
            <c:numRef>
              <c:f>'T3b. modal split passenger'!$B$35:$AW$35</c:f>
              <c:numCache>
                <c:formatCode>0.0%</c:formatCode>
                <c:ptCount val="46"/>
                <c:pt idx="45" formatCode="#,##0">
                  <c:v>846.69427934928808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72-4E15-A4B7-2EE4183A14D4}"/>
            </c:ext>
          </c:extLst>
        </c:ser>
        <c:ser>
          <c:idx val="3"/>
          <c:order val="3"/>
          <c:tx>
            <c:strRef>
              <c:f>'T3b. modal split passenger'!$A$36</c:f>
              <c:strCache>
                <c:ptCount val="1"/>
                <c:pt idx="0">
                  <c:v>benchmark 2050 (max)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cat>
            <c:strRef>
              <c:f>'T3b. modal split passenger'!$B$32:$AW$32</c:f>
              <c:strCache>
                <c:ptCount val="46"/>
                <c:pt idx="5">
                  <c:v>2010</c:v>
                </c:pt>
                <c:pt idx="15">
                  <c:v>2020</c:v>
                </c:pt>
                <c:pt idx="25">
                  <c:v>2030</c:v>
                </c:pt>
                <c:pt idx="35">
                  <c:v>2040</c:v>
                </c:pt>
                <c:pt idx="45">
                  <c:v>2050</c:v>
                </c:pt>
              </c:strCache>
            </c:strRef>
          </c:cat>
          <c:val>
            <c:numRef>
              <c:f>'T3b. modal split passenger'!$B$36:$AW$36</c:f>
              <c:numCache>
                <c:formatCode>0</c:formatCode>
                <c:ptCount val="46"/>
                <c:pt idx="45" formatCode="#,##0">
                  <c:v>715.76217429527458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72-4E15-A4B7-2EE4183A1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1913776"/>
        <c:axId val="1991914736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'T3b. modal split passenger'!$A$37</c15:sqref>
                        </c15:formulaRef>
                      </c:ext>
                    </c:extLst>
                    <c:strCache>
                      <c:ptCount val="1"/>
                      <c:pt idx="0">
                        <c:v>linear trajectory</c:v>
                      </c:pt>
                    </c:strCache>
                  </c:strRef>
                </c:tx>
                <c:spPr>
                  <a:ln w="12700" cap="rnd">
                    <a:solidFill>
                      <a:sysClr val="windowText" lastClr="000000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'T3b. modal split passenger'!$B$32:$AW$32</c15:sqref>
                        </c15:formulaRef>
                      </c:ext>
                    </c:extLst>
                    <c:strCache>
                      <c:ptCount val="46"/>
                      <c:pt idx="5">
                        <c:v>2010</c:v>
                      </c:pt>
                      <c:pt idx="15">
                        <c:v>2020</c:v>
                      </c:pt>
                      <c:pt idx="25">
                        <c:v>2030</c:v>
                      </c:pt>
                      <c:pt idx="35">
                        <c:v>2040</c:v>
                      </c:pt>
                      <c:pt idx="45">
                        <c:v>2050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'T3b. modal split passenger'!$B$37:$AW$37</c15:sqref>
                        </c15:formulaRef>
                      </c:ext>
                    </c:extLst>
                    <c:numCache>
                      <c:formatCode>0</c:formatCode>
                      <c:ptCount val="46"/>
                      <c:pt idx="15">
                        <c:v>177.90000000000009</c:v>
                      </c:pt>
                      <c:pt idx="16">
                        <c:v>256.52000000000004</c:v>
                      </c:pt>
                      <c:pt idx="17">
                        <c:v>335.14</c:v>
                      </c:pt>
                      <c:pt idx="18">
                        <c:v>413.75999999999993</c:v>
                      </c:pt>
                      <c:pt idx="19">
                        <c:v>492.37999999999988</c:v>
                      </c:pt>
                      <c:pt idx="20">
                        <c:v>570.99999999999977</c:v>
                      </c:pt>
                      <c:pt idx="21" formatCode="General">
                        <c:v>579.19999999999993</c:v>
                      </c:pt>
                      <c:pt idx="22" formatCode="General">
                        <c:v>587.4</c:v>
                      </c:pt>
                      <c:pt idx="23" formatCode="General">
                        <c:v>595.59999999999991</c:v>
                      </c:pt>
                      <c:pt idx="24" formatCode="General">
                        <c:v>603.79999999999995</c:v>
                      </c:pt>
                      <c:pt idx="25" formatCode="General">
                        <c:v>612</c:v>
                      </c:pt>
                      <c:pt idx="26" formatCode="General">
                        <c:v>623.73471396746447</c:v>
                      </c:pt>
                      <c:pt idx="27" formatCode="General">
                        <c:v>635.46942793492883</c:v>
                      </c:pt>
                      <c:pt idx="28" formatCode="General">
                        <c:v>647.2041419023933</c:v>
                      </c:pt>
                      <c:pt idx="29" formatCode="General">
                        <c:v>658.93885586985766</c:v>
                      </c:pt>
                      <c:pt idx="30" formatCode="General">
                        <c:v>670.67356983732202</c:v>
                      </c:pt>
                      <c:pt idx="31" formatCode="General">
                        <c:v>682.40828380478649</c:v>
                      </c:pt>
                      <c:pt idx="32" formatCode="General">
                        <c:v>694.14299777225085</c:v>
                      </c:pt>
                      <c:pt idx="33" formatCode="General">
                        <c:v>705.87771173971532</c:v>
                      </c:pt>
                      <c:pt idx="34" formatCode="General">
                        <c:v>717.61242570717968</c:v>
                      </c:pt>
                      <c:pt idx="35" formatCode="General">
                        <c:v>729.34713967464404</c:v>
                      </c:pt>
                      <c:pt idx="36" formatCode="General">
                        <c:v>741.08185364210851</c:v>
                      </c:pt>
                      <c:pt idx="37" formatCode="General">
                        <c:v>752.81656760957287</c:v>
                      </c:pt>
                      <c:pt idx="38" formatCode="General">
                        <c:v>764.55128157703734</c:v>
                      </c:pt>
                      <c:pt idx="39" formatCode="General">
                        <c:v>776.2859955445017</c:v>
                      </c:pt>
                      <c:pt idx="40" formatCode="General">
                        <c:v>788.02070951196606</c:v>
                      </c:pt>
                      <c:pt idx="41" formatCode="General">
                        <c:v>799.75542347943053</c:v>
                      </c:pt>
                      <c:pt idx="42" formatCode="General">
                        <c:v>811.49013744689489</c:v>
                      </c:pt>
                      <c:pt idx="43" formatCode="General">
                        <c:v>823.22485141435936</c:v>
                      </c:pt>
                      <c:pt idx="44" formatCode="General">
                        <c:v>834.95956538182372</c:v>
                      </c:pt>
                      <c:pt idx="45" formatCode="General">
                        <c:v>846.69427934928808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3D72-4E15-A4B7-2EE4183A14D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'T3b. modal split passenger'!$A$38</c15:sqref>
                        </c15:formulaRef>
                      </c:ext>
                    </c:extLst>
                    <c:strCache>
                      <c:ptCount val="1"/>
                      <c:pt idx="0">
                        <c:v>linear trajectory 2</c:v>
                      </c:pt>
                    </c:strCache>
                  </c:strRef>
                </c:tx>
                <c:spPr>
                  <a:ln w="12700" cap="rnd">
                    <a:solidFill>
                      <a:sysClr val="windowText" lastClr="000000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'T3b. modal split passenger'!$B$32:$AW$32</c15:sqref>
                        </c15:formulaRef>
                      </c:ext>
                    </c:extLst>
                    <c:strCache>
                      <c:ptCount val="46"/>
                      <c:pt idx="5">
                        <c:v>2010</c:v>
                      </c:pt>
                      <c:pt idx="15">
                        <c:v>2020</c:v>
                      </c:pt>
                      <c:pt idx="25">
                        <c:v>2030</c:v>
                      </c:pt>
                      <c:pt idx="35">
                        <c:v>2040</c:v>
                      </c:pt>
                      <c:pt idx="45">
                        <c:v>2050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'T3b. modal split passenger'!$B$38:$AW$38</c15:sqref>
                        </c15:formulaRef>
                      </c:ext>
                    </c:extLst>
                    <c:numCache>
                      <c:formatCode>General</c:formatCode>
                      <c:ptCount val="46"/>
                      <c:pt idx="25">
                        <c:v>612.00000000000011</c:v>
                      </c:pt>
                      <c:pt idx="26">
                        <c:v>617.18810871476376</c:v>
                      </c:pt>
                      <c:pt idx="27">
                        <c:v>622.37621742952751</c:v>
                      </c:pt>
                      <c:pt idx="28">
                        <c:v>627.56432614429127</c:v>
                      </c:pt>
                      <c:pt idx="29">
                        <c:v>632.75243485905503</c:v>
                      </c:pt>
                      <c:pt idx="30">
                        <c:v>637.94054357381867</c:v>
                      </c:pt>
                      <c:pt idx="31">
                        <c:v>643.12865228858243</c:v>
                      </c:pt>
                      <c:pt idx="32">
                        <c:v>648.31676100334619</c:v>
                      </c:pt>
                      <c:pt idx="33">
                        <c:v>653.50486971810994</c:v>
                      </c:pt>
                      <c:pt idx="34">
                        <c:v>658.69297843287359</c:v>
                      </c:pt>
                      <c:pt idx="35">
                        <c:v>663.88108714763734</c:v>
                      </c:pt>
                      <c:pt idx="36">
                        <c:v>669.0691958624011</c:v>
                      </c:pt>
                      <c:pt idx="37">
                        <c:v>674.25730457716486</c:v>
                      </c:pt>
                      <c:pt idx="38">
                        <c:v>679.4454132919285</c:v>
                      </c:pt>
                      <c:pt idx="39">
                        <c:v>684.63352200669226</c:v>
                      </c:pt>
                      <c:pt idx="40">
                        <c:v>689.82163072145602</c:v>
                      </c:pt>
                      <c:pt idx="41">
                        <c:v>695.00973943621966</c:v>
                      </c:pt>
                      <c:pt idx="42">
                        <c:v>700.19784815098342</c:v>
                      </c:pt>
                      <c:pt idx="43">
                        <c:v>705.38595686574718</c:v>
                      </c:pt>
                      <c:pt idx="44">
                        <c:v>710.57406558051093</c:v>
                      </c:pt>
                      <c:pt idx="45">
                        <c:v>715.76217429527458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D72-4E15-A4B7-2EE4183A14D4}"/>
                  </c:ext>
                </c:extLst>
              </c15:ser>
            </c15:filteredLineSeries>
          </c:ext>
        </c:extLst>
      </c:lineChart>
      <c:catAx>
        <c:axId val="199191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DK"/>
          </a:p>
        </c:txPr>
        <c:crossAx val="1991914736"/>
        <c:crosses val="autoZero"/>
        <c:auto val="1"/>
        <c:lblAlgn val="ctr"/>
        <c:lblOffset val="100"/>
        <c:noMultiLvlLbl val="0"/>
      </c:catAx>
      <c:valAx>
        <c:axId val="199191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en-IE"/>
                  <a:t>Gpkm</a:t>
                </a:r>
                <a:endParaRPr lang="en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DK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DK"/>
          </a:p>
        </c:txPr>
        <c:crossAx val="1991913776"/>
        <c:crosses val="autoZero"/>
        <c:crossBetween val="between"/>
        <c:majorUnit val="3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Segoe UI" panose="020B0502040204020203" pitchFamily="34" charset="0"/>
          <a:cs typeface="Segoe UI" panose="020B0502040204020203" pitchFamily="34" charset="0"/>
        </a:defRPr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/>
              <a:t>High-speed rail (in Gpkm)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'T3b. modal split passenger'!$A$72</c:f>
              <c:strCache>
                <c:ptCount val="1"/>
                <c:pt idx="0">
                  <c:v>Historic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strRef>
              <c:f>'T3b. modal split passenger'!$B$71:$AW$71</c:f>
              <c:strCache>
                <c:ptCount val="46"/>
                <c:pt idx="5">
                  <c:v>2010</c:v>
                </c:pt>
                <c:pt idx="15">
                  <c:v>2020</c:v>
                </c:pt>
                <c:pt idx="25">
                  <c:v>2030</c:v>
                </c:pt>
                <c:pt idx="35">
                  <c:v>2040</c:v>
                </c:pt>
                <c:pt idx="45">
                  <c:v>2050</c:v>
                </c:pt>
              </c:strCache>
            </c:strRef>
          </c:cat>
          <c:val>
            <c:numRef>
              <c:f>'T3b. modal split passenger'!$B$72:$AW$72</c:f>
              <c:numCache>
                <c:formatCode>0</c:formatCode>
                <c:ptCount val="46"/>
                <c:pt idx="0">
                  <c:v>79.662999999999997</c:v>
                </c:pt>
                <c:pt idx="1">
                  <c:v>83.411000000000001</c:v>
                </c:pt>
                <c:pt idx="2">
                  <c:v>87.302999999999997</c:v>
                </c:pt>
                <c:pt idx="3">
                  <c:v>96.610000000000014</c:v>
                </c:pt>
                <c:pt idx="4">
                  <c:v>103.086</c:v>
                </c:pt>
                <c:pt idx="5">
                  <c:v>104.85537834343801</c:v>
                </c:pt>
                <c:pt idx="6">
                  <c:v>103.69534000000002</c:v>
                </c:pt>
                <c:pt idx="7">
                  <c:v>105.43988</c:v>
                </c:pt>
                <c:pt idx="8">
                  <c:v>107.30405000000002</c:v>
                </c:pt>
                <c:pt idx="9">
                  <c:v>106.37969999999999</c:v>
                </c:pt>
                <c:pt idx="10">
                  <c:v>109.92359999999999</c:v>
                </c:pt>
                <c:pt idx="11">
                  <c:v>114.31549999999999</c:v>
                </c:pt>
                <c:pt idx="12">
                  <c:v>124.23454</c:v>
                </c:pt>
                <c:pt idx="13">
                  <c:v>126.07478999999999</c:v>
                </c:pt>
                <c:pt idx="14">
                  <c:v>132.00773999999998</c:v>
                </c:pt>
                <c:pt idx="15">
                  <c:v>69.37291585115598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79-4EFD-8784-658193A21C0C}"/>
            </c:ext>
          </c:extLst>
        </c:ser>
        <c:ser>
          <c:idx val="1"/>
          <c:order val="1"/>
          <c:tx>
            <c:strRef>
              <c:f>'T3b. modal split passenger'!$A$73</c:f>
              <c:strCache>
                <c:ptCount val="1"/>
                <c:pt idx="0">
                  <c:v>benchmark 2030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cat>
            <c:strRef>
              <c:f>'T3b. modal split passenger'!$B$71:$AW$71</c:f>
              <c:strCache>
                <c:ptCount val="46"/>
                <c:pt idx="5">
                  <c:v>2010</c:v>
                </c:pt>
                <c:pt idx="15">
                  <c:v>2020</c:v>
                </c:pt>
                <c:pt idx="25">
                  <c:v>2030</c:v>
                </c:pt>
                <c:pt idx="35">
                  <c:v>2040</c:v>
                </c:pt>
                <c:pt idx="45">
                  <c:v>2050</c:v>
                </c:pt>
              </c:strCache>
            </c:strRef>
          </c:cat>
          <c:val>
            <c:numRef>
              <c:f>'T3b. modal split passenger'!$B$73:$AW$73</c:f>
              <c:numCache>
                <c:formatCode>General</c:formatCode>
                <c:ptCount val="46"/>
                <c:pt idx="25">
                  <c:v>219.84719999999999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79-4EFD-8784-658193A21C0C}"/>
            </c:ext>
          </c:extLst>
        </c:ser>
        <c:ser>
          <c:idx val="2"/>
          <c:order val="2"/>
          <c:tx>
            <c:strRef>
              <c:f>'T3b. modal split passenger'!$A$74</c:f>
              <c:strCache>
                <c:ptCount val="1"/>
                <c:pt idx="0">
                  <c:v>benchmark 2050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noFill/>
              </a:ln>
              <a:effectLst/>
            </c:spPr>
          </c:marker>
          <c:cat>
            <c:strRef>
              <c:f>'T3b. modal split passenger'!$B$71:$AW$71</c:f>
              <c:strCache>
                <c:ptCount val="46"/>
                <c:pt idx="5">
                  <c:v>2010</c:v>
                </c:pt>
                <c:pt idx="15">
                  <c:v>2020</c:v>
                </c:pt>
                <c:pt idx="25">
                  <c:v>2030</c:v>
                </c:pt>
                <c:pt idx="35">
                  <c:v>2040</c:v>
                </c:pt>
                <c:pt idx="45">
                  <c:v>2050</c:v>
                </c:pt>
              </c:strCache>
            </c:strRef>
          </c:cat>
          <c:val>
            <c:numRef>
              <c:f>'T3b. modal split passenger'!$B$74:$AW$74</c:f>
              <c:numCache>
                <c:formatCode>General</c:formatCode>
                <c:ptCount val="46"/>
                <c:pt idx="45">
                  <c:v>329.77080000000001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79-4EFD-8784-658193A21C0C}"/>
            </c:ext>
          </c:extLst>
        </c:ser>
        <c:ser>
          <c:idx val="3"/>
          <c:order val="3"/>
          <c:tx>
            <c:strRef>
              <c:f>'T3b. modal split passenger'!$A$75</c:f>
              <c:strCache>
                <c:ptCount val="1"/>
                <c:pt idx="0">
                  <c:v>linear trajectory</c:v>
                </c:pt>
              </c:strCache>
            </c:strRef>
          </c:tx>
          <c:spPr>
            <a:ln w="12700" cap="rnd">
              <a:solidFill>
                <a:sysClr val="windowText" lastClr="00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'T3b. modal split passenger'!$B$71:$AW$71</c:f>
              <c:strCache>
                <c:ptCount val="46"/>
                <c:pt idx="5">
                  <c:v>2010</c:v>
                </c:pt>
                <c:pt idx="15">
                  <c:v>2020</c:v>
                </c:pt>
                <c:pt idx="25">
                  <c:v>2030</c:v>
                </c:pt>
                <c:pt idx="35">
                  <c:v>2040</c:v>
                </c:pt>
                <c:pt idx="45">
                  <c:v>2050</c:v>
                </c:pt>
              </c:strCache>
            </c:strRef>
          </c:cat>
          <c:val>
            <c:numRef>
              <c:f>'T3b. modal split passenger'!$B$75:$AW$75</c:f>
              <c:numCache>
                <c:formatCode>General</c:formatCode>
                <c:ptCount val="46"/>
                <c:pt idx="14" formatCode="0">
                  <c:v>132.00773999999998</c:v>
                </c:pt>
                <c:pt idx="15" formatCode="0">
                  <c:v>139.99314545454544</c:v>
                </c:pt>
                <c:pt idx="16" formatCode="0">
                  <c:v>147.9785509090909</c:v>
                </c:pt>
                <c:pt idx="17" formatCode="0">
                  <c:v>155.96395636363633</c:v>
                </c:pt>
                <c:pt idx="18" formatCode="0">
                  <c:v>163.94936181818179</c:v>
                </c:pt>
                <c:pt idx="19" formatCode="0">
                  <c:v>171.93476727272724</c:v>
                </c:pt>
                <c:pt idx="20" formatCode="0">
                  <c:v>179.9201727272727</c:v>
                </c:pt>
                <c:pt idx="21" formatCode="0">
                  <c:v>187.90557818181816</c:v>
                </c:pt>
                <c:pt idx="22" formatCode="0">
                  <c:v>195.89098363636361</c:v>
                </c:pt>
                <c:pt idx="23" formatCode="0">
                  <c:v>203.87638909090907</c:v>
                </c:pt>
                <c:pt idx="24" formatCode="0">
                  <c:v>211.86179454545453</c:v>
                </c:pt>
                <c:pt idx="25" formatCode="0">
                  <c:v>219.84719999999999</c:v>
                </c:pt>
                <c:pt idx="26">
                  <c:v>225.34337999999994</c:v>
                </c:pt>
                <c:pt idx="27">
                  <c:v>230.83955999999995</c:v>
                </c:pt>
                <c:pt idx="28">
                  <c:v>236.33573999999996</c:v>
                </c:pt>
                <c:pt idx="29">
                  <c:v>241.83191999999997</c:v>
                </c:pt>
                <c:pt idx="30">
                  <c:v>247.32809999999995</c:v>
                </c:pt>
                <c:pt idx="31">
                  <c:v>252.82427999999996</c:v>
                </c:pt>
                <c:pt idx="32">
                  <c:v>258.32045999999997</c:v>
                </c:pt>
                <c:pt idx="33">
                  <c:v>263.81663999999995</c:v>
                </c:pt>
                <c:pt idx="34">
                  <c:v>269.31281999999999</c:v>
                </c:pt>
                <c:pt idx="35">
                  <c:v>274.80899999999997</c:v>
                </c:pt>
                <c:pt idx="36">
                  <c:v>280.30517999999995</c:v>
                </c:pt>
                <c:pt idx="37">
                  <c:v>285.80135999999993</c:v>
                </c:pt>
                <c:pt idx="38">
                  <c:v>291.29753999999997</c:v>
                </c:pt>
                <c:pt idx="39">
                  <c:v>296.79371999999995</c:v>
                </c:pt>
                <c:pt idx="40">
                  <c:v>302.28989999999999</c:v>
                </c:pt>
                <c:pt idx="41">
                  <c:v>307.78607999999997</c:v>
                </c:pt>
                <c:pt idx="42">
                  <c:v>313.28225999999995</c:v>
                </c:pt>
                <c:pt idx="43">
                  <c:v>318.77843999999993</c:v>
                </c:pt>
                <c:pt idx="44">
                  <c:v>324.27461999999997</c:v>
                </c:pt>
                <c:pt idx="45">
                  <c:v>329.77079999999995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79-4EFD-8784-658193A21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0863056"/>
        <c:axId val="1960864016"/>
      </c:lineChart>
      <c:catAx>
        <c:axId val="196086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960864016"/>
        <c:crosses val="autoZero"/>
        <c:auto val="1"/>
        <c:lblAlgn val="ctr"/>
        <c:lblOffset val="100"/>
        <c:noMultiLvlLbl val="0"/>
      </c:catAx>
      <c:valAx>
        <c:axId val="1960864016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960863056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/>
              <a:t>Passenger cars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'T4. GHG intensity'!$A$3</c:f>
              <c:strCache>
                <c:ptCount val="1"/>
                <c:pt idx="0">
                  <c:v>Historic - NEDC</c:v>
                </c:pt>
              </c:strCache>
            </c:strRef>
          </c:tx>
          <c:spPr>
            <a:ln w="19050" cap="rnd">
              <a:solidFill>
                <a:srgbClr val="3D5584"/>
              </a:solidFill>
              <a:round/>
            </a:ln>
            <a:effectLst/>
          </c:spPr>
          <c:marker>
            <c:symbol val="none"/>
          </c:marker>
          <c:cat>
            <c:strRef>
              <c:f>'T4. GHG intensity'!$D$2:$AG$2</c:f>
              <c:strCache>
                <c:ptCount val="30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29">
                  <c:v>2035</c:v>
                </c:pt>
              </c:strCache>
            </c:strRef>
          </c:cat>
          <c:val>
            <c:numRef>
              <c:f>'T4. GHG intensity'!$D$3:$AG$3</c:f>
              <c:numCache>
                <c:formatCode>0</c:formatCode>
                <c:ptCount val="30"/>
                <c:pt idx="0">
                  <c:v>162.4</c:v>
                </c:pt>
                <c:pt idx="1">
                  <c:v>161.30000000000001</c:v>
                </c:pt>
                <c:pt idx="2">
                  <c:v>158.69999999999999</c:v>
                </c:pt>
                <c:pt idx="3">
                  <c:v>153.5</c:v>
                </c:pt>
                <c:pt idx="4">
                  <c:v>145.69999999999999</c:v>
                </c:pt>
                <c:pt idx="5">
                  <c:v>140.30000000000001</c:v>
                </c:pt>
                <c:pt idx="6">
                  <c:v>135.69999999999999</c:v>
                </c:pt>
                <c:pt idx="7">
                  <c:v>132.19999999999999</c:v>
                </c:pt>
                <c:pt idx="8">
                  <c:v>126.7</c:v>
                </c:pt>
                <c:pt idx="9">
                  <c:v>123.4</c:v>
                </c:pt>
                <c:pt idx="10">
                  <c:v>119.5</c:v>
                </c:pt>
                <c:pt idx="11">
                  <c:v>118.1</c:v>
                </c:pt>
                <c:pt idx="12">
                  <c:v>118.5</c:v>
                </c:pt>
                <c:pt idx="13">
                  <c:v>120.8</c:v>
                </c:pt>
                <c:pt idx="14">
                  <c:v>122.3</c:v>
                </c:pt>
                <c:pt idx="15">
                  <c:v>107.5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16-4C9E-9483-0FEC25E25D03}"/>
            </c:ext>
          </c:extLst>
        </c:ser>
        <c:ser>
          <c:idx val="1"/>
          <c:order val="1"/>
          <c:tx>
            <c:strRef>
              <c:f>'T4. GHG intensity'!$A$5</c:f>
              <c:strCache>
                <c:ptCount val="1"/>
                <c:pt idx="0">
                  <c:v>Previous objectives (NEDC)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98C9EE"/>
              </a:solidFill>
              <a:ln w="9525">
                <a:noFill/>
              </a:ln>
              <a:effectLst/>
            </c:spPr>
          </c:marker>
          <c:cat>
            <c:strRef>
              <c:f>'T4. GHG intensity'!$D$2:$AG$2</c:f>
              <c:strCache>
                <c:ptCount val="30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29">
                  <c:v>2035</c:v>
                </c:pt>
              </c:strCache>
            </c:strRef>
          </c:cat>
          <c:val>
            <c:numRef>
              <c:f>'T4. GHG intensity'!$D$5:$AG$5</c:f>
              <c:numCache>
                <c:formatCode>0</c:formatCode>
                <c:ptCount val="30"/>
                <c:pt idx="10">
                  <c:v>130</c:v>
                </c:pt>
                <c:pt idx="15">
                  <c:v>95</c:v>
                </c:pt>
                <c:pt idx="20">
                  <c:v>80.8</c:v>
                </c:pt>
                <c:pt idx="25">
                  <c:v>59.4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16-4C9E-9483-0FEC25E25D03}"/>
            </c:ext>
          </c:extLst>
        </c:ser>
        <c:ser>
          <c:idx val="2"/>
          <c:order val="2"/>
          <c:tx>
            <c:strRef>
              <c:f>'T4. GHG intensity'!$A$6</c:f>
              <c:strCache>
                <c:ptCount val="1"/>
                <c:pt idx="0">
                  <c:v>New objectives (WLTP)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noFill/>
              </a:ln>
              <a:effectLst/>
            </c:spPr>
          </c:marker>
          <c:cat>
            <c:strRef>
              <c:f>'T4. GHG intensity'!$D$2:$AG$2</c:f>
              <c:strCache>
                <c:ptCount val="30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29">
                  <c:v>2035</c:v>
                </c:pt>
              </c:strCache>
            </c:strRef>
          </c:cat>
          <c:val>
            <c:numRef>
              <c:f>'T4. GHG intensity'!$D$6:$AG$6</c:f>
              <c:numCache>
                <c:formatCode>0%</c:formatCode>
                <c:ptCount val="30"/>
                <c:pt idx="20" formatCode="General">
                  <c:v>93.3</c:v>
                </c:pt>
                <c:pt idx="25" formatCode="0">
                  <c:v>49</c:v>
                </c:pt>
                <c:pt idx="29" formatCode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16-4C9E-9483-0FEC25E25D03}"/>
            </c:ext>
          </c:extLst>
        </c:ser>
        <c:ser>
          <c:idx val="3"/>
          <c:order val="3"/>
          <c:tx>
            <c:strRef>
              <c:f>'T4. GHG intensity'!$A$4</c:f>
              <c:strCache>
                <c:ptCount val="1"/>
                <c:pt idx="0">
                  <c:v>Historic - WLTP</c:v>
                </c:pt>
              </c:strCache>
            </c:strRef>
          </c:tx>
          <c:spPr>
            <a:ln w="19050" cap="rnd">
              <a:solidFill>
                <a:srgbClr val="B487C7"/>
              </a:solidFill>
              <a:round/>
            </a:ln>
            <a:effectLst/>
          </c:spPr>
          <c:marker>
            <c:symbol val="none"/>
          </c:marker>
          <c:cat>
            <c:strRef>
              <c:f>'T4. GHG intensity'!$D$2:$AG$2</c:f>
              <c:strCache>
                <c:ptCount val="30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29">
                  <c:v>2035</c:v>
                </c:pt>
              </c:strCache>
            </c:strRef>
          </c:cat>
          <c:val>
            <c:numRef>
              <c:f>'T4. GHG intensity'!$D$4:$AG$4</c:f>
              <c:numCache>
                <c:formatCode>0</c:formatCode>
                <c:ptCount val="30"/>
                <c:pt idx="15">
                  <c:v>130.30000000000001</c:v>
                </c:pt>
                <c:pt idx="16">
                  <c:v>114.1</c:v>
                </c:pt>
                <c:pt idx="17">
                  <c:v>108.2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65-4C76-8777-F52F4B891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0859216"/>
        <c:axId val="1960863536"/>
      </c:lineChart>
      <c:catAx>
        <c:axId val="1960859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960863536"/>
        <c:crosses val="autoZero"/>
        <c:auto val="1"/>
        <c:lblAlgn val="ctr"/>
        <c:lblOffset val="100"/>
        <c:noMultiLvlLbl val="0"/>
      </c:catAx>
      <c:valAx>
        <c:axId val="19608635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/>
                  <a:t>g CO2/km</a:t>
                </a:r>
                <a:endParaRPr lang="en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960859216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/>
              <a:t>Vans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'T4. GHG intensity'!$A$35</c:f>
              <c:strCache>
                <c:ptCount val="1"/>
                <c:pt idx="0">
                  <c:v>Historic - NEDC</c:v>
                </c:pt>
              </c:strCache>
            </c:strRef>
          </c:tx>
          <c:spPr>
            <a:ln w="19050" cap="rnd">
              <a:solidFill>
                <a:srgbClr val="3D5584"/>
              </a:solidFill>
              <a:round/>
            </a:ln>
            <a:effectLst/>
          </c:spPr>
          <c:marker>
            <c:symbol val="none"/>
          </c:marker>
          <c:cat>
            <c:strRef>
              <c:f>'T4. GHG intensity'!$K$34:$AG$34</c:f>
              <c:strCache>
                <c:ptCount val="23"/>
                <c:pt idx="3">
                  <c:v>2015</c:v>
                </c:pt>
                <c:pt idx="8">
                  <c:v>2020</c:v>
                </c:pt>
                <c:pt idx="13">
                  <c:v>2025</c:v>
                </c:pt>
                <c:pt idx="18">
                  <c:v>2030</c:v>
                </c:pt>
                <c:pt idx="22">
                  <c:v>2035</c:v>
                </c:pt>
              </c:strCache>
            </c:strRef>
          </c:cat>
          <c:val>
            <c:numRef>
              <c:f>'T4. GHG intensity'!$K$35:$AG$35</c:f>
              <c:numCache>
                <c:formatCode>General</c:formatCode>
                <c:ptCount val="23"/>
                <c:pt idx="0">
                  <c:v>180.2</c:v>
                </c:pt>
                <c:pt idx="1">
                  <c:v>173.3</c:v>
                </c:pt>
                <c:pt idx="2">
                  <c:v>169.1</c:v>
                </c:pt>
                <c:pt idx="3">
                  <c:v>168.3</c:v>
                </c:pt>
                <c:pt idx="4">
                  <c:v>163.69999999999999</c:v>
                </c:pt>
                <c:pt idx="5">
                  <c:v>156.1</c:v>
                </c:pt>
                <c:pt idx="6">
                  <c:v>157.9</c:v>
                </c:pt>
                <c:pt idx="7">
                  <c:v>158</c:v>
                </c:pt>
                <c:pt idx="8">
                  <c:v>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FE-41D0-B4DE-A74337209F04}"/>
            </c:ext>
          </c:extLst>
        </c:ser>
        <c:ser>
          <c:idx val="1"/>
          <c:order val="1"/>
          <c:tx>
            <c:strRef>
              <c:f>'T4. GHG intensity'!$A$37</c:f>
              <c:strCache>
                <c:ptCount val="1"/>
                <c:pt idx="0">
                  <c:v>Previous objectives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noFill/>
              </a:ln>
              <a:effectLst/>
            </c:spPr>
          </c:marker>
          <c:cat>
            <c:strRef>
              <c:f>'T4. GHG intensity'!$K$34:$AG$34</c:f>
              <c:strCache>
                <c:ptCount val="23"/>
                <c:pt idx="3">
                  <c:v>2015</c:v>
                </c:pt>
                <c:pt idx="8">
                  <c:v>2020</c:v>
                </c:pt>
                <c:pt idx="13">
                  <c:v>2025</c:v>
                </c:pt>
                <c:pt idx="18">
                  <c:v>2030</c:v>
                </c:pt>
                <c:pt idx="22">
                  <c:v>2035</c:v>
                </c:pt>
              </c:strCache>
            </c:strRef>
          </c:cat>
          <c:val>
            <c:numRef>
              <c:f>'T4. GHG intensity'!$K$37:$AG$37</c:f>
              <c:numCache>
                <c:formatCode>General</c:formatCode>
                <c:ptCount val="23"/>
                <c:pt idx="5">
                  <c:v>175</c:v>
                </c:pt>
                <c:pt idx="8">
                  <c:v>147</c:v>
                </c:pt>
                <c:pt idx="13">
                  <c:v>125</c:v>
                </c:pt>
                <c:pt idx="18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FE-41D0-B4DE-A74337209F04}"/>
            </c:ext>
          </c:extLst>
        </c:ser>
        <c:ser>
          <c:idx val="2"/>
          <c:order val="2"/>
          <c:tx>
            <c:strRef>
              <c:f>'T4. GHG intensity'!$A$38</c:f>
              <c:strCache>
                <c:ptCount val="1"/>
                <c:pt idx="0">
                  <c:v>New objectives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noFill/>
              </a:ln>
              <a:effectLst/>
            </c:spPr>
          </c:marker>
          <c:cat>
            <c:strRef>
              <c:f>'T4. GHG intensity'!$K$34:$AG$34</c:f>
              <c:strCache>
                <c:ptCount val="23"/>
                <c:pt idx="3">
                  <c:v>2015</c:v>
                </c:pt>
                <c:pt idx="8">
                  <c:v>2020</c:v>
                </c:pt>
                <c:pt idx="13">
                  <c:v>2025</c:v>
                </c:pt>
                <c:pt idx="18">
                  <c:v>2030</c:v>
                </c:pt>
                <c:pt idx="22">
                  <c:v>2035</c:v>
                </c:pt>
              </c:strCache>
            </c:strRef>
          </c:cat>
          <c:val>
            <c:numRef>
              <c:f>'T4. GHG intensity'!$K$38:$AG$38</c:f>
              <c:numCache>
                <c:formatCode>0%</c:formatCode>
                <c:ptCount val="23"/>
                <c:pt idx="18" formatCode="0">
                  <c:v>77.5</c:v>
                </c:pt>
                <c:pt idx="22" formatCode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FE-41D0-B4DE-A74337209F04}"/>
            </c:ext>
          </c:extLst>
        </c:ser>
        <c:ser>
          <c:idx val="3"/>
          <c:order val="3"/>
          <c:tx>
            <c:strRef>
              <c:f>'T4. GHG intensity'!$A$36</c:f>
              <c:strCache>
                <c:ptCount val="1"/>
                <c:pt idx="0">
                  <c:v>Historic - WLTP</c:v>
                </c:pt>
              </c:strCache>
            </c:strRef>
          </c:tx>
          <c:spPr>
            <a:ln w="19050" cap="rnd">
              <a:solidFill>
                <a:srgbClr val="B487C7"/>
              </a:solidFill>
              <a:round/>
            </a:ln>
            <a:effectLst/>
          </c:spPr>
          <c:marker>
            <c:symbol val="none"/>
          </c:marker>
          <c:cat>
            <c:strRef>
              <c:f>'T4. GHG intensity'!$K$34:$AG$34</c:f>
              <c:strCache>
                <c:ptCount val="23"/>
                <c:pt idx="3">
                  <c:v>2015</c:v>
                </c:pt>
                <c:pt idx="8">
                  <c:v>2020</c:v>
                </c:pt>
                <c:pt idx="13">
                  <c:v>2025</c:v>
                </c:pt>
                <c:pt idx="18">
                  <c:v>2030</c:v>
                </c:pt>
                <c:pt idx="22">
                  <c:v>2035</c:v>
                </c:pt>
              </c:strCache>
            </c:strRef>
          </c:cat>
          <c:val>
            <c:numRef>
              <c:f>'T4. GHG intensity'!$K$36:$AG$36</c:f>
              <c:numCache>
                <c:formatCode>General</c:formatCode>
                <c:ptCount val="23"/>
                <c:pt idx="7">
                  <c:v>188</c:v>
                </c:pt>
                <c:pt idx="8">
                  <c:v>200</c:v>
                </c:pt>
                <c:pt idx="9">
                  <c:v>194</c:v>
                </c:pt>
                <c:pt idx="10">
                  <c:v>185.3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7B-45F4-A46D-A5E55D1B2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2264448"/>
        <c:axId val="1782265408"/>
      </c:lineChart>
      <c:catAx>
        <c:axId val="1782264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782265408"/>
        <c:crosses val="autoZero"/>
        <c:auto val="1"/>
        <c:lblAlgn val="ctr"/>
        <c:lblOffset val="100"/>
        <c:noMultiLvlLbl val="0"/>
      </c:catAx>
      <c:valAx>
        <c:axId val="17822654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/>
                  <a:t>g CO2</a:t>
                </a:r>
                <a:r>
                  <a:rPr lang="en-IE" baseline="0"/>
                  <a:t>/km</a:t>
                </a:r>
                <a:endParaRPr lang="en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782264448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'T4. GHG intensity'!$A$68</c:f>
              <c:strCache>
                <c:ptCount val="1"/>
                <c:pt idx="0">
                  <c:v>Historic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cat>
            <c:strRef>
              <c:f>'T4. GHG intensity'!$R$67:$AL$67</c:f>
              <c:strCache>
                <c:ptCount val="21"/>
                <c:pt idx="1">
                  <c:v>2020</c:v>
                </c:pt>
                <c:pt idx="6">
                  <c:v>2025</c:v>
                </c:pt>
                <c:pt idx="11">
                  <c:v>2030</c:v>
                </c:pt>
                <c:pt idx="15">
                  <c:v>2035</c:v>
                </c:pt>
                <c:pt idx="20">
                  <c:v>2040</c:v>
                </c:pt>
              </c:strCache>
            </c:strRef>
          </c:cat>
          <c:val>
            <c:numRef>
              <c:f>'T4. GHG intensity'!$R$68:$AL$68</c:f>
              <c:numCache>
                <c:formatCode>General</c:formatCode>
                <c:ptCount val="21"/>
                <c:pt idx="0">
                  <c:v>52.75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87-4F6B-8A3F-8CF9BB53942D}"/>
            </c:ext>
          </c:extLst>
        </c:ser>
        <c:ser>
          <c:idx val="1"/>
          <c:order val="1"/>
          <c:tx>
            <c:strRef>
              <c:f>'T4. GHG intensity'!$A$69</c:f>
              <c:strCache>
                <c:ptCount val="1"/>
                <c:pt idx="0">
                  <c:v>Previous objectives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cat>
            <c:strRef>
              <c:f>'T4. GHG intensity'!$R$67:$AL$67</c:f>
              <c:strCache>
                <c:ptCount val="21"/>
                <c:pt idx="1">
                  <c:v>2020</c:v>
                </c:pt>
                <c:pt idx="6">
                  <c:v>2025</c:v>
                </c:pt>
                <c:pt idx="11">
                  <c:v>2030</c:v>
                </c:pt>
                <c:pt idx="15">
                  <c:v>2035</c:v>
                </c:pt>
                <c:pt idx="20">
                  <c:v>2040</c:v>
                </c:pt>
              </c:strCache>
            </c:strRef>
          </c:cat>
          <c:val>
            <c:numRef>
              <c:f>'T4. GHG intensity'!$R$69:$AL$69</c:f>
              <c:numCache>
                <c:formatCode>General</c:formatCode>
                <c:ptCount val="21"/>
                <c:pt idx="6">
                  <c:v>44.837499999999999</c:v>
                </c:pt>
                <c:pt idx="11">
                  <c:v>36.924999999999997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87-4F6B-8A3F-8CF9BB53942D}"/>
            </c:ext>
          </c:extLst>
        </c:ser>
        <c:ser>
          <c:idx val="2"/>
          <c:order val="2"/>
          <c:tx>
            <c:strRef>
              <c:f>'T4. GHG intensity'!$A$70</c:f>
              <c:strCache>
                <c:ptCount val="1"/>
                <c:pt idx="0">
                  <c:v>New objectives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noFill/>
              </a:ln>
              <a:effectLst/>
            </c:spPr>
          </c:marker>
          <c:cat>
            <c:strRef>
              <c:f>'T4. GHG intensity'!$R$67:$AL$67</c:f>
              <c:strCache>
                <c:ptCount val="21"/>
                <c:pt idx="1">
                  <c:v>2020</c:v>
                </c:pt>
                <c:pt idx="6">
                  <c:v>2025</c:v>
                </c:pt>
                <c:pt idx="11">
                  <c:v>2030</c:v>
                </c:pt>
                <c:pt idx="15">
                  <c:v>2035</c:v>
                </c:pt>
                <c:pt idx="20">
                  <c:v>2040</c:v>
                </c:pt>
              </c:strCache>
            </c:strRef>
          </c:cat>
          <c:val>
            <c:numRef>
              <c:f>'T4. GHG intensity'!$R$70:$AL$70</c:f>
              <c:numCache>
                <c:formatCode>0%</c:formatCode>
                <c:ptCount val="21"/>
                <c:pt idx="6" formatCode="General">
                  <c:v>44.837499999999999</c:v>
                </c:pt>
                <c:pt idx="11" formatCode="0">
                  <c:v>29.012500000000003</c:v>
                </c:pt>
                <c:pt idx="15" formatCode="0">
                  <c:v>18.462499999999999</c:v>
                </c:pt>
                <c:pt idx="20" formatCode="General">
                  <c:v>5.2750000000000004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87-4F6B-8A3F-8CF9BB539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3468192"/>
        <c:axId val="273464832"/>
      </c:lineChart>
      <c:catAx>
        <c:axId val="27346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73464832"/>
        <c:crosses val="autoZero"/>
        <c:auto val="1"/>
        <c:lblAlgn val="ctr"/>
        <c:lblOffset val="100"/>
        <c:noMultiLvlLbl val="0"/>
      </c:catAx>
      <c:valAx>
        <c:axId val="273464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73468192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100" b="1"/>
              <a:t>Passenger cars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DK"/>
        </a:p>
      </c:txPr>
    </c:title>
    <c:autoTitleDeleted val="0"/>
    <c:plotArea>
      <c:layout>
        <c:manualLayout>
          <c:layoutTarget val="inner"/>
          <c:xMode val="edge"/>
          <c:yMode val="edge"/>
          <c:x val="0.16740104517982515"/>
          <c:y val="0.15453520839142165"/>
          <c:w val="0.79259796880147182"/>
          <c:h val="0.74826834641711271"/>
        </c:manualLayout>
      </c:layout>
      <c:lineChart>
        <c:grouping val="standard"/>
        <c:varyColors val="0"/>
        <c:ser>
          <c:idx val="0"/>
          <c:order val="0"/>
          <c:tx>
            <c:strRef>
              <c:f>'T5a&amp;b. ZEV shares'!$A$25</c:f>
              <c:strCache>
                <c:ptCount val="1"/>
                <c:pt idx="0">
                  <c:v>ZEV share</c:v>
                </c:pt>
              </c:strCache>
            </c:strRef>
          </c:tx>
          <c:spPr>
            <a:ln w="25400" cap="rnd">
              <a:solidFill>
                <a:srgbClr val="3D5584"/>
              </a:solidFill>
              <a:round/>
            </a:ln>
            <a:effectLst/>
          </c:spPr>
          <c:marker>
            <c:symbol val="none"/>
          </c:marker>
          <c:cat>
            <c:strRef>
              <c:f>'T5a&amp;b. ZEV shares'!$I$24:$AG$24</c:f>
              <c:strCache>
                <c:ptCount val="25"/>
                <c:pt idx="0">
                  <c:v>2010</c:v>
                </c:pt>
                <c:pt idx="5">
                  <c:v>2015</c:v>
                </c:pt>
                <c:pt idx="10">
                  <c:v>2020</c:v>
                </c:pt>
                <c:pt idx="15">
                  <c:v>2025</c:v>
                </c:pt>
                <c:pt idx="20">
                  <c:v>2030</c:v>
                </c:pt>
                <c:pt idx="24">
                  <c:v>2035</c:v>
                </c:pt>
              </c:strCache>
            </c:strRef>
          </c:cat>
          <c:val>
            <c:numRef>
              <c:f>'T5a&amp;b. ZEV shares'!$I$25:$AG$25</c:f>
              <c:numCache>
                <c:formatCode>0%</c:formatCode>
                <c:ptCount val="25"/>
                <c:pt idx="0">
                  <c:v>1E-4</c:v>
                </c:pt>
                <c:pt idx="1">
                  <c:v>7.000000000000001E-4</c:v>
                </c:pt>
                <c:pt idx="2">
                  <c:v>1.2999999999999999E-3</c:v>
                </c:pt>
                <c:pt idx="3">
                  <c:v>2.2000000000000001E-3</c:v>
                </c:pt>
                <c:pt idx="4">
                  <c:v>3.3E-3</c:v>
                </c:pt>
                <c:pt idx="5">
                  <c:v>4.5999999999999999E-3</c:v>
                </c:pt>
                <c:pt idx="6">
                  <c:v>4.6999999999999993E-3</c:v>
                </c:pt>
                <c:pt idx="7">
                  <c:v>6.8000000000000005E-3</c:v>
                </c:pt>
                <c:pt idx="8">
                  <c:v>1.06E-2</c:v>
                </c:pt>
                <c:pt idx="9">
                  <c:v>1.9E-2</c:v>
                </c:pt>
                <c:pt idx="10">
                  <c:v>5.3900000000000003E-2</c:v>
                </c:pt>
                <c:pt idx="11">
                  <c:v>8.8700000000000001E-2</c:v>
                </c:pt>
                <c:pt idx="12">
                  <c:v>0.1341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4E-4882-B2B0-9A520572A556}"/>
            </c:ext>
          </c:extLst>
        </c:ser>
        <c:ser>
          <c:idx val="1"/>
          <c:order val="1"/>
          <c:tx>
            <c:strRef>
              <c:f>'T5a&amp;b. ZEV shares'!$A$26</c:f>
              <c:strCache>
                <c:ptCount val="1"/>
                <c:pt idx="0">
                  <c:v>LEV share</c:v>
                </c:pt>
              </c:strCache>
            </c:strRef>
          </c:tx>
          <c:spPr>
            <a:ln w="25400" cap="rnd">
              <a:solidFill>
                <a:srgbClr val="B487C7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'T5a&amp;b. ZEV shares'!$I$24:$AG$24</c:f>
              <c:strCache>
                <c:ptCount val="25"/>
                <c:pt idx="0">
                  <c:v>2010</c:v>
                </c:pt>
                <c:pt idx="5">
                  <c:v>2015</c:v>
                </c:pt>
                <c:pt idx="10">
                  <c:v>2020</c:v>
                </c:pt>
                <c:pt idx="15">
                  <c:v>2025</c:v>
                </c:pt>
                <c:pt idx="20">
                  <c:v>2030</c:v>
                </c:pt>
                <c:pt idx="24">
                  <c:v>2035</c:v>
                </c:pt>
              </c:strCache>
            </c:strRef>
          </c:cat>
          <c:val>
            <c:numRef>
              <c:f>'T5a&amp;b. ZEV shares'!$I$26:$AG$26</c:f>
              <c:numCache>
                <c:formatCode>0%</c:formatCode>
                <c:ptCount val="25"/>
                <c:pt idx="0">
                  <c:v>4.5700000000000005E-2</c:v>
                </c:pt>
                <c:pt idx="1">
                  <c:v>2.5399999999999999E-2</c:v>
                </c:pt>
                <c:pt idx="2">
                  <c:v>3.85E-2</c:v>
                </c:pt>
                <c:pt idx="3">
                  <c:v>3.4700000000000002E-2</c:v>
                </c:pt>
                <c:pt idx="4">
                  <c:v>3.5799999999999998E-2</c:v>
                </c:pt>
                <c:pt idx="5">
                  <c:v>3.7699999999999997E-2</c:v>
                </c:pt>
                <c:pt idx="6">
                  <c:v>3.2899999999999999E-2</c:v>
                </c:pt>
                <c:pt idx="7">
                  <c:v>3.6999999999999998E-2</c:v>
                </c:pt>
                <c:pt idx="8">
                  <c:v>3.6699999999999997E-2</c:v>
                </c:pt>
                <c:pt idx="9">
                  <c:v>4.8100000000000004E-2</c:v>
                </c:pt>
                <c:pt idx="10">
                  <c:v>0.1255</c:v>
                </c:pt>
                <c:pt idx="11">
                  <c:v>0.19919999999999999</c:v>
                </c:pt>
                <c:pt idx="12">
                  <c:v>0.2596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4E-4882-B2B0-9A520572A556}"/>
            </c:ext>
          </c:extLst>
        </c:ser>
        <c:ser>
          <c:idx val="2"/>
          <c:order val="2"/>
          <c:tx>
            <c:strRef>
              <c:f>'T5a&amp;b. ZEV shares'!$A$27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cat>
            <c:strRef>
              <c:f>'T5a&amp;b. ZEV shares'!$I$24:$AG$24</c:f>
              <c:strCache>
                <c:ptCount val="25"/>
                <c:pt idx="0">
                  <c:v>2010</c:v>
                </c:pt>
                <c:pt idx="5">
                  <c:v>2015</c:v>
                </c:pt>
                <c:pt idx="10">
                  <c:v>2020</c:v>
                </c:pt>
                <c:pt idx="15">
                  <c:v>2025</c:v>
                </c:pt>
                <c:pt idx="20">
                  <c:v>2030</c:v>
                </c:pt>
                <c:pt idx="24">
                  <c:v>2035</c:v>
                </c:pt>
              </c:strCache>
            </c:strRef>
          </c:cat>
          <c:val>
            <c:numRef>
              <c:f>'T5a&amp;b. ZEV shares'!$I$27:$AG$27</c:f>
              <c:numCache>
                <c:formatCode>0</c:formatCode>
                <c:ptCount val="25"/>
                <c:pt idx="24" formatCode="0%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4E-4882-B2B0-9A520572A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6555824"/>
        <c:axId val="1146553424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'T5a&amp;b. ZEV shares'!$A$28</c15:sqref>
                        </c15:formulaRef>
                      </c:ext>
                    </c:extLst>
                    <c:strCache>
                      <c:ptCount val="1"/>
                      <c:pt idx="0">
                        <c:v>linear trajectory</c:v>
                      </c:pt>
                    </c:strCache>
                  </c:strRef>
                </c:tx>
                <c:spPr>
                  <a:ln w="12700" cap="rnd">
                    <a:solidFill>
                      <a:sysClr val="windowText" lastClr="000000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'T5a&amp;b. ZEV shares'!$I$24:$AG$24</c15:sqref>
                        </c15:formulaRef>
                      </c:ext>
                    </c:extLst>
                    <c:strCache>
                      <c:ptCount val="25"/>
                      <c:pt idx="0">
                        <c:v>2010</c:v>
                      </c:pt>
                      <c:pt idx="5">
                        <c:v>2015</c:v>
                      </c:pt>
                      <c:pt idx="10">
                        <c:v>2020</c:v>
                      </c:pt>
                      <c:pt idx="15">
                        <c:v>2025</c:v>
                      </c:pt>
                      <c:pt idx="20">
                        <c:v>2030</c:v>
                      </c:pt>
                      <c:pt idx="24">
                        <c:v>2035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'T5a&amp;b. ZEV shares'!$I$28:$AG$28</c15:sqref>
                        </c15:formulaRef>
                      </c:ext>
                    </c:extLst>
                    <c:numCache>
                      <c:formatCode>0%</c:formatCode>
                      <c:ptCount val="25"/>
                      <c:pt idx="12">
                        <c:v>0.1341</c:v>
                      </c:pt>
                      <c:pt idx="13">
                        <c:v>0.20625833333333335</c:v>
                      </c:pt>
                      <c:pt idx="14">
                        <c:v>0.2784166666666667</c:v>
                      </c:pt>
                      <c:pt idx="15">
                        <c:v>0.35057500000000003</c:v>
                      </c:pt>
                      <c:pt idx="16">
                        <c:v>0.42273333333333335</c:v>
                      </c:pt>
                      <c:pt idx="17">
                        <c:v>0.49489166666666673</c:v>
                      </c:pt>
                      <c:pt idx="18">
                        <c:v>0.56705000000000005</c:v>
                      </c:pt>
                      <c:pt idx="19">
                        <c:v>0.63920833333333338</c:v>
                      </c:pt>
                      <c:pt idx="20">
                        <c:v>0.7113666666666667</c:v>
                      </c:pt>
                      <c:pt idx="21">
                        <c:v>0.78352500000000003</c:v>
                      </c:pt>
                      <c:pt idx="22">
                        <c:v>0.85568333333333335</c:v>
                      </c:pt>
                      <c:pt idx="23">
                        <c:v>0.92784166666666679</c:v>
                      </c:pt>
                      <c:pt idx="24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474E-4882-B2B0-9A520572A556}"/>
                  </c:ext>
                </c:extLst>
              </c15:ser>
            </c15:filteredLineSeries>
          </c:ext>
        </c:extLst>
      </c:lineChart>
      <c:catAx>
        <c:axId val="114655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DK"/>
          </a:p>
        </c:txPr>
        <c:crossAx val="1146553424"/>
        <c:crosses val="autoZero"/>
        <c:auto val="1"/>
        <c:lblAlgn val="ctr"/>
        <c:lblOffset val="100"/>
        <c:noMultiLvlLbl val="0"/>
      </c:catAx>
      <c:valAx>
        <c:axId val="1146553424"/>
        <c:scaling>
          <c:orientation val="minMax"/>
          <c:max val="1"/>
        </c:scaling>
        <c:delete val="0"/>
        <c:axPos val="l"/>
        <c:majorGridlines>
          <c:spPr>
            <a:ln w="1587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IE" sz="900" b="1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% of new registrations</a:t>
                </a:r>
                <a:endParaRPr lang="en-DK" sz="900" b="1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DK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DK"/>
          </a:p>
        </c:txPr>
        <c:crossAx val="1146555824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Segoe UI" panose="020B0502040204020203" pitchFamily="34" charset="0"/>
          <a:cs typeface="Segoe UI" panose="020B0502040204020203" pitchFamily="34" charset="0"/>
        </a:defRPr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100" b="1"/>
              <a:t>Vans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D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'T5a&amp;b. ZEV shares'!$A$56</c:f>
              <c:strCache>
                <c:ptCount val="1"/>
                <c:pt idx="0">
                  <c:v>ZEV share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strRef>
              <c:f>'T5a&amp;b. ZEV shares'!$I$55:$AG$55</c:f>
              <c:strCache>
                <c:ptCount val="25"/>
                <c:pt idx="0">
                  <c:v>2010</c:v>
                </c:pt>
                <c:pt idx="5">
                  <c:v>2015</c:v>
                </c:pt>
                <c:pt idx="10">
                  <c:v>2020</c:v>
                </c:pt>
                <c:pt idx="15">
                  <c:v>2025</c:v>
                </c:pt>
                <c:pt idx="20">
                  <c:v>2030</c:v>
                </c:pt>
                <c:pt idx="24">
                  <c:v>2035</c:v>
                </c:pt>
              </c:strCache>
            </c:strRef>
          </c:cat>
          <c:val>
            <c:numRef>
              <c:f>'T5a&amp;b. ZEV shares'!$I$56:$AG$56</c:f>
              <c:numCache>
                <c:formatCode>0%</c:formatCode>
                <c:ptCount val="25"/>
                <c:pt idx="0">
                  <c:v>5.9999999999999995E-4</c:v>
                </c:pt>
                <c:pt idx="1">
                  <c:v>1.4000000000000002E-3</c:v>
                </c:pt>
                <c:pt idx="2">
                  <c:v>5.5000000000000005E-3</c:v>
                </c:pt>
                <c:pt idx="3">
                  <c:v>4.7999999999999996E-3</c:v>
                </c:pt>
                <c:pt idx="4">
                  <c:v>3.8E-3</c:v>
                </c:pt>
                <c:pt idx="5">
                  <c:v>4.5000000000000005E-3</c:v>
                </c:pt>
                <c:pt idx="6">
                  <c:v>6.0999999999999995E-3</c:v>
                </c:pt>
                <c:pt idx="7">
                  <c:v>8.6E-3</c:v>
                </c:pt>
                <c:pt idx="8">
                  <c:v>1.1200000000000002E-2</c:v>
                </c:pt>
                <c:pt idx="9">
                  <c:v>1.23E-2</c:v>
                </c:pt>
                <c:pt idx="10">
                  <c:v>1.8600000000000002E-2</c:v>
                </c:pt>
                <c:pt idx="11">
                  <c:v>3.5000000000000003E-2</c:v>
                </c:pt>
                <c:pt idx="12">
                  <c:v>6.0999999999999999E-2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89-4940-8600-F8C6D61EC447}"/>
            </c:ext>
          </c:extLst>
        </c:ser>
        <c:ser>
          <c:idx val="1"/>
          <c:order val="1"/>
          <c:tx>
            <c:strRef>
              <c:f>'T5a&amp;b. ZEV shares'!$A$57</c:f>
              <c:strCache>
                <c:ptCount val="1"/>
                <c:pt idx="0">
                  <c:v>LEV share</c:v>
                </c:pt>
              </c:strCache>
            </c:strRef>
          </c:tx>
          <c:spPr>
            <a:ln w="19050" cap="rnd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'T5a&amp;b. ZEV shares'!$I$55:$AG$55</c:f>
              <c:strCache>
                <c:ptCount val="25"/>
                <c:pt idx="0">
                  <c:v>2010</c:v>
                </c:pt>
                <c:pt idx="5">
                  <c:v>2015</c:v>
                </c:pt>
                <c:pt idx="10">
                  <c:v>2020</c:v>
                </c:pt>
                <c:pt idx="15">
                  <c:v>2025</c:v>
                </c:pt>
                <c:pt idx="20">
                  <c:v>2030</c:v>
                </c:pt>
                <c:pt idx="24">
                  <c:v>2035</c:v>
                </c:pt>
              </c:strCache>
            </c:strRef>
          </c:cat>
          <c:val>
            <c:numRef>
              <c:f>'T5a&amp;b. ZEV shares'!$I$57:$AG$57</c:f>
              <c:numCache>
                <c:formatCode>0%</c:formatCode>
                <c:ptCount val="25"/>
                <c:pt idx="0">
                  <c:v>1.8100000000000002E-2</c:v>
                </c:pt>
                <c:pt idx="1">
                  <c:v>7.7000000000000002E-3</c:v>
                </c:pt>
                <c:pt idx="2">
                  <c:v>1.2900000000000002E-2</c:v>
                </c:pt>
                <c:pt idx="3">
                  <c:v>1.4800000000000001E-2</c:v>
                </c:pt>
                <c:pt idx="4">
                  <c:v>1.0500000000000001E-2</c:v>
                </c:pt>
                <c:pt idx="5">
                  <c:v>1.34E-2</c:v>
                </c:pt>
                <c:pt idx="6">
                  <c:v>1.6899999999999998E-2</c:v>
                </c:pt>
                <c:pt idx="7">
                  <c:v>1.7500000000000002E-2</c:v>
                </c:pt>
                <c:pt idx="8">
                  <c:v>1.8500000000000003E-2</c:v>
                </c:pt>
                <c:pt idx="9">
                  <c:v>2.0900000000000002E-2</c:v>
                </c:pt>
                <c:pt idx="10">
                  <c:v>3.0600000000000002E-2</c:v>
                </c:pt>
                <c:pt idx="11">
                  <c:v>4.2400000000000007E-2</c:v>
                </c:pt>
                <c:pt idx="12">
                  <c:v>6.9800000000000001E-2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89-4940-8600-F8C6D61EC447}"/>
            </c:ext>
          </c:extLst>
        </c:ser>
        <c:ser>
          <c:idx val="2"/>
          <c:order val="2"/>
          <c:tx>
            <c:strRef>
              <c:f>'T5a&amp;b. ZEV shares'!$A$58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cat>
            <c:strRef>
              <c:f>'T5a&amp;b. ZEV shares'!$I$55:$AG$55</c:f>
              <c:strCache>
                <c:ptCount val="25"/>
                <c:pt idx="0">
                  <c:v>2010</c:v>
                </c:pt>
                <c:pt idx="5">
                  <c:v>2015</c:v>
                </c:pt>
                <c:pt idx="10">
                  <c:v>2020</c:v>
                </c:pt>
                <c:pt idx="15">
                  <c:v>2025</c:v>
                </c:pt>
                <c:pt idx="20">
                  <c:v>2030</c:v>
                </c:pt>
                <c:pt idx="24">
                  <c:v>2035</c:v>
                </c:pt>
              </c:strCache>
            </c:strRef>
          </c:cat>
          <c:val>
            <c:numRef>
              <c:f>'T5a&amp;b. ZEV shares'!$I$58:$AG$58</c:f>
              <c:numCache>
                <c:formatCode>0</c:formatCode>
                <c:ptCount val="25"/>
                <c:pt idx="24" formatCode="0%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89-4940-8600-F8C6D61EC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1206832"/>
        <c:axId val="1111222192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'T5a&amp;b. ZEV shares'!$A$59</c15:sqref>
                        </c15:formulaRef>
                      </c:ext>
                    </c:extLst>
                    <c:strCache>
                      <c:ptCount val="1"/>
                      <c:pt idx="0">
                        <c:v>linear trajectory</c:v>
                      </c:pt>
                    </c:strCache>
                  </c:strRef>
                </c:tx>
                <c:spPr>
                  <a:ln w="12700" cap="rnd">
                    <a:solidFill>
                      <a:sysClr val="windowText" lastClr="000000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'T5a&amp;b. ZEV shares'!$I$55:$AG$55</c15:sqref>
                        </c15:formulaRef>
                      </c:ext>
                    </c:extLst>
                    <c:strCache>
                      <c:ptCount val="25"/>
                      <c:pt idx="0">
                        <c:v>2010</c:v>
                      </c:pt>
                      <c:pt idx="5">
                        <c:v>2015</c:v>
                      </c:pt>
                      <c:pt idx="10">
                        <c:v>2020</c:v>
                      </c:pt>
                      <c:pt idx="15">
                        <c:v>2025</c:v>
                      </c:pt>
                      <c:pt idx="20">
                        <c:v>2030</c:v>
                      </c:pt>
                      <c:pt idx="24">
                        <c:v>2035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'T5a&amp;b. ZEV shares'!$I$59:$AG$59</c15:sqref>
                        </c15:formulaRef>
                      </c:ext>
                    </c:extLst>
                    <c:numCache>
                      <c:formatCode>0%</c:formatCode>
                      <c:ptCount val="25"/>
                      <c:pt idx="12">
                        <c:v>6.0999999999999915E-2</c:v>
                      </c:pt>
                      <c:pt idx="13">
                        <c:v>0.13924999999999993</c:v>
                      </c:pt>
                      <c:pt idx="14">
                        <c:v>0.21749999999999994</c:v>
                      </c:pt>
                      <c:pt idx="15">
                        <c:v>0.29574999999999996</c:v>
                      </c:pt>
                      <c:pt idx="16">
                        <c:v>0.374</c:v>
                      </c:pt>
                      <c:pt idx="17">
                        <c:v>0.45224999999999999</c:v>
                      </c:pt>
                      <c:pt idx="18">
                        <c:v>0.53049999999999997</c:v>
                      </c:pt>
                      <c:pt idx="19">
                        <c:v>0.60875000000000001</c:v>
                      </c:pt>
                      <c:pt idx="20">
                        <c:v>0.68700000000000006</c:v>
                      </c:pt>
                      <c:pt idx="21">
                        <c:v>0.7652500000000001</c:v>
                      </c:pt>
                      <c:pt idx="22">
                        <c:v>0.84350000000000003</c:v>
                      </c:pt>
                      <c:pt idx="23">
                        <c:v>0.92175000000000007</c:v>
                      </c:pt>
                      <c:pt idx="24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4489-4940-8600-F8C6D61EC447}"/>
                  </c:ext>
                </c:extLst>
              </c15:ser>
            </c15:filteredLineSeries>
          </c:ext>
        </c:extLst>
      </c:lineChart>
      <c:catAx>
        <c:axId val="111120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DK"/>
          </a:p>
        </c:txPr>
        <c:crossAx val="1111222192"/>
        <c:crosses val="autoZero"/>
        <c:auto val="1"/>
        <c:lblAlgn val="ctr"/>
        <c:lblOffset val="100"/>
        <c:noMultiLvlLbl val="0"/>
      </c:catAx>
      <c:valAx>
        <c:axId val="1111222192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DK"/>
          </a:p>
        </c:txPr>
        <c:crossAx val="1111206832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Segoe UI" panose="020B0502040204020203" pitchFamily="34" charset="0"/>
          <a:cs typeface="Segoe UI" panose="020B0502040204020203" pitchFamily="34" charset="0"/>
        </a:defRPr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/>
              <a:t>Vans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'T5a&amp;b. ZEV shares'!$A$56</c:f>
              <c:strCache>
                <c:ptCount val="1"/>
                <c:pt idx="0">
                  <c:v>ZEV share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strRef>
              <c:f>'T5a&amp;b. ZEV shares'!$I$55:$AG$55</c:f>
              <c:strCache>
                <c:ptCount val="25"/>
                <c:pt idx="0">
                  <c:v>2010</c:v>
                </c:pt>
                <c:pt idx="5">
                  <c:v>2015</c:v>
                </c:pt>
                <c:pt idx="10">
                  <c:v>2020</c:v>
                </c:pt>
                <c:pt idx="15">
                  <c:v>2025</c:v>
                </c:pt>
                <c:pt idx="20">
                  <c:v>2030</c:v>
                </c:pt>
                <c:pt idx="24">
                  <c:v>2035</c:v>
                </c:pt>
              </c:strCache>
            </c:strRef>
          </c:cat>
          <c:val>
            <c:numRef>
              <c:f>'T5a&amp;b. ZEV shares'!$I$56:$AG$56</c:f>
              <c:numCache>
                <c:formatCode>0%</c:formatCode>
                <c:ptCount val="25"/>
                <c:pt idx="0">
                  <c:v>5.9999999999999995E-4</c:v>
                </c:pt>
                <c:pt idx="1">
                  <c:v>1.4000000000000002E-3</c:v>
                </c:pt>
                <c:pt idx="2">
                  <c:v>5.5000000000000005E-3</c:v>
                </c:pt>
                <c:pt idx="3">
                  <c:v>4.7999999999999996E-3</c:v>
                </c:pt>
                <c:pt idx="4">
                  <c:v>3.8E-3</c:v>
                </c:pt>
                <c:pt idx="5">
                  <c:v>4.5000000000000005E-3</c:v>
                </c:pt>
                <c:pt idx="6">
                  <c:v>6.0999999999999995E-3</c:v>
                </c:pt>
                <c:pt idx="7">
                  <c:v>8.6E-3</c:v>
                </c:pt>
                <c:pt idx="8">
                  <c:v>1.1200000000000002E-2</c:v>
                </c:pt>
                <c:pt idx="9">
                  <c:v>1.23E-2</c:v>
                </c:pt>
                <c:pt idx="10">
                  <c:v>1.8600000000000002E-2</c:v>
                </c:pt>
                <c:pt idx="11">
                  <c:v>3.5000000000000003E-2</c:v>
                </c:pt>
                <c:pt idx="12">
                  <c:v>6.0999999999999999E-2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7C-4DCF-ADDC-AB9A9F7C44D7}"/>
            </c:ext>
          </c:extLst>
        </c:ser>
        <c:ser>
          <c:idx val="1"/>
          <c:order val="1"/>
          <c:tx>
            <c:strRef>
              <c:f>'T5a&amp;b. ZEV shares'!$A$57</c:f>
              <c:strCache>
                <c:ptCount val="1"/>
                <c:pt idx="0">
                  <c:v>LEV share</c:v>
                </c:pt>
              </c:strCache>
            </c:strRef>
          </c:tx>
          <c:spPr>
            <a:ln w="19050" cap="rnd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'T5a&amp;b. ZEV shares'!$I$55:$AG$55</c:f>
              <c:strCache>
                <c:ptCount val="25"/>
                <c:pt idx="0">
                  <c:v>2010</c:v>
                </c:pt>
                <c:pt idx="5">
                  <c:v>2015</c:v>
                </c:pt>
                <c:pt idx="10">
                  <c:v>2020</c:v>
                </c:pt>
                <c:pt idx="15">
                  <c:v>2025</c:v>
                </c:pt>
                <c:pt idx="20">
                  <c:v>2030</c:v>
                </c:pt>
                <c:pt idx="24">
                  <c:v>2035</c:v>
                </c:pt>
              </c:strCache>
            </c:strRef>
          </c:cat>
          <c:val>
            <c:numRef>
              <c:f>'T5a&amp;b. ZEV shares'!$I$57:$AG$57</c:f>
              <c:numCache>
                <c:formatCode>0%</c:formatCode>
                <c:ptCount val="25"/>
                <c:pt idx="0">
                  <c:v>1.8100000000000002E-2</c:v>
                </c:pt>
                <c:pt idx="1">
                  <c:v>7.7000000000000002E-3</c:v>
                </c:pt>
                <c:pt idx="2">
                  <c:v>1.2900000000000002E-2</c:v>
                </c:pt>
                <c:pt idx="3">
                  <c:v>1.4800000000000001E-2</c:v>
                </c:pt>
                <c:pt idx="4">
                  <c:v>1.0500000000000001E-2</c:v>
                </c:pt>
                <c:pt idx="5">
                  <c:v>1.34E-2</c:v>
                </c:pt>
                <c:pt idx="6">
                  <c:v>1.6899999999999998E-2</c:v>
                </c:pt>
                <c:pt idx="7">
                  <c:v>1.7500000000000002E-2</c:v>
                </c:pt>
                <c:pt idx="8">
                  <c:v>1.8500000000000003E-2</c:v>
                </c:pt>
                <c:pt idx="9">
                  <c:v>2.0900000000000002E-2</c:v>
                </c:pt>
                <c:pt idx="10">
                  <c:v>3.0600000000000002E-2</c:v>
                </c:pt>
                <c:pt idx="11">
                  <c:v>4.2400000000000007E-2</c:v>
                </c:pt>
                <c:pt idx="12">
                  <c:v>6.9800000000000001E-2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7C-4DCF-ADDC-AB9A9F7C44D7}"/>
            </c:ext>
          </c:extLst>
        </c:ser>
        <c:ser>
          <c:idx val="2"/>
          <c:order val="2"/>
          <c:tx>
            <c:strRef>
              <c:f>'T5a&amp;b. ZEV shares'!$A$58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cat>
            <c:strRef>
              <c:f>'T5a&amp;b. ZEV shares'!$I$55:$AG$55</c:f>
              <c:strCache>
                <c:ptCount val="25"/>
                <c:pt idx="0">
                  <c:v>2010</c:v>
                </c:pt>
                <c:pt idx="5">
                  <c:v>2015</c:v>
                </c:pt>
                <c:pt idx="10">
                  <c:v>2020</c:v>
                </c:pt>
                <c:pt idx="15">
                  <c:v>2025</c:v>
                </c:pt>
                <c:pt idx="20">
                  <c:v>2030</c:v>
                </c:pt>
                <c:pt idx="24">
                  <c:v>2035</c:v>
                </c:pt>
              </c:strCache>
            </c:strRef>
          </c:cat>
          <c:val>
            <c:numRef>
              <c:f>'T5a&amp;b. ZEV shares'!$I$58:$AG$58</c:f>
              <c:numCache>
                <c:formatCode>0</c:formatCode>
                <c:ptCount val="25"/>
                <c:pt idx="24" formatCode="0%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7C-4DCF-ADDC-AB9A9F7C44D7}"/>
            </c:ext>
          </c:extLst>
        </c:ser>
        <c:ser>
          <c:idx val="3"/>
          <c:order val="3"/>
          <c:tx>
            <c:strRef>
              <c:f>'T5a&amp;b. ZEV shares'!$A$59</c:f>
              <c:strCache>
                <c:ptCount val="1"/>
                <c:pt idx="0">
                  <c:v>linear trajectory</c:v>
                </c:pt>
              </c:strCache>
            </c:strRef>
          </c:tx>
          <c:spPr>
            <a:ln w="12700" cap="rnd">
              <a:solidFill>
                <a:sysClr val="windowText" lastClr="00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'T5a&amp;b. ZEV shares'!$I$55:$AG$55</c:f>
              <c:strCache>
                <c:ptCount val="25"/>
                <c:pt idx="0">
                  <c:v>2010</c:v>
                </c:pt>
                <c:pt idx="5">
                  <c:v>2015</c:v>
                </c:pt>
                <c:pt idx="10">
                  <c:v>2020</c:v>
                </c:pt>
                <c:pt idx="15">
                  <c:v>2025</c:v>
                </c:pt>
                <c:pt idx="20">
                  <c:v>2030</c:v>
                </c:pt>
                <c:pt idx="24">
                  <c:v>2035</c:v>
                </c:pt>
              </c:strCache>
            </c:strRef>
          </c:cat>
          <c:val>
            <c:numRef>
              <c:f>'T5a&amp;b. ZEV shares'!$I$59:$AG$59</c:f>
              <c:numCache>
                <c:formatCode>0%</c:formatCode>
                <c:ptCount val="25"/>
                <c:pt idx="12">
                  <c:v>6.0999999999999915E-2</c:v>
                </c:pt>
                <c:pt idx="13">
                  <c:v>0.13924999999999993</c:v>
                </c:pt>
                <c:pt idx="14">
                  <c:v>0.21749999999999994</c:v>
                </c:pt>
                <c:pt idx="15">
                  <c:v>0.29574999999999996</c:v>
                </c:pt>
                <c:pt idx="16">
                  <c:v>0.374</c:v>
                </c:pt>
                <c:pt idx="17">
                  <c:v>0.45224999999999999</c:v>
                </c:pt>
                <c:pt idx="18">
                  <c:v>0.53049999999999997</c:v>
                </c:pt>
                <c:pt idx="19">
                  <c:v>0.60875000000000001</c:v>
                </c:pt>
                <c:pt idx="20">
                  <c:v>0.68700000000000006</c:v>
                </c:pt>
                <c:pt idx="21">
                  <c:v>0.7652500000000001</c:v>
                </c:pt>
                <c:pt idx="22">
                  <c:v>0.84350000000000003</c:v>
                </c:pt>
                <c:pt idx="23">
                  <c:v>0.92175000000000007</c:v>
                </c:pt>
                <c:pt idx="2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87C-4DCF-ADDC-AB9A9F7C44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1206832"/>
        <c:axId val="1111222192"/>
      </c:lineChart>
      <c:catAx>
        <c:axId val="111120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111222192"/>
        <c:crosses val="autoZero"/>
        <c:auto val="1"/>
        <c:lblAlgn val="ctr"/>
        <c:lblOffset val="100"/>
        <c:noMultiLvlLbl val="0"/>
      </c:catAx>
      <c:valAx>
        <c:axId val="1111222192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111206832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889505541844331"/>
          <c:y val="7.407407407407407E-2"/>
          <c:w val="0.74591347637539962"/>
          <c:h val="0.72758997195401309"/>
        </c:manualLayout>
      </c:layout>
      <c:lineChart>
        <c:grouping val="standard"/>
        <c:varyColors val="0"/>
        <c:ser>
          <c:idx val="0"/>
          <c:order val="0"/>
          <c:tx>
            <c:strRef>
              <c:f>'T5a&amp;b. ZEV shares'!$A$90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strRef>
              <c:f>'T5a&amp;b. ZEV shares'!$N$89:$AC$89</c:f>
              <c:strCache>
                <c:ptCount val="16"/>
                <c:pt idx="0">
                  <c:v>2015</c:v>
                </c:pt>
                <c:pt idx="5">
                  <c:v>2020</c:v>
                </c:pt>
                <c:pt idx="10">
                  <c:v>2025</c:v>
                </c:pt>
                <c:pt idx="15">
                  <c:v>2030</c:v>
                </c:pt>
              </c:strCache>
            </c:strRef>
          </c:cat>
          <c:val>
            <c:numRef>
              <c:f>'T5a&amp;b. ZEV shares'!$N$90:$AC$90</c:f>
              <c:numCache>
                <c:formatCode>#,##0</c:formatCode>
                <c:ptCount val="16"/>
                <c:pt idx="0">
                  <c:v>71</c:v>
                </c:pt>
                <c:pt idx="1">
                  <c:v>117</c:v>
                </c:pt>
                <c:pt idx="2">
                  <c:v>151</c:v>
                </c:pt>
                <c:pt idx="3">
                  <c:v>227</c:v>
                </c:pt>
                <c:pt idx="4">
                  <c:v>601</c:v>
                </c:pt>
                <c:pt idx="5">
                  <c:v>964</c:v>
                </c:pt>
                <c:pt idx="6">
                  <c:v>2150</c:v>
                </c:pt>
                <c:pt idx="7">
                  <c:v>3794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75-4649-9980-57D5F6BEE9E9}"/>
            </c:ext>
          </c:extLst>
        </c:ser>
        <c:ser>
          <c:idx val="1"/>
          <c:order val="1"/>
          <c:tx>
            <c:strRef>
              <c:f>'T5a&amp;b. ZEV shares'!$A$91</c:f>
              <c:strCache>
                <c:ptCount val="1"/>
                <c:pt idx="0">
                  <c:v>2030 benchmark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cat>
            <c:strRef>
              <c:f>'T5a&amp;b. ZEV shares'!$N$89:$AC$89</c:f>
              <c:strCache>
                <c:ptCount val="16"/>
                <c:pt idx="0">
                  <c:v>2015</c:v>
                </c:pt>
                <c:pt idx="5">
                  <c:v>2020</c:v>
                </c:pt>
                <c:pt idx="10">
                  <c:v>2025</c:v>
                </c:pt>
                <c:pt idx="15">
                  <c:v>2030</c:v>
                </c:pt>
              </c:strCache>
            </c:strRef>
          </c:cat>
          <c:val>
            <c:numRef>
              <c:f>'T5a&amp;b. ZEV shares'!$N$91:$AC$91</c:f>
              <c:numCache>
                <c:formatCode>0</c:formatCode>
                <c:ptCount val="16"/>
                <c:pt idx="15">
                  <c:v>80000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75-4649-9980-57D5F6BEE9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3452272"/>
        <c:axId val="191345083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'T5a&amp;b. ZEV shares'!$A$92</c15:sqref>
                        </c15:formulaRef>
                      </c:ext>
                    </c:extLst>
                    <c:strCache>
                      <c:ptCount val="1"/>
                      <c:pt idx="0">
                        <c:v>linear trajectory</c:v>
                      </c:pt>
                    </c:strCache>
                  </c:strRef>
                </c:tx>
                <c:spPr>
                  <a:ln w="12700" cap="rnd">
                    <a:solidFill>
                      <a:sysClr val="windowText" lastClr="000000"/>
                    </a:solidFill>
                    <a:prstDash val="sysDot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'T5a&amp;b. ZEV shares'!$N$89:$AC$89</c15:sqref>
                        </c15:formulaRef>
                      </c:ext>
                    </c:extLst>
                    <c:strCache>
                      <c:ptCount val="16"/>
                      <c:pt idx="0">
                        <c:v>2015</c:v>
                      </c:pt>
                      <c:pt idx="5">
                        <c:v>2020</c:v>
                      </c:pt>
                      <c:pt idx="10">
                        <c:v>2025</c:v>
                      </c:pt>
                      <c:pt idx="15">
                        <c:v>2030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'T5a&amp;b. ZEV shares'!$N$92:$AC$92</c15:sqref>
                        </c15:formulaRef>
                      </c:ext>
                    </c:extLst>
                    <c:numCache>
                      <c:formatCode>0%</c:formatCode>
                      <c:ptCount val="16"/>
                      <c:pt idx="7" formatCode="#,##0">
                        <c:v>3794</c:v>
                      </c:pt>
                      <c:pt idx="8" formatCode="#,##0">
                        <c:v>13319.75</c:v>
                      </c:pt>
                      <c:pt idx="9" formatCode="#,##0">
                        <c:v>22845.5</c:v>
                      </c:pt>
                      <c:pt idx="10" formatCode="#,##0">
                        <c:v>32371.25</c:v>
                      </c:pt>
                      <c:pt idx="11" formatCode="#,##0">
                        <c:v>41897</c:v>
                      </c:pt>
                      <c:pt idx="12" formatCode="#,##0">
                        <c:v>51422.75</c:v>
                      </c:pt>
                      <c:pt idx="13" formatCode="#,##0">
                        <c:v>60948.5</c:v>
                      </c:pt>
                      <c:pt idx="14" formatCode="#,##0">
                        <c:v>70474.25</c:v>
                      </c:pt>
                      <c:pt idx="15" formatCode="#,##0">
                        <c:v>80000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7B75-4649-9980-57D5F6BEE9E9}"/>
                  </c:ext>
                </c:extLst>
              </c15:ser>
            </c15:filteredLineSeries>
          </c:ext>
        </c:extLst>
      </c:lineChart>
      <c:catAx>
        <c:axId val="1913452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DK"/>
          </a:p>
        </c:txPr>
        <c:crossAx val="1913450832"/>
        <c:crosses val="autoZero"/>
        <c:auto val="1"/>
        <c:lblAlgn val="ctr"/>
        <c:lblOffset val="100"/>
        <c:noMultiLvlLbl val="0"/>
      </c:catAx>
      <c:valAx>
        <c:axId val="1913450832"/>
        <c:scaling>
          <c:orientation val="minMax"/>
          <c:max val="8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en-IE"/>
                  <a:t># of vehicles</a:t>
                </a:r>
                <a:endParaRPr lang="en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DK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DK"/>
          </a:p>
        </c:txPr>
        <c:crossAx val="1913452272"/>
        <c:crosses val="autoZero"/>
        <c:crossBetween val="between"/>
        <c:majorUnit val="2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Segoe UI" panose="020B0502040204020203" pitchFamily="34" charset="0"/>
          <a:cs typeface="Segoe UI" panose="020B0502040204020203" pitchFamily="34" charset="0"/>
        </a:defRPr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'T6a. % of fossil fuels'!$A$3</c:f>
              <c:strCache>
                <c:ptCount val="1"/>
                <c:pt idx="0">
                  <c:v>Historic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strRef>
              <c:f>'T6a. % of fossil fuels'!$D$2:$AW$2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'T6a. % of fossil fuels'!$D$3:$AW$3</c:f>
              <c:numCache>
                <c:formatCode>0%</c:formatCode>
                <c:ptCount val="46"/>
                <c:pt idx="0">
                  <c:v>0.97693313387571479</c:v>
                </c:pt>
                <c:pt idx="1">
                  <c:v>0.97247514380224365</c:v>
                </c:pt>
                <c:pt idx="2">
                  <c:v>0.96783367668451992</c:v>
                </c:pt>
                <c:pt idx="3">
                  <c:v>0.96313576098158482</c:v>
                </c:pt>
                <c:pt idx="4">
                  <c:v>0.95721742487332728</c:v>
                </c:pt>
                <c:pt idx="5">
                  <c:v>0.95306270500451784</c:v>
                </c:pt>
                <c:pt idx="6">
                  <c:v>0.95080239408531397</c:v>
                </c:pt>
                <c:pt idx="7">
                  <c:v>0.94663168203526493</c:v>
                </c:pt>
                <c:pt idx="8">
                  <c:v>0.95000286451557647</c:v>
                </c:pt>
                <c:pt idx="9">
                  <c:v>0.94799927227748604</c:v>
                </c:pt>
                <c:pt idx="10">
                  <c:v>0.9486074176655519</c:v>
                </c:pt>
                <c:pt idx="11">
                  <c:v>0.95056169756651498</c:v>
                </c:pt>
                <c:pt idx="12">
                  <c:v>0.9484261114537299</c:v>
                </c:pt>
                <c:pt idx="13">
                  <c:v>0.94506993236659709</c:v>
                </c:pt>
                <c:pt idx="14">
                  <c:v>0.9439528593405081</c:v>
                </c:pt>
                <c:pt idx="15">
                  <c:v>0.93222689293803929</c:v>
                </c:pt>
                <c:pt idx="16">
                  <c:v>0.9343557793164442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EA-496F-8236-15EB8E116881}"/>
            </c:ext>
          </c:extLst>
        </c:ser>
        <c:ser>
          <c:idx val="1"/>
          <c:order val="1"/>
          <c:tx>
            <c:strRef>
              <c:f>'T6a. % of fossil fuels'!$A$4</c:f>
              <c:strCache>
                <c:ptCount val="1"/>
                <c:pt idx="0">
                  <c:v>2030 benchmark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cat>
            <c:strRef>
              <c:f>'T6a. % of fossil fuels'!$D$2:$AW$2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'T6a. % of fossil fuels'!$D$4:$AW$4</c:f>
              <c:numCache>
                <c:formatCode>0</c:formatCode>
                <c:ptCount val="46"/>
                <c:pt idx="25" formatCode="0%">
                  <c:v>0.89104865052752358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EA-496F-8236-15EB8E116881}"/>
            </c:ext>
          </c:extLst>
        </c:ser>
        <c:ser>
          <c:idx val="2"/>
          <c:order val="2"/>
          <c:tx>
            <c:strRef>
              <c:f>'T6a. % of fossil fuels'!$A$5</c:f>
              <c:strCache>
                <c:ptCount val="1"/>
                <c:pt idx="0">
                  <c:v>2050 benchmark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noFill/>
              </a:ln>
              <a:effectLst/>
            </c:spPr>
          </c:marker>
          <c:cat>
            <c:strRef>
              <c:f>'T6a. % of fossil fuels'!$D$2:$AW$2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</c:strRef>
          </c:cat>
          <c:val>
            <c:numRef>
              <c:f>'T6a. % of fossil fuels'!$D$5:$AW$5</c:f>
              <c:numCache>
                <c:formatCode>0%</c:formatCode>
                <c:ptCount val="46"/>
                <c:pt idx="45">
                  <c:v>0.14063216058446115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EA-496F-8236-15EB8E116881}"/>
            </c:ext>
          </c:extLst>
        </c:ser>
        <c:ser>
          <c:idx val="4"/>
          <c:order val="3"/>
          <c:tx>
            <c:strRef>
              <c:f>'T6a. % of fossil fuels'!#REF!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'T6a. % of fossil fuels'!$D$2:$AW$2</c:f>
              <c:strCache>
                <c:ptCount val="46"/>
                <c:pt idx="0">
                  <c:v>2005</c:v>
                </c:pt>
                <c:pt idx="5">
                  <c:v>2010</c:v>
                </c:pt>
                <c:pt idx="10">
                  <c:v>2015</c:v>
                </c:pt>
                <c:pt idx="15">
                  <c:v>2020</c:v>
                </c:pt>
                <c:pt idx="20">
                  <c:v>2025</c:v>
                </c:pt>
                <c:pt idx="25">
                  <c:v>2030</c:v>
                </c:pt>
                <c:pt idx="30">
                  <c:v>2035</c:v>
                </c:pt>
                <c:pt idx="35">
                  <c:v>2040</c:v>
                </c:pt>
                <c:pt idx="40">
                  <c:v>2045</c:v>
                </c:pt>
                <c:pt idx="45">
                  <c:v>2050</c:v>
                </c:pt>
              </c:strCache>
              <c:extLst xmlns:c15="http://schemas.microsoft.com/office/drawing/2012/chart"/>
            </c:strRef>
          </c:cat>
          <c:val>
            <c:numRef>
              <c:f>'T6a. % of fossil fuels'!#REF!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8AEA-496F-8236-15EB8E116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2919904"/>
        <c:axId val="782916544"/>
        <c:extLst/>
      </c:lineChart>
      <c:catAx>
        <c:axId val="78291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DK"/>
          </a:p>
        </c:txPr>
        <c:crossAx val="782916544"/>
        <c:crosses val="autoZero"/>
        <c:auto val="1"/>
        <c:lblAlgn val="ctr"/>
        <c:lblOffset val="100"/>
        <c:noMultiLvlLbl val="0"/>
      </c:catAx>
      <c:valAx>
        <c:axId val="782916544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en-IE" b="1"/>
                  <a:t>% of total</a:t>
                </a:r>
                <a:endParaRPr lang="en-DK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DK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DK"/>
          </a:p>
        </c:txPr>
        <c:crossAx val="782919904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Segoe UI" panose="020B0502040204020203" pitchFamily="34" charset="0"/>
          <a:cs typeface="Segoe UI" panose="020B0502040204020203" pitchFamily="34" charset="0"/>
        </a:defRPr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'T6b. conventional biofuels'!$A$9</c:f>
              <c:strCache>
                <c:ptCount val="1"/>
                <c:pt idx="0">
                  <c:v>Biofuels from food crops</c:v>
                </c:pt>
              </c:strCache>
            </c:strRef>
          </c:tx>
          <c:spPr>
            <a:ln w="28575" cap="rnd">
              <a:solidFill>
                <a:srgbClr val="2E422F"/>
              </a:solidFill>
              <a:round/>
            </a:ln>
            <a:effectLst/>
          </c:spPr>
          <c:marker>
            <c:symbol val="none"/>
          </c:marker>
          <c:cat>
            <c:numRef>
              <c:f>'T6b. conventional biofuels'!$D$8:$AQ$8</c:f>
              <c:numCache>
                <c:formatCode>General</c:formatCode>
                <c:ptCount val="40"/>
                <c:pt idx="0">
                  <c:v>2011</c:v>
                </c:pt>
                <c:pt idx="4">
                  <c:v>2015</c:v>
                </c:pt>
                <c:pt idx="9">
                  <c:v>2020</c:v>
                </c:pt>
                <c:pt idx="14">
                  <c:v>2025</c:v>
                </c:pt>
                <c:pt idx="19">
                  <c:v>2030</c:v>
                </c:pt>
                <c:pt idx="24">
                  <c:v>2035</c:v>
                </c:pt>
                <c:pt idx="29">
                  <c:v>2040</c:v>
                </c:pt>
                <c:pt idx="34">
                  <c:v>2045</c:v>
                </c:pt>
                <c:pt idx="39">
                  <c:v>2050</c:v>
                </c:pt>
              </c:numCache>
            </c:numRef>
          </c:cat>
          <c:val>
            <c:numRef>
              <c:f>'T6b. conventional biofuels'!$D$9:$AQ$9</c:f>
              <c:numCache>
                <c:formatCode>#,##0.00</c:formatCode>
                <c:ptCount val="40"/>
                <c:pt idx="0">
                  <c:v>80.362137000000004</c:v>
                </c:pt>
                <c:pt idx="1">
                  <c:v>107.10764800000001</c:v>
                </c:pt>
                <c:pt idx="2">
                  <c:v>104.82235300000001</c:v>
                </c:pt>
                <c:pt idx="3">
                  <c:v>111.25955800000003</c:v>
                </c:pt>
                <c:pt idx="4">
                  <c:v>109.70811600000002</c:v>
                </c:pt>
                <c:pt idx="5">
                  <c:v>110.703644</c:v>
                </c:pt>
                <c:pt idx="6">
                  <c:v>116.75938500000001</c:v>
                </c:pt>
                <c:pt idx="7">
                  <c:v>124.865495</c:v>
                </c:pt>
                <c:pt idx="8">
                  <c:v>128.26145500000001</c:v>
                </c:pt>
                <c:pt idx="9">
                  <c:v>122.874439</c:v>
                </c:pt>
                <c:pt idx="10">
                  <c:v>118.09334600000003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26-4887-93F4-2EB518B17D02}"/>
            </c:ext>
          </c:extLst>
        </c:ser>
        <c:ser>
          <c:idx val="1"/>
          <c:order val="1"/>
          <c:tx>
            <c:strRef>
              <c:f>'T6b. conventional biofuels'!$A$10</c:f>
              <c:strCache>
                <c:ptCount val="1"/>
                <c:pt idx="0">
                  <c:v>2030 benchmark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'T6b. conventional biofuels'!$D$8:$AQ$8</c:f>
              <c:numCache>
                <c:formatCode>General</c:formatCode>
                <c:ptCount val="40"/>
                <c:pt idx="0">
                  <c:v>2011</c:v>
                </c:pt>
                <c:pt idx="4">
                  <c:v>2015</c:v>
                </c:pt>
                <c:pt idx="9">
                  <c:v>2020</c:v>
                </c:pt>
                <c:pt idx="14">
                  <c:v>2025</c:v>
                </c:pt>
                <c:pt idx="19">
                  <c:v>2030</c:v>
                </c:pt>
                <c:pt idx="24">
                  <c:v>2035</c:v>
                </c:pt>
                <c:pt idx="29">
                  <c:v>2040</c:v>
                </c:pt>
                <c:pt idx="34">
                  <c:v>2045</c:v>
                </c:pt>
                <c:pt idx="39">
                  <c:v>2050</c:v>
                </c:pt>
              </c:numCache>
            </c:numRef>
          </c:cat>
          <c:val>
            <c:numRef>
              <c:f>'T6b. conventional biofuels'!$D$10:$AQ$10</c:f>
              <c:numCache>
                <c:formatCode>General</c:formatCode>
                <c:ptCount val="40"/>
                <c:pt idx="19" formatCode="#,##0.00">
                  <c:v>133.02161400000003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26-4887-93F4-2EB518B17D02}"/>
            </c:ext>
          </c:extLst>
        </c:ser>
        <c:ser>
          <c:idx val="2"/>
          <c:order val="2"/>
          <c:tx>
            <c:strRef>
              <c:f>'T6b. conventional biofuels'!$A$11</c:f>
              <c:strCache>
                <c:ptCount val="1"/>
                <c:pt idx="0">
                  <c:v>2050 benchmark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3D5584"/>
              </a:solidFill>
              <a:ln w="9525">
                <a:noFill/>
              </a:ln>
              <a:effectLst/>
            </c:spPr>
          </c:marker>
          <c:cat>
            <c:numRef>
              <c:f>'T6b. conventional biofuels'!$D$8:$AQ$8</c:f>
              <c:numCache>
                <c:formatCode>General</c:formatCode>
                <c:ptCount val="40"/>
                <c:pt idx="0">
                  <c:v>2011</c:v>
                </c:pt>
                <c:pt idx="4">
                  <c:v>2015</c:v>
                </c:pt>
                <c:pt idx="9">
                  <c:v>2020</c:v>
                </c:pt>
                <c:pt idx="14">
                  <c:v>2025</c:v>
                </c:pt>
                <c:pt idx="19">
                  <c:v>2030</c:v>
                </c:pt>
                <c:pt idx="24">
                  <c:v>2035</c:v>
                </c:pt>
                <c:pt idx="29">
                  <c:v>2040</c:v>
                </c:pt>
                <c:pt idx="34">
                  <c:v>2045</c:v>
                </c:pt>
                <c:pt idx="39">
                  <c:v>2050</c:v>
                </c:pt>
              </c:numCache>
            </c:numRef>
          </c:cat>
          <c:val>
            <c:numRef>
              <c:f>'T6b. conventional biofuels'!$D$11:$AQ$11</c:f>
              <c:numCache>
                <c:formatCode>General</c:formatCode>
                <c:ptCount val="40"/>
                <c:pt idx="39" formatCode="#,##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26-4887-93F4-2EB518B17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016288"/>
        <c:axId val="95139456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'T6b. conventional biofuels'!$A$12</c15:sqref>
                        </c15:formulaRef>
                      </c:ext>
                    </c:extLst>
                    <c:strCache>
                      <c:ptCount val="1"/>
                      <c:pt idx="0">
                        <c:v>linear trajectory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'T6b. conventional biofuels'!$D$8:$AQ$8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2011</c:v>
                      </c:pt>
                      <c:pt idx="4">
                        <c:v>2015</c:v>
                      </c:pt>
                      <c:pt idx="9">
                        <c:v>2020</c:v>
                      </c:pt>
                      <c:pt idx="14">
                        <c:v>2025</c:v>
                      </c:pt>
                      <c:pt idx="19">
                        <c:v>2030</c:v>
                      </c:pt>
                      <c:pt idx="24">
                        <c:v>2035</c:v>
                      </c:pt>
                      <c:pt idx="29">
                        <c:v>2040</c:v>
                      </c:pt>
                      <c:pt idx="34">
                        <c:v>2045</c:v>
                      </c:pt>
                      <c:pt idx="39">
                        <c:v>2050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'T6b. conventional biofuels'!$D$12:$AQ$12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8" formatCode="#,##0.00">
                        <c:v>128.26145500000001</c:v>
                      </c:pt>
                      <c:pt idx="9" formatCode="#,##0.00">
                        <c:v>128.69419672727273</c:v>
                      </c:pt>
                      <c:pt idx="10" formatCode="#,##0.00">
                        <c:v>129.12693845454544</c:v>
                      </c:pt>
                      <c:pt idx="11" formatCode="#,##0.00">
                        <c:v>129.55968018181818</c:v>
                      </c:pt>
                      <c:pt idx="12" formatCode="#,##0.00">
                        <c:v>129.99242190909089</c:v>
                      </c:pt>
                      <c:pt idx="13" formatCode="#,##0.00">
                        <c:v>130.42516363636364</c:v>
                      </c:pt>
                      <c:pt idx="14" formatCode="#,##0.00">
                        <c:v>130.85790536363635</c:v>
                      </c:pt>
                      <c:pt idx="15" formatCode="#,##0.00">
                        <c:v>131.29064709090909</c:v>
                      </c:pt>
                      <c:pt idx="16" formatCode="#,##0.00">
                        <c:v>131.7233888181818</c:v>
                      </c:pt>
                      <c:pt idx="17" formatCode="#,##0.00">
                        <c:v>132.15613054545452</c:v>
                      </c:pt>
                      <c:pt idx="18" formatCode="#,##0.00">
                        <c:v>132.58887227272726</c:v>
                      </c:pt>
                      <c:pt idx="19" formatCode="#,##0.00">
                        <c:v>133.02161399999997</c:v>
                      </c:pt>
                      <c:pt idx="20" formatCode="#,##0.00">
                        <c:v>126.37053330000001</c:v>
                      </c:pt>
                      <c:pt idx="21" formatCode="#,##0.00">
                        <c:v>119.71945260000001</c:v>
                      </c:pt>
                      <c:pt idx="22" formatCode="#,##0.00">
                        <c:v>113.0683719</c:v>
                      </c:pt>
                      <c:pt idx="23" formatCode="#,##0.00">
                        <c:v>106.41729120000001</c:v>
                      </c:pt>
                      <c:pt idx="24" formatCode="#,##0.00">
                        <c:v>99.766210500000014</c:v>
                      </c:pt>
                      <c:pt idx="25" formatCode="#,##0.00">
                        <c:v>93.11512980000002</c:v>
                      </c:pt>
                      <c:pt idx="26" formatCode="#,##0.00">
                        <c:v>86.464049100000011</c:v>
                      </c:pt>
                      <c:pt idx="27" formatCode="#,##0.00">
                        <c:v>79.812968400000017</c:v>
                      </c:pt>
                      <c:pt idx="28" formatCode="#,##0.00">
                        <c:v>73.161887700000023</c:v>
                      </c:pt>
                      <c:pt idx="29" formatCode="#,##0.00">
                        <c:v>66.510807000000014</c:v>
                      </c:pt>
                      <c:pt idx="30" formatCode="#,##0.00">
                        <c:v>59.85972630000002</c:v>
                      </c:pt>
                      <c:pt idx="31" formatCode="#,##0.00">
                        <c:v>53.208645600000025</c:v>
                      </c:pt>
                      <c:pt idx="32" formatCode="#,##0.00">
                        <c:v>46.557564900000024</c:v>
                      </c:pt>
                      <c:pt idx="33" formatCode="#,##0.00">
                        <c:v>39.90648420000003</c:v>
                      </c:pt>
                      <c:pt idx="34" formatCode="#,##0.00">
                        <c:v>33.255403500000028</c:v>
                      </c:pt>
                      <c:pt idx="35" formatCode="#,##0.00">
                        <c:v>26.604322800000034</c:v>
                      </c:pt>
                      <c:pt idx="36" formatCode="#,##0.00">
                        <c:v>19.953242100000036</c:v>
                      </c:pt>
                      <c:pt idx="37" formatCode="#,##0.00">
                        <c:v>13.302161400000037</c:v>
                      </c:pt>
                      <c:pt idx="38" formatCode="#,##0.00">
                        <c:v>6.6510807000000396</c:v>
                      </c:pt>
                      <c:pt idx="39" formatCode="#,##0.00">
                        <c:v>4.1318060084449822E-14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D326-4887-93F4-2EB518B17D02}"/>
                  </c:ext>
                </c:extLst>
              </c15:ser>
            </c15:filteredLineSeries>
          </c:ext>
        </c:extLst>
      </c:lineChart>
      <c:catAx>
        <c:axId val="147016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DK"/>
          </a:p>
        </c:txPr>
        <c:crossAx val="95139456"/>
        <c:crosses val="autoZero"/>
        <c:auto val="1"/>
        <c:lblAlgn val="ctr"/>
        <c:lblOffset val="100"/>
        <c:noMultiLvlLbl val="0"/>
      </c:catAx>
      <c:valAx>
        <c:axId val="951394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en-IE" b="1"/>
                  <a:t>TWh</a:t>
                </a:r>
                <a:endParaRPr lang="en-DK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DK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DK"/>
          </a:p>
        </c:txPr>
        <c:crossAx val="147016288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Segoe UI" panose="020B0502040204020203" pitchFamily="34" charset="0"/>
          <a:cs typeface="Segoe UI" panose="020B0502040204020203" pitchFamily="34" charset="0"/>
        </a:defRPr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847494238895494E-2"/>
          <c:y val="3.8344221317246144E-2"/>
          <c:w val="0.61459552192285483"/>
          <c:h val="0.89372255416978996"/>
        </c:manualLayout>
      </c:layout>
      <c:lineChart>
        <c:grouping val="standard"/>
        <c:varyColors val="0"/>
        <c:ser>
          <c:idx val="0"/>
          <c:order val="0"/>
          <c:tx>
            <c:strRef>
              <c:f>'3. modal split freight'!$A$3</c:f>
              <c:strCache>
                <c:ptCount val="1"/>
                <c:pt idx="0">
                  <c:v>Road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'3. modal split freight'!$B$2:$AW$2</c:f>
              <c:strCache>
                <c:ptCount val="46"/>
                <c:pt idx="5">
                  <c:v>2010</c:v>
                </c:pt>
                <c:pt idx="15">
                  <c:v>2020</c:v>
                </c:pt>
                <c:pt idx="25">
                  <c:v>2030</c:v>
                </c:pt>
                <c:pt idx="35">
                  <c:v>2040</c:v>
                </c:pt>
                <c:pt idx="45">
                  <c:v>2050</c:v>
                </c:pt>
              </c:strCache>
            </c:strRef>
          </c:cat>
          <c:val>
            <c:numRef>
              <c:f>'3. modal split freight'!$B$3:$AW$3</c:f>
              <c:numCache>
                <c:formatCode>0%</c:formatCode>
                <c:ptCount val="46"/>
                <c:pt idx="0">
                  <c:v>0.74864829088463736</c:v>
                </c:pt>
                <c:pt idx="1">
                  <c:v>0.74712846904126851</c:v>
                </c:pt>
                <c:pt idx="2">
                  <c:v>0.74662081471546782</c:v>
                </c:pt>
                <c:pt idx="3">
                  <c:v>0.74673667059177784</c:v>
                </c:pt>
                <c:pt idx="4">
                  <c:v>0.76058976339782458</c:v>
                </c:pt>
                <c:pt idx="5">
                  <c:v>0.74608981261060991</c:v>
                </c:pt>
                <c:pt idx="6">
                  <c:v>0.73954107350680887</c:v>
                </c:pt>
                <c:pt idx="7">
                  <c:v>0.73470985997028715</c:v>
                </c:pt>
                <c:pt idx="8">
                  <c:v>0.73851282391166317</c:v>
                </c:pt>
                <c:pt idx="9">
                  <c:v>0.73893576220793145</c:v>
                </c:pt>
                <c:pt idx="10">
                  <c:v>0.74103160645114863</c:v>
                </c:pt>
                <c:pt idx="11">
                  <c:v>0.74511765316092926</c:v>
                </c:pt>
                <c:pt idx="12">
                  <c:v>0.7535097592538067</c:v>
                </c:pt>
                <c:pt idx="13">
                  <c:v>0.75649565090899062</c:v>
                </c:pt>
                <c:pt idx="14">
                  <c:v>0.76318248749678363</c:v>
                </c:pt>
                <c:pt idx="15">
                  <c:v>0.77416134805419967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E5-4887-8825-1A1C45073544}"/>
            </c:ext>
          </c:extLst>
        </c:ser>
        <c:ser>
          <c:idx val="1"/>
          <c:order val="1"/>
          <c:tx>
            <c:strRef>
              <c:f>'3. modal split freight'!$A$4</c:f>
              <c:strCache>
                <c:ptCount val="1"/>
                <c:pt idx="0">
                  <c:v>Rail</c:v>
                </c:pt>
              </c:strCache>
            </c:strRef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'3. modal split freight'!$B$2:$AW$2</c:f>
              <c:strCache>
                <c:ptCount val="46"/>
                <c:pt idx="5">
                  <c:v>2010</c:v>
                </c:pt>
                <c:pt idx="15">
                  <c:v>2020</c:v>
                </c:pt>
                <c:pt idx="25">
                  <c:v>2030</c:v>
                </c:pt>
                <c:pt idx="35">
                  <c:v>2040</c:v>
                </c:pt>
                <c:pt idx="45">
                  <c:v>2050</c:v>
                </c:pt>
              </c:strCache>
            </c:strRef>
          </c:cat>
          <c:val>
            <c:numRef>
              <c:f>'3. modal split freight'!$B$4:$AW$4</c:f>
              <c:numCache>
                <c:formatCode>0%</c:formatCode>
                <c:ptCount val="46"/>
                <c:pt idx="0">
                  <c:v>0.18601115347796793</c:v>
                </c:pt>
                <c:pt idx="1">
                  <c:v>0.18976706421602016</c:v>
                </c:pt>
                <c:pt idx="2">
                  <c:v>0.18943164551243108</c:v>
                </c:pt>
                <c:pt idx="3">
                  <c:v>0.18782917067483809</c:v>
                </c:pt>
                <c:pt idx="4">
                  <c:v>0.17285070238158085</c:v>
                </c:pt>
                <c:pt idx="5">
                  <c:v>0.17952348452366271</c:v>
                </c:pt>
                <c:pt idx="6">
                  <c:v>0.19242358004151749</c:v>
                </c:pt>
                <c:pt idx="7">
                  <c:v>0.19099951916484906</c:v>
                </c:pt>
                <c:pt idx="8">
                  <c:v>0.1871743872302698</c:v>
                </c:pt>
                <c:pt idx="9">
                  <c:v>0.18815585258468123</c:v>
                </c:pt>
                <c:pt idx="10">
                  <c:v>0.18906275380111603</c:v>
                </c:pt>
                <c:pt idx="11">
                  <c:v>0.18743915677770762</c:v>
                </c:pt>
                <c:pt idx="12">
                  <c:v>0.18151436206707874</c:v>
                </c:pt>
                <c:pt idx="13">
                  <c:v>0.18533145712455168</c:v>
                </c:pt>
                <c:pt idx="14">
                  <c:v>0.17640551719962547</c:v>
                </c:pt>
                <c:pt idx="15">
                  <c:v>0.16739188494938412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E5-4887-8825-1A1C45073544}"/>
            </c:ext>
          </c:extLst>
        </c:ser>
        <c:ser>
          <c:idx val="2"/>
          <c:order val="2"/>
          <c:tx>
            <c:strRef>
              <c:f>'3. modal split freight'!$A$5</c:f>
              <c:strCache>
                <c:ptCount val="1"/>
                <c:pt idx="0">
                  <c:v>IWW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'3. modal split freight'!$B$2:$AW$2</c:f>
              <c:strCache>
                <c:ptCount val="46"/>
                <c:pt idx="5">
                  <c:v>2010</c:v>
                </c:pt>
                <c:pt idx="15">
                  <c:v>2020</c:v>
                </c:pt>
                <c:pt idx="25">
                  <c:v>2030</c:v>
                </c:pt>
                <c:pt idx="35">
                  <c:v>2040</c:v>
                </c:pt>
                <c:pt idx="45">
                  <c:v>2050</c:v>
                </c:pt>
              </c:strCache>
            </c:strRef>
          </c:cat>
          <c:val>
            <c:numRef>
              <c:f>'3. modal split freight'!$B$5:$AW$5</c:f>
              <c:numCache>
                <c:formatCode>0%</c:formatCode>
                <c:ptCount val="46"/>
                <c:pt idx="0">
                  <c:v>6.5340555637394798E-2</c:v>
                </c:pt>
                <c:pt idx="1">
                  <c:v>6.310446674271121E-2</c:v>
                </c:pt>
                <c:pt idx="2">
                  <c:v>6.3947539772101158E-2</c:v>
                </c:pt>
                <c:pt idx="3">
                  <c:v>6.5434158733383957E-2</c:v>
                </c:pt>
                <c:pt idx="4">
                  <c:v>6.6559534220594518E-2</c:v>
                </c:pt>
                <c:pt idx="5">
                  <c:v>7.4386702865727503E-2</c:v>
                </c:pt>
                <c:pt idx="6">
                  <c:v>6.8035346451673639E-2</c:v>
                </c:pt>
                <c:pt idx="7">
                  <c:v>7.4290620864863793E-2</c:v>
                </c:pt>
                <c:pt idx="8">
                  <c:v>7.4312788858067094E-2</c:v>
                </c:pt>
                <c:pt idx="9">
                  <c:v>7.290838520738728E-2</c:v>
                </c:pt>
                <c:pt idx="10">
                  <c:v>6.9905639747735338E-2</c:v>
                </c:pt>
                <c:pt idx="11">
                  <c:v>6.7443190061363179E-2</c:v>
                </c:pt>
                <c:pt idx="12">
                  <c:v>6.4975878679114585E-2</c:v>
                </c:pt>
                <c:pt idx="13">
                  <c:v>5.817289196645764E-2</c:v>
                </c:pt>
                <c:pt idx="14">
                  <c:v>6.0411995303590857E-2</c:v>
                </c:pt>
                <c:pt idx="15">
                  <c:v>5.8446766996416204E-2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E5-4887-8825-1A1C45073544}"/>
            </c:ext>
          </c:extLst>
        </c:ser>
        <c:ser>
          <c:idx val="3"/>
          <c:order val="3"/>
          <c:tx>
            <c:strRef>
              <c:f>'3. modal split freight'!$A$6</c:f>
              <c:strCache>
                <c:ptCount val="1"/>
                <c:pt idx="0">
                  <c:v>Benchmark - road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noFill/>
              </a:ln>
              <a:effectLst/>
            </c:spPr>
          </c:marker>
          <c:cat>
            <c:strRef>
              <c:f>'3. modal split freight'!$B$2:$AW$2</c:f>
              <c:strCache>
                <c:ptCount val="46"/>
                <c:pt idx="5">
                  <c:v>2010</c:v>
                </c:pt>
                <c:pt idx="15">
                  <c:v>2020</c:v>
                </c:pt>
                <c:pt idx="25">
                  <c:v>2030</c:v>
                </c:pt>
                <c:pt idx="35">
                  <c:v>2040</c:v>
                </c:pt>
                <c:pt idx="45">
                  <c:v>2050</c:v>
                </c:pt>
              </c:strCache>
            </c:strRef>
          </c:cat>
          <c:val>
            <c:numRef>
              <c:f>'3. modal split freight'!$B$6:$AW$6</c:f>
              <c:numCache>
                <c:formatCode>0</c:formatCode>
                <c:ptCount val="46"/>
                <c:pt idx="25" formatCode="0%">
                  <c:v>0.71994121337003303</c:v>
                </c:pt>
                <c:pt idx="45" formatCode="0%">
                  <c:v>0.67162862492452469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4E5-4887-8825-1A1C45073544}"/>
            </c:ext>
          </c:extLst>
        </c:ser>
        <c:ser>
          <c:idx val="4"/>
          <c:order val="4"/>
          <c:tx>
            <c:strRef>
              <c:f>'3. modal split freight'!$A$7</c:f>
              <c:strCache>
                <c:ptCount val="1"/>
                <c:pt idx="0">
                  <c:v>Benchmark - rail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5000"/>
                </a:schemeClr>
              </a:solidFill>
              <a:ln w="9525">
                <a:noFill/>
              </a:ln>
              <a:effectLst/>
            </c:spPr>
          </c:marker>
          <c:cat>
            <c:strRef>
              <c:f>'3. modal split freight'!$B$2:$AW$2</c:f>
              <c:strCache>
                <c:ptCount val="46"/>
                <c:pt idx="5">
                  <c:v>2010</c:v>
                </c:pt>
                <c:pt idx="15">
                  <c:v>2020</c:v>
                </c:pt>
                <c:pt idx="25">
                  <c:v>2030</c:v>
                </c:pt>
                <c:pt idx="35">
                  <c:v>2040</c:v>
                </c:pt>
                <c:pt idx="45">
                  <c:v>2050</c:v>
                </c:pt>
              </c:strCache>
            </c:strRef>
          </c:cat>
          <c:val>
            <c:numRef>
              <c:f>'3. modal split freight'!$B$7:$AW$7</c:f>
              <c:numCache>
                <c:formatCode>0</c:formatCode>
                <c:ptCount val="46"/>
                <c:pt idx="25" formatCode="0%">
                  <c:v>0.21310544056340394</c:v>
                </c:pt>
                <c:pt idx="45" formatCode="0%">
                  <c:v>0.25559864124038612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4E5-4887-8825-1A1C45073544}"/>
            </c:ext>
          </c:extLst>
        </c:ser>
        <c:ser>
          <c:idx val="5"/>
          <c:order val="5"/>
          <c:tx>
            <c:strRef>
              <c:f>'3. modal split freight'!$A$8</c:f>
              <c:strCache>
                <c:ptCount val="1"/>
                <c:pt idx="0">
                  <c:v>Benchmark - IWW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noFill/>
              </a:ln>
              <a:effectLst/>
            </c:spPr>
          </c:marker>
          <c:cat>
            <c:strRef>
              <c:f>'3. modal split freight'!$B$2:$AW$2</c:f>
              <c:strCache>
                <c:ptCount val="46"/>
                <c:pt idx="5">
                  <c:v>2010</c:v>
                </c:pt>
                <c:pt idx="15">
                  <c:v>2020</c:v>
                </c:pt>
                <c:pt idx="25">
                  <c:v>2030</c:v>
                </c:pt>
                <c:pt idx="35">
                  <c:v>2040</c:v>
                </c:pt>
                <c:pt idx="45">
                  <c:v>2050</c:v>
                </c:pt>
              </c:strCache>
            </c:strRef>
          </c:cat>
          <c:val>
            <c:numRef>
              <c:f>'3. modal split freight'!$B$8:$AW$8</c:f>
              <c:numCache>
                <c:formatCode>General</c:formatCode>
                <c:ptCount val="46"/>
                <c:pt idx="25" formatCode="0%">
                  <c:v>6.6953346066563044E-2</c:v>
                </c:pt>
                <c:pt idx="45" formatCode="0%">
                  <c:v>7.2772733835089212E-2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4E5-4887-8825-1A1C45073544}"/>
            </c:ext>
          </c:extLst>
        </c:ser>
        <c:ser>
          <c:idx val="6"/>
          <c:order val="6"/>
          <c:tx>
            <c:strRef>
              <c:f>'3. modal split freight'!$A$9</c:f>
              <c:strCache>
                <c:ptCount val="1"/>
                <c:pt idx="0">
                  <c:v>linear trajectories</c:v>
                </c:pt>
              </c:strCache>
            </c:strRef>
          </c:tx>
          <c:spPr>
            <a:ln w="12700" cap="rnd">
              <a:solidFill>
                <a:sysClr val="windowText" lastClr="00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'3. modal split freight'!$B$2:$AW$2</c:f>
              <c:strCache>
                <c:ptCount val="46"/>
                <c:pt idx="5">
                  <c:v>2010</c:v>
                </c:pt>
                <c:pt idx="15">
                  <c:v>2020</c:v>
                </c:pt>
                <c:pt idx="25">
                  <c:v>2030</c:v>
                </c:pt>
                <c:pt idx="35">
                  <c:v>2040</c:v>
                </c:pt>
                <c:pt idx="45">
                  <c:v>2050</c:v>
                </c:pt>
              </c:strCache>
            </c:strRef>
          </c:cat>
          <c:val>
            <c:numRef>
              <c:f>'3. modal split freight'!$B$9:$AW$9</c:f>
              <c:numCache>
                <c:formatCode>General</c:formatCode>
                <c:ptCount val="46"/>
                <c:pt idx="15" formatCode="0%">
                  <c:v>0.77416134805419967</c:v>
                </c:pt>
                <c:pt idx="16" formatCode="0%">
                  <c:v>0.76873933458578303</c:v>
                </c:pt>
                <c:pt idx="17" formatCode="0%">
                  <c:v>0.76331732111736628</c:v>
                </c:pt>
                <c:pt idx="18" formatCode="0%">
                  <c:v>0.75789530764894963</c:v>
                </c:pt>
                <c:pt idx="19" formatCode="0%">
                  <c:v>0.75247329418053299</c:v>
                </c:pt>
                <c:pt idx="20" formatCode="0%">
                  <c:v>0.74705128071211635</c:v>
                </c:pt>
                <c:pt idx="21" formatCode="0%">
                  <c:v>0.74162926724369971</c:v>
                </c:pt>
                <c:pt idx="22" formatCode="0%">
                  <c:v>0.73620725377528295</c:v>
                </c:pt>
                <c:pt idx="23" formatCode="0%">
                  <c:v>0.73078524030686631</c:v>
                </c:pt>
                <c:pt idx="24" formatCode="0%">
                  <c:v>0.72536322683844967</c:v>
                </c:pt>
                <c:pt idx="25" formatCode="0%">
                  <c:v>0.71994121337003303</c:v>
                </c:pt>
                <c:pt idx="26" formatCode="0%">
                  <c:v>0.71752558394775767</c:v>
                </c:pt>
                <c:pt idx="27" formatCode="0%">
                  <c:v>0.71510995452548221</c:v>
                </c:pt>
                <c:pt idx="28" formatCode="0%">
                  <c:v>0.71269432510320685</c:v>
                </c:pt>
                <c:pt idx="29" formatCode="0%">
                  <c:v>0.71027869568093138</c:v>
                </c:pt>
                <c:pt idx="30" formatCode="0%">
                  <c:v>0.70786306625865603</c:v>
                </c:pt>
                <c:pt idx="31" formatCode="0%">
                  <c:v>0.70544743683638056</c:v>
                </c:pt>
                <c:pt idx="32" formatCode="0%">
                  <c:v>0.7030318074141052</c:v>
                </c:pt>
                <c:pt idx="33" formatCode="0%">
                  <c:v>0.70061617799182974</c:v>
                </c:pt>
                <c:pt idx="34" formatCode="0%">
                  <c:v>0.69820054856955438</c:v>
                </c:pt>
                <c:pt idx="35" formatCode="0%">
                  <c:v>0.69578491914727891</c:v>
                </c:pt>
                <c:pt idx="36" formatCode="0%">
                  <c:v>0.69336928972500345</c:v>
                </c:pt>
                <c:pt idx="37" formatCode="0%">
                  <c:v>0.69095366030272809</c:v>
                </c:pt>
                <c:pt idx="38" formatCode="0%">
                  <c:v>0.68853803088045262</c:v>
                </c:pt>
                <c:pt idx="39" formatCode="0%">
                  <c:v>0.68612240145817727</c:v>
                </c:pt>
                <c:pt idx="40" formatCode="0%">
                  <c:v>0.6837067720359018</c:v>
                </c:pt>
                <c:pt idx="41" formatCode="0%">
                  <c:v>0.68129114261362644</c:v>
                </c:pt>
                <c:pt idx="42" formatCode="0%">
                  <c:v>0.67887551319135098</c:v>
                </c:pt>
                <c:pt idx="43" formatCode="0%">
                  <c:v>0.67645988376907562</c:v>
                </c:pt>
                <c:pt idx="44" formatCode="0%">
                  <c:v>0.67404425434680015</c:v>
                </c:pt>
                <c:pt idx="45" formatCode="0%">
                  <c:v>0.67162862492452469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4E5-4887-8825-1A1C45073544}"/>
            </c:ext>
          </c:extLst>
        </c:ser>
        <c:ser>
          <c:idx val="7"/>
          <c:order val="7"/>
          <c:tx>
            <c:strRef>
              <c:f>'3. modal split freight'!$A$10</c:f>
              <c:strCache>
                <c:ptCount val="1"/>
                <c:pt idx="0">
                  <c:v>linear trajectories</c:v>
                </c:pt>
              </c:strCache>
            </c:strRef>
          </c:tx>
          <c:spPr>
            <a:ln w="12700" cap="rnd">
              <a:solidFill>
                <a:sysClr val="windowText" lastClr="00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'3. modal split freight'!$B$2:$AW$2</c:f>
              <c:strCache>
                <c:ptCount val="46"/>
                <c:pt idx="5">
                  <c:v>2010</c:v>
                </c:pt>
                <c:pt idx="15">
                  <c:v>2020</c:v>
                </c:pt>
                <c:pt idx="25">
                  <c:v>2030</c:v>
                </c:pt>
                <c:pt idx="35">
                  <c:v>2040</c:v>
                </c:pt>
                <c:pt idx="45">
                  <c:v>2050</c:v>
                </c:pt>
              </c:strCache>
            </c:strRef>
          </c:cat>
          <c:val>
            <c:numRef>
              <c:f>'3. modal split freight'!$B$10:$AW$10</c:f>
              <c:numCache>
                <c:formatCode>General</c:formatCode>
                <c:ptCount val="46"/>
                <c:pt idx="15" formatCode="0%">
                  <c:v>0.16739188494938412</c:v>
                </c:pt>
                <c:pt idx="16" formatCode="0%">
                  <c:v>0.1719632405107861</c:v>
                </c:pt>
                <c:pt idx="17" formatCode="0%">
                  <c:v>0.17653459607218808</c:v>
                </c:pt>
                <c:pt idx="18" formatCode="0%">
                  <c:v>0.18110595163359006</c:v>
                </c:pt>
                <c:pt idx="19" formatCode="0%">
                  <c:v>0.18567730719499204</c:v>
                </c:pt>
                <c:pt idx="20" formatCode="0%">
                  <c:v>0.19024866275639402</c:v>
                </c:pt>
                <c:pt idx="21" formatCode="0%">
                  <c:v>0.194820018317796</c:v>
                </c:pt>
                <c:pt idx="22" formatCode="0%">
                  <c:v>0.19939137387919798</c:v>
                </c:pt>
                <c:pt idx="23" formatCode="0%">
                  <c:v>0.20396272944059995</c:v>
                </c:pt>
                <c:pt idx="24" formatCode="0%">
                  <c:v>0.20853408500200193</c:v>
                </c:pt>
                <c:pt idx="25" formatCode="0%">
                  <c:v>0.21310544056340394</c:v>
                </c:pt>
                <c:pt idx="26" formatCode="0%">
                  <c:v>0.21523010059725303</c:v>
                </c:pt>
                <c:pt idx="27" formatCode="0%">
                  <c:v>0.21735476063110215</c:v>
                </c:pt>
                <c:pt idx="28" formatCode="0%">
                  <c:v>0.21947942066495127</c:v>
                </c:pt>
                <c:pt idx="29" formatCode="0%">
                  <c:v>0.22160408069880036</c:v>
                </c:pt>
                <c:pt idx="30" formatCode="0%">
                  <c:v>0.22372874073264948</c:v>
                </c:pt>
                <c:pt idx="31" formatCode="0%">
                  <c:v>0.2258534007664986</c:v>
                </c:pt>
                <c:pt idx="32" formatCode="0%">
                  <c:v>0.22797806080034771</c:v>
                </c:pt>
                <c:pt idx="33" formatCode="0%">
                  <c:v>0.23010272083419681</c:v>
                </c:pt>
                <c:pt idx="34" formatCode="0%">
                  <c:v>0.23222738086804592</c:v>
                </c:pt>
                <c:pt idx="35" formatCode="0%">
                  <c:v>0.23435204090189504</c:v>
                </c:pt>
                <c:pt idx="36" formatCode="0%">
                  <c:v>0.23647670093574413</c:v>
                </c:pt>
                <c:pt idx="37" formatCode="0%">
                  <c:v>0.23860136096959325</c:v>
                </c:pt>
                <c:pt idx="38" formatCode="0%">
                  <c:v>0.24072602100344237</c:v>
                </c:pt>
                <c:pt idx="39" formatCode="0%">
                  <c:v>0.24285068103729146</c:v>
                </c:pt>
                <c:pt idx="40" formatCode="0%">
                  <c:v>0.24497534107114058</c:v>
                </c:pt>
                <c:pt idx="41" formatCode="0%">
                  <c:v>0.2471000011049897</c:v>
                </c:pt>
                <c:pt idx="42" formatCode="0%">
                  <c:v>0.24922466113883879</c:v>
                </c:pt>
                <c:pt idx="43" formatCode="0%">
                  <c:v>0.25134932117268793</c:v>
                </c:pt>
                <c:pt idx="44" formatCode="0%">
                  <c:v>0.25347398120653702</c:v>
                </c:pt>
                <c:pt idx="45" formatCode="0%">
                  <c:v>0.25559864124038612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4E5-4887-8825-1A1C45073544}"/>
            </c:ext>
          </c:extLst>
        </c:ser>
        <c:ser>
          <c:idx val="8"/>
          <c:order val="8"/>
          <c:tx>
            <c:strRef>
              <c:f>'3. modal split freight'!$A$11</c:f>
              <c:strCache>
                <c:ptCount val="1"/>
                <c:pt idx="0">
                  <c:v>linear trajectories</c:v>
                </c:pt>
              </c:strCache>
            </c:strRef>
          </c:tx>
          <c:spPr>
            <a:ln w="12700" cap="rnd">
              <a:solidFill>
                <a:schemeClr val="accent3">
                  <a:lumMod val="6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'3. modal split freight'!$B$2:$AW$2</c:f>
              <c:strCache>
                <c:ptCount val="46"/>
                <c:pt idx="5">
                  <c:v>2010</c:v>
                </c:pt>
                <c:pt idx="15">
                  <c:v>2020</c:v>
                </c:pt>
                <c:pt idx="25">
                  <c:v>2030</c:v>
                </c:pt>
                <c:pt idx="35">
                  <c:v>2040</c:v>
                </c:pt>
                <c:pt idx="45">
                  <c:v>2050</c:v>
                </c:pt>
              </c:strCache>
            </c:strRef>
          </c:cat>
          <c:val>
            <c:numRef>
              <c:f>'3. modal split freight'!$B$11:$AW$11</c:f>
              <c:numCache>
                <c:formatCode>General</c:formatCode>
                <c:ptCount val="46"/>
                <c:pt idx="15" formatCode="0%">
                  <c:v>5.8446766996416225E-2</c:v>
                </c:pt>
                <c:pt idx="16" formatCode="0%">
                  <c:v>5.9297424903430908E-2</c:v>
                </c:pt>
                <c:pt idx="17" formatCode="0%">
                  <c:v>6.0148082810445591E-2</c:v>
                </c:pt>
                <c:pt idx="18" formatCode="0%">
                  <c:v>6.0998740717460267E-2</c:v>
                </c:pt>
                <c:pt idx="19" formatCode="0%">
                  <c:v>6.1849398624474951E-2</c:v>
                </c:pt>
                <c:pt idx="20" formatCode="0%">
                  <c:v>6.2700056531489634E-2</c:v>
                </c:pt>
                <c:pt idx="21" formatCode="0%">
                  <c:v>6.3550714438504324E-2</c:v>
                </c:pt>
                <c:pt idx="22" formatCode="0%">
                  <c:v>6.4401372345519001E-2</c:v>
                </c:pt>
                <c:pt idx="23" formatCode="0%">
                  <c:v>6.5252030252533677E-2</c:v>
                </c:pt>
                <c:pt idx="24" formatCode="0%">
                  <c:v>6.6102688159548367E-2</c:v>
                </c:pt>
                <c:pt idx="25" formatCode="0%">
                  <c:v>6.6953346066563044E-2</c:v>
                </c:pt>
                <c:pt idx="26" formatCode="0%">
                  <c:v>6.7244315454989351E-2</c:v>
                </c:pt>
                <c:pt idx="27" formatCode="0%">
                  <c:v>6.7535284843415672E-2</c:v>
                </c:pt>
                <c:pt idx="28" formatCode="0%">
                  <c:v>6.7826254231841979E-2</c:v>
                </c:pt>
                <c:pt idx="29" formatCode="0%">
                  <c:v>6.8117223620268286E-2</c:v>
                </c:pt>
                <c:pt idx="30" formatCode="0%">
                  <c:v>6.8408193008694593E-2</c:v>
                </c:pt>
                <c:pt idx="31" formatCode="0%">
                  <c:v>6.86991623971209E-2</c:v>
                </c:pt>
                <c:pt idx="32" formatCode="0%">
                  <c:v>6.8990131785547221E-2</c:v>
                </c:pt>
                <c:pt idx="33" formatCode="0%">
                  <c:v>6.9281101173973528E-2</c:v>
                </c:pt>
                <c:pt idx="34" formatCode="0%">
                  <c:v>6.9572070562399835E-2</c:v>
                </c:pt>
                <c:pt idx="35" formatCode="0%">
                  <c:v>6.9863039950826142E-2</c:v>
                </c:pt>
                <c:pt idx="36" formatCode="0%">
                  <c:v>7.0154009339252449E-2</c:v>
                </c:pt>
                <c:pt idx="37" formatCode="0%">
                  <c:v>7.044497872767877E-2</c:v>
                </c:pt>
                <c:pt idx="38" formatCode="0%">
                  <c:v>7.0735948116105077E-2</c:v>
                </c:pt>
                <c:pt idx="39" formatCode="0%">
                  <c:v>7.1026917504531384E-2</c:v>
                </c:pt>
                <c:pt idx="40" formatCode="0%">
                  <c:v>7.1317886892957691E-2</c:v>
                </c:pt>
                <c:pt idx="41" formatCode="0%">
                  <c:v>7.1608856281383998E-2</c:v>
                </c:pt>
                <c:pt idx="42" formatCode="0%">
                  <c:v>7.1899825669810319E-2</c:v>
                </c:pt>
                <c:pt idx="43" formatCode="0%">
                  <c:v>7.2190795058236626E-2</c:v>
                </c:pt>
                <c:pt idx="44" formatCode="0%">
                  <c:v>7.2481764446662933E-2</c:v>
                </c:pt>
                <c:pt idx="45" formatCode="0%">
                  <c:v>7.277273383508924E-2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4E5-4887-8825-1A1C450735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2053008"/>
        <c:axId val="1962056368"/>
      </c:lineChart>
      <c:catAx>
        <c:axId val="1962053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962056368"/>
        <c:crosses val="autoZero"/>
        <c:auto val="1"/>
        <c:lblAlgn val="ctr"/>
        <c:lblOffset val="100"/>
        <c:noMultiLvlLbl val="0"/>
      </c:catAx>
      <c:valAx>
        <c:axId val="196205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962053008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50</xdr:col>
      <xdr:colOff>580370</xdr:colOff>
      <xdr:row>16</xdr:row>
      <xdr:rowOff>116815</xdr:rowOff>
    </xdr:from>
    <xdr:to>
      <xdr:col>62</xdr:col>
      <xdr:colOff>280147</xdr:colOff>
      <xdr:row>34</xdr:row>
      <xdr:rowOff>116815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B3553C-4EA4-89BC-9582-CBABF94961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478969</xdr:colOff>
      <xdr:row>14</xdr:row>
      <xdr:rowOff>52047</xdr:rowOff>
    </xdr:from>
    <xdr:to>
      <xdr:col>20</xdr:col>
      <xdr:colOff>310815</xdr:colOff>
      <xdr:row>31</xdr:row>
      <xdr:rowOff>44929</xdr:rowOff>
    </xdr:to>
    <xdr:graphicFrame macro="">
      <xdr:nvGraphicFramePr>
        <xdr:cNvPr id="9" name="Chart 5">
          <a:extLst>
            <a:ext uri="{FF2B5EF4-FFF2-40B4-BE49-F238E27FC236}">
              <a16:creationId xmlns:a16="http://schemas.microsoft.com/office/drawing/2014/main" id="{861AC599-F18F-5E19-B518-72160757F7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153629</xdr:colOff>
      <xdr:row>22</xdr:row>
      <xdr:rowOff>46089</xdr:rowOff>
    </xdr:from>
    <xdr:to>
      <xdr:col>34</xdr:col>
      <xdr:colOff>440775</xdr:colOff>
      <xdr:row>38</xdr:row>
      <xdr:rowOff>61452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4FCED9-B4CD-2E14-2CBD-F1DF55F01B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348792</xdr:colOff>
      <xdr:row>18</xdr:row>
      <xdr:rowOff>93391</xdr:rowOff>
    </xdr:from>
    <xdr:to>
      <xdr:col>15</xdr:col>
      <xdr:colOff>448804</xdr:colOff>
      <xdr:row>37</xdr:row>
      <xdr:rowOff>51336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DAA003-2130-E79D-9285-7D1F648DE0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151491</xdr:colOff>
      <xdr:row>9</xdr:row>
      <xdr:rowOff>133350</xdr:rowOff>
    </xdr:from>
    <xdr:to>
      <xdr:col>13</xdr:col>
      <xdr:colOff>520245</xdr:colOff>
      <xdr:row>22</xdr:row>
      <xdr:rowOff>158262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248173-8403-D51F-2184-063C7E274D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948343</xdr:colOff>
      <xdr:row>42</xdr:row>
      <xdr:rowOff>109641</xdr:rowOff>
    </xdr:from>
    <xdr:to>
      <xdr:col>12</xdr:col>
      <xdr:colOff>591039</xdr:colOff>
      <xdr:row>59</xdr:row>
      <xdr:rowOff>43216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6AF3B7CD-5027-3FD6-A906-85E932CF4F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461962</xdr:colOff>
      <xdr:row>1</xdr:row>
      <xdr:rowOff>80961</xdr:rowOff>
    </xdr:from>
    <xdr:to>
      <xdr:col>48</xdr:col>
      <xdr:colOff>19050</xdr:colOff>
      <xdr:row>20</xdr:row>
      <xdr:rowOff>104774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09ABB6-7C41-7DB9-956B-5557CE8866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146994</xdr:colOff>
      <xdr:row>44</xdr:row>
      <xdr:rowOff>57151</xdr:rowOff>
    </xdr:from>
    <xdr:to>
      <xdr:col>12</xdr:col>
      <xdr:colOff>527106</xdr:colOff>
      <xdr:row>57</xdr:row>
      <xdr:rowOff>133352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F109D36-C6B3-D9C0-6D9D-AAFCF6F300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39</xdr:col>
      <xdr:colOff>138112</xdr:colOff>
      <xdr:row>63</xdr:row>
      <xdr:rowOff>71437</xdr:rowOff>
    </xdr:from>
    <xdr:to>
      <xdr:col>46</xdr:col>
      <xdr:colOff>442912</xdr:colOff>
      <xdr:row>77</xdr:row>
      <xdr:rowOff>52387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8B11257-2622-870B-3D34-E69B2F1C1E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503040</xdr:colOff>
      <xdr:row>12</xdr:row>
      <xdr:rowOff>128589</xdr:rowOff>
    </xdr:from>
    <xdr:to>
      <xdr:col>4</xdr:col>
      <xdr:colOff>29766</xdr:colOff>
      <xdr:row>29</xdr:row>
      <xdr:rowOff>44649</xdr:rowOff>
    </xdr:to>
    <xdr:graphicFrame macro="">
      <xdr:nvGraphicFramePr>
        <xdr:cNvPr id="9" name="Chart 2">
          <a:extLst>
            <a:ext uri="{FF2B5EF4-FFF2-40B4-BE49-F238E27FC236}">
              <a16:creationId xmlns:a16="http://schemas.microsoft.com/office/drawing/2014/main" id="{15C7C935-72F5-C657-F95C-026FC5C0AD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793718</xdr:colOff>
      <xdr:row>44</xdr:row>
      <xdr:rowOff>137665</xdr:rowOff>
    </xdr:from>
    <xdr:to>
      <xdr:col>4</xdr:col>
      <xdr:colOff>583373</xdr:colOff>
      <xdr:row>61</xdr:row>
      <xdr:rowOff>59533</xdr:rowOff>
    </xdr:to>
    <xdr:graphicFrame macro="">
      <xdr:nvGraphicFramePr>
        <xdr:cNvPr id="10" name="Chart 3">
          <a:extLst>
            <a:ext uri="{FF2B5EF4-FFF2-40B4-BE49-F238E27FC236}">
              <a16:creationId xmlns:a16="http://schemas.microsoft.com/office/drawing/2014/main" id="{9271C243-16E4-C0E7-BF49-044322BA30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423862</xdr:colOff>
      <xdr:row>73</xdr:row>
      <xdr:rowOff>23812</xdr:rowOff>
    </xdr:from>
    <xdr:to>
      <xdr:col>37</xdr:col>
      <xdr:colOff>119062</xdr:colOff>
      <xdr:row>87</xdr:row>
      <xdr:rowOff>100012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7966702-D84F-DB54-1820-31A35C749A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440663</xdr:colOff>
      <xdr:row>2</xdr:row>
      <xdr:rowOff>120851</xdr:rowOff>
    </xdr:from>
    <xdr:to>
      <xdr:col>7</xdr:col>
      <xdr:colOff>588945</xdr:colOff>
      <xdr:row>16</xdr:row>
      <xdr:rowOff>90714</xdr:rowOff>
    </xdr:to>
    <xdr:grpSp>
      <xdr:nvGrpSpPr>
        <xdr:cNvPr id="13" name="Group 1">
          <a:extLst>
            <a:ext uri="{FF2B5EF4-FFF2-40B4-BE49-F238E27FC236}">
              <a16:creationId xmlns:a16="http://schemas.microsoft.com/office/drawing/2014/main" id="{EA30E482-30E8-DA8C-8DED-BA7DEB73256E}"/>
            </a:ext>
          </a:extLst>
        </xdr:cNvPr>
        <xdr:cNvGrpSpPr/>
      </xdr:nvGrpSpPr>
      <xdr:grpSpPr>
        <a:xfrm>
          <a:off x="440663" y="501851"/>
          <a:ext cx="7650041" cy="2636863"/>
          <a:chOff x="418682" y="506387"/>
          <a:chExt cx="7666228" cy="2668613"/>
        </a:xfrm>
      </xdr:grpSpPr>
      <xdr:graphicFrame macro="">
        <xdr:nvGraphicFramePr>
          <xdr:cNvPr id="14" name="Chart 4">
            <a:extLst>
              <a:ext uri="{FF2B5EF4-FFF2-40B4-BE49-F238E27FC236}">
                <a16:creationId xmlns:a16="http://schemas.microsoft.com/office/drawing/2014/main" id="{FB5F4538-FF44-391F-792B-13A3DC070209}"/>
              </a:ext>
            </a:extLst>
          </xdr:cNvPr>
          <xdr:cNvGraphicFramePr/>
        </xdr:nvGraphicFramePr>
        <xdr:xfrm>
          <a:off x="418682" y="506387"/>
          <a:ext cx="3575581" cy="25993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15" name="Chart 6">
            <a:extLst>
              <a:ext uri="{FF2B5EF4-FFF2-40B4-BE49-F238E27FC236}">
                <a16:creationId xmlns:a16="http://schemas.microsoft.com/office/drawing/2014/main" id="{95F4311D-F88B-478E-0E11-A4501275FEDA}"/>
              </a:ext>
            </a:extLst>
          </xdr:cNvPr>
          <xdr:cNvGraphicFramePr/>
        </xdr:nvGraphicFramePr>
        <xdr:xfrm>
          <a:off x="4017961" y="512536"/>
          <a:ext cx="4066949" cy="266246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24</xdr:col>
      <xdr:colOff>161925</xdr:colOff>
      <xdr:row>85</xdr:row>
      <xdr:rowOff>138112</xdr:rowOff>
    </xdr:from>
    <xdr:to>
      <xdr:col>31</xdr:col>
      <xdr:colOff>466725</xdr:colOff>
      <xdr:row>86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B0D8AAA-9DE3-4037-A18E-811538F166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202031</xdr:colOff>
      <xdr:row>2</xdr:row>
      <xdr:rowOff>71509</xdr:rowOff>
    </xdr:from>
    <xdr:to>
      <xdr:col>21</xdr:col>
      <xdr:colOff>250658</xdr:colOff>
      <xdr:row>16</xdr:row>
      <xdr:rowOff>133683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B6CED0-CB20-AE22-2184-FBBF1A7A9E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281792</xdr:colOff>
      <xdr:row>14</xdr:row>
      <xdr:rowOff>55358</xdr:rowOff>
    </xdr:from>
    <xdr:to>
      <xdr:col>45</xdr:col>
      <xdr:colOff>377041</xdr:colOff>
      <xdr:row>31</xdr:row>
      <xdr:rowOff>86591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E57D71-B836-0078-D36A-CADADEBAA1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348637</xdr:colOff>
      <xdr:row>29</xdr:row>
      <xdr:rowOff>29663</xdr:rowOff>
    </xdr:from>
    <xdr:to>
      <xdr:col>10</xdr:col>
      <xdr:colOff>410116</xdr:colOff>
      <xdr:row>45</xdr:row>
      <xdr:rowOff>85639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1F82C326-6C34-C0A3-E546-AB79CF7FA5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531438</xdr:colOff>
      <xdr:row>13</xdr:row>
      <xdr:rowOff>47903</xdr:rowOff>
    </xdr:from>
    <xdr:to>
      <xdr:col>59</xdr:col>
      <xdr:colOff>88526</xdr:colOff>
      <xdr:row>32</xdr:row>
      <xdr:rowOff>71716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197DBDB5-5A82-4665-92EA-16C1863B6C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</xdr:colOff>
      <xdr:row>28</xdr:row>
      <xdr:rowOff>38100</xdr:rowOff>
    </xdr:from>
    <xdr:to>
      <xdr:col>13</xdr:col>
      <xdr:colOff>333375</xdr:colOff>
      <xdr:row>44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5F24D1-399D-4F4D-B133-1533EABFA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5372100"/>
          <a:ext cx="5810250" cy="3143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8</xdr:col>
      <xdr:colOff>504825</xdr:colOff>
      <xdr:row>21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CD5659-0B0B-4529-82A7-0CF97AD1A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52500"/>
          <a:ext cx="2943225" cy="316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eea1.sharepoint.com/teams/EuropeanScientificAdvisoryBoardonClimateChange2/Shared%20Documents/General/Subgroups/1b.%20Consistency%20EU%20measures/Drafts/underlying%20excels%20and%20flowcharts/background%20data/ESABCC_Energy_Snapshots.xlsx" TargetMode="External"/><Relationship Id="rId2" Type="http://schemas.microsoft.com/office/2019/04/relationships/externalLinkLongPath" Target="/teams/EuropeanScientificAdvisoryBoardonClimateChange2/Shared%20Documents/General/Subgroups/1b.%20Consistency%20EU%20measures/Drafts/underlying%20excels%20and%20flowcharts/background%20data/ESABCC_Energy_Snapshots.xlsx?AC963AB7" TargetMode="External"/><Relationship Id="rId1" Type="http://schemas.openxmlformats.org/officeDocument/2006/relationships/externalLinkPath" Target="file:///\\AC963AB7\ESABCC_Energy_Snapsho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EnerSupplyEmissions"/>
      <sheetName val="Final&amp;Elec"/>
      <sheetName val="Primary"/>
      <sheetName val="PrimaryComposition"/>
      <sheetName val="GridIntensity"/>
      <sheetName val="CDR &amp; Electricity"/>
      <sheetName val="CH4Ener"/>
      <sheetName val="RES%2030"/>
      <sheetName val="RES%2035"/>
      <sheetName val="RES%IP2only"/>
      <sheetName val="ElecMix"/>
      <sheetName val="FinalEnerShares"/>
      <sheetName val="Hydrogen"/>
      <sheetName val="RES_FF55vs2040"/>
      <sheetName val="CapacityWindSolar"/>
      <sheetName val="WindCapacityFactor"/>
      <sheetName val="ResComm&amp;Agri"/>
      <sheetName val="HeatPumps"/>
      <sheetName val="Industry"/>
      <sheetName val="Agriculture"/>
      <sheetName val="LULUCF"/>
      <sheetName val="Sheet2"/>
      <sheetName val="Transport"/>
    </sheetNames>
    <sheetDataSet>
      <sheetData sheetId="0"/>
      <sheetData sheetId="1">
        <row r="168">
          <cell r="I168">
            <v>1193.282093753824</v>
          </cell>
        </row>
      </sheetData>
      <sheetData sheetId="2">
        <row r="10">
          <cell r="U10">
            <v>1472.5667976399998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>
        <row r="102">
          <cell r="AO102">
            <v>0.64160916786278233</v>
          </cell>
        </row>
      </sheetData>
      <sheetData sheetId="11"/>
      <sheetData sheetId="12"/>
      <sheetData sheetId="13"/>
      <sheetData sheetId="14"/>
      <sheetData sheetId="15"/>
      <sheetData sheetId="16">
        <row r="138">
          <cell r="AO138">
            <v>261.24919999999997</v>
          </cell>
        </row>
      </sheetData>
      <sheetData sheetId="17"/>
      <sheetData sheetId="18">
        <row r="24">
          <cell r="AA24">
            <v>760.88289999999995</v>
          </cell>
        </row>
      </sheetData>
      <sheetData sheetId="19">
        <row r="36">
          <cell r="AP36">
            <v>318.13536699999997</v>
          </cell>
        </row>
      </sheetData>
      <sheetData sheetId="20">
        <row r="2">
          <cell r="AO2">
            <v>-293.89269999999999</v>
          </cell>
        </row>
      </sheetData>
      <sheetData sheetId="21"/>
      <sheetData sheetId="22">
        <row r="2">
          <cell r="U2">
            <v>765.86789999999996</v>
          </cell>
          <cell r="Z2">
            <v>751.77200000000005</v>
          </cell>
          <cell r="AE2">
            <v>736.23889999999994</v>
          </cell>
          <cell r="AJ2">
            <v>686.91359999999997</v>
          </cell>
          <cell r="AO2">
            <v>521.68769999999995</v>
          </cell>
          <cell r="AT2">
            <v>282.13510000000002</v>
          </cell>
          <cell r="AY2">
            <v>94.709599999999995</v>
          </cell>
          <cell r="BD2">
            <v>23.852</v>
          </cell>
          <cell r="BI2">
            <v>15.2936</v>
          </cell>
        </row>
        <row r="3">
          <cell r="U3">
            <v>765.86789999999996</v>
          </cell>
          <cell r="Z3">
            <v>751.77200000000005</v>
          </cell>
          <cell r="AE3">
            <v>736.23889999999994</v>
          </cell>
          <cell r="AJ3">
            <v>686.91359999999997</v>
          </cell>
          <cell r="AO3">
            <v>521.56060000000002</v>
          </cell>
          <cell r="AT3">
            <v>281.24779999999998</v>
          </cell>
          <cell r="AY3">
            <v>93.774500000000003</v>
          </cell>
          <cell r="BD3">
            <v>22.942</v>
          </cell>
          <cell r="BI3">
            <v>15.629200000000001</v>
          </cell>
        </row>
        <row r="4">
          <cell r="U4">
            <v>765.86789999999996</v>
          </cell>
          <cell r="Z4">
            <v>751.77200000000005</v>
          </cell>
          <cell r="AE4">
            <v>736.23889999999994</v>
          </cell>
          <cell r="AJ4">
            <v>686.91359999999997</v>
          </cell>
          <cell r="AO4">
            <v>520.48389999999995</v>
          </cell>
          <cell r="AT4">
            <v>277.17200000000003</v>
          </cell>
          <cell r="AY4">
            <v>89.310400000000001</v>
          </cell>
          <cell r="BD4">
            <v>19.659600000000001</v>
          </cell>
          <cell r="BI4">
            <v>12.807399999999999</v>
          </cell>
        </row>
        <row r="5">
          <cell r="U5">
            <v>765.86789999999996</v>
          </cell>
          <cell r="Z5">
            <v>751.77200000000005</v>
          </cell>
          <cell r="AE5">
            <v>736.23889999999994</v>
          </cell>
          <cell r="AJ5">
            <v>686.84010000000001</v>
          </cell>
          <cell r="AO5">
            <v>520.90729999999996</v>
          </cell>
          <cell r="AT5">
            <v>280.65629999999999</v>
          </cell>
          <cell r="AY5">
            <v>93.806799999999996</v>
          </cell>
          <cell r="BD5">
            <v>23.225100000000001</v>
          </cell>
          <cell r="BI5">
            <v>15.687799999999999</v>
          </cell>
        </row>
        <row r="6">
          <cell r="U6">
            <v>765.86789999999996</v>
          </cell>
          <cell r="Z6">
            <v>751.77200000000005</v>
          </cell>
          <cell r="AE6">
            <v>736.23889999999994</v>
          </cell>
          <cell r="AJ6">
            <v>687.60810000000004</v>
          </cell>
          <cell r="AO6">
            <v>519.75750000000005</v>
          </cell>
          <cell r="AT6">
            <v>276.72230000000002</v>
          </cell>
          <cell r="AY6">
            <v>88.840199999999996</v>
          </cell>
          <cell r="BD6">
            <v>19.3733</v>
          </cell>
          <cell r="BI6">
            <v>12.7173</v>
          </cell>
        </row>
        <row r="7">
          <cell r="U7">
            <v>765.86789999999996</v>
          </cell>
          <cell r="Z7">
            <v>751.77200000000005</v>
          </cell>
          <cell r="AE7">
            <v>736.23889999999994</v>
          </cell>
          <cell r="AJ7">
            <v>686.91359999999997</v>
          </cell>
          <cell r="AO7">
            <v>521.68769999999995</v>
          </cell>
          <cell r="AT7">
            <v>280.83499999999998</v>
          </cell>
          <cell r="AY7">
            <v>92.332499999999996</v>
          </cell>
          <cell r="BD7">
            <v>21.011600000000001</v>
          </cell>
          <cell r="BI7">
            <v>13.698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hyperlink" Target="https://ec.europa.eu/eurostat/web/energy/database/additional-data" TargetMode="External"/><Relationship Id="rId1" Type="http://schemas.openxmlformats.org/officeDocument/2006/relationships/hyperlink" Target="https://ec.europa.eu/eurostat/web/energy/database/additional-data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4A2BA-CC43-4D0B-A532-24EECDC35A91}">
  <sheetPr>
    <tabColor rgb="FFEFE973"/>
    <outlinePr summaryBelow="0"/>
  </sheetPr>
  <dimension ref="A1:BA90"/>
  <sheetViews>
    <sheetView showGridLines="0" topLeftCell="AA1" zoomScale="98" zoomScaleNormal="98" workbookViewId="0">
      <selection activeCell="C3" activeCellId="1" sqref="A3:A17 C3:AX17"/>
    </sheetView>
  </sheetViews>
  <sheetFormatPr defaultRowHeight="15" outlineLevelRow="2"/>
  <cols>
    <col min="1" max="1" width="25.85546875" bestFit="1" customWidth="1"/>
    <col min="2" max="2" width="20.42578125" style="16" customWidth="1"/>
    <col min="3" max="3" width="8.5703125" style="16" customWidth="1"/>
    <col min="4" max="4" width="8.5703125" customWidth="1"/>
    <col min="5" max="10" width="10.140625" bestFit="1" customWidth="1"/>
  </cols>
  <sheetData>
    <row r="1" spans="1:53">
      <c r="A1" s="9" t="s">
        <v>0</v>
      </c>
      <c r="B1" s="15"/>
      <c r="C1" s="15"/>
      <c r="D1" s="9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</row>
    <row r="2" spans="1:53">
      <c r="B2" s="16" t="s">
        <v>1</v>
      </c>
      <c r="C2" s="16" t="s">
        <v>2</v>
      </c>
      <c r="D2">
        <v>1990</v>
      </c>
      <c r="E2" t="s">
        <v>3</v>
      </c>
      <c r="J2" t="s">
        <v>4</v>
      </c>
      <c r="O2" t="s">
        <v>5</v>
      </c>
      <c r="T2" t="s">
        <v>6</v>
      </c>
      <c r="Y2">
        <v>2025</v>
      </c>
      <c r="AD2">
        <v>2030</v>
      </c>
      <c r="AI2">
        <v>2035</v>
      </c>
      <c r="AN2">
        <v>2040</v>
      </c>
      <c r="AS2">
        <v>2045</v>
      </c>
      <c r="AX2">
        <v>2050</v>
      </c>
    </row>
    <row r="3" spans="1:53">
      <c r="A3" t="s">
        <v>7</v>
      </c>
      <c r="B3" s="16" t="s">
        <v>8</v>
      </c>
      <c r="C3" s="16" t="s">
        <v>9</v>
      </c>
      <c r="D3" s="1">
        <f>672.476+54.098</f>
        <v>726.57399999999996</v>
      </c>
      <c r="E3" s="4">
        <f>E4+E5+E6+E8+E10+E9</f>
        <v>943.4794418489497</v>
      </c>
      <c r="F3" s="4">
        <f>F4+F5+F6+F8+F10+F9</f>
        <v>956.65513022809159</v>
      </c>
      <c r="G3" s="4">
        <f t="shared" ref="G3:U3" si="0">G4+G5+G6+G8+G10+G9</f>
        <v>969.81742899555525</v>
      </c>
      <c r="H3" s="4">
        <f t="shared" si="0"/>
        <v>952.31848981250016</v>
      </c>
      <c r="I3" s="4">
        <f t="shared" si="0"/>
        <v>921.85077200585067</v>
      </c>
      <c r="J3" s="4">
        <f t="shared" si="0"/>
        <v>918.00703158008855</v>
      </c>
      <c r="K3" s="4">
        <f t="shared" si="0"/>
        <v>911.07748975065738</v>
      </c>
      <c r="L3" s="4">
        <f t="shared" si="0"/>
        <v>880.41802090693068</v>
      </c>
      <c r="M3" s="4">
        <f t="shared" si="0"/>
        <v>875.37553752325141</v>
      </c>
      <c r="N3" s="4">
        <f t="shared" si="0"/>
        <v>882.74853162613931</v>
      </c>
      <c r="O3" s="4">
        <f t="shared" si="0"/>
        <v>901.76976304402092</v>
      </c>
      <c r="P3" s="4">
        <f t="shared" si="0"/>
        <v>925.82312919906485</v>
      </c>
      <c r="Q3" s="4">
        <f t="shared" si="0"/>
        <v>949.14292414401905</v>
      </c>
      <c r="R3" s="4">
        <f t="shared" si="0"/>
        <v>956.8413283327061</v>
      </c>
      <c r="S3" s="4">
        <f t="shared" si="0"/>
        <v>965.70965274013042</v>
      </c>
      <c r="T3" s="4">
        <f t="shared" si="0"/>
        <v>776.29167184368669</v>
      </c>
      <c r="U3" s="4">
        <f t="shared" si="0"/>
        <v>851.85502559913743</v>
      </c>
      <c r="V3" s="4">
        <f>(V39+V51)/1000</f>
        <v>906.58297866999999</v>
      </c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BA3" s="2"/>
    </row>
    <row r="4" spans="1:53">
      <c r="A4" t="s">
        <v>10</v>
      </c>
      <c r="B4" s="16" t="s">
        <v>8</v>
      </c>
      <c r="C4" s="16" t="s">
        <v>9</v>
      </c>
      <c r="D4" s="4">
        <f>(D42+D45)/1000</f>
        <v>397.47613580696185</v>
      </c>
      <c r="E4" s="4">
        <f>(E42+E45)/1000</f>
        <v>491.58833576011546</v>
      </c>
      <c r="F4" s="4">
        <f>(F42+F45)/1000</f>
        <v>493.17413687833317</v>
      </c>
      <c r="G4" s="4">
        <f t="shared" ref="G4:U4" si="1">(G42+G45)/1000</f>
        <v>499.67276974915893</v>
      </c>
      <c r="H4" s="4">
        <f t="shared" si="1"/>
        <v>492.32041008432606</v>
      </c>
      <c r="I4" s="4">
        <f t="shared" si="1"/>
        <v>487.92104830248309</v>
      </c>
      <c r="J4" s="4">
        <f t="shared" si="1"/>
        <v>481.69079157490069</v>
      </c>
      <c r="K4" s="4">
        <f t="shared" si="1"/>
        <v>475.21365971305733</v>
      </c>
      <c r="L4" s="4">
        <f t="shared" si="1"/>
        <v>456.50393725448805</v>
      </c>
      <c r="M4" s="4">
        <f t="shared" si="1"/>
        <v>458.79057040730351</v>
      </c>
      <c r="N4" s="4">
        <f t="shared" si="1"/>
        <v>468.76738189295781</v>
      </c>
      <c r="O4" s="4">
        <f t="shared" si="1"/>
        <v>477.01732932780152</v>
      </c>
      <c r="P4" s="4">
        <f t="shared" si="1"/>
        <v>487.73609929566408</v>
      </c>
      <c r="Q4" s="4">
        <f t="shared" si="1"/>
        <v>493.4827909802039</v>
      </c>
      <c r="R4" s="4">
        <f t="shared" si="1"/>
        <v>490.15449848991346</v>
      </c>
      <c r="S4" s="4">
        <f t="shared" si="1"/>
        <v>493.39198740200982</v>
      </c>
      <c r="T4" s="4">
        <f t="shared" si="1"/>
        <v>415.55272211291083</v>
      </c>
      <c r="U4" s="4">
        <f t="shared" si="1"/>
        <v>450.25307759035792</v>
      </c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BA4" s="2"/>
    </row>
    <row r="5" spans="1:53">
      <c r="A5" t="s">
        <v>11</v>
      </c>
      <c r="B5" s="16" t="s">
        <v>8</v>
      </c>
      <c r="C5" s="16" t="s">
        <v>9</v>
      </c>
      <c r="D5" s="4">
        <f>(D44/1000)</f>
        <v>163.10738795642231</v>
      </c>
      <c r="E5" s="4">
        <f>(E44/1000)</f>
        <v>212.7302574256924</v>
      </c>
      <c r="F5" s="4">
        <f>(F44/1000)</f>
        <v>217.24944792882386</v>
      </c>
      <c r="G5" s="4">
        <f t="shared" ref="G5:U5" si="2">(G44/1000)</f>
        <v>217.80182945346203</v>
      </c>
      <c r="H5" s="4">
        <f t="shared" si="2"/>
        <v>211.14004238098437</v>
      </c>
      <c r="I5" s="4">
        <f t="shared" si="2"/>
        <v>199.94251536864363</v>
      </c>
      <c r="J5" s="4">
        <f t="shared" si="2"/>
        <v>201.98021440968085</v>
      </c>
      <c r="K5" s="4">
        <f t="shared" si="2"/>
        <v>201.56149299947259</v>
      </c>
      <c r="L5" s="4">
        <f t="shared" si="2"/>
        <v>196.46002548516933</v>
      </c>
      <c r="M5" s="4">
        <f t="shared" si="2"/>
        <v>194.03132104278404</v>
      </c>
      <c r="N5" s="4">
        <f t="shared" si="2"/>
        <v>191.77593189016386</v>
      </c>
      <c r="O5" s="4">
        <f t="shared" si="2"/>
        <v>196.11616918484043</v>
      </c>
      <c r="P5" s="4">
        <f t="shared" si="2"/>
        <v>200.62442410159201</v>
      </c>
      <c r="Q5" s="4">
        <f t="shared" si="2"/>
        <v>206.07286066193862</v>
      </c>
      <c r="R5" s="4">
        <f t="shared" si="2"/>
        <v>208.22081622555243</v>
      </c>
      <c r="S5" s="4">
        <f t="shared" si="2"/>
        <v>210.35703259333403</v>
      </c>
      <c r="T5" s="4">
        <f t="shared" si="2"/>
        <v>194.38262126578542</v>
      </c>
      <c r="U5" s="4">
        <f t="shared" si="2"/>
        <v>209.37061450838843</v>
      </c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BA5" s="2"/>
    </row>
    <row r="6" spans="1:53">
      <c r="A6" t="s">
        <v>12</v>
      </c>
      <c r="B6" s="16" t="s">
        <v>8</v>
      </c>
      <c r="C6" s="16" t="s">
        <v>9</v>
      </c>
      <c r="D6" s="4">
        <f>D43/1000</f>
        <v>59.05776162676036</v>
      </c>
      <c r="E6" s="4">
        <f>E43/1000</f>
        <v>92.04230337506155</v>
      </c>
      <c r="F6" s="4">
        <f t="shared" ref="F6:U6" si="3">F43/1000</f>
        <v>93.929946912008319</v>
      </c>
      <c r="G6" s="4">
        <f t="shared" si="3"/>
        <v>96.305670836748078</v>
      </c>
      <c r="H6" s="4">
        <f t="shared" si="3"/>
        <v>91.879212386345941</v>
      </c>
      <c r="I6" s="4">
        <f t="shared" si="3"/>
        <v>88.31886645627057</v>
      </c>
      <c r="J6" s="4">
        <f t="shared" si="3"/>
        <v>87.236197633998998</v>
      </c>
      <c r="K6" s="4">
        <f t="shared" si="3"/>
        <v>86.850326750612439</v>
      </c>
      <c r="L6" s="4">
        <f t="shared" si="3"/>
        <v>83.852260613758745</v>
      </c>
      <c r="M6" s="4">
        <f t="shared" si="3"/>
        <v>80.35377327952888</v>
      </c>
      <c r="N6" s="4">
        <f t="shared" si="3"/>
        <v>80.458778390134611</v>
      </c>
      <c r="O6" s="4">
        <f t="shared" si="3"/>
        <v>82.200360758168387</v>
      </c>
      <c r="P6" s="4">
        <f t="shared" si="3"/>
        <v>83.34427680641123</v>
      </c>
      <c r="Q6" s="4">
        <f t="shared" si="3"/>
        <v>84.587235812260815</v>
      </c>
      <c r="R6" s="4">
        <f t="shared" si="3"/>
        <v>85.923181400813036</v>
      </c>
      <c r="S6" s="4">
        <f t="shared" si="3"/>
        <v>86.143866124101322</v>
      </c>
      <c r="T6" s="4">
        <f t="shared" si="3"/>
        <v>77.538642367368681</v>
      </c>
      <c r="U6" s="4">
        <f t="shared" si="3"/>
        <v>88.12101624361766</v>
      </c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BA6" s="2"/>
    </row>
    <row r="7" spans="1:53" collapsed="1">
      <c r="A7" t="s">
        <v>13</v>
      </c>
      <c r="B7" s="16" t="s">
        <v>8</v>
      </c>
      <c r="C7" s="16" t="s">
        <v>9</v>
      </c>
      <c r="D7" s="4">
        <f>D8+D9</f>
        <v>41.006572840168594</v>
      </c>
      <c r="E7" s="4">
        <f>E8+E9</f>
        <v>34.290610118004153</v>
      </c>
      <c r="F7" s="4">
        <f t="shared" ref="F7:T7" si="4">F8+F9</f>
        <v>34.447956982721323</v>
      </c>
      <c r="G7" s="4">
        <f t="shared" si="4"/>
        <v>33.103105382316485</v>
      </c>
      <c r="H7" s="4">
        <f t="shared" si="4"/>
        <v>32.856116205645449</v>
      </c>
      <c r="I7" s="4">
        <f t="shared" si="4"/>
        <v>31.099204292808505</v>
      </c>
      <c r="J7" s="4">
        <f t="shared" si="4"/>
        <v>30.924361275104587</v>
      </c>
      <c r="K7" s="4">
        <f t="shared" si="4"/>
        <v>28.990937840033418</v>
      </c>
      <c r="L7" s="4">
        <f t="shared" si="4"/>
        <v>27.410880277118999</v>
      </c>
      <c r="M7" s="4">
        <f t="shared" si="4"/>
        <v>26.258418069745236</v>
      </c>
      <c r="N7" s="4">
        <f t="shared" si="4"/>
        <v>24.00296260513905</v>
      </c>
      <c r="O7" s="4">
        <f t="shared" si="4"/>
        <v>24.754432892221025</v>
      </c>
      <c r="P7" s="4">
        <f t="shared" si="4"/>
        <v>25.421199302513045</v>
      </c>
      <c r="Q7" s="4">
        <f t="shared" si="4"/>
        <v>26.834910236347447</v>
      </c>
      <c r="R7" s="4">
        <f t="shared" si="4"/>
        <v>27.562814323849722</v>
      </c>
      <c r="S7" s="4">
        <f t="shared" si="4"/>
        <v>27.913694417797245</v>
      </c>
      <c r="T7" s="4">
        <f t="shared" si="4"/>
        <v>24.785387387858421</v>
      </c>
      <c r="U7" s="4">
        <f>U8+U9</f>
        <v>24.539520324410176</v>
      </c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BA7" s="2"/>
    </row>
    <row r="8" spans="1:53" hidden="1" outlineLevel="1">
      <c r="A8" s="3" t="s">
        <v>14</v>
      </c>
      <c r="B8" s="16" t="s">
        <v>8</v>
      </c>
      <c r="C8" s="16" t="s">
        <v>9</v>
      </c>
      <c r="D8" s="4">
        <f>(D47+D48)/1000</f>
        <v>34.554406487460021</v>
      </c>
      <c r="E8" s="4">
        <f>(E47+E48)/1000</f>
        <v>25.950326377208526</v>
      </c>
      <c r="F8" s="4">
        <f t="shared" ref="F8:U8" si="5">(F47+F48)/1000</f>
        <v>26.156567968819619</v>
      </c>
      <c r="G8" s="4">
        <f t="shared" si="5"/>
        <v>25.441667639729175</v>
      </c>
      <c r="H8" s="4">
        <f t="shared" si="5"/>
        <v>24.622827853680054</v>
      </c>
      <c r="I8" s="4">
        <f t="shared" si="5"/>
        <v>23.94244276390242</v>
      </c>
      <c r="J8" s="4">
        <f t="shared" si="5"/>
        <v>24.040785001353434</v>
      </c>
      <c r="K8" s="4">
        <f t="shared" si="5"/>
        <v>22.311976216546576</v>
      </c>
      <c r="L8" s="4">
        <f t="shared" si="5"/>
        <v>21.339176461698141</v>
      </c>
      <c r="M8" s="4">
        <f t="shared" si="5"/>
        <v>19.648800353668339</v>
      </c>
      <c r="N8" s="4">
        <f t="shared" si="5"/>
        <v>18.48471663490465</v>
      </c>
      <c r="O8" s="4">
        <f t="shared" si="5"/>
        <v>19.236871530194648</v>
      </c>
      <c r="P8" s="4">
        <f t="shared" si="5"/>
        <v>19.922661364180321</v>
      </c>
      <c r="Q8" s="4">
        <f t="shared" si="5"/>
        <v>20.807252701135013</v>
      </c>
      <c r="R8" s="4">
        <f t="shared" si="5"/>
        <v>21.408392510078606</v>
      </c>
      <c r="S8" s="4">
        <f t="shared" si="5"/>
        <v>22.049218385219085</v>
      </c>
      <c r="T8" s="4">
        <f t="shared" si="5"/>
        <v>20.04656074714412</v>
      </c>
      <c r="U8" s="4">
        <f t="shared" si="5"/>
        <v>19.726615611409521</v>
      </c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BA8" s="2"/>
    </row>
    <row r="9" spans="1:53" hidden="1" outlineLevel="1">
      <c r="A9" s="3" t="s">
        <v>15</v>
      </c>
      <c r="B9" s="16" t="s">
        <v>8</v>
      </c>
      <c r="C9" s="16" t="s">
        <v>9</v>
      </c>
      <c r="D9" s="4">
        <f>(D46+D49)/1000</f>
        <v>6.4521663527085753</v>
      </c>
      <c r="E9" s="4">
        <f>(E46+E49)/1000</f>
        <v>8.3402837407956234</v>
      </c>
      <c r="F9" s="4">
        <f t="shared" ref="F9:U9" si="6">(F46+F49)/1000</f>
        <v>8.2913890139017035</v>
      </c>
      <c r="G9" s="4">
        <f t="shared" si="6"/>
        <v>7.6614377425873137</v>
      </c>
      <c r="H9" s="4">
        <f t="shared" si="6"/>
        <v>8.2332883519653919</v>
      </c>
      <c r="I9" s="4">
        <f t="shared" si="6"/>
        <v>7.1567615289060855</v>
      </c>
      <c r="J9" s="4">
        <f t="shared" si="6"/>
        <v>6.883576273751153</v>
      </c>
      <c r="K9" s="4">
        <f t="shared" si="6"/>
        <v>6.6789616234868401</v>
      </c>
      <c r="L9" s="4">
        <f t="shared" si="6"/>
        <v>6.0717038154208556</v>
      </c>
      <c r="M9" s="4">
        <f t="shared" si="6"/>
        <v>6.6096177160768965</v>
      </c>
      <c r="N9" s="4">
        <f t="shared" si="6"/>
        <v>5.5182459702343998</v>
      </c>
      <c r="O9" s="4">
        <f t="shared" si="6"/>
        <v>5.5175613620263784</v>
      </c>
      <c r="P9" s="4">
        <f t="shared" si="6"/>
        <v>5.4985379383327224</v>
      </c>
      <c r="Q9" s="4">
        <f t="shared" si="6"/>
        <v>6.027657535212434</v>
      </c>
      <c r="R9" s="4">
        <f t="shared" si="6"/>
        <v>6.1544218137711155</v>
      </c>
      <c r="S9" s="4">
        <f t="shared" si="6"/>
        <v>5.8644760325781604</v>
      </c>
      <c r="T9" s="4">
        <f t="shared" si="6"/>
        <v>4.7388266407142998</v>
      </c>
      <c r="U9" s="4">
        <f t="shared" si="6"/>
        <v>4.8129047130006573</v>
      </c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BA9" s="2"/>
    </row>
    <row r="10" spans="1:53" collapsed="1">
      <c r="A10" t="s">
        <v>16</v>
      </c>
      <c r="B10" s="16" t="s">
        <v>8</v>
      </c>
      <c r="C10" s="16" t="s">
        <v>9</v>
      </c>
      <c r="D10" s="4">
        <f t="shared" ref="D10" si="7">D11+D12</f>
        <v>65.925431713838847</v>
      </c>
      <c r="E10" s="4">
        <f>E11+E12</f>
        <v>112.82793517007606</v>
      </c>
      <c r="F10" s="4">
        <f t="shared" ref="F10:U10" si="8">F11+F12</f>
        <v>117.85364152620495</v>
      </c>
      <c r="G10" s="4">
        <f t="shared" si="8"/>
        <v>122.93405357386976</v>
      </c>
      <c r="H10" s="4">
        <f t="shared" si="8"/>
        <v>124.12270875519829</v>
      </c>
      <c r="I10" s="4">
        <f t="shared" si="8"/>
        <v>114.56913758564497</v>
      </c>
      <c r="J10" s="4">
        <f t="shared" si="8"/>
        <v>116.17546668640333</v>
      </c>
      <c r="K10" s="4">
        <f t="shared" si="8"/>
        <v>118.46107244748154</v>
      </c>
      <c r="L10" s="4">
        <f t="shared" si="8"/>
        <v>116.19091727639557</v>
      </c>
      <c r="M10" s="4">
        <f t="shared" si="8"/>
        <v>115.94145472388968</v>
      </c>
      <c r="N10" s="4">
        <f t="shared" si="8"/>
        <v>117.74347684774402</v>
      </c>
      <c r="O10" s="4">
        <f>O11+O12</f>
        <v>121.68147088098956</v>
      </c>
      <c r="P10" s="4">
        <f t="shared" si="8"/>
        <v>128.69712969288457</v>
      </c>
      <c r="Q10" s="4">
        <f t="shared" si="8"/>
        <v>138.16512645326827</v>
      </c>
      <c r="R10" s="4">
        <f t="shared" si="8"/>
        <v>144.98001789257742</v>
      </c>
      <c r="S10" s="4">
        <f t="shared" si="8"/>
        <v>147.90307220288796</v>
      </c>
      <c r="T10" s="4">
        <f t="shared" si="8"/>
        <v>64.032298709763467</v>
      </c>
      <c r="U10" s="4">
        <f t="shared" si="8"/>
        <v>79.570796932363251</v>
      </c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BA10" s="2"/>
    </row>
    <row r="11" spans="1:53" hidden="1" outlineLevel="1">
      <c r="A11" s="3" t="s">
        <v>17</v>
      </c>
      <c r="B11" s="16" t="s">
        <v>8</v>
      </c>
      <c r="C11" s="16" t="s">
        <v>9</v>
      </c>
      <c r="D11" s="4">
        <f t="shared" ref="D11" si="9">D40/1000</f>
        <v>11.827710374823873</v>
      </c>
      <c r="E11" s="4">
        <f>E40/1000</f>
        <v>16.734388383320251</v>
      </c>
      <c r="F11" s="4">
        <f t="shared" ref="F11:U11" si="10">F40/1000</f>
        <v>16.692109884524644</v>
      </c>
      <c r="G11" s="4">
        <f t="shared" si="10"/>
        <v>17.103987048579981</v>
      </c>
      <c r="H11" s="4">
        <f t="shared" si="10"/>
        <v>16.728479411047438</v>
      </c>
      <c r="I11" s="4">
        <f t="shared" si="10"/>
        <v>15.841396223162322</v>
      </c>
      <c r="J11" s="4">
        <f t="shared" si="10"/>
        <v>15.807763518302293</v>
      </c>
      <c r="K11" s="4">
        <f t="shared" si="10"/>
        <v>15.624008248347884</v>
      </c>
      <c r="L11" s="4">
        <f t="shared" si="10"/>
        <v>14.479646041374007</v>
      </c>
      <c r="M11" s="4">
        <f t="shared" si="10"/>
        <v>13.279927006031706</v>
      </c>
      <c r="N11" s="4">
        <f t="shared" si="10"/>
        <v>13.073225261084081</v>
      </c>
      <c r="O11" s="4">
        <f t="shared" si="10"/>
        <v>13.151245305357527</v>
      </c>
      <c r="P11" s="4">
        <f t="shared" si="10"/>
        <v>13.623167119710132</v>
      </c>
      <c r="Q11" s="4">
        <f t="shared" si="10"/>
        <v>14.002873291889808</v>
      </c>
      <c r="R11" s="4">
        <f t="shared" si="10"/>
        <v>14.621705658227093</v>
      </c>
      <c r="S11" s="4">
        <f t="shared" si="10"/>
        <v>14.926382242938059</v>
      </c>
      <c r="T11" s="4">
        <f t="shared" si="10"/>
        <v>7.922144839822689</v>
      </c>
      <c r="U11" s="4">
        <f t="shared" si="10"/>
        <v>9.8164640460639507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</row>
    <row r="12" spans="1:53" hidden="1" outlineLevel="1">
      <c r="A12" s="3" t="s">
        <v>18</v>
      </c>
      <c r="B12" s="16" t="s">
        <v>8</v>
      </c>
      <c r="C12" s="16" t="s">
        <v>9</v>
      </c>
      <c r="D12" s="1">
        <f t="shared" ref="D12" si="11">D51/1000</f>
        <v>54.097721339014974</v>
      </c>
      <c r="E12" s="1">
        <f>E51/1000</f>
        <v>96.093546786755809</v>
      </c>
      <c r="F12" s="1">
        <f t="shared" ref="F12:U12" si="12">F51/1000</f>
        <v>101.16153164168031</v>
      </c>
      <c r="G12" s="1">
        <f t="shared" si="12"/>
        <v>105.83006652528978</v>
      </c>
      <c r="H12" s="1">
        <f t="shared" si="12"/>
        <v>107.39422934415084</v>
      </c>
      <c r="I12" s="1">
        <f t="shared" si="12"/>
        <v>98.727741362482647</v>
      </c>
      <c r="J12" s="1">
        <f t="shared" si="12"/>
        <v>100.36770316810103</v>
      </c>
      <c r="K12" s="1">
        <f t="shared" si="12"/>
        <v>102.83706419913365</v>
      </c>
      <c r="L12" s="1">
        <f t="shared" si="12"/>
        <v>101.71127123502156</v>
      </c>
      <c r="M12" s="1">
        <f t="shared" si="12"/>
        <v>102.66152771785798</v>
      </c>
      <c r="N12" s="1">
        <f t="shared" si="12"/>
        <v>104.67025158665994</v>
      </c>
      <c r="O12" s="1">
        <f t="shared" si="12"/>
        <v>108.53022557563203</v>
      </c>
      <c r="P12" s="1">
        <f t="shared" si="12"/>
        <v>115.07396257317444</v>
      </c>
      <c r="Q12" s="1">
        <f t="shared" si="12"/>
        <v>124.16225316137847</v>
      </c>
      <c r="R12" s="1">
        <f t="shared" si="12"/>
        <v>130.35831223435034</v>
      </c>
      <c r="S12" s="1">
        <f t="shared" si="12"/>
        <v>132.97668995994991</v>
      </c>
      <c r="T12" s="1">
        <f t="shared" si="12"/>
        <v>56.110153869940774</v>
      </c>
      <c r="U12" s="1">
        <f t="shared" si="12"/>
        <v>69.754332886299295</v>
      </c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</row>
    <row r="13" spans="1:53">
      <c r="A13" t="s">
        <v>19</v>
      </c>
      <c r="B13" s="16" t="s">
        <v>20</v>
      </c>
      <c r="C13" s="16" t="s">
        <v>9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>
        <v>906.5829786700001</v>
      </c>
      <c r="W13" s="4">
        <v>880.42260633625006</v>
      </c>
      <c r="X13" s="4">
        <v>854.26223400250001</v>
      </c>
      <c r="Y13" s="4">
        <v>828.10186166874996</v>
      </c>
      <c r="Z13" s="4">
        <v>801.94148933499991</v>
      </c>
      <c r="AA13" s="4">
        <v>775.78111700124987</v>
      </c>
      <c r="AB13" s="4">
        <v>749.62074466749982</v>
      </c>
      <c r="AC13" s="4">
        <v>723.46037233374977</v>
      </c>
      <c r="AD13" s="4">
        <v>697.29999999999973</v>
      </c>
      <c r="AE13" s="4">
        <v>666.06786999999986</v>
      </c>
      <c r="AF13" s="4">
        <v>634.83573999999987</v>
      </c>
      <c r="AG13" s="4">
        <v>603.60360999999989</v>
      </c>
      <c r="AH13" s="4">
        <v>572.37147999999991</v>
      </c>
      <c r="AI13" s="4">
        <v>541.13934999999992</v>
      </c>
      <c r="AJ13" s="4">
        <v>509.90721999999994</v>
      </c>
      <c r="AK13" s="4">
        <v>478.67508999999995</v>
      </c>
      <c r="AL13" s="4">
        <v>447.44296000000003</v>
      </c>
      <c r="AM13" s="4">
        <v>416.21083000000004</v>
      </c>
      <c r="AN13" s="4">
        <v>384.97870000000006</v>
      </c>
      <c r="AO13" s="4">
        <v>353.74657000000008</v>
      </c>
      <c r="AP13" s="4">
        <v>322.51444000000009</v>
      </c>
      <c r="AQ13" s="4">
        <v>291.28231000000011</v>
      </c>
      <c r="AR13" s="4">
        <v>260.05018000000013</v>
      </c>
      <c r="AS13" s="4">
        <v>228.81805000000014</v>
      </c>
      <c r="AT13" s="4">
        <v>197.58592000000021</v>
      </c>
      <c r="AU13" s="4">
        <v>166.35379000000023</v>
      </c>
      <c r="AV13" s="4">
        <v>135.12166000000025</v>
      </c>
      <c r="AW13" s="4">
        <v>103.88953000000026</v>
      </c>
      <c r="AX13" s="4">
        <v>72.65740000000028</v>
      </c>
    </row>
    <row r="14" spans="1:53">
      <c r="A14" t="s">
        <v>21</v>
      </c>
      <c r="B14" s="16" t="s">
        <v>22</v>
      </c>
      <c r="C14" s="16" t="s">
        <v>9</v>
      </c>
      <c r="E14" s="4"/>
      <c r="F14" s="4"/>
      <c r="G14" s="4"/>
      <c r="H14" s="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4"/>
      <c r="W14" s="4"/>
      <c r="X14" s="4"/>
      <c r="Y14" s="4"/>
      <c r="Z14" s="4"/>
      <c r="AA14" s="4"/>
      <c r="AB14" s="4"/>
      <c r="AC14" s="4"/>
      <c r="AD14" s="4">
        <f>AD61</f>
        <v>697.23833291079745</v>
      </c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</row>
    <row r="15" spans="1:53">
      <c r="A15" t="s">
        <v>23</v>
      </c>
      <c r="B15" s="17">
        <v>-0.9</v>
      </c>
      <c r="C15" s="16" t="s">
        <v>9</v>
      </c>
      <c r="E15" s="4"/>
      <c r="F15" s="4"/>
      <c r="G15" s="4"/>
      <c r="H15" s="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5"/>
      <c r="T15" s="64"/>
      <c r="U15" s="6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>
        <f>10%*D3</f>
        <v>72.657399999999996</v>
      </c>
    </row>
    <row r="16" spans="1:53">
      <c r="A16" t="s">
        <v>355</v>
      </c>
      <c r="B16" s="16" t="s">
        <v>24</v>
      </c>
      <c r="C16" s="16" t="s">
        <v>9</v>
      </c>
      <c r="E16" s="4"/>
      <c r="F16" s="4"/>
      <c r="G16" s="4"/>
      <c r="H16" s="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4"/>
      <c r="W16" s="4"/>
      <c r="X16" s="4"/>
      <c r="Y16" s="4"/>
      <c r="Z16" s="4"/>
      <c r="AA16" s="4"/>
      <c r="AB16" s="4"/>
      <c r="AC16" s="4"/>
      <c r="AD16" s="4">
        <f>AD77</f>
        <v>643.11258232069758</v>
      </c>
      <c r="AE16" s="4"/>
      <c r="AF16" s="4"/>
      <c r="AG16" s="4"/>
      <c r="AH16" s="4"/>
      <c r="AI16" s="4"/>
      <c r="AJ16" s="4"/>
      <c r="AK16" s="4"/>
      <c r="AL16" s="4"/>
      <c r="AM16" s="4"/>
      <c r="AN16" s="4">
        <f>AN77</f>
        <v>171.09885815004921</v>
      </c>
      <c r="AO16" s="4"/>
      <c r="AP16" s="4"/>
      <c r="AQ16" s="4"/>
      <c r="AR16" s="4"/>
      <c r="AS16" s="4"/>
      <c r="AT16" s="4"/>
      <c r="AU16" s="4"/>
      <c r="AV16" s="4"/>
      <c r="AW16" s="4"/>
      <c r="AX16" s="4">
        <f>AX77</f>
        <v>54.754782069192309</v>
      </c>
      <c r="BA16" s="4"/>
    </row>
    <row r="17" spans="1:53">
      <c r="A17" t="s">
        <v>25</v>
      </c>
      <c r="E17" s="4"/>
      <c r="F17" s="4"/>
      <c r="G17" s="4"/>
      <c r="H17" s="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4"/>
      <c r="W17" s="4"/>
      <c r="X17" s="4"/>
      <c r="Y17" s="4"/>
      <c r="Z17" s="4"/>
      <c r="AA17" s="4"/>
      <c r="AB17" s="4"/>
      <c r="AC17" s="4"/>
      <c r="AD17" s="4">
        <f>AD78</f>
        <v>643.33530115254109</v>
      </c>
      <c r="AE17" s="4"/>
      <c r="AF17" s="4"/>
      <c r="AG17" s="4"/>
      <c r="AH17" s="4"/>
      <c r="AI17" s="4"/>
      <c r="AJ17" s="4"/>
      <c r="AK17" s="4"/>
      <c r="AL17" s="4"/>
      <c r="AM17" s="4"/>
      <c r="AN17" s="4">
        <f>AN78</f>
        <v>172.03549299480775</v>
      </c>
      <c r="AO17" s="4"/>
      <c r="AP17" s="4"/>
      <c r="AQ17" s="4"/>
      <c r="AR17" s="4"/>
      <c r="AS17" s="4"/>
      <c r="AT17" s="4"/>
      <c r="AU17" s="4"/>
      <c r="AV17" s="4"/>
      <c r="AW17" s="4"/>
      <c r="AX17" s="4">
        <f>AX78</f>
        <v>54.947529261420897</v>
      </c>
      <c r="BA17" s="4"/>
    </row>
    <row r="18" spans="1:53">
      <c r="E18" s="4"/>
      <c r="F18" s="4"/>
      <c r="G18" s="4"/>
      <c r="H18" s="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4"/>
      <c r="W18" s="4"/>
      <c r="X18" s="2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BA18" s="4"/>
    </row>
    <row r="19" spans="1:53">
      <c r="A19" t="s">
        <v>26</v>
      </c>
      <c r="E19" s="4">
        <f>(V3-E3)/17</f>
        <v>-2.170380186997042</v>
      </c>
      <c r="F19" s="4"/>
      <c r="G19" s="4"/>
      <c r="H19" s="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BA19" s="4"/>
    </row>
    <row r="20" spans="1:53">
      <c r="A20" t="s">
        <v>27</v>
      </c>
      <c r="E20" s="4">
        <f>(U3-Q3)/4</f>
        <v>-24.321974636220403</v>
      </c>
      <c r="I20" s="66"/>
      <c r="J20" s="66"/>
      <c r="K20" s="66"/>
      <c r="L20" s="66"/>
      <c r="M20" s="66"/>
      <c r="N20" s="66"/>
      <c r="O20" s="66"/>
      <c r="P20" s="64"/>
      <c r="Q20" s="64"/>
      <c r="R20" s="64"/>
      <c r="S20" s="64"/>
      <c r="T20" s="66"/>
      <c r="U20" s="66"/>
      <c r="AD20" s="4"/>
    </row>
    <row r="21" spans="1:53">
      <c r="A21" t="s">
        <v>28</v>
      </c>
      <c r="B21" s="16" t="s">
        <v>29</v>
      </c>
      <c r="C21" s="16" t="s">
        <v>9</v>
      </c>
      <c r="E21" s="4">
        <f>AVERAGE(V3-U3,U3-T3,T3-S3,S3-R3)</f>
        <v>-12.564587415676527</v>
      </c>
      <c r="I21" s="66"/>
      <c r="J21" s="66"/>
      <c r="K21" s="66"/>
      <c r="L21" s="66"/>
      <c r="M21" s="66"/>
      <c r="N21" s="66"/>
      <c r="O21" s="66"/>
      <c r="P21" s="64"/>
      <c r="Q21" s="64"/>
      <c r="R21" s="64"/>
      <c r="S21" s="64"/>
      <c r="T21" s="66"/>
      <c r="U21" s="66"/>
    </row>
    <row r="22" spans="1:53">
      <c r="A22" t="s">
        <v>30</v>
      </c>
      <c r="E22" s="4">
        <f>(AD13-U3)/9</f>
        <v>-17.17278062212641</v>
      </c>
      <c r="I22" s="66"/>
      <c r="J22" s="66"/>
      <c r="K22" s="66"/>
      <c r="L22" s="66"/>
      <c r="M22" s="66"/>
      <c r="N22" s="66"/>
      <c r="O22" s="66"/>
      <c r="P22" s="64"/>
      <c r="Q22" s="64"/>
      <c r="R22" s="64"/>
      <c r="S22" s="64"/>
      <c r="T22" s="66"/>
      <c r="U22" s="66"/>
    </row>
    <row r="23" spans="1:53">
      <c r="A23" t="s">
        <v>31</v>
      </c>
      <c r="B23" s="16" t="s">
        <v>29</v>
      </c>
      <c r="C23" s="16" t="s">
        <v>9</v>
      </c>
      <c r="E23" s="1">
        <f>W13-V13</f>
        <v>-26.160372333750047</v>
      </c>
      <c r="F23">
        <f>E23/E21</f>
        <v>2.0820717360850538</v>
      </c>
      <c r="I23" s="66"/>
      <c r="J23" s="66"/>
      <c r="K23" s="66"/>
      <c r="L23" s="66"/>
      <c r="M23" s="66"/>
      <c r="N23" s="66"/>
      <c r="O23" s="66"/>
      <c r="P23" s="64"/>
      <c r="Q23" s="64"/>
      <c r="R23" s="64"/>
      <c r="S23" s="64"/>
      <c r="T23" s="66"/>
      <c r="U23" s="66"/>
    </row>
    <row r="24" spans="1:53">
      <c r="A24" t="s">
        <v>32</v>
      </c>
      <c r="B24" s="16" t="s">
        <v>29</v>
      </c>
      <c r="C24" s="16" t="s">
        <v>9</v>
      </c>
      <c r="E24" s="1">
        <f>(AX15-AD14)/20</f>
        <v>-31.229046645539871</v>
      </c>
      <c r="F24">
        <f>E24/E21</f>
        <v>2.4854812667048787</v>
      </c>
      <c r="I24" s="66"/>
      <c r="J24" s="66"/>
      <c r="K24" s="66"/>
      <c r="L24" s="66"/>
      <c r="M24" s="66"/>
      <c r="N24" s="66"/>
      <c r="O24" s="66"/>
      <c r="P24" s="64"/>
      <c r="Q24" s="64"/>
      <c r="R24" s="64"/>
      <c r="S24" s="64"/>
      <c r="T24" s="66"/>
      <c r="U24" s="66"/>
      <c r="AW24" s="4"/>
    </row>
    <row r="25" spans="1:53">
      <c r="I25" s="66"/>
      <c r="J25" s="66"/>
      <c r="K25" s="66"/>
      <c r="L25" s="66"/>
      <c r="M25" s="66"/>
      <c r="N25" s="66"/>
      <c r="O25" s="66"/>
      <c r="P25" s="64"/>
      <c r="Q25" s="64"/>
      <c r="R25" s="64"/>
      <c r="S25" s="64"/>
      <c r="T25" s="66"/>
      <c r="U25" s="66"/>
    </row>
    <row r="26" spans="1:53">
      <c r="E26" t="s">
        <v>33</v>
      </c>
      <c r="F26" t="s">
        <v>34</v>
      </c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</row>
    <row r="27" spans="1:53">
      <c r="A27" t="s">
        <v>35</v>
      </c>
      <c r="E27">
        <f>(AN16-AD13)/10</f>
        <v>-52.620114184995053</v>
      </c>
      <c r="F27">
        <f>(AN17-AD13)/10</f>
        <v>-52.526450700519192</v>
      </c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4"/>
      <c r="V27" s="4"/>
    </row>
    <row r="28" spans="1:53"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</row>
    <row r="29" spans="1:53"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</row>
    <row r="30" spans="1:53">
      <c r="B30" s="63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</row>
    <row r="31" spans="1:53">
      <c r="B31" s="63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</row>
    <row r="32" spans="1:53">
      <c r="B32" s="63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</row>
    <row r="33" spans="1:50">
      <c r="B33" s="63"/>
      <c r="E33" s="4"/>
      <c r="F33" s="4"/>
      <c r="G33" s="4"/>
      <c r="H33" s="4"/>
      <c r="I33" s="67" t="s">
        <v>36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7" spans="1:50" ht="19.5" customHeight="1">
      <c r="A37" s="9" t="s">
        <v>37</v>
      </c>
      <c r="B37" s="15"/>
      <c r="C37" s="15"/>
      <c r="D37" s="9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</row>
    <row r="38" spans="1:50">
      <c r="B38" s="16" t="s">
        <v>1</v>
      </c>
      <c r="C38" s="16" t="s">
        <v>2</v>
      </c>
      <c r="D38">
        <v>1990</v>
      </c>
      <c r="E38" t="s">
        <v>3</v>
      </c>
      <c r="J38" t="s">
        <v>4</v>
      </c>
      <c r="O38" t="s">
        <v>5</v>
      </c>
      <c r="T38" t="s">
        <v>6</v>
      </c>
      <c r="V38" t="s">
        <v>38</v>
      </c>
      <c r="AX38" s="2"/>
    </row>
    <row r="39" spans="1:50">
      <c r="A39" s="54" t="s">
        <v>39</v>
      </c>
      <c r="B39" s="16" t="s">
        <v>8</v>
      </c>
      <c r="C39" s="16" t="s">
        <v>40</v>
      </c>
      <c r="D39" s="55">
        <v>672475.56860513694</v>
      </c>
      <c r="E39" s="55">
        <v>847385.89506219386</v>
      </c>
      <c r="F39" s="55">
        <v>855493.59858641133</v>
      </c>
      <c r="G39" s="55">
        <v>863987.36247026559</v>
      </c>
      <c r="H39" s="55">
        <v>844924.26046834921</v>
      </c>
      <c r="I39" s="55">
        <v>823123.03064336814</v>
      </c>
      <c r="J39" s="55">
        <v>817639.32841198752</v>
      </c>
      <c r="K39" s="55">
        <v>808240.42555152369</v>
      </c>
      <c r="L39" s="55">
        <v>778706.74967190903</v>
      </c>
      <c r="M39" s="55">
        <v>772714.00980539341</v>
      </c>
      <c r="N39" s="55">
        <v>778078.28003947937</v>
      </c>
      <c r="O39" s="55">
        <v>793239.53746838891</v>
      </c>
      <c r="P39" s="55">
        <v>810749.16662589042</v>
      </c>
      <c r="Q39" s="55">
        <v>824980.67098264059</v>
      </c>
      <c r="R39" s="55">
        <v>826483.01609835587</v>
      </c>
      <c r="S39" s="55">
        <v>832732.9627801805</v>
      </c>
      <c r="T39" s="55">
        <v>720181.51797374617</v>
      </c>
      <c r="U39" s="55">
        <v>782100.69271283806</v>
      </c>
      <c r="V39">
        <v>803300.64017999999</v>
      </c>
      <c r="AX39" s="2"/>
    </row>
    <row r="40" spans="1:50" outlineLevel="1">
      <c r="A40" s="54" t="s">
        <v>41</v>
      </c>
      <c r="B40" s="16" t="s">
        <v>8</v>
      </c>
      <c r="C40" s="16" t="s">
        <v>40</v>
      </c>
      <c r="D40" s="55">
        <v>11827.710374823873</v>
      </c>
      <c r="E40" s="55">
        <v>16734.388383320253</v>
      </c>
      <c r="F40" s="55">
        <v>16692.109884524645</v>
      </c>
      <c r="G40" s="55">
        <v>17103.98704857998</v>
      </c>
      <c r="H40" s="55">
        <v>16728.479411047439</v>
      </c>
      <c r="I40" s="55">
        <v>15841.396223162323</v>
      </c>
      <c r="J40" s="55">
        <v>15807.763518302294</v>
      </c>
      <c r="K40" s="55">
        <v>15624.008248347884</v>
      </c>
      <c r="L40" s="55">
        <v>14479.646041374008</v>
      </c>
      <c r="M40" s="55">
        <v>13279.927006031705</v>
      </c>
      <c r="N40" s="55">
        <v>13073.225261084081</v>
      </c>
      <c r="O40" s="55">
        <v>13151.245305357526</v>
      </c>
      <c r="P40" s="55">
        <v>13623.167119710131</v>
      </c>
      <c r="Q40" s="55">
        <v>14002.873291889808</v>
      </c>
      <c r="R40" s="55">
        <v>14621.705658227092</v>
      </c>
      <c r="S40" s="55">
        <v>14926.38224293806</v>
      </c>
      <c r="T40" s="55">
        <v>7922.1448398226894</v>
      </c>
      <c r="U40" s="55">
        <v>9816.4640460639512</v>
      </c>
      <c r="AX40" s="2"/>
    </row>
    <row r="41" spans="1:50" outlineLevel="1">
      <c r="A41" s="54" t="s">
        <v>42</v>
      </c>
      <c r="B41" s="16" t="s">
        <v>8</v>
      </c>
      <c r="C41" s="16" t="s">
        <v>40</v>
      </c>
      <c r="D41" s="55">
        <v>620042.10295491794</v>
      </c>
      <c r="E41" s="55">
        <v>796541.58037239348</v>
      </c>
      <c r="F41" s="55">
        <v>804510.86432253732</v>
      </c>
      <c r="G41" s="55">
        <v>813944.10160473117</v>
      </c>
      <c r="H41" s="55">
        <v>795526.17962564423</v>
      </c>
      <c r="I41" s="55">
        <v>776380.83977099799</v>
      </c>
      <c r="J41" s="55">
        <v>771043.95215279888</v>
      </c>
      <c r="K41" s="55">
        <v>763762.11385078542</v>
      </c>
      <c r="L41" s="55">
        <v>736943.33273720182</v>
      </c>
      <c r="M41" s="55">
        <v>733289.93400484871</v>
      </c>
      <c r="N41" s="55">
        <v>741094.33003495215</v>
      </c>
      <c r="O41" s="55">
        <v>755426.66004030011</v>
      </c>
      <c r="P41" s="55">
        <v>771808.52552352613</v>
      </c>
      <c r="Q41" s="55">
        <v>784253.20414253254</v>
      </c>
      <c r="R41" s="55">
        <v>784407.48898028268</v>
      </c>
      <c r="S41" s="55">
        <v>789995.44979844999</v>
      </c>
      <c r="T41" s="55">
        <v>687577.46769724356</v>
      </c>
      <c r="U41" s="55">
        <v>747866.0124482644</v>
      </c>
      <c r="AX41" s="2"/>
    </row>
    <row r="42" spans="1:50" outlineLevel="2">
      <c r="A42" s="54" t="s">
        <v>43</v>
      </c>
      <c r="B42" s="16" t="s">
        <v>8</v>
      </c>
      <c r="C42" s="16" t="s">
        <v>40</v>
      </c>
      <c r="D42" s="55">
        <v>388860.35004304023</v>
      </c>
      <c r="E42" s="55">
        <v>480541.41953069728</v>
      </c>
      <c r="F42" s="55">
        <v>482224.75375653064</v>
      </c>
      <c r="G42" s="55">
        <v>488774.54312789737</v>
      </c>
      <c r="H42" s="55">
        <v>480951.23224245961</v>
      </c>
      <c r="I42" s="55">
        <v>476868.11132925283</v>
      </c>
      <c r="J42" s="55">
        <v>470814.63768095348</v>
      </c>
      <c r="K42" s="55">
        <v>464550.59444639401</v>
      </c>
      <c r="L42" s="55">
        <v>446069.66030405008</v>
      </c>
      <c r="M42" s="55">
        <v>448657.44575883192</v>
      </c>
      <c r="N42" s="55">
        <v>458349.51111738727</v>
      </c>
      <c r="O42" s="55">
        <v>466627.86468510557</v>
      </c>
      <c r="P42" s="55">
        <v>477579.92816760822</v>
      </c>
      <c r="Q42" s="55">
        <v>483452.27248147514</v>
      </c>
      <c r="R42" s="55">
        <v>480336.43331231526</v>
      </c>
      <c r="S42" s="55">
        <v>483220.25050143019</v>
      </c>
      <c r="T42" s="55">
        <v>406560.92396827094</v>
      </c>
      <c r="U42" s="55">
        <v>440486.99455541332</v>
      </c>
      <c r="AX42" s="2"/>
    </row>
    <row r="43" spans="1:50" outlineLevel="2">
      <c r="A43" s="54" t="s">
        <v>44</v>
      </c>
      <c r="B43" s="16" t="s">
        <v>8</v>
      </c>
      <c r="C43" s="16" t="s">
        <v>40</v>
      </c>
      <c r="D43" s="55">
        <v>59057.761626760359</v>
      </c>
      <c r="E43" s="55">
        <v>92042.303375061543</v>
      </c>
      <c r="F43" s="55">
        <v>93929.946912008323</v>
      </c>
      <c r="G43" s="55">
        <v>96305.670836748075</v>
      </c>
      <c r="H43" s="55">
        <v>91879.212386345942</v>
      </c>
      <c r="I43" s="55">
        <v>88318.866456270567</v>
      </c>
      <c r="J43" s="55">
        <v>87236.197633998992</v>
      </c>
      <c r="K43" s="55">
        <v>86850.326750612439</v>
      </c>
      <c r="L43" s="55">
        <v>83852.260613758743</v>
      </c>
      <c r="M43" s="55">
        <v>80353.773279528876</v>
      </c>
      <c r="N43" s="55">
        <v>80458.778390134612</v>
      </c>
      <c r="O43" s="55">
        <v>82200.36075816839</v>
      </c>
      <c r="P43" s="55">
        <v>83344.276806411232</v>
      </c>
      <c r="Q43" s="55">
        <v>84587.235812260813</v>
      </c>
      <c r="R43" s="55">
        <v>85923.181400813031</v>
      </c>
      <c r="S43" s="55">
        <v>86143.866124101318</v>
      </c>
      <c r="T43" s="55">
        <v>77538.64236736868</v>
      </c>
      <c r="U43" s="55">
        <v>88121.016243617662</v>
      </c>
      <c r="AX43" s="2"/>
    </row>
    <row r="44" spans="1:50" outlineLevel="2">
      <c r="A44" s="54" t="s">
        <v>45</v>
      </c>
      <c r="B44" s="16" t="s">
        <v>8</v>
      </c>
      <c r="C44" s="16" t="s">
        <v>40</v>
      </c>
      <c r="D44" s="55">
        <v>163107.38795642232</v>
      </c>
      <c r="E44" s="55">
        <v>212730.2574256924</v>
      </c>
      <c r="F44" s="55">
        <v>217249.44792882385</v>
      </c>
      <c r="G44" s="55">
        <v>217801.82945346204</v>
      </c>
      <c r="H44" s="55">
        <v>211140.04238098438</v>
      </c>
      <c r="I44" s="55">
        <v>199942.51536864362</v>
      </c>
      <c r="J44" s="55">
        <v>201980.21440968086</v>
      </c>
      <c r="K44" s="55">
        <v>201561.4929994726</v>
      </c>
      <c r="L44" s="55">
        <v>196460.02548516932</v>
      </c>
      <c r="M44" s="55">
        <v>194031.32104278405</v>
      </c>
      <c r="N44" s="55">
        <v>191775.93189016386</v>
      </c>
      <c r="O44" s="55">
        <v>196116.16918484043</v>
      </c>
      <c r="P44" s="55">
        <v>200624.42410159201</v>
      </c>
      <c r="Q44" s="55">
        <v>206072.86066193861</v>
      </c>
      <c r="R44" s="55">
        <v>208220.81622555244</v>
      </c>
      <c r="S44" s="55">
        <v>210357.03259333404</v>
      </c>
      <c r="T44" s="55">
        <v>194382.62126578542</v>
      </c>
      <c r="U44" s="55">
        <v>209370.61450838842</v>
      </c>
      <c r="AX44" s="2"/>
    </row>
    <row r="45" spans="1:50" outlineLevel="2">
      <c r="A45" s="54" t="s">
        <v>46</v>
      </c>
      <c r="B45" s="16" t="s">
        <v>8</v>
      </c>
      <c r="C45" s="16" t="s">
        <v>40</v>
      </c>
      <c r="D45" s="55">
        <v>8615.78576392164</v>
      </c>
      <c r="E45" s="55">
        <v>11046.916229418199</v>
      </c>
      <c r="F45" s="55">
        <v>10949.383121802539</v>
      </c>
      <c r="G45" s="55">
        <v>10898.226621261592</v>
      </c>
      <c r="H45" s="55">
        <v>11369.177841866458</v>
      </c>
      <c r="I45" s="55">
        <v>11052.936973230293</v>
      </c>
      <c r="J45" s="55">
        <v>10876.153893947201</v>
      </c>
      <c r="K45" s="55">
        <v>10663.06526666333</v>
      </c>
      <c r="L45" s="55">
        <v>10434.276950437981</v>
      </c>
      <c r="M45" s="55">
        <v>10133.124648471596</v>
      </c>
      <c r="N45" s="55">
        <v>10417.870775570571</v>
      </c>
      <c r="O45" s="55">
        <v>10389.46464269595</v>
      </c>
      <c r="P45" s="55">
        <v>10156.171128055834</v>
      </c>
      <c r="Q45" s="55">
        <v>10030.51849872875</v>
      </c>
      <c r="R45" s="55">
        <v>9818.0651775982114</v>
      </c>
      <c r="S45" s="55">
        <v>10171.736900579635</v>
      </c>
      <c r="T45" s="55">
        <v>8991.798144639868</v>
      </c>
      <c r="U45" s="55">
        <v>9766.0830349445787</v>
      </c>
      <c r="AX45" s="2"/>
    </row>
    <row r="46" spans="1:50" outlineLevel="2">
      <c r="A46" s="54" t="s">
        <v>47</v>
      </c>
      <c r="B46" s="16" t="s">
        <v>8</v>
      </c>
      <c r="C46" s="16" t="s">
        <v>40</v>
      </c>
      <c r="D46" s="55">
        <v>400.81756477327684</v>
      </c>
      <c r="E46" s="55">
        <v>180.68381152403629</v>
      </c>
      <c r="F46" s="55">
        <v>157.33260337182892</v>
      </c>
      <c r="G46" s="55">
        <v>163.83156536217373</v>
      </c>
      <c r="H46" s="55">
        <v>186.51477398788194</v>
      </c>
      <c r="I46" s="55">
        <v>198.40964360068116</v>
      </c>
      <c r="J46" s="55">
        <v>136.74853421824494</v>
      </c>
      <c r="K46" s="55">
        <v>136.63438764294921</v>
      </c>
      <c r="L46" s="55">
        <v>127.10938378564595</v>
      </c>
      <c r="M46" s="55">
        <v>114.26927523236381</v>
      </c>
      <c r="N46" s="55">
        <v>92.237861695760287</v>
      </c>
      <c r="O46" s="55">
        <v>92.800769489778901</v>
      </c>
      <c r="P46" s="55">
        <v>103.72531985885338</v>
      </c>
      <c r="Q46" s="55">
        <v>110.31668812923492</v>
      </c>
      <c r="R46" s="55">
        <v>108.99286400363182</v>
      </c>
      <c r="S46" s="55">
        <v>102.56367900477146</v>
      </c>
      <c r="T46" s="55">
        <v>103.48195117850506</v>
      </c>
      <c r="U46" s="55">
        <v>121.30410590041177</v>
      </c>
      <c r="AX46" s="2"/>
    </row>
    <row r="47" spans="1:50" outlineLevel="1">
      <c r="A47" s="54" t="s">
        <v>48</v>
      </c>
      <c r="B47" s="16" t="s">
        <v>8</v>
      </c>
      <c r="C47" s="16" t="s">
        <v>40</v>
      </c>
      <c r="D47" s="55">
        <v>12831.5875348064</v>
      </c>
      <c r="E47" s="55">
        <v>6282.6951674115062</v>
      </c>
      <c r="F47" s="55">
        <v>6156.4173963095891</v>
      </c>
      <c r="G47" s="55">
        <v>6401.8181386968809</v>
      </c>
      <c r="H47" s="55">
        <v>6161.8266532024127</v>
      </c>
      <c r="I47" s="55">
        <v>5442.4844072827764</v>
      </c>
      <c r="J47" s="55">
        <v>5426.9684912172825</v>
      </c>
      <c r="K47" s="55">
        <v>5457.2133753838507</v>
      </c>
      <c r="L47" s="55">
        <v>5276.0097452690034</v>
      </c>
      <c r="M47" s="55">
        <v>4953.9102653441023</v>
      </c>
      <c r="N47" s="55">
        <v>4537.9442688757217</v>
      </c>
      <c r="O47" s="55">
        <v>4540.9188456701331</v>
      </c>
      <c r="P47" s="55">
        <v>4409.6431611417802</v>
      </c>
      <c r="Q47" s="55">
        <v>4337.3380028921783</v>
      </c>
      <c r="R47" s="55">
        <v>4142.6051033002232</v>
      </c>
      <c r="S47" s="55">
        <v>4107.9692642148575</v>
      </c>
      <c r="T47" s="55">
        <v>3660.5560401535149</v>
      </c>
      <c r="U47" s="55">
        <v>3751.1540616932343</v>
      </c>
      <c r="AX47" s="2"/>
    </row>
    <row r="48" spans="1:50" outlineLevel="1">
      <c r="A48" s="54" t="s">
        <v>49</v>
      </c>
      <c r="B48" s="16" t="s">
        <v>8</v>
      </c>
      <c r="C48" s="16" t="s">
        <v>40</v>
      </c>
      <c r="D48" s="55">
        <v>21722.818952653623</v>
      </c>
      <c r="E48" s="55">
        <v>19667.631209797022</v>
      </c>
      <c r="F48" s="55">
        <v>20000.150572510029</v>
      </c>
      <c r="G48" s="55">
        <v>19039.849501032291</v>
      </c>
      <c r="H48" s="55">
        <v>18461.00120047764</v>
      </c>
      <c r="I48" s="55">
        <v>18499.958356619645</v>
      </c>
      <c r="J48" s="55">
        <v>18613.816510136152</v>
      </c>
      <c r="K48" s="55">
        <v>16854.762841162727</v>
      </c>
      <c r="L48" s="55">
        <v>16063.166716429139</v>
      </c>
      <c r="M48" s="55">
        <v>14694.890088324239</v>
      </c>
      <c r="N48" s="55">
        <v>13946.772366028927</v>
      </c>
      <c r="O48" s="55">
        <v>14695.952684524515</v>
      </c>
      <c r="P48" s="55">
        <v>15513.01820303854</v>
      </c>
      <c r="Q48" s="55">
        <v>16469.914698242836</v>
      </c>
      <c r="R48" s="55">
        <v>17265.787406778385</v>
      </c>
      <c r="S48" s="55">
        <v>17941.249121004228</v>
      </c>
      <c r="T48" s="55">
        <v>16386.004706990607</v>
      </c>
      <c r="U48" s="55">
        <v>15975.461549716285</v>
      </c>
      <c r="AX48" s="2"/>
    </row>
    <row r="49" spans="1:50" outlineLevel="1">
      <c r="A49" s="54" t="s">
        <v>50</v>
      </c>
      <c r="B49" s="16" t="s">
        <v>8</v>
      </c>
      <c r="C49" s="16" t="s">
        <v>40</v>
      </c>
      <c r="D49" s="55">
        <v>6051.3487879352988</v>
      </c>
      <c r="E49" s="55">
        <v>8159.5999292715869</v>
      </c>
      <c r="F49" s="55">
        <v>8134.0564105298754</v>
      </c>
      <c r="G49" s="55">
        <v>7497.6061772251396</v>
      </c>
      <c r="H49" s="55">
        <v>8046.7735779775103</v>
      </c>
      <c r="I49" s="55">
        <v>6958.3518853054047</v>
      </c>
      <c r="J49" s="55">
        <v>6746.8277395329078</v>
      </c>
      <c r="K49" s="55">
        <v>6542.3272358438908</v>
      </c>
      <c r="L49" s="55">
        <v>5944.5944316352097</v>
      </c>
      <c r="M49" s="55">
        <v>6495.3484408445329</v>
      </c>
      <c r="N49" s="55">
        <v>5426.0081085386391</v>
      </c>
      <c r="O49" s="55">
        <v>5424.7605925365997</v>
      </c>
      <c r="P49" s="55">
        <v>5394.8126184738694</v>
      </c>
      <c r="Q49" s="55">
        <v>5917.3408470831992</v>
      </c>
      <c r="R49" s="55">
        <v>6045.4289497674845</v>
      </c>
      <c r="S49" s="55">
        <v>5761.9123535733897</v>
      </c>
      <c r="T49" s="55">
        <v>4635.3446895357947</v>
      </c>
      <c r="U49" s="55">
        <v>4691.6006071002457</v>
      </c>
      <c r="AX49" s="2"/>
    </row>
    <row r="50" spans="1:50">
      <c r="A50" s="54" t="s">
        <v>51</v>
      </c>
      <c r="B50" s="16" t="s">
        <v>8</v>
      </c>
      <c r="C50" s="16" t="s">
        <v>40</v>
      </c>
      <c r="D50" s="55">
        <v>156212.69589847611</v>
      </c>
      <c r="E50" s="55">
        <v>249811.76351101528</v>
      </c>
      <c r="F50" s="55">
        <v>265677.0702705477</v>
      </c>
      <c r="G50" s="55">
        <v>277492.10416444234</v>
      </c>
      <c r="H50" s="55">
        <v>276883.98619557044</v>
      </c>
      <c r="I50" s="55">
        <v>249419.88847614956</v>
      </c>
      <c r="J50" s="55">
        <v>251984.24197816229</v>
      </c>
      <c r="K50" s="55">
        <v>253275.75642872896</v>
      </c>
      <c r="L50" s="55">
        <v>241788.06582643912</v>
      </c>
      <c r="M50" s="55">
        <v>234878.3641479699</v>
      </c>
      <c r="N50" s="55">
        <v>233174.52389820426</v>
      </c>
      <c r="O50" s="55">
        <v>237691.85035832037</v>
      </c>
      <c r="P50" s="55">
        <v>247952.67410755486</v>
      </c>
      <c r="Q50" s="55">
        <v>258835.30693224297</v>
      </c>
      <c r="R50" s="55">
        <v>268194.07496870292</v>
      </c>
      <c r="S50" s="55">
        <v>269573.88275713287</v>
      </c>
      <c r="T50" s="55">
        <v>177140.82392312048</v>
      </c>
      <c r="U50" s="55">
        <v>198840.42394164673</v>
      </c>
      <c r="V50">
        <v>241025.02015999999</v>
      </c>
      <c r="AX50" s="2"/>
    </row>
    <row r="51" spans="1:50" outlineLevel="1">
      <c r="A51" s="54" t="s">
        <v>52</v>
      </c>
      <c r="B51" s="16" t="s">
        <v>8</v>
      </c>
      <c r="C51" s="16" t="s">
        <v>40</v>
      </c>
      <c r="D51" s="55">
        <v>54097.721339014977</v>
      </c>
      <c r="E51" s="55">
        <v>96093.546786755804</v>
      </c>
      <c r="F51" s="55">
        <v>101161.53164168031</v>
      </c>
      <c r="G51" s="55">
        <v>105830.06652528977</v>
      </c>
      <c r="H51" s="55">
        <v>107394.22934415084</v>
      </c>
      <c r="I51" s="55">
        <v>98727.741362482644</v>
      </c>
      <c r="J51" s="55">
        <v>100367.70316810103</v>
      </c>
      <c r="K51" s="55">
        <v>102837.06419913365</v>
      </c>
      <c r="L51" s="55">
        <v>101711.27123502156</v>
      </c>
      <c r="M51" s="55">
        <v>102661.52771785799</v>
      </c>
      <c r="N51" s="55">
        <v>104670.25158665994</v>
      </c>
      <c r="O51" s="55">
        <v>108530.22557563204</v>
      </c>
      <c r="P51" s="55">
        <v>115073.96257317445</v>
      </c>
      <c r="Q51" s="55">
        <v>124162.25316137847</v>
      </c>
      <c r="R51" s="55">
        <v>130358.31223435035</v>
      </c>
      <c r="S51" s="55">
        <v>132976.6899599499</v>
      </c>
      <c r="T51" s="55">
        <v>56110.153869940776</v>
      </c>
      <c r="U51" s="55">
        <v>69754.332886299293</v>
      </c>
      <c r="V51">
        <v>103282.33848999999</v>
      </c>
      <c r="AX51" s="2"/>
    </row>
    <row r="52" spans="1:50" outlineLevel="1">
      <c r="A52" s="54" t="s">
        <v>53</v>
      </c>
      <c r="B52" s="16" t="s">
        <v>8</v>
      </c>
      <c r="C52" s="16" t="s">
        <v>40</v>
      </c>
      <c r="D52" s="55">
        <v>102114.97455946113</v>
      </c>
      <c r="E52" s="55">
        <v>153718.21672425949</v>
      </c>
      <c r="F52" s="55">
        <v>164515.53862886739</v>
      </c>
      <c r="G52" s="55">
        <v>171662.03763915255</v>
      </c>
      <c r="H52" s="55">
        <v>169489.75685141957</v>
      </c>
      <c r="I52" s="55">
        <v>150692.14711366693</v>
      </c>
      <c r="J52" s="55">
        <v>151616.53881006123</v>
      </c>
      <c r="K52" s="55">
        <v>150438.69222959533</v>
      </c>
      <c r="L52" s="55">
        <v>140076.79459141762</v>
      </c>
      <c r="M52" s="55">
        <v>132216.83643011187</v>
      </c>
      <c r="N52" s="55">
        <v>128504.27231154431</v>
      </c>
      <c r="O52" s="55">
        <v>129161.62478268836</v>
      </c>
      <c r="P52" s="55">
        <v>132878.71153438045</v>
      </c>
      <c r="Q52" s="55">
        <v>134673.05377086453</v>
      </c>
      <c r="R52" s="55">
        <v>137835.76273435258</v>
      </c>
      <c r="S52" s="55">
        <v>136597.19279718294</v>
      </c>
      <c r="T52" s="55">
        <v>121030.67005317971</v>
      </c>
      <c r="U52" s="55">
        <v>129086.09105534741</v>
      </c>
      <c r="V52">
        <v>137742.68166999999</v>
      </c>
      <c r="AX52" s="2"/>
    </row>
    <row r="53" spans="1:50">
      <c r="AX53" s="2"/>
    </row>
    <row r="54" spans="1:50" ht="19.5" customHeight="1">
      <c r="A54" s="9" t="s">
        <v>54</v>
      </c>
      <c r="B54" s="15"/>
      <c r="C54" s="15"/>
      <c r="D54" s="9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</row>
    <row r="55" spans="1:50" s="32" customFormat="1">
      <c r="A55" s="32">
        <v>2030</v>
      </c>
      <c r="B55" s="33"/>
      <c r="C55" s="33"/>
    </row>
    <row r="56" spans="1:50">
      <c r="B56" s="16" t="s">
        <v>1</v>
      </c>
      <c r="C56" s="16" t="s">
        <v>2</v>
      </c>
      <c r="D56">
        <v>1990</v>
      </c>
      <c r="E56" t="s">
        <v>3</v>
      </c>
      <c r="J56" t="s">
        <v>4</v>
      </c>
      <c r="O56" t="s">
        <v>5</v>
      </c>
      <c r="T56" t="s">
        <v>6</v>
      </c>
      <c r="Y56">
        <v>2025</v>
      </c>
      <c r="AD56">
        <v>2030</v>
      </c>
      <c r="AI56">
        <v>2035</v>
      </c>
      <c r="AN56">
        <v>2040</v>
      </c>
      <c r="AS56">
        <v>2045</v>
      </c>
      <c r="AX56">
        <v>2050</v>
      </c>
    </row>
    <row r="57" spans="1:50">
      <c r="A57" t="s">
        <v>55</v>
      </c>
      <c r="B57" s="16" t="s">
        <v>56</v>
      </c>
      <c r="C57" s="16" t="s">
        <v>9</v>
      </c>
      <c r="E57" s="1">
        <v>817.93846987572113</v>
      </c>
      <c r="J57" s="1">
        <v>790.14238301309319</v>
      </c>
      <c r="O57" s="1">
        <v>766.41071227531836</v>
      </c>
      <c r="T57" s="1">
        <v>638.30196698234568</v>
      </c>
      <c r="Y57" s="1">
        <v>691.60555167037387</v>
      </c>
      <c r="AD57" s="1">
        <v>583.47189909650194</v>
      </c>
    </row>
    <row r="58" spans="1:50">
      <c r="A58" t="s">
        <v>57</v>
      </c>
      <c r="B58" s="16" t="s">
        <v>56</v>
      </c>
      <c r="C58" s="16" t="s">
        <v>9</v>
      </c>
      <c r="E58" s="1">
        <v>245.43537751737642</v>
      </c>
      <c r="J58" s="1">
        <v>246.43364959694566</v>
      </c>
      <c r="O58" s="1">
        <v>231.98824024650725</v>
      </c>
      <c r="T58" s="1">
        <v>153.17917068950675</v>
      </c>
      <c r="Y58" s="1">
        <v>252.88628510313373</v>
      </c>
      <c r="AD58" s="1">
        <v>240.46874212713783</v>
      </c>
    </row>
    <row r="59" spans="1:50">
      <c r="A59" s="3" t="s">
        <v>58</v>
      </c>
      <c r="B59" s="16" t="s">
        <v>56</v>
      </c>
      <c r="C59" s="16" t="s">
        <v>9</v>
      </c>
      <c r="E59" s="1">
        <v>93.30808035963905</v>
      </c>
      <c r="J59" s="1">
        <v>96.148572012627184</v>
      </c>
      <c r="O59" s="1">
        <v>105.3511993024691</v>
      </c>
      <c r="T59" s="1">
        <v>55.650402253582129</v>
      </c>
      <c r="Y59" s="1">
        <v>117.93162882129928</v>
      </c>
      <c r="AD59" s="1">
        <v>113.76643381429545</v>
      </c>
    </row>
    <row r="60" spans="1:50">
      <c r="A60" s="3" t="s">
        <v>59</v>
      </c>
      <c r="B60" s="16" t="s">
        <v>56</v>
      </c>
      <c r="C60" s="16" t="s">
        <v>9</v>
      </c>
      <c r="E60" s="1">
        <v>152.12729715773739</v>
      </c>
      <c r="J60" s="1">
        <v>150.28507758431846</v>
      </c>
      <c r="O60" s="1">
        <v>126.63704094403813</v>
      </c>
      <c r="T60" s="1">
        <v>97.528768435924604</v>
      </c>
      <c r="Y60" s="1">
        <v>134.95465628183445</v>
      </c>
      <c r="AD60" s="1">
        <v>126.70230831284238</v>
      </c>
    </row>
    <row r="61" spans="1:50">
      <c r="A61" t="s">
        <v>60</v>
      </c>
      <c r="B61" s="16" t="s">
        <v>56</v>
      </c>
      <c r="C61" s="16" t="s">
        <v>9</v>
      </c>
      <c r="E61" s="1">
        <f>E57+E59</f>
        <v>911.24655023536013</v>
      </c>
      <c r="J61" s="1">
        <f>J57+J59</f>
        <v>886.29095502572034</v>
      </c>
      <c r="O61" s="1">
        <f>O57+O59</f>
        <v>871.76191157778749</v>
      </c>
      <c r="T61" s="1">
        <f>T57+T59</f>
        <v>693.95236923592779</v>
      </c>
      <c r="Y61" s="1">
        <f>Y57+Y59</f>
        <v>809.5371804916731</v>
      </c>
      <c r="AD61" s="1">
        <f>AD57+AD59</f>
        <v>697.23833291079745</v>
      </c>
    </row>
    <row r="63" spans="1:50" ht="19.5" customHeight="1">
      <c r="A63" s="9" t="s">
        <v>61</v>
      </c>
      <c r="B63" s="15"/>
      <c r="C63" s="15"/>
      <c r="D63" s="9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</row>
    <row r="64" spans="1:50" s="32" customFormat="1">
      <c r="A64" s="32">
        <v>2030</v>
      </c>
      <c r="B64" s="33"/>
      <c r="C64" s="33"/>
    </row>
    <row r="65" spans="1:50">
      <c r="A65" t="s">
        <v>62</v>
      </c>
      <c r="B65" s="16" t="s">
        <v>63</v>
      </c>
      <c r="C65" s="16" t="s">
        <v>9</v>
      </c>
      <c r="J65" s="27">
        <f>[1]Transport!U2+J$81</f>
        <v>866.25495223446649</v>
      </c>
      <c r="O65" s="27">
        <f>[1]Transport!Z2+O$81</f>
        <v>860.46754694613321</v>
      </c>
      <c r="T65" s="27">
        <f>[1]Transport!AE2+T$81</f>
        <v>792.11819206099699</v>
      </c>
      <c r="Y65" s="27">
        <f>[1]Transport!AJ2+Y$81</f>
        <v>804.84522882129932</v>
      </c>
      <c r="AD65" s="27">
        <f>[1]Transport!AO2+AD$81</f>
        <v>635.45413381429535</v>
      </c>
      <c r="AI65" s="27">
        <f>[1]Transport!AT2+AI$81</f>
        <v>377.39488550763133</v>
      </c>
      <c r="AN65" s="27">
        <f>[1]Transport!AY2+AN$81</f>
        <v>171.4627372009671</v>
      </c>
      <c r="AS65" s="27">
        <f>[1]Transport!BD2+AS$81</f>
        <v>82.098488894302918</v>
      </c>
      <c r="AX65" s="27">
        <f>[1]Transport!BI2+AX$81</f>
        <v>55.033440587638651</v>
      </c>
    </row>
    <row r="66" spans="1:50">
      <c r="A66" t="s">
        <v>64</v>
      </c>
      <c r="B66" s="16" t="s">
        <v>63</v>
      </c>
      <c r="C66" s="16" t="s">
        <v>9</v>
      </c>
      <c r="J66" s="27">
        <f>[1]Transport!U3+J$81</f>
        <v>866.25495223446649</v>
      </c>
      <c r="O66" s="27">
        <f>[1]Transport!Z3+O$81</f>
        <v>860.46754694613321</v>
      </c>
      <c r="T66" s="27">
        <f>[1]Transport!AE3+T$81</f>
        <v>792.11819206099699</v>
      </c>
      <c r="Y66" s="27">
        <f>[1]Transport!AJ3+Y$81</f>
        <v>804.84522882129932</v>
      </c>
      <c r="AD66" s="27">
        <f>[1]Transport!AO3+AD$81</f>
        <v>635.32703381429542</v>
      </c>
      <c r="AI66" s="27">
        <f>[1]Transport!AT3+AI$81</f>
        <v>376.50758550763123</v>
      </c>
      <c r="AN66" s="27">
        <f>[1]Transport!AY3+AN$81</f>
        <v>170.52763720096709</v>
      </c>
      <c r="AS66" s="27">
        <f>[1]Transport!BD3+AS$81</f>
        <v>81.188488894302907</v>
      </c>
      <c r="AX66" s="27">
        <f>[1]Transport!BI3+AX$81</f>
        <v>55.369040587638651</v>
      </c>
    </row>
    <row r="67" spans="1:50">
      <c r="A67" t="s">
        <v>65</v>
      </c>
      <c r="B67" s="16" t="s">
        <v>63</v>
      </c>
      <c r="C67" s="16" t="s">
        <v>9</v>
      </c>
      <c r="J67" s="27">
        <f>[1]Transport!U4+J$81</f>
        <v>866.25495223446649</v>
      </c>
      <c r="O67" s="27">
        <f>[1]Transport!Z4+O$81</f>
        <v>860.46754694613321</v>
      </c>
      <c r="T67" s="27">
        <f>[1]Transport!AE4+T$81</f>
        <v>792.11819206099699</v>
      </c>
      <c r="Y67" s="27">
        <f>[1]Transport!AJ4+Y$81</f>
        <v>804.84522882129932</v>
      </c>
      <c r="AD67" s="27">
        <f>[1]Transport!AO4+AD$81</f>
        <v>634.25033381429535</v>
      </c>
      <c r="AI67" s="27">
        <f>[1]Transport!AT4+AI$81</f>
        <v>372.43178550763128</v>
      </c>
      <c r="AN67" s="27">
        <f>[1]Transport!AY4+AN$81</f>
        <v>166.06353720096712</v>
      </c>
      <c r="AS67" s="27">
        <f>[1]Transport!BD4+AS$81</f>
        <v>77.906088894302911</v>
      </c>
      <c r="AX67" s="27">
        <f>[1]Transport!BI4+AX$81</f>
        <v>52.547240587638655</v>
      </c>
    </row>
    <row r="68" spans="1:50">
      <c r="A68" t="s">
        <v>66</v>
      </c>
      <c r="B68" s="16" t="s">
        <v>63</v>
      </c>
      <c r="C68" s="16" t="s">
        <v>9</v>
      </c>
      <c r="J68" s="27">
        <f>[1]Transport!U5+J$81</f>
        <v>866.25495223446649</v>
      </c>
      <c r="O68" s="27">
        <f>[1]Transport!Z5+O$81</f>
        <v>860.46754694613321</v>
      </c>
      <c r="T68" s="27">
        <f>[1]Transport!AE5+T$81</f>
        <v>792.11819206099699</v>
      </c>
      <c r="Y68" s="27">
        <f>[1]Transport!AJ5+Y$81</f>
        <v>804.77172882129935</v>
      </c>
      <c r="AD68" s="27">
        <f>[1]Transport!AO5+AD$81</f>
        <v>634.67373381429547</v>
      </c>
      <c r="AI68" s="27">
        <f>[1]Transport!AT5+AI$81</f>
        <v>375.91608550763124</v>
      </c>
      <c r="AN68" s="27">
        <f>[1]Transport!AY5+AN$81</f>
        <v>170.55993720096711</v>
      </c>
      <c r="AS68" s="27">
        <f>[1]Transport!BD5+AS$81</f>
        <v>81.471588894302911</v>
      </c>
      <c r="AX68" s="27">
        <f>[1]Transport!BI5+AX$81</f>
        <v>55.427640587638649</v>
      </c>
    </row>
    <row r="69" spans="1:50">
      <c r="A69" t="s">
        <v>67</v>
      </c>
      <c r="B69" s="16" t="s">
        <v>63</v>
      </c>
      <c r="C69" s="16" t="s">
        <v>9</v>
      </c>
      <c r="J69" s="27">
        <f>[1]Transport!U6+J$81</f>
        <v>866.25495223446649</v>
      </c>
      <c r="O69" s="27">
        <f>[1]Transport!Z6+O$81</f>
        <v>860.46754694613321</v>
      </c>
      <c r="T69" s="27">
        <f>[1]Transport!AE6+T$81</f>
        <v>792.11819206099699</v>
      </c>
      <c r="Y69" s="27">
        <f>[1]Transport!AJ6+Y$81</f>
        <v>805.53972882129938</v>
      </c>
      <c r="AD69" s="27">
        <f>[1]Transport!AO6+AD$81</f>
        <v>633.52393381429556</v>
      </c>
      <c r="AI69" s="27">
        <f>[1]Transport!AT6+AI$81</f>
        <v>371.98208550763127</v>
      </c>
      <c r="AN69" s="27">
        <f>[1]Transport!AY6+AN$81</f>
        <v>165.59333720096708</v>
      </c>
      <c r="AS69" s="27">
        <f>[1]Transport!BD6+AS$81</f>
        <v>77.619788894302914</v>
      </c>
      <c r="AX69" s="27">
        <f>[1]Transport!BI6+AX$81</f>
        <v>52.457140587638655</v>
      </c>
    </row>
    <row r="70" spans="1:50">
      <c r="A70" t="s">
        <v>68</v>
      </c>
      <c r="B70" s="16" t="s">
        <v>63</v>
      </c>
      <c r="C70" s="16" t="s">
        <v>9</v>
      </c>
      <c r="J70" s="27">
        <f>[1]Transport!U7+J$81</f>
        <v>866.25495223446649</v>
      </c>
      <c r="O70" s="27">
        <f>[1]Transport!Z7+O$81</f>
        <v>860.46754694613321</v>
      </c>
      <c r="T70" s="27">
        <f>[1]Transport!AE7+T$81</f>
        <v>792.11819206099699</v>
      </c>
      <c r="Y70" s="27">
        <f>[1]Transport!AJ7+Y$81</f>
        <v>804.84522882129932</v>
      </c>
      <c r="AD70" s="27">
        <f>[1]Transport!AO7+AD$81</f>
        <v>635.45413381429535</v>
      </c>
      <c r="AI70" s="27">
        <f>[1]Transport!AT7+AI$81</f>
        <v>376.09478550763129</v>
      </c>
      <c r="AN70" s="27">
        <f>[1]Transport!AY7+AN$81</f>
        <v>169.08563720096708</v>
      </c>
      <c r="AS70" s="27">
        <f>[1]Transport!BD7+AS$81</f>
        <v>79.258088894302915</v>
      </c>
      <c r="AX70" s="27">
        <f>[1]Transport!BI7+AX$81</f>
        <v>53.437840587638654</v>
      </c>
    </row>
    <row r="71" spans="1:50">
      <c r="A71" t="s">
        <v>69</v>
      </c>
      <c r="B71" s="16" t="s">
        <v>63</v>
      </c>
      <c r="C71" s="16" t="s">
        <v>9</v>
      </c>
      <c r="J71" s="31">
        <f>MIN(J65:J70)</f>
        <v>866.25495223446649</v>
      </c>
      <c r="O71" s="31">
        <f>MIN(O65:O70)</f>
        <v>860.46754694613321</v>
      </c>
      <c r="T71" s="31">
        <f>MIN(T65:T70)</f>
        <v>792.11819206099699</v>
      </c>
      <c r="Y71" s="31">
        <f>MIN(Y65:Y70)</f>
        <v>804.77172882129935</v>
      </c>
      <c r="AD71" s="31">
        <f>MIN(AD65:AD70)</f>
        <v>633.52393381429556</v>
      </c>
      <c r="AI71" s="31">
        <f>MIN(AI65:AI70)</f>
        <v>371.98208550763127</v>
      </c>
      <c r="AN71" s="31">
        <f>MIN(AN65:AN70)</f>
        <v>165.59333720096708</v>
      </c>
      <c r="AS71" s="31">
        <f>MIN(AS65:AS70)</f>
        <v>77.619788894302914</v>
      </c>
      <c r="AX71" s="31">
        <f>MIN(AX65:AX70)</f>
        <v>52.457140587638655</v>
      </c>
    </row>
    <row r="72" spans="1:50">
      <c r="A72" t="s">
        <v>70</v>
      </c>
      <c r="B72" s="16" t="s">
        <v>63</v>
      </c>
      <c r="C72" s="16" t="s">
        <v>9</v>
      </c>
      <c r="J72" s="31">
        <f>MAX(J65:J70)</f>
        <v>866.25495223446649</v>
      </c>
      <c r="O72" s="31">
        <f>MAX(O65:O70)</f>
        <v>860.46754694613321</v>
      </c>
      <c r="T72" s="31">
        <f>MAX(T65:T70)</f>
        <v>792.11819206099699</v>
      </c>
      <c r="Y72" s="31">
        <f>MAX(Y65:Y70)</f>
        <v>805.53972882129938</v>
      </c>
      <c r="AD72" s="31">
        <f>MAX(AD65:AD70)</f>
        <v>635.45413381429535</v>
      </c>
      <c r="AI72" s="31">
        <f>MAX(AI65:AI70)</f>
        <v>377.39488550763133</v>
      </c>
      <c r="AN72" s="31">
        <f>MAX(AN65:AN70)</f>
        <v>171.4627372009671</v>
      </c>
      <c r="AS72" s="31">
        <f>MAX(AS65:AS70)</f>
        <v>82.098488894302918</v>
      </c>
      <c r="AX72" s="31">
        <f>MAX(AX65:AX70)</f>
        <v>55.427640587638649</v>
      </c>
    </row>
    <row r="73" spans="1:50">
      <c r="A73" t="s">
        <v>71</v>
      </c>
      <c r="B73" s="16" t="s">
        <v>63</v>
      </c>
      <c r="C73" s="16" t="s">
        <v>9</v>
      </c>
      <c r="J73" s="31">
        <f>MEDIAN(J65:J70)</f>
        <v>866.25495223446649</v>
      </c>
      <c r="O73" s="31">
        <f>MEDIAN(O65:O70)</f>
        <v>860.46754694613321</v>
      </c>
      <c r="T73" s="31">
        <f>MEDIAN(T65:T70)</f>
        <v>792.11819206099699</v>
      </c>
      <c r="Y73" s="31">
        <f>MEDIAN(Y65:Y70)</f>
        <v>804.84522882129932</v>
      </c>
      <c r="AD73" s="31">
        <f>MEDIAN(AD65:AD70)</f>
        <v>635.00038381429545</v>
      </c>
      <c r="AI73" s="31">
        <f>MEDIAN(AI65:AI70)</f>
        <v>376.00543550763126</v>
      </c>
      <c r="AN73" s="31">
        <f>MEDIAN(AN65:AN70)</f>
        <v>169.80663720096709</v>
      </c>
      <c r="AS73" s="31">
        <f>MEDIAN(AS65:AS70)</f>
        <v>80.223288894302911</v>
      </c>
      <c r="AX73" s="31">
        <f>MEDIAN(AX65:AX70)</f>
        <v>54.235640587638656</v>
      </c>
    </row>
    <row r="75" spans="1:50" s="61" customFormat="1">
      <c r="A75" s="61" t="s">
        <v>69</v>
      </c>
      <c r="B75" s="62" t="s">
        <v>72</v>
      </c>
      <c r="C75" s="62"/>
      <c r="O75" s="61">
        <f>O71/$O71*($O$57+$O$59)</f>
        <v>871.76191157778749</v>
      </c>
      <c r="T75" s="61">
        <f>T71/$O71*($O$57+$O$59)</f>
        <v>802.51541357650376</v>
      </c>
      <c r="Y75" s="61">
        <f>Y71/$O71*($O$57+$O$59)</f>
        <v>815.33503871347773</v>
      </c>
      <c r="AD75" s="61">
        <f>AD71/$O71*($O$57+$O$59)</f>
        <v>641.83947149700452</v>
      </c>
      <c r="AI75" s="61">
        <f>AI71/$O71*($O$57+$O$59)</f>
        <v>376.86466512969503</v>
      </c>
      <c r="AN75" s="61">
        <f>AN71/$O71*($O$57+$O$59)</f>
        <v>167.7668898672564</v>
      </c>
      <c r="AS75" s="61">
        <f>AS71/$O71*($O$57+$O$59)</f>
        <v>78.638614300927074</v>
      </c>
      <c r="AX75" s="61">
        <f>AX71/$O71*($O$57+$O$59)</f>
        <v>53.145684944056818</v>
      </c>
    </row>
    <row r="76" spans="1:50" s="61" customFormat="1">
      <c r="A76" s="61" t="s">
        <v>70</v>
      </c>
      <c r="B76" s="62" t="s">
        <v>72</v>
      </c>
      <c r="C76" s="62"/>
      <c r="O76" s="61">
        <f>O72/$O72*($O$57+$O$59)</f>
        <v>871.76191157778749</v>
      </c>
      <c r="T76" s="61">
        <f>T72/$O72*($O$57+$O$59)</f>
        <v>802.51541357650376</v>
      </c>
      <c r="Y76" s="61">
        <f>Y72/$O72*($O$57+$O$59)</f>
        <v>816.11311936331504</v>
      </c>
      <c r="AD76" s="61">
        <f>AD72/$O72*($O$57+$O$59)</f>
        <v>643.79500700522817</v>
      </c>
      <c r="AI76" s="61">
        <f>AI72/$O72*($O$57+$O$59)</f>
        <v>382.34851270969409</v>
      </c>
      <c r="AN76" s="61">
        <f>AN72/$O72*($O$57+$O$59)</f>
        <v>173.71333070860402</v>
      </c>
      <c r="AS76" s="61">
        <f>AS72/$O72*($O$57+$O$59)</f>
        <v>83.17610102804457</v>
      </c>
      <c r="AX76" s="61">
        <f>AX72/$O72*($O$57+$O$59)</f>
        <v>56.155175270022504</v>
      </c>
    </row>
    <row r="77" spans="1:50" s="61" customFormat="1">
      <c r="A77" s="74" t="s">
        <v>354</v>
      </c>
      <c r="B77" s="62" t="s">
        <v>72</v>
      </c>
      <c r="C77" s="62"/>
      <c r="O77" s="61">
        <f>AVERAGE(O65:O70)/AVERAGE($O65:$O70)*($O$57+$O$59)</f>
        <v>871.76191157778749</v>
      </c>
      <c r="T77" s="61">
        <f>AVERAGE(T65:T70)/AVERAGE($O65:$O70)*($O$57+$O$59)</f>
        <v>802.51541357650376</v>
      </c>
      <c r="Y77" s="61">
        <f>AVERAGE(Y65:Y70)/AVERAGE($O65:$O70)*($O$57+$O$59)</f>
        <v>815.5143619882449</v>
      </c>
      <c r="AD77" s="61">
        <f>AVERAGE(AD65:AD70)/AVERAGE($O65:$O70)*($O$57+$O$59)</f>
        <v>643.11258232069758</v>
      </c>
      <c r="AI77" s="61">
        <f>AVERAGE(AI65:AI70)/AVERAGE($O65:$O70)*($O$57+$O$59)</f>
        <v>379.977443635675</v>
      </c>
      <c r="AN77" s="61">
        <f>AVERAGE(AN65:AN70)/AVERAGE($O65:$O70)*($O$57+$O$59)</f>
        <v>171.09885815004921</v>
      </c>
      <c r="AS77" s="61">
        <f>AVERAGE(AS65:AS70)/AVERAGE($O65:$O70)*($O$57+$O$59)</f>
        <v>80.972822479577388</v>
      </c>
      <c r="AX77" s="61">
        <f>AVERAGE(AX65:AX70)/AVERAGE($O65:$O70)*($O$57+$O$59)</f>
        <v>54.754782069192309</v>
      </c>
    </row>
    <row r="78" spans="1:50" s="58" customFormat="1">
      <c r="A78" s="58" t="s">
        <v>74</v>
      </c>
      <c r="B78" s="59"/>
      <c r="C78" s="59"/>
      <c r="O78" s="58">
        <f>O73/$O73*($O$57+$O$59)</f>
        <v>871.76191157778749</v>
      </c>
      <c r="T78" s="58">
        <f>T73/$O73*($O$57+$O$59)</f>
        <v>802.51541357650376</v>
      </c>
      <c r="Y78" s="58">
        <f>Y73/$O73*($O$57+$O$59)</f>
        <v>815.40950346316913</v>
      </c>
      <c r="AD78" s="58">
        <f>AD73/$O73*($O$57+$O$59)</f>
        <v>643.33530115254109</v>
      </c>
      <c r="AI78" s="58">
        <f>AI73/$O73*($O$57+$O$59)</f>
        <v>380.94082500277159</v>
      </c>
      <c r="AN78" s="58">
        <f>AN73/$O73*($O$57+$O$59)</f>
        <v>172.03549299480775</v>
      </c>
      <c r="AS78" s="58">
        <f>AS73/$O73*($O$57+$O$59)</f>
        <v>81.276287441358534</v>
      </c>
      <c r="AX78" s="58">
        <f>AX73/$O73*($O$57+$O$59)</f>
        <v>54.947529261420897</v>
      </c>
    </row>
    <row r="80" spans="1:50">
      <c r="A80" s="57" t="s">
        <v>75</v>
      </c>
      <c r="J80" t="s">
        <v>4</v>
      </c>
      <c r="K80" t="s">
        <v>76</v>
      </c>
      <c r="L80" t="s">
        <v>77</v>
      </c>
      <c r="M80" t="s">
        <v>78</v>
      </c>
      <c r="N80" t="s">
        <v>79</v>
      </c>
      <c r="O80" t="s">
        <v>5</v>
      </c>
      <c r="P80" t="s">
        <v>80</v>
      </c>
      <c r="Q80" t="s">
        <v>81</v>
      </c>
      <c r="R80" t="s">
        <v>82</v>
      </c>
      <c r="S80" t="s">
        <v>83</v>
      </c>
      <c r="T80" t="s">
        <v>6</v>
      </c>
      <c r="U80" t="s">
        <v>84</v>
      </c>
      <c r="V80" t="s">
        <v>85</v>
      </c>
      <c r="W80" t="s">
        <v>86</v>
      </c>
      <c r="X80" t="s">
        <v>87</v>
      </c>
      <c r="Y80" t="s">
        <v>88</v>
      </c>
      <c r="Z80" t="s">
        <v>89</v>
      </c>
      <c r="AA80" t="s">
        <v>90</v>
      </c>
      <c r="AB80" t="s">
        <v>91</v>
      </c>
      <c r="AC80" t="s">
        <v>92</v>
      </c>
      <c r="AD80" t="s">
        <v>93</v>
      </c>
      <c r="AE80" t="s">
        <v>94</v>
      </c>
      <c r="AF80" t="s">
        <v>95</v>
      </c>
      <c r="AG80" t="s">
        <v>96</v>
      </c>
      <c r="AH80" t="s">
        <v>97</v>
      </c>
      <c r="AI80" t="s">
        <v>98</v>
      </c>
      <c r="AJ80" t="s">
        <v>99</v>
      </c>
      <c r="AK80" t="s">
        <v>100</v>
      </c>
      <c r="AL80" t="s">
        <v>101</v>
      </c>
      <c r="AM80" t="s">
        <v>102</v>
      </c>
      <c r="AN80" t="s">
        <v>103</v>
      </c>
      <c r="AO80" t="s">
        <v>104</v>
      </c>
      <c r="AP80" t="s">
        <v>105</v>
      </c>
      <c r="AQ80" t="s">
        <v>106</v>
      </c>
      <c r="AR80" t="s">
        <v>107</v>
      </c>
      <c r="AS80" t="s">
        <v>108</v>
      </c>
      <c r="AT80" t="s">
        <v>109</v>
      </c>
      <c r="AU80" t="s">
        <v>110</v>
      </c>
      <c r="AV80" t="s">
        <v>111</v>
      </c>
      <c r="AW80" t="s">
        <v>112</v>
      </c>
      <c r="AX80" t="s">
        <v>113</v>
      </c>
    </row>
    <row r="81" spans="1:50">
      <c r="B81" s="16" t="s">
        <v>114</v>
      </c>
      <c r="J81" s="27">
        <v>100.38705223446655</v>
      </c>
      <c r="K81" s="27">
        <v>103.08034476351929</v>
      </c>
      <c r="L81" s="27">
        <v>101.77523624850608</v>
      </c>
      <c r="M81" s="27">
        <v>102.65763320614147</v>
      </c>
      <c r="N81" s="27">
        <v>104.76978950933599</v>
      </c>
      <c r="O81" s="27">
        <v>108.69554694613313</v>
      </c>
      <c r="P81" s="27">
        <v>115.16204611174297</v>
      </c>
      <c r="Q81" s="27">
        <v>124.08144465040827</v>
      </c>
      <c r="R81" s="27">
        <v>130.25986305318403</v>
      </c>
      <c r="S81" s="27">
        <v>132.95762788863755</v>
      </c>
      <c r="T81" s="27">
        <v>55.87929206099701</v>
      </c>
      <c r="U81" s="27">
        <v>130.45329471074783</v>
      </c>
      <c r="V81" s="27">
        <v>127.94896153285812</v>
      </c>
      <c r="W81" s="27">
        <v>125.44462835496842</v>
      </c>
      <c r="X81" s="27">
        <v>122.94029517707871</v>
      </c>
      <c r="Y81" s="27">
        <v>117.93162882129928</v>
      </c>
      <c r="Z81" s="27">
        <v>117.09858981989852</v>
      </c>
      <c r="AA81" s="27">
        <v>116.26555081849776</v>
      </c>
      <c r="AB81" s="27">
        <v>115.43251181709699</v>
      </c>
      <c r="AC81" s="27">
        <v>114.59947281569623</v>
      </c>
      <c r="AD81" s="27">
        <v>113.76643381429545</v>
      </c>
      <c r="AE81" s="27">
        <v>110.06510415296262</v>
      </c>
      <c r="AF81" s="27">
        <v>106.36377449162978</v>
      </c>
      <c r="AG81" s="27">
        <v>102.66244483029695</v>
      </c>
      <c r="AH81" s="27">
        <v>98.961115168964113</v>
      </c>
      <c r="AI81" s="27">
        <v>95.259785507631278</v>
      </c>
      <c r="AJ81" s="27">
        <v>91.558455846298443</v>
      </c>
      <c r="AK81" s="27">
        <v>87.857126184965608</v>
      </c>
      <c r="AL81" s="27">
        <v>84.155796523632773</v>
      </c>
      <c r="AM81" s="27">
        <v>80.454466862299938</v>
      </c>
      <c r="AN81" s="27">
        <v>76.753137200967103</v>
      </c>
      <c r="AO81" s="27">
        <v>73.051807539634268</v>
      </c>
      <c r="AP81" s="27">
        <v>69.350477878301433</v>
      </c>
      <c r="AQ81" s="27">
        <v>65.649148216968598</v>
      </c>
      <c r="AR81" s="27">
        <v>61.947818555635756</v>
      </c>
      <c r="AS81" s="27">
        <v>58.246488894302914</v>
      </c>
      <c r="AT81" s="27">
        <v>54.545159232970072</v>
      </c>
      <c r="AU81" s="27">
        <v>50.843829571637229</v>
      </c>
      <c r="AV81" s="27">
        <v>47.142499910304387</v>
      </c>
      <c r="AW81" s="27">
        <v>43.441170248971545</v>
      </c>
      <c r="AX81" s="27">
        <v>39.739840587638653</v>
      </c>
    </row>
    <row r="82" spans="1:50">
      <c r="B82" s="16" t="s">
        <v>115</v>
      </c>
      <c r="J82" s="31">
        <v>150.31971296965264</v>
      </c>
      <c r="K82" s="31">
        <v>150.86387370411109</v>
      </c>
      <c r="L82" s="31">
        <v>139.70714909214641</v>
      </c>
      <c r="M82" s="31">
        <v>131.50657493622447</v>
      </c>
      <c r="N82" s="31">
        <v>127.84123782156944</v>
      </c>
      <c r="O82" s="31">
        <v>129.80018785651828</v>
      </c>
      <c r="P82" s="31">
        <v>133.67972331600714</v>
      </c>
      <c r="Q82" s="31">
        <v>136.00716225233887</v>
      </c>
      <c r="R82" s="31">
        <v>138.62660741534233</v>
      </c>
      <c r="S82" s="31">
        <v>137.50532910575532</v>
      </c>
      <c r="T82" s="31">
        <v>122.52838641650105</v>
      </c>
      <c r="U82" s="27">
        <v>137.0877742547961</v>
      </c>
      <c r="V82" s="27">
        <v>136.67021940383688</v>
      </c>
      <c r="W82" s="27">
        <v>136.25266455287766</v>
      </c>
      <c r="X82" s="27">
        <v>135.83510970191844</v>
      </c>
      <c r="Y82" s="27">
        <v>135</v>
      </c>
      <c r="Z82" s="27">
        <v>133.34</v>
      </c>
      <c r="AA82" s="27">
        <v>131.68</v>
      </c>
      <c r="AB82" s="27">
        <v>130.02000000000001</v>
      </c>
      <c r="AC82" s="27">
        <v>128.36000000000001</v>
      </c>
      <c r="AD82" s="27">
        <v>126.7</v>
      </c>
      <c r="AE82" s="27">
        <v>121.25145928660827</v>
      </c>
      <c r="AF82" s="27">
        <v>115.80291857321653</v>
      </c>
      <c r="AG82" s="27">
        <v>110.35437785982479</v>
      </c>
      <c r="AH82" s="27">
        <v>104.90583714643306</v>
      </c>
      <c r="AI82" s="27">
        <v>99.457296433041321</v>
      </c>
      <c r="AJ82" s="27">
        <v>94.008755719649585</v>
      </c>
      <c r="AK82" s="27">
        <v>88.560215006257849</v>
      </c>
      <c r="AL82" s="27">
        <v>83.111674292866113</v>
      </c>
      <c r="AM82" s="27">
        <v>77.663133579474376</v>
      </c>
      <c r="AN82" s="27">
        <v>72.21459286608264</v>
      </c>
      <c r="AO82" s="27">
        <v>66.766052152690904</v>
      </c>
      <c r="AP82" s="27">
        <v>61.317511439299167</v>
      </c>
      <c r="AQ82" s="27">
        <v>55.868970725907431</v>
      </c>
      <c r="AR82" s="27">
        <v>50.420430012515695</v>
      </c>
      <c r="AS82" s="27">
        <v>44.971889299123958</v>
      </c>
      <c r="AT82" s="27">
        <v>39.523348585732222</v>
      </c>
      <c r="AU82" s="27">
        <v>34.074807872340486</v>
      </c>
      <c r="AV82" s="27">
        <v>28.626267158948753</v>
      </c>
      <c r="AW82" s="27">
        <v>23.17772644555702</v>
      </c>
      <c r="AX82" s="27">
        <v>17.729185732165341</v>
      </c>
    </row>
    <row r="83" spans="1:50"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</row>
    <row r="84" spans="1:50">
      <c r="A84" s="60" t="s">
        <v>116</v>
      </c>
      <c r="B84" s="16" t="s">
        <v>33</v>
      </c>
      <c r="C84" s="16" t="s">
        <v>34</v>
      </c>
    </row>
    <row r="85" spans="1:50">
      <c r="A85">
        <v>2040</v>
      </c>
      <c r="B85" s="63">
        <f>AN76/T76-1</f>
        <v>-0.78353894795063161</v>
      </c>
      <c r="C85" s="63">
        <f>AN75/T75-1</f>
        <v>-0.79094870076129298</v>
      </c>
    </row>
    <row r="86" spans="1:50">
      <c r="A86">
        <v>2050</v>
      </c>
      <c r="B86" s="63">
        <f>AX76/T76-1</f>
        <v>-0.93002604769949482</v>
      </c>
      <c r="C86" s="63">
        <f>AX75/T75-1</f>
        <v>-0.93377611938042804</v>
      </c>
    </row>
    <row r="87" spans="1:50">
      <c r="A87" s="60" t="s">
        <v>117</v>
      </c>
    </row>
    <row r="88" spans="1:50">
      <c r="B88" s="16" t="s">
        <v>33</v>
      </c>
      <c r="C88" s="16" t="s">
        <v>34</v>
      </c>
    </row>
    <row r="89" spans="1:50">
      <c r="A89">
        <v>2040</v>
      </c>
      <c r="B89" s="63">
        <f>AN76/D3-1</f>
        <v>-0.76091446885161862</v>
      </c>
      <c r="C89" s="63">
        <f>AN75/D3-1</f>
        <v>-0.76909868799701564</v>
      </c>
    </row>
    <row r="90" spans="1:50">
      <c r="A90">
        <v>2050</v>
      </c>
      <c r="B90" s="63">
        <f>AX77/D3-1</f>
        <v>-0.92463977231611327</v>
      </c>
      <c r="C90" s="63">
        <f>AX76/D3-1</f>
        <v>-0.92271237992272981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5C534-1130-4310-8DAE-5C910EAD6477}">
  <sheetPr>
    <tabColor rgb="FFEFE973"/>
  </sheetPr>
  <dimension ref="A1:AW74"/>
  <sheetViews>
    <sheetView topLeftCell="J1" zoomScale="62" zoomScaleNormal="62" workbookViewId="0">
      <selection activeCell="AW4" sqref="AW4"/>
    </sheetView>
  </sheetViews>
  <sheetFormatPr defaultRowHeight="15"/>
  <cols>
    <col min="1" max="1" width="29.85546875" bestFit="1" customWidth="1"/>
    <col min="2" max="2" width="33.28515625" customWidth="1"/>
    <col min="3" max="3" width="9.140625" customWidth="1"/>
  </cols>
  <sheetData>
    <row r="1" spans="1:49" s="13" customFormat="1">
      <c r="A1" s="9" t="s">
        <v>118</v>
      </c>
    </row>
    <row r="2" spans="1:49">
      <c r="B2" s="16" t="s">
        <v>1</v>
      </c>
      <c r="C2" s="16" t="s">
        <v>2</v>
      </c>
      <c r="I2">
        <v>2010</v>
      </c>
      <c r="S2" t="s">
        <v>6</v>
      </c>
      <c r="AC2">
        <v>2030</v>
      </c>
      <c r="AM2">
        <v>2040</v>
      </c>
      <c r="AW2">
        <v>2050</v>
      </c>
    </row>
    <row r="3" spans="1:49">
      <c r="A3" t="s">
        <v>7</v>
      </c>
      <c r="B3" t="s">
        <v>119</v>
      </c>
      <c r="C3" t="s">
        <v>120</v>
      </c>
      <c r="D3" s="1">
        <f>D4+D5+D6+D7</f>
        <v>5225.8999999999996</v>
      </c>
      <c r="E3" s="1">
        <f t="shared" ref="E3:S3" si="0">E4+E5+E6+E7</f>
        <v>5287.0999999999995</v>
      </c>
      <c r="F3" s="1">
        <f t="shared" si="0"/>
        <v>5360.8</v>
      </c>
      <c r="G3" s="1">
        <f t="shared" si="0"/>
        <v>5389.9</v>
      </c>
      <c r="H3" s="1">
        <f t="shared" si="0"/>
        <v>5410.5999999999995</v>
      </c>
      <c r="I3" s="1">
        <f t="shared" si="0"/>
        <v>5388.2000000000007</v>
      </c>
      <c r="J3" s="1">
        <f t="shared" si="0"/>
        <v>5400.5999999999995</v>
      </c>
      <c r="K3" s="1">
        <f t="shared" si="0"/>
        <v>5346.8</v>
      </c>
      <c r="L3" s="1">
        <f t="shared" si="0"/>
        <v>5412.2</v>
      </c>
      <c r="M3" s="1">
        <f t="shared" si="0"/>
        <v>5490.2</v>
      </c>
      <c r="N3" s="1">
        <f t="shared" si="0"/>
        <v>5625.4</v>
      </c>
      <c r="O3" s="1">
        <f t="shared" si="0"/>
        <v>5763.7000000000007</v>
      </c>
      <c r="P3" s="1">
        <f t="shared" si="0"/>
        <v>5843.2</v>
      </c>
      <c r="Q3" s="1">
        <f t="shared" si="0"/>
        <v>5913.9000000000005</v>
      </c>
      <c r="R3" s="1">
        <f t="shared" si="0"/>
        <v>5992.2</v>
      </c>
      <c r="S3" s="1">
        <f t="shared" si="0"/>
        <v>4435.7999999999993</v>
      </c>
    </row>
    <row r="4" spans="1:49">
      <c r="A4" t="s">
        <v>121</v>
      </c>
      <c r="B4" t="s">
        <v>119</v>
      </c>
      <c r="C4" t="s">
        <v>120</v>
      </c>
      <c r="D4" s="1">
        <f>D23+D24</f>
        <v>3953.7999999999997</v>
      </c>
      <c r="E4" s="1">
        <f t="shared" ref="E4:S4" si="1">E23+E24</f>
        <v>3988.9</v>
      </c>
      <c r="F4" s="1">
        <f t="shared" si="1"/>
        <v>4030.9</v>
      </c>
      <c r="G4" s="1">
        <f t="shared" si="1"/>
        <v>4046.1</v>
      </c>
      <c r="H4" s="1">
        <f t="shared" si="1"/>
        <v>4121.2</v>
      </c>
      <c r="I4" s="1">
        <f t="shared" si="1"/>
        <v>4089.7000000000003</v>
      </c>
      <c r="J4" s="1">
        <f t="shared" si="1"/>
        <v>4061.2999999999997</v>
      </c>
      <c r="K4" s="1">
        <f t="shared" si="1"/>
        <v>4013.6</v>
      </c>
      <c r="L4" s="1">
        <f t="shared" si="1"/>
        <v>4071.8999999999996</v>
      </c>
      <c r="M4" s="1">
        <f t="shared" si="1"/>
        <v>4129.8999999999996</v>
      </c>
      <c r="N4" s="1">
        <f t="shared" si="1"/>
        <v>4218.3999999999996</v>
      </c>
      <c r="O4" s="1">
        <f t="shared" si="1"/>
        <v>4303.7</v>
      </c>
      <c r="P4" s="1">
        <f t="shared" si="1"/>
        <v>4340.7</v>
      </c>
      <c r="Q4" s="1">
        <f t="shared" si="1"/>
        <v>4363.8</v>
      </c>
      <c r="R4" s="1">
        <f t="shared" si="1"/>
        <v>4411.2</v>
      </c>
      <c r="S4" s="1">
        <f t="shared" si="1"/>
        <v>3683.1</v>
      </c>
    </row>
    <row r="5" spans="1:49">
      <c r="A5" t="s">
        <v>122</v>
      </c>
      <c r="B5" t="s">
        <v>119</v>
      </c>
      <c r="C5" t="s">
        <v>120</v>
      </c>
      <c r="D5" s="1">
        <f>D25</f>
        <v>497.8</v>
      </c>
      <c r="E5" s="1">
        <f t="shared" ref="E5:S5" si="2">E25</f>
        <v>497.8</v>
      </c>
      <c r="F5" s="1">
        <f t="shared" si="2"/>
        <v>507.9</v>
      </c>
      <c r="G5" s="1">
        <f t="shared" si="2"/>
        <v>514.1</v>
      </c>
      <c r="H5" s="1">
        <f t="shared" si="2"/>
        <v>489.7</v>
      </c>
      <c r="I5" s="1">
        <f t="shared" si="2"/>
        <v>482.2</v>
      </c>
      <c r="J5" s="1">
        <f t="shared" si="2"/>
        <v>485.6</v>
      </c>
      <c r="K5" s="1">
        <f t="shared" si="2"/>
        <v>481.6</v>
      </c>
      <c r="L5" s="1">
        <f t="shared" si="2"/>
        <v>480.5</v>
      </c>
      <c r="M5" s="1">
        <f t="shared" si="2"/>
        <v>476.2</v>
      </c>
      <c r="N5" s="1">
        <f t="shared" si="2"/>
        <v>493.4</v>
      </c>
      <c r="O5" s="1">
        <f t="shared" si="2"/>
        <v>498.3</v>
      </c>
      <c r="P5" s="1">
        <f t="shared" si="2"/>
        <v>479</v>
      </c>
      <c r="Q5" s="1">
        <f t="shared" si="2"/>
        <v>484.1</v>
      </c>
      <c r="R5" s="1">
        <f t="shared" si="2"/>
        <v>487.5</v>
      </c>
      <c r="S5" s="1">
        <f t="shared" si="2"/>
        <v>293.60000000000002</v>
      </c>
    </row>
    <row r="6" spans="1:49">
      <c r="A6" t="s">
        <v>123</v>
      </c>
      <c r="B6" t="s">
        <v>119</v>
      </c>
      <c r="C6" t="s">
        <v>120</v>
      </c>
      <c r="D6" s="1">
        <f>D26+D28</f>
        <v>413</v>
      </c>
      <c r="E6" s="1">
        <f t="shared" ref="E6:S6" si="3">E26+E28</f>
        <v>424</v>
      </c>
      <c r="F6" s="1">
        <f t="shared" si="3"/>
        <v>429.79999999999995</v>
      </c>
      <c r="G6" s="1">
        <f t="shared" si="3"/>
        <v>445.90000000000003</v>
      </c>
      <c r="H6" s="1">
        <f t="shared" si="3"/>
        <v>437.9</v>
      </c>
      <c r="I6" s="1">
        <f t="shared" si="3"/>
        <v>439</v>
      </c>
      <c r="J6" s="1">
        <f t="shared" si="3"/>
        <v>445.20000000000005</v>
      </c>
      <c r="K6" s="1">
        <f t="shared" si="3"/>
        <v>449.5</v>
      </c>
      <c r="L6" s="1">
        <f t="shared" si="3"/>
        <v>453.8</v>
      </c>
      <c r="M6" s="1">
        <f t="shared" si="3"/>
        <v>458.5</v>
      </c>
      <c r="N6" s="1">
        <f t="shared" si="3"/>
        <v>461.8</v>
      </c>
      <c r="O6" s="1">
        <f t="shared" si="3"/>
        <v>469.1</v>
      </c>
      <c r="P6" s="1">
        <f t="shared" si="3"/>
        <v>485.1</v>
      </c>
      <c r="Q6" s="1">
        <f t="shared" si="3"/>
        <v>494.20000000000005</v>
      </c>
      <c r="R6" s="1">
        <f t="shared" si="3"/>
        <v>508</v>
      </c>
      <c r="S6" s="1">
        <f t="shared" si="3"/>
        <v>281.2</v>
      </c>
    </row>
    <row r="7" spans="1:49">
      <c r="A7" t="s">
        <v>124</v>
      </c>
      <c r="B7" t="s">
        <v>119</v>
      </c>
      <c r="C7" t="s">
        <v>120</v>
      </c>
      <c r="D7" s="1">
        <f>D29</f>
        <v>361.3</v>
      </c>
      <c r="E7" s="1">
        <f t="shared" ref="E7:S7" si="4">E29</f>
        <v>376.4</v>
      </c>
      <c r="F7" s="1">
        <f t="shared" si="4"/>
        <v>392.2</v>
      </c>
      <c r="G7" s="1">
        <f t="shared" si="4"/>
        <v>383.8</v>
      </c>
      <c r="H7" s="1">
        <f t="shared" si="4"/>
        <v>361.8</v>
      </c>
      <c r="I7" s="1">
        <f t="shared" si="4"/>
        <v>377.3</v>
      </c>
      <c r="J7" s="1">
        <f t="shared" si="4"/>
        <v>408.5</v>
      </c>
      <c r="K7" s="1">
        <f t="shared" si="4"/>
        <v>402.1</v>
      </c>
      <c r="L7" s="1">
        <f t="shared" si="4"/>
        <v>406</v>
      </c>
      <c r="M7" s="1">
        <f t="shared" si="4"/>
        <v>425.6</v>
      </c>
      <c r="N7" s="1">
        <f t="shared" si="4"/>
        <v>451.8</v>
      </c>
      <c r="O7" s="1">
        <f t="shared" si="4"/>
        <v>492.6</v>
      </c>
      <c r="P7" s="1">
        <f t="shared" si="4"/>
        <v>538.4</v>
      </c>
      <c r="Q7" s="1">
        <f t="shared" si="4"/>
        <v>571.79999999999995</v>
      </c>
      <c r="R7" s="1">
        <f t="shared" si="4"/>
        <v>585.5</v>
      </c>
      <c r="S7" s="1">
        <f t="shared" si="4"/>
        <v>177.9</v>
      </c>
    </row>
    <row r="8" spans="1:49">
      <c r="A8" t="s">
        <v>21</v>
      </c>
      <c r="B8" t="s">
        <v>125</v>
      </c>
      <c r="C8" t="s">
        <v>120</v>
      </c>
      <c r="AC8">
        <f>AC42-AC48</f>
        <v>6448</v>
      </c>
    </row>
    <row r="9" spans="1:49">
      <c r="A9" t="s">
        <v>126</v>
      </c>
      <c r="B9" t="s">
        <v>127</v>
      </c>
      <c r="C9" t="s">
        <v>120</v>
      </c>
      <c r="AW9" s="1">
        <f>AW69</f>
        <v>6656.2999170109651</v>
      </c>
    </row>
    <row r="10" spans="1:49">
      <c r="A10" t="s">
        <v>128</v>
      </c>
      <c r="B10" t="s">
        <v>129</v>
      </c>
      <c r="C10" t="s">
        <v>120</v>
      </c>
      <c r="AW10" s="1">
        <f>AW61</f>
        <v>6783.9752698429511</v>
      </c>
    </row>
    <row r="11" spans="1:49">
      <c r="A11" t="s">
        <v>130</v>
      </c>
      <c r="C11" t="s">
        <v>120</v>
      </c>
      <c r="R11" s="1">
        <v>5992.2</v>
      </c>
      <c r="S11" s="1">
        <v>6033.636363636364</v>
      </c>
      <c r="T11" s="1">
        <v>6075.0727272727272</v>
      </c>
      <c r="U11" s="1">
        <v>6116.5090909090914</v>
      </c>
      <c r="V11" s="1">
        <v>6157.9454545454546</v>
      </c>
      <c r="W11" s="1">
        <v>6199.3818181818187</v>
      </c>
      <c r="X11" s="1">
        <v>6240.818181818182</v>
      </c>
      <c r="Y11" s="1">
        <v>6282.2545454545461</v>
      </c>
      <c r="Z11" s="1">
        <v>6323.6909090909094</v>
      </c>
      <c r="AA11" s="1">
        <v>6365.1272727272735</v>
      </c>
      <c r="AB11" s="1">
        <v>6406.5636363636368</v>
      </c>
      <c r="AC11" s="1">
        <v>6448.0000000000009</v>
      </c>
      <c r="AD11">
        <v>6458.4149958505477</v>
      </c>
      <c r="AE11">
        <v>6468.8299917010963</v>
      </c>
      <c r="AF11">
        <v>6479.244987551644</v>
      </c>
      <c r="AG11">
        <v>6489.6599834021927</v>
      </c>
      <c r="AH11">
        <v>6500.0749792527413</v>
      </c>
      <c r="AI11">
        <v>6510.489975103289</v>
      </c>
      <c r="AJ11">
        <v>6520.9049709538376</v>
      </c>
      <c r="AK11">
        <v>6531.3199668043853</v>
      </c>
      <c r="AL11">
        <v>6541.734962654934</v>
      </c>
      <c r="AM11">
        <v>6552.1499585054826</v>
      </c>
      <c r="AN11">
        <v>6562.5649543560303</v>
      </c>
      <c r="AO11">
        <v>6572.9799502065789</v>
      </c>
      <c r="AP11">
        <v>6583.3949460571266</v>
      </c>
      <c r="AQ11">
        <v>6593.8099419076752</v>
      </c>
      <c r="AR11">
        <v>6604.2249377582239</v>
      </c>
      <c r="AS11">
        <v>6614.6399336087716</v>
      </c>
      <c r="AT11">
        <v>6625.0549294593202</v>
      </c>
      <c r="AU11">
        <v>6635.4699253098679</v>
      </c>
      <c r="AV11">
        <v>6645.8849211604165</v>
      </c>
      <c r="AW11">
        <v>6656.2999170109651</v>
      </c>
    </row>
    <row r="12" spans="1:49">
      <c r="A12" t="s">
        <v>131</v>
      </c>
      <c r="C12" t="s">
        <v>120</v>
      </c>
      <c r="AC12">
        <v>6448</v>
      </c>
      <c r="AD12">
        <v>6464.7987634921474</v>
      </c>
      <c r="AE12">
        <v>6481.5975269842957</v>
      </c>
      <c r="AF12">
        <v>6498.396290476443</v>
      </c>
      <c r="AG12">
        <v>6515.1950539685904</v>
      </c>
      <c r="AH12">
        <v>6531.9938174607378</v>
      </c>
      <c r="AI12">
        <v>6548.7925809528851</v>
      </c>
      <c r="AJ12">
        <v>6565.5913444450334</v>
      </c>
      <c r="AK12">
        <v>6582.3901079371808</v>
      </c>
      <c r="AL12">
        <v>6599.1888714293282</v>
      </c>
      <c r="AM12">
        <v>6615.9876349214755</v>
      </c>
      <c r="AN12">
        <v>6632.7863984136229</v>
      </c>
      <c r="AO12">
        <v>6649.5851619057712</v>
      </c>
      <c r="AP12">
        <v>6666.3839253979186</v>
      </c>
      <c r="AQ12">
        <v>6683.1826888900659</v>
      </c>
      <c r="AR12">
        <v>6699.9814523822133</v>
      </c>
      <c r="AS12">
        <v>6716.7802158743607</v>
      </c>
      <c r="AT12">
        <v>6733.578979366509</v>
      </c>
      <c r="AU12">
        <v>6750.3777428586563</v>
      </c>
      <c r="AV12">
        <v>6767.1765063508037</v>
      </c>
      <c r="AW12">
        <v>6783.9752698429511</v>
      </c>
    </row>
    <row r="14" spans="1:49">
      <c r="A14" t="s">
        <v>132</v>
      </c>
      <c r="B14" s="16"/>
      <c r="C14" s="16"/>
      <c r="D14" s="1">
        <f>AVERAGE(R3-Q3,Q3-P3,P3-O3,O3-N3)</f>
        <v>91.700000000000045</v>
      </c>
    </row>
    <row r="15" spans="1:49">
      <c r="A15" t="s">
        <v>133</v>
      </c>
      <c r="B15" s="16"/>
      <c r="C15" s="16"/>
      <c r="D15" s="1">
        <f>(AC8-R3)/11</f>
        <v>41.436363636363652</v>
      </c>
      <c r="E15">
        <f>D14/D15</f>
        <v>2.213032031592804</v>
      </c>
    </row>
    <row r="16" spans="1:49">
      <c r="A16" t="s">
        <v>134</v>
      </c>
      <c r="B16" s="16"/>
      <c r="C16" s="16"/>
      <c r="D16" s="1">
        <f>(AW9-AC8)/20</f>
        <v>10.414995850548257</v>
      </c>
      <c r="E16">
        <f>D14/D16</f>
        <v>8.8046122452533524</v>
      </c>
    </row>
    <row r="17" spans="1:49">
      <c r="A17" t="s">
        <v>135</v>
      </c>
      <c r="B17" s="16"/>
      <c r="C17" s="16"/>
      <c r="D17" s="1">
        <f>(AW10-AC8)/20</f>
        <v>16.798763492147554</v>
      </c>
      <c r="E17">
        <f>D14/D17</f>
        <v>5.4587351052870332</v>
      </c>
    </row>
    <row r="20" spans="1:49" ht="19.5" customHeight="1">
      <c r="A20" s="9" t="s">
        <v>136</v>
      </c>
      <c r="B20" s="15"/>
      <c r="C20" s="15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</row>
    <row r="21" spans="1:49">
      <c r="A21" s="19" t="s">
        <v>137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68" t="s">
        <v>138</v>
      </c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</row>
    <row r="22" spans="1:49">
      <c r="B22" t="s">
        <v>1</v>
      </c>
      <c r="C22" s="16" t="s">
        <v>2</v>
      </c>
      <c r="D22">
        <v>2005</v>
      </c>
      <c r="E22">
        <v>2006</v>
      </c>
      <c r="F22">
        <v>2007</v>
      </c>
      <c r="G22">
        <v>2008</v>
      </c>
      <c r="H22">
        <v>2009</v>
      </c>
      <c r="I22">
        <v>2010</v>
      </c>
      <c r="J22">
        <v>2011</v>
      </c>
      <c r="K22">
        <v>2012</v>
      </c>
      <c r="L22">
        <v>2013</v>
      </c>
      <c r="M22">
        <v>2014</v>
      </c>
      <c r="N22">
        <v>2015</v>
      </c>
      <c r="O22">
        <v>2016</v>
      </c>
      <c r="P22">
        <v>2017</v>
      </c>
      <c r="Q22">
        <v>2018</v>
      </c>
      <c r="R22">
        <v>2019</v>
      </c>
      <c r="S22">
        <v>2020</v>
      </c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</row>
    <row r="23" spans="1:49">
      <c r="A23" t="s">
        <v>139</v>
      </c>
      <c r="B23" s="16" t="s">
        <v>119</v>
      </c>
      <c r="C23" t="s">
        <v>120</v>
      </c>
      <c r="D23" s="1">
        <v>3839.2</v>
      </c>
      <c r="E23" s="1">
        <v>3875.3</v>
      </c>
      <c r="F23" s="1">
        <v>3921.3</v>
      </c>
      <c r="G23" s="1">
        <v>3931.6</v>
      </c>
      <c r="H23" s="1">
        <v>4009.2</v>
      </c>
      <c r="I23" s="1">
        <v>3975.9</v>
      </c>
      <c r="J23" s="1">
        <v>3943.6</v>
      </c>
      <c r="K23" s="1">
        <v>3898.5</v>
      </c>
      <c r="L23" s="1">
        <v>3957.2</v>
      </c>
      <c r="M23" s="1">
        <v>4012.5</v>
      </c>
      <c r="N23" s="1">
        <v>4101</v>
      </c>
      <c r="O23" s="1">
        <v>4185</v>
      </c>
      <c r="P23" s="1">
        <v>4228.5</v>
      </c>
      <c r="Q23" s="1">
        <v>4257</v>
      </c>
      <c r="R23" s="1">
        <v>4299.8999999999996</v>
      </c>
      <c r="S23" s="1">
        <v>3583</v>
      </c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</row>
    <row r="24" spans="1:49">
      <c r="A24" t="s">
        <v>140</v>
      </c>
      <c r="B24" s="16" t="s">
        <v>119</v>
      </c>
      <c r="C24" t="s">
        <v>120</v>
      </c>
      <c r="D24" s="1">
        <v>114.6</v>
      </c>
      <c r="E24" s="1">
        <v>113.6</v>
      </c>
      <c r="F24" s="1">
        <v>109.6</v>
      </c>
      <c r="G24" s="1">
        <v>114.5</v>
      </c>
      <c r="H24" s="1">
        <v>112</v>
      </c>
      <c r="I24" s="1">
        <v>113.8</v>
      </c>
      <c r="J24" s="1">
        <v>117.7</v>
      </c>
      <c r="K24" s="1">
        <v>115.1</v>
      </c>
      <c r="L24" s="1">
        <v>114.7</v>
      </c>
      <c r="M24" s="1">
        <v>117.4</v>
      </c>
      <c r="N24" s="1">
        <v>117.4</v>
      </c>
      <c r="O24" s="1">
        <v>118.7</v>
      </c>
      <c r="P24" s="1">
        <v>112.2</v>
      </c>
      <c r="Q24" s="1">
        <v>106.8</v>
      </c>
      <c r="R24" s="1">
        <v>111.3</v>
      </c>
      <c r="S24" s="1">
        <v>100.1</v>
      </c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</row>
    <row r="25" spans="1:49">
      <c r="A25" t="s">
        <v>141</v>
      </c>
      <c r="B25" s="16" t="s">
        <v>119</v>
      </c>
      <c r="C25" t="s">
        <v>120</v>
      </c>
      <c r="D25" s="1">
        <v>497.8</v>
      </c>
      <c r="E25" s="1">
        <v>497.8</v>
      </c>
      <c r="F25" s="1">
        <v>507.9</v>
      </c>
      <c r="G25" s="1">
        <v>514.1</v>
      </c>
      <c r="H25" s="1">
        <v>489.7</v>
      </c>
      <c r="I25" s="1">
        <v>482.2</v>
      </c>
      <c r="J25" s="1">
        <v>485.6</v>
      </c>
      <c r="K25" s="1">
        <v>481.6</v>
      </c>
      <c r="L25" s="1">
        <v>480.5</v>
      </c>
      <c r="M25" s="1">
        <v>476.2</v>
      </c>
      <c r="N25" s="1">
        <v>493.4</v>
      </c>
      <c r="O25" s="1">
        <v>498.3</v>
      </c>
      <c r="P25" s="1">
        <v>479</v>
      </c>
      <c r="Q25" s="1">
        <v>484.1</v>
      </c>
      <c r="R25" s="1">
        <v>487.5</v>
      </c>
      <c r="S25" s="1">
        <v>293.60000000000002</v>
      </c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</row>
    <row r="26" spans="1:49">
      <c r="A26" t="s">
        <v>142</v>
      </c>
      <c r="B26" s="16" t="s">
        <v>119</v>
      </c>
      <c r="C26" t="s">
        <v>120</v>
      </c>
      <c r="D26" s="1">
        <v>339.8</v>
      </c>
      <c r="E26" s="1">
        <v>349.4</v>
      </c>
      <c r="F26" s="1">
        <v>353.4</v>
      </c>
      <c r="G26" s="1">
        <v>366.6</v>
      </c>
      <c r="H26" s="1">
        <v>359.3</v>
      </c>
      <c r="I26" s="1">
        <v>358.3</v>
      </c>
      <c r="J26" s="1">
        <v>364.1</v>
      </c>
      <c r="K26" s="1">
        <v>367.3</v>
      </c>
      <c r="L26" s="1">
        <v>371.8</v>
      </c>
      <c r="M26" s="1">
        <v>376.3</v>
      </c>
      <c r="N26" s="1">
        <v>381.6</v>
      </c>
      <c r="O26" s="1">
        <v>386.5</v>
      </c>
      <c r="P26" s="1">
        <v>400.8</v>
      </c>
      <c r="Q26" s="1">
        <v>407.3</v>
      </c>
      <c r="R26" s="1">
        <v>420.9</v>
      </c>
      <c r="S26" s="1">
        <v>227.3</v>
      </c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</row>
    <row r="27" spans="1:49">
      <c r="A27" s="3" t="s">
        <v>143</v>
      </c>
      <c r="B27" s="16" t="s">
        <v>119</v>
      </c>
      <c r="C27" t="s">
        <v>120</v>
      </c>
      <c r="D27" s="1">
        <v>79.662999999999997</v>
      </c>
      <c r="E27" s="1">
        <v>83.411000000000001</v>
      </c>
      <c r="F27" s="1">
        <v>87.302999999999997</v>
      </c>
      <c r="G27" s="1">
        <v>96.610000000000014</v>
      </c>
      <c r="H27" s="1">
        <v>103.086</v>
      </c>
      <c r="I27" s="1">
        <v>104.85537834343801</v>
      </c>
      <c r="J27" s="1">
        <v>103.69534000000002</v>
      </c>
      <c r="K27" s="1">
        <v>105.43988</v>
      </c>
      <c r="L27" s="1">
        <v>107.30405000000002</v>
      </c>
      <c r="M27" s="1">
        <v>106.37969999999999</v>
      </c>
      <c r="N27" s="1">
        <v>109.92359999999999</v>
      </c>
      <c r="O27" s="1">
        <v>114.31549999999999</v>
      </c>
      <c r="P27" s="1">
        <v>124.23454</v>
      </c>
      <c r="Q27" s="1">
        <v>126.07478999999999</v>
      </c>
      <c r="R27" s="1">
        <v>132.00773999999998</v>
      </c>
      <c r="S27" s="1">
        <v>69.37291585115598</v>
      </c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</row>
    <row r="28" spans="1:49">
      <c r="A28" t="s">
        <v>144</v>
      </c>
      <c r="B28" s="16" t="s">
        <v>119</v>
      </c>
      <c r="C28" t="s">
        <v>120</v>
      </c>
      <c r="D28" s="1">
        <v>73.2</v>
      </c>
      <c r="E28" s="1">
        <v>74.599999999999994</v>
      </c>
      <c r="F28" s="1">
        <v>76.400000000000006</v>
      </c>
      <c r="G28" s="1">
        <v>79.3</v>
      </c>
      <c r="H28" s="1">
        <v>78.599999999999994</v>
      </c>
      <c r="I28" s="1">
        <v>80.7</v>
      </c>
      <c r="J28" s="1">
        <v>81.099999999999994</v>
      </c>
      <c r="K28" s="1">
        <v>82.2</v>
      </c>
      <c r="L28" s="1">
        <v>82</v>
      </c>
      <c r="M28" s="1">
        <v>82.2</v>
      </c>
      <c r="N28" s="1">
        <v>80.2</v>
      </c>
      <c r="O28" s="1">
        <v>82.6</v>
      </c>
      <c r="P28" s="1">
        <v>84.3</v>
      </c>
      <c r="Q28" s="1">
        <v>86.9</v>
      </c>
      <c r="R28" s="1">
        <v>87.1</v>
      </c>
      <c r="S28" s="1">
        <v>53.9</v>
      </c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</row>
    <row r="29" spans="1:49">
      <c r="A29" t="s">
        <v>145</v>
      </c>
      <c r="B29" s="16" t="s">
        <v>119</v>
      </c>
      <c r="C29" t="s">
        <v>120</v>
      </c>
      <c r="D29" s="1">
        <v>361.3</v>
      </c>
      <c r="E29" s="1">
        <v>376.4</v>
      </c>
      <c r="F29" s="1">
        <v>392.2</v>
      </c>
      <c r="G29" s="1">
        <v>383.8</v>
      </c>
      <c r="H29" s="1">
        <v>361.8</v>
      </c>
      <c r="I29" s="1">
        <v>377.3</v>
      </c>
      <c r="J29" s="1">
        <v>408.5</v>
      </c>
      <c r="K29" s="1">
        <v>402.1</v>
      </c>
      <c r="L29" s="1">
        <v>406</v>
      </c>
      <c r="M29" s="1">
        <v>425.6</v>
      </c>
      <c r="N29" s="1">
        <v>451.8</v>
      </c>
      <c r="O29" s="1">
        <v>492.6</v>
      </c>
      <c r="P29" s="1">
        <v>538.4</v>
      </c>
      <c r="Q29" s="1">
        <v>571.79999999999995</v>
      </c>
      <c r="R29" s="1">
        <v>585.5</v>
      </c>
      <c r="S29" s="1">
        <v>177.9</v>
      </c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</row>
    <row r="30" spans="1:49">
      <c r="A30" t="s">
        <v>146</v>
      </c>
      <c r="B30" s="16" t="s">
        <v>119</v>
      </c>
      <c r="C30" t="s">
        <v>120</v>
      </c>
      <c r="D30" s="1">
        <v>21.3</v>
      </c>
      <c r="E30" s="1">
        <v>21.4</v>
      </c>
      <c r="F30" s="1">
        <v>21.3</v>
      </c>
      <c r="G30" s="1">
        <v>21.9</v>
      </c>
      <c r="H30" s="1">
        <v>22.4</v>
      </c>
      <c r="I30" s="1">
        <v>22.5</v>
      </c>
      <c r="J30" s="1">
        <v>20</v>
      </c>
      <c r="K30" s="1">
        <v>18.5</v>
      </c>
      <c r="L30" s="1">
        <v>19.3</v>
      </c>
      <c r="M30" s="1">
        <v>19.399999999999999</v>
      </c>
      <c r="N30" s="1">
        <v>19.399999999999999</v>
      </c>
      <c r="O30" s="1">
        <v>18.399999999999999</v>
      </c>
      <c r="P30" s="1">
        <v>19.7</v>
      </c>
      <c r="Q30" s="1">
        <v>20.8</v>
      </c>
      <c r="R30" s="1">
        <v>21.1</v>
      </c>
      <c r="S30" s="1">
        <v>10.3</v>
      </c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</row>
    <row r="31" spans="1:49">
      <c r="A31" t="s">
        <v>147</v>
      </c>
      <c r="B31" s="16" t="s">
        <v>119</v>
      </c>
      <c r="C31" t="s">
        <v>120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</row>
    <row r="32" spans="1:49">
      <c r="A32" t="s">
        <v>7</v>
      </c>
      <c r="B32" s="16" t="s">
        <v>119</v>
      </c>
      <c r="C32" t="s">
        <v>120</v>
      </c>
      <c r="D32" s="1">
        <v>5247.2</v>
      </c>
      <c r="E32" s="1">
        <v>5308.4</v>
      </c>
      <c r="F32" s="1">
        <v>5381.9</v>
      </c>
      <c r="G32" s="1">
        <v>5411.8</v>
      </c>
      <c r="H32" s="1">
        <v>5433.1</v>
      </c>
      <c r="I32" s="1">
        <v>5410.6</v>
      </c>
      <c r="J32" s="1">
        <v>5420.7</v>
      </c>
      <c r="K32" s="1">
        <v>5365.3</v>
      </c>
      <c r="L32" s="1">
        <v>5431.6</v>
      </c>
      <c r="M32" s="1">
        <v>5509.7</v>
      </c>
      <c r="N32" s="1">
        <v>5644.8</v>
      </c>
      <c r="O32" s="1">
        <v>5782</v>
      </c>
      <c r="P32" s="1">
        <v>5862.9</v>
      </c>
      <c r="Q32" s="1">
        <v>5934.7</v>
      </c>
      <c r="R32" s="1">
        <v>6013.3</v>
      </c>
      <c r="S32" s="1">
        <v>4446</v>
      </c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</row>
    <row r="33" spans="1:49">
      <c r="A33" t="s">
        <v>148</v>
      </c>
      <c r="B33" s="16" t="s">
        <v>119</v>
      </c>
      <c r="C33" t="s">
        <v>120</v>
      </c>
      <c r="D33" s="1">
        <f>D32-D30-D29</f>
        <v>4864.5999999999995</v>
      </c>
      <c r="E33" s="1">
        <f t="shared" ref="E33:S33" si="5">E32-E30-E29</f>
        <v>4910.6000000000004</v>
      </c>
      <c r="F33" s="1">
        <f t="shared" si="5"/>
        <v>4968.3999999999996</v>
      </c>
      <c r="G33" s="1">
        <f t="shared" si="5"/>
        <v>5006.1000000000004</v>
      </c>
      <c r="H33" s="1">
        <f t="shared" si="5"/>
        <v>5048.9000000000005</v>
      </c>
      <c r="I33" s="1">
        <f t="shared" si="5"/>
        <v>5010.8</v>
      </c>
      <c r="J33" s="1">
        <f t="shared" si="5"/>
        <v>4992.2</v>
      </c>
      <c r="K33" s="1">
        <f t="shared" si="5"/>
        <v>4944.7</v>
      </c>
      <c r="L33" s="1">
        <f t="shared" si="5"/>
        <v>5006.3</v>
      </c>
      <c r="M33" s="1">
        <f t="shared" si="5"/>
        <v>5064.7</v>
      </c>
      <c r="N33" s="1">
        <f t="shared" si="5"/>
        <v>5173.6000000000004</v>
      </c>
      <c r="O33" s="1">
        <f t="shared" si="5"/>
        <v>5271</v>
      </c>
      <c r="P33" s="1">
        <f t="shared" si="5"/>
        <v>5304.8</v>
      </c>
      <c r="Q33" s="1">
        <f t="shared" si="5"/>
        <v>5342.0999999999995</v>
      </c>
      <c r="R33" s="1">
        <f t="shared" si="5"/>
        <v>5406.7</v>
      </c>
      <c r="S33" s="1">
        <f t="shared" si="5"/>
        <v>4257.8</v>
      </c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</row>
    <row r="34" spans="1:49">
      <c r="B34" s="16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</row>
    <row r="35" spans="1:49">
      <c r="B35" s="1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</row>
    <row r="36" spans="1:49">
      <c r="B36" s="16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</row>
    <row r="37" spans="1:49">
      <c r="B37" s="16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</row>
    <row r="38" spans="1:49">
      <c r="B38" s="16"/>
      <c r="C38" s="1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</row>
    <row r="39" spans="1:49">
      <c r="B39" s="16"/>
      <c r="C39" s="1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</row>
    <row r="40" spans="1:49">
      <c r="A40" s="9" t="s">
        <v>149</v>
      </c>
      <c r="B40" s="15"/>
      <c r="C40" s="15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</row>
    <row r="41" spans="1:49">
      <c r="B41" s="16" t="s">
        <v>1</v>
      </c>
      <c r="C41" s="16" t="s">
        <v>2</v>
      </c>
      <c r="D41">
        <v>2005</v>
      </c>
      <c r="I41">
        <v>2010</v>
      </c>
      <c r="S41" t="s">
        <v>6</v>
      </c>
      <c r="AC41">
        <v>2030</v>
      </c>
      <c r="AM41">
        <v>2040</v>
      </c>
      <c r="AW41">
        <v>2050</v>
      </c>
    </row>
    <row r="42" spans="1:49">
      <c r="A42" t="s">
        <v>150</v>
      </c>
      <c r="B42" t="s">
        <v>358</v>
      </c>
      <c r="C42" t="s">
        <v>120</v>
      </c>
      <c r="D42" s="16">
        <v>5277</v>
      </c>
      <c r="I42" s="16">
        <v>5453</v>
      </c>
      <c r="N42">
        <v>5618</v>
      </c>
      <c r="S42">
        <v>4498</v>
      </c>
      <c r="X42">
        <v>6088</v>
      </c>
      <c r="AC42">
        <v>6487</v>
      </c>
    </row>
    <row r="43" spans="1:49">
      <c r="A43" t="s">
        <v>151</v>
      </c>
      <c r="B43" t="s">
        <v>358</v>
      </c>
      <c r="C43" t="s">
        <v>120</v>
      </c>
      <c r="D43" s="16">
        <v>498</v>
      </c>
      <c r="I43" s="16">
        <v>484</v>
      </c>
      <c r="N43">
        <v>487</v>
      </c>
      <c r="S43">
        <v>313</v>
      </c>
      <c r="X43">
        <v>473</v>
      </c>
      <c r="AC43">
        <v>542</v>
      </c>
    </row>
    <row r="44" spans="1:49">
      <c r="A44" t="s">
        <v>152</v>
      </c>
      <c r="B44" t="s">
        <v>358</v>
      </c>
      <c r="C44" t="s">
        <v>120</v>
      </c>
      <c r="D44" s="16">
        <v>3841</v>
      </c>
      <c r="I44" s="16">
        <v>3981</v>
      </c>
      <c r="N44">
        <v>4057</v>
      </c>
      <c r="S44">
        <v>3548</v>
      </c>
      <c r="X44">
        <v>4354</v>
      </c>
      <c r="AC44">
        <v>4533</v>
      </c>
    </row>
    <row r="45" spans="1:49">
      <c r="A45" t="s">
        <v>153</v>
      </c>
      <c r="B45" t="s">
        <v>358</v>
      </c>
      <c r="C45" t="s">
        <v>120</v>
      </c>
      <c r="D45" s="16">
        <v>115</v>
      </c>
      <c r="I45" s="16">
        <v>115</v>
      </c>
      <c r="N45">
        <v>120</v>
      </c>
      <c r="S45">
        <v>100</v>
      </c>
      <c r="X45">
        <v>123</v>
      </c>
      <c r="AC45">
        <v>129</v>
      </c>
    </row>
    <row r="46" spans="1:49">
      <c r="A46" t="s">
        <v>154</v>
      </c>
      <c r="B46" t="s">
        <v>358</v>
      </c>
      <c r="C46" t="s">
        <v>120</v>
      </c>
      <c r="D46" s="16">
        <v>417</v>
      </c>
      <c r="I46" s="16">
        <v>444</v>
      </c>
      <c r="N46">
        <v>471</v>
      </c>
      <c r="S46">
        <v>275</v>
      </c>
      <c r="X46">
        <v>532</v>
      </c>
      <c r="AC46">
        <v>633</v>
      </c>
    </row>
    <row r="47" spans="1:49">
      <c r="A47" t="s">
        <v>155</v>
      </c>
      <c r="B47" t="s">
        <v>358</v>
      </c>
      <c r="C47" t="s">
        <v>120</v>
      </c>
      <c r="D47" s="16">
        <v>373</v>
      </c>
      <c r="I47" s="16">
        <v>398</v>
      </c>
      <c r="N47">
        <v>450</v>
      </c>
      <c r="S47">
        <v>244</v>
      </c>
      <c r="X47">
        <v>571</v>
      </c>
      <c r="AC47">
        <v>612</v>
      </c>
    </row>
    <row r="48" spans="1:49">
      <c r="A48" t="s">
        <v>156</v>
      </c>
      <c r="B48" t="s">
        <v>358</v>
      </c>
      <c r="C48" t="s">
        <v>120</v>
      </c>
      <c r="D48" s="16">
        <v>32</v>
      </c>
      <c r="I48" s="16">
        <v>31</v>
      </c>
      <c r="N48">
        <v>34</v>
      </c>
      <c r="S48">
        <v>19</v>
      </c>
      <c r="X48">
        <v>36</v>
      </c>
      <c r="AC48">
        <v>39</v>
      </c>
    </row>
    <row r="49" spans="1:49" ht="16.5" customHeight="1">
      <c r="D49" s="16"/>
      <c r="E49" s="16"/>
    </row>
    <row r="50" spans="1:49">
      <c r="A50" s="9" t="s">
        <v>157</v>
      </c>
      <c r="B50" s="15"/>
      <c r="C50" s="15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</row>
    <row r="51" spans="1:49">
      <c r="A51" s="19" t="s">
        <v>158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</row>
    <row r="52" spans="1:49">
      <c r="B52" s="16" t="s">
        <v>1</v>
      </c>
      <c r="C52" s="16" t="s">
        <v>2</v>
      </c>
      <c r="D52" t="s">
        <v>159</v>
      </c>
      <c r="E52" t="s">
        <v>160</v>
      </c>
      <c r="N52">
        <v>2015</v>
      </c>
      <c r="S52">
        <v>2020</v>
      </c>
      <c r="X52">
        <v>2025</v>
      </c>
      <c r="AC52">
        <v>2030</v>
      </c>
      <c r="AH52">
        <v>2035</v>
      </c>
      <c r="AM52">
        <v>2040</v>
      </c>
      <c r="AR52">
        <v>2045</v>
      </c>
      <c r="AW52">
        <v>2050</v>
      </c>
    </row>
    <row r="53" spans="1:49">
      <c r="A53" t="s">
        <v>161</v>
      </c>
      <c r="B53" s="16"/>
      <c r="C53" s="16"/>
      <c r="N53" s="1">
        <f>N54+N55+N56+N57</f>
        <v>5151.3999999999996</v>
      </c>
      <c r="O53" s="1">
        <f t="shared" ref="O53:AV53" si="6">O54+O55+O56+O57</f>
        <v>5201.2507999999989</v>
      </c>
      <c r="P53" s="1">
        <f t="shared" si="6"/>
        <v>5251.7537511999981</v>
      </c>
      <c r="Q53" s="1">
        <f t="shared" si="6"/>
        <v>5302.9201078147971</v>
      </c>
      <c r="R53" s="1">
        <f t="shared" si="6"/>
        <v>5354.7613508333434</v>
      </c>
      <c r="S53" s="1">
        <f t="shared" si="6"/>
        <v>5407.2891928884319</v>
      </c>
      <c r="T53" s="1">
        <f t="shared" si="6"/>
        <v>5460.5155832334567</v>
      </c>
      <c r="U53" s="1">
        <f t="shared" si="6"/>
        <v>5514.4527128285745</v>
      </c>
      <c r="V53" s="1">
        <f t="shared" si="6"/>
        <v>5569.1130195387132</v>
      </c>
      <c r="W53" s="1">
        <f t="shared" si="6"/>
        <v>5624.5091934459078</v>
      </c>
      <c r="X53" s="1">
        <f t="shared" si="6"/>
        <v>5680.6541822785039</v>
      </c>
      <c r="Y53" s="1">
        <f t="shared" si="6"/>
        <v>5737.561196959804</v>
      </c>
      <c r="Z53" s="1">
        <f t="shared" si="6"/>
        <v>5795.2437172788359</v>
      </c>
      <c r="AA53" s="1">
        <f t="shared" si="6"/>
        <v>5853.715497685921</v>
      </c>
      <c r="AB53" s="1">
        <f t="shared" si="6"/>
        <v>5912.9905732158422</v>
      </c>
      <c r="AC53" s="1">
        <f t="shared" si="6"/>
        <v>5973.0832655414206</v>
      </c>
      <c r="AD53" s="1">
        <f t="shared" si="6"/>
        <v>6019.0374045791241</v>
      </c>
      <c r="AE53" s="1">
        <f t="shared" si="6"/>
        <v>6065.4142364942572</v>
      </c>
      <c r="AF53" s="1">
        <f t="shared" si="6"/>
        <v>6112.2184685600323</v>
      </c>
      <c r="AG53" s="1">
        <f t="shared" si="6"/>
        <v>6159.4548688577497</v>
      </c>
      <c r="AH53" s="1">
        <f t="shared" si="6"/>
        <v>6207.1282671365534</v>
      </c>
      <c r="AI53" s="1">
        <f t="shared" si="6"/>
        <v>6255.2435556859518</v>
      </c>
      <c r="AJ53" s="1">
        <f t="shared" si="6"/>
        <v>6303.8056902212857</v>
      </c>
      <c r="AK53" s="1">
        <f t="shared" si="6"/>
        <v>6352.8196907823649</v>
      </c>
      <c r="AL53" s="1">
        <f t="shared" si="6"/>
        <v>6402.2906426454492</v>
      </c>
      <c r="AM53" s="1">
        <f t="shared" si="6"/>
        <v>6452.2236972488008</v>
      </c>
      <c r="AN53" s="1">
        <f t="shared" si="6"/>
        <v>6502.6240731319886</v>
      </c>
      <c r="AO53" s="1">
        <f t="shared" si="6"/>
        <v>6553.4970568891849</v>
      </c>
      <c r="AP53" s="1">
        <f t="shared" si="6"/>
        <v>6604.8480041366392</v>
      </c>
      <c r="AQ53" s="1">
        <f t="shared" si="6"/>
        <v>6656.682340494559</v>
      </c>
      <c r="AR53" s="1">
        <f t="shared" si="6"/>
        <v>6709.0055625836258</v>
      </c>
      <c r="AS53" s="1">
        <f t="shared" si="6"/>
        <v>6761.8232390363537</v>
      </c>
      <c r="AT53" s="1">
        <f t="shared" si="6"/>
        <v>6815.1410115235203</v>
      </c>
      <c r="AU53" s="1">
        <f t="shared" si="6"/>
        <v>6868.9645957959165</v>
      </c>
      <c r="AV53" s="1">
        <f t="shared" si="6"/>
        <v>6923.299782741622</v>
      </c>
      <c r="AW53" s="1">
        <f>AW54+AW55+AW56</f>
        <v>6952.5175970104328</v>
      </c>
    </row>
    <row r="54" spans="1:49">
      <c r="A54" s="1" t="s">
        <v>162</v>
      </c>
      <c r="B54" s="16" t="s">
        <v>163</v>
      </c>
      <c r="C54" t="s">
        <v>120</v>
      </c>
      <c r="D54" s="8">
        <v>7.0000000000000001E-3</v>
      </c>
      <c r="E54" s="8">
        <v>6.0000000000000001E-3</v>
      </c>
      <c r="N54" s="1">
        <f>N23+N24</f>
        <v>4218.3999999999996</v>
      </c>
      <c r="O54" s="4">
        <f>N54*(1+$D54)</f>
        <v>4247.9287999999988</v>
      </c>
      <c r="P54" s="4">
        <f>O54*(1+$D54)</f>
        <v>4277.664301599998</v>
      </c>
      <c r="Q54" s="4">
        <f t="shared" ref="Q54:AC54" si="7">P54*(1+$D54)</f>
        <v>4307.6079517111975</v>
      </c>
      <c r="R54" s="4">
        <f t="shared" si="7"/>
        <v>4337.7612073731752</v>
      </c>
      <c r="S54" s="4">
        <f t="shared" si="7"/>
        <v>4368.1255358247872</v>
      </c>
      <c r="T54" s="4">
        <f t="shared" si="7"/>
        <v>4398.7024145755604</v>
      </c>
      <c r="U54" s="4">
        <f t="shared" si="7"/>
        <v>4429.493331477589</v>
      </c>
      <c r="V54" s="4">
        <f t="shared" si="7"/>
        <v>4460.4997847979321</v>
      </c>
      <c r="W54" s="4">
        <f t="shared" si="7"/>
        <v>4491.723283291517</v>
      </c>
      <c r="X54" s="4">
        <f t="shared" si="7"/>
        <v>4523.1653462745571</v>
      </c>
      <c r="Y54" s="4">
        <f t="shared" si="7"/>
        <v>4554.8275036984787</v>
      </c>
      <c r="Z54" s="4">
        <f t="shared" si="7"/>
        <v>4586.7112962243673</v>
      </c>
      <c r="AA54" s="4">
        <f t="shared" si="7"/>
        <v>4618.8182752979374</v>
      </c>
      <c r="AB54" s="4">
        <f t="shared" si="7"/>
        <v>4651.1500032250224</v>
      </c>
      <c r="AC54" s="4">
        <f t="shared" si="7"/>
        <v>4683.7080532475975</v>
      </c>
      <c r="AD54" s="4">
        <f>AC54*(1+$E54)</f>
        <v>4711.8103015670831</v>
      </c>
      <c r="AE54" s="4">
        <f t="shared" ref="AE54:AW54" si="8">AD54*(1+$E54)</f>
        <v>4740.0811633764861</v>
      </c>
      <c r="AF54" s="4">
        <f t="shared" si="8"/>
        <v>4768.5216503567453</v>
      </c>
      <c r="AG54" s="4">
        <f t="shared" si="8"/>
        <v>4797.1327802588858</v>
      </c>
      <c r="AH54" s="4">
        <f t="shared" si="8"/>
        <v>4825.9155769404388</v>
      </c>
      <c r="AI54" s="4">
        <f t="shared" si="8"/>
        <v>4854.8710704020814</v>
      </c>
      <c r="AJ54" s="4">
        <f t="shared" si="8"/>
        <v>4884.0002968244935</v>
      </c>
      <c r="AK54" s="4">
        <f t="shared" si="8"/>
        <v>4913.3042986054406</v>
      </c>
      <c r="AL54" s="4">
        <f t="shared" si="8"/>
        <v>4942.7841243970734</v>
      </c>
      <c r="AM54" s="4">
        <f t="shared" si="8"/>
        <v>4972.4408291434556</v>
      </c>
      <c r="AN54" s="4">
        <f t="shared" si="8"/>
        <v>5002.2754741183162</v>
      </c>
      <c r="AO54" s="4">
        <f t="shared" si="8"/>
        <v>5032.2891269630263</v>
      </c>
      <c r="AP54" s="4">
        <f t="shared" si="8"/>
        <v>5062.4828617248049</v>
      </c>
      <c r="AQ54" s="4">
        <f t="shared" si="8"/>
        <v>5092.8577588951539</v>
      </c>
      <c r="AR54" s="4">
        <f t="shared" si="8"/>
        <v>5123.4149054485251</v>
      </c>
      <c r="AS54" s="4">
        <f t="shared" si="8"/>
        <v>5154.1553948812161</v>
      </c>
      <c r="AT54" s="4">
        <f t="shared" si="8"/>
        <v>5185.0803272505036</v>
      </c>
      <c r="AU54" s="4">
        <f t="shared" si="8"/>
        <v>5216.1908092140065</v>
      </c>
      <c r="AV54" s="4">
        <f t="shared" si="8"/>
        <v>5247.4879540692909</v>
      </c>
      <c r="AW54" s="4">
        <f t="shared" si="8"/>
        <v>5278.9728817937066</v>
      </c>
    </row>
    <row r="55" spans="1:49">
      <c r="A55" s="1" t="s">
        <v>164</v>
      </c>
      <c r="B55" s="16" t="s">
        <v>163</v>
      </c>
      <c r="C55" t="s">
        <v>120</v>
      </c>
      <c r="D55" s="8">
        <v>2.1000000000000001E-2</v>
      </c>
      <c r="E55" s="8">
        <v>1.2E-2</v>
      </c>
      <c r="N55" s="1">
        <f>N26+N28</f>
        <v>461.8</v>
      </c>
      <c r="O55" s="4">
        <f t="shared" ref="O55:AC57" si="9">N55*(1+$D55)</f>
        <v>471.49779999999998</v>
      </c>
      <c r="P55" s="4">
        <f t="shared" si="9"/>
        <v>481.39925379999994</v>
      </c>
      <c r="Q55" s="4">
        <f t="shared" si="9"/>
        <v>491.50863812979992</v>
      </c>
      <c r="R55" s="4">
        <f t="shared" si="9"/>
        <v>501.83031953052568</v>
      </c>
      <c r="S55" s="4">
        <f t="shared" si="9"/>
        <v>512.3687562406667</v>
      </c>
      <c r="T55" s="4">
        <f t="shared" si="9"/>
        <v>523.12850012172066</v>
      </c>
      <c r="U55" s="4">
        <f t="shared" si="9"/>
        <v>534.1141986242767</v>
      </c>
      <c r="V55" s="4">
        <f t="shared" si="9"/>
        <v>545.33059679538644</v>
      </c>
      <c r="W55" s="4">
        <f t="shared" si="9"/>
        <v>556.78253932808946</v>
      </c>
      <c r="X55" s="4">
        <f t="shared" si="9"/>
        <v>568.47497265397931</v>
      </c>
      <c r="Y55" s="4">
        <f t="shared" si="9"/>
        <v>580.41294707971281</v>
      </c>
      <c r="Z55" s="4">
        <f t="shared" si="9"/>
        <v>592.60161896838667</v>
      </c>
      <c r="AA55" s="4">
        <f t="shared" si="9"/>
        <v>605.0462529667227</v>
      </c>
      <c r="AB55" s="4">
        <f t="shared" si="9"/>
        <v>617.75222427902384</v>
      </c>
      <c r="AC55" s="4">
        <f t="shared" si="9"/>
        <v>630.72502098888333</v>
      </c>
      <c r="AD55" s="4">
        <f t="shared" ref="AD55:AW57" si="10">AC55*(1+$E55)</f>
        <v>638.29372124074996</v>
      </c>
      <c r="AE55" s="4">
        <f t="shared" si="10"/>
        <v>645.95324589563893</v>
      </c>
      <c r="AF55" s="4">
        <f t="shared" si="10"/>
        <v>653.70468484638661</v>
      </c>
      <c r="AG55" s="4">
        <f t="shared" si="10"/>
        <v>661.54914106454328</v>
      </c>
      <c r="AH55" s="4">
        <f t="shared" si="10"/>
        <v>669.48773075731776</v>
      </c>
      <c r="AI55" s="4">
        <f t="shared" si="10"/>
        <v>677.52158352640561</v>
      </c>
      <c r="AJ55" s="4">
        <f t="shared" si="10"/>
        <v>685.65184252872245</v>
      </c>
      <c r="AK55" s="4">
        <f t="shared" si="10"/>
        <v>693.87966463906719</v>
      </c>
      <c r="AL55" s="4">
        <f t="shared" si="10"/>
        <v>702.20622061473603</v>
      </c>
      <c r="AM55" s="4">
        <f t="shared" si="10"/>
        <v>710.63269526211286</v>
      </c>
      <c r="AN55" s="4">
        <f t="shared" si="10"/>
        <v>719.16028760525819</v>
      </c>
      <c r="AO55" s="4">
        <f t="shared" si="10"/>
        <v>727.79021105652134</v>
      </c>
      <c r="AP55" s="4">
        <f t="shared" si="10"/>
        <v>736.52369358919964</v>
      </c>
      <c r="AQ55" s="4">
        <f t="shared" si="10"/>
        <v>745.36197791227005</v>
      </c>
      <c r="AR55" s="4">
        <f t="shared" si="10"/>
        <v>754.30632164721726</v>
      </c>
      <c r="AS55" s="4">
        <f t="shared" si="10"/>
        <v>763.35799750698391</v>
      </c>
      <c r="AT55" s="4">
        <f t="shared" si="10"/>
        <v>772.51829347706769</v>
      </c>
      <c r="AU55" s="4">
        <f t="shared" si="10"/>
        <v>781.7885129987925</v>
      </c>
      <c r="AV55" s="4">
        <f t="shared" si="10"/>
        <v>791.16997515477806</v>
      </c>
      <c r="AW55" s="4">
        <f t="shared" si="10"/>
        <v>800.66401485663539</v>
      </c>
    </row>
    <row r="56" spans="1:49">
      <c r="A56" s="1" t="s">
        <v>16</v>
      </c>
      <c r="B56" s="16" t="s">
        <v>163</v>
      </c>
      <c r="C56" t="s">
        <v>120</v>
      </c>
      <c r="D56" s="8">
        <v>2.3E-2</v>
      </c>
      <c r="E56" s="8">
        <v>1.6E-2</v>
      </c>
      <c r="N56" s="1">
        <f>N29</f>
        <v>451.8</v>
      </c>
      <c r="O56" s="4">
        <f t="shared" si="9"/>
        <v>462.19139999999999</v>
      </c>
      <c r="P56" s="4">
        <f t="shared" si="9"/>
        <v>472.82180219999992</v>
      </c>
      <c r="Q56" s="4">
        <f t="shared" si="9"/>
        <v>483.69670365059989</v>
      </c>
      <c r="R56" s="4">
        <f t="shared" si="9"/>
        <v>494.82172783456366</v>
      </c>
      <c r="S56" s="4">
        <f t="shared" si="9"/>
        <v>506.20262757475859</v>
      </c>
      <c r="T56" s="4">
        <f t="shared" si="9"/>
        <v>517.84528800897795</v>
      </c>
      <c r="U56" s="4">
        <f t="shared" si="9"/>
        <v>529.75572963318439</v>
      </c>
      <c r="V56" s="4">
        <f t="shared" si="9"/>
        <v>541.94011141474755</v>
      </c>
      <c r="W56" s="4">
        <f t="shared" si="9"/>
        <v>554.4047339772867</v>
      </c>
      <c r="X56" s="4">
        <f t="shared" si="9"/>
        <v>567.15604285876429</v>
      </c>
      <c r="Y56" s="4">
        <f t="shared" si="9"/>
        <v>580.20063184451578</v>
      </c>
      <c r="Z56" s="4">
        <f t="shared" si="9"/>
        <v>593.54524637693964</v>
      </c>
      <c r="AA56" s="4">
        <f t="shared" si="9"/>
        <v>607.19678704360922</v>
      </c>
      <c r="AB56" s="4">
        <f t="shared" si="9"/>
        <v>621.16231314561219</v>
      </c>
      <c r="AC56" s="4">
        <f t="shared" si="9"/>
        <v>635.44904634796126</v>
      </c>
      <c r="AD56" s="4">
        <f t="shared" si="10"/>
        <v>645.6162310895287</v>
      </c>
      <c r="AE56" s="4">
        <f t="shared" si="10"/>
        <v>655.94609078696112</v>
      </c>
      <c r="AF56" s="4">
        <f t="shared" si="10"/>
        <v>666.44122823955252</v>
      </c>
      <c r="AG56" s="4">
        <f t="shared" si="10"/>
        <v>677.10428789138541</v>
      </c>
      <c r="AH56" s="4">
        <f t="shared" si="10"/>
        <v>687.93795649764763</v>
      </c>
      <c r="AI56" s="4">
        <f t="shared" si="10"/>
        <v>698.94496380161002</v>
      </c>
      <c r="AJ56" s="4">
        <f t="shared" si="10"/>
        <v>710.12808322243575</v>
      </c>
      <c r="AK56" s="4">
        <f t="shared" si="10"/>
        <v>721.49013255399473</v>
      </c>
      <c r="AL56" s="4">
        <f t="shared" si="10"/>
        <v>733.03397467485865</v>
      </c>
      <c r="AM56" s="4">
        <f t="shared" si="10"/>
        <v>744.76251826965643</v>
      </c>
      <c r="AN56" s="4">
        <f t="shared" si="10"/>
        <v>756.67871856197098</v>
      </c>
      <c r="AO56" s="4">
        <f t="shared" si="10"/>
        <v>768.78557805896253</v>
      </c>
      <c r="AP56" s="4">
        <f t="shared" si="10"/>
        <v>781.08614730790589</v>
      </c>
      <c r="AQ56" s="4">
        <f t="shared" si="10"/>
        <v>793.58352566483245</v>
      </c>
      <c r="AR56" s="4">
        <f t="shared" si="10"/>
        <v>806.28086207546983</v>
      </c>
      <c r="AS56" s="4">
        <f t="shared" si="10"/>
        <v>819.18135586867731</v>
      </c>
      <c r="AT56" s="4">
        <f t="shared" si="10"/>
        <v>832.28825756257618</v>
      </c>
      <c r="AU56" s="4">
        <f t="shared" si="10"/>
        <v>845.60486968357736</v>
      </c>
      <c r="AV56" s="4">
        <f t="shared" si="10"/>
        <v>859.13454759851459</v>
      </c>
      <c r="AW56" s="4">
        <f t="shared" si="10"/>
        <v>872.88070036009083</v>
      </c>
    </row>
    <row r="57" spans="1:49">
      <c r="A57" s="1" t="s">
        <v>165</v>
      </c>
      <c r="B57" s="16" t="s">
        <v>163</v>
      </c>
      <c r="C57" t="s">
        <v>120</v>
      </c>
      <c r="D57" s="8">
        <v>1.2E-2</v>
      </c>
      <c r="E57" s="8">
        <v>5.0000000000000001E-3</v>
      </c>
      <c r="N57" s="1">
        <f>N30</f>
        <v>19.399999999999999</v>
      </c>
      <c r="O57" s="4">
        <f t="shared" si="9"/>
        <v>19.6328</v>
      </c>
      <c r="P57" s="4">
        <f t="shared" si="9"/>
        <v>19.868393600000001</v>
      </c>
      <c r="Q57" s="4">
        <f t="shared" si="9"/>
        <v>20.106814323200002</v>
      </c>
      <c r="R57" s="4">
        <f t="shared" si="9"/>
        <v>20.348096095078404</v>
      </c>
      <c r="S57" s="4">
        <f t="shared" si="9"/>
        <v>20.592273248219346</v>
      </c>
      <c r="T57" s="4">
        <f t="shared" si="9"/>
        <v>20.839380527197978</v>
      </c>
      <c r="U57" s="4">
        <f t="shared" si="9"/>
        <v>21.089453093524355</v>
      </c>
      <c r="V57" s="4">
        <f t="shared" si="9"/>
        <v>21.342526530646648</v>
      </c>
      <c r="W57" s="4">
        <f t="shared" si="9"/>
        <v>21.598636849014408</v>
      </c>
      <c r="X57" s="4">
        <f t="shared" si="9"/>
        <v>21.857820491202581</v>
      </c>
      <c r="Y57" s="4">
        <f t="shared" si="9"/>
        <v>22.120114337097011</v>
      </c>
      <c r="Z57" s="4">
        <f t="shared" si="9"/>
        <v>22.385555709142174</v>
      </c>
      <c r="AA57" s="4">
        <f t="shared" si="9"/>
        <v>22.654182377651882</v>
      </c>
      <c r="AB57" s="4">
        <f t="shared" si="9"/>
        <v>22.926032566183704</v>
      </c>
      <c r="AC57" s="4">
        <f t="shared" si="9"/>
        <v>23.20114495697791</v>
      </c>
      <c r="AD57" s="4">
        <f t="shared" si="10"/>
        <v>23.317150681762797</v>
      </c>
      <c r="AE57" s="4">
        <f t="shared" si="10"/>
        <v>23.43373643517161</v>
      </c>
      <c r="AF57" s="4">
        <f t="shared" si="10"/>
        <v>23.550905117347465</v>
      </c>
      <c r="AG57" s="4">
        <f t="shared" si="10"/>
        <v>23.668659642934202</v>
      </c>
      <c r="AH57" s="4">
        <f t="shared" si="10"/>
        <v>23.78700294114887</v>
      </c>
      <c r="AI57" s="4">
        <f t="shared" si="10"/>
        <v>23.905937955854611</v>
      </c>
      <c r="AJ57" s="4">
        <f t="shared" si="10"/>
        <v>24.025467645633881</v>
      </c>
      <c r="AK57" s="4">
        <f t="shared" si="10"/>
        <v>24.145594983862047</v>
      </c>
      <c r="AL57" s="4">
        <f t="shared" si="10"/>
        <v>24.266322958781355</v>
      </c>
      <c r="AM57" s="4">
        <f t="shared" si="10"/>
        <v>24.387654573575258</v>
      </c>
      <c r="AN57" s="4">
        <f t="shared" si="10"/>
        <v>24.50959284644313</v>
      </c>
      <c r="AO57" s="4">
        <f t="shared" si="10"/>
        <v>24.632140810675342</v>
      </c>
      <c r="AP57" s="4">
        <f t="shared" si="10"/>
        <v>24.755301514728714</v>
      </c>
      <c r="AQ57" s="4">
        <f t="shared" si="10"/>
        <v>24.879078022302355</v>
      </c>
      <c r="AR57" s="4">
        <f t="shared" si="10"/>
        <v>25.003473412413864</v>
      </c>
      <c r="AS57" s="4">
        <f t="shared" si="10"/>
        <v>25.128490779475932</v>
      </c>
      <c r="AT57" s="4">
        <f t="shared" si="10"/>
        <v>25.25413323337331</v>
      </c>
      <c r="AU57" s="4">
        <f t="shared" si="10"/>
        <v>25.380403899540173</v>
      </c>
      <c r="AV57" s="4">
        <f t="shared" si="10"/>
        <v>25.507305919037872</v>
      </c>
      <c r="AW57" s="4">
        <f t="shared" si="10"/>
        <v>25.634842448633059</v>
      </c>
    </row>
    <row r="58" spans="1:49">
      <c r="B58" s="16"/>
      <c r="C58" s="16"/>
    </row>
    <row r="59" spans="1:49">
      <c r="A59" s="19" t="s">
        <v>166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</row>
    <row r="60" spans="1:49">
      <c r="B60" s="16" t="s">
        <v>1</v>
      </c>
      <c r="C60" s="16" t="s">
        <v>2</v>
      </c>
      <c r="D60" t="s">
        <v>167</v>
      </c>
      <c r="N60">
        <v>2015</v>
      </c>
      <c r="AW60">
        <v>2050</v>
      </c>
    </row>
    <row r="61" spans="1:49">
      <c r="A61" t="s">
        <v>161</v>
      </c>
      <c r="B61" s="16"/>
      <c r="C61" t="s">
        <v>120</v>
      </c>
      <c r="AW61" s="1">
        <f>AW62+AW63+AW64</f>
        <v>6783.9752698429511</v>
      </c>
    </row>
    <row r="62" spans="1:49">
      <c r="A62" s="1" t="s">
        <v>162</v>
      </c>
      <c r="B62" s="16" t="s">
        <v>163</v>
      </c>
      <c r="C62" t="s">
        <v>120</v>
      </c>
      <c r="D62" s="5">
        <v>-0.03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W62" s="4">
        <f>AW54*(1+D62)</f>
        <v>5120.6036953398952</v>
      </c>
    </row>
    <row r="63" spans="1:49">
      <c r="A63" s="1" t="s">
        <v>164</v>
      </c>
      <c r="B63" s="16" t="s">
        <v>163</v>
      </c>
      <c r="C63" t="s">
        <v>120</v>
      </c>
      <c r="D63" s="5">
        <v>0.02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W63" s="4">
        <f>AW55*(1+D63)</f>
        <v>816.67729515376811</v>
      </c>
    </row>
    <row r="64" spans="1:49">
      <c r="A64" s="1" t="s">
        <v>16</v>
      </c>
      <c r="B64" s="16" t="s">
        <v>163</v>
      </c>
      <c r="C64" t="s">
        <v>120</v>
      </c>
      <c r="D64" s="5">
        <v>-0.03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W64" s="4">
        <f>AW56*(1+D64)</f>
        <v>846.69427934928808</v>
      </c>
    </row>
    <row r="65" spans="1:49">
      <c r="A65" s="1" t="s">
        <v>165</v>
      </c>
      <c r="B65" s="16" t="s">
        <v>163</v>
      </c>
      <c r="C65" t="s">
        <v>120</v>
      </c>
      <c r="D65" s="5">
        <v>0.03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W65" s="4">
        <f>AW57*(1+D65)</f>
        <v>26.403887722092051</v>
      </c>
    </row>
    <row r="66" spans="1:49">
      <c r="B66" s="16"/>
      <c r="C66" s="16"/>
    </row>
    <row r="67" spans="1:49">
      <c r="A67" s="19" t="s">
        <v>168</v>
      </c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</row>
    <row r="68" spans="1:49">
      <c r="B68" s="16" t="s">
        <v>1</v>
      </c>
      <c r="C68" s="16" t="s">
        <v>2</v>
      </c>
      <c r="D68" t="s">
        <v>167</v>
      </c>
      <c r="N68">
        <v>2015</v>
      </c>
      <c r="AW68">
        <v>2050</v>
      </c>
    </row>
    <row r="69" spans="1:49">
      <c r="A69" t="s">
        <v>161</v>
      </c>
      <c r="B69" s="16"/>
      <c r="C69" t="s">
        <v>120</v>
      </c>
      <c r="AW69" s="1">
        <f>AW70+AW71+AW72</f>
        <v>6656.2999170109651</v>
      </c>
    </row>
    <row r="70" spans="1:49">
      <c r="A70" s="1" t="s">
        <v>162</v>
      </c>
      <c r="B70" s="16" t="s">
        <v>163</v>
      </c>
      <c r="C70" t="s">
        <v>120</v>
      </c>
      <c r="D70" s="8">
        <v>-0.04</v>
      </c>
      <c r="N70" s="1"/>
      <c r="AW70" s="4">
        <f>AW54*(1+D70)</f>
        <v>5067.8139665219578</v>
      </c>
    </row>
    <row r="71" spans="1:49">
      <c r="A71" s="1" t="s">
        <v>164</v>
      </c>
      <c r="B71" s="16" t="s">
        <v>163</v>
      </c>
      <c r="C71" t="s">
        <v>120</v>
      </c>
      <c r="D71" s="8">
        <v>0.09</v>
      </c>
      <c r="N71" s="1"/>
      <c r="AW71" s="4">
        <f>AW55*(1+D71)</f>
        <v>872.72377619373265</v>
      </c>
    </row>
    <row r="72" spans="1:49">
      <c r="A72" s="1" t="s">
        <v>16</v>
      </c>
      <c r="B72" s="16" t="s">
        <v>163</v>
      </c>
      <c r="C72" t="s">
        <v>120</v>
      </c>
      <c r="D72" s="8">
        <v>-0.18</v>
      </c>
      <c r="N72" s="1"/>
      <c r="AW72" s="4">
        <f>AW56*(1+D72)</f>
        <v>715.76217429527458</v>
      </c>
    </row>
    <row r="73" spans="1:49" ht="10.5" customHeight="1">
      <c r="A73" s="1" t="s">
        <v>165</v>
      </c>
      <c r="B73" s="16" t="s">
        <v>163</v>
      </c>
      <c r="C73" t="s">
        <v>120</v>
      </c>
      <c r="D73" s="8">
        <v>7.0000000000000007E-2</v>
      </c>
      <c r="N73" s="1"/>
      <c r="AW73" s="4">
        <f>AW57*(1+D73)</f>
        <v>27.429281420037373</v>
      </c>
    </row>
    <row r="74" spans="1:49">
      <c r="L74" t="s">
        <v>169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B3709-6026-4A2E-99DA-FCE9541AF618}">
  <sheetPr>
    <tabColor rgb="FFEFE973"/>
  </sheetPr>
  <dimension ref="A1:AW81"/>
  <sheetViews>
    <sheetView zoomScale="59" zoomScaleNormal="59" workbookViewId="0">
      <selection activeCell="A79" sqref="A79"/>
    </sheetView>
  </sheetViews>
  <sheetFormatPr defaultRowHeight="15"/>
  <cols>
    <col min="1" max="1" width="29.85546875" bestFit="1" customWidth="1"/>
    <col min="2" max="2" width="33.28515625" hidden="1" customWidth="1"/>
    <col min="3" max="3" width="9.140625" hidden="1" customWidth="1"/>
  </cols>
  <sheetData>
    <row r="1" spans="1:49" s="13" customFormat="1">
      <c r="A1" s="9" t="s">
        <v>118</v>
      </c>
    </row>
    <row r="2" spans="1:49">
      <c r="B2" s="16" t="s">
        <v>1</v>
      </c>
      <c r="C2" s="16" t="s">
        <v>2</v>
      </c>
      <c r="I2">
        <v>2010</v>
      </c>
      <c r="S2" t="s">
        <v>6</v>
      </c>
      <c r="AC2">
        <v>2030</v>
      </c>
      <c r="AM2">
        <v>2040</v>
      </c>
      <c r="AW2">
        <v>2050</v>
      </c>
    </row>
    <row r="3" spans="1:49">
      <c r="A3" t="s">
        <v>7</v>
      </c>
      <c r="B3" t="s">
        <v>119</v>
      </c>
      <c r="C3" t="s">
        <v>170</v>
      </c>
      <c r="D3" s="1">
        <f>D4+D5+D6</f>
        <v>2121.362039974329</v>
      </c>
      <c r="E3" s="1">
        <f t="shared" ref="E3:S3" si="0">E4+E5+E6</f>
        <v>2193.4575513386717</v>
      </c>
      <c r="F3" s="1">
        <f t="shared" si="0"/>
        <v>2273.7700389755346</v>
      </c>
      <c r="G3" s="1">
        <f t="shared" si="0"/>
        <v>2245.0506408826395</v>
      </c>
      <c r="H3" s="1">
        <f t="shared" si="0"/>
        <v>1992.2915860635596</v>
      </c>
      <c r="I3" s="1">
        <f t="shared" si="0"/>
        <v>2088.6125344262564</v>
      </c>
      <c r="J3" s="1">
        <f t="shared" si="0"/>
        <v>2084.5781993737637</v>
      </c>
      <c r="K3" s="1">
        <f t="shared" si="0"/>
        <v>2016.7014120467425</v>
      </c>
      <c r="L3" s="1">
        <f t="shared" si="0"/>
        <v>2053.2670398284499</v>
      </c>
      <c r="M3" s="1">
        <f t="shared" si="0"/>
        <v>2067.0736235799927</v>
      </c>
      <c r="N3" s="1">
        <f t="shared" si="0"/>
        <v>2107.8556827709112</v>
      </c>
      <c r="O3" s="1">
        <f t="shared" si="0"/>
        <v>2173.8147300951773</v>
      </c>
      <c r="P3" s="1">
        <f t="shared" si="0"/>
        <v>2265.8151967501722</v>
      </c>
      <c r="Q3" s="1">
        <f t="shared" si="0"/>
        <v>2257.1127777777779</v>
      </c>
      <c r="R3" s="1">
        <f t="shared" si="0"/>
        <v>2312.4050000000002</v>
      </c>
      <c r="S3" s="1">
        <f t="shared" si="0"/>
        <v>2254.0340000000001</v>
      </c>
    </row>
    <row r="4" spans="1:49">
      <c r="A4" t="s">
        <v>162</v>
      </c>
      <c r="B4" t="s">
        <v>119</v>
      </c>
      <c r="C4" t="s">
        <v>170</v>
      </c>
      <c r="D4" s="1">
        <f>D44</f>
        <v>1588.1540655743293</v>
      </c>
      <c r="E4" s="1">
        <f t="shared" ref="E4:S4" si="1">E44</f>
        <v>1638.7945822386714</v>
      </c>
      <c r="F4" s="1">
        <f t="shared" si="1"/>
        <v>1697.6440389755346</v>
      </c>
      <c r="G4" s="1">
        <f t="shared" si="1"/>
        <v>1676.4616408826394</v>
      </c>
      <c r="H4" s="1">
        <f t="shared" si="1"/>
        <v>1515.3165860635595</v>
      </c>
      <c r="I4" s="1">
        <f t="shared" si="1"/>
        <v>1558.2925344262567</v>
      </c>
      <c r="J4" s="1">
        <f t="shared" si="1"/>
        <v>1541.6311993737638</v>
      </c>
      <c r="K4" s="1">
        <f t="shared" si="1"/>
        <v>1481.6904120467425</v>
      </c>
      <c r="L4" s="1">
        <f t="shared" si="1"/>
        <v>1516.3640398284499</v>
      </c>
      <c r="M4" s="1">
        <f t="shared" si="1"/>
        <v>1527.4346235799926</v>
      </c>
      <c r="N4" s="1">
        <f t="shared" si="1"/>
        <v>1561.9876827709111</v>
      </c>
      <c r="O4" s="1">
        <f t="shared" si="1"/>
        <v>1619.7477300951773</v>
      </c>
      <c r="P4" s="1">
        <f t="shared" si="1"/>
        <v>1707.3138634168388</v>
      </c>
      <c r="Q4" s="1">
        <f t="shared" si="1"/>
        <v>1707.4960000000001</v>
      </c>
      <c r="R4" s="1">
        <f t="shared" si="1"/>
        <v>1764.787</v>
      </c>
      <c r="S4" s="1">
        <f t="shared" si="1"/>
        <v>1744.9860000000001</v>
      </c>
    </row>
    <row r="5" spans="1:49">
      <c r="A5" t="s">
        <v>154</v>
      </c>
      <c r="B5" t="s">
        <v>119</v>
      </c>
      <c r="C5" t="s">
        <v>170</v>
      </c>
      <c r="D5" s="1">
        <f>D46</f>
        <v>394.59700000000004</v>
      </c>
      <c r="E5" s="1">
        <f t="shared" ref="E5:S5" si="2">E46</f>
        <v>416.24600000000004</v>
      </c>
      <c r="F5" s="1">
        <f t="shared" si="2"/>
        <v>430.72400000000005</v>
      </c>
      <c r="G5" s="1">
        <f t="shared" si="2"/>
        <v>421.68599999999992</v>
      </c>
      <c r="H5" s="1">
        <f t="shared" si="2"/>
        <v>344.36900000000003</v>
      </c>
      <c r="I5" s="1">
        <f t="shared" si="2"/>
        <v>374.95499999999998</v>
      </c>
      <c r="J5" s="1">
        <f t="shared" si="2"/>
        <v>401.12199999999984</v>
      </c>
      <c r="K5" s="1">
        <f t="shared" si="2"/>
        <v>385.18899999999996</v>
      </c>
      <c r="L5" s="1">
        <f t="shared" si="2"/>
        <v>384.31900000000007</v>
      </c>
      <c r="M5" s="1">
        <f t="shared" si="2"/>
        <v>388.93199999999996</v>
      </c>
      <c r="N5" s="1">
        <f t="shared" si="2"/>
        <v>398.51700000000011</v>
      </c>
      <c r="O5" s="1">
        <f t="shared" si="2"/>
        <v>407.45800000000008</v>
      </c>
      <c r="P5" s="1">
        <f t="shared" si="2"/>
        <v>411.27800000000002</v>
      </c>
      <c r="Q5" s="1">
        <f t="shared" si="2"/>
        <v>418.31399999999996</v>
      </c>
      <c r="R5" s="1">
        <f t="shared" si="2"/>
        <v>407.92099999999999</v>
      </c>
      <c r="S5" s="1">
        <f t="shared" si="2"/>
        <v>377.30700000000007</v>
      </c>
    </row>
    <row r="6" spans="1:49">
      <c r="A6" t="s">
        <v>147</v>
      </c>
      <c r="B6" t="s">
        <v>119</v>
      </c>
      <c r="C6" t="s">
        <v>170</v>
      </c>
      <c r="D6" s="1">
        <f>D47</f>
        <v>138.61097439999998</v>
      </c>
      <c r="E6" s="1">
        <f t="shared" ref="E6:S6" si="3">E47</f>
        <v>138.41696909999999</v>
      </c>
      <c r="F6" s="1">
        <f t="shared" si="3"/>
        <v>145.40199999999999</v>
      </c>
      <c r="G6" s="1">
        <f t="shared" si="3"/>
        <v>146.90300000000002</v>
      </c>
      <c r="H6" s="1">
        <f t="shared" si="3"/>
        <v>132.60600000000002</v>
      </c>
      <c r="I6" s="1">
        <f t="shared" si="3"/>
        <v>155.36499999999998</v>
      </c>
      <c r="J6" s="1">
        <f t="shared" si="3"/>
        <v>141.82500000000002</v>
      </c>
      <c r="K6" s="1">
        <f t="shared" si="3"/>
        <v>149.822</v>
      </c>
      <c r="L6" s="1">
        <f t="shared" si="3"/>
        <v>152.58400000000003</v>
      </c>
      <c r="M6" s="1">
        <f t="shared" si="3"/>
        <v>150.70699999999997</v>
      </c>
      <c r="N6" s="1">
        <f t="shared" si="3"/>
        <v>147.35100000000003</v>
      </c>
      <c r="O6" s="1">
        <f t="shared" si="3"/>
        <v>146.60899999999995</v>
      </c>
      <c r="P6" s="1">
        <f t="shared" si="3"/>
        <v>147.22333333333333</v>
      </c>
      <c r="Q6" s="1">
        <f t="shared" si="3"/>
        <v>131.30277777777778</v>
      </c>
      <c r="R6" s="1">
        <f t="shared" si="3"/>
        <v>139.69700000000003</v>
      </c>
      <c r="S6" s="1">
        <f t="shared" si="3"/>
        <v>131.74100000000001</v>
      </c>
    </row>
    <row r="7" spans="1:49">
      <c r="A7" t="s">
        <v>21</v>
      </c>
      <c r="B7" t="s">
        <v>125</v>
      </c>
      <c r="C7" t="s">
        <v>170</v>
      </c>
      <c r="AC7" s="1">
        <f>AC55</f>
        <v>2815.5076586206897</v>
      </c>
    </row>
    <row r="8" spans="1:49">
      <c r="A8" t="s">
        <v>126</v>
      </c>
      <c r="B8" t="s">
        <v>127</v>
      </c>
      <c r="C8" t="s">
        <v>170</v>
      </c>
      <c r="AW8" s="1">
        <f>AW71</f>
        <v>3183.8632426628947</v>
      </c>
    </row>
    <row r="9" spans="1:49">
      <c r="A9" t="s">
        <v>128</v>
      </c>
      <c r="B9" t="s">
        <v>129</v>
      </c>
      <c r="C9" t="s">
        <v>170</v>
      </c>
      <c r="AW9" s="1">
        <f>AW78</f>
        <v>3198.5454159684268</v>
      </c>
    </row>
    <row r="10" spans="1:49">
      <c r="A10" t="s">
        <v>130</v>
      </c>
      <c r="C10" t="s">
        <v>170</v>
      </c>
      <c r="R10" s="1">
        <v>2312.4049999999997</v>
      </c>
      <c r="S10" s="1">
        <v>2358.1416053291537</v>
      </c>
      <c r="T10" s="1">
        <v>2403.8782106583071</v>
      </c>
      <c r="U10" s="1">
        <v>2449.6148159874606</v>
      </c>
      <c r="V10" s="1">
        <v>2495.3514213166141</v>
      </c>
      <c r="W10" s="1">
        <v>2541.088026645768</v>
      </c>
      <c r="X10" s="1">
        <v>2586.8246319749214</v>
      </c>
      <c r="Y10" s="1">
        <v>2632.5612373040749</v>
      </c>
      <c r="Z10" s="1">
        <v>2678.2978426332284</v>
      </c>
      <c r="AA10" s="1">
        <v>2724.0344479623823</v>
      </c>
      <c r="AB10" s="1">
        <v>2769.7710532915357</v>
      </c>
      <c r="AC10" s="1">
        <v>2815.5076586206897</v>
      </c>
      <c r="AD10" s="1">
        <v>2833.9254378228002</v>
      </c>
      <c r="AE10" s="1">
        <v>2852.3432170249102</v>
      </c>
      <c r="AF10" s="1">
        <v>2870.7609962270208</v>
      </c>
      <c r="AG10" s="1">
        <v>2889.1787754291308</v>
      </c>
      <c r="AH10" s="1">
        <v>2907.5965546312409</v>
      </c>
      <c r="AI10" s="1">
        <v>2926.0143338333514</v>
      </c>
      <c r="AJ10" s="1">
        <v>2944.4321130354615</v>
      </c>
      <c r="AK10" s="1">
        <v>2962.849892237572</v>
      </c>
      <c r="AL10" s="1">
        <v>2981.2676714396821</v>
      </c>
      <c r="AM10" s="1">
        <v>2999.6854506417922</v>
      </c>
      <c r="AN10" s="1">
        <v>3018.1032298439027</v>
      </c>
      <c r="AO10" s="1">
        <v>3036.5210090460128</v>
      </c>
      <c r="AP10" s="1">
        <v>3054.9387882481233</v>
      </c>
      <c r="AQ10" s="1">
        <v>3073.3565674502333</v>
      </c>
      <c r="AR10" s="1">
        <v>3091.7743466523434</v>
      </c>
      <c r="AS10" s="1">
        <v>3110.1921258544539</v>
      </c>
      <c r="AT10" s="1">
        <v>3128.609905056564</v>
      </c>
      <c r="AU10" s="1">
        <v>3147.0276842586745</v>
      </c>
      <c r="AV10" s="1">
        <v>3165.4454634607846</v>
      </c>
      <c r="AW10" s="1">
        <v>3183.8632426628947</v>
      </c>
    </row>
    <row r="11" spans="1:49">
      <c r="A11" t="s">
        <v>131</v>
      </c>
      <c r="C11" t="s">
        <v>170</v>
      </c>
      <c r="AC11" s="1">
        <v>2815.5076586206897</v>
      </c>
      <c r="AD11" s="1">
        <v>2834.6595464880766</v>
      </c>
      <c r="AE11" s="1">
        <v>2853.8114343554635</v>
      </c>
      <c r="AF11" s="1">
        <v>2872.9633222228504</v>
      </c>
      <c r="AG11" s="1">
        <v>2892.1152100902368</v>
      </c>
      <c r="AH11" s="1">
        <v>2911.2670979576237</v>
      </c>
      <c r="AI11" s="1">
        <v>2930.4189858250106</v>
      </c>
      <c r="AJ11" s="1">
        <v>2949.5708736923975</v>
      </c>
      <c r="AK11" s="1">
        <v>2968.7227615597844</v>
      </c>
      <c r="AL11" s="1">
        <v>2987.8746494271713</v>
      </c>
      <c r="AM11" s="1">
        <v>3007.0265372945582</v>
      </c>
      <c r="AN11" s="1">
        <v>3026.1784251619451</v>
      </c>
      <c r="AO11" s="1">
        <v>3045.3303130293316</v>
      </c>
      <c r="AP11" s="1">
        <v>3064.4822008967185</v>
      </c>
      <c r="AQ11" s="1">
        <v>3083.6340887641054</v>
      </c>
      <c r="AR11" s="1">
        <v>3102.7859766314923</v>
      </c>
      <c r="AS11" s="1">
        <v>3121.9378644988792</v>
      </c>
      <c r="AT11" s="1">
        <v>3141.0897523662661</v>
      </c>
      <c r="AU11" s="1">
        <v>3160.241640233653</v>
      </c>
      <c r="AV11" s="1">
        <v>3179.3935281010399</v>
      </c>
      <c r="AW11" s="1">
        <v>3198.5454159684268</v>
      </c>
    </row>
    <row r="13" spans="1:49">
      <c r="A13" t="s">
        <v>132</v>
      </c>
      <c r="B13" s="16"/>
      <c r="C13" s="16"/>
      <c r="D13" s="1">
        <f>AVERAGE(R3-Q3,Q3-P3,P3-O3,O3-N3)</f>
        <v>51.137329307272239</v>
      </c>
    </row>
    <row r="14" spans="1:49">
      <c r="A14" t="s">
        <v>133</v>
      </c>
      <c r="B14" s="16"/>
      <c r="C14" s="16"/>
      <c r="D14" s="1">
        <f>(AC7-R3)/11</f>
        <v>45.736605329153583</v>
      </c>
      <c r="E14">
        <f>D13/D14</f>
        <v>1.1180831839016288</v>
      </c>
    </row>
    <row r="15" spans="1:49">
      <c r="A15" t="s">
        <v>134</v>
      </c>
      <c r="B15" s="16"/>
      <c r="C15" s="16"/>
      <c r="D15" s="1">
        <f>(AW8-AC7)/20</f>
        <v>18.41777920211025</v>
      </c>
      <c r="E15">
        <f>D13/D15</f>
        <v>2.7765198369526054</v>
      </c>
    </row>
    <row r="16" spans="1:49">
      <c r="A16" t="s">
        <v>135</v>
      </c>
      <c r="B16" s="16"/>
      <c r="C16" s="16"/>
      <c r="D16" s="1">
        <f>(AW9-AC7)/20</f>
        <v>19.151887867386858</v>
      </c>
      <c r="E16">
        <f>D13/D16</f>
        <v>2.6700933955629709</v>
      </c>
    </row>
    <row r="17" spans="1:17">
      <c r="B17" s="16"/>
      <c r="C17" s="16"/>
      <c r="D17" s="1"/>
    </row>
    <row r="18" spans="1:17">
      <c r="A18" s="72" t="s">
        <v>171</v>
      </c>
      <c r="B18" s="70"/>
      <c r="C18" s="70"/>
      <c r="D18" s="71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</row>
    <row r="19" spans="1:17">
      <c r="A19" s="66"/>
      <c r="B19" s="70"/>
      <c r="C19" s="70"/>
      <c r="D19" s="71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</row>
    <row r="20" spans="1:17">
      <c r="A20" s="66"/>
      <c r="B20" s="70"/>
      <c r="C20" s="70"/>
      <c r="D20" s="71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</row>
    <row r="21" spans="1:17">
      <c r="A21" s="66"/>
      <c r="B21" s="70"/>
      <c r="C21" s="70"/>
      <c r="D21" s="71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</row>
    <row r="22" spans="1:17">
      <c r="A22" s="66"/>
      <c r="B22" s="70"/>
      <c r="C22" s="70"/>
      <c r="D22" s="71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</row>
    <row r="23" spans="1:17">
      <c r="A23" s="66"/>
      <c r="B23" s="70"/>
      <c r="C23" s="70"/>
      <c r="D23" s="71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</row>
    <row r="24" spans="1:17">
      <c r="A24" s="66"/>
      <c r="B24" s="70"/>
      <c r="C24" s="70"/>
      <c r="D24" s="71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</row>
    <row r="25" spans="1:17">
      <c r="A25" s="66"/>
      <c r="B25" s="70"/>
      <c r="C25" s="70"/>
      <c r="D25" s="71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</row>
    <row r="26" spans="1:17">
      <c r="A26" s="66"/>
      <c r="B26" s="70"/>
      <c r="C26" s="70"/>
      <c r="D26" s="71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</row>
    <row r="27" spans="1:17">
      <c r="A27" s="66"/>
      <c r="B27" s="70"/>
      <c r="C27" s="70"/>
      <c r="D27" s="71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</row>
    <row r="28" spans="1:17">
      <c r="A28" s="66"/>
      <c r="B28" s="70"/>
      <c r="C28" s="70"/>
      <c r="D28" s="71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</row>
    <row r="29" spans="1:17">
      <c r="A29" s="66"/>
      <c r="B29" s="70"/>
      <c r="C29" s="70"/>
      <c r="D29" s="71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</row>
    <row r="30" spans="1:17">
      <c r="A30" s="66"/>
      <c r="B30" s="70"/>
      <c r="C30" s="70"/>
      <c r="D30" s="71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</row>
    <row r="31" spans="1:17">
      <c r="A31" s="66"/>
      <c r="B31" s="70"/>
      <c r="C31" s="70"/>
      <c r="D31" s="71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</row>
    <row r="32" spans="1:17">
      <c r="A32" s="66"/>
      <c r="B32" s="70"/>
      <c r="C32" s="70"/>
      <c r="D32" s="71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</row>
    <row r="33" spans="1:49">
      <c r="A33" s="66"/>
      <c r="B33" s="70"/>
      <c r="C33" s="70"/>
      <c r="D33" s="71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</row>
    <row r="34" spans="1:49">
      <c r="A34" s="66"/>
      <c r="B34" s="70"/>
      <c r="C34" s="70"/>
      <c r="D34" s="71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</row>
    <row r="35" spans="1:49">
      <c r="A35" s="66"/>
      <c r="B35" s="70"/>
      <c r="C35" s="70"/>
      <c r="D35" s="71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</row>
    <row r="36" spans="1:49">
      <c r="A36" s="66"/>
      <c r="B36" s="70"/>
      <c r="C36" s="70"/>
      <c r="D36" s="71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</row>
    <row r="37" spans="1:49">
      <c r="A37" s="66"/>
      <c r="B37" s="70"/>
      <c r="C37" s="70"/>
      <c r="D37" s="71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</row>
    <row r="38" spans="1:49">
      <c r="A38" s="66"/>
      <c r="B38" s="70"/>
      <c r="C38" s="70"/>
      <c r="D38" s="71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</row>
    <row r="39" spans="1:49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</row>
    <row r="41" spans="1:49" ht="19.5" customHeight="1">
      <c r="A41" s="9" t="s">
        <v>136</v>
      </c>
      <c r="B41" s="15"/>
      <c r="C41" s="15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</row>
    <row r="42" spans="1:49">
      <c r="A42" s="19" t="s">
        <v>137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</row>
    <row r="43" spans="1:49">
      <c r="B43" t="s">
        <v>1</v>
      </c>
      <c r="C43" s="16" t="s">
        <v>2</v>
      </c>
      <c r="D43">
        <v>2005</v>
      </c>
      <c r="E43">
        <v>2006</v>
      </c>
      <c r="F43">
        <v>2007</v>
      </c>
      <c r="G43">
        <v>2008</v>
      </c>
      <c r="H43">
        <v>2009</v>
      </c>
      <c r="I43">
        <v>2010</v>
      </c>
      <c r="J43">
        <v>2011</v>
      </c>
      <c r="K43">
        <v>2012</v>
      </c>
      <c r="L43">
        <v>2013</v>
      </c>
      <c r="M43">
        <v>2014</v>
      </c>
      <c r="N43">
        <v>2015</v>
      </c>
      <c r="O43">
        <v>2016</v>
      </c>
      <c r="P43">
        <v>2017</v>
      </c>
      <c r="Q43">
        <v>2018</v>
      </c>
      <c r="R43">
        <v>2019</v>
      </c>
      <c r="S43">
        <v>2020</v>
      </c>
    </row>
    <row r="44" spans="1:49">
      <c r="A44" t="s">
        <v>162</v>
      </c>
      <c r="B44" s="16" t="s">
        <v>119</v>
      </c>
      <c r="C44" t="s">
        <v>170</v>
      </c>
      <c r="D44" s="1">
        <v>1588.1540655743293</v>
      </c>
      <c r="E44" s="1">
        <v>1638.7945822386714</v>
      </c>
      <c r="F44" s="1">
        <v>1697.6440389755346</v>
      </c>
      <c r="G44" s="1">
        <v>1676.4616408826394</v>
      </c>
      <c r="H44" s="1">
        <v>1515.3165860635595</v>
      </c>
      <c r="I44" s="1">
        <v>1558.2925344262567</v>
      </c>
      <c r="J44" s="1">
        <v>1541.6311993737638</v>
      </c>
      <c r="K44" s="1">
        <v>1481.6904120467425</v>
      </c>
      <c r="L44" s="1">
        <v>1516.3640398284499</v>
      </c>
      <c r="M44" s="1">
        <v>1527.4346235799926</v>
      </c>
      <c r="N44" s="1">
        <v>1561.9876827709111</v>
      </c>
      <c r="O44" s="1">
        <v>1619.7477300951773</v>
      </c>
      <c r="P44" s="1">
        <v>1707.3138634168388</v>
      </c>
      <c r="Q44" s="1">
        <v>1707.4960000000001</v>
      </c>
      <c r="R44" s="1">
        <v>1764.787</v>
      </c>
      <c r="S44" s="1">
        <v>1744.9860000000001</v>
      </c>
    </row>
    <row r="45" spans="1:49">
      <c r="A45" t="s">
        <v>146</v>
      </c>
      <c r="B45" s="16" t="s">
        <v>119</v>
      </c>
      <c r="C45" t="s">
        <v>170</v>
      </c>
      <c r="D45" s="1">
        <v>844.47159043293618</v>
      </c>
      <c r="E45" s="1">
        <v>842.96922864308556</v>
      </c>
      <c r="F45" s="1">
        <v>842.92936030820431</v>
      </c>
      <c r="G45" s="1">
        <v>841.12354145165079</v>
      </c>
      <c r="H45" s="1">
        <v>769.75738605850768</v>
      </c>
      <c r="I45" s="1">
        <v>834.1007088793217</v>
      </c>
      <c r="J45" s="1">
        <v>850.14405701893202</v>
      </c>
      <c r="K45" s="1">
        <v>838.4227312987116</v>
      </c>
      <c r="L45" s="1">
        <v>850.98288633212314</v>
      </c>
      <c r="M45" s="1">
        <v>875.1199084423539</v>
      </c>
      <c r="N45" s="1">
        <v>870.77096504305496</v>
      </c>
      <c r="O45" s="1">
        <v>909.32038268673398</v>
      </c>
      <c r="P45" s="1">
        <v>916.98868892735209</v>
      </c>
      <c r="Q45" s="1">
        <v>976.97412232437159</v>
      </c>
      <c r="R45" s="1">
        <v>979.0761622168684</v>
      </c>
      <c r="S45" s="1">
        <v>924.28546977723113</v>
      </c>
    </row>
    <row r="46" spans="1:49">
      <c r="A46" t="s">
        <v>154</v>
      </c>
      <c r="B46" s="16" t="s">
        <v>119</v>
      </c>
      <c r="C46" t="s">
        <v>170</v>
      </c>
      <c r="D46" s="1">
        <v>394.59700000000004</v>
      </c>
      <c r="E46" s="1">
        <v>416.24600000000004</v>
      </c>
      <c r="F46" s="1">
        <v>430.72400000000005</v>
      </c>
      <c r="G46" s="1">
        <v>421.68599999999992</v>
      </c>
      <c r="H46" s="1">
        <v>344.36900000000003</v>
      </c>
      <c r="I46" s="1">
        <v>374.95499999999998</v>
      </c>
      <c r="J46" s="1">
        <v>401.12199999999984</v>
      </c>
      <c r="K46" s="1">
        <v>385.18899999999996</v>
      </c>
      <c r="L46" s="1">
        <v>384.31900000000007</v>
      </c>
      <c r="M46" s="1">
        <v>388.93199999999996</v>
      </c>
      <c r="N46" s="1">
        <v>398.51700000000011</v>
      </c>
      <c r="O46" s="1">
        <v>407.45800000000008</v>
      </c>
      <c r="P46" s="1">
        <v>411.27800000000002</v>
      </c>
      <c r="Q46" s="1">
        <v>418.31399999999996</v>
      </c>
      <c r="R46" s="1">
        <v>407.92099999999999</v>
      </c>
      <c r="S46" s="1">
        <v>377.30700000000007</v>
      </c>
    </row>
    <row r="47" spans="1:49">
      <c r="A47" t="s">
        <v>172</v>
      </c>
      <c r="B47" s="16" t="s">
        <v>119</v>
      </c>
      <c r="C47" t="s">
        <v>170</v>
      </c>
      <c r="D47" s="1">
        <v>138.61097439999998</v>
      </c>
      <c r="E47" s="1">
        <v>138.41696909999999</v>
      </c>
      <c r="F47" s="1">
        <v>145.40199999999999</v>
      </c>
      <c r="G47" s="1">
        <v>146.90300000000002</v>
      </c>
      <c r="H47" s="1">
        <v>132.60600000000002</v>
      </c>
      <c r="I47" s="1">
        <v>155.36499999999998</v>
      </c>
      <c r="J47" s="1">
        <v>141.82500000000002</v>
      </c>
      <c r="K47" s="1">
        <v>149.822</v>
      </c>
      <c r="L47" s="1">
        <v>152.58400000000003</v>
      </c>
      <c r="M47" s="1">
        <v>150.70699999999997</v>
      </c>
      <c r="N47" s="1">
        <v>147.35100000000003</v>
      </c>
      <c r="O47" s="1">
        <v>146.60899999999995</v>
      </c>
      <c r="P47" s="1">
        <v>147.22333333333333</v>
      </c>
      <c r="Q47" s="1">
        <v>131.30277777777778</v>
      </c>
      <c r="R47" s="1">
        <v>139.69700000000003</v>
      </c>
      <c r="S47" s="1">
        <v>131.74100000000001</v>
      </c>
    </row>
    <row r="48" spans="1:49">
      <c r="A48" s="3" t="s">
        <v>173</v>
      </c>
      <c r="B48" s="16" t="s">
        <v>119</v>
      </c>
      <c r="C48" t="s">
        <v>170</v>
      </c>
      <c r="D48" s="1">
        <v>126.80850379999998</v>
      </c>
      <c r="E48" s="1">
        <v>125.78924979999998</v>
      </c>
      <c r="F48" s="1">
        <v>118.22248842182226</v>
      </c>
      <c r="G48" s="1">
        <v>114.76496585313126</v>
      </c>
      <c r="H48" s="1">
        <v>111.63421473696151</v>
      </c>
      <c r="I48" s="1">
        <v>110.96844560300448</v>
      </c>
      <c r="J48" s="1">
        <v>108.27031897026802</v>
      </c>
      <c r="K48" s="1">
        <v>104.98250906969668</v>
      </c>
      <c r="L48" s="1">
        <v>102.0834831637049</v>
      </c>
      <c r="M48" s="1">
        <v>101.08568894404827</v>
      </c>
      <c r="N48" s="1">
        <v>104.14976966869865</v>
      </c>
      <c r="O48" s="1">
        <v>104.6967429921506</v>
      </c>
      <c r="P48" s="1">
        <v>104.02069553496584</v>
      </c>
      <c r="Q48" s="1">
        <v>104.11186199860504</v>
      </c>
      <c r="R48" s="1">
        <v>101.00951657524053</v>
      </c>
      <c r="S48" s="1">
        <v>91.725137702937118</v>
      </c>
    </row>
    <row r="49" spans="1:49">
      <c r="A49" t="s">
        <v>145</v>
      </c>
      <c r="B49" s="16" t="s">
        <v>119</v>
      </c>
      <c r="C49" t="s">
        <v>170</v>
      </c>
      <c r="D49" s="1">
        <v>1.8295109018954654</v>
      </c>
      <c r="E49" s="1">
        <v>1.8862399221092783</v>
      </c>
      <c r="F49" s="1">
        <v>1.9500600698498178</v>
      </c>
      <c r="G49" s="1">
        <v>1.9093614708340243</v>
      </c>
      <c r="H49" s="1">
        <v>1.8066757761372345</v>
      </c>
      <c r="I49" s="1">
        <v>1.8374578508108661</v>
      </c>
      <c r="J49" s="1">
        <v>1.8527510970101833</v>
      </c>
      <c r="K49" s="1">
        <v>1.8226662887517358</v>
      </c>
      <c r="L49" s="1">
        <v>1.8346995275945124</v>
      </c>
      <c r="M49" s="1">
        <v>2.1144167610581874</v>
      </c>
      <c r="N49" s="1">
        <v>2.1423488006047902</v>
      </c>
      <c r="O49" s="1">
        <v>2.1499892983036877</v>
      </c>
      <c r="P49" s="1">
        <v>2.1719834611324687</v>
      </c>
      <c r="Q49" s="1">
        <v>2.216132601925827</v>
      </c>
      <c r="R49" s="1">
        <v>2.3225078439893458</v>
      </c>
      <c r="S49" s="1">
        <v>2.0623147846096219</v>
      </c>
    </row>
    <row r="50" spans="1:49">
      <c r="A50" t="s">
        <v>7</v>
      </c>
      <c r="B50" s="16" t="s">
        <v>119</v>
      </c>
      <c r="C50" t="s">
        <v>170</v>
      </c>
      <c r="D50" s="1">
        <v>3094.4716451091608</v>
      </c>
      <c r="E50" s="1">
        <v>3164.1022697038666</v>
      </c>
      <c r="F50" s="1">
        <v>3236.8719477754112</v>
      </c>
      <c r="G50" s="1">
        <v>3202.8485096582554</v>
      </c>
      <c r="H50" s="1">
        <v>2875.489862635166</v>
      </c>
      <c r="I50" s="1">
        <v>3035.5191467593936</v>
      </c>
      <c r="J50" s="1">
        <v>3044.8453264599739</v>
      </c>
      <c r="K50" s="1">
        <v>2961.9293187039025</v>
      </c>
      <c r="L50" s="1">
        <v>3008.1681088518726</v>
      </c>
      <c r="M50" s="1">
        <v>3045.3936377274526</v>
      </c>
      <c r="N50" s="1">
        <v>3084.9187662832701</v>
      </c>
      <c r="O50" s="1">
        <v>3189.9818450723656</v>
      </c>
      <c r="P50" s="1">
        <v>3288.9965646736232</v>
      </c>
      <c r="Q50" s="1">
        <v>3340.4148947026806</v>
      </c>
      <c r="R50" s="1">
        <v>3394.8131866360986</v>
      </c>
      <c r="S50" s="1">
        <v>3272.1069222647779</v>
      </c>
    </row>
    <row r="51" spans="1:49">
      <c r="B51" s="16"/>
      <c r="C51" s="16"/>
    </row>
    <row r="52" spans="1:49">
      <c r="A52" s="9" t="s">
        <v>149</v>
      </c>
      <c r="B52" s="15"/>
      <c r="C52" s="15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</row>
    <row r="53" spans="1:49">
      <c r="B53" s="16" t="s">
        <v>1</v>
      </c>
      <c r="C53" s="16" t="s">
        <v>2</v>
      </c>
      <c r="D53">
        <v>2005</v>
      </c>
      <c r="I53">
        <v>2010</v>
      </c>
      <c r="S53" t="s">
        <v>6</v>
      </c>
      <c r="AC53">
        <v>2030</v>
      </c>
      <c r="AM53">
        <v>2040</v>
      </c>
      <c r="AW53">
        <v>2050</v>
      </c>
    </row>
    <row r="54" spans="1:49">
      <c r="A54" t="s">
        <v>7</v>
      </c>
      <c r="B54" s="16" t="s">
        <v>22</v>
      </c>
      <c r="C54" t="s">
        <v>170</v>
      </c>
      <c r="D54">
        <v>2362</v>
      </c>
      <c r="I54">
        <v>2320</v>
      </c>
      <c r="N54" s="16">
        <v>2314</v>
      </c>
      <c r="S54">
        <v>2377</v>
      </c>
      <c r="X54">
        <v>2750</v>
      </c>
      <c r="AC54">
        <v>2999</v>
      </c>
    </row>
    <row r="55" spans="1:49">
      <c r="A55" t="s">
        <v>174</v>
      </c>
      <c r="B55" s="16" t="s">
        <v>175</v>
      </c>
      <c r="C55" t="s">
        <v>170</v>
      </c>
      <c r="D55" s="1">
        <f>D56+D57+D59</f>
        <v>2210.6109744</v>
      </c>
      <c r="I55" s="1">
        <f>I56+I57+I59</f>
        <v>2175.3649999999998</v>
      </c>
      <c r="N55" s="1">
        <f>N56+N57+N59</f>
        <v>2171.3510000000001</v>
      </c>
      <c r="S55" s="1">
        <f>S56+S57+S59</f>
        <v>2242.2212896551723</v>
      </c>
      <c r="X55" s="1">
        <f>X56+X57+X59</f>
        <v>2588.1671689655172</v>
      </c>
      <c r="AC55" s="1">
        <f>AC56+AC57+AC59</f>
        <v>2815.5076586206897</v>
      </c>
    </row>
    <row r="56" spans="1:49">
      <c r="A56" t="s">
        <v>176</v>
      </c>
      <c r="B56" s="16" t="s">
        <v>22</v>
      </c>
      <c r="C56" t="s">
        <v>170</v>
      </c>
      <c r="D56">
        <v>1677</v>
      </c>
      <c r="I56">
        <v>1645</v>
      </c>
      <c r="N56" s="16">
        <v>1628</v>
      </c>
      <c r="S56">
        <v>1721</v>
      </c>
      <c r="X56">
        <v>1945</v>
      </c>
      <c r="AC56">
        <v>2027</v>
      </c>
    </row>
    <row r="57" spans="1:49">
      <c r="A57" t="s">
        <v>154</v>
      </c>
      <c r="B57" s="16" t="s">
        <v>22</v>
      </c>
      <c r="C57" t="s">
        <v>170</v>
      </c>
      <c r="D57">
        <v>395</v>
      </c>
      <c r="I57">
        <v>375</v>
      </c>
      <c r="N57" s="16">
        <v>396</v>
      </c>
      <c r="S57">
        <v>382</v>
      </c>
      <c r="X57">
        <v>476</v>
      </c>
      <c r="AC57">
        <v>600</v>
      </c>
    </row>
    <row r="58" spans="1:49" hidden="1">
      <c r="A58" t="s">
        <v>156</v>
      </c>
      <c r="B58" s="16" t="s">
        <v>22</v>
      </c>
      <c r="C58" t="s">
        <v>170</v>
      </c>
      <c r="D58">
        <v>291</v>
      </c>
      <c r="I58">
        <v>301</v>
      </c>
      <c r="N58" s="16">
        <v>290</v>
      </c>
      <c r="S58">
        <v>274</v>
      </c>
      <c r="X58">
        <v>329</v>
      </c>
      <c r="AC58">
        <v>371</v>
      </c>
    </row>
    <row r="59" spans="1:49">
      <c r="A59" t="s">
        <v>177</v>
      </c>
      <c r="B59" s="16" t="s">
        <v>175</v>
      </c>
      <c r="C59" t="s">
        <v>170</v>
      </c>
      <c r="D59" s="20">
        <f>D58/$D$58*$D$47</f>
        <v>138.61097439999998</v>
      </c>
      <c r="E59" s="20"/>
      <c r="F59" s="20"/>
      <c r="G59" s="20"/>
      <c r="H59" s="20"/>
      <c r="I59" s="20">
        <f>I58/I58*I6</f>
        <v>155.36499999999998</v>
      </c>
      <c r="J59" s="20"/>
      <c r="K59" s="20"/>
      <c r="L59" s="20"/>
      <c r="M59" s="20"/>
      <c r="N59" s="20">
        <f>N58/$N$58*$N$6</f>
        <v>147.35100000000003</v>
      </c>
      <c r="O59" s="20"/>
      <c r="P59" s="20"/>
      <c r="Q59" s="20"/>
      <c r="R59" s="20"/>
      <c r="S59" s="20">
        <f>S58/$N$58*$N$6</f>
        <v>139.22128965517243</v>
      </c>
      <c r="T59" s="20"/>
      <c r="U59" s="20"/>
      <c r="V59" s="20"/>
      <c r="W59" s="20"/>
      <c r="X59" s="20">
        <f>X58/$N$58*$N$6</f>
        <v>167.16716896551728</v>
      </c>
      <c r="Y59" s="20"/>
      <c r="Z59" s="20"/>
      <c r="AA59" s="20"/>
      <c r="AB59" s="20"/>
      <c r="AC59" s="20">
        <f>AC58/$N$58*$N$6</f>
        <v>188.50765862068968</v>
      </c>
    </row>
    <row r="60" spans="1:49" ht="16.5" customHeight="1">
      <c r="D60" s="16"/>
      <c r="E60" s="16"/>
    </row>
    <row r="61" spans="1:49">
      <c r="A61" s="9" t="s">
        <v>157</v>
      </c>
      <c r="B61" s="15"/>
      <c r="C61" s="15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</row>
    <row r="62" spans="1:49">
      <c r="A62" s="19" t="s">
        <v>158</v>
      </c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</row>
    <row r="63" spans="1:49">
      <c r="B63" s="16" t="s">
        <v>1</v>
      </c>
      <c r="C63" s="16" t="s">
        <v>2</v>
      </c>
      <c r="D63" t="s">
        <v>159</v>
      </c>
      <c r="E63" t="s">
        <v>160</v>
      </c>
      <c r="N63">
        <v>2015</v>
      </c>
      <c r="S63">
        <v>2020</v>
      </c>
      <c r="X63">
        <v>2025</v>
      </c>
      <c r="AC63">
        <v>2030</v>
      </c>
      <c r="AH63">
        <v>2035</v>
      </c>
      <c r="AM63">
        <v>2040</v>
      </c>
      <c r="AR63">
        <v>2045</v>
      </c>
      <c r="AW63">
        <v>2050</v>
      </c>
    </row>
    <row r="64" spans="1:49">
      <c r="A64" t="s">
        <v>7</v>
      </c>
      <c r="B64" s="16"/>
      <c r="C64" s="16"/>
      <c r="N64" s="1">
        <f>N65+N66+N67</f>
        <v>2107.8556827709112</v>
      </c>
      <c r="O64" s="1">
        <f t="shared" ref="O64:AW64" si="4">O65+O66+O67</f>
        <v>2143.7533900124749</v>
      </c>
      <c r="P64" s="1">
        <f t="shared" si="4"/>
        <v>2180.2942020466617</v>
      </c>
      <c r="Q64" s="1">
        <f t="shared" si="4"/>
        <v>2217.490341345489</v>
      </c>
      <c r="R64" s="1">
        <f t="shared" si="4"/>
        <v>2255.3542774342077</v>
      </c>
      <c r="S64" s="1">
        <f t="shared" si="4"/>
        <v>2293.898732178418</v>
      </c>
      <c r="T64" s="1">
        <f t="shared" si="4"/>
        <v>2333.1366851898365</v>
      </c>
      <c r="U64" s="1">
        <f t="shared" si="4"/>
        <v>2373.0813793534567</v>
      </c>
      <c r="V64" s="1">
        <f t="shared" si="4"/>
        <v>2413.7463264789449</v>
      </c>
      <c r="W64" s="1">
        <f t="shared" si="4"/>
        <v>2455.1453130791529</v>
      </c>
      <c r="X64" s="1">
        <f t="shared" si="4"/>
        <v>2497.292406278716</v>
      </c>
      <c r="Y64" s="1">
        <f t="shared" si="4"/>
        <v>2540.2019598557658</v>
      </c>
      <c r="Z64" s="1">
        <f t="shared" si="4"/>
        <v>2583.8886204198639</v>
      </c>
      <c r="AA64" s="1">
        <f t="shared" si="4"/>
        <v>2628.367333729339</v>
      </c>
      <c r="AB64" s="1">
        <f t="shared" si="4"/>
        <v>2673.6533511512757</v>
      </c>
      <c r="AC64" s="1">
        <f t="shared" si="4"/>
        <v>2719.7622362674983</v>
      </c>
      <c r="AD64" s="1">
        <f t="shared" si="4"/>
        <v>2744.2164476526</v>
      </c>
      <c r="AE64" s="1">
        <f t="shared" si="4"/>
        <v>2768.9024806664602</v>
      </c>
      <c r="AF64" s="1">
        <f t="shared" si="4"/>
        <v>2793.8226682945337</v>
      </c>
      <c r="AG64" s="1">
        <f t="shared" si="4"/>
        <v>2818.9793684613064</v>
      </c>
      <c r="AH64" s="1">
        <f t="shared" si="4"/>
        <v>2844.3749643117731</v>
      </c>
      <c r="AI64" s="1">
        <f t="shared" si="4"/>
        <v>2870.0118644962367</v>
      </c>
      <c r="AJ64" s="1">
        <f t="shared" si="4"/>
        <v>2895.8925034584731</v>
      </c>
      <c r="AK64" s="1">
        <f t="shared" si="4"/>
        <v>2922.0193417272862</v>
      </c>
      <c r="AL64" s="1">
        <f t="shared" si="4"/>
        <v>2948.3948662115181</v>
      </c>
      <c r="AM64" s="1">
        <f t="shared" si="4"/>
        <v>2975.0215904985384</v>
      </c>
      <c r="AN64" s="1">
        <f t="shared" si="4"/>
        <v>3001.9020551562594</v>
      </c>
      <c r="AO64" s="1">
        <f t="shared" si="4"/>
        <v>3029.0388280387278</v>
      </c>
      <c r="AP64" s="1">
        <f t="shared" si="4"/>
        <v>3056.4345045953251</v>
      </c>
      <c r="AQ64" s="1">
        <f t="shared" si="4"/>
        <v>3084.0917081836301</v>
      </c>
      <c r="AR64" s="1">
        <f t="shared" si="4"/>
        <v>3112.0130903859808</v>
      </c>
      <c r="AS64" s="1">
        <f t="shared" si="4"/>
        <v>3140.2013313297907</v>
      </c>
      <c r="AT64" s="1">
        <f t="shared" si="4"/>
        <v>3168.6591400116495</v>
      </c>
      <c r="AU64" s="1">
        <f t="shared" si="4"/>
        <v>3197.3892546252764</v>
      </c>
      <c r="AV64" s="1">
        <f t="shared" si="4"/>
        <v>3226.394442893351</v>
      </c>
      <c r="AW64" s="1">
        <f t="shared" si="4"/>
        <v>3255.6775024032836</v>
      </c>
    </row>
    <row r="65" spans="1:49">
      <c r="A65" s="1" t="s">
        <v>162</v>
      </c>
      <c r="B65" s="16" t="s">
        <v>178</v>
      </c>
      <c r="C65" t="s">
        <v>170</v>
      </c>
      <c r="D65" s="8">
        <v>1.4999999999999999E-2</v>
      </c>
      <c r="E65" s="8">
        <v>8.0000000000000002E-3</v>
      </c>
      <c r="N65" s="1">
        <f>N44</f>
        <v>1561.9876827709111</v>
      </c>
      <c r="O65" s="4">
        <f>N65*(1+$D65)</f>
        <v>1585.4174980124747</v>
      </c>
      <c r="P65" s="4">
        <f>O65*(1+$D65)</f>
        <v>1609.1987604826616</v>
      </c>
      <c r="Q65" s="4">
        <f t="shared" ref="Q65:AC65" si="5">P65*(1+$D65)</f>
        <v>1633.3367418899013</v>
      </c>
      <c r="R65" s="4">
        <f t="shared" si="5"/>
        <v>1657.8367930182496</v>
      </c>
      <c r="S65" s="4">
        <f t="shared" si="5"/>
        <v>1682.7043449135233</v>
      </c>
      <c r="T65" s="4">
        <f t="shared" si="5"/>
        <v>1707.9449100872259</v>
      </c>
      <c r="U65" s="4">
        <f t="shared" si="5"/>
        <v>1733.5640837385342</v>
      </c>
      <c r="V65" s="4">
        <f t="shared" si="5"/>
        <v>1759.567544994612</v>
      </c>
      <c r="W65" s="4">
        <f t="shared" si="5"/>
        <v>1785.961058169531</v>
      </c>
      <c r="X65" s="4">
        <f t="shared" si="5"/>
        <v>1812.7504740420738</v>
      </c>
      <c r="Y65" s="4">
        <f t="shared" si="5"/>
        <v>1839.9417311527047</v>
      </c>
      <c r="Z65" s="4">
        <f t="shared" si="5"/>
        <v>1867.5408571199951</v>
      </c>
      <c r="AA65" s="4">
        <f t="shared" si="5"/>
        <v>1895.5539699767949</v>
      </c>
      <c r="AB65" s="4">
        <f t="shared" si="5"/>
        <v>1923.9872795264466</v>
      </c>
      <c r="AC65" s="4">
        <f t="shared" si="5"/>
        <v>1952.8470887193432</v>
      </c>
      <c r="AD65" s="4">
        <f>AC65*(1+$E65)</f>
        <v>1968.469865429098</v>
      </c>
      <c r="AE65" s="4">
        <f t="shared" ref="AE65:AW67" si="6">AD65*(1+$E65)</f>
        <v>1984.2176243525309</v>
      </c>
      <c r="AF65" s="4">
        <f t="shared" si="6"/>
        <v>2000.0913653473513</v>
      </c>
      <c r="AG65" s="4">
        <f t="shared" si="6"/>
        <v>2016.09209627013</v>
      </c>
      <c r="AH65" s="4">
        <f t="shared" si="6"/>
        <v>2032.2208330402912</v>
      </c>
      <c r="AI65" s="4">
        <f t="shared" si="6"/>
        <v>2048.4785997046133</v>
      </c>
      <c r="AJ65" s="4">
        <f t="shared" si="6"/>
        <v>2064.8664285022501</v>
      </c>
      <c r="AK65" s="4">
        <f t="shared" si="6"/>
        <v>2081.3853599302679</v>
      </c>
      <c r="AL65" s="4">
        <f t="shared" si="6"/>
        <v>2098.03644280971</v>
      </c>
      <c r="AM65" s="4">
        <f t="shared" si="6"/>
        <v>2114.8207343521876</v>
      </c>
      <c r="AN65" s="4">
        <f t="shared" si="6"/>
        <v>2131.7393002270051</v>
      </c>
      <c r="AO65" s="4">
        <f t="shared" si="6"/>
        <v>2148.7932146288213</v>
      </c>
      <c r="AP65" s="4">
        <f t="shared" si="6"/>
        <v>2165.9835603458519</v>
      </c>
      <c r="AQ65" s="4">
        <f t="shared" si="6"/>
        <v>2183.3114288286188</v>
      </c>
      <c r="AR65" s="4">
        <f t="shared" si="6"/>
        <v>2200.7779202592478</v>
      </c>
      <c r="AS65" s="4">
        <f t="shared" si="6"/>
        <v>2218.384143621322</v>
      </c>
      <c r="AT65" s="4">
        <f t="shared" si="6"/>
        <v>2236.1312167702927</v>
      </c>
      <c r="AU65" s="4">
        <f t="shared" si="6"/>
        <v>2254.0202665044549</v>
      </c>
      <c r="AV65" s="4">
        <f t="shared" si="6"/>
        <v>2272.0524286364907</v>
      </c>
      <c r="AW65" s="4">
        <f t="shared" si="6"/>
        <v>2290.2288480655825</v>
      </c>
    </row>
    <row r="66" spans="1:49">
      <c r="A66" s="1" t="s">
        <v>164</v>
      </c>
      <c r="B66" s="16" t="s">
        <v>178</v>
      </c>
      <c r="C66" t="s">
        <v>170</v>
      </c>
      <c r="D66" s="8">
        <v>2.5000000000000001E-2</v>
      </c>
      <c r="E66" s="8">
        <v>1.2999999999999999E-2</v>
      </c>
      <c r="N66" s="1">
        <f>N46</f>
        <v>398.51700000000011</v>
      </c>
      <c r="O66" s="4">
        <f t="shared" ref="O66:AC67" si="7">N66*(1+$D66)</f>
        <v>408.47992500000009</v>
      </c>
      <c r="P66" s="4">
        <f t="shared" si="7"/>
        <v>418.69192312500007</v>
      </c>
      <c r="Q66" s="4">
        <f t="shared" si="7"/>
        <v>429.15922120312501</v>
      </c>
      <c r="R66" s="4">
        <f t="shared" si="7"/>
        <v>439.88820173320312</v>
      </c>
      <c r="S66" s="4">
        <f t="shared" si="7"/>
        <v>450.88540677653316</v>
      </c>
      <c r="T66" s="4">
        <f t="shared" si="7"/>
        <v>462.15754194594643</v>
      </c>
      <c r="U66" s="4">
        <f t="shared" si="7"/>
        <v>473.71148049459504</v>
      </c>
      <c r="V66" s="4">
        <f t="shared" si="7"/>
        <v>485.55426750695989</v>
      </c>
      <c r="W66" s="4">
        <f t="shared" si="7"/>
        <v>497.69312419463387</v>
      </c>
      <c r="X66" s="4">
        <f t="shared" si="7"/>
        <v>510.13545229949966</v>
      </c>
      <c r="Y66" s="4">
        <f t="shared" si="7"/>
        <v>522.88883860698706</v>
      </c>
      <c r="Z66" s="4">
        <f t="shared" si="7"/>
        <v>535.96105957216173</v>
      </c>
      <c r="AA66" s="4">
        <f t="shared" si="7"/>
        <v>549.36008606146572</v>
      </c>
      <c r="AB66" s="4">
        <f t="shared" si="7"/>
        <v>563.09408821300235</v>
      </c>
      <c r="AC66" s="4">
        <f t="shared" si="7"/>
        <v>577.17144041832739</v>
      </c>
      <c r="AD66" s="4">
        <f t="shared" ref="AD66:AS67" si="8">AC66*(1+$E66)</f>
        <v>584.67466914376564</v>
      </c>
      <c r="AE66" s="4">
        <f t="shared" si="8"/>
        <v>592.27543984263457</v>
      </c>
      <c r="AF66" s="4">
        <f t="shared" si="8"/>
        <v>599.97502056058875</v>
      </c>
      <c r="AG66" s="4">
        <f t="shared" si="8"/>
        <v>607.77469582787637</v>
      </c>
      <c r="AH66" s="4">
        <f t="shared" si="8"/>
        <v>615.67576687363874</v>
      </c>
      <c r="AI66" s="4">
        <f t="shared" si="8"/>
        <v>623.67955184299603</v>
      </c>
      <c r="AJ66" s="4">
        <f t="shared" si="8"/>
        <v>631.78738601695488</v>
      </c>
      <c r="AK66" s="4">
        <f t="shared" si="8"/>
        <v>640.00062203517518</v>
      </c>
      <c r="AL66" s="4">
        <f t="shared" si="8"/>
        <v>648.32063012163235</v>
      </c>
      <c r="AM66" s="4">
        <f t="shared" si="8"/>
        <v>656.74879831321346</v>
      </c>
      <c r="AN66" s="4">
        <f t="shared" si="8"/>
        <v>665.28653269128517</v>
      </c>
      <c r="AO66" s="4">
        <f t="shared" si="8"/>
        <v>673.93525761627177</v>
      </c>
      <c r="AP66" s="4">
        <f t="shared" si="8"/>
        <v>682.69641596528322</v>
      </c>
      <c r="AQ66" s="4">
        <f t="shared" si="8"/>
        <v>691.57146937283187</v>
      </c>
      <c r="AR66" s="4">
        <f t="shared" si="8"/>
        <v>700.56189847467863</v>
      </c>
      <c r="AS66" s="4">
        <f t="shared" si="8"/>
        <v>709.66920315484936</v>
      </c>
      <c r="AT66" s="4">
        <f t="shared" si="6"/>
        <v>718.89490279586232</v>
      </c>
      <c r="AU66" s="4">
        <f t="shared" si="6"/>
        <v>728.24053653220847</v>
      </c>
      <c r="AV66" s="4">
        <f t="shared" si="6"/>
        <v>737.70766350712711</v>
      </c>
      <c r="AW66" s="4">
        <f t="shared" si="6"/>
        <v>747.29786313271973</v>
      </c>
    </row>
    <row r="67" spans="1:49">
      <c r="A67" s="1" t="s">
        <v>147</v>
      </c>
      <c r="B67" s="16" t="s">
        <v>178</v>
      </c>
      <c r="C67" t="s">
        <v>170</v>
      </c>
      <c r="D67" s="8">
        <v>1.7000000000000001E-2</v>
      </c>
      <c r="E67" s="8">
        <v>7.0000000000000001E-3</v>
      </c>
      <c r="N67" s="1">
        <f>N47</f>
        <v>147.35100000000003</v>
      </c>
      <c r="O67" s="4">
        <f t="shared" si="7"/>
        <v>149.85596700000002</v>
      </c>
      <c r="P67" s="4">
        <f t="shared" si="7"/>
        <v>152.40351843900001</v>
      </c>
      <c r="Q67" s="4">
        <f t="shared" si="7"/>
        <v>154.99437825246301</v>
      </c>
      <c r="R67" s="4">
        <f t="shared" si="7"/>
        <v>157.62928268275488</v>
      </c>
      <c r="S67" s="4">
        <f t="shared" si="7"/>
        <v>160.3089804883617</v>
      </c>
      <c r="T67" s="4">
        <f t="shared" si="7"/>
        <v>163.03423315666384</v>
      </c>
      <c r="U67" s="4">
        <f t="shared" si="7"/>
        <v>165.80581512032711</v>
      </c>
      <c r="V67" s="4">
        <f t="shared" si="7"/>
        <v>168.62451397737266</v>
      </c>
      <c r="W67" s="4">
        <f t="shared" si="7"/>
        <v>171.49113071498797</v>
      </c>
      <c r="X67" s="4">
        <f t="shared" si="7"/>
        <v>174.40647993714276</v>
      </c>
      <c r="Y67" s="4">
        <f t="shared" si="7"/>
        <v>177.37139009607418</v>
      </c>
      <c r="Z67" s="4">
        <f t="shared" si="7"/>
        <v>180.38670372770741</v>
      </c>
      <c r="AA67" s="4">
        <f t="shared" si="7"/>
        <v>183.45327769107843</v>
      </c>
      <c r="AB67" s="4">
        <f t="shared" si="7"/>
        <v>186.57198341182675</v>
      </c>
      <c r="AC67" s="4">
        <f t="shared" si="7"/>
        <v>189.74370712982778</v>
      </c>
      <c r="AD67" s="4">
        <f t="shared" si="8"/>
        <v>191.07191307973656</v>
      </c>
      <c r="AE67" s="4">
        <f t="shared" si="8"/>
        <v>192.40941647129469</v>
      </c>
      <c r="AF67" s="4">
        <f t="shared" si="8"/>
        <v>193.75628238659374</v>
      </c>
      <c r="AG67" s="4">
        <f t="shared" si="8"/>
        <v>195.11257636329987</v>
      </c>
      <c r="AH67" s="4">
        <f t="shared" si="8"/>
        <v>196.47836439784294</v>
      </c>
      <c r="AI67" s="4">
        <f t="shared" si="8"/>
        <v>197.85371294862782</v>
      </c>
      <c r="AJ67" s="4">
        <f t="shared" si="8"/>
        <v>199.2386889392682</v>
      </c>
      <c r="AK67" s="4">
        <f t="shared" si="8"/>
        <v>200.63335976184305</v>
      </c>
      <c r="AL67" s="4">
        <f t="shared" si="8"/>
        <v>202.03779328017595</v>
      </c>
      <c r="AM67" s="4">
        <f t="shared" si="8"/>
        <v>203.45205783313716</v>
      </c>
      <c r="AN67" s="4">
        <f t="shared" si="8"/>
        <v>204.8762222379691</v>
      </c>
      <c r="AO67" s="4">
        <f t="shared" si="8"/>
        <v>206.31035579363487</v>
      </c>
      <c r="AP67" s="4">
        <f t="shared" si="8"/>
        <v>207.75452828419029</v>
      </c>
      <c r="AQ67" s="4">
        <f t="shared" si="8"/>
        <v>209.20880998217959</v>
      </c>
      <c r="AR67" s="4">
        <f t="shared" si="8"/>
        <v>210.67327165205484</v>
      </c>
      <c r="AS67" s="4">
        <f t="shared" si="8"/>
        <v>212.14798455361921</v>
      </c>
      <c r="AT67" s="4">
        <f t="shared" si="6"/>
        <v>213.63302044549451</v>
      </c>
      <c r="AU67" s="4">
        <f t="shared" si="6"/>
        <v>215.12845158861296</v>
      </c>
      <c r="AV67" s="4">
        <f t="shared" si="6"/>
        <v>216.63435074973322</v>
      </c>
      <c r="AW67" s="4">
        <f t="shared" si="6"/>
        <v>218.15079120498132</v>
      </c>
    </row>
    <row r="68" spans="1:49">
      <c r="B68" s="16"/>
      <c r="C68" s="16"/>
    </row>
    <row r="69" spans="1:49">
      <c r="A69" s="19" t="s">
        <v>166</v>
      </c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</row>
    <row r="70" spans="1:49">
      <c r="B70" s="16" t="s">
        <v>1</v>
      </c>
      <c r="C70" s="16" t="s">
        <v>2</v>
      </c>
      <c r="D70" t="s">
        <v>167</v>
      </c>
      <c r="N70">
        <v>2015</v>
      </c>
      <c r="AW70">
        <v>2050</v>
      </c>
    </row>
    <row r="71" spans="1:49">
      <c r="A71" t="s">
        <v>7</v>
      </c>
      <c r="B71" s="16"/>
      <c r="C71" s="16"/>
      <c r="AW71" s="1">
        <f t="shared" ref="AW71" si="9">AW72+AW73+AW74</f>
        <v>3183.8632426628947</v>
      </c>
    </row>
    <row r="72" spans="1:49">
      <c r="A72" s="1" t="s">
        <v>162</v>
      </c>
      <c r="B72" s="16" t="s">
        <v>178</v>
      </c>
      <c r="C72" t="s">
        <v>170</v>
      </c>
      <c r="D72" s="5">
        <v>-4.8000000000000001E-2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W72" s="4">
        <f>AW65*(1+D72)</f>
        <v>2180.2978633584344</v>
      </c>
    </row>
    <row r="73" spans="1:49">
      <c r="A73" s="1" t="s">
        <v>164</v>
      </c>
      <c r="B73" s="16" t="s">
        <v>178</v>
      </c>
      <c r="C73" t="s">
        <v>170</v>
      </c>
      <c r="D73" s="5">
        <v>4.3999999999999997E-2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W73" s="4">
        <f>AW66*(1+D73)</f>
        <v>780.17896911055948</v>
      </c>
    </row>
    <row r="74" spans="1:49">
      <c r="A74" s="1" t="s">
        <v>147</v>
      </c>
      <c r="B74" s="16" t="s">
        <v>178</v>
      </c>
      <c r="C74" t="s">
        <v>170</v>
      </c>
      <c r="D74" s="5">
        <v>2.4E-2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W74" s="4">
        <f>AW67*(1+D74)</f>
        <v>223.38641019390087</v>
      </c>
    </row>
    <row r="75" spans="1:49">
      <c r="B75" s="16"/>
      <c r="C75" s="16"/>
    </row>
    <row r="76" spans="1:49">
      <c r="A76" s="19" t="s">
        <v>168</v>
      </c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</row>
    <row r="77" spans="1:49">
      <c r="B77" s="16" t="s">
        <v>1</v>
      </c>
      <c r="C77" s="16" t="s">
        <v>2</v>
      </c>
      <c r="D77" t="s">
        <v>167</v>
      </c>
      <c r="N77">
        <v>2015</v>
      </c>
      <c r="AW77">
        <v>2050</v>
      </c>
    </row>
    <row r="78" spans="1:49">
      <c r="A78" t="s">
        <v>7</v>
      </c>
      <c r="B78" s="16"/>
      <c r="C78" s="16"/>
      <c r="AW78" s="1">
        <f t="shared" ref="AW78" si="10">AW79+AW80+AW81</f>
        <v>3198.5454159684268</v>
      </c>
    </row>
    <row r="79" spans="1:49">
      <c r="A79" s="1" t="s">
        <v>162</v>
      </c>
      <c r="B79" s="16" t="s">
        <v>178</v>
      </c>
      <c r="C79" t="s">
        <v>170</v>
      </c>
      <c r="D79" s="8">
        <v>-6.2E-2</v>
      </c>
      <c r="N79" s="1"/>
      <c r="AW79" s="4">
        <f>AW65*(1+D79)</f>
        <v>2148.2346594855162</v>
      </c>
    </row>
    <row r="80" spans="1:49">
      <c r="A80" s="1" t="s">
        <v>164</v>
      </c>
      <c r="B80" s="16" t="s">
        <v>178</v>
      </c>
      <c r="C80" t="s">
        <v>170</v>
      </c>
      <c r="D80" s="8">
        <v>9.4E-2</v>
      </c>
      <c r="N80" s="1"/>
      <c r="AW80" s="4">
        <f>AW66*(1+D80)</f>
        <v>817.54386226719544</v>
      </c>
    </row>
    <row r="81" spans="1:49">
      <c r="A81" s="1" t="s">
        <v>147</v>
      </c>
      <c r="B81" s="16" t="s">
        <v>178</v>
      </c>
      <c r="C81" t="s">
        <v>170</v>
      </c>
      <c r="D81" s="8">
        <v>6.7000000000000004E-2</v>
      </c>
      <c r="N81" s="1"/>
      <c r="AW81" s="4">
        <f>AW67*(1+D81)</f>
        <v>232.76689421571504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5DEAB-A669-4B28-9421-EABF4F54FDBD}">
  <sheetPr>
    <tabColor rgb="FFEFE973"/>
  </sheetPr>
  <dimension ref="A1:BA61"/>
  <sheetViews>
    <sheetView showGridLines="0" zoomScale="75" zoomScaleNormal="75" workbookViewId="0">
      <selection activeCell="AW31" sqref="D26:AW31"/>
    </sheetView>
  </sheetViews>
  <sheetFormatPr defaultRowHeight="15"/>
  <cols>
    <col min="1" max="1" width="30.140625" bestFit="1" customWidth="1"/>
    <col min="2" max="3" width="0" hidden="1" customWidth="1"/>
    <col min="5" max="5" width="13.5703125" bestFit="1" customWidth="1"/>
    <col min="29" max="29" width="10.5703125" bestFit="1" customWidth="1"/>
  </cols>
  <sheetData>
    <row r="1" spans="1:49" s="56" customFormat="1">
      <c r="A1" s="56" t="s">
        <v>179</v>
      </c>
    </row>
    <row r="2" spans="1:49">
      <c r="B2" s="16" t="s">
        <v>1</v>
      </c>
      <c r="C2" s="16" t="s">
        <v>2</v>
      </c>
      <c r="D2">
        <v>2005</v>
      </c>
      <c r="I2">
        <v>2010</v>
      </c>
      <c r="N2">
        <v>2015</v>
      </c>
      <c r="S2" t="s">
        <v>6</v>
      </c>
      <c r="X2">
        <v>2025</v>
      </c>
      <c r="AC2">
        <v>2030</v>
      </c>
      <c r="AH2">
        <v>2035</v>
      </c>
      <c r="AM2">
        <v>2040</v>
      </c>
      <c r="AR2">
        <v>2045</v>
      </c>
      <c r="AW2">
        <v>2050</v>
      </c>
    </row>
    <row r="3" spans="1:49">
      <c r="A3" t="s">
        <v>356</v>
      </c>
      <c r="B3" t="s">
        <v>119</v>
      </c>
      <c r="C3" t="s">
        <v>180</v>
      </c>
      <c r="D3" s="6">
        <f>'T3b. modal split passenger'!D3</f>
        <v>0.81276980635612384</v>
      </c>
      <c r="E3" s="6">
        <f>'T3b. modal split passenger'!E3</f>
        <v>0.81228745392713875</v>
      </c>
      <c r="F3" s="6">
        <f>'T3b. modal split passenger'!F3</f>
        <v>0.8112748057803002</v>
      </c>
      <c r="G3" s="6">
        <f>'T3b. modal split passenger'!G3</f>
        <v>0.80823395457541802</v>
      </c>
      <c r="H3" s="6">
        <f>'T3b. modal split passenger'!H3</f>
        <v>0.81627317382348286</v>
      </c>
      <c r="I3" s="6">
        <f>'T3b. modal split passenger'!I3</f>
        <v>0.8161607695224411</v>
      </c>
      <c r="J3" s="6">
        <f>'T3b. modal split passenger'!J3</f>
        <v>0.81354540173474088</v>
      </c>
      <c r="K3" s="6">
        <f>'T3b. modal split passenger'!K3</f>
        <v>0.81169737294476918</v>
      </c>
      <c r="L3" s="6">
        <f>'T3b. modal split passenger'!L3</f>
        <v>0.81337141943989444</v>
      </c>
      <c r="M3" s="6">
        <f>'T3b. modal split passenger'!M3</f>
        <v>0.81544445760770845</v>
      </c>
      <c r="N3" s="6">
        <f>'T3b. modal split passenger'!N3</f>
        <v>0.81537034173496215</v>
      </c>
      <c r="O3" s="6">
        <f>'T3b. modal split passenger'!O3</f>
        <v>0.81647094534347664</v>
      </c>
      <c r="P3" s="6">
        <f>'T3b. modal split passenger'!P3</f>
        <v>0.81825893530387572</v>
      </c>
      <c r="Q3" s="6">
        <f>'T3b. modal split passenger'!Q3</f>
        <v>0.8168697703150446</v>
      </c>
      <c r="R3" s="6">
        <f>'T3b. modal split passenger'!R3</f>
        <v>0.81587659755488562</v>
      </c>
      <c r="S3" s="6">
        <f>'T3b. modal split passenger'!S3</f>
        <v>0.86500387514972177</v>
      </c>
    </row>
    <row r="4" spans="1:49">
      <c r="A4" t="s">
        <v>181</v>
      </c>
      <c r="B4" t="str">
        <f>'3. modal split freight'!B3</f>
        <v>Eurostat Statistical Pocketbook 2022</v>
      </c>
      <c r="C4" t="str">
        <f>'3. modal split freight'!C3</f>
        <v>%</v>
      </c>
      <c r="D4" s="6">
        <f>'3. modal split freight'!D3</f>
        <v>0.74864829088463736</v>
      </c>
      <c r="E4" s="6">
        <f>'3. modal split freight'!E3</f>
        <v>0.74712846904126851</v>
      </c>
      <c r="F4" s="6">
        <f>'3. modal split freight'!F3</f>
        <v>0.74662081471546782</v>
      </c>
      <c r="G4" s="6">
        <f>'3. modal split freight'!G3</f>
        <v>0.74673667059177784</v>
      </c>
      <c r="H4" s="6">
        <f>'3. modal split freight'!H3</f>
        <v>0.76058976339782458</v>
      </c>
      <c r="I4" s="6">
        <f>'3. modal split freight'!I3</f>
        <v>0.74608981261060991</v>
      </c>
      <c r="J4" s="6">
        <f>'3. modal split freight'!J3</f>
        <v>0.73954107350680887</v>
      </c>
      <c r="K4" s="6">
        <f>'3. modal split freight'!K3</f>
        <v>0.73470985997028715</v>
      </c>
      <c r="L4" s="6">
        <f>'3. modal split freight'!L3</f>
        <v>0.73851282391166317</v>
      </c>
      <c r="M4" s="6">
        <f>'3. modal split freight'!M3</f>
        <v>0.73893576220793145</v>
      </c>
      <c r="N4" s="6">
        <f>'3. modal split freight'!N3</f>
        <v>0.74103160645114863</v>
      </c>
      <c r="O4" s="6">
        <f>'3. modal split freight'!O3</f>
        <v>0.74511765316092926</v>
      </c>
      <c r="P4" s="6">
        <f>'3. modal split freight'!P3</f>
        <v>0.7535097592538067</v>
      </c>
      <c r="Q4" s="6">
        <f>'3. modal split freight'!Q3</f>
        <v>0.75649565090899062</v>
      </c>
      <c r="R4" s="6">
        <f>'3. modal split freight'!R3</f>
        <v>0.76318248749678363</v>
      </c>
      <c r="S4" s="6">
        <f>'3. modal split freight'!S3</f>
        <v>0.77416134805419967</v>
      </c>
    </row>
    <row r="5" spans="1:49">
      <c r="A5" t="s">
        <v>182</v>
      </c>
      <c r="B5" t="s">
        <v>183</v>
      </c>
      <c r="C5" t="s">
        <v>180</v>
      </c>
      <c r="AC5" s="5">
        <f>('T2a. total demand passenger'!AC44+'T2a. total demand passenger'!AC45)/SUM('T2a. total demand passenger'!AC43:AC46)</f>
        <v>0.79869796128148018</v>
      </c>
      <c r="AW5" s="5">
        <f>'T3b. modal split passenger'!AW6</f>
        <v>0.76704735498992038</v>
      </c>
    </row>
    <row r="6" spans="1:49">
      <c r="A6" t="s">
        <v>184</v>
      </c>
      <c r="B6" t="s">
        <v>183</v>
      </c>
      <c r="C6" t="s">
        <v>180</v>
      </c>
      <c r="AC6" s="5">
        <f>'3. modal split freight'!AC6</f>
        <v>0.71994121337003303</v>
      </c>
      <c r="AW6" s="5">
        <f>'3. modal split freight'!AW6</f>
        <v>0.67162862492452469</v>
      </c>
    </row>
    <row r="7" spans="1:49">
      <c r="A7" t="s">
        <v>185</v>
      </c>
      <c r="S7" s="7">
        <v>0.86500387514972177</v>
      </c>
      <c r="T7" s="7">
        <v>0.85838696947162418</v>
      </c>
      <c r="U7" s="7">
        <v>0.85177006379352649</v>
      </c>
      <c r="V7" s="7">
        <v>0.8451531581154289</v>
      </c>
      <c r="W7" s="7">
        <v>0.83853625243733132</v>
      </c>
      <c r="X7" s="7">
        <v>0.83191934675923374</v>
      </c>
      <c r="Y7" s="7">
        <v>0.82530244108113615</v>
      </c>
      <c r="Z7" s="7">
        <v>0.81868553540303846</v>
      </c>
      <c r="AA7" s="7">
        <v>0.81206862972494087</v>
      </c>
      <c r="AB7" s="7">
        <v>0.80545172404684329</v>
      </c>
      <c r="AC7" s="7">
        <v>0.7988348183687457</v>
      </c>
      <c r="AD7" s="7">
        <v>0.79724544519980445</v>
      </c>
      <c r="AE7" s="7">
        <v>0.79565607203086319</v>
      </c>
      <c r="AF7" s="7">
        <v>0.79406669886192194</v>
      </c>
      <c r="AG7" s="7">
        <v>0.79247732569298068</v>
      </c>
      <c r="AH7" s="7">
        <v>0.79088795252403932</v>
      </c>
      <c r="AI7" s="7">
        <v>0.78929857935509806</v>
      </c>
      <c r="AJ7" s="7">
        <v>0.78770920618615681</v>
      </c>
      <c r="AK7" s="7">
        <v>0.78611983301721555</v>
      </c>
      <c r="AL7" s="7">
        <v>0.7845304598482743</v>
      </c>
      <c r="AM7" s="7">
        <v>0.78294108667933304</v>
      </c>
      <c r="AN7" s="7">
        <v>0.78135171351039179</v>
      </c>
      <c r="AO7" s="7">
        <v>0.77976234034145053</v>
      </c>
      <c r="AP7" s="7">
        <v>0.77817296717250928</v>
      </c>
      <c r="AQ7" s="7">
        <v>0.77658359400356802</v>
      </c>
      <c r="AR7" s="7">
        <v>0.77499422083462666</v>
      </c>
      <c r="AS7" s="7">
        <v>0.7734048476656854</v>
      </c>
      <c r="AT7" s="7">
        <v>0.77181547449674415</v>
      </c>
      <c r="AU7" s="7">
        <v>0.77022610132780289</v>
      </c>
      <c r="AV7" s="7">
        <v>0.76863672815886164</v>
      </c>
      <c r="AW7" s="7">
        <v>0.76704735498992038</v>
      </c>
    </row>
    <row r="8" spans="1:49">
      <c r="A8" t="s">
        <v>186</v>
      </c>
      <c r="S8" s="7">
        <v>0.77416134805419967</v>
      </c>
      <c r="T8" s="7">
        <v>0.76873933458578303</v>
      </c>
      <c r="U8" s="7">
        <v>0.76331732111736628</v>
      </c>
      <c r="V8" s="7">
        <v>0.75789530764894963</v>
      </c>
      <c r="W8" s="7">
        <v>0.75247329418053299</v>
      </c>
      <c r="X8" s="7">
        <v>0.74705128071211635</v>
      </c>
      <c r="Y8" s="7">
        <v>0.74162926724369971</v>
      </c>
      <c r="Z8" s="7">
        <v>0.73620725377528295</v>
      </c>
      <c r="AA8" s="7">
        <v>0.73078524030686631</v>
      </c>
      <c r="AB8" s="7">
        <v>0.72536322683844967</v>
      </c>
      <c r="AC8" s="7">
        <v>0.71994121337003303</v>
      </c>
      <c r="AD8" s="7">
        <v>0.71752558394775767</v>
      </c>
      <c r="AE8" s="7">
        <v>0.71510995452548221</v>
      </c>
      <c r="AF8" s="7">
        <v>0.71269432510320685</v>
      </c>
      <c r="AG8" s="7">
        <v>0.71027869568093138</v>
      </c>
      <c r="AH8" s="7">
        <v>0.70786306625865603</v>
      </c>
      <c r="AI8" s="7">
        <v>0.70544743683638056</v>
      </c>
      <c r="AJ8" s="7">
        <v>0.7030318074141052</v>
      </c>
      <c r="AK8" s="7">
        <v>0.70061617799182974</v>
      </c>
      <c r="AL8" s="7">
        <v>0.69820054856955438</v>
      </c>
      <c r="AM8" s="7">
        <v>0.69578491914727891</v>
      </c>
      <c r="AN8" s="7">
        <v>0.69336928972500345</v>
      </c>
      <c r="AO8" s="7">
        <v>0.69095366030272809</v>
      </c>
      <c r="AP8" s="7">
        <v>0.68853803088045262</v>
      </c>
      <c r="AQ8" s="7">
        <v>0.68612240145817727</v>
      </c>
      <c r="AR8" s="7">
        <v>0.6837067720359018</v>
      </c>
      <c r="AS8" s="7">
        <v>0.68129114261362644</v>
      </c>
      <c r="AT8" s="7">
        <v>0.67887551319135098</v>
      </c>
      <c r="AU8" s="7">
        <v>0.67645988376907562</v>
      </c>
      <c r="AV8" s="7">
        <v>0.67404425434680015</v>
      </c>
      <c r="AW8" s="7">
        <v>0.67162862492452469</v>
      </c>
    </row>
    <row r="9" spans="1:49">
      <c r="D9" s="72" t="s">
        <v>187</v>
      </c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</row>
    <row r="10" spans="1:49"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</row>
    <row r="11" spans="1:49"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</row>
    <row r="12" spans="1:49"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</row>
    <row r="13" spans="1:49"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</row>
    <row r="14" spans="1:49"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</row>
    <row r="15" spans="1:49"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</row>
    <row r="16" spans="1:49"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</row>
    <row r="17" spans="1:53"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</row>
    <row r="18" spans="1:53"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</row>
    <row r="19" spans="1:53"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</row>
    <row r="20" spans="1:53"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</row>
    <row r="21" spans="1:53"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</row>
    <row r="22" spans="1:53"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</row>
    <row r="23" spans="1:53"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</row>
    <row r="24" spans="1:53" s="56" customFormat="1">
      <c r="A24" s="56" t="s">
        <v>188</v>
      </c>
    </row>
    <row r="25" spans="1:53">
      <c r="B25" s="16" t="s">
        <v>1</v>
      </c>
      <c r="C25" s="16" t="s">
        <v>2</v>
      </c>
      <c r="D25">
        <v>2005</v>
      </c>
      <c r="I25">
        <v>2010</v>
      </c>
      <c r="N25">
        <v>2015</v>
      </c>
      <c r="S25" t="s">
        <v>6</v>
      </c>
      <c r="X25">
        <v>2025</v>
      </c>
      <c r="AC25">
        <v>2030</v>
      </c>
      <c r="AH25">
        <v>2035</v>
      </c>
      <c r="AM25">
        <v>2040</v>
      </c>
      <c r="AR25">
        <v>2045</v>
      </c>
      <c r="AW25">
        <v>2050</v>
      </c>
      <c r="AY25" t="s">
        <v>189</v>
      </c>
      <c r="AZ25" t="s">
        <v>190</v>
      </c>
      <c r="BA25" t="s">
        <v>32</v>
      </c>
    </row>
    <row r="26" spans="1:53">
      <c r="A26" t="s">
        <v>191</v>
      </c>
      <c r="B26" t="s">
        <v>119</v>
      </c>
      <c r="C26" t="s">
        <v>180</v>
      </c>
      <c r="D26" s="21">
        <f>'T3b. modal split passenger'!D72</f>
        <v>79.662999999999997</v>
      </c>
      <c r="E26" s="21">
        <f>'T3b. modal split passenger'!E72</f>
        <v>83.411000000000001</v>
      </c>
      <c r="F26" s="21">
        <f>'T3b. modal split passenger'!F72</f>
        <v>87.302999999999997</v>
      </c>
      <c r="G26" s="21">
        <f>'T3b. modal split passenger'!G72</f>
        <v>96.610000000000014</v>
      </c>
      <c r="H26" s="21">
        <f>'T3b. modal split passenger'!H72</f>
        <v>103.086</v>
      </c>
      <c r="I26" s="21">
        <f>'T3b. modal split passenger'!I72</f>
        <v>104.85537834343801</v>
      </c>
      <c r="J26" s="21">
        <f>'T3b. modal split passenger'!J72</f>
        <v>103.69534000000002</v>
      </c>
      <c r="K26" s="21">
        <f>'T3b. modal split passenger'!K72</f>
        <v>105.43988</v>
      </c>
      <c r="L26" s="21">
        <f>'T3b. modal split passenger'!L72</f>
        <v>107.30405000000002</v>
      </c>
      <c r="M26" s="21">
        <f>'T3b. modal split passenger'!M72</f>
        <v>106.37969999999999</v>
      </c>
      <c r="N26" s="21">
        <f>'T3b. modal split passenger'!N72</f>
        <v>109.92359999999999</v>
      </c>
      <c r="O26" s="21">
        <f>'T3b. modal split passenger'!O72</f>
        <v>114.31549999999999</v>
      </c>
      <c r="P26" s="21">
        <f>'T3b. modal split passenger'!P72</f>
        <v>124.23454</v>
      </c>
      <c r="Q26" s="21">
        <f>'T3b. modal split passenger'!Q72</f>
        <v>126.07478999999999</v>
      </c>
      <c r="R26" s="21">
        <f>'T3b. modal split passenger'!R72</f>
        <v>132.00773999999998</v>
      </c>
      <c r="S26" s="21">
        <f>'T3b. modal split passenger'!S72</f>
        <v>69.37291585115598</v>
      </c>
      <c r="AY26" s="1">
        <f>AVERAGE(R26-Q26,Q26-P26,P26-O26,O26-N26)</f>
        <v>5.5210349999999977</v>
      </c>
      <c r="AZ26" s="1">
        <f>X32-W32</f>
        <v>7.9854054545454574</v>
      </c>
      <c r="BA26" s="1">
        <f>AQ32-AP32</f>
        <v>5.4961799999999812</v>
      </c>
    </row>
    <row r="27" spans="1:53">
      <c r="A27" t="s">
        <v>192</v>
      </c>
      <c r="B27">
        <f>'3. modal split freight'!B26</f>
        <v>0</v>
      </c>
      <c r="C27">
        <f>'3. modal split freight'!C26</f>
        <v>0</v>
      </c>
      <c r="D27" s="21">
        <f>'3. modal split freight'!D31</f>
        <v>394.59700000000004</v>
      </c>
      <c r="E27" s="21">
        <f>'3. modal split freight'!E31</f>
        <v>416.24600000000004</v>
      </c>
      <c r="F27" s="21">
        <f>'3. modal split freight'!F31</f>
        <v>430.72400000000005</v>
      </c>
      <c r="G27" s="21">
        <f>'3. modal split freight'!G31</f>
        <v>421.68599999999992</v>
      </c>
      <c r="H27" s="21">
        <f>'3. modal split freight'!H31</f>
        <v>344.36900000000003</v>
      </c>
      <c r="I27" s="21">
        <f>'3. modal split freight'!I31</f>
        <v>374.95499999999998</v>
      </c>
      <c r="J27" s="21">
        <f>'3. modal split freight'!J31</f>
        <v>401.12199999999984</v>
      </c>
      <c r="K27" s="21">
        <f>'3. modal split freight'!K31</f>
        <v>385.18899999999996</v>
      </c>
      <c r="L27" s="21">
        <f>'3. modal split freight'!L31</f>
        <v>384.31900000000007</v>
      </c>
      <c r="M27" s="21">
        <f>'3. modal split freight'!M31</f>
        <v>388.93199999999996</v>
      </c>
      <c r="N27" s="21">
        <f>'3. modal split freight'!N31</f>
        <v>398.51700000000011</v>
      </c>
      <c r="O27" s="21">
        <f>'3. modal split freight'!O31</f>
        <v>407.45800000000008</v>
      </c>
      <c r="P27" s="21">
        <f>'3. modal split freight'!P31</f>
        <v>411.27800000000002</v>
      </c>
      <c r="Q27" s="21">
        <f>'3. modal split freight'!Q31</f>
        <v>418.31399999999996</v>
      </c>
      <c r="R27" s="21">
        <f>'3. modal split freight'!R31</f>
        <v>407.92099999999999</v>
      </c>
      <c r="S27" s="21">
        <f>'3. modal split freight'!S31</f>
        <v>377.30700000000007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Y27" s="1">
        <f>AVERAGE(R27-Q27,Q27-P27,P27-O27,O27-N27)</f>
        <v>2.3509999999999707</v>
      </c>
      <c r="AZ27" s="1">
        <f>X33-W33</f>
        <v>17.259500000000003</v>
      </c>
      <c r="BA27" s="1">
        <f>AQ33-AP33</f>
        <v>9.9629249999999274</v>
      </c>
    </row>
    <row r="28" spans="1:53">
      <c r="A28" t="s">
        <v>193</v>
      </c>
      <c r="B28" t="s">
        <v>183</v>
      </c>
      <c r="C28" t="s">
        <v>180</v>
      </c>
      <c r="D28" s="1">
        <f>'3. modal split freight'!D42</f>
        <v>138.61097439999998</v>
      </c>
      <c r="E28" s="1">
        <f>'3. modal split freight'!E42</f>
        <v>138.41696909999999</v>
      </c>
      <c r="F28" s="1">
        <f>'3. modal split freight'!F42</f>
        <v>145.40199999999999</v>
      </c>
      <c r="G28" s="1">
        <f>'3. modal split freight'!G42</f>
        <v>146.90300000000002</v>
      </c>
      <c r="H28" s="1">
        <f>'3. modal split freight'!H42</f>
        <v>132.60600000000002</v>
      </c>
      <c r="I28" s="1">
        <f>'3. modal split freight'!I42</f>
        <v>155.36499999999998</v>
      </c>
      <c r="J28" s="1">
        <f>'3. modal split freight'!J42</f>
        <v>141.82500000000002</v>
      </c>
      <c r="K28" s="1">
        <f>'3. modal split freight'!K42</f>
        <v>149.822</v>
      </c>
      <c r="L28" s="1">
        <f>'3. modal split freight'!L42</f>
        <v>152.58400000000003</v>
      </c>
      <c r="M28" s="1">
        <f>'3. modal split freight'!M42</f>
        <v>150.70699999999997</v>
      </c>
      <c r="N28" s="1">
        <f>'3. modal split freight'!N42</f>
        <v>147.35100000000003</v>
      </c>
      <c r="O28" s="1">
        <f>'3. modal split freight'!O42</f>
        <v>146.60899999999995</v>
      </c>
      <c r="P28" s="1">
        <f>'3. modal split freight'!P42</f>
        <v>147.22333333333333</v>
      </c>
      <c r="Q28" s="1">
        <f>'3. modal split freight'!Q42</f>
        <v>131.30277777777778</v>
      </c>
      <c r="R28" s="1">
        <f>'3. modal split freight'!R42</f>
        <v>139.69700000000003</v>
      </c>
      <c r="S28" s="1">
        <f>'3. modal split freight'!S42</f>
        <v>131.74100000000001</v>
      </c>
      <c r="T28" s="1"/>
      <c r="U28" s="1"/>
      <c r="V28" s="1"/>
      <c r="W28" s="1"/>
      <c r="X28" s="1"/>
      <c r="Y28" s="1"/>
      <c r="Z28" s="1"/>
      <c r="AA28" s="1"/>
      <c r="AB28" s="1"/>
      <c r="AC28" s="5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5"/>
      <c r="AY28" s="1">
        <f>AVERAGE(R28-Q28,Q28-P28,P28-O28,O28-N28)</f>
        <v>-1.9134999999999991</v>
      </c>
      <c r="AZ28" s="1">
        <f>X34-W34</f>
        <v>4.0447045454545218</v>
      </c>
      <c r="BA28" s="1">
        <f>AQ34-AP34</f>
        <v>1.8418875000000128</v>
      </c>
    </row>
    <row r="29" spans="1:53">
      <c r="A29" t="s">
        <v>194</v>
      </c>
      <c r="B29" t="s">
        <v>183</v>
      </c>
      <c r="C29" t="s">
        <v>180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>
        <f>2*N26</f>
        <v>219.84719999999999</v>
      </c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>
        <f>3*N26</f>
        <v>329.77080000000001</v>
      </c>
    </row>
    <row r="30" spans="1:53">
      <c r="A30" t="s">
        <v>195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>
        <f>1.5*N27</f>
        <v>597.77550000000019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>
        <f>2*N27</f>
        <v>797.03400000000022</v>
      </c>
    </row>
    <row r="31" spans="1:53">
      <c r="A31" t="s">
        <v>196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>
        <f>1.25*N28</f>
        <v>184.18875000000003</v>
      </c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>
        <f>1.5*N28</f>
        <v>221.02650000000006</v>
      </c>
    </row>
    <row r="32" spans="1:53">
      <c r="A32" t="s">
        <v>130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>
        <v>132.00773999999998</v>
      </c>
      <c r="S32" s="1">
        <v>139.99314545454544</v>
      </c>
      <c r="T32" s="1">
        <v>147.9785509090909</v>
      </c>
      <c r="U32" s="1">
        <v>155.96395636363633</v>
      </c>
      <c r="V32" s="1">
        <v>163.94936181818179</v>
      </c>
      <c r="W32" s="1">
        <v>171.93476727272724</v>
      </c>
      <c r="X32" s="1">
        <v>179.9201727272727</v>
      </c>
      <c r="Y32" s="1">
        <v>187.90557818181816</v>
      </c>
      <c r="Z32" s="1">
        <v>195.89098363636361</v>
      </c>
      <c r="AA32" s="1">
        <v>203.87638909090907</v>
      </c>
      <c r="AB32" s="1">
        <v>211.86179454545453</v>
      </c>
      <c r="AC32" s="1">
        <v>219.84719999999999</v>
      </c>
      <c r="AD32" s="1">
        <v>225.34337999999994</v>
      </c>
      <c r="AE32" s="1">
        <v>230.83955999999995</v>
      </c>
      <c r="AF32" s="1">
        <v>236.33573999999996</v>
      </c>
      <c r="AG32" s="1">
        <v>241.83191999999997</v>
      </c>
      <c r="AH32" s="1">
        <v>247.32809999999995</v>
      </c>
      <c r="AI32" s="1">
        <v>252.82427999999996</v>
      </c>
      <c r="AJ32" s="1">
        <v>258.32045999999997</v>
      </c>
      <c r="AK32" s="1">
        <v>263.81663999999995</v>
      </c>
      <c r="AL32" s="1">
        <v>269.31281999999999</v>
      </c>
      <c r="AM32" s="1">
        <v>274.80899999999997</v>
      </c>
      <c r="AN32" s="1">
        <v>280.30517999999995</v>
      </c>
      <c r="AO32" s="1">
        <v>285.80135999999993</v>
      </c>
      <c r="AP32" s="1">
        <v>291.29753999999997</v>
      </c>
      <c r="AQ32" s="1">
        <v>296.79371999999995</v>
      </c>
      <c r="AR32" s="1">
        <v>302.28989999999999</v>
      </c>
      <c r="AS32" s="1">
        <v>307.78607999999997</v>
      </c>
      <c r="AT32" s="1">
        <v>313.28225999999995</v>
      </c>
      <c r="AU32" s="1">
        <v>318.77843999999993</v>
      </c>
      <c r="AV32" s="1">
        <v>324.27461999999997</v>
      </c>
      <c r="AW32" s="1">
        <v>329.77079999999995</v>
      </c>
    </row>
    <row r="33" spans="1:49">
      <c r="A33" t="s">
        <v>130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>
        <v>407.92100000000005</v>
      </c>
      <c r="S33" s="1">
        <v>425.18050000000005</v>
      </c>
      <c r="T33" s="1">
        <v>442.44000000000011</v>
      </c>
      <c r="U33" s="1">
        <v>459.69950000000011</v>
      </c>
      <c r="V33" s="1">
        <v>476.95900000000012</v>
      </c>
      <c r="W33" s="1">
        <v>494.21850000000018</v>
      </c>
      <c r="X33" s="1">
        <v>511.47800000000018</v>
      </c>
      <c r="Y33" s="1">
        <v>528.73750000000018</v>
      </c>
      <c r="Z33" s="1">
        <v>545.99700000000018</v>
      </c>
      <c r="AA33" s="1">
        <v>563.25650000000019</v>
      </c>
      <c r="AB33" s="1">
        <v>580.5160000000003</v>
      </c>
      <c r="AC33" s="1">
        <v>597.77550000000019</v>
      </c>
      <c r="AD33" s="1">
        <v>607.73842500000012</v>
      </c>
      <c r="AE33" s="1">
        <v>617.70135000000016</v>
      </c>
      <c r="AF33" s="1">
        <v>627.6642750000002</v>
      </c>
      <c r="AG33" s="1">
        <v>637.62720000000013</v>
      </c>
      <c r="AH33" s="1">
        <v>647.59012500000017</v>
      </c>
      <c r="AI33" s="1">
        <v>657.55305000000021</v>
      </c>
      <c r="AJ33" s="1">
        <v>667.51597500000014</v>
      </c>
      <c r="AK33" s="1">
        <v>677.47890000000018</v>
      </c>
      <c r="AL33" s="1">
        <v>687.44182500000011</v>
      </c>
      <c r="AM33" s="1">
        <v>697.40475000000015</v>
      </c>
      <c r="AN33" s="1">
        <v>707.36767500000019</v>
      </c>
      <c r="AO33" s="1">
        <v>717.33060000000012</v>
      </c>
      <c r="AP33" s="1">
        <v>727.29352500000016</v>
      </c>
      <c r="AQ33" s="1">
        <v>737.25645000000009</v>
      </c>
      <c r="AR33" s="1">
        <v>747.21937500000013</v>
      </c>
      <c r="AS33" s="1">
        <v>757.18230000000017</v>
      </c>
      <c r="AT33" s="1">
        <v>767.14522500000021</v>
      </c>
      <c r="AU33" s="1">
        <v>777.10815000000014</v>
      </c>
      <c r="AV33" s="1">
        <v>787.07107500000018</v>
      </c>
      <c r="AW33" s="1">
        <v>797.03400000000011</v>
      </c>
    </row>
    <row r="34" spans="1:49">
      <c r="A34" t="s">
        <v>130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>
        <v>139.69700000000003</v>
      </c>
      <c r="S34" s="1">
        <v>143.74170454545458</v>
      </c>
      <c r="T34" s="1">
        <v>147.78640909090913</v>
      </c>
      <c r="U34" s="1">
        <v>151.83111363636368</v>
      </c>
      <c r="V34" s="1">
        <v>155.8758181818182</v>
      </c>
      <c r="W34" s="1">
        <v>159.92052272727278</v>
      </c>
      <c r="X34" s="1">
        <v>163.9652272727273</v>
      </c>
      <c r="Y34" s="1">
        <v>168.00993181818185</v>
      </c>
      <c r="Z34" s="1">
        <v>172.0546363636364</v>
      </c>
      <c r="AA34" s="1">
        <v>176.09934090909096</v>
      </c>
      <c r="AB34" s="1">
        <v>180.14404545454551</v>
      </c>
      <c r="AC34" s="1">
        <v>184.18875000000006</v>
      </c>
      <c r="AD34" s="1">
        <v>186.03063750000004</v>
      </c>
      <c r="AE34" s="1">
        <v>187.87252500000005</v>
      </c>
      <c r="AF34" s="1">
        <v>189.71441250000004</v>
      </c>
      <c r="AG34" s="1">
        <v>191.55630000000005</v>
      </c>
      <c r="AH34" s="1">
        <v>193.39818750000006</v>
      </c>
      <c r="AI34" s="1">
        <v>195.24007500000005</v>
      </c>
      <c r="AJ34" s="1">
        <v>197.08196250000006</v>
      </c>
      <c r="AK34" s="1">
        <v>198.92385000000004</v>
      </c>
      <c r="AL34" s="1">
        <v>200.76573750000006</v>
      </c>
      <c r="AM34" s="1">
        <v>202.60762500000004</v>
      </c>
      <c r="AN34" s="1">
        <v>204.44951250000005</v>
      </c>
      <c r="AO34" s="1">
        <v>206.29140000000007</v>
      </c>
      <c r="AP34" s="1">
        <v>208.13328750000005</v>
      </c>
      <c r="AQ34" s="1">
        <v>209.97517500000006</v>
      </c>
      <c r="AR34" s="1">
        <v>211.81706250000005</v>
      </c>
      <c r="AS34" s="1">
        <v>213.65895000000006</v>
      </c>
      <c r="AT34" s="1">
        <v>215.50083750000005</v>
      </c>
      <c r="AU34" s="1">
        <v>217.34272500000006</v>
      </c>
      <c r="AV34" s="1">
        <v>219.18461250000007</v>
      </c>
      <c r="AW34" s="1">
        <v>221.02650000000006</v>
      </c>
    </row>
    <row r="35" spans="1:49">
      <c r="D35" t="s">
        <v>189</v>
      </c>
      <c r="E35" t="s">
        <v>197</v>
      </c>
      <c r="F35" t="s">
        <v>198</v>
      </c>
    </row>
    <row r="36" spans="1:49">
      <c r="A36" t="s">
        <v>199</v>
      </c>
      <c r="D36">
        <f>(R26-N26)/4</f>
        <v>5.5210349999999977</v>
      </c>
      <c r="E36" s="1">
        <f>(AC29-R26)/11</f>
        <v>7.9854054545454547</v>
      </c>
      <c r="F36" s="1">
        <f>AD32-AC32</f>
        <v>5.4961799999999528</v>
      </c>
    </row>
    <row r="37" spans="1:49">
      <c r="A37" t="s">
        <v>200</v>
      </c>
      <c r="D37">
        <f>(R27-N27)/4</f>
        <v>2.3509999999999707</v>
      </c>
      <c r="E37" s="1">
        <f>(AC30-R27)/11</f>
        <v>17.259500000000017</v>
      </c>
      <c r="F37" s="1">
        <f>AD33-AC33</f>
        <v>9.9629249999999274</v>
      </c>
    </row>
    <row r="38" spans="1:49">
      <c r="A38" t="s">
        <v>201</v>
      </c>
      <c r="D38">
        <f>(R28-N28)/4</f>
        <v>-1.9134999999999991</v>
      </c>
      <c r="E38" s="1">
        <f>(AC31-R28)/11</f>
        <v>4.0447045454545449</v>
      </c>
      <c r="F38" s="1">
        <f>AD34-AC34</f>
        <v>1.8418874999999844</v>
      </c>
    </row>
    <row r="42" spans="1:49">
      <c r="A42" s="72" t="s">
        <v>202</v>
      </c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</row>
    <row r="43" spans="1:49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</row>
    <row r="44" spans="1:49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</row>
    <row r="45" spans="1:49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</row>
    <row r="46" spans="1:49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</row>
    <row r="47" spans="1:49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</row>
    <row r="48" spans="1:49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</row>
    <row r="49" spans="1:14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</row>
    <row r="50" spans="1:14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</row>
    <row r="51" spans="1:14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</row>
    <row r="52" spans="1:14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</row>
    <row r="53" spans="1:14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</row>
    <row r="54" spans="1:14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</row>
    <row r="55" spans="1:14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</row>
    <row r="56" spans="1:14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</row>
    <row r="57" spans="1:14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</row>
    <row r="58" spans="1:14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</row>
    <row r="59" spans="1:14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</row>
    <row r="60" spans="1:14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</row>
    <row r="61" spans="1:14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2C07C-D9C6-4E59-B82A-37DFC05FC1E5}">
  <sheetPr>
    <tabColor rgb="FFEFE973"/>
  </sheetPr>
  <dimension ref="A1:AX82"/>
  <sheetViews>
    <sheetView zoomScale="59" zoomScaleNormal="59" workbookViewId="0">
      <selection activeCell="AC34" sqref="AC34"/>
    </sheetView>
  </sheetViews>
  <sheetFormatPr defaultRowHeight="15"/>
  <cols>
    <col min="1" max="1" width="29.85546875" bestFit="1" customWidth="1"/>
    <col min="2" max="2" width="36.85546875" hidden="1" customWidth="1"/>
    <col min="3" max="3" width="9.140625" hidden="1" customWidth="1"/>
  </cols>
  <sheetData>
    <row r="1" spans="1:50" s="13" customFormat="1">
      <c r="A1" s="9" t="s">
        <v>203</v>
      </c>
    </row>
    <row r="2" spans="1:50">
      <c r="B2" s="16" t="s">
        <v>1</v>
      </c>
      <c r="C2" s="16" t="s">
        <v>2</v>
      </c>
      <c r="I2">
        <v>2010</v>
      </c>
      <c r="S2" t="s">
        <v>6</v>
      </c>
      <c r="AC2">
        <v>2030</v>
      </c>
      <c r="AM2">
        <v>2040</v>
      </c>
      <c r="AW2">
        <v>2050</v>
      </c>
    </row>
    <row r="3" spans="1:50">
      <c r="A3" t="s">
        <v>204</v>
      </c>
      <c r="B3" t="s">
        <v>119</v>
      </c>
      <c r="C3" t="s">
        <v>180</v>
      </c>
      <c r="D3" s="6">
        <f>'T2a. total demand passenger'!D4/('T2a. total demand passenger'!D$3-'T2a. total demand passenger'!D$7)</f>
        <v>0.81276980635612384</v>
      </c>
      <c r="E3" s="6">
        <f>'T2a. total demand passenger'!E4/('T2a. total demand passenger'!E$3-'T2a. total demand passenger'!E$7)</f>
        <v>0.81228745392713875</v>
      </c>
      <c r="F3" s="6">
        <f>'T2a. total demand passenger'!F4/('T2a. total demand passenger'!F$3-'T2a. total demand passenger'!F$7)</f>
        <v>0.8112748057803002</v>
      </c>
      <c r="G3" s="6">
        <f>'T2a. total demand passenger'!G4/('T2a. total demand passenger'!G$3-'T2a. total demand passenger'!G$7)</f>
        <v>0.80823395457541802</v>
      </c>
      <c r="H3" s="6">
        <f>'T2a. total demand passenger'!H4/('T2a. total demand passenger'!H$3-'T2a. total demand passenger'!H$7)</f>
        <v>0.81627317382348286</v>
      </c>
      <c r="I3" s="6">
        <f>'T2a. total demand passenger'!I4/('T2a. total demand passenger'!I$3-'T2a. total demand passenger'!I$7)</f>
        <v>0.8161607695224411</v>
      </c>
      <c r="J3" s="6">
        <f>'T2a. total demand passenger'!J4/('T2a. total demand passenger'!J$3-'T2a. total demand passenger'!J$7)</f>
        <v>0.81354540173474088</v>
      </c>
      <c r="K3" s="6">
        <f>'T2a. total demand passenger'!K4/('T2a. total demand passenger'!K$3-'T2a. total demand passenger'!K$7)</f>
        <v>0.81169737294476918</v>
      </c>
      <c r="L3" s="6">
        <f>'T2a. total demand passenger'!L4/('T2a. total demand passenger'!L$3-'T2a. total demand passenger'!L$7)</f>
        <v>0.81337141943989444</v>
      </c>
      <c r="M3" s="6">
        <f>'T2a. total demand passenger'!M4/('T2a. total demand passenger'!M$3-'T2a. total demand passenger'!M$7)</f>
        <v>0.81544445760770845</v>
      </c>
      <c r="N3" s="6">
        <f>'T2a. total demand passenger'!N4/('T2a. total demand passenger'!N$3-'T2a. total demand passenger'!N$7)</f>
        <v>0.81537034173496215</v>
      </c>
      <c r="O3" s="6">
        <f>'T2a. total demand passenger'!O4/('T2a. total demand passenger'!O$3-'T2a. total demand passenger'!O$7)</f>
        <v>0.81647094534347664</v>
      </c>
      <c r="P3" s="6">
        <f>'T2a. total demand passenger'!P4/('T2a. total demand passenger'!P$3-'T2a. total demand passenger'!P$7)</f>
        <v>0.81825893530387572</v>
      </c>
      <c r="Q3" s="6">
        <f>'T2a. total demand passenger'!Q4/('T2a. total demand passenger'!Q$3-'T2a. total demand passenger'!Q$7)</f>
        <v>0.8168697703150446</v>
      </c>
      <c r="R3" s="6">
        <f>'T2a. total demand passenger'!R4/('T2a. total demand passenger'!R$3-'T2a. total demand passenger'!R$7)</f>
        <v>0.81587659755488562</v>
      </c>
      <c r="S3" s="2">
        <f>'T2a. total demand passenger'!S4/('T2a. total demand passenger'!S$3-'T2a. total demand passenger'!S$7)</f>
        <v>0.86500387514972177</v>
      </c>
    </row>
    <row r="4" spans="1:50">
      <c r="A4" t="s">
        <v>205</v>
      </c>
      <c r="B4" t="s">
        <v>119</v>
      </c>
      <c r="C4" t="s">
        <v>180</v>
      </c>
      <c r="D4" s="6">
        <f>'T2a. total demand passenger'!D5/('T2a. total demand passenger'!D$3-'T2a. total demand passenger'!D$7)</f>
        <v>0.10233112691690993</v>
      </c>
      <c r="E4" s="6">
        <f>'T2a. total demand passenger'!E5/('T2a. total demand passenger'!E$3-'T2a. total demand passenger'!E$7)</f>
        <v>0.10137047671411409</v>
      </c>
      <c r="F4" s="6">
        <f>'T2a. total demand passenger'!F5/('T2a. total demand passenger'!F$3-'T2a. total demand passenger'!F$7)</f>
        <v>0.10222195387030551</v>
      </c>
      <c r="G4" s="6">
        <f>'T2a. total demand passenger'!G5/('T2a. total demand passenger'!G$3-'T2a. total demand passenger'!G$7)</f>
        <v>0.10269471245081002</v>
      </c>
      <c r="H4" s="6">
        <f>'T2a. total demand passenger'!H5/('T2a. total demand passenger'!H$3-'T2a. total demand passenger'!H$7)</f>
        <v>9.6993344953256233E-2</v>
      </c>
      <c r="I4" s="6">
        <f>'T2a. total demand passenger'!I5/('T2a. total demand passenger'!I$3-'T2a. total demand passenger'!I$7)</f>
        <v>9.6230218124488606E-2</v>
      </c>
      <c r="J4" s="6">
        <f>'T2a. total demand passenger'!J5/('T2a. total demand passenger'!J$3-'T2a. total demand passenger'!J$7)</f>
        <v>9.7273692434045808E-2</v>
      </c>
      <c r="K4" s="6">
        <f>'T2a. total demand passenger'!K5/('T2a. total demand passenger'!K$3-'T2a. total demand passenger'!K$7)</f>
        <v>9.7397213177745884E-2</v>
      </c>
      <c r="L4" s="6">
        <f>'T2a. total demand passenger'!L5/('T2a. total demand passenger'!L$3-'T2a. total demand passenger'!L$7)</f>
        <v>9.5980983580360363E-2</v>
      </c>
      <c r="M4" s="6">
        <f>'T2a. total demand passenger'!M5/('T2a. total demand passenger'!M$3-'T2a. total demand passenger'!M$7)</f>
        <v>9.4025194487225058E-2</v>
      </c>
      <c r="N4" s="6">
        <f>'T2a. total demand passenger'!N5/('T2a. total demand passenger'!N$3-'T2a. total demand passenger'!N$7)</f>
        <v>9.5368795422916347E-2</v>
      </c>
      <c r="O4" s="6">
        <f>'T2a. total demand passenger'!O5/('T2a. total demand passenger'!O$3-'T2a. total demand passenger'!O$7)</f>
        <v>9.4534347669366928E-2</v>
      </c>
      <c r="P4" s="6">
        <f>'T2a. total demand passenger'!P5/('T2a. total demand passenger'!P$3-'T2a. total demand passenger'!P$7)</f>
        <v>9.0295581360277488E-2</v>
      </c>
      <c r="Q4" s="6">
        <f>'T2a. total demand passenger'!Q5/('T2a. total demand passenger'!Q$3-'T2a. total demand passenger'!Q$7)</f>
        <v>9.0619793714082478E-2</v>
      </c>
      <c r="R4" s="6">
        <f>'T2a. total demand passenger'!R5/('T2a. total demand passenger'!R$3-'T2a. total demand passenger'!R$7)</f>
        <v>9.0165905265688864E-2</v>
      </c>
      <c r="S4" s="2">
        <f>'T2a. total demand passenger'!S5/('T2a. total demand passenger'!S$3-'T2a. total demand passenger'!S$7)</f>
        <v>6.8954179290260473E-2</v>
      </c>
    </row>
    <row r="5" spans="1:50">
      <c r="A5" t="s">
        <v>154</v>
      </c>
      <c r="B5" t="s">
        <v>119</v>
      </c>
      <c r="C5" t="s">
        <v>180</v>
      </c>
      <c r="D5" s="6">
        <f>'T2a. total demand passenger'!D6/('T2a. total demand passenger'!D$3-'T2a. total demand passenger'!D$7)</f>
        <v>8.489906672696626E-2</v>
      </c>
      <c r="E5" s="6">
        <f>'T2a. total demand passenger'!E6/('T2a. total demand passenger'!E$3-'T2a. total demand passenger'!E$7)</f>
        <v>8.6342069358747234E-2</v>
      </c>
      <c r="F5" s="6">
        <f>'T2a. total demand passenger'!F6/('T2a. total demand passenger'!F$3-'T2a. total demand passenger'!F$7)</f>
        <v>8.6503240349394175E-2</v>
      </c>
      <c r="G5" s="6">
        <f>'T2a. total demand passenger'!G6/('T2a. total demand passenger'!G$3-'T2a. total demand passenger'!G$7)</f>
        <v>8.9071332973772011E-2</v>
      </c>
      <c r="H5" s="6">
        <f>'T2a. total demand passenger'!H6/('T2a. total demand passenger'!H$3-'T2a. total demand passenger'!H$7)</f>
        <v>8.673348122326098E-2</v>
      </c>
      <c r="I5" s="6">
        <f>'T2a. total demand passenger'!I6/('T2a. total demand passenger'!I$3-'T2a. total demand passenger'!I$7)</f>
        <v>8.7609012353070295E-2</v>
      </c>
      <c r="J5" s="6">
        <f>'T2a. total demand passenger'!J6/('T2a. total demand passenger'!J$3-'T2a. total demand passenger'!J$7)</f>
        <v>8.9180905831213339E-2</v>
      </c>
      <c r="K5" s="6">
        <f>'T2a. total demand passenger'!K6/('T2a. total demand passenger'!K$3-'T2a. total demand passenger'!K$7)</f>
        <v>9.0905413877484992E-2</v>
      </c>
      <c r="L5" s="6">
        <f>'T2a. total demand passenger'!L6/('T2a. total demand passenger'!L$3-'T2a. total demand passenger'!L$7)</f>
        <v>9.0647596979745115E-2</v>
      </c>
      <c r="M5" s="6">
        <f>'T2a. total demand passenger'!M6/('T2a. total demand passenger'!M$3-'T2a. total demand passenger'!M$7)</f>
        <v>9.0530347905066547E-2</v>
      </c>
      <c r="N5" s="6">
        <f>'T2a. total demand passenger'!N6/('T2a. total demand passenger'!N$3-'T2a. total demand passenger'!N$7)</f>
        <v>8.9260862842121549E-2</v>
      </c>
      <c r="O5" s="6">
        <f>'T2a. total demand passenger'!O6/('T2a. total demand passenger'!O$3-'T2a. total demand passenger'!O$7)</f>
        <v>8.8994706987156377E-2</v>
      </c>
      <c r="P5" s="6">
        <f>'T2a. total demand passenger'!P6/('T2a. total demand passenger'!P$3-'T2a. total demand passenger'!P$7)</f>
        <v>9.1445483335846775E-2</v>
      </c>
      <c r="Q5" s="6">
        <f>'T2a. total demand passenger'!Q6/('T2a. total demand passenger'!Q$3-'T2a. total demand passenger'!Q$7)</f>
        <v>9.2510435970872884E-2</v>
      </c>
      <c r="R5" s="6">
        <f>'T2a. total demand passenger'!R6/('T2a. total demand passenger'!R$3-'T2a. total demand passenger'!R$7)</f>
        <v>9.3957497179425531E-2</v>
      </c>
      <c r="S5" s="2">
        <f>'T2a. total demand passenger'!S6/('T2a. total demand passenger'!S$3-'T2a. total demand passenger'!S$7)</f>
        <v>6.6041945560017856E-2</v>
      </c>
    </row>
    <row r="6" spans="1:50">
      <c r="A6" t="s">
        <v>206</v>
      </c>
      <c r="B6" t="s">
        <v>183</v>
      </c>
      <c r="C6" t="s">
        <v>180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AC6" s="2">
        <f>('T2a. total demand passenger'!AC44+'T2a. total demand passenger'!AC45)/('T2a. total demand passenger'!AC42-'T2a. total demand passenger'!AC47-'T2a. total demand passenger'!AC48)</f>
        <v>0.7988348183687457</v>
      </c>
      <c r="AW6" s="2">
        <f>'T2a. total demand passenger'!AW70/('T2a. total demand passenger'!AW69-'T2a. total demand passenger'!AW72-'T2a. total demand passenger'!AW73)-AW7</f>
        <v>0.76704735498992038</v>
      </c>
    </row>
    <row r="7" spans="1:50">
      <c r="A7" t="s">
        <v>207</v>
      </c>
      <c r="B7" t="s">
        <v>183</v>
      </c>
      <c r="C7" t="s">
        <v>180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AC7" s="2">
        <f>'T2a. total demand passenger'!AC43/('T2a. total demand passenger'!AC42-'T2a. total demand passenger'!AC47-'T2a. total demand passenger'!AC48)</f>
        <v>9.2871830020562027E-2</v>
      </c>
      <c r="AW7" s="2">
        <v>0.09</v>
      </c>
    </row>
    <row r="8" spans="1:50">
      <c r="A8" t="s">
        <v>208</v>
      </c>
      <c r="B8" t="s">
        <v>183</v>
      </c>
      <c r="C8" t="s">
        <v>180</v>
      </c>
      <c r="AC8" s="2">
        <f>'T2a. total demand passenger'!AC46/('T2a. total demand passenger'!AC42-'T2a. total demand passenger'!AC47-'T2a. total demand passenger'!AC48)</f>
        <v>0.10846470185058259</v>
      </c>
      <c r="AW8" s="2">
        <f>'T2a. total demand passenger'!AW71/('T2a. total demand passenger'!AW69-'T2a. total demand passenger'!AW72-'T2a. total demand passenger'!AW73)</f>
        <v>0.14759136956579777</v>
      </c>
    </row>
    <row r="9" spans="1:50">
      <c r="A9" t="s">
        <v>209</v>
      </c>
      <c r="C9" t="s">
        <v>180</v>
      </c>
      <c r="R9" s="1"/>
      <c r="S9" s="2">
        <v>0.86500387514972177</v>
      </c>
      <c r="T9" s="2">
        <v>0.85838696947162418</v>
      </c>
      <c r="U9" s="2">
        <v>0.85177006379352649</v>
      </c>
      <c r="V9" s="2">
        <v>0.8451531581154289</v>
      </c>
      <c r="W9" s="2">
        <v>0.83853625243733132</v>
      </c>
      <c r="X9" s="2">
        <v>0.83191934675923374</v>
      </c>
      <c r="Y9" s="2">
        <v>0.82530244108113615</v>
      </c>
      <c r="Z9" s="2">
        <v>0.81868553540303846</v>
      </c>
      <c r="AA9" s="2">
        <v>0.81206862972494087</v>
      </c>
      <c r="AB9" s="2">
        <v>0.80545172404684329</v>
      </c>
      <c r="AC9" s="2">
        <v>0.79883481836874559</v>
      </c>
      <c r="AD9" s="2">
        <v>0.79724544519980434</v>
      </c>
      <c r="AE9" s="2">
        <v>0.79565607203086308</v>
      </c>
      <c r="AF9" s="2">
        <v>0.79406669886192183</v>
      </c>
      <c r="AG9" s="2">
        <v>0.79247732569298057</v>
      </c>
      <c r="AH9" s="2">
        <v>0.79088795252403932</v>
      </c>
      <c r="AI9" s="2">
        <v>0.78929857935509806</v>
      </c>
      <c r="AJ9" s="2">
        <v>0.78770920618615681</v>
      </c>
      <c r="AK9" s="2">
        <v>0.78611983301721555</v>
      </c>
      <c r="AL9" s="2">
        <v>0.7845304598482743</v>
      </c>
      <c r="AM9" s="2">
        <v>0.78294108667933293</v>
      </c>
      <c r="AN9" s="2">
        <v>0.78135171351039168</v>
      </c>
      <c r="AO9" s="2">
        <v>0.77976234034145042</v>
      </c>
      <c r="AP9" s="2">
        <v>0.77817296717250917</v>
      </c>
      <c r="AQ9" s="2">
        <v>0.77658359400356791</v>
      </c>
      <c r="AR9" s="2">
        <v>0.77499422083462666</v>
      </c>
      <c r="AS9" s="2">
        <v>0.7734048476656854</v>
      </c>
      <c r="AT9" s="2">
        <v>0.77181547449674415</v>
      </c>
      <c r="AU9" s="2">
        <v>0.77022610132780289</v>
      </c>
      <c r="AV9" s="2">
        <v>0.76863672815886164</v>
      </c>
      <c r="AW9" s="2">
        <v>0.76704735498992038</v>
      </c>
      <c r="AX9" s="5"/>
    </row>
    <row r="10" spans="1:50">
      <c r="A10" t="s">
        <v>209</v>
      </c>
      <c r="C10" t="s">
        <v>180</v>
      </c>
      <c r="S10" s="2">
        <v>6.8954179290260487E-2</v>
      </c>
      <c r="T10" s="2">
        <v>7.1345944363290642E-2</v>
      </c>
      <c r="U10" s="2">
        <v>7.3737709436320797E-2</v>
      </c>
      <c r="V10" s="2">
        <v>7.6129474509350953E-2</v>
      </c>
      <c r="W10" s="2">
        <v>7.8521239582381108E-2</v>
      </c>
      <c r="X10" s="2">
        <v>8.0913004655411264E-2</v>
      </c>
      <c r="Y10" s="2">
        <v>8.3304769728441405E-2</v>
      </c>
      <c r="Z10" s="2">
        <v>8.5696534801471561E-2</v>
      </c>
      <c r="AA10" s="2">
        <v>8.8088299874501716E-2</v>
      </c>
      <c r="AB10" s="2">
        <v>9.0480064947531871E-2</v>
      </c>
      <c r="AC10" s="2">
        <v>9.2871830020562013E-2</v>
      </c>
      <c r="AD10" s="2">
        <v>9.272823851953392E-2</v>
      </c>
      <c r="AE10" s="2">
        <v>9.2584647018505814E-2</v>
      </c>
      <c r="AF10" s="2">
        <v>9.2441055517477708E-2</v>
      </c>
      <c r="AG10" s="2">
        <v>9.2297464016449615E-2</v>
      </c>
      <c r="AH10" s="2">
        <v>9.2153872515421509E-2</v>
      </c>
      <c r="AI10" s="2">
        <v>9.2010281014393402E-2</v>
      </c>
      <c r="AJ10" s="2">
        <v>9.186668951336531E-2</v>
      </c>
      <c r="AK10" s="2">
        <v>9.1723098012337204E-2</v>
      </c>
      <c r="AL10" s="2">
        <v>9.1579506511309111E-2</v>
      </c>
      <c r="AM10" s="2">
        <v>9.1435915010281005E-2</v>
      </c>
      <c r="AN10" s="2">
        <v>9.1292323509252898E-2</v>
      </c>
      <c r="AO10" s="2">
        <v>9.1148732008224806E-2</v>
      </c>
      <c r="AP10" s="2">
        <v>9.10051405071967E-2</v>
      </c>
      <c r="AQ10" s="2">
        <v>9.0861549006168593E-2</v>
      </c>
      <c r="AR10" s="2">
        <v>9.0717957505140501E-2</v>
      </c>
      <c r="AS10" s="2">
        <v>9.0574366004112394E-2</v>
      </c>
      <c r="AT10" s="2">
        <v>9.0430774503084288E-2</v>
      </c>
      <c r="AU10" s="2">
        <v>9.0287183002056196E-2</v>
      </c>
      <c r="AV10" s="2">
        <v>9.0143591501028089E-2</v>
      </c>
      <c r="AW10" s="2">
        <v>8.9999999999999983E-2</v>
      </c>
    </row>
    <row r="11" spans="1:50">
      <c r="A11" t="s">
        <v>209</v>
      </c>
      <c r="C11" t="s">
        <v>180</v>
      </c>
      <c r="S11" s="2">
        <v>6.604194556001787E-2</v>
      </c>
      <c r="T11" s="2">
        <v>7.0284221189074333E-2</v>
      </c>
      <c r="U11" s="2">
        <v>7.4526496818130811E-2</v>
      </c>
      <c r="V11" s="2">
        <v>7.8768772447187274E-2</v>
      </c>
      <c r="W11" s="2">
        <v>8.3011048076243751E-2</v>
      </c>
      <c r="X11" s="2">
        <v>8.7253323705300229E-2</v>
      </c>
      <c r="Y11" s="2">
        <v>9.1495599334356692E-2</v>
      </c>
      <c r="Z11" s="2">
        <v>9.5737874963413169E-2</v>
      </c>
      <c r="AA11" s="2">
        <v>9.9980150592469647E-2</v>
      </c>
      <c r="AB11" s="2">
        <v>0.10422242622152611</v>
      </c>
      <c r="AC11" s="2">
        <v>0.1084647018505826</v>
      </c>
      <c r="AD11" s="2">
        <v>0.11042103523634336</v>
      </c>
      <c r="AE11" s="2">
        <v>0.11237736862210412</v>
      </c>
      <c r="AF11" s="2">
        <v>0.11433370200786487</v>
      </c>
      <c r="AG11" s="2">
        <v>0.11629003539362563</v>
      </c>
      <c r="AH11" s="2">
        <v>0.11824636877938639</v>
      </c>
      <c r="AI11" s="2">
        <v>0.12020270216514715</v>
      </c>
      <c r="AJ11" s="2">
        <v>0.12215903555090792</v>
      </c>
      <c r="AK11" s="2">
        <v>0.12411536893666866</v>
      </c>
      <c r="AL11" s="2">
        <v>0.12607170232242942</v>
      </c>
      <c r="AM11" s="2">
        <v>0.12802803570819019</v>
      </c>
      <c r="AN11" s="2">
        <v>0.12998436909395095</v>
      </c>
      <c r="AO11" s="2">
        <v>0.13194070247971171</v>
      </c>
      <c r="AP11" s="2">
        <v>0.13389703586547247</v>
      </c>
      <c r="AQ11" s="2">
        <v>0.13585336925123323</v>
      </c>
      <c r="AR11" s="2">
        <v>0.13780970263699399</v>
      </c>
      <c r="AS11" s="2">
        <v>0.13976603602275475</v>
      </c>
      <c r="AT11" s="2">
        <v>0.14172236940851551</v>
      </c>
      <c r="AU11" s="2">
        <v>0.14367870279427625</v>
      </c>
      <c r="AV11" s="2">
        <v>0.14563503618003704</v>
      </c>
      <c r="AW11" s="2">
        <v>0.14759136956579777</v>
      </c>
    </row>
    <row r="12" spans="1:50">
      <c r="B12" s="16"/>
      <c r="D12" s="1"/>
    </row>
    <row r="13" spans="1:50" s="14" customFormat="1">
      <c r="A13" s="14" t="s">
        <v>210</v>
      </c>
    </row>
    <row r="15" spans="1:50">
      <c r="A15" t="s">
        <v>132</v>
      </c>
      <c r="D15" s="8">
        <f>AVERAGE(R3-Q3,Q3-P3,P3-O3,O3-N3)</f>
        <v>1.2656395498086837E-4</v>
      </c>
    </row>
    <row r="16" spans="1:50">
      <c r="A16" t="s">
        <v>133</v>
      </c>
      <c r="D16" s="10">
        <f>(AC6-R3)/11</f>
        <v>-1.5492526532854469E-3</v>
      </c>
    </row>
    <row r="17" spans="1:49">
      <c r="A17" t="s">
        <v>211</v>
      </c>
      <c r="D17" s="10">
        <f>(AW6-AC6)/20</f>
        <v>-1.589373168941266E-3</v>
      </c>
    </row>
    <row r="18" spans="1:49" s="14" customFormat="1">
      <c r="A18" s="14" t="s">
        <v>212</v>
      </c>
    </row>
    <row r="20" spans="1:49">
      <c r="A20" t="s">
        <v>132</v>
      </c>
      <c r="D20" s="8">
        <f>AVERAGE(R4-Q4,Q4-P4,P4-O4,O4-N4)</f>
        <v>-1.3007225393068707E-3</v>
      </c>
    </row>
    <row r="21" spans="1:49">
      <c r="A21" t="s">
        <v>133</v>
      </c>
    </row>
    <row r="22" spans="1:49">
      <c r="A22" t="s">
        <v>211</v>
      </c>
    </row>
    <row r="23" spans="1:49" s="14" customFormat="1">
      <c r="A23" s="14" t="s">
        <v>213</v>
      </c>
    </row>
    <row r="25" spans="1:49">
      <c r="A25" t="s">
        <v>132</v>
      </c>
      <c r="D25" s="8">
        <f>AVERAGE(R5-Q5,Q5-P5,P5-O5,O5-N5)</f>
        <v>1.1741585843259954E-3</v>
      </c>
    </row>
    <row r="26" spans="1:49">
      <c r="A26" t="s">
        <v>133</v>
      </c>
      <c r="D26" s="8">
        <f>(AC8-R5)/11</f>
        <v>1.3188367882870052E-3</v>
      </c>
      <c r="E26" s="27">
        <f>D26/D25</f>
        <v>1.1232186230142496</v>
      </c>
    </row>
    <row r="27" spans="1:49">
      <c r="A27" t="s">
        <v>211</v>
      </c>
      <c r="D27" s="8">
        <f>(AW8-AC8)/20</f>
        <v>1.956333385760759E-3</v>
      </c>
      <c r="E27" s="27">
        <f>D27/D25</f>
        <v>1.6661577165777457</v>
      </c>
    </row>
    <row r="30" spans="1:49" s="13" customFormat="1">
      <c r="A30" s="9" t="s">
        <v>16</v>
      </c>
    </row>
    <row r="31" spans="1:49" s="14" customFormat="1">
      <c r="A31" s="14" t="s">
        <v>7</v>
      </c>
    </row>
    <row r="32" spans="1:49">
      <c r="B32" s="16" t="s">
        <v>1</v>
      </c>
      <c r="C32" s="16" t="s">
        <v>2</v>
      </c>
      <c r="I32">
        <v>2010</v>
      </c>
      <c r="S32" t="s">
        <v>6</v>
      </c>
      <c r="AC32">
        <v>2030</v>
      </c>
      <c r="AM32">
        <v>2040</v>
      </c>
      <c r="AW32">
        <v>2050</v>
      </c>
    </row>
    <row r="33" spans="1:49">
      <c r="A33" t="s">
        <v>214</v>
      </c>
      <c r="B33" t="s">
        <v>119</v>
      </c>
      <c r="C33" t="s">
        <v>120</v>
      </c>
      <c r="D33" s="21">
        <f>'T2a. total demand passenger'!D29</f>
        <v>361.3</v>
      </c>
      <c r="E33" s="21">
        <f>'T2a. total demand passenger'!E29</f>
        <v>376.4</v>
      </c>
      <c r="F33" s="21">
        <f>'T2a. total demand passenger'!F29</f>
        <v>392.2</v>
      </c>
      <c r="G33" s="21">
        <f>'T2a. total demand passenger'!G29</f>
        <v>383.8</v>
      </c>
      <c r="H33" s="21">
        <f>'T2a. total demand passenger'!H29</f>
        <v>361.8</v>
      </c>
      <c r="I33" s="21">
        <f>'T2a. total demand passenger'!I29</f>
        <v>377.3</v>
      </c>
      <c r="J33" s="21">
        <f>'T2a. total demand passenger'!J29</f>
        <v>408.5</v>
      </c>
      <c r="K33" s="21">
        <f>'T2a. total demand passenger'!K29</f>
        <v>402.1</v>
      </c>
      <c r="L33" s="21">
        <f>'T2a. total demand passenger'!L29</f>
        <v>406</v>
      </c>
      <c r="M33" s="21">
        <f>'T2a. total demand passenger'!M29</f>
        <v>425.6</v>
      </c>
      <c r="N33" s="21">
        <f>'T2a. total demand passenger'!N29</f>
        <v>451.8</v>
      </c>
      <c r="O33" s="21">
        <f>'T2a. total demand passenger'!O29</f>
        <v>492.6</v>
      </c>
      <c r="P33" s="21">
        <f>'T2a. total demand passenger'!P29</f>
        <v>538.4</v>
      </c>
      <c r="Q33" s="21">
        <f>'T2a. total demand passenger'!Q29</f>
        <v>571.79999999999995</v>
      </c>
      <c r="R33" s="21">
        <f>'T2a. total demand passenger'!R29</f>
        <v>585.5</v>
      </c>
      <c r="S33" s="21">
        <f>'T2a. total demand passenger'!S29</f>
        <v>177.9</v>
      </c>
    </row>
    <row r="34" spans="1:49">
      <c r="A34" t="s">
        <v>215</v>
      </c>
      <c r="B34" t="s">
        <v>183</v>
      </c>
      <c r="C34" t="s">
        <v>120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2"/>
      <c r="X34">
        <f>'T2a. total demand passenger'!X47</f>
        <v>571</v>
      </c>
      <c r="AC34">
        <f>'T2a. total demand passenger'!AC47</f>
        <v>612</v>
      </c>
    </row>
    <row r="35" spans="1:49">
      <c r="A35" t="s">
        <v>216</v>
      </c>
      <c r="B35" t="s">
        <v>127</v>
      </c>
      <c r="C35" t="s">
        <v>120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2"/>
      <c r="AW35" s="4">
        <f>'T2a. total demand passenger'!AW64</f>
        <v>846.69427934928808</v>
      </c>
    </row>
    <row r="36" spans="1:49">
      <c r="A36" t="s">
        <v>217</v>
      </c>
      <c r="B36" t="s">
        <v>129</v>
      </c>
      <c r="C36" t="s">
        <v>120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AC36" s="2"/>
      <c r="AW36" s="4">
        <f>'T2a. total demand passenger'!AW72</f>
        <v>715.76217429527458</v>
      </c>
    </row>
    <row r="37" spans="1:49">
      <c r="A37" t="s">
        <v>20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>
        <v>177.90000000000009</v>
      </c>
      <c r="T37" s="1">
        <v>256.52000000000004</v>
      </c>
      <c r="U37" s="1">
        <v>335.14</v>
      </c>
      <c r="V37" s="1">
        <v>413.75999999999993</v>
      </c>
      <c r="W37" s="1">
        <v>492.37999999999988</v>
      </c>
      <c r="X37" s="1">
        <v>570.99999999999977</v>
      </c>
      <c r="Y37">
        <v>579.19999999999993</v>
      </c>
      <c r="Z37">
        <v>587.4</v>
      </c>
      <c r="AA37">
        <v>595.59999999999991</v>
      </c>
      <c r="AB37">
        <v>603.79999999999995</v>
      </c>
      <c r="AC37">
        <v>612</v>
      </c>
      <c r="AD37">
        <v>623.73471396746447</v>
      </c>
      <c r="AE37">
        <v>635.46942793492883</v>
      </c>
      <c r="AF37">
        <v>647.2041419023933</v>
      </c>
      <c r="AG37">
        <v>658.93885586985766</v>
      </c>
      <c r="AH37">
        <v>670.67356983732202</v>
      </c>
      <c r="AI37">
        <v>682.40828380478649</v>
      </c>
      <c r="AJ37">
        <v>694.14299777225085</v>
      </c>
      <c r="AK37">
        <v>705.87771173971532</v>
      </c>
      <c r="AL37">
        <v>717.61242570717968</v>
      </c>
      <c r="AM37">
        <v>729.34713967464404</v>
      </c>
      <c r="AN37">
        <v>741.08185364210851</v>
      </c>
      <c r="AO37">
        <v>752.81656760957287</v>
      </c>
      <c r="AP37">
        <v>764.55128157703734</v>
      </c>
      <c r="AQ37">
        <v>776.2859955445017</v>
      </c>
      <c r="AR37">
        <v>788.02070951196606</v>
      </c>
      <c r="AS37">
        <v>799.75542347943053</v>
      </c>
      <c r="AT37">
        <v>811.49013744689489</v>
      </c>
      <c r="AU37">
        <v>823.22485141435936</v>
      </c>
      <c r="AV37">
        <v>834.95956538182372</v>
      </c>
      <c r="AW37">
        <v>846.69427934928808</v>
      </c>
    </row>
    <row r="38" spans="1:49">
      <c r="A38" t="s">
        <v>218</v>
      </c>
      <c r="AC38">
        <v>612.00000000000011</v>
      </c>
      <c r="AD38">
        <v>617.18810871476376</v>
      </c>
      <c r="AE38">
        <v>622.37621742952751</v>
      </c>
      <c r="AF38">
        <v>627.56432614429127</v>
      </c>
      <c r="AG38">
        <v>632.75243485905503</v>
      </c>
      <c r="AH38">
        <v>637.94054357381867</v>
      </c>
      <c r="AI38">
        <v>643.12865228858243</v>
      </c>
      <c r="AJ38">
        <v>648.31676100334619</v>
      </c>
      <c r="AK38">
        <v>653.50486971810994</v>
      </c>
      <c r="AL38">
        <v>658.69297843287359</v>
      </c>
      <c r="AM38">
        <v>663.88108714763734</v>
      </c>
      <c r="AN38">
        <v>669.0691958624011</v>
      </c>
      <c r="AO38">
        <v>674.25730457716486</v>
      </c>
      <c r="AP38">
        <v>679.4454132919285</v>
      </c>
      <c r="AQ38">
        <v>684.63352200669226</v>
      </c>
      <c r="AR38">
        <v>689.82163072145602</v>
      </c>
      <c r="AS38">
        <v>695.00973943621966</v>
      </c>
      <c r="AT38">
        <v>700.19784815098342</v>
      </c>
      <c r="AU38">
        <v>705.38595686574718</v>
      </c>
      <c r="AV38">
        <v>710.57406558051093</v>
      </c>
      <c r="AW38">
        <v>715.76217429527458</v>
      </c>
    </row>
    <row r="39" spans="1:49">
      <c r="F39" t="s">
        <v>219</v>
      </c>
    </row>
    <row r="40" spans="1:49">
      <c r="A40" t="s">
        <v>132</v>
      </c>
      <c r="B40" s="16"/>
      <c r="C40" s="16"/>
      <c r="D40" s="1">
        <f>AVERAGE(R33-Q33,Q33-P33,P33-O33,O33-N33)</f>
        <v>33.424999999999997</v>
      </c>
      <c r="F40" s="2">
        <f>D40/$M$33</f>
        <v>7.85361842105263E-2</v>
      </c>
    </row>
    <row r="41" spans="1:49">
      <c r="A41" t="s">
        <v>133</v>
      </c>
      <c r="B41" s="16"/>
      <c r="C41" s="16"/>
      <c r="D41" s="1">
        <f>(AC34-R33)/11</f>
        <v>2.4090909090909092</v>
      </c>
      <c r="E41">
        <f>D40/D41</f>
        <v>13.874528301886791</v>
      </c>
      <c r="F41" s="2">
        <f>D41/$M$33</f>
        <v>5.660457963089542E-3</v>
      </c>
    </row>
    <row r="42" spans="1:49">
      <c r="A42" t="s">
        <v>134</v>
      </c>
      <c r="B42" s="16"/>
      <c r="C42" s="16"/>
      <c r="D42" s="1">
        <f>(AW35-AC34)/20</f>
        <v>11.734713967464405</v>
      </c>
      <c r="E42">
        <f>D40/D42</f>
        <v>2.8483864278817483</v>
      </c>
      <c r="F42" s="2">
        <f>D42/$M$33</f>
        <v>2.7572166276937041E-2</v>
      </c>
    </row>
    <row r="43" spans="1:49">
      <c r="A43" t="s">
        <v>135</v>
      </c>
      <c r="B43" s="16"/>
      <c r="C43" s="16"/>
      <c r="D43" s="1">
        <f>(AW36-AC34)/20</f>
        <v>5.1881087147637288</v>
      </c>
      <c r="E43">
        <f>D40/D43</f>
        <v>6.442617500455019</v>
      </c>
      <c r="F43" s="2">
        <f>D43/$M$33</f>
        <v>1.2190105062884701E-2</v>
      </c>
    </row>
    <row r="44" spans="1:49">
      <c r="B44" s="16"/>
      <c r="C44" s="16"/>
      <c r="D44" s="1"/>
      <c r="F44" s="2"/>
    </row>
    <row r="45" spans="1:49">
      <c r="A45" s="72" t="s">
        <v>220</v>
      </c>
      <c r="B45" s="70"/>
      <c r="C45" s="70"/>
      <c r="D45" s="71"/>
      <c r="E45" s="66"/>
      <c r="F45" s="65"/>
      <c r="G45" s="66"/>
      <c r="H45" s="66"/>
      <c r="I45" s="66"/>
      <c r="J45" s="66"/>
      <c r="K45" s="66"/>
      <c r="L45" s="66"/>
      <c r="M45" s="66"/>
      <c r="N45" s="66"/>
    </row>
    <row r="46" spans="1:49">
      <c r="A46" s="66"/>
      <c r="B46" s="70"/>
      <c r="C46" s="70"/>
      <c r="D46" s="71"/>
      <c r="E46" s="66"/>
      <c r="F46" s="65"/>
      <c r="G46" s="66"/>
      <c r="H46" s="66"/>
      <c r="I46" s="66"/>
      <c r="J46" s="66"/>
      <c r="K46" s="66"/>
      <c r="L46" s="66"/>
      <c r="M46" s="66"/>
      <c r="N46" s="66"/>
    </row>
    <row r="47" spans="1:49">
      <c r="A47" s="66"/>
      <c r="B47" s="70"/>
      <c r="C47" s="70"/>
      <c r="D47" s="71"/>
      <c r="E47" s="66"/>
      <c r="F47" s="65"/>
      <c r="G47" s="66"/>
      <c r="H47" s="66"/>
      <c r="I47" s="66"/>
      <c r="J47" s="66"/>
      <c r="K47" s="66"/>
      <c r="L47" s="66"/>
      <c r="M47" s="66"/>
      <c r="N47" s="66"/>
    </row>
    <row r="48" spans="1:49">
      <c r="A48" s="66"/>
      <c r="B48" s="70"/>
      <c r="C48" s="70"/>
      <c r="D48" s="71"/>
      <c r="E48" s="66"/>
      <c r="F48" s="65"/>
      <c r="G48" s="66"/>
      <c r="H48" s="66"/>
      <c r="I48" s="66"/>
      <c r="J48" s="66"/>
      <c r="K48" s="66"/>
      <c r="L48" s="66"/>
      <c r="M48" s="66"/>
      <c r="N48" s="66"/>
    </row>
    <row r="49" spans="1:49">
      <c r="A49" s="66"/>
      <c r="B49" s="70"/>
      <c r="C49" s="70"/>
      <c r="D49" s="71"/>
      <c r="E49" s="66"/>
      <c r="F49" s="65"/>
      <c r="G49" s="66"/>
      <c r="H49" s="66"/>
      <c r="I49" s="66"/>
      <c r="J49" s="66"/>
      <c r="K49" s="66"/>
      <c r="L49" s="66"/>
      <c r="M49" s="66"/>
      <c r="N49" s="66"/>
    </row>
    <row r="50" spans="1:49">
      <c r="A50" s="66"/>
      <c r="B50" s="70"/>
      <c r="C50" s="70"/>
      <c r="D50" s="71"/>
      <c r="E50" s="66"/>
      <c r="F50" s="65"/>
      <c r="G50" s="66"/>
      <c r="H50" s="66"/>
      <c r="I50" s="66"/>
      <c r="J50" s="66"/>
      <c r="K50" s="66"/>
      <c r="L50" s="66"/>
      <c r="M50" s="66"/>
      <c r="N50" s="66"/>
    </row>
    <row r="51" spans="1:49">
      <c r="A51" s="66"/>
      <c r="B51" s="70"/>
      <c r="C51" s="70"/>
      <c r="D51" s="71"/>
      <c r="E51" s="66"/>
      <c r="F51" s="65"/>
      <c r="G51" s="66"/>
      <c r="H51" s="66"/>
      <c r="I51" s="66"/>
      <c r="J51" s="66"/>
      <c r="K51" s="66"/>
      <c r="L51" s="66"/>
      <c r="M51" s="66"/>
      <c r="N51" s="66"/>
    </row>
    <row r="52" spans="1:49">
      <c r="A52" s="66"/>
      <c r="B52" s="70"/>
      <c r="C52" s="70"/>
      <c r="D52" s="71"/>
      <c r="E52" s="66"/>
      <c r="F52" s="65"/>
      <c r="G52" s="66"/>
      <c r="H52" s="66"/>
      <c r="I52" s="66"/>
      <c r="J52" s="66"/>
      <c r="K52" s="66"/>
      <c r="L52" s="66"/>
      <c r="M52" s="66"/>
      <c r="N52" s="66"/>
    </row>
    <row r="53" spans="1:49">
      <c r="A53" s="66"/>
      <c r="B53" s="70"/>
      <c r="C53" s="70"/>
      <c r="D53" s="71"/>
      <c r="E53" s="66"/>
      <c r="F53" s="65"/>
      <c r="G53" s="66"/>
      <c r="H53" s="66"/>
      <c r="I53" s="66"/>
      <c r="J53" s="66"/>
      <c r="K53" s="66"/>
      <c r="L53" s="66"/>
      <c r="M53" s="66"/>
      <c r="N53" s="66"/>
    </row>
    <row r="54" spans="1:49">
      <c r="A54" s="66"/>
      <c r="B54" s="70"/>
      <c r="C54" s="70"/>
      <c r="D54" s="71"/>
      <c r="E54" s="66"/>
      <c r="F54" s="65"/>
      <c r="G54" s="66"/>
      <c r="H54" s="66"/>
      <c r="I54" s="66"/>
      <c r="J54" s="66"/>
      <c r="K54" s="66"/>
      <c r="L54" s="66"/>
      <c r="M54" s="66"/>
      <c r="N54" s="66"/>
    </row>
    <row r="55" spans="1:49">
      <c r="A55" s="66"/>
      <c r="B55" s="70"/>
      <c r="C55" s="70"/>
      <c r="D55" s="71"/>
      <c r="E55" s="66"/>
      <c r="F55" s="65"/>
      <c r="G55" s="66"/>
      <c r="H55" s="66"/>
      <c r="I55" s="66"/>
      <c r="J55" s="66"/>
      <c r="K55" s="66"/>
      <c r="L55" s="66"/>
      <c r="M55" s="66"/>
      <c r="N55" s="66"/>
    </row>
    <row r="56" spans="1:49">
      <c r="A56" s="66"/>
      <c r="B56" s="70"/>
      <c r="C56" s="70"/>
      <c r="D56" s="71"/>
      <c r="E56" s="66"/>
      <c r="F56" s="65"/>
      <c r="G56" s="66"/>
      <c r="H56" s="66"/>
      <c r="I56" s="66"/>
      <c r="J56" s="66"/>
      <c r="K56" s="66"/>
      <c r="L56" s="66"/>
      <c r="M56" s="66"/>
      <c r="N56" s="66"/>
    </row>
    <row r="57" spans="1:49">
      <c r="A57" s="66"/>
      <c r="B57" s="70"/>
      <c r="C57" s="70"/>
      <c r="D57" s="71"/>
      <c r="E57" s="66"/>
      <c r="F57" s="65"/>
      <c r="G57" s="66"/>
      <c r="H57" s="66"/>
      <c r="I57" s="66"/>
      <c r="J57" s="66"/>
      <c r="K57" s="66"/>
      <c r="L57" s="66"/>
      <c r="M57" s="66"/>
      <c r="N57" s="66"/>
    </row>
    <row r="58" spans="1:49">
      <c r="A58" s="66"/>
      <c r="B58" s="70"/>
      <c r="C58" s="70"/>
      <c r="D58" s="71"/>
      <c r="E58" s="66"/>
      <c r="F58" s="65"/>
      <c r="G58" s="66"/>
      <c r="H58" s="66"/>
      <c r="I58" s="66"/>
      <c r="J58" s="66"/>
      <c r="K58" s="66"/>
      <c r="L58" s="66"/>
      <c r="M58" s="66"/>
      <c r="N58" s="66"/>
    </row>
    <row r="59" spans="1:49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</row>
    <row r="60" spans="1:49" s="13" customFormat="1">
      <c r="A60" s="9" t="s">
        <v>221</v>
      </c>
    </row>
    <row r="61" spans="1:49" s="14" customFormat="1">
      <c r="A61" s="14" t="s">
        <v>222</v>
      </c>
    </row>
    <row r="62" spans="1:49">
      <c r="B62" s="16" t="s">
        <v>1</v>
      </c>
      <c r="C62" s="16" t="s">
        <v>2</v>
      </c>
      <c r="I62">
        <v>2010</v>
      </c>
      <c r="S62" t="s">
        <v>6</v>
      </c>
      <c r="AC62">
        <v>2030</v>
      </c>
      <c r="AM62">
        <v>2040</v>
      </c>
      <c r="AW62">
        <v>2050</v>
      </c>
    </row>
    <row r="63" spans="1:49">
      <c r="A63" t="s">
        <v>7</v>
      </c>
      <c r="B63" t="s">
        <v>223</v>
      </c>
      <c r="C63" t="s">
        <v>224</v>
      </c>
      <c r="D63" s="21"/>
      <c r="E63" s="21"/>
      <c r="F63" s="21"/>
      <c r="G63" s="21">
        <v>131.04265000000001</v>
      </c>
      <c r="H63" s="21">
        <v>121.707973</v>
      </c>
      <c r="I63" s="21">
        <v>121.85118</v>
      </c>
      <c r="J63" s="21">
        <v>125.035247</v>
      </c>
      <c r="K63" s="21">
        <v>120.07557</v>
      </c>
      <c r="L63" s="21">
        <v>115.579694</v>
      </c>
      <c r="M63" s="21">
        <v>119.42528299999999</v>
      </c>
      <c r="N63" s="21">
        <v>126.59292000000001</v>
      </c>
      <c r="O63" s="21">
        <v>132.99507299999999</v>
      </c>
      <c r="P63" s="21">
        <v>138.991646</v>
      </c>
      <c r="Q63" s="21">
        <v>142.63029299999999</v>
      </c>
      <c r="R63" s="21">
        <v>143.75931600000001</v>
      </c>
      <c r="S63" s="21">
        <v>43.049844</v>
      </c>
      <c r="T63" s="21">
        <v>50.187724000000003</v>
      </c>
    </row>
    <row r="64" spans="1:49" ht="22.5" customHeight="1">
      <c r="A64" t="s">
        <v>215</v>
      </c>
      <c r="B64" t="s">
        <v>225</v>
      </c>
      <c r="C64" t="s">
        <v>224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2"/>
      <c r="AC64">
        <v>0</v>
      </c>
    </row>
    <row r="65" spans="1:49">
      <c r="A65" t="s">
        <v>20</v>
      </c>
      <c r="R65" s="1">
        <v>143.75931600000001</v>
      </c>
      <c r="S65" s="1">
        <v>130.69028727272729</v>
      </c>
      <c r="T65" s="1">
        <v>117.62125854545455</v>
      </c>
      <c r="U65" s="1">
        <v>104.55222981818181</v>
      </c>
      <c r="V65" s="1">
        <v>91.483201090909091</v>
      </c>
      <c r="W65" s="1">
        <v>78.414172363636368</v>
      </c>
      <c r="X65" s="1">
        <v>65.34514363636363</v>
      </c>
      <c r="Y65" s="1">
        <v>52.276114909090907</v>
      </c>
      <c r="Z65" s="1">
        <v>39.207086181818184</v>
      </c>
      <c r="AA65" s="1">
        <v>26.138057454545446</v>
      </c>
      <c r="AB65" s="1">
        <v>13.069028727272723</v>
      </c>
      <c r="AC65" s="1">
        <v>0</v>
      </c>
    </row>
    <row r="66" spans="1:49"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49">
      <c r="A67" t="s">
        <v>132</v>
      </c>
      <c r="B67" s="16"/>
      <c r="C67" s="16"/>
      <c r="D67" s="1">
        <f>AVERAGE(R63-Q63,Q63-P63,P63-O63,O63-N63)</f>
        <v>4.2915990000000015</v>
      </c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49">
      <c r="A68" t="s">
        <v>133</v>
      </c>
      <c r="D68">
        <f>R63/-11</f>
        <v>-13.069028727272729</v>
      </c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49"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49" s="14" customFormat="1">
      <c r="A70" s="14" t="s">
        <v>226</v>
      </c>
    </row>
    <row r="71" spans="1:49">
      <c r="B71" s="16" t="s">
        <v>1</v>
      </c>
      <c r="C71" s="16" t="s">
        <v>2</v>
      </c>
      <c r="I71">
        <v>2010</v>
      </c>
      <c r="S71" t="s">
        <v>6</v>
      </c>
      <c r="AC71">
        <v>2030</v>
      </c>
      <c r="AM71">
        <v>2040</v>
      </c>
      <c r="AW71">
        <v>2050</v>
      </c>
    </row>
    <row r="72" spans="1:49">
      <c r="A72" t="s">
        <v>214</v>
      </c>
      <c r="B72" t="s">
        <v>119</v>
      </c>
      <c r="C72" t="s">
        <v>120</v>
      </c>
      <c r="D72" s="1">
        <f>'T2a. total demand passenger'!D27</f>
        <v>79.662999999999997</v>
      </c>
      <c r="E72" s="1">
        <f>'T2a. total demand passenger'!E27</f>
        <v>83.411000000000001</v>
      </c>
      <c r="F72" s="1">
        <f>'T2a. total demand passenger'!F27</f>
        <v>87.302999999999997</v>
      </c>
      <c r="G72" s="1">
        <f>'T2a. total demand passenger'!G27</f>
        <v>96.610000000000014</v>
      </c>
      <c r="H72" s="1">
        <f>'T2a. total demand passenger'!H27</f>
        <v>103.086</v>
      </c>
      <c r="I72" s="1">
        <f>'T2a. total demand passenger'!I27</f>
        <v>104.85537834343801</v>
      </c>
      <c r="J72" s="1">
        <f>'T2a. total demand passenger'!J27</f>
        <v>103.69534000000002</v>
      </c>
      <c r="K72" s="1">
        <f>'T2a. total demand passenger'!K27</f>
        <v>105.43988</v>
      </c>
      <c r="L72" s="1">
        <f>'T2a. total demand passenger'!L27</f>
        <v>107.30405000000002</v>
      </c>
      <c r="M72" s="1">
        <f>'T2a. total demand passenger'!M27</f>
        <v>106.37969999999999</v>
      </c>
      <c r="N72" s="1">
        <f>'T2a. total demand passenger'!N27</f>
        <v>109.92359999999999</v>
      </c>
      <c r="O72" s="1">
        <f>'T2a. total demand passenger'!O27</f>
        <v>114.31549999999999</v>
      </c>
      <c r="P72" s="1">
        <f>'T2a. total demand passenger'!P27</f>
        <v>124.23454</v>
      </c>
      <c r="Q72" s="1">
        <f>'T2a. total demand passenger'!Q27</f>
        <v>126.07478999999999</v>
      </c>
      <c r="R72" s="1">
        <f>'T2a. total demand passenger'!R27</f>
        <v>132.00773999999998</v>
      </c>
      <c r="S72" s="1">
        <f>'T2a. total demand passenger'!S27</f>
        <v>69.37291585115598</v>
      </c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49">
      <c r="A73" t="s">
        <v>215</v>
      </c>
      <c r="B73" t="s">
        <v>225</v>
      </c>
      <c r="C73" t="s">
        <v>120</v>
      </c>
      <c r="AC73">
        <f>2*N72</f>
        <v>219.84719999999999</v>
      </c>
    </row>
    <row r="74" spans="1:49">
      <c r="A74" t="s">
        <v>227</v>
      </c>
      <c r="B74" t="s">
        <v>225</v>
      </c>
      <c r="C74" t="s">
        <v>120</v>
      </c>
      <c r="AW74">
        <f>3*N72</f>
        <v>329.77080000000001</v>
      </c>
    </row>
    <row r="75" spans="1:49">
      <c r="A75" t="s">
        <v>20</v>
      </c>
      <c r="R75" s="1">
        <v>132.00773999999998</v>
      </c>
      <c r="S75" s="1">
        <v>139.99314545454544</v>
      </c>
      <c r="T75" s="1">
        <v>147.9785509090909</v>
      </c>
      <c r="U75" s="1">
        <v>155.96395636363633</v>
      </c>
      <c r="V75" s="1">
        <v>163.94936181818179</v>
      </c>
      <c r="W75" s="1">
        <v>171.93476727272724</v>
      </c>
      <c r="X75" s="1">
        <v>179.9201727272727</v>
      </c>
      <c r="Y75" s="1">
        <v>187.90557818181816</v>
      </c>
      <c r="Z75" s="1">
        <v>195.89098363636361</v>
      </c>
      <c r="AA75" s="1">
        <v>203.87638909090907</v>
      </c>
      <c r="AB75" s="1">
        <v>211.86179454545453</v>
      </c>
      <c r="AC75" s="1">
        <v>219.84719999999999</v>
      </c>
      <c r="AD75">
        <v>225.34337999999994</v>
      </c>
      <c r="AE75">
        <v>230.83955999999995</v>
      </c>
      <c r="AF75">
        <v>236.33573999999996</v>
      </c>
      <c r="AG75">
        <v>241.83191999999997</v>
      </c>
      <c r="AH75">
        <v>247.32809999999995</v>
      </c>
      <c r="AI75">
        <v>252.82427999999996</v>
      </c>
      <c r="AJ75">
        <v>258.32045999999997</v>
      </c>
      <c r="AK75">
        <v>263.81663999999995</v>
      </c>
      <c r="AL75">
        <v>269.31281999999999</v>
      </c>
      <c r="AM75">
        <v>274.80899999999997</v>
      </c>
      <c r="AN75">
        <v>280.30517999999995</v>
      </c>
      <c r="AO75">
        <v>285.80135999999993</v>
      </c>
      <c r="AP75">
        <v>291.29753999999997</v>
      </c>
      <c r="AQ75">
        <v>296.79371999999995</v>
      </c>
      <c r="AR75">
        <v>302.28989999999999</v>
      </c>
      <c r="AS75">
        <v>307.78607999999997</v>
      </c>
      <c r="AT75">
        <v>313.28225999999995</v>
      </c>
      <c r="AU75">
        <v>318.77843999999993</v>
      </c>
      <c r="AV75">
        <v>324.27461999999997</v>
      </c>
      <c r="AW75">
        <v>329.77079999999995</v>
      </c>
    </row>
    <row r="77" spans="1:49">
      <c r="A77" t="s">
        <v>132</v>
      </c>
      <c r="B77" s="16"/>
      <c r="C77" s="16"/>
      <c r="D77" s="1">
        <f>AVERAGE(R72-Q72,Q72-P72,P72-O72,O72-N72)</f>
        <v>5.5210349999999977</v>
      </c>
    </row>
    <row r="78" spans="1:49">
      <c r="A78" t="s">
        <v>133</v>
      </c>
      <c r="B78" s="16"/>
      <c r="C78" s="16"/>
      <c r="D78" s="1">
        <f>(AC73-R72)/11</f>
        <v>7.9854054545454547</v>
      </c>
      <c r="E78">
        <f>D78/D77</f>
        <v>1.4463602303817051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 spans="1:49">
      <c r="A79" t="s">
        <v>134</v>
      </c>
      <c r="B79" s="16"/>
      <c r="C79" s="16"/>
      <c r="D79" s="1">
        <f>(AW74-AC73)/20</f>
        <v>5.4961800000000007</v>
      </c>
      <c r="E79">
        <f>D79/D77</f>
        <v>0.99549812670993809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49"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7:20"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7:20"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</sheetData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B7274-DCAC-4EC6-9B25-C9974DA9BB7D}">
  <sheetPr>
    <tabColor rgb="FFEFE973"/>
  </sheetPr>
  <dimension ref="A1:AS74"/>
  <sheetViews>
    <sheetView tabSelected="1" topLeftCell="A25" zoomScale="89" zoomScaleNormal="89" workbookViewId="0">
      <selection activeCell="F56" sqref="F56"/>
    </sheetView>
  </sheetViews>
  <sheetFormatPr defaultRowHeight="15"/>
  <cols>
    <col min="1" max="1" width="29.85546875" bestFit="1" customWidth="1"/>
    <col min="2" max="2" width="36.85546875" customWidth="1"/>
    <col min="3" max="3" width="9.140625" customWidth="1"/>
  </cols>
  <sheetData>
    <row r="1" spans="1:45" s="13" customFormat="1">
      <c r="A1" s="9" t="s">
        <v>228</v>
      </c>
    </row>
    <row r="2" spans="1:45">
      <c r="B2" s="16" t="s">
        <v>1</v>
      </c>
      <c r="C2" s="16" t="s">
        <v>2</v>
      </c>
      <c r="D2">
        <v>2005</v>
      </c>
      <c r="I2">
        <v>2010</v>
      </c>
      <c r="N2">
        <v>2015</v>
      </c>
      <c r="S2" t="s">
        <v>6</v>
      </c>
      <c r="X2">
        <v>2025</v>
      </c>
      <c r="AC2">
        <v>2030</v>
      </c>
      <c r="AG2">
        <v>2035</v>
      </c>
    </row>
    <row r="3" spans="1:45">
      <c r="A3" t="s">
        <v>229</v>
      </c>
      <c r="B3" t="s">
        <v>230</v>
      </c>
      <c r="C3" t="s">
        <v>231</v>
      </c>
      <c r="D3" s="21">
        <v>162.4</v>
      </c>
      <c r="E3" s="21">
        <v>161.30000000000001</v>
      </c>
      <c r="F3" s="21">
        <v>158.69999999999999</v>
      </c>
      <c r="G3" s="21">
        <v>153.5</v>
      </c>
      <c r="H3" s="21">
        <v>145.69999999999999</v>
      </c>
      <c r="I3" s="21">
        <v>140.30000000000001</v>
      </c>
      <c r="J3" s="21">
        <v>135.69999999999999</v>
      </c>
      <c r="K3" s="21">
        <v>132.19999999999999</v>
      </c>
      <c r="L3" s="21">
        <v>126.7</v>
      </c>
      <c r="M3" s="21">
        <v>123.4</v>
      </c>
      <c r="N3" s="21">
        <v>119.5</v>
      </c>
      <c r="O3" s="21">
        <v>118.1</v>
      </c>
      <c r="P3" s="21">
        <v>118.5</v>
      </c>
      <c r="Q3" s="21">
        <v>120.8</v>
      </c>
      <c r="R3" s="21">
        <v>122.3</v>
      </c>
      <c r="S3" s="21">
        <v>107.5</v>
      </c>
      <c r="V3" s="1"/>
      <c r="W3" s="1"/>
      <c r="X3" s="1"/>
      <c r="Y3" s="1"/>
      <c r="Z3" s="1"/>
      <c r="AA3" s="1"/>
      <c r="AB3" s="1"/>
      <c r="AC3" s="1"/>
    </row>
    <row r="4" spans="1:45">
      <c r="A4" t="s">
        <v>232</v>
      </c>
      <c r="B4" t="s">
        <v>230</v>
      </c>
      <c r="C4" t="s">
        <v>231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>
        <v>130.30000000000001</v>
      </c>
      <c r="T4" s="1">
        <v>114.1</v>
      </c>
      <c r="U4" s="1">
        <v>108.2</v>
      </c>
      <c r="V4" s="1"/>
      <c r="W4" s="1"/>
      <c r="X4" s="1"/>
      <c r="Y4" s="1"/>
      <c r="Z4" s="1"/>
      <c r="AA4" s="1"/>
      <c r="AB4" s="1"/>
      <c r="AC4" s="1"/>
    </row>
    <row r="5" spans="1:45">
      <c r="A5" t="s">
        <v>233</v>
      </c>
      <c r="B5" t="s">
        <v>234</v>
      </c>
      <c r="C5" t="s">
        <v>231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1">
        <v>130</v>
      </c>
      <c r="O5" s="1"/>
      <c r="P5" s="1"/>
      <c r="Q5" s="1"/>
      <c r="R5" s="1"/>
      <c r="S5" s="1">
        <v>95</v>
      </c>
      <c r="T5" s="1"/>
      <c r="U5" s="1"/>
      <c r="V5" s="1"/>
      <c r="W5" s="1"/>
      <c r="X5" s="1">
        <v>80.8</v>
      </c>
      <c r="Y5" s="1"/>
      <c r="Z5" s="1"/>
      <c r="AA5" s="1"/>
      <c r="AB5" s="1"/>
      <c r="AC5" s="1">
        <v>59.4</v>
      </c>
      <c r="AD5" s="1"/>
      <c r="AE5" s="1"/>
      <c r="AF5" s="1"/>
    </row>
    <row r="6" spans="1:45">
      <c r="A6" t="s">
        <v>235</v>
      </c>
      <c r="B6" t="s">
        <v>236</v>
      </c>
      <c r="C6" t="s">
        <v>231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X6">
        <v>93.3</v>
      </c>
      <c r="AC6" s="1">
        <v>49</v>
      </c>
      <c r="AD6" s="1"/>
      <c r="AE6" s="1"/>
      <c r="AF6" s="1"/>
      <c r="AG6" s="1">
        <v>0</v>
      </c>
    </row>
    <row r="7" spans="1:45"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AC7" s="2"/>
      <c r="AS7" s="2"/>
    </row>
    <row r="8" spans="1:45">
      <c r="A8" t="s">
        <v>28</v>
      </c>
      <c r="D8" s="1">
        <f>AVERAGE(U4-T4,T4-S4,S3-R3,R3-Q3)</f>
        <v>-8.8500000000000014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AC8" s="2"/>
      <c r="AS8" s="2"/>
    </row>
    <row r="9" spans="1:45">
      <c r="A9" t="s">
        <v>237</v>
      </c>
      <c r="D9" s="1">
        <f>(AC6-U4)/8</f>
        <v>-7.4</v>
      </c>
      <c r="E9" s="1">
        <f>D9/D8</f>
        <v>0.83615819209039544</v>
      </c>
      <c r="F9" s="1"/>
      <c r="G9" s="27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AC9" s="2"/>
      <c r="AS9" s="2"/>
    </row>
    <row r="10" spans="1:45">
      <c r="A10" t="s">
        <v>238</v>
      </c>
      <c r="D10" s="1">
        <f>AC6/-5</f>
        <v>-9.8000000000000007</v>
      </c>
      <c r="E10" s="27">
        <f>D10/D8</f>
        <v>1.1073446327683616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AC10" s="2"/>
      <c r="AS10" s="2"/>
    </row>
    <row r="11" spans="1:45">
      <c r="D11" s="1"/>
      <c r="E11" s="27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AC11" s="2"/>
      <c r="AS11" s="2"/>
    </row>
    <row r="12" spans="1:45">
      <c r="A12" s="72" t="s">
        <v>239</v>
      </c>
      <c r="B12" s="66"/>
      <c r="C12" s="66"/>
      <c r="D12" s="71"/>
      <c r="E12" s="73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AC12" s="2"/>
      <c r="AS12" s="2"/>
    </row>
    <row r="13" spans="1:45">
      <c r="A13" s="66"/>
      <c r="B13" s="66"/>
      <c r="C13" s="66"/>
      <c r="D13" s="71"/>
      <c r="E13" s="73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AC13" s="2"/>
      <c r="AS13" s="2"/>
    </row>
    <row r="14" spans="1:45">
      <c r="A14" s="66"/>
      <c r="B14" s="66"/>
      <c r="C14" s="66"/>
      <c r="D14" s="71"/>
      <c r="E14" s="73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AC14" s="2"/>
      <c r="AS14" s="2"/>
    </row>
    <row r="15" spans="1:45">
      <c r="A15" s="66"/>
      <c r="B15" s="66"/>
      <c r="C15" s="66"/>
      <c r="D15" s="71"/>
      <c r="E15" s="73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AC15" s="2"/>
      <c r="AS15" s="2"/>
    </row>
    <row r="16" spans="1:45">
      <c r="A16" s="66"/>
      <c r="B16" s="66"/>
      <c r="C16" s="66"/>
      <c r="D16" s="71"/>
      <c r="E16" s="73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AC16" s="2"/>
      <c r="AS16" s="2"/>
    </row>
    <row r="17" spans="1:45">
      <c r="A17" s="66"/>
      <c r="B17" s="66"/>
      <c r="C17" s="66"/>
      <c r="D17" s="71"/>
      <c r="E17" s="73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AC17" s="2"/>
      <c r="AS17" s="2"/>
    </row>
    <row r="18" spans="1:45">
      <c r="A18" s="66"/>
      <c r="B18" s="66"/>
      <c r="C18" s="66"/>
      <c r="D18" s="71"/>
      <c r="E18" s="73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AC18" s="2"/>
      <c r="AS18" s="2"/>
    </row>
    <row r="19" spans="1:45">
      <c r="A19" s="66"/>
      <c r="B19" s="66"/>
      <c r="C19" s="66"/>
      <c r="D19" s="71"/>
      <c r="E19" s="73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AC19" s="2"/>
      <c r="AS19" s="2"/>
    </row>
    <row r="20" spans="1:45">
      <c r="A20" s="66"/>
      <c r="B20" s="66"/>
      <c r="C20" s="66"/>
      <c r="D20" s="71"/>
      <c r="E20" s="73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AC20" s="2"/>
      <c r="AS20" s="2"/>
    </row>
    <row r="21" spans="1:45">
      <c r="A21" s="66"/>
      <c r="B21" s="66"/>
      <c r="C21" s="66"/>
      <c r="D21" s="71"/>
      <c r="E21" s="73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AC21" s="2"/>
      <c r="AS21" s="2"/>
    </row>
    <row r="22" spans="1:45">
      <c r="A22" s="66"/>
      <c r="B22" s="66"/>
      <c r="C22" s="66"/>
      <c r="D22" s="71"/>
      <c r="E22" s="73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AC22" s="2"/>
      <c r="AS22" s="2"/>
    </row>
    <row r="23" spans="1:45">
      <c r="A23" s="66"/>
      <c r="B23" s="66"/>
      <c r="C23" s="66"/>
      <c r="D23" s="71"/>
      <c r="E23" s="73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AC23" s="2"/>
      <c r="AS23" s="2"/>
    </row>
    <row r="24" spans="1:45">
      <c r="A24" s="66"/>
      <c r="B24" s="66"/>
      <c r="C24" s="66"/>
      <c r="D24" s="71"/>
      <c r="E24" s="73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AC24" s="2"/>
      <c r="AS24" s="2"/>
    </row>
    <row r="25" spans="1:45">
      <c r="A25" s="66"/>
      <c r="B25" s="66"/>
      <c r="C25" s="66"/>
      <c r="D25" s="71"/>
      <c r="E25" s="73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AC25" s="2"/>
      <c r="AS25" s="2"/>
    </row>
    <row r="26" spans="1:45">
      <c r="A26" s="66"/>
      <c r="B26" s="66"/>
      <c r="C26" s="66"/>
      <c r="D26" s="71"/>
      <c r="E26" s="7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AC26" s="2"/>
      <c r="AS26" s="2"/>
    </row>
    <row r="27" spans="1:45">
      <c r="A27" s="66"/>
      <c r="B27" s="66"/>
      <c r="C27" s="66"/>
      <c r="D27" s="71"/>
      <c r="E27" s="7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AC27" s="2"/>
      <c r="AS27" s="2"/>
    </row>
    <row r="28" spans="1:45">
      <c r="A28" s="66"/>
      <c r="B28" s="66"/>
      <c r="C28" s="66"/>
      <c r="D28" s="71"/>
      <c r="E28" s="7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AC28" s="2"/>
      <c r="AS28" s="2"/>
    </row>
    <row r="29" spans="1:45">
      <c r="A29" s="66"/>
      <c r="B29" s="66"/>
      <c r="C29" s="66"/>
      <c r="D29" s="71"/>
      <c r="E29" s="7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AC29" s="2"/>
      <c r="AS29" s="2"/>
    </row>
    <row r="30" spans="1:45">
      <c r="A30" s="66"/>
      <c r="B30" s="66"/>
      <c r="C30" s="66"/>
      <c r="D30" s="71"/>
      <c r="E30" s="7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AC30" s="2"/>
      <c r="AS30" s="2"/>
    </row>
    <row r="31" spans="1:45">
      <c r="A31" s="72" t="s">
        <v>240</v>
      </c>
      <c r="B31" s="66"/>
      <c r="C31" s="66"/>
      <c r="D31" s="71"/>
      <c r="E31" s="7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AC31" s="2"/>
      <c r="AS31" s="2"/>
    </row>
    <row r="32" spans="1:45"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AC32" s="2"/>
      <c r="AS32" s="2"/>
    </row>
    <row r="33" spans="1:33" s="13" customFormat="1">
      <c r="A33" s="9" t="s">
        <v>241</v>
      </c>
    </row>
    <row r="34" spans="1:33">
      <c r="B34" s="16" t="s">
        <v>1</v>
      </c>
      <c r="C34" s="16" t="s">
        <v>2</v>
      </c>
      <c r="D34">
        <v>2005</v>
      </c>
      <c r="I34">
        <v>2010</v>
      </c>
      <c r="N34">
        <v>2015</v>
      </c>
      <c r="S34" t="s">
        <v>6</v>
      </c>
      <c r="X34">
        <v>2025</v>
      </c>
      <c r="AC34">
        <v>2030</v>
      </c>
      <c r="AG34">
        <v>2035</v>
      </c>
    </row>
    <row r="35" spans="1:33">
      <c r="A35" t="s">
        <v>229</v>
      </c>
      <c r="B35" t="s">
        <v>230</v>
      </c>
      <c r="C35" t="s">
        <v>231</v>
      </c>
      <c r="D35" s="21"/>
      <c r="E35" s="21"/>
      <c r="F35" s="21"/>
      <c r="G35" s="21"/>
      <c r="H35" s="21"/>
      <c r="I35" s="21"/>
      <c r="J35" s="21"/>
      <c r="K35">
        <v>180.2</v>
      </c>
      <c r="L35">
        <v>173.3</v>
      </c>
      <c r="M35">
        <v>169.1</v>
      </c>
      <c r="N35">
        <v>168.3</v>
      </c>
      <c r="O35">
        <v>163.69999999999999</v>
      </c>
      <c r="P35">
        <v>156.1</v>
      </c>
      <c r="Q35">
        <v>157.9</v>
      </c>
      <c r="R35">
        <v>158</v>
      </c>
      <c r="S35">
        <v>155</v>
      </c>
    </row>
    <row r="36" spans="1:33">
      <c r="A36" t="s">
        <v>232</v>
      </c>
      <c r="B36" t="s">
        <v>230</v>
      </c>
      <c r="C36" t="s">
        <v>231</v>
      </c>
      <c r="D36" s="21"/>
      <c r="E36" s="21"/>
      <c r="F36" s="21"/>
      <c r="G36" s="21"/>
      <c r="H36" s="21"/>
      <c r="I36" s="21"/>
      <c r="J36" s="21"/>
      <c r="R36">
        <v>188</v>
      </c>
      <c r="S36">
        <v>200</v>
      </c>
      <c r="T36">
        <v>194</v>
      </c>
      <c r="U36">
        <v>185.3</v>
      </c>
    </row>
    <row r="37" spans="1:33">
      <c r="A37" t="s">
        <v>242</v>
      </c>
      <c r="B37" t="s">
        <v>234</v>
      </c>
      <c r="C37" t="s">
        <v>231</v>
      </c>
      <c r="D37" s="21"/>
      <c r="E37" s="21"/>
      <c r="F37" s="21"/>
      <c r="G37" s="21"/>
      <c r="H37" s="21"/>
      <c r="I37" s="21"/>
      <c r="J37" s="21"/>
      <c r="P37">
        <v>175</v>
      </c>
      <c r="S37">
        <v>147</v>
      </c>
      <c r="X37">
        <v>125</v>
      </c>
      <c r="AC37">
        <v>103</v>
      </c>
      <c r="AD37" s="1"/>
      <c r="AE37" s="1"/>
      <c r="AF37" s="1"/>
    </row>
    <row r="38" spans="1:33" ht="11.25" customHeight="1">
      <c r="A38" t="s">
        <v>243</v>
      </c>
      <c r="B38" t="s">
        <v>236</v>
      </c>
      <c r="C38" t="s">
        <v>231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AC38" s="1">
        <f>0.5*S35</f>
        <v>77.5</v>
      </c>
      <c r="AD38" s="1"/>
      <c r="AE38" s="1"/>
      <c r="AF38" s="1"/>
      <c r="AG38" s="1">
        <v>0</v>
      </c>
    </row>
    <row r="39" spans="1:33">
      <c r="B39" s="16"/>
      <c r="D39" s="1"/>
    </row>
    <row r="40" spans="1:33">
      <c r="A40" t="s">
        <v>28</v>
      </c>
      <c r="D40" s="1">
        <f>AVERAGE(U36-T36,T36-S36,S36-R36,R35-Q35)</f>
        <v>-0.64999999999999858</v>
      </c>
    </row>
    <row r="41" spans="1:33">
      <c r="A41" t="s">
        <v>237</v>
      </c>
      <c r="D41" s="1">
        <f>(AC37-U36)/8</f>
        <v>-10.287500000000001</v>
      </c>
    </row>
    <row r="42" spans="1:33">
      <c r="A42" t="s">
        <v>238</v>
      </c>
      <c r="D42" s="1">
        <f>AC38/-5</f>
        <v>-15.5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4" spans="1:33">
      <c r="A44" s="72" t="s">
        <v>244</v>
      </c>
      <c r="B44" s="66"/>
      <c r="C44" s="66"/>
      <c r="D44" s="66"/>
      <c r="E44" s="66"/>
      <c r="F44" s="66"/>
    </row>
    <row r="45" spans="1:33">
      <c r="A45" s="66"/>
      <c r="B45" s="66"/>
      <c r="C45" s="66"/>
      <c r="D45" s="66"/>
      <c r="E45" s="66"/>
      <c r="F45" s="66"/>
    </row>
    <row r="46" spans="1:33">
      <c r="A46" s="66"/>
      <c r="B46" s="66"/>
      <c r="C46" s="66"/>
      <c r="D46" s="66"/>
      <c r="E46" s="66"/>
      <c r="F46" s="66"/>
    </row>
    <row r="47" spans="1:33">
      <c r="A47" s="66"/>
      <c r="B47" s="66"/>
      <c r="C47" s="66"/>
      <c r="D47" s="66"/>
      <c r="E47" s="66"/>
      <c r="F47" s="66"/>
    </row>
    <row r="48" spans="1:33">
      <c r="A48" s="66"/>
      <c r="B48" s="66"/>
      <c r="C48" s="66"/>
      <c r="D48" s="66"/>
      <c r="E48" s="66"/>
      <c r="F48" s="66"/>
    </row>
    <row r="49" spans="1:6">
      <c r="A49" s="66"/>
      <c r="B49" s="66"/>
      <c r="C49" s="66"/>
      <c r="D49" s="66"/>
      <c r="E49" s="66"/>
      <c r="F49" s="66"/>
    </row>
    <row r="50" spans="1:6">
      <c r="A50" s="66"/>
      <c r="B50" s="66"/>
      <c r="C50" s="66"/>
      <c r="D50" s="66"/>
      <c r="E50" s="66"/>
      <c r="F50" s="66"/>
    </row>
    <row r="51" spans="1:6">
      <c r="A51" s="66"/>
      <c r="B51" s="66"/>
      <c r="C51" s="66"/>
      <c r="D51" s="66"/>
      <c r="E51" s="66"/>
      <c r="F51" s="66"/>
    </row>
    <row r="52" spans="1:6">
      <c r="A52" s="66"/>
      <c r="B52" s="66"/>
      <c r="C52" s="66"/>
      <c r="D52" s="66"/>
      <c r="E52" s="66"/>
      <c r="F52" s="66"/>
    </row>
    <row r="53" spans="1:6">
      <c r="A53" s="66"/>
      <c r="B53" s="66"/>
      <c r="C53" s="66"/>
      <c r="D53" s="66"/>
      <c r="E53" s="66"/>
      <c r="F53" s="66"/>
    </row>
    <row r="54" spans="1:6">
      <c r="A54" s="66"/>
      <c r="B54" s="66"/>
      <c r="C54" s="66"/>
      <c r="D54" s="66"/>
      <c r="E54" s="66"/>
      <c r="F54" s="66"/>
    </row>
    <row r="55" spans="1:6">
      <c r="A55" s="66"/>
      <c r="B55" s="66"/>
      <c r="C55" s="66"/>
      <c r="D55" s="66"/>
      <c r="E55" s="66"/>
      <c r="F55" s="66"/>
    </row>
    <row r="56" spans="1:6">
      <c r="A56" s="66"/>
      <c r="B56" s="66"/>
      <c r="C56" s="66"/>
      <c r="D56" s="66"/>
      <c r="E56" s="66"/>
      <c r="F56" s="66"/>
    </row>
    <row r="57" spans="1:6">
      <c r="A57" s="66"/>
      <c r="B57" s="66"/>
      <c r="C57" s="66"/>
      <c r="D57" s="66"/>
      <c r="E57" s="66"/>
      <c r="F57" s="66"/>
    </row>
    <row r="58" spans="1:6">
      <c r="A58" s="66"/>
      <c r="B58" s="66"/>
      <c r="C58" s="66"/>
      <c r="D58" s="66"/>
      <c r="E58" s="66"/>
      <c r="F58" s="66"/>
    </row>
    <row r="59" spans="1:6">
      <c r="A59" s="66"/>
      <c r="B59" s="66"/>
      <c r="C59" s="66"/>
      <c r="D59" s="66"/>
      <c r="E59" s="66"/>
      <c r="F59" s="66"/>
    </row>
    <row r="60" spans="1:6">
      <c r="A60" s="66"/>
      <c r="B60" s="66"/>
      <c r="C60" s="66"/>
      <c r="D60" s="66"/>
      <c r="E60" s="66"/>
      <c r="F60" s="66"/>
    </row>
    <row r="61" spans="1:6">
      <c r="A61" s="66"/>
      <c r="B61" s="66"/>
      <c r="C61" s="66"/>
      <c r="D61" s="66"/>
      <c r="E61" s="66"/>
      <c r="F61" s="66"/>
    </row>
    <row r="62" spans="1:6">
      <c r="A62" s="66"/>
      <c r="B62" s="66"/>
      <c r="C62" s="66"/>
      <c r="D62" s="66"/>
      <c r="E62" s="66"/>
      <c r="F62" s="66"/>
    </row>
    <row r="63" spans="1:6">
      <c r="A63" s="66"/>
      <c r="B63" s="66"/>
      <c r="C63" s="66"/>
      <c r="D63" s="66"/>
      <c r="E63" s="66"/>
      <c r="F63" s="66"/>
    </row>
    <row r="66" spans="1:38" s="13" customFormat="1">
      <c r="A66" s="9" t="s">
        <v>245</v>
      </c>
    </row>
    <row r="67" spans="1:38">
      <c r="B67" s="16" t="s">
        <v>1</v>
      </c>
      <c r="C67" s="16" t="s">
        <v>2</v>
      </c>
      <c r="D67">
        <v>2005</v>
      </c>
      <c r="I67">
        <v>2010</v>
      </c>
      <c r="N67">
        <v>2015</v>
      </c>
      <c r="S67" t="s">
        <v>6</v>
      </c>
      <c r="X67">
        <v>2025</v>
      </c>
      <c r="AC67">
        <v>2030</v>
      </c>
      <c r="AG67">
        <v>2035</v>
      </c>
      <c r="AL67">
        <v>2040</v>
      </c>
    </row>
    <row r="68" spans="1:38">
      <c r="A68" t="s">
        <v>214</v>
      </c>
      <c r="B68" t="s">
        <v>230</v>
      </c>
      <c r="C68" t="s">
        <v>246</v>
      </c>
      <c r="D68" s="21"/>
      <c r="E68" s="21"/>
      <c r="F68" s="21"/>
      <c r="G68" s="21"/>
      <c r="H68" s="21"/>
      <c r="I68" s="21"/>
      <c r="J68" s="21"/>
      <c r="R68">
        <v>52.75</v>
      </c>
    </row>
    <row r="69" spans="1:38">
      <c r="A69" t="s">
        <v>242</v>
      </c>
      <c r="B69" t="s">
        <v>247</v>
      </c>
      <c r="C69" t="s">
        <v>246</v>
      </c>
      <c r="D69" s="21"/>
      <c r="E69" s="21"/>
      <c r="F69" s="21"/>
      <c r="G69" s="21"/>
      <c r="H69" s="21"/>
      <c r="I69" s="21"/>
      <c r="J69" s="21"/>
      <c r="X69">
        <f>0.85*R68</f>
        <v>44.837499999999999</v>
      </c>
      <c r="AC69">
        <f>0.7*R68</f>
        <v>36.924999999999997</v>
      </c>
      <c r="AD69" s="1"/>
      <c r="AE69" s="1"/>
      <c r="AF69" s="1"/>
    </row>
    <row r="70" spans="1:38">
      <c r="A70" t="s">
        <v>243</v>
      </c>
      <c r="B70" t="s">
        <v>248</v>
      </c>
      <c r="C70" t="s">
        <v>246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X70">
        <f>0.85*R68</f>
        <v>44.837499999999999</v>
      </c>
      <c r="AC70" s="1">
        <f>0.55*R68</f>
        <v>29.012500000000003</v>
      </c>
      <c r="AD70" s="1"/>
      <c r="AE70" s="1"/>
      <c r="AF70" s="1"/>
      <c r="AG70" s="1">
        <f>0.35*R68</f>
        <v>18.462499999999999</v>
      </c>
      <c r="AL70">
        <f>0.1*R68</f>
        <v>5.2750000000000004</v>
      </c>
    </row>
    <row r="71" spans="1:38">
      <c r="D71" s="1"/>
    </row>
    <row r="72" spans="1:38">
      <c r="A72" t="s">
        <v>249</v>
      </c>
      <c r="D72" s="1">
        <f>(AC70-R68)/11</f>
        <v>-2.1579545454545452</v>
      </c>
    </row>
    <row r="73" spans="1:38">
      <c r="A73" t="s">
        <v>250</v>
      </c>
      <c r="D73" s="1">
        <f>(AL70-AC70)/10</f>
        <v>-2.3737500000000002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38">
      <c r="AC74" s="6"/>
    </row>
  </sheetData>
  <pageMargins left="0.7" right="0.7" top="0.75" bottom="0.75" header="0.3" footer="0.3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5091B-5E0E-4048-A25F-9E3CE1398C58}">
  <sheetPr>
    <tabColor rgb="FFEFE973"/>
    <outlinePr summaryBelow="0"/>
  </sheetPr>
  <dimension ref="A2:AS107"/>
  <sheetViews>
    <sheetView topLeftCell="A78" zoomScale="145" zoomScaleNormal="145" workbookViewId="0">
      <selection activeCell="A90" sqref="A90:A91"/>
    </sheetView>
  </sheetViews>
  <sheetFormatPr defaultRowHeight="15" outlineLevelRow="1"/>
  <cols>
    <col min="1" max="1" width="29.85546875" bestFit="1" customWidth="1"/>
    <col min="2" max="2" width="36.85546875" customWidth="1"/>
    <col min="3" max="9" width="9.140625" customWidth="1"/>
    <col min="10" max="10" width="10.140625" customWidth="1"/>
    <col min="11" max="13" width="9.140625" customWidth="1"/>
    <col min="14" max="18" width="10.140625" bestFit="1" customWidth="1"/>
    <col min="33" max="33" width="10.5703125" bestFit="1" customWidth="1"/>
  </cols>
  <sheetData>
    <row r="2" spans="1:22">
      <c r="A2" s="72" t="s">
        <v>251</v>
      </c>
      <c r="B2" s="66"/>
      <c r="C2" s="66"/>
      <c r="D2" s="66"/>
      <c r="E2" s="66"/>
      <c r="F2" s="66"/>
      <c r="G2" s="66"/>
      <c r="H2" s="66"/>
      <c r="I2" s="66"/>
      <c r="J2" s="66"/>
      <c r="K2" s="72" t="s">
        <v>252</v>
      </c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</row>
    <row r="3" spans="1:22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</row>
    <row r="4" spans="1:22">
      <c r="A4" s="66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</row>
    <row r="5" spans="1:22">
      <c r="A5" s="66"/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</row>
    <row r="6" spans="1:22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</row>
    <row r="7" spans="1:22">
      <c r="A7" s="66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</row>
    <row r="8" spans="1:22">
      <c r="A8" s="66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</row>
    <row r="9" spans="1:22">
      <c r="A9" s="66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</row>
    <row r="10" spans="1:22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</row>
    <row r="11" spans="1:22">
      <c r="A11" s="66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</row>
    <row r="12" spans="1:22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</row>
    <row r="13" spans="1:22">
      <c r="A13" s="66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</row>
    <row r="14" spans="1:22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</row>
    <row r="15" spans="1:22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</row>
    <row r="16" spans="1:22">
      <c r="A16" s="66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</row>
    <row r="17" spans="1:45">
      <c r="A17" s="66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</row>
    <row r="18" spans="1:45">
      <c r="A18" s="66"/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</row>
    <row r="22" spans="1:45" s="13" customFormat="1">
      <c r="A22" s="9" t="s">
        <v>228</v>
      </c>
    </row>
    <row r="23" spans="1:45" s="14" customFormat="1">
      <c r="A23" s="25" t="s">
        <v>253</v>
      </c>
    </row>
    <row r="24" spans="1:45">
      <c r="B24" s="16" t="s">
        <v>1</v>
      </c>
      <c r="C24" s="16" t="s">
        <v>2</v>
      </c>
      <c r="D24">
        <v>2005</v>
      </c>
      <c r="I24">
        <v>2010</v>
      </c>
      <c r="N24">
        <v>2015</v>
      </c>
      <c r="S24" t="s">
        <v>6</v>
      </c>
      <c r="X24">
        <v>2025</v>
      </c>
      <c r="AC24">
        <v>2030</v>
      </c>
      <c r="AG24">
        <v>2035</v>
      </c>
    </row>
    <row r="25" spans="1:45">
      <c r="A25" t="s">
        <v>254</v>
      </c>
      <c r="B25" t="s">
        <v>255</v>
      </c>
      <c r="C25" t="s">
        <v>256</v>
      </c>
      <c r="D25" s="21"/>
      <c r="E25" s="21"/>
      <c r="F25" s="21"/>
      <c r="G25" s="21"/>
      <c r="H25" s="21"/>
      <c r="I25" s="2">
        <f>I45</f>
        <v>1E-4</v>
      </c>
      <c r="J25" s="2">
        <f t="shared" ref="J25:T25" si="0">J45</f>
        <v>7.000000000000001E-4</v>
      </c>
      <c r="K25" s="2">
        <f t="shared" si="0"/>
        <v>1.2999999999999999E-3</v>
      </c>
      <c r="L25" s="2">
        <f t="shared" si="0"/>
        <v>2.2000000000000001E-3</v>
      </c>
      <c r="M25" s="2">
        <f t="shared" si="0"/>
        <v>3.3E-3</v>
      </c>
      <c r="N25" s="2">
        <f t="shared" si="0"/>
        <v>4.5999999999999999E-3</v>
      </c>
      <c r="O25" s="2">
        <f t="shared" si="0"/>
        <v>4.6999999999999993E-3</v>
      </c>
      <c r="P25" s="2">
        <f t="shared" si="0"/>
        <v>6.8000000000000005E-3</v>
      </c>
      <c r="Q25" s="2">
        <f t="shared" si="0"/>
        <v>1.06E-2</v>
      </c>
      <c r="R25" s="2">
        <f t="shared" si="0"/>
        <v>1.9E-2</v>
      </c>
      <c r="S25" s="2">
        <f t="shared" si="0"/>
        <v>5.3900000000000003E-2</v>
      </c>
      <c r="T25" s="2">
        <f t="shared" si="0"/>
        <v>8.8700000000000001E-2</v>
      </c>
      <c r="U25" s="2">
        <f>U45</f>
        <v>0.1341</v>
      </c>
      <c r="V25" s="1"/>
      <c r="W25" s="1"/>
      <c r="X25" s="1"/>
      <c r="Y25" s="1"/>
      <c r="Z25" s="1"/>
      <c r="AA25" s="1"/>
      <c r="AB25" s="1"/>
      <c r="AC25" s="1"/>
    </row>
    <row r="26" spans="1:45">
      <c r="A26" t="s">
        <v>257</v>
      </c>
      <c r="B26" t="s">
        <v>255</v>
      </c>
      <c r="C26" t="s">
        <v>256</v>
      </c>
      <c r="D26" s="21"/>
      <c r="E26" s="21"/>
      <c r="F26" s="21"/>
      <c r="G26" s="21"/>
      <c r="H26" s="21"/>
      <c r="I26" s="2">
        <f t="shared" ref="I26:U26" si="1">I48+I25</f>
        <v>4.5700000000000005E-2</v>
      </c>
      <c r="J26" s="2">
        <f t="shared" si="1"/>
        <v>2.5399999999999999E-2</v>
      </c>
      <c r="K26" s="2">
        <f t="shared" si="1"/>
        <v>3.85E-2</v>
      </c>
      <c r="L26" s="2">
        <f t="shared" si="1"/>
        <v>3.4700000000000002E-2</v>
      </c>
      <c r="M26" s="2">
        <f t="shared" si="1"/>
        <v>3.5799999999999998E-2</v>
      </c>
      <c r="N26" s="2">
        <f t="shared" si="1"/>
        <v>3.7699999999999997E-2</v>
      </c>
      <c r="O26" s="2">
        <f t="shared" si="1"/>
        <v>3.2899999999999999E-2</v>
      </c>
      <c r="P26" s="2">
        <f t="shared" si="1"/>
        <v>3.6999999999999998E-2</v>
      </c>
      <c r="Q26" s="2">
        <f t="shared" si="1"/>
        <v>3.6699999999999997E-2</v>
      </c>
      <c r="R26" s="2">
        <f t="shared" si="1"/>
        <v>4.8100000000000004E-2</v>
      </c>
      <c r="S26" s="2">
        <f t="shared" si="1"/>
        <v>0.1255</v>
      </c>
      <c r="T26" s="2">
        <f t="shared" si="1"/>
        <v>0.19919999999999999</v>
      </c>
      <c r="U26" s="2">
        <f t="shared" si="1"/>
        <v>0.2596</v>
      </c>
      <c r="V26" s="1"/>
      <c r="W26" s="1"/>
      <c r="X26" s="1"/>
      <c r="Y26" s="1"/>
      <c r="Z26" s="1"/>
      <c r="AA26" s="1"/>
      <c r="AB26" s="1"/>
      <c r="AC26" s="1"/>
    </row>
    <row r="27" spans="1:45">
      <c r="A27" t="s">
        <v>258</v>
      </c>
      <c r="B27" t="s">
        <v>236</v>
      </c>
      <c r="C27" t="s">
        <v>256</v>
      </c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5">
        <v>1</v>
      </c>
    </row>
    <row r="28" spans="1:45">
      <c r="A28" t="s">
        <v>20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U28" s="5">
        <v>0.1341</v>
      </c>
      <c r="V28" s="5">
        <v>0.20625833333333335</v>
      </c>
      <c r="W28" s="5">
        <v>0.2784166666666667</v>
      </c>
      <c r="X28" s="5">
        <v>0.35057500000000003</v>
      </c>
      <c r="Y28" s="5">
        <v>0.42273333333333335</v>
      </c>
      <c r="Z28" s="5">
        <v>0.49489166666666673</v>
      </c>
      <c r="AA28" s="5">
        <v>0.56705000000000005</v>
      </c>
      <c r="AB28" s="5">
        <v>0.63920833333333338</v>
      </c>
      <c r="AC28" s="5">
        <v>0.7113666666666667</v>
      </c>
      <c r="AD28" s="5">
        <v>0.78352500000000003</v>
      </c>
      <c r="AE28" s="5">
        <v>0.85568333333333335</v>
      </c>
      <c r="AF28" s="5">
        <v>0.92784166666666679</v>
      </c>
      <c r="AG28" s="5">
        <v>1</v>
      </c>
    </row>
    <row r="29" spans="1:45">
      <c r="B29" t="s">
        <v>259</v>
      </c>
      <c r="C29" t="s">
        <v>260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AC29" s="2"/>
      <c r="AS29" s="2"/>
    </row>
    <row r="30" spans="1:45">
      <c r="A30" t="s">
        <v>28</v>
      </c>
      <c r="B30" s="28">
        <f>AVERAGE(U25-T25,T25-S25,S25-R25,R25-Q25)</f>
        <v>3.0875E-2</v>
      </c>
      <c r="C30" s="5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5"/>
      <c r="R30" s="5"/>
      <c r="S30" s="5"/>
      <c r="T30" s="5"/>
      <c r="U30" s="5"/>
      <c r="AC30" s="2"/>
      <c r="AS30" s="2"/>
    </row>
    <row r="31" spans="1:45">
      <c r="A31" t="s">
        <v>261</v>
      </c>
      <c r="B31" s="5">
        <f>V28-U28</f>
        <v>7.2158333333333352E-2</v>
      </c>
      <c r="C31" s="5">
        <f>B31/B30</f>
        <v>2.337112010796222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AC31" s="2"/>
      <c r="AS31" s="2"/>
    </row>
    <row r="32" spans="1:45"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AC32" s="2"/>
      <c r="AS32" s="2"/>
    </row>
    <row r="33" spans="1:45" s="14" customFormat="1">
      <c r="A33" s="25" t="s">
        <v>37</v>
      </c>
    </row>
    <row r="34" spans="1:45">
      <c r="A34" s="23" t="s">
        <v>262</v>
      </c>
      <c r="B34" s="16" t="s">
        <v>1</v>
      </c>
      <c r="C34" s="16" t="s">
        <v>2</v>
      </c>
      <c r="I34" s="23">
        <v>2010</v>
      </c>
      <c r="J34" s="23">
        <v>2011</v>
      </c>
      <c r="K34" s="23">
        <v>2012</v>
      </c>
      <c r="L34" s="23">
        <v>2013</v>
      </c>
      <c r="M34" s="23">
        <v>2014</v>
      </c>
      <c r="N34" s="23">
        <v>2015</v>
      </c>
      <c r="O34" s="23">
        <v>2016</v>
      </c>
      <c r="P34" s="23">
        <v>2017</v>
      </c>
      <c r="Q34" s="23">
        <v>2018</v>
      </c>
      <c r="R34" s="23">
        <v>2019</v>
      </c>
      <c r="S34" s="23">
        <v>2020</v>
      </c>
      <c r="T34" s="23">
        <v>2021</v>
      </c>
      <c r="U34" s="23">
        <v>2022</v>
      </c>
    </row>
    <row r="35" spans="1:45" collapsed="1">
      <c r="A35" s="23" t="s">
        <v>263</v>
      </c>
      <c r="B35" t="s">
        <v>264</v>
      </c>
      <c r="C35" t="s">
        <v>265</v>
      </c>
      <c r="I35" s="24">
        <f t="shared" ref="I35:U35" si="2">I36+I37</f>
        <v>752</v>
      </c>
      <c r="J35" s="24">
        <f t="shared" si="2"/>
        <v>8014</v>
      </c>
      <c r="K35" s="24">
        <f t="shared" si="2"/>
        <v>12716</v>
      </c>
      <c r="L35" s="24">
        <f t="shared" si="2"/>
        <v>21639</v>
      </c>
      <c r="M35" s="24">
        <f t="shared" si="2"/>
        <v>32793</v>
      </c>
      <c r="N35" s="24">
        <f t="shared" si="2"/>
        <v>51036</v>
      </c>
      <c r="O35" s="24">
        <f t="shared" si="2"/>
        <v>56509</v>
      </c>
      <c r="P35" s="24">
        <f t="shared" si="2"/>
        <v>85962</v>
      </c>
      <c r="Q35" s="24">
        <f t="shared" si="2"/>
        <v>135800</v>
      </c>
      <c r="R35" s="24">
        <f t="shared" si="2"/>
        <v>248024</v>
      </c>
      <c r="S35" s="24">
        <f t="shared" si="2"/>
        <v>536638</v>
      </c>
      <c r="T35" s="24">
        <f t="shared" si="2"/>
        <v>874529</v>
      </c>
      <c r="U35" s="24">
        <f t="shared" si="2"/>
        <v>1118332</v>
      </c>
    </row>
    <row r="36" spans="1:45" hidden="1" outlineLevel="1">
      <c r="A36" s="23" t="s">
        <v>266</v>
      </c>
      <c r="B36" t="s">
        <v>264</v>
      </c>
      <c r="C36" t="s">
        <v>265</v>
      </c>
      <c r="I36" s="24">
        <v>752</v>
      </c>
      <c r="J36" s="24">
        <v>8014</v>
      </c>
      <c r="K36" s="24">
        <v>12716</v>
      </c>
      <c r="L36" s="24">
        <v>21622</v>
      </c>
      <c r="M36" s="24">
        <v>32762</v>
      </c>
      <c r="N36" s="24">
        <v>50901</v>
      </c>
      <c r="O36" s="24">
        <v>56368</v>
      </c>
      <c r="P36" s="24">
        <v>85808</v>
      </c>
      <c r="Q36" s="24">
        <v>135613</v>
      </c>
      <c r="R36" s="24">
        <v>247545</v>
      </c>
      <c r="S36" s="24">
        <v>535894</v>
      </c>
      <c r="T36" s="24">
        <v>873612</v>
      </c>
      <c r="U36" s="24">
        <v>1117053</v>
      </c>
    </row>
    <row r="37" spans="1:45" hidden="1" outlineLevel="1">
      <c r="A37" s="23" t="s">
        <v>267</v>
      </c>
      <c r="B37" t="s">
        <v>264</v>
      </c>
      <c r="C37" t="s">
        <v>265</v>
      </c>
      <c r="I37" s="24">
        <v>0</v>
      </c>
      <c r="J37" s="24">
        <v>0</v>
      </c>
      <c r="K37" s="24">
        <v>0</v>
      </c>
      <c r="L37" s="24">
        <v>17</v>
      </c>
      <c r="M37" s="24">
        <v>31</v>
      </c>
      <c r="N37" s="24">
        <v>135</v>
      </c>
      <c r="O37" s="24">
        <v>141</v>
      </c>
      <c r="P37" s="24">
        <v>154</v>
      </c>
      <c r="Q37" s="24">
        <v>187</v>
      </c>
      <c r="R37" s="24">
        <v>479</v>
      </c>
      <c r="S37" s="24">
        <v>744</v>
      </c>
      <c r="T37" s="24">
        <v>917</v>
      </c>
      <c r="U37" s="24">
        <v>1279</v>
      </c>
    </row>
    <row r="38" spans="1:45" ht="14.25" customHeight="1" collapsed="1">
      <c r="A38" s="23" t="s">
        <v>268</v>
      </c>
      <c r="B38" t="s">
        <v>264</v>
      </c>
      <c r="C38" t="s">
        <v>265</v>
      </c>
      <c r="I38" s="24">
        <f t="shared" ref="I38:U38" si="3">I39+I40+I41</f>
        <v>519470</v>
      </c>
      <c r="J38" s="24">
        <f t="shared" si="3"/>
        <v>278940</v>
      </c>
      <c r="K38" s="24">
        <f t="shared" si="3"/>
        <v>372890</v>
      </c>
      <c r="L38" s="24">
        <f t="shared" si="3"/>
        <v>313919</v>
      </c>
      <c r="M38" s="24">
        <f t="shared" si="3"/>
        <v>327578</v>
      </c>
      <c r="N38" s="24">
        <f t="shared" si="3"/>
        <v>367260</v>
      </c>
      <c r="O38" s="24">
        <f t="shared" si="3"/>
        <v>336818</v>
      </c>
      <c r="P38" s="24">
        <f t="shared" si="3"/>
        <v>381772</v>
      </c>
      <c r="Q38" s="24">
        <f t="shared" si="3"/>
        <v>333541</v>
      </c>
      <c r="R38" s="24">
        <f t="shared" si="3"/>
        <v>380599</v>
      </c>
      <c r="S38" s="24">
        <f t="shared" si="3"/>
        <v>711966</v>
      </c>
      <c r="T38" s="24">
        <f t="shared" si="3"/>
        <v>1089456</v>
      </c>
      <c r="U38" s="24">
        <f t="shared" si="3"/>
        <v>1155237</v>
      </c>
    </row>
    <row r="39" spans="1:45" hidden="1" outlineLevel="1">
      <c r="A39" s="23" t="s">
        <v>269</v>
      </c>
      <c r="B39" t="s">
        <v>264</v>
      </c>
      <c r="C39" t="s">
        <v>265</v>
      </c>
      <c r="I39" s="24">
        <v>2</v>
      </c>
      <c r="J39" s="24">
        <v>329</v>
      </c>
      <c r="K39" s="24">
        <v>8025</v>
      </c>
      <c r="L39" s="24">
        <v>22575</v>
      </c>
      <c r="M39" s="24">
        <v>21245</v>
      </c>
      <c r="N39" s="24">
        <v>65825</v>
      </c>
      <c r="O39" s="24">
        <v>61699</v>
      </c>
      <c r="P39" s="24">
        <v>82191</v>
      </c>
      <c r="Q39" s="24">
        <v>104720</v>
      </c>
      <c r="R39" s="24">
        <v>139984</v>
      </c>
      <c r="S39" s="24">
        <v>510149</v>
      </c>
      <c r="T39" s="24">
        <v>865752</v>
      </c>
      <c r="U39" s="24">
        <v>881573</v>
      </c>
    </row>
    <row r="40" spans="1:45" hidden="1" outlineLevel="1">
      <c r="A40" s="23" t="s">
        <v>270</v>
      </c>
      <c r="B40" t="s">
        <v>264</v>
      </c>
      <c r="C40" t="s">
        <v>265</v>
      </c>
      <c r="I40" s="24">
        <v>440622</v>
      </c>
      <c r="J40" s="24">
        <v>225669</v>
      </c>
      <c r="K40" s="24">
        <v>297935</v>
      </c>
      <c r="L40" s="24">
        <v>196630</v>
      </c>
      <c r="M40" s="24">
        <v>207561</v>
      </c>
      <c r="N40" s="24">
        <v>219673</v>
      </c>
      <c r="O40" s="24">
        <v>216007</v>
      </c>
      <c r="P40" s="24">
        <v>250264</v>
      </c>
      <c r="Q40" s="24">
        <v>162584</v>
      </c>
      <c r="R40" s="24">
        <v>172179</v>
      </c>
      <c r="S40" s="24">
        <v>147093</v>
      </c>
      <c r="T40" s="24">
        <v>183460</v>
      </c>
      <c r="U40" s="24">
        <v>255209</v>
      </c>
    </row>
    <row r="41" spans="1:45" hidden="1" outlineLevel="1">
      <c r="A41" s="23" t="s">
        <v>271</v>
      </c>
      <c r="B41" t="s">
        <v>264</v>
      </c>
      <c r="C41" t="s">
        <v>265</v>
      </c>
      <c r="I41" s="24">
        <v>78846</v>
      </c>
      <c r="J41" s="24">
        <v>52942</v>
      </c>
      <c r="K41" s="24">
        <v>66930</v>
      </c>
      <c r="L41" s="24">
        <v>94714</v>
      </c>
      <c r="M41" s="24">
        <v>98772</v>
      </c>
      <c r="N41" s="24">
        <v>81762</v>
      </c>
      <c r="O41" s="24">
        <v>59112</v>
      </c>
      <c r="P41" s="24">
        <v>49317</v>
      </c>
      <c r="Q41" s="24">
        <v>66237</v>
      </c>
      <c r="R41" s="24">
        <v>68436</v>
      </c>
      <c r="S41" s="24">
        <v>54724</v>
      </c>
      <c r="T41" s="24">
        <v>40244</v>
      </c>
      <c r="U41" s="24">
        <v>18455</v>
      </c>
    </row>
    <row r="42" spans="1:45">
      <c r="A42" s="23" t="s">
        <v>272</v>
      </c>
      <c r="B42" t="s">
        <v>273</v>
      </c>
      <c r="C42" t="s">
        <v>265</v>
      </c>
      <c r="I42" s="24">
        <f>I43-I38-I35</f>
        <v>6999778</v>
      </c>
      <c r="J42" s="24">
        <f t="shared" ref="J42:U42" si="4">J43-J38-J35</f>
        <v>11161617.428571427</v>
      </c>
      <c r="K42" s="24">
        <f t="shared" si="4"/>
        <v>9395932.461538462</v>
      </c>
      <c r="L42" s="24">
        <f t="shared" si="4"/>
        <v>9500351.0909090899</v>
      </c>
      <c r="M42" s="24">
        <f t="shared" si="4"/>
        <v>9576901.7272727266</v>
      </c>
      <c r="N42" s="24">
        <f t="shared" si="4"/>
        <v>10676486.608695652</v>
      </c>
      <c r="O42" s="24">
        <f t="shared" si="4"/>
        <v>11629864.489361703</v>
      </c>
      <c r="P42" s="24">
        <f t="shared" si="4"/>
        <v>12173736.588235293</v>
      </c>
      <c r="Q42" s="24">
        <f t="shared" si="4"/>
        <v>12341979.754716981</v>
      </c>
      <c r="R42" s="24">
        <f t="shared" si="4"/>
        <v>12425271.736842105</v>
      </c>
      <c r="S42" s="24">
        <f t="shared" si="4"/>
        <v>8707574.1076066792</v>
      </c>
      <c r="T42" s="24">
        <f t="shared" si="4"/>
        <v>7895417.4802705757</v>
      </c>
      <c r="U42" s="24">
        <f t="shared" si="4"/>
        <v>6065968.6584638329</v>
      </c>
      <c r="AC42" s="2"/>
      <c r="AS42" s="2"/>
    </row>
    <row r="43" spans="1:45" ht="15.75" customHeight="1">
      <c r="A43" s="23" t="s">
        <v>7</v>
      </c>
      <c r="B43" t="s">
        <v>273</v>
      </c>
      <c r="C43" t="s">
        <v>265</v>
      </c>
      <c r="I43" s="24">
        <f t="shared" ref="I43:T43" si="5">I35/I45</f>
        <v>7520000</v>
      </c>
      <c r="J43" s="24">
        <f t="shared" si="5"/>
        <v>11448571.428571427</v>
      </c>
      <c r="K43" s="24">
        <f t="shared" si="5"/>
        <v>9781538.461538462</v>
      </c>
      <c r="L43" s="24">
        <f t="shared" si="5"/>
        <v>9835909.0909090899</v>
      </c>
      <c r="M43" s="24">
        <f t="shared" si="5"/>
        <v>9937272.7272727266</v>
      </c>
      <c r="N43" s="24">
        <f t="shared" si="5"/>
        <v>11094782.608695652</v>
      </c>
      <c r="O43" s="24">
        <f t="shared" si="5"/>
        <v>12023191.489361703</v>
      </c>
      <c r="P43" s="24">
        <f t="shared" si="5"/>
        <v>12641470.588235293</v>
      </c>
      <c r="Q43" s="24">
        <f t="shared" si="5"/>
        <v>12811320.754716981</v>
      </c>
      <c r="R43" s="24">
        <f t="shared" si="5"/>
        <v>13053894.736842105</v>
      </c>
      <c r="S43" s="24">
        <f t="shared" si="5"/>
        <v>9956178.1076066792</v>
      </c>
      <c r="T43" s="24">
        <f t="shared" si="5"/>
        <v>9859402.4802705757</v>
      </c>
      <c r="U43" s="24">
        <f>U35/U45</f>
        <v>8339537.6584638329</v>
      </c>
      <c r="AC43" s="2"/>
      <c r="AS43" s="2"/>
    </row>
    <row r="44" spans="1:45" ht="15.75" customHeight="1">
      <c r="A44" s="23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AC44" s="2"/>
      <c r="AS44" s="2"/>
    </row>
    <row r="45" spans="1:45" ht="15.75" customHeight="1">
      <c r="A45" s="23" t="s">
        <v>263</v>
      </c>
      <c r="B45" t="s">
        <v>264</v>
      </c>
      <c r="C45" t="s">
        <v>256</v>
      </c>
      <c r="I45" s="5">
        <f t="shared" ref="I45:U45" si="6">I46+I47</f>
        <v>1E-4</v>
      </c>
      <c r="J45" s="5">
        <f t="shared" si="6"/>
        <v>7.000000000000001E-4</v>
      </c>
      <c r="K45" s="5">
        <f t="shared" si="6"/>
        <v>1.2999999999999999E-3</v>
      </c>
      <c r="L45" s="5">
        <f t="shared" si="6"/>
        <v>2.2000000000000001E-3</v>
      </c>
      <c r="M45" s="5">
        <f t="shared" si="6"/>
        <v>3.3E-3</v>
      </c>
      <c r="N45" s="5">
        <f t="shared" si="6"/>
        <v>4.5999999999999999E-3</v>
      </c>
      <c r="O45" s="5">
        <f t="shared" si="6"/>
        <v>4.6999999999999993E-3</v>
      </c>
      <c r="P45" s="5">
        <f t="shared" si="6"/>
        <v>6.8000000000000005E-3</v>
      </c>
      <c r="Q45" s="5">
        <f t="shared" si="6"/>
        <v>1.06E-2</v>
      </c>
      <c r="R45" s="5">
        <f t="shared" si="6"/>
        <v>1.9E-2</v>
      </c>
      <c r="S45" s="5">
        <f t="shared" si="6"/>
        <v>5.3900000000000003E-2</v>
      </c>
      <c r="T45" s="5">
        <f t="shared" si="6"/>
        <v>8.8700000000000001E-2</v>
      </c>
      <c r="U45" s="5">
        <f t="shared" si="6"/>
        <v>0.1341</v>
      </c>
      <c r="AC45" s="2"/>
      <c r="AS45" s="2"/>
    </row>
    <row r="46" spans="1:45" ht="15.75" customHeight="1" outlineLevel="1">
      <c r="A46" s="23" t="s">
        <v>266</v>
      </c>
      <c r="B46" t="s">
        <v>255</v>
      </c>
      <c r="C46" t="s">
        <v>256</v>
      </c>
      <c r="I46" s="11">
        <v>1E-4</v>
      </c>
      <c r="J46" s="11">
        <v>7.000000000000001E-4</v>
      </c>
      <c r="K46" s="11">
        <v>1.2999999999999999E-3</v>
      </c>
      <c r="L46" s="11">
        <v>2.2000000000000001E-3</v>
      </c>
      <c r="M46" s="11">
        <v>3.3E-3</v>
      </c>
      <c r="N46" s="11">
        <v>4.5999999999999999E-3</v>
      </c>
      <c r="O46" s="11">
        <v>4.6999999999999993E-3</v>
      </c>
      <c r="P46" s="11">
        <v>6.8000000000000005E-3</v>
      </c>
      <c r="Q46" s="11">
        <v>1.06E-2</v>
      </c>
      <c r="R46" s="11">
        <v>1.9E-2</v>
      </c>
      <c r="S46" s="11">
        <v>5.3800000000000001E-2</v>
      </c>
      <c r="T46" s="11">
        <v>8.8599999999999998E-2</v>
      </c>
      <c r="U46" s="11">
        <v>0.13400000000000001</v>
      </c>
      <c r="AC46" s="2"/>
      <c r="AS46" s="2"/>
    </row>
    <row r="47" spans="1:45" ht="15.75" customHeight="1" outlineLevel="1">
      <c r="A47" s="23" t="s">
        <v>267</v>
      </c>
      <c r="B47" t="s">
        <v>264</v>
      </c>
      <c r="C47" t="s">
        <v>256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1E-4</v>
      </c>
      <c r="T47" s="11">
        <v>1E-4</v>
      </c>
      <c r="U47" s="11">
        <v>1E-4</v>
      </c>
      <c r="AC47" s="2"/>
      <c r="AS47" s="2"/>
    </row>
    <row r="48" spans="1:45" ht="15.75" customHeight="1">
      <c r="A48" s="23" t="s">
        <v>268</v>
      </c>
      <c r="B48" t="s">
        <v>264</v>
      </c>
      <c r="C48" t="s">
        <v>256</v>
      </c>
      <c r="I48" s="5">
        <f t="shared" ref="I48:U48" si="7">I49+I50+I51</f>
        <v>4.5600000000000002E-2</v>
      </c>
      <c r="J48" s="5">
        <f t="shared" si="7"/>
        <v>2.47E-2</v>
      </c>
      <c r="K48" s="5">
        <f t="shared" si="7"/>
        <v>3.7199999999999997E-2</v>
      </c>
      <c r="L48" s="5">
        <f t="shared" si="7"/>
        <v>3.2500000000000001E-2</v>
      </c>
      <c r="M48" s="5">
        <f t="shared" si="7"/>
        <v>3.2500000000000001E-2</v>
      </c>
      <c r="N48" s="5">
        <f t="shared" si="7"/>
        <v>3.3099999999999997E-2</v>
      </c>
      <c r="O48" s="5">
        <f t="shared" si="7"/>
        <v>2.8200000000000003E-2</v>
      </c>
      <c r="P48" s="5">
        <f t="shared" si="7"/>
        <v>3.0199999999999998E-2</v>
      </c>
      <c r="Q48" s="5">
        <f t="shared" si="7"/>
        <v>2.6099999999999998E-2</v>
      </c>
      <c r="R48" s="5">
        <f t="shared" si="7"/>
        <v>2.9100000000000001E-2</v>
      </c>
      <c r="S48" s="5">
        <f t="shared" si="7"/>
        <v>7.1599999999999997E-2</v>
      </c>
      <c r="T48" s="5">
        <f t="shared" si="7"/>
        <v>0.11049999999999999</v>
      </c>
      <c r="U48" s="5">
        <f t="shared" si="7"/>
        <v>0.1255</v>
      </c>
      <c r="AC48" s="2"/>
      <c r="AS48" s="2"/>
    </row>
    <row r="49" spans="1:45" ht="15.75" customHeight="1" outlineLevel="1">
      <c r="A49" s="23" t="s">
        <v>269</v>
      </c>
      <c r="B49" t="s">
        <v>264</v>
      </c>
      <c r="C49" t="s">
        <v>256</v>
      </c>
      <c r="I49" s="11">
        <v>0</v>
      </c>
      <c r="J49" s="11">
        <v>0</v>
      </c>
      <c r="K49" s="11">
        <v>8.0000000000000004E-4</v>
      </c>
      <c r="L49" s="11">
        <v>2.3E-3</v>
      </c>
      <c r="M49" s="11">
        <v>2.0999999999999999E-3</v>
      </c>
      <c r="N49" s="11">
        <v>5.8999999999999999E-3</v>
      </c>
      <c r="O49" s="11">
        <v>5.1999999999999998E-3</v>
      </c>
      <c r="P49" s="11">
        <v>6.5000000000000006E-3</v>
      </c>
      <c r="Q49" s="11">
        <v>8.199999999999999E-3</v>
      </c>
      <c r="R49" s="11">
        <v>1.0700000000000001E-2</v>
      </c>
      <c r="S49" s="11">
        <v>5.1299999999999998E-2</v>
      </c>
      <c r="T49" s="11">
        <v>8.7799999999999989E-2</v>
      </c>
      <c r="U49" s="11">
        <f>23%-U46</f>
        <v>9.6000000000000002E-2</v>
      </c>
      <c r="AC49" s="2"/>
      <c r="AS49" s="2"/>
    </row>
    <row r="50" spans="1:45" ht="15.75" customHeight="1" outlineLevel="1">
      <c r="A50" s="23" t="s">
        <v>270</v>
      </c>
      <c r="B50" t="s">
        <v>264</v>
      </c>
      <c r="C50" t="s">
        <v>256</v>
      </c>
      <c r="I50" s="11">
        <v>3.8699999999999998E-2</v>
      </c>
      <c r="J50" s="11">
        <v>0.02</v>
      </c>
      <c r="K50" s="11">
        <v>2.9700000000000001E-2</v>
      </c>
      <c r="L50" s="11">
        <v>2.0400000000000001E-2</v>
      </c>
      <c r="M50" s="11">
        <v>2.06E-2</v>
      </c>
      <c r="N50" s="11">
        <v>1.9799999999999998E-2</v>
      </c>
      <c r="O50" s="11">
        <v>1.8100000000000002E-2</v>
      </c>
      <c r="P50" s="11">
        <v>1.9799999999999998E-2</v>
      </c>
      <c r="Q50" s="11">
        <v>1.2699999999999999E-2</v>
      </c>
      <c r="R50" s="11">
        <v>1.32E-2</v>
      </c>
      <c r="S50" s="11">
        <v>1.4800000000000001E-2</v>
      </c>
      <c r="T50" s="11">
        <v>1.8600000000000002E-2</v>
      </c>
      <c r="U50" s="11">
        <v>2.75E-2</v>
      </c>
      <c r="AC50" s="2"/>
      <c r="AS50" s="2"/>
    </row>
    <row r="51" spans="1:45" ht="15.75" customHeight="1" outlineLevel="1">
      <c r="A51" s="23" t="s">
        <v>271</v>
      </c>
      <c r="B51" t="s">
        <v>264</v>
      </c>
      <c r="C51" t="s">
        <v>256</v>
      </c>
      <c r="I51" s="11">
        <v>6.8999999999999999E-3</v>
      </c>
      <c r="J51" s="11">
        <v>4.6999999999999993E-3</v>
      </c>
      <c r="K51" s="11">
        <v>6.7000000000000002E-3</v>
      </c>
      <c r="L51" s="11">
        <v>9.7999999999999997E-3</v>
      </c>
      <c r="M51" s="11">
        <v>9.7999999999999997E-3</v>
      </c>
      <c r="N51" s="11">
        <v>7.4000000000000003E-3</v>
      </c>
      <c r="O51" s="11">
        <v>4.8999999999999998E-3</v>
      </c>
      <c r="P51" s="11">
        <v>3.9000000000000003E-3</v>
      </c>
      <c r="Q51" s="11">
        <v>5.1999999999999998E-3</v>
      </c>
      <c r="R51" s="11">
        <v>5.1999999999999998E-3</v>
      </c>
      <c r="S51" s="11">
        <v>5.5000000000000005E-3</v>
      </c>
      <c r="T51" s="11">
        <v>4.0999999999999995E-3</v>
      </c>
      <c r="U51" s="11">
        <v>2E-3</v>
      </c>
      <c r="AC51" s="2"/>
      <c r="AS51" s="2"/>
    </row>
    <row r="52" spans="1:45"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AC52" s="2"/>
      <c r="AS52" s="2"/>
    </row>
    <row r="53" spans="1:45" s="13" customFormat="1">
      <c r="A53" s="9" t="s">
        <v>241</v>
      </c>
    </row>
    <row r="54" spans="1:45" s="14" customFormat="1">
      <c r="A54" s="25" t="s">
        <v>253</v>
      </c>
    </row>
    <row r="55" spans="1:45">
      <c r="B55" s="16" t="s">
        <v>1</v>
      </c>
      <c r="C55" s="16" t="s">
        <v>2</v>
      </c>
      <c r="D55">
        <v>2005</v>
      </c>
      <c r="I55">
        <v>2010</v>
      </c>
      <c r="N55">
        <v>2015</v>
      </c>
      <c r="S55" t="s">
        <v>6</v>
      </c>
      <c r="X55">
        <v>2025</v>
      </c>
      <c r="AC55">
        <v>2030</v>
      </c>
      <c r="AG55">
        <v>2035</v>
      </c>
    </row>
    <row r="56" spans="1:45">
      <c r="A56" t="s">
        <v>254</v>
      </c>
      <c r="B56" t="s">
        <v>264</v>
      </c>
      <c r="C56" t="s">
        <v>180</v>
      </c>
      <c r="D56" s="21"/>
      <c r="E56" s="21"/>
      <c r="F56" s="21"/>
      <c r="G56" s="21"/>
      <c r="H56" s="21"/>
      <c r="I56" s="2">
        <f>I77</f>
        <v>5.9999999999999995E-4</v>
      </c>
      <c r="J56" s="2">
        <f t="shared" ref="J56:U56" si="8">J77</f>
        <v>1.4000000000000002E-3</v>
      </c>
      <c r="K56" s="2">
        <f t="shared" si="8"/>
        <v>5.5000000000000005E-3</v>
      </c>
      <c r="L56" s="2">
        <f t="shared" si="8"/>
        <v>4.7999999999999996E-3</v>
      </c>
      <c r="M56" s="2">
        <f t="shared" si="8"/>
        <v>3.8E-3</v>
      </c>
      <c r="N56" s="2">
        <f t="shared" si="8"/>
        <v>4.5000000000000005E-3</v>
      </c>
      <c r="O56" s="2">
        <f t="shared" si="8"/>
        <v>6.0999999999999995E-3</v>
      </c>
      <c r="P56" s="2">
        <f t="shared" si="8"/>
        <v>8.6E-3</v>
      </c>
      <c r="Q56" s="2">
        <f t="shared" si="8"/>
        <v>1.1200000000000002E-2</v>
      </c>
      <c r="R56" s="2">
        <f t="shared" si="8"/>
        <v>1.23E-2</v>
      </c>
      <c r="S56" s="2">
        <f t="shared" si="8"/>
        <v>1.8600000000000002E-2</v>
      </c>
      <c r="T56" s="2">
        <f t="shared" si="8"/>
        <v>3.5000000000000003E-2</v>
      </c>
      <c r="U56" s="2">
        <f t="shared" si="8"/>
        <v>6.0999999999999999E-2</v>
      </c>
      <c r="V56" s="1"/>
      <c r="W56" s="1"/>
      <c r="X56" s="1"/>
      <c r="Y56" s="1"/>
      <c r="Z56" s="1"/>
      <c r="AA56" s="1"/>
      <c r="AB56" s="1"/>
      <c r="AC56" s="1"/>
    </row>
    <row r="57" spans="1:45">
      <c r="A57" t="s">
        <v>257</v>
      </c>
      <c r="B57" t="s">
        <v>264</v>
      </c>
      <c r="C57" t="s">
        <v>180</v>
      </c>
      <c r="D57" s="21"/>
      <c r="E57" s="21"/>
      <c r="F57" s="21"/>
      <c r="G57" s="21"/>
      <c r="H57" s="21"/>
      <c r="I57" s="2">
        <f>I80+I56</f>
        <v>1.8100000000000002E-2</v>
      </c>
      <c r="J57" s="2">
        <f t="shared" ref="J57:U57" si="9">J80+J56</f>
        <v>7.7000000000000002E-3</v>
      </c>
      <c r="K57" s="2">
        <f t="shared" si="9"/>
        <v>1.2900000000000002E-2</v>
      </c>
      <c r="L57" s="2">
        <f t="shared" si="9"/>
        <v>1.4800000000000001E-2</v>
      </c>
      <c r="M57" s="2">
        <f t="shared" si="9"/>
        <v>1.0500000000000001E-2</v>
      </c>
      <c r="N57" s="2">
        <f t="shared" si="9"/>
        <v>1.34E-2</v>
      </c>
      <c r="O57" s="2">
        <f t="shared" si="9"/>
        <v>1.6899999999999998E-2</v>
      </c>
      <c r="P57" s="2">
        <f t="shared" si="9"/>
        <v>1.7500000000000002E-2</v>
      </c>
      <c r="Q57" s="2">
        <f t="shared" si="9"/>
        <v>1.8500000000000003E-2</v>
      </c>
      <c r="R57" s="2">
        <f t="shared" si="9"/>
        <v>2.0900000000000002E-2</v>
      </c>
      <c r="S57" s="2">
        <f t="shared" si="9"/>
        <v>3.0600000000000002E-2</v>
      </c>
      <c r="T57" s="2">
        <f t="shared" si="9"/>
        <v>4.2400000000000007E-2</v>
      </c>
      <c r="U57" s="2">
        <f t="shared" si="9"/>
        <v>6.9800000000000001E-2</v>
      </c>
      <c r="V57" s="1"/>
      <c r="W57" s="1"/>
      <c r="X57" s="1"/>
      <c r="Y57" s="1"/>
      <c r="Z57" s="1"/>
      <c r="AA57" s="1"/>
      <c r="AB57" s="1"/>
      <c r="AC57" s="1"/>
    </row>
    <row r="58" spans="1:45">
      <c r="A58" t="s">
        <v>258</v>
      </c>
      <c r="B58" t="s">
        <v>236</v>
      </c>
      <c r="C58" t="s">
        <v>180</v>
      </c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5">
        <v>1</v>
      </c>
    </row>
    <row r="59" spans="1:45">
      <c r="A59" t="s">
        <v>20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U59" s="5">
        <v>6.0999999999999915E-2</v>
      </c>
      <c r="V59" s="5">
        <v>0.13924999999999993</v>
      </c>
      <c r="W59" s="5">
        <v>0.21749999999999994</v>
      </c>
      <c r="X59" s="5">
        <v>0.29574999999999996</v>
      </c>
      <c r="Y59" s="5">
        <v>0.374</v>
      </c>
      <c r="Z59" s="5">
        <v>0.45224999999999999</v>
      </c>
      <c r="AA59" s="5">
        <v>0.53049999999999997</v>
      </c>
      <c r="AB59" s="5">
        <v>0.60875000000000001</v>
      </c>
      <c r="AC59" s="5">
        <v>0.68700000000000006</v>
      </c>
      <c r="AD59" s="5">
        <v>0.7652500000000001</v>
      </c>
      <c r="AE59" s="5">
        <v>0.84350000000000003</v>
      </c>
      <c r="AF59" s="5">
        <v>0.92175000000000007</v>
      </c>
      <c r="AG59" s="5">
        <v>1</v>
      </c>
    </row>
    <row r="60" spans="1:45"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AC60" s="2"/>
      <c r="AS60" s="2"/>
    </row>
    <row r="61" spans="1:45">
      <c r="A61" t="s">
        <v>28</v>
      </c>
      <c r="B61" s="5">
        <f>AVERAGE(U56-T56,T56-S56,S56-R56,R56-Q56)</f>
        <v>1.2449999999999998E-2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AC61" s="2"/>
      <c r="AS61" s="2"/>
    </row>
    <row r="62" spans="1:45">
      <c r="A62" t="s">
        <v>261</v>
      </c>
      <c r="B62" s="5">
        <f>V59-U59</f>
        <v>7.8250000000000014E-2</v>
      </c>
      <c r="C62" s="5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AC62" s="2"/>
      <c r="AS62" s="2"/>
    </row>
    <row r="64" spans="1:45" s="14" customFormat="1">
      <c r="A64" s="25" t="s">
        <v>37</v>
      </c>
    </row>
    <row r="65" spans="1:45">
      <c r="A65" s="23" t="s">
        <v>262</v>
      </c>
      <c r="B65" s="16" t="s">
        <v>1</v>
      </c>
      <c r="C65" s="16" t="s">
        <v>2</v>
      </c>
      <c r="I65" s="23">
        <v>2010</v>
      </c>
      <c r="J65" s="23">
        <v>2011</v>
      </c>
      <c r="K65" s="23">
        <v>2012</v>
      </c>
      <c r="L65" s="23">
        <v>2013</v>
      </c>
      <c r="M65" s="23">
        <v>2014</v>
      </c>
      <c r="N65" s="23">
        <v>2015</v>
      </c>
      <c r="O65" s="23">
        <v>2016</v>
      </c>
      <c r="P65" s="23">
        <v>2017</v>
      </c>
      <c r="Q65" s="23">
        <v>2018</v>
      </c>
      <c r="R65" s="23">
        <v>2019</v>
      </c>
      <c r="S65" s="23">
        <v>2020</v>
      </c>
      <c r="T65" s="23">
        <v>2021</v>
      </c>
      <c r="U65" s="23">
        <v>2022</v>
      </c>
    </row>
    <row r="66" spans="1:45" collapsed="1">
      <c r="A66" s="23" t="s">
        <v>263</v>
      </c>
      <c r="B66" t="s">
        <v>264</v>
      </c>
      <c r="C66" t="s">
        <v>265</v>
      </c>
      <c r="I66" s="24">
        <f t="shared" ref="I66:T66" si="10">I67+I68</f>
        <v>798</v>
      </c>
      <c r="J66" s="24">
        <f t="shared" si="10"/>
        <v>1870</v>
      </c>
      <c r="K66" s="24">
        <f t="shared" si="10"/>
        <v>6335</v>
      </c>
      <c r="L66" s="24">
        <f t="shared" si="10"/>
        <v>5276</v>
      </c>
      <c r="M66" s="24">
        <f t="shared" si="10"/>
        <v>4659</v>
      </c>
      <c r="N66" s="24">
        <f t="shared" si="10"/>
        <v>6023</v>
      </c>
      <c r="O66" s="24">
        <f t="shared" si="10"/>
        <v>9381</v>
      </c>
      <c r="P66" s="24">
        <f t="shared" si="10"/>
        <v>13291</v>
      </c>
      <c r="Q66" s="24">
        <f t="shared" si="10"/>
        <v>19024</v>
      </c>
      <c r="R66" s="24">
        <f t="shared" si="10"/>
        <v>21448</v>
      </c>
      <c r="S66" s="24">
        <f t="shared" si="10"/>
        <v>26791</v>
      </c>
      <c r="T66" s="24">
        <f t="shared" si="10"/>
        <v>44539</v>
      </c>
      <c r="U66" s="24">
        <f>U67+U68</f>
        <v>61294</v>
      </c>
    </row>
    <row r="67" spans="1:45" hidden="1" outlineLevel="1">
      <c r="A67" s="23" t="s">
        <v>266</v>
      </c>
      <c r="B67" t="s">
        <v>264</v>
      </c>
      <c r="C67" t="s">
        <v>274</v>
      </c>
      <c r="I67" s="12">
        <v>798</v>
      </c>
      <c r="J67" s="12">
        <v>1870</v>
      </c>
      <c r="K67" s="12">
        <v>6335</v>
      </c>
      <c r="L67" s="12">
        <v>5276</v>
      </c>
      <c r="M67" s="12">
        <v>4659</v>
      </c>
      <c r="N67" s="12">
        <v>6023</v>
      </c>
      <c r="O67" s="12">
        <v>9381</v>
      </c>
      <c r="P67" s="12">
        <v>13291</v>
      </c>
      <c r="Q67" s="12">
        <v>19024</v>
      </c>
      <c r="R67" s="12">
        <v>21448</v>
      </c>
      <c r="S67" s="12">
        <v>26791</v>
      </c>
      <c r="T67" s="12">
        <v>44537</v>
      </c>
      <c r="U67" s="12">
        <v>61294</v>
      </c>
      <c r="V67" s="12"/>
    </row>
    <row r="68" spans="1:45" hidden="1" outlineLevel="1">
      <c r="A68" s="23" t="s">
        <v>267</v>
      </c>
      <c r="B68" t="s">
        <v>264</v>
      </c>
      <c r="C68" t="s">
        <v>274</v>
      </c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>
        <v>2</v>
      </c>
      <c r="U68" s="12">
        <v>0</v>
      </c>
      <c r="V68" s="12"/>
    </row>
    <row r="69" spans="1:45" ht="14.25" customHeight="1" collapsed="1">
      <c r="A69" s="23" t="s">
        <v>268</v>
      </c>
      <c r="B69" t="s">
        <v>264</v>
      </c>
      <c r="C69" t="s">
        <v>265</v>
      </c>
      <c r="I69" s="24">
        <f>I70+I71+I72+I73</f>
        <v>22126</v>
      </c>
      <c r="J69" s="24">
        <f t="shared" ref="J69:U69" si="11">J70+J71+J72+J73</f>
        <v>8408</v>
      </c>
      <c r="K69" s="24">
        <f t="shared" si="11"/>
        <v>8670</v>
      </c>
      <c r="L69" s="24">
        <f t="shared" si="11"/>
        <v>10976</v>
      </c>
      <c r="M69" s="24">
        <f t="shared" si="11"/>
        <v>8146</v>
      </c>
      <c r="N69" s="24">
        <f t="shared" si="11"/>
        <v>11938</v>
      </c>
      <c r="O69" s="24">
        <f t="shared" si="11"/>
        <v>19648</v>
      </c>
      <c r="P69" s="24">
        <f t="shared" si="11"/>
        <v>13870</v>
      </c>
      <c r="Q69" s="24">
        <f t="shared" si="11"/>
        <v>12392</v>
      </c>
      <c r="R69" s="24">
        <f t="shared" si="11"/>
        <v>14982</v>
      </c>
      <c r="S69" s="24">
        <f t="shared" si="11"/>
        <v>17238</v>
      </c>
      <c r="T69" s="24">
        <f t="shared" si="11"/>
        <v>11546</v>
      </c>
      <c r="U69" s="24">
        <f t="shared" si="11"/>
        <v>11247</v>
      </c>
    </row>
    <row r="70" spans="1:45" hidden="1" outlineLevel="1">
      <c r="A70" s="23" t="s">
        <v>269</v>
      </c>
      <c r="B70" t="s">
        <v>264</v>
      </c>
      <c r="C70" t="s">
        <v>274</v>
      </c>
      <c r="I70" s="12">
        <v>0</v>
      </c>
      <c r="J70" s="12">
        <v>0</v>
      </c>
      <c r="K70" s="12">
        <v>0</v>
      </c>
      <c r="L70" s="12"/>
      <c r="M70" s="12"/>
      <c r="N70" s="12"/>
      <c r="O70" s="12"/>
      <c r="P70" s="12"/>
      <c r="Q70" s="12"/>
      <c r="R70" s="12">
        <v>27</v>
      </c>
      <c r="S70" s="12">
        <v>413</v>
      </c>
      <c r="T70" s="12">
        <v>1519</v>
      </c>
      <c r="U70" s="12">
        <v>2010</v>
      </c>
    </row>
    <row r="71" spans="1:45" hidden="1" outlineLevel="1">
      <c r="A71" s="23" t="s">
        <v>270</v>
      </c>
      <c r="B71" t="s">
        <v>264</v>
      </c>
      <c r="C71" t="s">
        <v>274</v>
      </c>
      <c r="I71" s="24">
        <v>421</v>
      </c>
      <c r="J71" s="24">
        <v>564</v>
      </c>
      <c r="K71" s="24">
        <v>634</v>
      </c>
      <c r="L71" s="24">
        <v>2946</v>
      </c>
      <c r="M71" s="24">
        <v>962</v>
      </c>
      <c r="N71" s="24">
        <v>4835</v>
      </c>
      <c r="O71" s="24">
        <v>7803</v>
      </c>
      <c r="P71" s="24">
        <v>8291</v>
      </c>
      <c r="Q71" s="24">
        <v>4260</v>
      </c>
      <c r="R71" s="24">
        <v>4898</v>
      </c>
      <c r="S71" s="24">
        <v>9189</v>
      </c>
      <c r="T71" s="24">
        <v>5196</v>
      </c>
      <c r="U71" s="24">
        <v>6949</v>
      </c>
    </row>
    <row r="72" spans="1:45" hidden="1" outlineLevel="1">
      <c r="A72" s="23" t="s">
        <v>275</v>
      </c>
      <c r="O72">
        <v>2990</v>
      </c>
    </row>
    <row r="73" spans="1:45" hidden="1" outlineLevel="1">
      <c r="A73" s="23" t="s">
        <v>271</v>
      </c>
      <c r="B73" t="s">
        <v>264</v>
      </c>
      <c r="C73" t="s">
        <v>274</v>
      </c>
      <c r="I73" s="24">
        <v>21705</v>
      </c>
      <c r="J73" s="24">
        <v>7844</v>
      </c>
      <c r="K73" s="24">
        <v>8036</v>
      </c>
      <c r="L73" s="24">
        <v>8030</v>
      </c>
      <c r="M73" s="24">
        <v>7184</v>
      </c>
      <c r="N73" s="24">
        <v>7103</v>
      </c>
      <c r="O73" s="24">
        <v>8855</v>
      </c>
      <c r="P73" s="24">
        <v>5579</v>
      </c>
      <c r="Q73" s="24">
        <v>8132</v>
      </c>
      <c r="R73" s="24">
        <v>10057</v>
      </c>
      <c r="S73" s="24">
        <v>7636</v>
      </c>
      <c r="T73" s="24">
        <v>4831</v>
      </c>
      <c r="U73" s="24">
        <v>2288</v>
      </c>
    </row>
    <row r="74" spans="1:45">
      <c r="A74" s="23" t="s">
        <v>272</v>
      </c>
      <c r="B74" t="s">
        <v>273</v>
      </c>
      <c r="C74" t="s">
        <v>265</v>
      </c>
      <c r="I74" s="24">
        <f>I75-I69-I66</f>
        <v>1307076.0000000002</v>
      </c>
      <c r="J74" s="24">
        <f t="shared" ref="J74:U74" si="12">J75-J69-J66</f>
        <v>1325436.2857142854</v>
      </c>
      <c r="K74" s="24">
        <f t="shared" si="12"/>
        <v>1136813.1818181816</v>
      </c>
      <c r="L74" s="24">
        <f t="shared" si="12"/>
        <v>1082914.6666666667</v>
      </c>
      <c r="M74" s="24">
        <f t="shared" si="12"/>
        <v>1213247.6315789474</v>
      </c>
      <c r="N74" s="24">
        <f t="shared" si="12"/>
        <v>1320483.4444444443</v>
      </c>
      <c r="O74" s="24">
        <f t="shared" si="12"/>
        <v>1508839.8524590165</v>
      </c>
      <c r="P74" s="24">
        <f t="shared" si="12"/>
        <v>1518304.1162790698</v>
      </c>
      <c r="Q74" s="24">
        <f t="shared" si="12"/>
        <v>1667155.4285714284</v>
      </c>
      <c r="R74" s="24">
        <f t="shared" si="12"/>
        <v>1707309.837398374</v>
      </c>
      <c r="S74" s="24">
        <f t="shared" si="12"/>
        <v>1396347.3440860214</v>
      </c>
      <c r="T74" s="24">
        <f t="shared" si="12"/>
        <v>1216457.857142857</v>
      </c>
      <c r="U74" s="24">
        <f t="shared" si="12"/>
        <v>932278.67213114758</v>
      </c>
      <c r="AC74" s="2"/>
      <c r="AS74" s="2"/>
    </row>
    <row r="75" spans="1:45" ht="15.75" customHeight="1">
      <c r="A75" s="23" t="s">
        <v>7</v>
      </c>
      <c r="B75" t="s">
        <v>273</v>
      </c>
      <c r="C75" t="s">
        <v>265</v>
      </c>
      <c r="I75" s="24">
        <f t="shared" ref="I75:T75" si="13">I66/I77</f>
        <v>1330000.0000000002</v>
      </c>
      <c r="J75" s="24">
        <f t="shared" si="13"/>
        <v>1335714.2857142854</v>
      </c>
      <c r="K75" s="24">
        <f t="shared" si="13"/>
        <v>1151818.1818181816</v>
      </c>
      <c r="L75" s="24">
        <f t="shared" si="13"/>
        <v>1099166.6666666667</v>
      </c>
      <c r="M75" s="24">
        <f t="shared" si="13"/>
        <v>1226052.6315789474</v>
      </c>
      <c r="N75" s="24">
        <f t="shared" si="13"/>
        <v>1338444.4444444443</v>
      </c>
      <c r="O75" s="24">
        <f t="shared" si="13"/>
        <v>1537868.8524590165</v>
      </c>
      <c r="P75" s="24">
        <f t="shared" si="13"/>
        <v>1545465.1162790698</v>
      </c>
      <c r="Q75" s="24">
        <f t="shared" si="13"/>
        <v>1698571.4285714284</v>
      </c>
      <c r="R75" s="24">
        <f t="shared" si="13"/>
        <v>1743739.837398374</v>
      </c>
      <c r="S75" s="24">
        <f t="shared" si="13"/>
        <v>1440376.3440860214</v>
      </c>
      <c r="T75" s="24">
        <f t="shared" si="13"/>
        <v>1272542.857142857</v>
      </c>
      <c r="U75" s="24">
        <f>U66/U77</f>
        <v>1004819.6721311476</v>
      </c>
      <c r="AC75" s="2"/>
      <c r="AS75" s="2"/>
    </row>
    <row r="76" spans="1:45" ht="15.75" customHeight="1">
      <c r="A76" s="23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AC76" s="2"/>
      <c r="AS76" s="2"/>
    </row>
    <row r="77" spans="1:45" ht="15.75" customHeight="1">
      <c r="A77" s="23" t="s">
        <v>263</v>
      </c>
      <c r="B77" t="s">
        <v>264</v>
      </c>
      <c r="C77" t="s">
        <v>256</v>
      </c>
      <c r="I77" s="5">
        <f t="shared" ref="I77:U77" si="14">I78+I79</f>
        <v>5.9999999999999995E-4</v>
      </c>
      <c r="J77" s="5">
        <f t="shared" si="14"/>
        <v>1.4000000000000002E-3</v>
      </c>
      <c r="K77" s="5">
        <f t="shared" si="14"/>
        <v>5.5000000000000005E-3</v>
      </c>
      <c r="L77" s="5">
        <f t="shared" si="14"/>
        <v>4.7999999999999996E-3</v>
      </c>
      <c r="M77" s="5">
        <f t="shared" si="14"/>
        <v>3.8E-3</v>
      </c>
      <c r="N77" s="5">
        <f t="shared" si="14"/>
        <v>4.5000000000000005E-3</v>
      </c>
      <c r="O77" s="5">
        <f t="shared" si="14"/>
        <v>6.0999999999999995E-3</v>
      </c>
      <c r="P77" s="5">
        <f t="shared" si="14"/>
        <v>8.6E-3</v>
      </c>
      <c r="Q77" s="5">
        <f t="shared" si="14"/>
        <v>1.1200000000000002E-2</v>
      </c>
      <c r="R77" s="5">
        <f t="shared" si="14"/>
        <v>1.23E-2</v>
      </c>
      <c r="S77" s="5">
        <f t="shared" si="14"/>
        <v>1.8600000000000002E-2</v>
      </c>
      <c r="T77" s="5">
        <f t="shared" si="14"/>
        <v>3.5000000000000003E-2</v>
      </c>
      <c r="U77" s="5">
        <f t="shared" si="14"/>
        <v>6.0999999999999999E-2</v>
      </c>
      <c r="AC77" s="2"/>
      <c r="AS77" s="2"/>
    </row>
    <row r="78" spans="1:45" ht="15.75" customHeight="1" outlineLevel="1">
      <c r="A78" s="23" t="s">
        <v>266</v>
      </c>
      <c r="B78" t="s">
        <v>276</v>
      </c>
      <c r="C78" t="s">
        <v>180</v>
      </c>
      <c r="I78" s="11">
        <v>5.9999999999999995E-4</v>
      </c>
      <c r="J78" s="11">
        <v>1.4000000000000002E-3</v>
      </c>
      <c r="K78" s="11">
        <v>5.5000000000000005E-3</v>
      </c>
      <c r="L78" s="11">
        <v>4.7999999999999996E-3</v>
      </c>
      <c r="M78" s="11">
        <v>3.8E-3</v>
      </c>
      <c r="N78" s="11">
        <v>4.5000000000000005E-3</v>
      </c>
      <c r="O78" s="11">
        <v>6.0999999999999995E-3</v>
      </c>
      <c r="P78" s="11">
        <v>8.6E-3</v>
      </c>
      <c r="Q78" s="11">
        <v>1.1200000000000002E-2</v>
      </c>
      <c r="R78" s="11">
        <v>1.23E-2</v>
      </c>
      <c r="S78" s="11">
        <v>1.8600000000000002E-2</v>
      </c>
      <c r="T78" s="11">
        <v>3.5000000000000003E-2</v>
      </c>
      <c r="U78" s="11">
        <v>6.0999999999999999E-2</v>
      </c>
      <c r="AC78" s="2"/>
      <c r="AS78" s="2"/>
    </row>
    <row r="79" spans="1:45" ht="15.75" customHeight="1" outlineLevel="1">
      <c r="A79" s="23" t="s">
        <v>267</v>
      </c>
      <c r="B79" t="s">
        <v>264</v>
      </c>
      <c r="C79" t="s">
        <v>180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AC79" s="2"/>
      <c r="AS79" s="2"/>
    </row>
    <row r="80" spans="1:45" ht="15.75" customHeight="1">
      <c r="A80" s="23" t="s">
        <v>268</v>
      </c>
      <c r="B80" t="s">
        <v>264</v>
      </c>
      <c r="C80" t="s">
        <v>256</v>
      </c>
      <c r="I80" s="5">
        <f t="shared" ref="I80:U80" si="15">I81+I82+I84</f>
        <v>1.7500000000000002E-2</v>
      </c>
      <c r="J80" s="5">
        <f t="shared" si="15"/>
        <v>6.3E-3</v>
      </c>
      <c r="K80" s="5">
        <f t="shared" si="15"/>
        <v>7.4000000000000003E-3</v>
      </c>
      <c r="L80" s="5">
        <f t="shared" si="15"/>
        <v>0.01</v>
      </c>
      <c r="M80" s="5">
        <f t="shared" si="15"/>
        <v>6.7000000000000002E-3</v>
      </c>
      <c r="N80" s="5">
        <f t="shared" si="15"/>
        <v>8.8999999999999999E-3</v>
      </c>
      <c r="O80" s="5">
        <f t="shared" si="15"/>
        <v>1.0800000000000001E-2</v>
      </c>
      <c r="P80" s="5">
        <f t="shared" si="15"/>
        <v>8.8999999999999999E-3</v>
      </c>
      <c r="Q80" s="5">
        <f t="shared" si="15"/>
        <v>7.2999999999999992E-3</v>
      </c>
      <c r="R80" s="5">
        <f t="shared" si="15"/>
        <v>8.6E-3</v>
      </c>
      <c r="S80" s="5">
        <f t="shared" si="15"/>
        <v>1.2E-2</v>
      </c>
      <c r="T80" s="5">
        <f t="shared" si="15"/>
        <v>7.4000000000000003E-3</v>
      </c>
      <c r="U80" s="5">
        <f t="shared" si="15"/>
        <v>8.8000000000000005E-3</v>
      </c>
      <c r="AC80" s="2"/>
      <c r="AS80" s="2"/>
    </row>
    <row r="81" spans="1:45" ht="15.75" customHeight="1" outlineLevel="1">
      <c r="A81" s="23" t="s">
        <v>269</v>
      </c>
      <c r="B81" t="s">
        <v>264</v>
      </c>
      <c r="C81" t="s">
        <v>180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2.9999999999999997E-4</v>
      </c>
      <c r="T81" s="11">
        <v>1E-3</v>
      </c>
      <c r="U81" s="11">
        <v>1.6000000000000001E-3</v>
      </c>
      <c r="AC81" s="2"/>
      <c r="AS81" s="2"/>
    </row>
    <row r="82" spans="1:45" ht="15.75" customHeight="1" outlineLevel="1">
      <c r="A82" s="23" t="s">
        <v>270</v>
      </c>
      <c r="B82" t="s">
        <v>264</v>
      </c>
      <c r="C82" t="s">
        <v>180</v>
      </c>
      <c r="I82" s="11">
        <v>2.9999999999999997E-4</v>
      </c>
      <c r="J82" s="11">
        <v>4.0000000000000002E-4</v>
      </c>
      <c r="K82" s="11">
        <v>5.0000000000000001E-4</v>
      </c>
      <c r="L82" s="11">
        <v>2.7000000000000001E-3</v>
      </c>
      <c r="M82" s="11">
        <v>8.0000000000000004E-4</v>
      </c>
      <c r="N82" s="11">
        <v>3.5999999999999999E-3</v>
      </c>
      <c r="O82" s="11">
        <v>5.1000000000000004E-3</v>
      </c>
      <c r="P82" s="11">
        <v>5.3E-3</v>
      </c>
      <c r="Q82" s="11">
        <v>2.5000000000000001E-3</v>
      </c>
      <c r="R82" s="11">
        <v>2.8000000000000004E-3</v>
      </c>
      <c r="S82" s="11">
        <v>6.4000000000000003E-3</v>
      </c>
      <c r="T82" s="11">
        <v>3.3E-3</v>
      </c>
      <c r="U82" s="11">
        <v>5.4000000000000003E-3</v>
      </c>
      <c r="AC82" s="2"/>
      <c r="AS82" s="2"/>
    </row>
    <row r="83" spans="1:45" ht="15.75" customHeight="1" outlineLevel="1">
      <c r="A83" s="23" t="s">
        <v>275</v>
      </c>
      <c r="B83" t="s">
        <v>264</v>
      </c>
      <c r="C83" t="s">
        <v>180</v>
      </c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  <c r="O83" s="11">
        <v>1.9E-3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AC83" s="2"/>
      <c r="AS83" s="2"/>
    </row>
    <row r="84" spans="1:45" ht="15.75" customHeight="1" outlineLevel="1">
      <c r="A84" s="23" t="s">
        <v>271</v>
      </c>
      <c r="B84" t="s">
        <v>264</v>
      </c>
      <c r="C84" t="s">
        <v>180</v>
      </c>
      <c r="I84" s="11">
        <v>1.72E-2</v>
      </c>
      <c r="J84" s="11">
        <v>5.8999999999999999E-3</v>
      </c>
      <c r="K84" s="11">
        <v>6.8999999999999999E-3</v>
      </c>
      <c r="L84" s="11">
        <v>7.3000000000000001E-3</v>
      </c>
      <c r="M84" s="11">
        <v>5.8999999999999999E-3</v>
      </c>
      <c r="N84" s="11">
        <v>5.3E-3</v>
      </c>
      <c r="O84" s="11">
        <v>5.6999999999999993E-3</v>
      </c>
      <c r="P84" s="11">
        <v>3.5999999999999999E-3</v>
      </c>
      <c r="Q84" s="11">
        <v>4.7999999999999996E-3</v>
      </c>
      <c r="R84" s="11">
        <v>5.7999999999999996E-3</v>
      </c>
      <c r="S84" s="11">
        <v>5.3E-3</v>
      </c>
      <c r="T84" s="11">
        <v>3.0999999999999999E-3</v>
      </c>
      <c r="U84" s="11">
        <v>1.8E-3</v>
      </c>
      <c r="AC84" s="2"/>
      <c r="AS84" s="2"/>
    </row>
    <row r="85" spans="1:45"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AC85" s="2"/>
      <c r="AS85" s="2"/>
    </row>
    <row r="87" spans="1:45" s="13" customFormat="1">
      <c r="A87" s="9" t="s">
        <v>277</v>
      </c>
    </row>
    <row r="88" spans="1:45" s="14" customFormat="1">
      <c r="A88" s="25" t="s">
        <v>253</v>
      </c>
    </row>
    <row r="89" spans="1:45">
      <c r="B89" s="16" t="s">
        <v>1</v>
      </c>
      <c r="C89" s="16" t="s">
        <v>2</v>
      </c>
      <c r="D89">
        <v>2005</v>
      </c>
      <c r="I89">
        <v>2010</v>
      </c>
      <c r="N89">
        <v>2015</v>
      </c>
      <c r="S89" t="s">
        <v>6</v>
      </c>
      <c r="X89">
        <v>2025</v>
      </c>
      <c r="AC89">
        <v>2030</v>
      </c>
    </row>
    <row r="90" spans="1:45">
      <c r="A90" t="s">
        <v>7</v>
      </c>
      <c r="B90" t="s">
        <v>264</v>
      </c>
      <c r="C90" t="s">
        <v>278</v>
      </c>
      <c r="D90" s="21"/>
      <c r="E90" s="21"/>
      <c r="F90" s="21"/>
      <c r="G90" s="21"/>
      <c r="H90" s="21"/>
      <c r="I90" s="2"/>
      <c r="J90" s="2"/>
      <c r="K90" s="2"/>
      <c r="L90" s="24"/>
      <c r="M90" s="24"/>
      <c r="N90" s="4">
        <f>N99</f>
        <v>71</v>
      </c>
      <c r="O90" s="4">
        <f t="shared" ref="O90:U90" si="16">O99</f>
        <v>117</v>
      </c>
      <c r="P90" s="4">
        <f t="shared" si="16"/>
        <v>151</v>
      </c>
      <c r="Q90" s="4">
        <f t="shared" si="16"/>
        <v>227</v>
      </c>
      <c r="R90" s="4">
        <f t="shared" si="16"/>
        <v>601</v>
      </c>
      <c r="S90" s="4">
        <f t="shared" si="16"/>
        <v>964</v>
      </c>
      <c r="T90" s="4">
        <f t="shared" si="16"/>
        <v>2150</v>
      </c>
      <c r="U90" s="4">
        <f t="shared" si="16"/>
        <v>3794</v>
      </c>
      <c r="V90" s="1"/>
      <c r="W90" s="1"/>
      <c r="X90" s="1"/>
      <c r="Y90" s="1"/>
      <c r="Z90" s="1"/>
      <c r="AA90" s="1"/>
      <c r="AB90" s="1"/>
      <c r="AC90" s="1"/>
    </row>
    <row r="91" spans="1:45">
      <c r="A91" t="s">
        <v>21</v>
      </c>
      <c r="B91" t="s">
        <v>225</v>
      </c>
      <c r="C91" t="s">
        <v>278</v>
      </c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>
        <v>80000</v>
      </c>
      <c r="AD91" s="1"/>
      <c r="AE91" s="1"/>
      <c r="AF91" s="1"/>
      <c r="AG91" s="4"/>
    </row>
    <row r="92" spans="1:45">
      <c r="A92" t="s">
        <v>20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U92" s="4">
        <v>3794</v>
      </c>
      <c r="V92" s="4">
        <v>13319.75</v>
      </c>
      <c r="W92" s="4">
        <v>22845.5</v>
      </c>
      <c r="X92" s="4">
        <v>32371.25</v>
      </c>
      <c r="Y92" s="4">
        <v>41897</v>
      </c>
      <c r="Z92" s="4">
        <v>51422.75</v>
      </c>
      <c r="AA92" s="4">
        <v>60948.5</v>
      </c>
      <c r="AB92" s="4">
        <v>70474.25</v>
      </c>
      <c r="AC92" s="4">
        <v>80000</v>
      </c>
      <c r="AD92" s="4"/>
      <c r="AE92" s="4"/>
      <c r="AF92" s="4"/>
      <c r="AG92" s="4"/>
    </row>
    <row r="93" spans="1:45"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AC93" s="2"/>
      <c r="AS93" s="2"/>
    </row>
    <row r="94" spans="1:45">
      <c r="A94" t="s">
        <v>28</v>
      </c>
      <c r="B94" s="4">
        <f>AVERAGE(U100-T100,T100-S100,S100-R100,R100-Q100)</f>
        <v>879.25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AC94" s="2"/>
      <c r="AS94" s="2"/>
    </row>
    <row r="95" spans="1:45">
      <c r="A95" t="s">
        <v>237</v>
      </c>
      <c r="B95" s="4">
        <f>V92-U92</f>
        <v>9525.75</v>
      </c>
      <c r="C95">
        <f>B95/B94</f>
        <v>10.833949388683537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4"/>
      <c r="R95" s="4"/>
      <c r="S95" s="4"/>
      <c r="T95" s="4"/>
      <c r="U95" s="4"/>
      <c r="AC95" s="2"/>
      <c r="AS95" s="2"/>
    </row>
    <row r="96" spans="1:45">
      <c r="R96" s="4"/>
    </row>
    <row r="97" spans="1:45" s="14" customFormat="1">
      <c r="A97" s="25" t="s">
        <v>37</v>
      </c>
    </row>
    <row r="98" spans="1:45">
      <c r="A98" s="23" t="s">
        <v>262</v>
      </c>
      <c r="B98" s="16" t="s">
        <v>1</v>
      </c>
      <c r="C98" s="16" t="s">
        <v>2</v>
      </c>
      <c r="I98" s="23">
        <v>2010</v>
      </c>
      <c r="J98" s="23">
        <v>2011</v>
      </c>
      <c r="K98" s="23">
        <v>2012</v>
      </c>
      <c r="L98" s="23">
        <v>2013</v>
      </c>
      <c r="M98" s="23">
        <v>2014</v>
      </c>
      <c r="N98" s="23">
        <v>2015</v>
      </c>
      <c r="O98" s="23">
        <v>2016</v>
      </c>
      <c r="P98" s="23">
        <v>2017</v>
      </c>
      <c r="Q98" s="23">
        <v>2018</v>
      </c>
      <c r="R98" s="23">
        <v>2019</v>
      </c>
      <c r="S98" s="23">
        <v>2020</v>
      </c>
      <c r="T98" s="23">
        <v>2021</v>
      </c>
      <c r="U98" s="23">
        <v>2022</v>
      </c>
    </row>
    <row r="99" spans="1:45">
      <c r="A99" s="23" t="s">
        <v>263</v>
      </c>
      <c r="B99" t="s">
        <v>264</v>
      </c>
      <c r="C99" t="s">
        <v>278</v>
      </c>
      <c r="I99" s="24"/>
      <c r="J99" s="24"/>
      <c r="K99" s="24"/>
      <c r="L99" s="24"/>
      <c r="M99" s="24"/>
      <c r="N99" s="24">
        <f>N100+N101</f>
        <v>71</v>
      </c>
      <c r="O99" s="24">
        <f t="shared" ref="O99:U99" si="17">O100+O101</f>
        <v>117</v>
      </c>
      <c r="P99" s="24">
        <f t="shared" si="17"/>
        <v>151</v>
      </c>
      <c r="Q99" s="24">
        <f t="shared" si="17"/>
        <v>227</v>
      </c>
      <c r="R99" s="24">
        <f t="shared" si="17"/>
        <v>601</v>
      </c>
      <c r="S99" s="24">
        <f t="shared" si="17"/>
        <v>964</v>
      </c>
      <c r="T99" s="24">
        <f t="shared" si="17"/>
        <v>2150</v>
      </c>
      <c r="U99" s="24">
        <f t="shared" si="17"/>
        <v>3794</v>
      </c>
    </row>
    <row r="100" spans="1:45" outlineLevel="1">
      <c r="A100" s="23" t="s">
        <v>266</v>
      </c>
      <c r="B100" t="s">
        <v>264</v>
      </c>
      <c r="C100" t="s">
        <v>278</v>
      </c>
      <c r="I100" s="12"/>
      <c r="J100" s="12"/>
      <c r="K100" s="12"/>
      <c r="L100" s="12"/>
      <c r="M100" s="12"/>
      <c r="N100" s="24">
        <v>71</v>
      </c>
      <c r="O100" s="24">
        <v>113</v>
      </c>
      <c r="P100" s="24">
        <v>145</v>
      </c>
      <c r="Q100" s="24">
        <v>222</v>
      </c>
      <c r="R100" s="24">
        <v>594</v>
      </c>
      <c r="S100" s="24">
        <v>955</v>
      </c>
      <c r="T100" s="24">
        <v>2136</v>
      </c>
      <c r="U100" s="24">
        <v>3739</v>
      </c>
      <c r="V100" s="12"/>
    </row>
    <row r="101" spans="1:45" outlineLevel="1">
      <c r="A101" s="23" t="s">
        <v>267</v>
      </c>
      <c r="B101" t="s">
        <v>264</v>
      </c>
      <c r="C101" t="s">
        <v>278</v>
      </c>
      <c r="I101" s="12"/>
      <c r="J101" s="12"/>
      <c r="K101" s="12"/>
      <c r="L101" s="12"/>
      <c r="M101" s="12"/>
      <c r="N101" s="24"/>
      <c r="O101" s="24">
        <v>4</v>
      </c>
      <c r="P101" s="24">
        <v>6</v>
      </c>
      <c r="Q101" s="24">
        <v>5</v>
      </c>
      <c r="R101" s="24">
        <v>7</v>
      </c>
      <c r="S101" s="24">
        <v>9</v>
      </c>
      <c r="T101" s="24">
        <v>14</v>
      </c>
      <c r="U101" s="24">
        <v>55</v>
      </c>
      <c r="V101" s="12"/>
    </row>
    <row r="102" spans="1:45" ht="14.25" customHeight="1">
      <c r="A102" s="23" t="s">
        <v>268</v>
      </c>
      <c r="B102" t="s">
        <v>264</v>
      </c>
      <c r="C102" t="s">
        <v>278</v>
      </c>
      <c r="I102" s="24"/>
      <c r="J102" s="24"/>
      <c r="K102" s="24"/>
      <c r="L102" s="24"/>
      <c r="M102" s="24"/>
      <c r="N102" s="24">
        <f>SUM(N103:N106)</f>
        <v>16998</v>
      </c>
      <c r="O102" s="24">
        <f t="shared" ref="O102:U102" si="18">SUM(O103:O106)</f>
        <v>16087</v>
      </c>
      <c r="P102" s="24">
        <f t="shared" si="18"/>
        <v>18666</v>
      </c>
      <c r="Q102" s="24">
        <f t="shared" si="18"/>
        <v>22489</v>
      </c>
      <c r="R102" s="24">
        <f t="shared" si="18"/>
        <v>29179</v>
      </c>
      <c r="S102" s="24">
        <f t="shared" si="18"/>
        <v>35206</v>
      </c>
      <c r="T102" s="24">
        <f t="shared" si="18"/>
        <v>39501</v>
      </c>
      <c r="U102" s="24">
        <f t="shared" si="18"/>
        <v>38967</v>
      </c>
    </row>
    <row r="103" spans="1:45" outlineLevel="1">
      <c r="A103" s="23" t="s">
        <v>269</v>
      </c>
      <c r="B103" t="s">
        <v>264</v>
      </c>
      <c r="C103" t="s">
        <v>278</v>
      </c>
      <c r="I103" s="12"/>
      <c r="J103" s="12"/>
      <c r="K103" s="12"/>
      <c r="L103" s="12"/>
      <c r="M103" s="12"/>
      <c r="N103" s="12"/>
      <c r="O103" s="12">
        <v>39</v>
      </c>
      <c r="P103" s="12">
        <v>40</v>
      </c>
      <c r="Q103" s="12">
        <v>40</v>
      </c>
      <c r="R103" s="12">
        <v>38</v>
      </c>
      <c r="S103" s="12">
        <v>29</v>
      </c>
      <c r="T103" s="12">
        <v>44</v>
      </c>
      <c r="U103" s="12">
        <v>115</v>
      </c>
    </row>
    <row r="104" spans="1:45" outlineLevel="1">
      <c r="A104" s="23" t="s">
        <v>270</v>
      </c>
      <c r="B104" t="s">
        <v>264</v>
      </c>
      <c r="C104" t="s">
        <v>278</v>
      </c>
      <c r="I104" s="24"/>
      <c r="J104" s="24"/>
      <c r="K104" s="24"/>
      <c r="L104" s="24"/>
      <c r="M104" s="24"/>
      <c r="N104" s="24">
        <v>8579</v>
      </c>
      <c r="O104" s="24">
        <v>8855</v>
      </c>
      <c r="P104" s="24">
        <v>8696</v>
      </c>
      <c r="Q104" s="24">
        <v>8712</v>
      </c>
      <c r="R104" s="24">
        <v>8691</v>
      </c>
      <c r="S104" s="24">
        <v>9133</v>
      </c>
      <c r="T104" s="24">
        <v>9392</v>
      </c>
      <c r="U104" s="24">
        <v>9810</v>
      </c>
    </row>
    <row r="105" spans="1:45" outlineLevel="1">
      <c r="A105" s="23" t="s">
        <v>275</v>
      </c>
      <c r="B105" t="s">
        <v>264</v>
      </c>
      <c r="C105" t="s">
        <v>278</v>
      </c>
      <c r="N105">
        <v>331</v>
      </c>
      <c r="O105">
        <v>496</v>
      </c>
      <c r="P105">
        <v>1425</v>
      </c>
      <c r="Q105">
        <v>2989</v>
      </c>
      <c r="R105">
        <v>4321</v>
      </c>
      <c r="S105">
        <v>6006</v>
      </c>
      <c r="T105">
        <v>7361</v>
      </c>
      <c r="U105">
        <v>8608</v>
      </c>
    </row>
    <row r="106" spans="1:45" outlineLevel="1">
      <c r="A106" s="23" t="s">
        <v>271</v>
      </c>
      <c r="B106" t="s">
        <v>264</v>
      </c>
      <c r="C106" t="s">
        <v>278</v>
      </c>
      <c r="I106" s="24"/>
      <c r="J106" s="24"/>
      <c r="K106" s="24"/>
      <c r="L106" s="24"/>
      <c r="M106" s="24"/>
      <c r="N106" s="24">
        <v>8088</v>
      </c>
      <c r="O106" s="24">
        <v>6697</v>
      </c>
      <c r="P106" s="24">
        <v>8505</v>
      </c>
      <c r="Q106" s="24">
        <v>10748</v>
      </c>
      <c r="R106" s="24">
        <v>16129</v>
      </c>
      <c r="S106" s="24">
        <v>20038</v>
      </c>
      <c r="T106" s="24">
        <v>22704</v>
      </c>
      <c r="U106" s="24">
        <v>20434</v>
      </c>
    </row>
    <row r="107" spans="1:45" ht="15.75" customHeight="1">
      <c r="A107" s="23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AC107" s="2"/>
      <c r="AS107" s="2"/>
    </row>
  </sheetData>
  <pageMargins left="0.7" right="0.7" top="0.75" bottom="0.75" header="0.3" footer="0.3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0FEA4-41F4-4D69-86F9-957C0D7D9C7E}">
  <sheetPr>
    <tabColor rgb="FFEFE973"/>
  </sheetPr>
  <dimension ref="A1:AW72"/>
  <sheetViews>
    <sheetView zoomScale="77" zoomScaleNormal="77" workbookViewId="0">
      <selection activeCell="B61" sqref="B61"/>
    </sheetView>
  </sheetViews>
  <sheetFormatPr defaultRowHeight="15"/>
  <cols>
    <col min="1" max="1" width="29.85546875" bestFit="1" customWidth="1"/>
    <col min="2" max="2" width="36.85546875" customWidth="1"/>
    <col min="3" max="3" width="8.5703125" customWidth="1"/>
  </cols>
  <sheetData>
    <row r="1" spans="1:49" s="13" customFormat="1">
      <c r="A1" s="9" t="s">
        <v>279</v>
      </c>
    </row>
    <row r="2" spans="1:49">
      <c r="B2" s="16" t="s">
        <v>1</v>
      </c>
      <c r="C2" s="16" t="s">
        <v>2</v>
      </c>
      <c r="D2">
        <v>2005</v>
      </c>
      <c r="I2">
        <v>2010</v>
      </c>
      <c r="N2">
        <v>2015</v>
      </c>
      <c r="S2" t="s">
        <v>6</v>
      </c>
      <c r="X2">
        <v>2025</v>
      </c>
      <c r="AC2">
        <v>2030</v>
      </c>
      <c r="AH2">
        <v>2035</v>
      </c>
      <c r="AM2">
        <v>2040</v>
      </c>
      <c r="AR2">
        <v>2045</v>
      </c>
      <c r="AW2">
        <v>2050</v>
      </c>
    </row>
    <row r="3" spans="1:49">
      <c r="A3" t="s">
        <v>214</v>
      </c>
      <c r="B3" t="s">
        <v>280</v>
      </c>
      <c r="C3" t="s">
        <v>180</v>
      </c>
      <c r="D3" s="2">
        <f>D16</f>
        <v>0.97693313387571479</v>
      </c>
      <c r="E3" s="2">
        <f t="shared" ref="E3:T3" si="0">E16</f>
        <v>0.97247514380224365</v>
      </c>
      <c r="F3" s="2">
        <f t="shared" si="0"/>
        <v>0.96783367668451992</v>
      </c>
      <c r="G3" s="2">
        <f t="shared" si="0"/>
        <v>0.96313576098158482</v>
      </c>
      <c r="H3" s="2">
        <f t="shared" si="0"/>
        <v>0.95721742487332728</v>
      </c>
      <c r="I3" s="2">
        <f t="shared" si="0"/>
        <v>0.95306270500451784</v>
      </c>
      <c r="J3" s="2">
        <f t="shared" si="0"/>
        <v>0.95080239408531397</v>
      </c>
      <c r="K3" s="2">
        <f t="shared" si="0"/>
        <v>0.94663168203526493</v>
      </c>
      <c r="L3" s="2">
        <f t="shared" si="0"/>
        <v>0.95000286451557647</v>
      </c>
      <c r="M3" s="2">
        <f t="shared" si="0"/>
        <v>0.94799927227748604</v>
      </c>
      <c r="N3" s="2">
        <f t="shared" si="0"/>
        <v>0.9486074176655519</v>
      </c>
      <c r="O3" s="2">
        <f t="shared" si="0"/>
        <v>0.95056169756651498</v>
      </c>
      <c r="P3" s="2">
        <f t="shared" si="0"/>
        <v>0.9484261114537299</v>
      </c>
      <c r="Q3" s="2">
        <f t="shared" si="0"/>
        <v>0.94506993236659709</v>
      </c>
      <c r="R3" s="2">
        <f t="shared" si="0"/>
        <v>0.9439528593405081</v>
      </c>
      <c r="S3" s="2">
        <f t="shared" si="0"/>
        <v>0.93222689293803929</v>
      </c>
      <c r="T3" s="2">
        <f t="shared" si="0"/>
        <v>0.9343557793164442</v>
      </c>
      <c r="U3" s="21"/>
      <c r="V3" s="1"/>
      <c r="W3" s="1"/>
      <c r="X3" s="1"/>
      <c r="Y3" s="1"/>
      <c r="Z3" s="1"/>
      <c r="AA3" s="1"/>
      <c r="AB3" s="1"/>
      <c r="AC3" s="1"/>
    </row>
    <row r="4" spans="1:49">
      <c r="A4" t="s">
        <v>21</v>
      </c>
      <c r="B4" t="s">
        <v>22</v>
      </c>
      <c r="C4" t="s">
        <v>180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2">
        <f>AC70</f>
        <v>0.89104865052752358</v>
      </c>
      <c r="AD4" s="1"/>
      <c r="AE4" s="1"/>
      <c r="AF4" s="1"/>
      <c r="AG4" s="1"/>
    </row>
    <row r="5" spans="1:49">
      <c r="A5" t="s">
        <v>23</v>
      </c>
      <c r="B5" t="s">
        <v>22</v>
      </c>
      <c r="C5" t="s">
        <v>180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AC5" s="1"/>
      <c r="AD5" s="1"/>
      <c r="AE5" s="1"/>
      <c r="AF5" s="1"/>
      <c r="AG5" s="1"/>
      <c r="AH5" s="1"/>
      <c r="AW5" s="2">
        <f>AW70</f>
        <v>0.14063216058446115</v>
      </c>
    </row>
    <row r="6" spans="1:49"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AC6" s="2"/>
      <c r="AT6" s="2"/>
    </row>
    <row r="7" spans="1:49">
      <c r="A7" t="s">
        <v>27</v>
      </c>
      <c r="D7" s="10">
        <f>AVERAGE(T3-S3,S3-R3,R3-Q3,Q3-P3)</f>
        <v>-3.5175830343214254E-3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AC7" s="2"/>
      <c r="AT7" s="2"/>
    </row>
    <row r="8" spans="1:49">
      <c r="A8" t="s">
        <v>281</v>
      </c>
      <c r="D8" s="10">
        <f>(AC4-T3)/8</f>
        <v>-5.4133910986150779E-3</v>
      </c>
      <c r="E8" s="27">
        <f>D8/D7</f>
        <v>1.5389519012901913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AC8" s="2"/>
      <c r="AT8" s="2"/>
    </row>
    <row r="9" spans="1:49">
      <c r="A9" t="s">
        <v>238</v>
      </c>
      <c r="D9" s="10" t="e">
        <f>#REF!-#REF!</f>
        <v>#REF!</v>
      </c>
      <c r="E9" s="27" t="e">
        <f>D9/D7</f>
        <v>#REF!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AC9" s="2"/>
      <c r="AT9" s="2"/>
    </row>
    <row r="10" spans="1:49"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AC10" s="2"/>
      <c r="AT10" s="2"/>
    </row>
    <row r="11" spans="1:49"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AC11" s="2"/>
      <c r="AT11" s="2"/>
    </row>
    <row r="12" spans="1:49"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AC12" s="2"/>
      <c r="AT12" s="2"/>
    </row>
    <row r="13" spans="1:49" s="13" customFormat="1">
      <c r="A13" s="9" t="s">
        <v>37</v>
      </c>
    </row>
    <row r="14" spans="1:49" s="14" customFormat="1">
      <c r="A14" s="26" t="s">
        <v>282</v>
      </c>
      <c r="AJ14" s="72" t="s">
        <v>283</v>
      </c>
      <c r="AK14" s="66"/>
      <c r="AL14" s="66"/>
      <c r="AM14" s="66"/>
      <c r="AN14" s="66"/>
      <c r="AO14" s="66"/>
      <c r="AP14" s="66"/>
      <c r="AQ14" s="66"/>
      <c r="AR14" s="66"/>
      <c r="AS14" s="66"/>
      <c r="AT14" s="66"/>
    </row>
    <row r="15" spans="1:49">
      <c r="B15" s="16" t="s">
        <v>1</v>
      </c>
      <c r="C15" s="16" t="s">
        <v>2</v>
      </c>
      <c r="D15">
        <v>2005</v>
      </c>
      <c r="I15">
        <v>2010</v>
      </c>
      <c r="N15">
        <v>2015</v>
      </c>
      <c r="S15" t="s">
        <v>6</v>
      </c>
      <c r="X15">
        <v>2025</v>
      </c>
      <c r="AC15">
        <v>2030</v>
      </c>
      <c r="AH15">
        <v>2035</v>
      </c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</row>
    <row r="16" spans="1:49">
      <c r="A16" t="s">
        <v>284</v>
      </c>
      <c r="D16" s="6">
        <f>(D23+D24+D25+D26+D27+D34+D35+D36+D37+D38+D45+D46+D47+D48+D49)/(D22+D33+D44)</f>
        <v>0.97693313387571479</v>
      </c>
      <c r="E16" s="6">
        <f t="shared" ref="E16:T16" si="1">(E23+E24+E25+E26+E27+E34+E35+E36+E37+E38+E45+E46+E47+E48+E49)/(E22+E33+E44)</f>
        <v>0.97247514380224365</v>
      </c>
      <c r="F16" s="6">
        <f t="shared" si="1"/>
        <v>0.96783367668451992</v>
      </c>
      <c r="G16" s="6">
        <f t="shared" si="1"/>
        <v>0.96313576098158482</v>
      </c>
      <c r="H16" s="6">
        <f t="shared" si="1"/>
        <v>0.95721742487332728</v>
      </c>
      <c r="I16" s="6">
        <f t="shared" si="1"/>
        <v>0.95306270500451784</v>
      </c>
      <c r="J16" s="6">
        <f t="shared" si="1"/>
        <v>0.95080239408531397</v>
      </c>
      <c r="K16" s="6">
        <f t="shared" si="1"/>
        <v>0.94663168203526493</v>
      </c>
      <c r="L16" s="6">
        <f t="shared" si="1"/>
        <v>0.95000286451557647</v>
      </c>
      <c r="M16" s="6">
        <f t="shared" si="1"/>
        <v>0.94799927227748604</v>
      </c>
      <c r="N16" s="6">
        <f t="shared" si="1"/>
        <v>0.9486074176655519</v>
      </c>
      <c r="O16" s="6">
        <f t="shared" si="1"/>
        <v>0.95056169756651498</v>
      </c>
      <c r="P16" s="6">
        <f t="shared" si="1"/>
        <v>0.9484261114537299</v>
      </c>
      <c r="Q16" s="6">
        <f t="shared" si="1"/>
        <v>0.94506993236659709</v>
      </c>
      <c r="R16" s="6">
        <f t="shared" si="1"/>
        <v>0.9439528593405081</v>
      </c>
      <c r="S16" s="6">
        <f t="shared" si="1"/>
        <v>0.93222689293803929</v>
      </c>
      <c r="T16" s="6">
        <f t="shared" si="1"/>
        <v>0.9343557793164442</v>
      </c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</row>
    <row r="17" spans="1:46">
      <c r="A17" t="s">
        <v>285</v>
      </c>
      <c r="D17" s="6">
        <f>(D29+D40+D51)/(D22+D33+D44)</f>
        <v>8.7247070636977848E-3</v>
      </c>
      <c r="E17" s="6">
        <f t="shared" ref="E17:T17" si="2">(E29+E40+E51)/(E22+E33+E44)</f>
        <v>1.4031061706471505E-2</v>
      </c>
      <c r="F17" s="6">
        <f t="shared" si="2"/>
        <v>1.9195223191896843E-2</v>
      </c>
      <c r="G17" s="6">
        <f t="shared" si="2"/>
        <v>2.3910982893546203E-2</v>
      </c>
      <c r="H17" s="6">
        <f t="shared" si="2"/>
        <v>2.9501086066470793E-2</v>
      </c>
      <c r="I17" s="6">
        <f t="shared" si="2"/>
        <v>3.3471505974884797E-2</v>
      </c>
      <c r="J17" s="6">
        <f t="shared" si="2"/>
        <v>3.5386032646749888E-2</v>
      </c>
      <c r="K17" s="6">
        <f t="shared" si="2"/>
        <v>3.9166826405124956E-2</v>
      </c>
      <c r="L17" s="6">
        <f t="shared" si="2"/>
        <v>3.5512128441488433E-2</v>
      </c>
      <c r="M17" s="6">
        <f t="shared" si="2"/>
        <v>3.8020485113177648E-2</v>
      </c>
      <c r="N17" s="6">
        <f t="shared" si="2"/>
        <v>3.7444966420398365E-2</v>
      </c>
      <c r="O17" s="6">
        <f t="shared" si="2"/>
        <v>3.5581690574006584E-2</v>
      </c>
      <c r="P17" s="6">
        <f t="shared" si="2"/>
        <v>3.783139298693574E-2</v>
      </c>
      <c r="Q17" s="6">
        <f t="shared" si="2"/>
        <v>4.125956277979969E-2</v>
      </c>
      <c r="R17" s="6">
        <f t="shared" si="2"/>
        <v>4.2481539785961912E-2</v>
      </c>
      <c r="S17" s="6">
        <f t="shared" si="2"/>
        <v>5.2626941970495437E-2</v>
      </c>
      <c r="T17" s="6">
        <f t="shared" si="2"/>
        <v>5.0175587641225539E-2</v>
      </c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</row>
    <row r="18" spans="1:46">
      <c r="A18" t="s">
        <v>286</v>
      </c>
      <c r="D18" s="6">
        <f>(D28+D39+D50)/(D22+D33+D44)</f>
        <v>1.4342159060587414E-2</v>
      </c>
      <c r="E18" s="6">
        <f t="shared" ref="E18:T18" si="3">(E28+E39+E50)/(E22+E33+E44)</f>
        <v>1.3493794491285006E-2</v>
      </c>
      <c r="F18" s="6">
        <f t="shared" si="3"/>
        <v>1.297110012358307E-2</v>
      </c>
      <c r="G18" s="6">
        <f t="shared" si="3"/>
        <v>1.2953256124869184E-2</v>
      </c>
      <c r="H18" s="6">
        <f t="shared" si="3"/>
        <v>1.3281489060201775E-2</v>
      </c>
      <c r="I18" s="6">
        <f t="shared" si="3"/>
        <v>1.3465789020597264E-2</v>
      </c>
      <c r="J18" s="6">
        <f t="shared" si="3"/>
        <v>1.3811573267936382E-2</v>
      </c>
      <c r="K18" s="6">
        <f t="shared" si="3"/>
        <v>1.4201491559610237E-2</v>
      </c>
      <c r="L18" s="6">
        <f t="shared" si="3"/>
        <v>1.4485012938516471E-2</v>
      </c>
      <c r="M18" s="6">
        <f t="shared" si="3"/>
        <v>1.3980248460418601E-2</v>
      </c>
      <c r="N18" s="6">
        <f t="shared" si="3"/>
        <v>1.3947621672044381E-2</v>
      </c>
      <c r="O18" s="6">
        <f t="shared" si="3"/>
        <v>1.385662307953664E-2</v>
      </c>
      <c r="P18" s="6">
        <f t="shared" si="3"/>
        <v>1.374258854582653E-2</v>
      </c>
      <c r="Q18" s="6">
        <f t="shared" si="3"/>
        <v>1.3670647951594908E-2</v>
      </c>
      <c r="R18" s="6">
        <f t="shared" si="3"/>
        <v>1.3566323533458031E-2</v>
      </c>
      <c r="S18" s="6">
        <f t="shared" si="3"/>
        <v>1.5148388888527622E-2</v>
      </c>
      <c r="T18" s="6">
        <f t="shared" si="3"/>
        <v>1.5472572622262452E-2</v>
      </c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</row>
    <row r="19" spans="1:46">
      <c r="D19" s="22"/>
      <c r="E19" s="22"/>
      <c r="F19" s="22"/>
      <c r="G19" s="22"/>
      <c r="H19" s="22"/>
      <c r="I19" s="22"/>
      <c r="J19" s="22"/>
      <c r="K19" s="4"/>
      <c r="L19" s="4"/>
      <c r="M19" s="4"/>
      <c r="N19" s="4"/>
      <c r="O19" s="4"/>
      <c r="P19" s="4"/>
      <c r="Q19" s="4"/>
      <c r="R19" s="4"/>
      <c r="S19" s="4"/>
      <c r="T19" s="4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</row>
    <row r="20" spans="1:46" s="14" customFormat="1">
      <c r="A20" s="26" t="s">
        <v>287</v>
      </c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</row>
    <row r="21" spans="1:46">
      <c r="B21" s="16" t="s">
        <v>1</v>
      </c>
      <c r="C21" s="16" t="s">
        <v>2</v>
      </c>
      <c r="D21">
        <v>2005</v>
      </c>
      <c r="I21">
        <v>2010</v>
      </c>
      <c r="N21">
        <v>2015</v>
      </c>
      <c r="S21" t="s">
        <v>6</v>
      </c>
      <c r="X21">
        <v>2025</v>
      </c>
      <c r="AC21">
        <v>2030</v>
      </c>
      <c r="AH21">
        <v>2035</v>
      </c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</row>
    <row r="22" spans="1:46">
      <c r="A22" t="s">
        <v>7</v>
      </c>
      <c r="B22" t="s">
        <v>288</v>
      </c>
      <c r="C22" t="s">
        <v>289</v>
      </c>
      <c r="D22" s="22">
        <v>281578.76799999998</v>
      </c>
      <c r="E22" s="22">
        <v>287221.11300000001</v>
      </c>
      <c r="F22" s="22">
        <v>291835.11</v>
      </c>
      <c r="G22" s="22">
        <v>287886.20400000003</v>
      </c>
      <c r="H22" s="22">
        <v>280641.74300000002</v>
      </c>
      <c r="I22" s="22">
        <v>279992.44199999998</v>
      </c>
      <c r="J22" s="22">
        <v>278951.01</v>
      </c>
      <c r="K22" s="4">
        <v>269187.62400000001</v>
      </c>
      <c r="L22" s="4">
        <v>265449.95500000002</v>
      </c>
      <c r="M22" s="4">
        <v>268808.99300000002</v>
      </c>
      <c r="N22" s="4">
        <v>272463.41700000002</v>
      </c>
      <c r="O22" s="4">
        <v>278736.337</v>
      </c>
      <c r="P22" s="4">
        <v>284509.20699999999</v>
      </c>
      <c r="Q22" s="4">
        <v>285944.66499999998</v>
      </c>
      <c r="R22" s="4">
        <v>288722.80699999997</v>
      </c>
      <c r="S22" s="4">
        <v>251439.587</v>
      </c>
      <c r="T22" s="4">
        <v>274834.94799999997</v>
      </c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</row>
    <row r="23" spans="1:46">
      <c r="A23" t="s">
        <v>290</v>
      </c>
      <c r="B23" t="s">
        <v>288</v>
      </c>
      <c r="C23" t="s">
        <v>289</v>
      </c>
      <c r="D23" s="22">
        <v>5.4889999999999999</v>
      </c>
      <c r="E23" s="22">
        <v>1.1160000000000001</v>
      </c>
      <c r="F23" s="22">
        <v>0.99299999999999999</v>
      </c>
      <c r="G23" s="22">
        <v>1.0209999999999999</v>
      </c>
      <c r="H23" s="22">
        <v>0.48299999999999998</v>
      </c>
      <c r="I23" s="22">
        <v>0.47599999999999998</v>
      </c>
      <c r="J23" s="22">
        <v>0.46899999999999997</v>
      </c>
      <c r="K23" s="22">
        <v>0.47699999999999998</v>
      </c>
      <c r="L23" s="22">
        <v>0.48799999999999999</v>
      </c>
      <c r="M23" s="22">
        <v>1.1539999999999999</v>
      </c>
      <c r="N23" s="22">
        <v>1.1919999999999999</v>
      </c>
      <c r="O23" s="22">
        <v>1.159</v>
      </c>
      <c r="P23" s="22">
        <v>1.357</v>
      </c>
      <c r="Q23" s="22">
        <v>1</v>
      </c>
      <c r="R23" s="22">
        <v>0.58099999999999996</v>
      </c>
      <c r="S23" s="22">
        <v>0.35099999999999998</v>
      </c>
      <c r="T23" s="4">
        <v>0.41199999999999998</v>
      </c>
      <c r="AD23" s="1"/>
      <c r="AE23" s="1"/>
      <c r="AF23" s="1"/>
      <c r="AG23" s="1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</row>
    <row r="24" spans="1:46" ht="11.25" customHeight="1">
      <c r="A24" t="s">
        <v>291</v>
      </c>
      <c r="B24" t="s">
        <v>288</v>
      </c>
      <c r="C24" t="s">
        <v>289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AC24" s="1"/>
      <c r="AD24" s="1"/>
      <c r="AE24" s="1"/>
      <c r="AF24" s="1"/>
      <c r="AG24" s="1"/>
      <c r="AH24" s="1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</row>
    <row r="25" spans="1:46">
      <c r="A25" t="s">
        <v>292</v>
      </c>
      <c r="B25" t="s">
        <v>288</v>
      </c>
      <c r="C25" t="s">
        <v>289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</row>
    <row r="26" spans="1:46">
      <c r="A26" t="s">
        <v>293</v>
      </c>
      <c r="B26" t="s">
        <v>288</v>
      </c>
      <c r="C26" t="s">
        <v>289</v>
      </c>
      <c r="D26" s="4">
        <v>2787.873</v>
      </c>
      <c r="E26" s="4">
        <v>2679.47</v>
      </c>
      <c r="F26" s="4">
        <v>2770.7539999999999</v>
      </c>
      <c r="G26" s="4">
        <v>2895.259</v>
      </c>
      <c r="H26" s="4">
        <v>2537.4430000000002</v>
      </c>
      <c r="I26" s="4">
        <v>2660.3519999999999</v>
      </c>
      <c r="J26" s="4">
        <v>3032.0949999999998</v>
      </c>
      <c r="K26" s="4">
        <v>2833.788</v>
      </c>
      <c r="L26" s="4">
        <v>3119.998</v>
      </c>
      <c r="M26" s="4">
        <v>2993.7829999999999</v>
      </c>
      <c r="N26" s="4">
        <v>3031.348</v>
      </c>
      <c r="O26" s="4">
        <v>3198.3449999999998</v>
      </c>
      <c r="P26" s="4">
        <v>3304.1959999999999</v>
      </c>
      <c r="Q26" s="4">
        <v>3488.2269999999999</v>
      </c>
      <c r="R26" s="4">
        <v>3705.1990000000001</v>
      </c>
      <c r="S26" s="4">
        <v>3066.1</v>
      </c>
      <c r="T26" s="4">
        <v>3718.087</v>
      </c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</row>
    <row r="27" spans="1:46">
      <c r="A27" t="s">
        <v>294</v>
      </c>
      <c r="B27" t="s">
        <v>288</v>
      </c>
      <c r="C27" t="s">
        <v>289</v>
      </c>
      <c r="D27" s="4">
        <v>270483.07</v>
      </c>
      <c r="E27" s="4">
        <v>274348.89500000002</v>
      </c>
      <c r="F27" s="4">
        <v>276889.83899999998</v>
      </c>
      <c r="G27" s="4">
        <v>271182.00799999997</v>
      </c>
      <c r="H27" s="4">
        <v>262752.13500000001</v>
      </c>
      <c r="I27" s="4">
        <v>260489.88200000001</v>
      </c>
      <c r="J27" s="4">
        <v>258278.30100000001</v>
      </c>
      <c r="K27" s="4">
        <v>247925.899</v>
      </c>
      <c r="L27" s="4">
        <v>245368.584</v>
      </c>
      <c r="M27" s="4">
        <v>248039.318</v>
      </c>
      <c r="N27" s="4">
        <v>251580.01500000001</v>
      </c>
      <c r="O27" s="4">
        <v>257911.861</v>
      </c>
      <c r="P27" s="4">
        <v>262345.946</v>
      </c>
      <c r="Q27" s="4">
        <v>262127.378</v>
      </c>
      <c r="R27" s="4">
        <v>264124.08199999999</v>
      </c>
      <c r="S27" s="4">
        <v>227702.745</v>
      </c>
      <c r="T27" s="4">
        <v>249154.43400000001</v>
      </c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</row>
    <row r="28" spans="1:46">
      <c r="A28" t="s">
        <v>295</v>
      </c>
      <c r="B28" t="s">
        <v>288</v>
      </c>
      <c r="C28" t="s">
        <v>289</v>
      </c>
      <c r="D28" s="4">
        <v>5162.098</v>
      </c>
      <c r="E28" s="4">
        <v>4996.3490000000002</v>
      </c>
      <c r="F28" s="4">
        <v>4908.9849999999997</v>
      </c>
      <c r="G28" s="4">
        <v>4851.7879999999996</v>
      </c>
      <c r="H28" s="4">
        <v>4765.8</v>
      </c>
      <c r="I28" s="4">
        <v>4831.7060000000001</v>
      </c>
      <c r="J28" s="4">
        <v>4952.2359999999999</v>
      </c>
      <c r="K28" s="4">
        <v>4903.6099999999997</v>
      </c>
      <c r="L28" s="4">
        <v>4913.8540000000003</v>
      </c>
      <c r="M28" s="4">
        <v>4778.6880000000001</v>
      </c>
      <c r="N28" s="4">
        <v>4844.6109999999999</v>
      </c>
      <c r="O28" s="4">
        <v>4939.9470000000001</v>
      </c>
      <c r="P28" s="4">
        <v>5024.902</v>
      </c>
      <c r="Q28" s="4">
        <v>5063.2740000000003</v>
      </c>
      <c r="R28" s="4">
        <v>5068.6459999999997</v>
      </c>
      <c r="S28" s="4">
        <v>4672.9960000000001</v>
      </c>
      <c r="T28" s="4">
        <v>5215.6769999999997</v>
      </c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</row>
    <row r="29" spans="1:46">
      <c r="A29" t="s">
        <v>296</v>
      </c>
      <c r="B29" t="s">
        <v>288</v>
      </c>
      <c r="C29" t="s">
        <v>289</v>
      </c>
      <c r="D29" s="4">
        <v>3140.2379999999521</v>
      </c>
      <c r="E29" s="4">
        <v>5195.2830000000413</v>
      </c>
      <c r="F29" s="4">
        <v>7264.5389999999761</v>
      </c>
      <c r="G29" s="4">
        <v>8956.1280000000261</v>
      </c>
      <c r="H29" s="4">
        <v>10585.881999999972</v>
      </c>
      <c r="I29" s="4">
        <v>12010.025999999931</v>
      </c>
      <c r="J29" s="4">
        <v>12687.909000000047</v>
      </c>
      <c r="K29" s="4">
        <v>13523.849999999991</v>
      </c>
      <c r="L29" s="4">
        <v>12047.030999999981</v>
      </c>
      <c r="M29" s="4">
        <v>12996.050000000041</v>
      </c>
      <c r="N29" s="4">
        <v>13006.251000000022</v>
      </c>
      <c r="O29" s="4">
        <v>12685.025000000038</v>
      </c>
      <c r="P29" s="4">
        <v>13832.805999999984</v>
      </c>
      <c r="Q29" s="4">
        <v>15264.785999999967</v>
      </c>
      <c r="R29" s="4">
        <v>15824.298999999948</v>
      </c>
      <c r="S29" s="4">
        <v>15997.395000000004</v>
      </c>
      <c r="T29" s="4">
        <v>16746.337999999956</v>
      </c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</row>
    <row r="30" spans="1:46"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</row>
    <row r="31" spans="1:46" s="14" customFormat="1">
      <c r="A31" s="26" t="s">
        <v>297</v>
      </c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</row>
    <row r="32" spans="1:46">
      <c r="B32" s="16" t="s">
        <v>1</v>
      </c>
      <c r="C32" s="16" t="s">
        <v>2</v>
      </c>
      <c r="D32">
        <v>2005</v>
      </c>
      <c r="I32">
        <v>2010</v>
      </c>
      <c r="N32">
        <v>2015</v>
      </c>
      <c r="S32" t="s">
        <v>6</v>
      </c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</row>
    <row r="33" spans="1:46">
      <c r="A33" t="s">
        <v>7</v>
      </c>
      <c r="B33" t="s">
        <v>288</v>
      </c>
      <c r="C33" t="s">
        <v>289</v>
      </c>
      <c r="D33" s="22">
        <v>47197.777999999998</v>
      </c>
      <c r="E33" s="22">
        <v>50311.868000000002</v>
      </c>
      <c r="F33" s="22">
        <v>52464.315000000002</v>
      </c>
      <c r="G33" s="22">
        <v>51884.182999999997</v>
      </c>
      <c r="H33" s="22">
        <v>46334.866000000002</v>
      </c>
      <c r="I33" s="22">
        <v>46700.957000000002</v>
      </c>
      <c r="J33" s="22">
        <v>46535.697</v>
      </c>
      <c r="K33" s="4">
        <v>43487.328999999998</v>
      </c>
      <c r="L33" s="4">
        <v>41030.762999999999</v>
      </c>
      <c r="M33" s="4">
        <v>39836.328999999998</v>
      </c>
      <c r="N33" s="4">
        <v>40311.578000000001</v>
      </c>
      <c r="O33" s="4">
        <v>41540.203000000001</v>
      </c>
      <c r="P33" s="4">
        <v>42178.036999999997</v>
      </c>
      <c r="Q33" s="4">
        <v>43415.985999999997</v>
      </c>
      <c r="R33" s="4">
        <v>43105.004000000001</v>
      </c>
      <c r="S33" s="4">
        <v>39000.264999999999</v>
      </c>
      <c r="T33" s="4">
        <v>40760.758000000002</v>
      </c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</row>
    <row r="34" spans="1:46">
      <c r="A34" t="s">
        <v>290</v>
      </c>
      <c r="B34" t="s">
        <v>288</v>
      </c>
      <c r="C34" t="s">
        <v>289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4">
        <v>0</v>
      </c>
    </row>
    <row r="35" spans="1:46">
      <c r="A35" t="s">
        <v>291</v>
      </c>
      <c r="B35" t="s">
        <v>288</v>
      </c>
      <c r="C35" t="s">
        <v>289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</row>
    <row r="36" spans="1:46">
      <c r="A36" t="s">
        <v>292</v>
      </c>
      <c r="B36" t="s">
        <v>288</v>
      </c>
      <c r="C36" t="s">
        <v>289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</row>
    <row r="37" spans="1:46">
      <c r="A37" t="s">
        <v>293</v>
      </c>
      <c r="B37" t="s">
        <v>288</v>
      </c>
      <c r="C37" t="s">
        <v>289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0.315</v>
      </c>
      <c r="M37" s="4">
        <v>0.52300000000000002</v>
      </c>
      <c r="N37" s="4">
        <v>5.3840000000000003</v>
      </c>
      <c r="O37" s="4">
        <v>1.7709999999999999</v>
      </c>
      <c r="P37" s="4">
        <v>49.945999999999998</v>
      </c>
      <c r="Q37" s="4">
        <v>62.756999999999998</v>
      </c>
      <c r="R37" s="4">
        <v>142.47</v>
      </c>
      <c r="S37" s="4">
        <v>180.76400000000001</v>
      </c>
      <c r="T37" s="4">
        <v>264.04700000000003</v>
      </c>
    </row>
    <row r="38" spans="1:46">
      <c r="A38" t="s">
        <v>294</v>
      </c>
      <c r="B38" t="s">
        <v>288</v>
      </c>
      <c r="C38" t="s">
        <v>289</v>
      </c>
      <c r="D38" s="4">
        <v>47197.777999999998</v>
      </c>
      <c r="E38" s="4">
        <v>50311.868000000002</v>
      </c>
      <c r="F38" s="4">
        <v>52464.315000000002</v>
      </c>
      <c r="G38" s="4">
        <v>51884.182999999997</v>
      </c>
      <c r="H38" s="4">
        <v>46334.866000000002</v>
      </c>
      <c r="I38" s="4">
        <v>46700.957000000002</v>
      </c>
      <c r="J38" s="4">
        <v>46535.697</v>
      </c>
      <c r="K38" s="4">
        <v>43487.328999999998</v>
      </c>
      <c r="L38" s="4">
        <v>41030.449000000001</v>
      </c>
      <c r="M38" s="4">
        <v>39835.805999999997</v>
      </c>
      <c r="N38" s="4">
        <v>40306.194000000003</v>
      </c>
      <c r="O38" s="4">
        <v>41538.432000000001</v>
      </c>
      <c r="P38" s="4">
        <v>42128.09</v>
      </c>
      <c r="Q38" s="4">
        <v>43336.538999999997</v>
      </c>
      <c r="R38" s="4">
        <v>42915.161999999997</v>
      </c>
      <c r="S38" s="4">
        <v>38583.15</v>
      </c>
      <c r="T38" s="4">
        <v>40330.599000000002</v>
      </c>
    </row>
    <row r="39" spans="1:46">
      <c r="A39" t="s">
        <v>295</v>
      </c>
      <c r="B39" t="s">
        <v>288</v>
      </c>
      <c r="C39" t="s">
        <v>289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</row>
    <row r="40" spans="1:46">
      <c r="A40" t="s">
        <v>296</v>
      </c>
      <c r="B40" t="s">
        <v>288</v>
      </c>
      <c r="C40" t="s">
        <v>289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1E-3</v>
      </c>
      <c r="M40" s="4">
        <v>2E-3</v>
      </c>
      <c r="N40" s="4">
        <v>2E-3</v>
      </c>
      <c r="O40" s="4">
        <v>4.0000000000000001E-3</v>
      </c>
      <c r="P40" s="4">
        <v>3.5000000000000003E-2</v>
      </c>
      <c r="Q40" s="4">
        <v>16.744</v>
      </c>
      <c r="R40" s="4">
        <v>47.642000000000003</v>
      </c>
      <c r="S40" s="4">
        <v>237.03700000000001</v>
      </c>
      <c r="T40" s="4">
        <v>167.44</v>
      </c>
    </row>
    <row r="42" spans="1:46" s="14" customFormat="1">
      <c r="A42" s="26" t="s">
        <v>298</v>
      </c>
    </row>
    <row r="43" spans="1:46">
      <c r="B43" s="16" t="s">
        <v>1</v>
      </c>
      <c r="C43" s="16" t="s">
        <v>2</v>
      </c>
      <c r="D43">
        <v>2005</v>
      </c>
      <c r="I43">
        <v>2010</v>
      </c>
      <c r="N43">
        <v>2015</v>
      </c>
      <c r="S43" t="s">
        <v>6</v>
      </c>
    </row>
    <row r="44" spans="1:46">
      <c r="A44" t="s">
        <v>7</v>
      </c>
      <c r="B44" t="s">
        <v>288</v>
      </c>
      <c r="C44" t="s">
        <v>289</v>
      </c>
      <c r="D44" s="22">
        <v>31148.203000000001</v>
      </c>
      <c r="E44" s="22">
        <v>32737.146000000001</v>
      </c>
      <c r="F44" s="22">
        <v>34156.137999999999</v>
      </c>
      <c r="G44" s="22">
        <v>34790.877999999997</v>
      </c>
      <c r="H44" s="22">
        <v>31853.637999999999</v>
      </c>
      <c r="I44" s="22">
        <v>32120.035</v>
      </c>
      <c r="J44" s="22">
        <v>33070.273000000001</v>
      </c>
      <c r="K44" s="4">
        <v>32613.425999999999</v>
      </c>
      <c r="L44" s="4">
        <v>32756.397000000001</v>
      </c>
      <c r="M44" s="4">
        <v>33171.779000000002</v>
      </c>
      <c r="N44" s="4">
        <v>34568.165999999997</v>
      </c>
      <c r="O44" s="4">
        <v>36227.853000000003</v>
      </c>
      <c r="P44" s="4">
        <v>38957.262000000002</v>
      </c>
      <c r="Q44" s="4">
        <v>41014.917000000001</v>
      </c>
      <c r="R44" s="4">
        <v>41791.909</v>
      </c>
      <c r="S44" s="4">
        <v>18041.534</v>
      </c>
      <c r="T44" s="4">
        <v>21496.071</v>
      </c>
    </row>
    <row r="45" spans="1:46">
      <c r="A45" t="s">
        <v>290</v>
      </c>
      <c r="B45" t="s">
        <v>288</v>
      </c>
      <c r="C45" t="s">
        <v>289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</row>
    <row r="46" spans="1:46">
      <c r="A46" t="s">
        <v>291</v>
      </c>
      <c r="B46" t="s">
        <v>288</v>
      </c>
      <c r="C46" t="s">
        <v>289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</row>
    <row r="47" spans="1:46">
      <c r="A47" t="s">
        <v>292</v>
      </c>
      <c r="B47" t="s">
        <v>288</v>
      </c>
      <c r="C47" t="s">
        <v>289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</row>
    <row r="48" spans="1:46">
      <c r="A48" t="s">
        <v>293</v>
      </c>
      <c r="B48" t="s">
        <v>288</v>
      </c>
      <c r="C48" t="s">
        <v>289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</row>
    <row r="49" spans="1:49">
      <c r="A49" t="s">
        <v>294</v>
      </c>
      <c r="B49" t="s">
        <v>288</v>
      </c>
      <c r="C49" t="s">
        <v>289</v>
      </c>
      <c r="D49" s="4">
        <v>31148.203000000001</v>
      </c>
      <c r="E49" s="4">
        <v>32737.146000000001</v>
      </c>
      <c r="F49" s="4">
        <v>34156.137999999999</v>
      </c>
      <c r="G49" s="4">
        <v>34790.877999999997</v>
      </c>
      <c r="H49" s="4">
        <v>31853.637999999999</v>
      </c>
      <c r="I49" s="4">
        <v>32120.035</v>
      </c>
      <c r="J49" s="4">
        <v>33070.273000000001</v>
      </c>
      <c r="K49" s="4">
        <v>32613.425999999999</v>
      </c>
      <c r="L49" s="4">
        <v>32756.397000000001</v>
      </c>
      <c r="M49" s="4">
        <v>33171.779000000002</v>
      </c>
      <c r="N49" s="4">
        <v>34568.165999999997</v>
      </c>
      <c r="O49" s="4">
        <v>36227.853000000003</v>
      </c>
      <c r="P49" s="4">
        <v>38957.262000000002</v>
      </c>
      <c r="Q49" s="4">
        <v>41014.911999999997</v>
      </c>
      <c r="R49" s="4">
        <v>41791.909</v>
      </c>
      <c r="S49" s="4">
        <v>18041.534</v>
      </c>
      <c r="T49" s="4">
        <v>21496.071</v>
      </c>
    </row>
    <row r="50" spans="1:49">
      <c r="A50" t="s">
        <v>295</v>
      </c>
      <c r="B50" t="s">
        <v>288</v>
      </c>
      <c r="C50" t="s">
        <v>289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</row>
    <row r="51" spans="1:49">
      <c r="A51" t="s">
        <v>296</v>
      </c>
      <c r="B51" t="s">
        <v>288</v>
      </c>
      <c r="C51" t="s">
        <v>289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4.0000000000000001E-3</v>
      </c>
      <c r="R51" s="4">
        <v>0</v>
      </c>
      <c r="S51" s="4">
        <v>0</v>
      </c>
      <c r="T51" s="4">
        <v>0</v>
      </c>
    </row>
    <row r="53" spans="1:49" s="13" customFormat="1">
      <c r="A53" s="9" t="s">
        <v>299</v>
      </c>
    </row>
    <row r="54" spans="1:49">
      <c r="B54" s="16" t="s">
        <v>1</v>
      </c>
      <c r="C54" s="16" t="s">
        <v>2</v>
      </c>
      <c r="D54">
        <v>2005</v>
      </c>
      <c r="I54">
        <v>2010</v>
      </c>
      <c r="N54">
        <v>2015</v>
      </c>
      <c r="S54" t="s">
        <v>6</v>
      </c>
      <c r="X54">
        <v>2025</v>
      </c>
      <c r="AC54">
        <v>2030</v>
      </c>
      <c r="AH54">
        <v>2035</v>
      </c>
      <c r="AM54">
        <v>2040</v>
      </c>
      <c r="AR54">
        <v>2045</v>
      </c>
      <c r="AW54">
        <v>2050</v>
      </c>
    </row>
    <row r="55" spans="1:49">
      <c r="A55" t="s">
        <v>300</v>
      </c>
      <c r="B55" s="16"/>
      <c r="C55" s="16"/>
      <c r="D55" s="1">
        <f>D56+D57+D58</f>
        <v>354993.12</v>
      </c>
      <c r="I55" s="1">
        <f>I56+I57+I58</f>
        <v>354072.75099999999</v>
      </c>
      <c r="N55" s="1">
        <f>N56+N57+N58</f>
        <v>343118.47853989986</v>
      </c>
      <c r="S55" s="1">
        <f>S56+S57+S58</f>
        <v>278467.95455591619</v>
      </c>
      <c r="X55" s="1">
        <f>X56+X57+X58</f>
        <v>338308.98883762665</v>
      </c>
      <c r="AC55" s="1">
        <f>AC56+AC57+AC58</f>
        <v>310078.2257416845</v>
      </c>
    </row>
    <row r="56" spans="1:49">
      <c r="A56" t="s">
        <v>301</v>
      </c>
      <c r="B56" t="s">
        <v>302</v>
      </c>
      <c r="C56" t="s">
        <v>289</v>
      </c>
      <c r="D56" s="21">
        <v>276593</v>
      </c>
      <c r="I56" s="21">
        <v>275276</v>
      </c>
      <c r="N56" s="21">
        <v>268402</v>
      </c>
      <c r="S56" s="21">
        <v>229324</v>
      </c>
      <c r="X56" s="21">
        <v>254320</v>
      </c>
      <c r="AC56" s="21">
        <v>226570</v>
      </c>
    </row>
    <row r="57" spans="1:49">
      <c r="A57" t="s">
        <v>298</v>
      </c>
      <c r="B57" t="s">
        <v>302</v>
      </c>
      <c r="C57" t="s">
        <v>289</v>
      </c>
      <c r="D57" s="21">
        <v>31201.289000000001</v>
      </c>
      <c r="I57" s="21">
        <v>32151.120999999999</v>
      </c>
      <c r="N57" s="21">
        <v>35228.387539899864</v>
      </c>
      <c r="S57" s="21">
        <v>18608.938012294286</v>
      </c>
      <c r="X57" s="21">
        <v>40217.525731833106</v>
      </c>
      <c r="AC57" s="21">
        <v>40020.368673797027</v>
      </c>
      <c r="AD57" s="1"/>
      <c r="AE57" s="1"/>
      <c r="AF57" s="1"/>
      <c r="AG57" s="1"/>
    </row>
    <row r="58" spans="1:49">
      <c r="A58" t="s">
        <v>303</v>
      </c>
      <c r="B58" t="s">
        <v>302</v>
      </c>
      <c r="C58" t="s">
        <v>289</v>
      </c>
      <c r="D58" s="21">
        <v>47198.831000000006</v>
      </c>
      <c r="I58" s="21">
        <v>46645.630000000012</v>
      </c>
      <c r="N58" s="21">
        <v>39488.091</v>
      </c>
      <c r="R58" s="2"/>
      <c r="S58" s="21">
        <v>30535.016543621921</v>
      </c>
      <c r="X58" s="21">
        <v>43771.463105793518</v>
      </c>
      <c r="AC58" s="21">
        <v>43487.857067887475</v>
      </c>
      <c r="AD58" s="1"/>
      <c r="AE58" s="1"/>
      <c r="AF58" s="1"/>
      <c r="AG58" s="1"/>
      <c r="AH58" s="1"/>
    </row>
    <row r="59" spans="1:49">
      <c r="D59" s="21"/>
      <c r="I59" s="21"/>
      <c r="N59" s="21"/>
      <c r="R59" s="2"/>
      <c r="S59" s="21"/>
      <c r="X59" s="21"/>
      <c r="AC59" s="21"/>
      <c r="AD59" s="1"/>
      <c r="AE59" s="1"/>
      <c r="AF59" s="1"/>
      <c r="AG59" s="1"/>
      <c r="AH59" s="1"/>
    </row>
    <row r="60" spans="1:49">
      <c r="A60" t="s">
        <v>295</v>
      </c>
      <c r="B60" t="s">
        <v>304</v>
      </c>
      <c r="C60" t="s">
        <v>305</v>
      </c>
      <c r="D60" s="21"/>
      <c r="I60" s="21"/>
      <c r="N60" s="21"/>
      <c r="R60" s="2"/>
      <c r="S60" s="21"/>
      <c r="X60" s="21"/>
      <c r="AC60" s="1">
        <v>12.317249662046692</v>
      </c>
      <c r="AD60" s="1"/>
      <c r="AE60" s="1"/>
      <c r="AF60" s="1"/>
      <c r="AG60" s="1"/>
      <c r="AH60" s="1"/>
      <c r="AW60">
        <v>43.138565315213441</v>
      </c>
    </row>
    <row r="61" spans="1:49">
      <c r="A61" t="s">
        <v>306</v>
      </c>
      <c r="B61" t="s">
        <v>304</v>
      </c>
      <c r="C61" t="s">
        <v>305</v>
      </c>
      <c r="D61" s="21"/>
      <c r="I61" s="21"/>
      <c r="N61" s="21"/>
      <c r="R61" s="2"/>
      <c r="S61" s="21"/>
      <c r="X61" s="21"/>
      <c r="AC61" s="1">
        <v>0.95714993367803147</v>
      </c>
      <c r="AD61" s="1"/>
      <c r="AE61" s="1"/>
      <c r="AF61" s="1"/>
      <c r="AG61" s="1"/>
      <c r="AH61" s="1"/>
      <c r="AW61">
        <v>39.971847603499285</v>
      </c>
    </row>
    <row r="62" spans="1:49">
      <c r="A62" t="s">
        <v>307</v>
      </c>
      <c r="B62" t="s">
        <v>304</v>
      </c>
      <c r="C62" t="s">
        <v>305</v>
      </c>
      <c r="D62" s="21"/>
      <c r="I62" s="21"/>
      <c r="N62" s="21"/>
      <c r="R62" s="2"/>
      <c r="S62" s="21"/>
      <c r="X62" s="21"/>
      <c r="AC62" s="1">
        <v>4.3219484745314956E-3</v>
      </c>
      <c r="AD62" s="1"/>
      <c r="AE62" s="1"/>
      <c r="AF62" s="1"/>
      <c r="AG62" s="1"/>
      <c r="AH62" s="1"/>
      <c r="AW62">
        <v>6.4009766727425568</v>
      </c>
    </row>
    <row r="63" spans="1:49">
      <c r="A63" t="s">
        <v>308</v>
      </c>
      <c r="B63" t="s">
        <v>304</v>
      </c>
      <c r="C63" t="s">
        <v>305</v>
      </c>
      <c r="D63" s="21"/>
      <c r="I63" s="21"/>
      <c r="N63" s="21"/>
      <c r="R63" s="2"/>
      <c r="S63" s="21"/>
      <c r="X63" s="21"/>
      <c r="AC63" s="1">
        <v>0.84222484013884191</v>
      </c>
      <c r="AD63" s="1"/>
      <c r="AE63" s="1"/>
      <c r="AF63" s="1"/>
      <c r="AG63" s="1"/>
      <c r="AH63" s="1"/>
      <c r="AW63">
        <v>8.1074440044702971</v>
      </c>
    </row>
    <row r="64" spans="1:49">
      <c r="A64" t="s">
        <v>309</v>
      </c>
      <c r="B64" t="s">
        <v>304</v>
      </c>
      <c r="C64" t="s">
        <v>305</v>
      </c>
      <c r="D64" s="21"/>
      <c r="I64" s="21"/>
      <c r="N64" s="21"/>
      <c r="R64" s="2"/>
      <c r="S64" s="21"/>
      <c r="X64" s="21"/>
      <c r="AC64" s="1">
        <v>9.9857895080891712</v>
      </c>
      <c r="AD64" s="1"/>
      <c r="AE64" s="1"/>
      <c r="AF64" s="1"/>
      <c r="AG64" s="1"/>
      <c r="AH64" s="1"/>
      <c r="AW64">
        <v>1.8289721483128778</v>
      </c>
    </row>
    <row r="65" spans="1:49">
      <c r="A65" t="s">
        <v>310</v>
      </c>
      <c r="B65" t="s">
        <v>304</v>
      </c>
      <c r="C65" t="s">
        <v>305</v>
      </c>
      <c r="D65" s="21"/>
      <c r="I65" s="21"/>
      <c r="N65" s="21"/>
      <c r="R65" s="2"/>
      <c r="S65" s="21"/>
      <c r="X65" s="21"/>
      <c r="AC65" s="1">
        <v>20.187916049458124</v>
      </c>
      <c r="AD65" s="1"/>
      <c r="AE65" s="1"/>
      <c r="AF65" s="1"/>
      <c r="AG65" s="1"/>
      <c r="AH65" s="1"/>
      <c r="AW65">
        <v>40.693607785798562</v>
      </c>
    </row>
    <row r="66" spans="1:49">
      <c r="A66" t="s">
        <v>311</v>
      </c>
      <c r="B66" t="s">
        <v>304</v>
      </c>
      <c r="C66" t="s">
        <v>305</v>
      </c>
      <c r="D66" s="21"/>
      <c r="I66" s="21"/>
      <c r="N66" s="21"/>
      <c r="R66" s="2"/>
      <c r="S66" s="21"/>
      <c r="X66" s="21"/>
      <c r="AC66" s="1">
        <v>0.62151917705406645</v>
      </c>
      <c r="AD66" s="1"/>
      <c r="AE66" s="1"/>
      <c r="AF66" s="1"/>
      <c r="AG66" s="1"/>
      <c r="AH66" s="1"/>
      <c r="AW66">
        <v>37.994348865958521</v>
      </c>
    </row>
    <row r="67" spans="1:49">
      <c r="A67" t="s">
        <v>312</v>
      </c>
      <c r="B67" t="s">
        <v>304</v>
      </c>
      <c r="C67" t="s">
        <v>305</v>
      </c>
      <c r="D67" s="21"/>
      <c r="I67" s="21"/>
      <c r="N67" s="21"/>
      <c r="R67" s="2"/>
      <c r="S67" s="21"/>
      <c r="X67" s="21"/>
      <c r="AC67" s="1">
        <v>275.68914290403654</v>
      </c>
      <c r="AD67" s="1"/>
      <c r="AE67" s="1"/>
      <c r="AF67" s="1"/>
      <c r="AG67" s="1"/>
      <c r="AH67" s="1"/>
      <c r="AW67">
        <v>27.022939339445195</v>
      </c>
    </row>
    <row r="68" spans="1:49">
      <c r="A68" t="s">
        <v>313</v>
      </c>
      <c r="B68" t="s">
        <v>304</v>
      </c>
      <c r="C68" t="s">
        <v>305</v>
      </c>
      <c r="D68" s="21"/>
      <c r="I68" s="21"/>
      <c r="N68" s="21"/>
      <c r="R68" s="2"/>
      <c r="S68" s="21"/>
      <c r="X68" s="21"/>
      <c r="AC68" s="1">
        <v>320.60531402297602</v>
      </c>
      <c r="AD68" s="1"/>
      <c r="AE68" s="1"/>
      <c r="AF68" s="1"/>
      <c r="AG68" s="1"/>
      <c r="AH68" s="1"/>
      <c r="AW68">
        <v>205.15870173544076</v>
      </c>
    </row>
    <row r="69" spans="1:49">
      <c r="D69" s="21"/>
      <c r="I69" s="21"/>
      <c r="N69" s="21"/>
      <c r="R69" s="2"/>
      <c r="S69" s="21"/>
      <c r="X69" s="21"/>
      <c r="AC69" s="21"/>
      <c r="AD69" s="1"/>
      <c r="AE69" s="1"/>
      <c r="AF69" s="1"/>
      <c r="AG69" s="1"/>
      <c r="AH69" s="1"/>
    </row>
    <row r="70" spans="1:49">
      <c r="A70" t="s">
        <v>314</v>
      </c>
      <c r="D70" s="1"/>
      <c r="AC70" s="2">
        <f>(AC67+AC64)/AC68</f>
        <v>0.89104865052752358</v>
      </c>
      <c r="AW70" s="2">
        <f>(AW67+AW64)/AW68</f>
        <v>0.14063216058446115</v>
      </c>
    </row>
    <row r="71" spans="1:49">
      <c r="N71" s="1"/>
    </row>
    <row r="72" spans="1:49">
      <c r="N72" s="1"/>
      <c r="AC72" s="1"/>
    </row>
  </sheetData>
  <pageMargins left="0.7" right="0.7" top="0.75" bottom="0.75" header="0.3" footer="0.3"/>
  <pageSetup paperSize="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00615-E0BD-4D32-917B-6E6177EDA80B}">
  <sheetPr>
    <tabColor rgb="FFEFE973"/>
  </sheetPr>
  <dimension ref="A1:AQ46"/>
  <sheetViews>
    <sheetView showGridLines="0" topLeftCell="A22" zoomScale="91" zoomScaleNormal="91" workbookViewId="0">
      <selection activeCell="D26" sqref="D26"/>
    </sheetView>
  </sheetViews>
  <sheetFormatPr defaultRowHeight="15"/>
  <cols>
    <col min="2" max="3" width="9.140625" customWidth="1"/>
    <col min="4" max="4" width="12" bestFit="1" customWidth="1"/>
  </cols>
  <sheetData>
    <row r="1" spans="1:43" s="13" customFormat="1">
      <c r="A1" s="9" t="s">
        <v>315</v>
      </c>
    </row>
    <row r="2" spans="1:43">
      <c r="B2" t="s">
        <v>316</v>
      </c>
      <c r="C2" t="s">
        <v>317</v>
      </c>
      <c r="D2">
        <v>2011</v>
      </c>
      <c r="H2">
        <v>2015</v>
      </c>
      <c r="M2">
        <v>2020</v>
      </c>
      <c r="R2">
        <v>2025</v>
      </c>
      <c r="W2">
        <v>2030</v>
      </c>
      <c r="AB2">
        <v>2035</v>
      </c>
      <c r="AG2">
        <v>2040</v>
      </c>
      <c r="AL2">
        <v>2045</v>
      </c>
      <c r="AQ2">
        <v>2050</v>
      </c>
    </row>
    <row r="3" spans="1:43">
      <c r="A3" t="s">
        <v>318</v>
      </c>
      <c r="B3" s="29" t="s">
        <v>319</v>
      </c>
      <c r="C3" t="s">
        <v>320</v>
      </c>
      <c r="D3" s="30">
        <v>6.9098999999999995</v>
      </c>
      <c r="E3" s="30">
        <v>9.2096</v>
      </c>
      <c r="F3" s="30">
        <v>9.0130999999999997</v>
      </c>
      <c r="G3" s="30">
        <v>9.5666000000000011</v>
      </c>
      <c r="H3" s="30">
        <v>9.4332000000000011</v>
      </c>
      <c r="I3" s="30">
        <v>9.5187999999999988</v>
      </c>
      <c r="J3" s="30">
        <v>10.0395</v>
      </c>
      <c r="K3" s="30">
        <v>10.736499999999999</v>
      </c>
      <c r="L3" s="30">
        <v>11.028499999999999</v>
      </c>
      <c r="M3" s="30">
        <v>10.565299999999999</v>
      </c>
      <c r="N3" s="30">
        <v>10.154200000000001</v>
      </c>
    </row>
    <row r="4" spans="1:43">
      <c r="A4" t="s">
        <v>21</v>
      </c>
      <c r="B4" t="s">
        <v>321</v>
      </c>
      <c r="W4">
        <v>11.437800000000001</v>
      </c>
    </row>
    <row r="5" spans="1:43">
      <c r="A5" t="s">
        <v>23</v>
      </c>
      <c r="AQ5">
        <v>0</v>
      </c>
    </row>
    <row r="6" spans="1:43">
      <c r="A6" t="s">
        <v>20</v>
      </c>
      <c r="L6" s="30">
        <v>11.028499999999999</v>
      </c>
      <c r="M6" s="30">
        <v>11.06570909090909</v>
      </c>
      <c r="N6" s="30">
        <v>11.102918181818181</v>
      </c>
      <c r="O6" s="30">
        <v>11.140127272727272</v>
      </c>
      <c r="P6" s="30">
        <v>11.177336363636362</v>
      </c>
      <c r="Q6" s="30">
        <v>11.214545454545453</v>
      </c>
      <c r="R6" s="30">
        <v>11.251754545454544</v>
      </c>
      <c r="S6" s="30">
        <v>11.288963636363635</v>
      </c>
      <c r="T6" s="30">
        <v>11.326172727272725</v>
      </c>
      <c r="U6" s="30">
        <v>11.363381818181816</v>
      </c>
      <c r="V6" s="30">
        <v>11.400590909090907</v>
      </c>
      <c r="W6" s="30">
        <v>11.437799999999998</v>
      </c>
      <c r="X6" s="30">
        <v>10.86591</v>
      </c>
      <c r="Y6" s="30">
        <v>10.29402</v>
      </c>
      <c r="Z6" s="30">
        <v>9.7221299999999999</v>
      </c>
      <c r="AA6" s="30">
        <v>9.1502400000000002</v>
      </c>
      <c r="AB6" s="30">
        <v>8.5783500000000004</v>
      </c>
      <c r="AC6" s="30">
        <v>8.0064600000000006</v>
      </c>
      <c r="AD6" s="30">
        <v>7.4345700000000008</v>
      </c>
      <c r="AE6" s="30">
        <v>6.862680000000001</v>
      </c>
      <c r="AF6" s="30">
        <v>6.2907900000000012</v>
      </c>
      <c r="AG6" s="30">
        <v>5.7189000000000014</v>
      </c>
      <c r="AH6" s="30">
        <v>5.1470100000000016</v>
      </c>
      <c r="AI6" s="30">
        <v>4.5751200000000019</v>
      </c>
      <c r="AJ6" s="30">
        <v>4.0032300000000021</v>
      </c>
      <c r="AK6" s="30">
        <v>3.4313400000000023</v>
      </c>
      <c r="AL6" s="30">
        <v>2.8594500000000025</v>
      </c>
      <c r="AM6" s="30">
        <v>2.2875600000000027</v>
      </c>
      <c r="AN6" s="30">
        <v>1.7156700000000029</v>
      </c>
      <c r="AO6" s="30">
        <v>1.1437800000000031</v>
      </c>
      <c r="AP6" s="30">
        <v>0.57189000000000334</v>
      </c>
      <c r="AQ6" s="30">
        <v>3.5527136788005001E-15</v>
      </c>
    </row>
    <row r="7" spans="1:43" s="76" customFormat="1">
      <c r="A7" s="75"/>
    </row>
    <row r="8" spans="1:43">
      <c r="B8" t="s">
        <v>316</v>
      </c>
      <c r="C8" t="s">
        <v>317</v>
      </c>
      <c r="D8">
        <v>2011</v>
      </c>
      <c r="H8">
        <v>2015</v>
      </c>
      <c r="M8">
        <v>2020</v>
      </c>
      <c r="R8">
        <v>2025</v>
      </c>
      <c r="W8">
        <v>2030</v>
      </c>
      <c r="AB8">
        <v>2035</v>
      </c>
      <c r="AG8">
        <v>2040</v>
      </c>
      <c r="AL8">
        <v>2045</v>
      </c>
      <c r="AQ8">
        <v>2050</v>
      </c>
    </row>
    <row r="9" spans="1:43">
      <c r="A9" t="s">
        <v>318</v>
      </c>
      <c r="B9" s="29" t="s">
        <v>319</v>
      </c>
      <c r="C9" t="s">
        <v>357</v>
      </c>
      <c r="D9" s="30">
        <f>D3*11.63</f>
        <v>80.362137000000004</v>
      </c>
      <c r="E9" s="30">
        <f t="shared" ref="E9:N9" si="0">E3*11.63</f>
        <v>107.10764800000001</v>
      </c>
      <c r="F9" s="30">
        <f t="shared" si="0"/>
        <v>104.82235300000001</v>
      </c>
      <c r="G9" s="30">
        <f t="shared" si="0"/>
        <v>111.25955800000003</v>
      </c>
      <c r="H9" s="30">
        <f t="shared" si="0"/>
        <v>109.70811600000002</v>
      </c>
      <c r="I9" s="30">
        <f t="shared" si="0"/>
        <v>110.703644</v>
      </c>
      <c r="J9" s="30">
        <f t="shared" si="0"/>
        <v>116.75938500000001</v>
      </c>
      <c r="K9" s="30">
        <f t="shared" si="0"/>
        <v>124.865495</v>
      </c>
      <c r="L9" s="30">
        <f t="shared" si="0"/>
        <v>128.26145500000001</v>
      </c>
      <c r="M9" s="30">
        <f t="shared" si="0"/>
        <v>122.874439</v>
      </c>
      <c r="N9" s="30">
        <f t="shared" si="0"/>
        <v>118.09334600000003</v>
      </c>
    </row>
    <row r="10" spans="1:43">
      <c r="A10" t="s">
        <v>21</v>
      </c>
      <c r="B10" t="s">
        <v>321</v>
      </c>
      <c r="W10" s="30">
        <f t="shared" ref="W10" si="1">W4*11.63</f>
        <v>133.02161400000003</v>
      </c>
    </row>
    <row r="11" spans="1:43">
      <c r="A11" t="s">
        <v>23</v>
      </c>
      <c r="AQ11" s="30">
        <f t="shared" ref="AQ11" si="2">AQ5*11.63</f>
        <v>0</v>
      </c>
    </row>
    <row r="12" spans="1:43">
      <c r="A12" t="s">
        <v>20</v>
      </c>
      <c r="L12" s="30">
        <f t="shared" ref="L12:AQ12" si="3">L6*11.63</f>
        <v>128.26145500000001</v>
      </c>
      <c r="M12" s="30">
        <f t="shared" si="3"/>
        <v>128.69419672727273</v>
      </c>
      <c r="N12" s="30">
        <f t="shared" si="3"/>
        <v>129.12693845454544</v>
      </c>
      <c r="O12" s="30">
        <f t="shared" si="3"/>
        <v>129.55968018181818</v>
      </c>
      <c r="P12" s="30">
        <f t="shared" si="3"/>
        <v>129.99242190909089</v>
      </c>
      <c r="Q12" s="30">
        <f t="shared" si="3"/>
        <v>130.42516363636364</v>
      </c>
      <c r="R12" s="30">
        <f t="shared" si="3"/>
        <v>130.85790536363635</v>
      </c>
      <c r="S12" s="30">
        <f t="shared" si="3"/>
        <v>131.29064709090909</v>
      </c>
      <c r="T12" s="30">
        <f t="shared" si="3"/>
        <v>131.7233888181818</v>
      </c>
      <c r="U12" s="30">
        <f t="shared" si="3"/>
        <v>132.15613054545452</v>
      </c>
      <c r="V12" s="30">
        <f t="shared" si="3"/>
        <v>132.58887227272726</v>
      </c>
      <c r="W12" s="30">
        <f t="shared" si="3"/>
        <v>133.02161399999997</v>
      </c>
      <c r="X12" s="30">
        <f t="shared" si="3"/>
        <v>126.37053330000001</v>
      </c>
      <c r="Y12" s="30">
        <f t="shared" si="3"/>
        <v>119.71945260000001</v>
      </c>
      <c r="Z12" s="30">
        <f t="shared" si="3"/>
        <v>113.0683719</v>
      </c>
      <c r="AA12" s="30">
        <f t="shared" si="3"/>
        <v>106.41729120000001</v>
      </c>
      <c r="AB12" s="30">
        <f t="shared" si="3"/>
        <v>99.766210500000014</v>
      </c>
      <c r="AC12" s="30">
        <f t="shared" si="3"/>
        <v>93.11512980000002</v>
      </c>
      <c r="AD12" s="30">
        <f t="shared" si="3"/>
        <v>86.464049100000011</v>
      </c>
      <c r="AE12" s="30">
        <f t="shared" si="3"/>
        <v>79.812968400000017</v>
      </c>
      <c r="AF12" s="30">
        <f t="shared" si="3"/>
        <v>73.161887700000023</v>
      </c>
      <c r="AG12" s="30">
        <f t="shared" si="3"/>
        <v>66.510807000000014</v>
      </c>
      <c r="AH12" s="30">
        <f t="shared" si="3"/>
        <v>59.85972630000002</v>
      </c>
      <c r="AI12" s="30">
        <f t="shared" si="3"/>
        <v>53.208645600000025</v>
      </c>
      <c r="AJ12" s="30">
        <f t="shared" si="3"/>
        <v>46.557564900000024</v>
      </c>
      <c r="AK12" s="30">
        <f t="shared" si="3"/>
        <v>39.90648420000003</v>
      </c>
      <c r="AL12" s="30">
        <f t="shared" si="3"/>
        <v>33.255403500000028</v>
      </c>
      <c r="AM12" s="30">
        <f t="shared" si="3"/>
        <v>26.604322800000034</v>
      </c>
      <c r="AN12" s="30">
        <f t="shared" si="3"/>
        <v>19.953242100000036</v>
      </c>
      <c r="AO12" s="30">
        <f t="shared" si="3"/>
        <v>13.302161400000037</v>
      </c>
      <c r="AP12" s="30">
        <f t="shared" si="3"/>
        <v>6.6510807000000396</v>
      </c>
      <c r="AQ12" s="30">
        <f t="shared" si="3"/>
        <v>4.1318060084449822E-14</v>
      </c>
    </row>
    <row r="14" spans="1:43">
      <c r="A14" t="s">
        <v>322</v>
      </c>
      <c r="B14" t="s">
        <v>22</v>
      </c>
      <c r="C14" t="s">
        <v>180</v>
      </c>
      <c r="W14" s="5">
        <v>0.05</v>
      </c>
    </row>
    <row r="15" spans="1:43">
      <c r="A15" t="s">
        <v>323</v>
      </c>
      <c r="B15" t="s">
        <v>22</v>
      </c>
      <c r="C15" t="s">
        <v>320</v>
      </c>
      <c r="W15">
        <f>228756/1000</f>
        <v>228.756</v>
      </c>
    </row>
    <row r="16" spans="1:43">
      <c r="A16" t="s">
        <v>324</v>
      </c>
      <c r="B16" t="s">
        <v>29</v>
      </c>
      <c r="C16" t="s">
        <v>320</v>
      </c>
      <c r="W16">
        <f>W14*W15</f>
        <v>11.437800000000001</v>
      </c>
    </row>
    <row r="18" spans="1:14">
      <c r="A18" t="s">
        <v>132</v>
      </c>
      <c r="D18" s="30">
        <f>AVERAGE(L9-K9,K9-J9,J9-I9,I9-H9)</f>
        <v>4.6383347499999985</v>
      </c>
    </row>
    <row r="19" spans="1:14">
      <c r="A19" t="s">
        <v>133</v>
      </c>
      <c r="D19" s="31">
        <f>(W10-L9)/11</f>
        <v>0.43274172727272869</v>
      </c>
    </row>
    <row r="20" spans="1:14">
      <c r="A20" t="s">
        <v>211</v>
      </c>
      <c r="D20" s="30">
        <f>Y12-X12</f>
        <v>-6.6510806999999943</v>
      </c>
    </row>
    <row r="26" spans="1:14">
      <c r="A26" t="s">
        <v>325</v>
      </c>
      <c r="D26" s="2">
        <f>D9/('T6a. % of fossil fuels'!J29/1000)</f>
        <v>6.3337573590730907</v>
      </c>
      <c r="E26" s="2">
        <f>E9/('T6a. % of fossil fuels'!K29/1000)</f>
        <v>7.9199080143598222</v>
      </c>
      <c r="F26" s="2">
        <f>F9/('T6a. % of fossil fuels'!L29/1000)</f>
        <v>8.7010943194219532</v>
      </c>
      <c r="G26" s="2">
        <f>G9/('T6a. % of fossil fuels'!M29/1000)</f>
        <v>8.5610287741274984</v>
      </c>
      <c r="H26" s="2">
        <f>H9/('T6a. % of fossil fuels'!N29/1000)</f>
        <v>8.4350298944714996</v>
      </c>
      <c r="I26" s="2">
        <f>I9/('T6a. % of fossil fuels'!O29/1000)</f>
        <v>8.7271127963878392</v>
      </c>
      <c r="J26" s="2">
        <f>J9/('T6a. % of fossil fuels'!P29/1000)</f>
        <v>8.4407592356894288</v>
      </c>
      <c r="K26" s="2">
        <f>K9/('T6a. % of fossil fuels'!Q29/1000)</f>
        <v>8.1799702269000214</v>
      </c>
      <c r="L26" s="2">
        <f>L9/('T6a. % of fossil fuels'!R29/1000)</f>
        <v>8.1053483001048221</v>
      </c>
      <c r="M26" s="2">
        <f>M9/('T6a. % of fossil fuels'!S29/1000)</f>
        <v>7.6809029845171644</v>
      </c>
      <c r="N26" s="2">
        <f>N9/('T6a. % of fossil fuels'!T29/1000)</f>
        <v>7.0518907476966213</v>
      </c>
    </row>
    <row r="29" spans="1:14">
      <c r="A29" s="72" t="s">
        <v>326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</row>
    <row r="30" spans="1:14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</row>
    <row r="31" spans="1:14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</row>
    <row r="32" spans="1:14">
      <c r="A32" s="66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</row>
    <row r="33" spans="1:12">
      <c r="A33" s="66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</row>
    <row r="34" spans="1:12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</row>
    <row r="35" spans="1:12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</row>
    <row r="36" spans="1:12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</row>
    <row r="37" spans="1:12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</row>
    <row r="38" spans="1:12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</row>
    <row r="39" spans="1:12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</row>
    <row r="40" spans="1:12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</row>
    <row r="41" spans="1:12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</row>
    <row r="42" spans="1:12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</row>
    <row r="43" spans="1:12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</row>
    <row r="44" spans="1:12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</row>
    <row r="45" spans="1:12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</row>
    <row r="46" spans="1:12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</row>
  </sheetData>
  <hyperlinks>
    <hyperlink ref="B9" r:id="rId1" location="Short%20assessment%20of%20renewable%20energy%20sources%20(SHARES)" xr:uid="{51066A4E-5741-4008-B170-7D6299A27119}"/>
    <hyperlink ref="B3" r:id="rId2" location="Short%20assessment%20of%20renewable%20energy%20sources%20(SHARES)" xr:uid="{87D64953-1FA4-4C0C-B33F-261242C9B266}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DFE85-A0B6-4DA8-AB91-EE39CD74180F}">
  <dimension ref="A1:AX49"/>
  <sheetViews>
    <sheetView topLeftCell="S1" zoomScale="85" zoomScaleNormal="85" workbookViewId="0">
      <selection activeCell="AW6" sqref="AW6"/>
    </sheetView>
  </sheetViews>
  <sheetFormatPr defaultRowHeight="15"/>
  <cols>
    <col min="1" max="1" width="29.85546875" bestFit="1" customWidth="1"/>
    <col min="2" max="2" width="36.85546875" hidden="1" customWidth="1"/>
    <col min="3" max="3" width="9.140625" hidden="1" customWidth="1"/>
    <col min="4" max="4" width="14.28515625" bestFit="1" customWidth="1"/>
  </cols>
  <sheetData>
    <row r="1" spans="1:50" s="13" customFormat="1">
      <c r="A1" s="9" t="s">
        <v>203</v>
      </c>
    </row>
    <row r="2" spans="1:50">
      <c r="B2" s="16" t="s">
        <v>1</v>
      </c>
      <c r="C2" s="16" t="s">
        <v>2</v>
      </c>
      <c r="I2">
        <v>2010</v>
      </c>
      <c r="S2" t="s">
        <v>6</v>
      </c>
      <c r="AC2">
        <v>2030</v>
      </c>
      <c r="AM2">
        <v>2040</v>
      </c>
      <c r="AW2">
        <v>2050</v>
      </c>
    </row>
    <row r="3" spans="1:50">
      <c r="A3" t="s">
        <v>162</v>
      </c>
      <c r="B3" t="s">
        <v>119</v>
      </c>
      <c r="C3" t="s">
        <v>180</v>
      </c>
      <c r="D3" s="2">
        <f>'T2b. total demand freight'!D4/'T2b. total demand freight'!D$3</f>
        <v>0.74864829088463736</v>
      </c>
      <c r="E3" s="2">
        <f>'T2b. total demand freight'!E4/'T2b. total demand freight'!E$3</f>
        <v>0.74712846904126851</v>
      </c>
      <c r="F3" s="2">
        <f>'T2b. total demand freight'!F4/'T2b. total demand freight'!F$3</f>
        <v>0.74662081471546782</v>
      </c>
      <c r="G3" s="2">
        <f>'T2b. total demand freight'!G4/'T2b. total demand freight'!G$3</f>
        <v>0.74673667059177784</v>
      </c>
      <c r="H3" s="2">
        <f>'T2b. total demand freight'!H4/'T2b. total demand freight'!H$3</f>
        <v>0.76058976339782458</v>
      </c>
      <c r="I3" s="2">
        <f>'T2b. total demand freight'!I4/'T2b. total demand freight'!I$3</f>
        <v>0.74608981261060991</v>
      </c>
      <c r="J3" s="2">
        <f>'T2b. total demand freight'!J4/'T2b. total demand freight'!J$3</f>
        <v>0.73954107350680887</v>
      </c>
      <c r="K3" s="2">
        <f>'T2b. total demand freight'!K4/'T2b. total demand freight'!K$3</f>
        <v>0.73470985997028715</v>
      </c>
      <c r="L3" s="2">
        <f>'T2b. total demand freight'!L4/'T2b. total demand freight'!L$3</f>
        <v>0.73851282391166317</v>
      </c>
      <c r="M3" s="2">
        <f>'T2b. total demand freight'!M4/'T2b. total demand freight'!M$3</f>
        <v>0.73893576220793145</v>
      </c>
      <c r="N3" s="2">
        <f>'T2b. total demand freight'!N4/'T2b. total demand freight'!N$3</f>
        <v>0.74103160645114863</v>
      </c>
      <c r="O3" s="2">
        <f>'T2b. total demand freight'!O4/'T2b. total demand freight'!O$3</f>
        <v>0.74511765316092926</v>
      </c>
      <c r="P3" s="2">
        <f>'T2b. total demand freight'!P4/'T2b. total demand freight'!P$3</f>
        <v>0.7535097592538067</v>
      </c>
      <c r="Q3" s="2">
        <f>'T2b. total demand freight'!Q4/'T2b. total demand freight'!Q$3</f>
        <v>0.75649565090899062</v>
      </c>
      <c r="R3" s="2">
        <f>'T2b. total demand freight'!R4/'T2b. total demand freight'!R$3</f>
        <v>0.76318248749678363</v>
      </c>
      <c r="S3" s="2">
        <f>'T2b. total demand freight'!S4/'T2b. total demand freight'!S$3</f>
        <v>0.77416134805419967</v>
      </c>
    </row>
    <row r="4" spans="1:50">
      <c r="A4" t="s">
        <v>154</v>
      </c>
      <c r="B4" t="s">
        <v>119</v>
      </c>
      <c r="C4" t="s">
        <v>180</v>
      </c>
      <c r="D4" s="2">
        <f>'T2b. total demand freight'!D5/'T2b. total demand freight'!D$3</f>
        <v>0.18601115347796793</v>
      </c>
      <c r="E4" s="2">
        <f>'T2b. total demand freight'!E5/'T2b. total demand freight'!E$3</f>
        <v>0.18976706421602016</v>
      </c>
      <c r="F4" s="2">
        <f>'T2b. total demand freight'!F5/'T2b. total demand freight'!F$3</f>
        <v>0.18943164551243108</v>
      </c>
      <c r="G4" s="2">
        <f>'T2b. total demand freight'!G5/'T2b. total demand freight'!G$3</f>
        <v>0.18782917067483809</v>
      </c>
      <c r="H4" s="2">
        <f>'T2b. total demand freight'!H5/'T2b. total demand freight'!H$3</f>
        <v>0.17285070238158085</v>
      </c>
      <c r="I4" s="2">
        <f>'T2b. total demand freight'!I5/'T2b. total demand freight'!I$3</f>
        <v>0.17952348452366271</v>
      </c>
      <c r="J4" s="2">
        <f>'T2b. total demand freight'!J5/'T2b. total demand freight'!J$3</f>
        <v>0.19242358004151749</v>
      </c>
      <c r="K4" s="2">
        <f>'T2b. total demand freight'!K5/'T2b. total demand freight'!K$3</f>
        <v>0.19099951916484906</v>
      </c>
      <c r="L4" s="2">
        <f>'T2b. total demand freight'!L5/'T2b. total demand freight'!L$3</f>
        <v>0.1871743872302698</v>
      </c>
      <c r="M4" s="2">
        <f>'T2b. total demand freight'!M5/'T2b. total demand freight'!M$3</f>
        <v>0.18815585258468123</v>
      </c>
      <c r="N4" s="2">
        <f>'T2b. total demand freight'!N5/'T2b. total demand freight'!N$3</f>
        <v>0.18906275380111603</v>
      </c>
      <c r="O4" s="2">
        <f>'T2b. total demand freight'!O5/'T2b. total demand freight'!O$3</f>
        <v>0.18743915677770762</v>
      </c>
      <c r="P4" s="2">
        <f>'T2b. total demand freight'!P5/'T2b. total demand freight'!P$3</f>
        <v>0.18151436206707874</v>
      </c>
      <c r="Q4" s="2">
        <f>'T2b. total demand freight'!Q5/'T2b. total demand freight'!Q$3</f>
        <v>0.18533145712455168</v>
      </c>
      <c r="R4" s="2">
        <f>'T2b. total demand freight'!R5/'T2b. total demand freight'!R$3</f>
        <v>0.17640551719962547</v>
      </c>
      <c r="S4" s="2">
        <f>'T2b. total demand freight'!S5/'T2b. total demand freight'!S$3</f>
        <v>0.16739188494938412</v>
      </c>
    </row>
    <row r="5" spans="1:50">
      <c r="A5" t="s">
        <v>147</v>
      </c>
      <c r="B5" t="s">
        <v>119</v>
      </c>
      <c r="C5" t="s">
        <v>180</v>
      </c>
      <c r="D5" s="2">
        <f>'T2b. total demand freight'!D6/'T2b. total demand freight'!D$3</f>
        <v>6.5340555637394798E-2</v>
      </c>
      <c r="E5" s="2">
        <f>'T2b. total demand freight'!E6/'T2b. total demand freight'!E$3</f>
        <v>6.310446674271121E-2</v>
      </c>
      <c r="F5" s="2">
        <f>'T2b. total demand freight'!F6/'T2b. total demand freight'!F$3</f>
        <v>6.3947539772101158E-2</v>
      </c>
      <c r="G5" s="2">
        <f>'T2b. total demand freight'!G6/'T2b. total demand freight'!G$3</f>
        <v>6.5434158733383957E-2</v>
      </c>
      <c r="H5" s="2">
        <f>'T2b. total demand freight'!H6/'T2b. total demand freight'!H$3</f>
        <v>6.6559534220594518E-2</v>
      </c>
      <c r="I5" s="2">
        <f>'T2b. total demand freight'!I6/'T2b. total demand freight'!I$3</f>
        <v>7.4386702865727503E-2</v>
      </c>
      <c r="J5" s="2">
        <f>'T2b. total demand freight'!J6/'T2b. total demand freight'!J$3</f>
        <v>6.8035346451673639E-2</v>
      </c>
      <c r="K5" s="2">
        <f>'T2b. total demand freight'!K6/'T2b. total demand freight'!K$3</f>
        <v>7.4290620864863793E-2</v>
      </c>
      <c r="L5" s="2">
        <f>'T2b. total demand freight'!L6/'T2b. total demand freight'!L$3</f>
        <v>7.4312788858067094E-2</v>
      </c>
      <c r="M5" s="2">
        <f>'T2b. total demand freight'!M6/'T2b. total demand freight'!M$3</f>
        <v>7.290838520738728E-2</v>
      </c>
      <c r="N5" s="2">
        <f>'T2b. total demand freight'!N6/'T2b. total demand freight'!N$3</f>
        <v>6.9905639747735338E-2</v>
      </c>
      <c r="O5" s="2">
        <f>'T2b. total demand freight'!O6/'T2b. total demand freight'!O$3</f>
        <v>6.7443190061363179E-2</v>
      </c>
      <c r="P5" s="2">
        <f>'T2b. total demand freight'!P6/'T2b. total demand freight'!P$3</f>
        <v>6.4975878679114585E-2</v>
      </c>
      <c r="Q5" s="2">
        <f>'T2b. total demand freight'!Q6/'T2b. total demand freight'!Q$3</f>
        <v>5.817289196645764E-2</v>
      </c>
      <c r="R5" s="2">
        <f>'T2b. total demand freight'!R6/'T2b. total demand freight'!R$3</f>
        <v>6.0411995303590857E-2</v>
      </c>
      <c r="S5" s="2">
        <f>'T2b. total demand freight'!S6/'T2b. total demand freight'!S$3</f>
        <v>5.8446766996416204E-2</v>
      </c>
    </row>
    <row r="6" spans="1:50">
      <c r="A6" t="s">
        <v>327</v>
      </c>
      <c r="B6" t="s">
        <v>183</v>
      </c>
      <c r="C6" t="s">
        <v>180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AC6" s="2">
        <f>'T2b. total demand freight'!AC56/'T2b. total demand freight'!AC$55</f>
        <v>0.71994121337003303</v>
      </c>
      <c r="AW6" s="2">
        <f>'T2b. total demand freight'!AW79/'T2b. total demand freight'!AW$78</f>
        <v>0.67162862492452469</v>
      </c>
    </row>
    <row r="7" spans="1:50">
      <c r="A7" t="s">
        <v>208</v>
      </c>
      <c r="B7" t="s">
        <v>183</v>
      </c>
      <c r="C7" t="s">
        <v>180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AC7" s="2">
        <f>'T2b. total demand freight'!AC57/'T2b. total demand freight'!AC$55</f>
        <v>0.21310544056340394</v>
      </c>
      <c r="AW7" s="2">
        <f>'T2b. total demand freight'!AW80/'T2b. total demand freight'!AW$78</f>
        <v>0.25559864124038612</v>
      </c>
    </row>
    <row r="8" spans="1:50">
      <c r="A8" t="s">
        <v>328</v>
      </c>
      <c r="B8" t="s">
        <v>183</v>
      </c>
      <c r="C8" t="s">
        <v>180</v>
      </c>
      <c r="AC8" s="2">
        <f>'T2b. total demand freight'!AC59/'T2b. total demand freight'!AC$55</f>
        <v>6.6953346066563044E-2</v>
      </c>
      <c r="AW8" s="2">
        <f>'T2b. total demand freight'!AW81/'T2b. total demand freight'!AW$78</f>
        <v>7.2772733835089212E-2</v>
      </c>
    </row>
    <row r="9" spans="1:50">
      <c r="A9" t="s">
        <v>209</v>
      </c>
      <c r="C9" t="s">
        <v>180</v>
      </c>
      <c r="R9" s="1"/>
      <c r="S9" s="2">
        <v>0.77416134805419967</v>
      </c>
      <c r="T9" s="2">
        <v>0.76873933458578303</v>
      </c>
      <c r="U9" s="2">
        <v>0.76331732111736628</v>
      </c>
      <c r="V9" s="2">
        <v>0.75789530764894963</v>
      </c>
      <c r="W9" s="2">
        <v>0.75247329418053299</v>
      </c>
      <c r="X9" s="2">
        <v>0.74705128071211635</v>
      </c>
      <c r="Y9" s="2">
        <v>0.74162926724369971</v>
      </c>
      <c r="Z9" s="2">
        <v>0.73620725377528295</v>
      </c>
      <c r="AA9" s="2">
        <v>0.73078524030686631</v>
      </c>
      <c r="AB9" s="2">
        <v>0.72536322683844967</v>
      </c>
      <c r="AC9" s="2">
        <v>0.71994121337003303</v>
      </c>
      <c r="AD9" s="2">
        <v>0.71752558394775767</v>
      </c>
      <c r="AE9" s="2">
        <v>0.71510995452548221</v>
      </c>
      <c r="AF9" s="2">
        <v>0.71269432510320685</v>
      </c>
      <c r="AG9" s="2">
        <v>0.71027869568093138</v>
      </c>
      <c r="AH9" s="2">
        <v>0.70786306625865603</v>
      </c>
      <c r="AI9" s="2">
        <v>0.70544743683638056</v>
      </c>
      <c r="AJ9" s="2">
        <v>0.7030318074141052</v>
      </c>
      <c r="AK9" s="2">
        <v>0.70061617799182974</v>
      </c>
      <c r="AL9" s="2">
        <v>0.69820054856955438</v>
      </c>
      <c r="AM9" s="2">
        <v>0.69578491914727891</v>
      </c>
      <c r="AN9" s="2">
        <v>0.69336928972500345</v>
      </c>
      <c r="AO9" s="2">
        <v>0.69095366030272809</v>
      </c>
      <c r="AP9" s="2">
        <v>0.68853803088045262</v>
      </c>
      <c r="AQ9" s="2">
        <v>0.68612240145817727</v>
      </c>
      <c r="AR9" s="2">
        <v>0.6837067720359018</v>
      </c>
      <c r="AS9" s="2">
        <v>0.68129114261362644</v>
      </c>
      <c r="AT9" s="2">
        <v>0.67887551319135098</v>
      </c>
      <c r="AU9" s="2">
        <v>0.67645988376907562</v>
      </c>
      <c r="AV9" s="2">
        <v>0.67404425434680015</v>
      </c>
      <c r="AW9" s="2">
        <v>0.67162862492452469</v>
      </c>
      <c r="AX9" s="5"/>
    </row>
    <row r="10" spans="1:50">
      <c r="A10" t="s">
        <v>209</v>
      </c>
      <c r="C10" t="s">
        <v>180</v>
      </c>
      <c r="S10" s="2">
        <v>0.16739188494938412</v>
      </c>
      <c r="T10" s="2">
        <v>0.1719632405107861</v>
      </c>
      <c r="U10" s="2">
        <v>0.17653459607218808</v>
      </c>
      <c r="V10" s="2">
        <v>0.18110595163359006</v>
      </c>
      <c r="W10" s="2">
        <v>0.18567730719499204</v>
      </c>
      <c r="X10" s="2">
        <v>0.19024866275639402</v>
      </c>
      <c r="Y10" s="2">
        <v>0.194820018317796</v>
      </c>
      <c r="Z10" s="2">
        <v>0.19939137387919798</v>
      </c>
      <c r="AA10" s="2">
        <v>0.20396272944059995</v>
      </c>
      <c r="AB10" s="2">
        <v>0.20853408500200193</v>
      </c>
      <c r="AC10" s="2">
        <v>0.21310544056340394</v>
      </c>
      <c r="AD10" s="2">
        <v>0.21523010059725303</v>
      </c>
      <c r="AE10" s="2">
        <v>0.21735476063110215</v>
      </c>
      <c r="AF10" s="2">
        <v>0.21947942066495127</v>
      </c>
      <c r="AG10" s="2">
        <v>0.22160408069880036</v>
      </c>
      <c r="AH10" s="2">
        <v>0.22372874073264948</v>
      </c>
      <c r="AI10" s="2">
        <v>0.2258534007664986</v>
      </c>
      <c r="AJ10" s="2">
        <v>0.22797806080034771</v>
      </c>
      <c r="AK10" s="2">
        <v>0.23010272083419681</v>
      </c>
      <c r="AL10" s="2">
        <v>0.23222738086804592</v>
      </c>
      <c r="AM10" s="2">
        <v>0.23435204090189504</v>
      </c>
      <c r="AN10" s="2">
        <v>0.23647670093574413</v>
      </c>
      <c r="AO10" s="2">
        <v>0.23860136096959325</v>
      </c>
      <c r="AP10" s="2">
        <v>0.24072602100344237</v>
      </c>
      <c r="AQ10" s="2">
        <v>0.24285068103729146</v>
      </c>
      <c r="AR10" s="2">
        <v>0.24497534107114058</v>
      </c>
      <c r="AS10" s="2">
        <v>0.2471000011049897</v>
      </c>
      <c r="AT10" s="2">
        <v>0.24922466113883879</v>
      </c>
      <c r="AU10" s="2">
        <v>0.25134932117268793</v>
      </c>
      <c r="AV10" s="2">
        <v>0.25347398120653702</v>
      </c>
      <c r="AW10" s="2">
        <v>0.25559864124038612</v>
      </c>
    </row>
    <row r="11" spans="1:50">
      <c r="A11" t="s">
        <v>209</v>
      </c>
      <c r="C11" t="s">
        <v>180</v>
      </c>
      <c r="S11" s="2">
        <v>5.8446766996416225E-2</v>
      </c>
      <c r="T11" s="2">
        <v>5.9297424903430908E-2</v>
      </c>
      <c r="U11" s="2">
        <v>6.0148082810445591E-2</v>
      </c>
      <c r="V11" s="2">
        <v>6.0998740717460267E-2</v>
      </c>
      <c r="W11" s="2">
        <v>6.1849398624474951E-2</v>
      </c>
      <c r="X11" s="2">
        <v>6.2700056531489634E-2</v>
      </c>
      <c r="Y11" s="2">
        <v>6.3550714438504324E-2</v>
      </c>
      <c r="Z11" s="2">
        <v>6.4401372345519001E-2</v>
      </c>
      <c r="AA11" s="2">
        <v>6.5252030252533677E-2</v>
      </c>
      <c r="AB11" s="2">
        <v>6.6102688159548367E-2</v>
      </c>
      <c r="AC11" s="2">
        <v>6.6953346066563044E-2</v>
      </c>
      <c r="AD11" s="2">
        <v>6.7244315454989351E-2</v>
      </c>
      <c r="AE11" s="2">
        <v>6.7535284843415672E-2</v>
      </c>
      <c r="AF11" s="2">
        <v>6.7826254231841979E-2</v>
      </c>
      <c r="AG11" s="2">
        <v>6.8117223620268286E-2</v>
      </c>
      <c r="AH11" s="2">
        <v>6.8408193008694593E-2</v>
      </c>
      <c r="AI11" s="2">
        <v>6.86991623971209E-2</v>
      </c>
      <c r="AJ11" s="2">
        <v>6.8990131785547221E-2</v>
      </c>
      <c r="AK11" s="2">
        <v>6.9281101173973528E-2</v>
      </c>
      <c r="AL11" s="2">
        <v>6.9572070562399835E-2</v>
      </c>
      <c r="AM11" s="2">
        <v>6.9863039950826142E-2</v>
      </c>
      <c r="AN11" s="2">
        <v>7.0154009339252449E-2</v>
      </c>
      <c r="AO11" s="2">
        <v>7.044497872767877E-2</v>
      </c>
      <c r="AP11" s="2">
        <v>7.0735948116105077E-2</v>
      </c>
      <c r="AQ11" s="2">
        <v>7.1026917504531384E-2</v>
      </c>
      <c r="AR11" s="2">
        <v>7.1317886892957691E-2</v>
      </c>
      <c r="AS11" s="2">
        <v>7.1608856281383998E-2</v>
      </c>
      <c r="AT11" s="2">
        <v>7.1899825669810319E-2</v>
      </c>
      <c r="AU11" s="2">
        <v>7.2190795058236626E-2</v>
      </c>
      <c r="AV11" s="2">
        <v>7.2481764446662933E-2</v>
      </c>
      <c r="AW11" s="2">
        <v>7.277273383508924E-2</v>
      </c>
    </row>
    <row r="12" spans="1:50">
      <c r="B12" s="16"/>
      <c r="D12" s="1"/>
    </row>
    <row r="13" spans="1:50" s="14" customFormat="1">
      <c r="A13" s="14" t="s">
        <v>329</v>
      </c>
    </row>
    <row r="15" spans="1:50">
      <c r="A15" t="s">
        <v>132</v>
      </c>
      <c r="D15" s="7">
        <f>AVERAGE(R3-Q3,Q3-P3,P3-O3,O3-N3)</f>
        <v>5.5377202614087517E-3</v>
      </c>
    </row>
    <row r="16" spans="1:50">
      <c r="A16" t="s">
        <v>133</v>
      </c>
      <c r="D16" s="7">
        <f>(AC6-R3)/11</f>
        <v>-3.9310249206136912E-3</v>
      </c>
    </row>
    <row r="17" spans="1:49">
      <c r="A17" t="s">
        <v>211</v>
      </c>
      <c r="D17" s="6">
        <f>(AW9-AC9)/20</f>
        <v>-2.4156294222754172E-3</v>
      </c>
    </row>
    <row r="18" spans="1:49" s="14" customFormat="1">
      <c r="A18" s="14" t="s">
        <v>213</v>
      </c>
    </row>
    <row r="20" spans="1:49">
      <c r="A20" t="s">
        <v>132</v>
      </c>
      <c r="D20" s="7">
        <f>AVERAGE(R4-Q4,Q4-P4,P4-O4,O4-N4)</f>
        <v>-3.164309150372642E-3</v>
      </c>
    </row>
    <row r="21" spans="1:49">
      <c r="A21" t="s">
        <v>133</v>
      </c>
      <c r="D21" s="6">
        <f>(AW10-AC10)/20</f>
        <v>2.1246600338491088E-3</v>
      </c>
    </row>
    <row r="22" spans="1:49">
      <c r="A22" t="s">
        <v>211</v>
      </c>
      <c r="D22" s="6">
        <f>(AW7-AC7)/20</f>
        <v>2.1246600338491088E-3</v>
      </c>
    </row>
    <row r="23" spans="1:49" s="14" customFormat="1">
      <c r="A23" s="14" t="s">
        <v>330</v>
      </c>
    </row>
    <row r="25" spans="1:49">
      <c r="A25" t="s">
        <v>132</v>
      </c>
      <c r="D25" s="7">
        <f>AVERAGE(R5-Q5,Q5-P5,P5-O5,O5-N5)</f>
        <v>-2.3734111110361202E-3</v>
      </c>
    </row>
    <row r="26" spans="1:49">
      <c r="A26" t="s">
        <v>133</v>
      </c>
      <c r="D26" s="6">
        <f>(AC8-R5)/11</f>
        <v>5.9466825117928974E-4</v>
      </c>
    </row>
    <row r="27" spans="1:49">
      <c r="A27" t="s">
        <v>211</v>
      </c>
      <c r="D27" s="6">
        <f>(AW11-AC11)/20</f>
        <v>2.9096938842630981E-4</v>
      </c>
      <c r="E27" s="7"/>
    </row>
    <row r="29" spans="1:49">
      <c r="A29" s="14" t="s">
        <v>154</v>
      </c>
      <c r="B29" s="18"/>
      <c r="C29" s="18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</row>
    <row r="30" spans="1:49">
      <c r="B30" s="16" t="s">
        <v>1</v>
      </c>
      <c r="C30" s="16" t="s">
        <v>2</v>
      </c>
      <c r="D30">
        <v>2005</v>
      </c>
      <c r="I30">
        <v>2010</v>
      </c>
      <c r="S30" t="s">
        <v>6</v>
      </c>
      <c r="AC30">
        <v>2030</v>
      </c>
      <c r="AM30">
        <v>2040</v>
      </c>
      <c r="AW30">
        <v>2050</v>
      </c>
    </row>
    <row r="31" spans="1:49">
      <c r="A31" t="s">
        <v>214</v>
      </c>
      <c r="B31" s="16" t="s">
        <v>119</v>
      </c>
      <c r="C31" s="16" t="s">
        <v>331</v>
      </c>
      <c r="D31" s="1">
        <f>'T2b. total demand freight'!D46</f>
        <v>394.59700000000004</v>
      </c>
      <c r="E31" s="1">
        <f>'T2b. total demand freight'!E46</f>
        <v>416.24600000000004</v>
      </c>
      <c r="F31" s="1">
        <f>'T2b. total demand freight'!F46</f>
        <v>430.72400000000005</v>
      </c>
      <c r="G31" s="1">
        <f>'T2b. total demand freight'!G46</f>
        <v>421.68599999999992</v>
      </c>
      <c r="H31" s="1">
        <f>'T2b. total demand freight'!H46</f>
        <v>344.36900000000003</v>
      </c>
      <c r="I31" s="1">
        <f>'T2b. total demand freight'!I46</f>
        <v>374.95499999999998</v>
      </c>
      <c r="J31" s="1">
        <f>'T2b. total demand freight'!J46</f>
        <v>401.12199999999984</v>
      </c>
      <c r="K31" s="1">
        <f>'T2b. total demand freight'!K46</f>
        <v>385.18899999999996</v>
      </c>
      <c r="L31" s="1">
        <f>'T2b. total demand freight'!L46</f>
        <v>384.31900000000007</v>
      </c>
      <c r="M31" s="1">
        <f>'T2b. total demand freight'!M46</f>
        <v>388.93199999999996</v>
      </c>
      <c r="N31" s="1">
        <f>'T2b. total demand freight'!N46</f>
        <v>398.51700000000011</v>
      </c>
      <c r="O31" s="1">
        <f>'T2b. total demand freight'!O46</f>
        <v>407.45800000000008</v>
      </c>
      <c r="P31" s="1">
        <f>'T2b. total demand freight'!P46</f>
        <v>411.27800000000002</v>
      </c>
      <c r="Q31" s="1">
        <f>'T2b. total demand freight'!Q46</f>
        <v>418.31399999999996</v>
      </c>
      <c r="R31" s="1">
        <f>'T2b. total demand freight'!R46</f>
        <v>407.92099999999999</v>
      </c>
      <c r="S31" s="1">
        <f>'T2b. total demand freight'!S46</f>
        <v>377.30700000000007</v>
      </c>
      <c r="T31" s="1"/>
    </row>
    <row r="32" spans="1:49">
      <c r="A32" t="s">
        <v>21</v>
      </c>
      <c r="B32" s="16" t="s">
        <v>332</v>
      </c>
      <c r="C32" s="16" t="s">
        <v>331</v>
      </c>
      <c r="X32" s="1"/>
      <c r="Y32" s="1"/>
      <c r="Z32" s="1"/>
      <c r="AA32" s="1"/>
      <c r="AB32" s="1"/>
      <c r="AC32" s="1">
        <f>1.5*N31</f>
        <v>597.77550000000019</v>
      </c>
    </row>
    <row r="33" spans="1:49">
      <c r="A33" t="s">
        <v>23</v>
      </c>
      <c r="B33" s="16" t="s">
        <v>332</v>
      </c>
      <c r="C33" s="16" t="s">
        <v>331</v>
      </c>
      <c r="AW33" s="4">
        <f>2*N31</f>
        <v>797.03400000000022</v>
      </c>
    </row>
    <row r="34" spans="1:49">
      <c r="A34" t="s">
        <v>333</v>
      </c>
      <c r="B34" s="16"/>
      <c r="C34" s="16"/>
      <c r="R34" s="1">
        <v>407.92100000000005</v>
      </c>
      <c r="S34" s="1">
        <v>425.18050000000005</v>
      </c>
      <c r="T34" s="1">
        <v>442.44000000000011</v>
      </c>
      <c r="U34" s="1">
        <v>459.69950000000011</v>
      </c>
      <c r="V34" s="1">
        <v>476.95900000000012</v>
      </c>
      <c r="W34" s="1">
        <v>494.21850000000018</v>
      </c>
      <c r="X34" s="1">
        <v>511.47800000000018</v>
      </c>
      <c r="Y34" s="1">
        <v>528.73750000000018</v>
      </c>
      <c r="Z34" s="1">
        <v>545.99700000000018</v>
      </c>
      <c r="AA34" s="1">
        <v>563.25650000000019</v>
      </c>
      <c r="AB34" s="1">
        <v>580.5160000000003</v>
      </c>
      <c r="AC34" s="1">
        <v>597.77550000000019</v>
      </c>
      <c r="AD34" s="1">
        <v>607.73842500000012</v>
      </c>
      <c r="AE34" s="1">
        <v>617.70135000000016</v>
      </c>
      <c r="AF34" s="1">
        <v>627.6642750000002</v>
      </c>
      <c r="AG34" s="1">
        <v>637.62720000000013</v>
      </c>
      <c r="AH34" s="1">
        <v>647.59012500000017</v>
      </c>
      <c r="AI34" s="1">
        <v>657.55305000000021</v>
      </c>
      <c r="AJ34" s="1">
        <v>667.51597500000014</v>
      </c>
      <c r="AK34" s="1">
        <v>677.47890000000018</v>
      </c>
      <c r="AL34" s="1">
        <v>687.44182500000011</v>
      </c>
      <c r="AM34" s="1">
        <v>697.40475000000015</v>
      </c>
      <c r="AN34" s="1">
        <v>707.36767500000019</v>
      </c>
      <c r="AO34" s="1">
        <v>717.33060000000012</v>
      </c>
      <c r="AP34" s="1">
        <v>727.29352500000016</v>
      </c>
      <c r="AQ34" s="1">
        <v>737.25645000000009</v>
      </c>
      <c r="AR34" s="1">
        <v>747.21937500000013</v>
      </c>
      <c r="AS34" s="1">
        <v>757.18230000000017</v>
      </c>
      <c r="AT34" s="1">
        <v>767.14522500000021</v>
      </c>
      <c r="AU34" s="1">
        <v>777.10815000000014</v>
      </c>
      <c r="AV34" s="1">
        <v>787.07107500000018</v>
      </c>
      <c r="AW34" s="1">
        <v>797.03400000000011</v>
      </c>
    </row>
    <row r="35" spans="1:49">
      <c r="B35" s="16"/>
      <c r="C35" s="16"/>
    </row>
    <row r="36" spans="1:49">
      <c r="A36" t="s">
        <v>132</v>
      </c>
      <c r="B36" s="16"/>
      <c r="C36" s="16"/>
      <c r="D36" s="1">
        <f>AVERAGE(R31-Q31,Q31-P31,P31-O31,O31-N31)</f>
        <v>2.3509999999999707</v>
      </c>
    </row>
    <row r="37" spans="1:49">
      <c r="A37" t="s">
        <v>133</v>
      </c>
      <c r="B37" s="16"/>
      <c r="C37" s="16"/>
      <c r="D37" s="1">
        <f>(AC34-R31)/11</f>
        <v>17.259500000000017</v>
      </c>
      <c r="E37" s="1">
        <f>D37/D36</f>
        <v>7.3413441088899329</v>
      </c>
    </row>
    <row r="38" spans="1:49">
      <c r="A38" t="s">
        <v>211</v>
      </c>
      <c r="B38" s="16"/>
      <c r="C38" s="16"/>
      <c r="D38" s="1">
        <f>(AW34-AC34)/20</f>
        <v>9.9629249999999949</v>
      </c>
      <c r="E38">
        <f>D38/D36</f>
        <v>4.2377392598894597</v>
      </c>
    </row>
    <row r="39" spans="1:49">
      <c r="B39" s="16"/>
      <c r="C39" s="16"/>
    </row>
    <row r="40" spans="1:49">
      <c r="A40" s="14" t="s">
        <v>147</v>
      </c>
      <c r="B40" s="18"/>
      <c r="C40" s="18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</row>
    <row r="41" spans="1:49">
      <c r="B41" s="16" t="s">
        <v>1</v>
      </c>
      <c r="C41" s="16" t="s">
        <v>2</v>
      </c>
      <c r="D41">
        <v>2005</v>
      </c>
      <c r="I41">
        <v>2010</v>
      </c>
      <c r="S41" t="s">
        <v>6</v>
      </c>
      <c r="AC41">
        <v>2030</v>
      </c>
      <c r="AM41">
        <v>2040</v>
      </c>
      <c r="AW41">
        <v>2050</v>
      </c>
    </row>
    <row r="42" spans="1:49">
      <c r="A42" t="s">
        <v>214</v>
      </c>
      <c r="B42" s="16" t="s">
        <v>119</v>
      </c>
      <c r="C42" s="16" t="s">
        <v>331</v>
      </c>
      <c r="D42" s="1">
        <f>'T2b. total demand freight'!D47</f>
        <v>138.61097439999998</v>
      </c>
      <c r="E42" s="1">
        <f>'T2b. total demand freight'!E47</f>
        <v>138.41696909999999</v>
      </c>
      <c r="F42" s="1">
        <f>'T2b. total demand freight'!F47</f>
        <v>145.40199999999999</v>
      </c>
      <c r="G42" s="1">
        <f>'T2b. total demand freight'!G47</f>
        <v>146.90300000000002</v>
      </c>
      <c r="H42" s="1">
        <f>'T2b. total demand freight'!H47</f>
        <v>132.60600000000002</v>
      </c>
      <c r="I42" s="1">
        <f>'T2b. total demand freight'!I47</f>
        <v>155.36499999999998</v>
      </c>
      <c r="J42" s="1">
        <f>'T2b. total demand freight'!J47</f>
        <v>141.82500000000002</v>
      </c>
      <c r="K42" s="1">
        <f>'T2b. total demand freight'!K47</f>
        <v>149.822</v>
      </c>
      <c r="L42" s="1">
        <f>'T2b. total demand freight'!L47</f>
        <v>152.58400000000003</v>
      </c>
      <c r="M42" s="1">
        <f>'T2b. total demand freight'!M47</f>
        <v>150.70699999999997</v>
      </c>
      <c r="N42" s="1">
        <f>'T2b. total demand freight'!N47</f>
        <v>147.35100000000003</v>
      </c>
      <c r="O42" s="1">
        <f>'T2b. total demand freight'!O47</f>
        <v>146.60899999999995</v>
      </c>
      <c r="P42" s="1">
        <f>'T2b. total demand freight'!P47</f>
        <v>147.22333333333333</v>
      </c>
      <c r="Q42" s="1">
        <f>'T2b. total demand freight'!Q47</f>
        <v>131.30277777777778</v>
      </c>
      <c r="R42" s="1">
        <f>'T2b. total demand freight'!R47</f>
        <v>139.69700000000003</v>
      </c>
      <c r="S42" s="1">
        <f>'T2b. total demand freight'!S47</f>
        <v>131.74100000000001</v>
      </c>
    </row>
    <row r="43" spans="1:49">
      <c r="A43" t="s">
        <v>21</v>
      </c>
      <c r="B43" s="16" t="s">
        <v>332</v>
      </c>
      <c r="C43" s="16" t="s">
        <v>331</v>
      </c>
      <c r="X43" s="1"/>
      <c r="Y43" s="1"/>
      <c r="Z43" s="1"/>
      <c r="AA43" s="1"/>
      <c r="AB43" s="1"/>
      <c r="AC43" s="1">
        <f>1.25*N42</f>
        <v>184.18875000000003</v>
      </c>
    </row>
    <row r="44" spans="1:49">
      <c r="A44" t="s">
        <v>23</v>
      </c>
      <c r="B44" s="16" t="s">
        <v>332</v>
      </c>
      <c r="C44" s="16" t="s">
        <v>331</v>
      </c>
      <c r="AW44" s="4">
        <f>1.5*N42</f>
        <v>221.02650000000006</v>
      </c>
    </row>
    <row r="45" spans="1:49">
      <c r="A45" t="s">
        <v>333</v>
      </c>
      <c r="B45" s="16"/>
      <c r="C45" s="16"/>
      <c r="R45" s="1">
        <v>139.69700000000003</v>
      </c>
      <c r="S45" s="1">
        <v>143.74170454545458</v>
      </c>
      <c r="T45" s="1">
        <v>147.78640909090913</v>
      </c>
      <c r="U45" s="1">
        <v>151.83111363636368</v>
      </c>
      <c r="V45" s="1">
        <v>155.8758181818182</v>
      </c>
      <c r="W45" s="1">
        <v>159.92052272727278</v>
      </c>
      <c r="X45" s="1">
        <v>163.9652272727273</v>
      </c>
      <c r="Y45" s="1">
        <v>168.00993181818185</v>
      </c>
      <c r="Z45" s="1">
        <v>172.0546363636364</v>
      </c>
      <c r="AA45" s="1">
        <v>176.09934090909096</v>
      </c>
      <c r="AB45" s="1">
        <v>180.14404545454551</v>
      </c>
      <c r="AC45" s="1">
        <v>184.18875000000006</v>
      </c>
      <c r="AD45" s="1">
        <v>186.03063750000004</v>
      </c>
      <c r="AE45" s="1">
        <v>187.87252500000005</v>
      </c>
      <c r="AF45" s="1">
        <v>189.71441250000004</v>
      </c>
      <c r="AG45" s="1">
        <v>191.55630000000005</v>
      </c>
      <c r="AH45" s="1">
        <v>193.39818750000006</v>
      </c>
      <c r="AI45" s="1">
        <v>195.24007500000005</v>
      </c>
      <c r="AJ45" s="1">
        <v>197.08196250000006</v>
      </c>
      <c r="AK45" s="1">
        <v>198.92385000000004</v>
      </c>
      <c r="AL45" s="1">
        <v>200.76573750000006</v>
      </c>
      <c r="AM45" s="1">
        <v>202.60762500000004</v>
      </c>
      <c r="AN45" s="1">
        <v>204.44951250000005</v>
      </c>
      <c r="AO45" s="1">
        <v>206.29140000000007</v>
      </c>
      <c r="AP45" s="1">
        <v>208.13328750000005</v>
      </c>
      <c r="AQ45" s="1">
        <v>209.97517500000006</v>
      </c>
      <c r="AR45" s="1">
        <v>211.81706250000005</v>
      </c>
      <c r="AS45" s="1">
        <v>213.65895000000006</v>
      </c>
      <c r="AT45" s="1">
        <v>215.50083750000005</v>
      </c>
      <c r="AU45" s="1">
        <v>217.34272500000006</v>
      </c>
      <c r="AV45" s="1">
        <v>219.18461250000007</v>
      </c>
      <c r="AW45" s="1">
        <v>221.02650000000006</v>
      </c>
    </row>
    <row r="46" spans="1:49">
      <c r="B46" s="16"/>
      <c r="C46" s="16"/>
    </row>
    <row r="47" spans="1:49">
      <c r="A47" t="s">
        <v>132</v>
      </c>
      <c r="B47" s="16"/>
      <c r="C47" s="16"/>
      <c r="D47" s="1">
        <f>AVERAGE(R42-Q42,Q42-P42,P42-O42,O42-N42)</f>
        <v>-1.9134999999999991</v>
      </c>
    </row>
    <row r="48" spans="1:49">
      <c r="A48" t="s">
        <v>133</v>
      </c>
      <c r="B48" s="16"/>
      <c r="C48" s="16"/>
      <c r="D48" s="1">
        <f>(AC45-R42)/11</f>
        <v>4.0447045454545476</v>
      </c>
    </row>
    <row r="49" spans="1:4">
      <c r="A49" t="s">
        <v>134</v>
      </c>
      <c r="B49" s="16"/>
      <c r="C49" s="16"/>
      <c r="D49" s="1">
        <f>(AW45-AC45)/20</f>
        <v>1.8418874999999999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B933F-6713-4801-91E4-AA6594A93C15}">
  <dimension ref="A1:AX52"/>
  <sheetViews>
    <sheetView workbookViewId="0">
      <selection activeCell="B16" sqref="B16"/>
    </sheetView>
  </sheetViews>
  <sheetFormatPr defaultRowHeight="15"/>
  <sheetData>
    <row r="1" spans="1:50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5"/>
      <c r="S1" s="35">
        <v>2020</v>
      </c>
      <c r="T1" s="35">
        <v>2021</v>
      </c>
      <c r="U1" s="35">
        <v>2022</v>
      </c>
      <c r="V1" s="35">
        <v>2023</v>
      </c>
      <c r="W1" s="35">
        <v>2024</v>
      </c>
      <c r="X1" s="35">
        <v>2025</v>
      </c>
      <c r="Y1" s="35">
        <v>2026</v>
      </c>
      <c r="Z1" s="35">
        <v>2027</v>
      </c>
      <c r="AA1" s="35">
        <v>2028</v>
      </c>
      <c r="AB1" s="35">
        <v>2029</v>
      </c>
      <c r="AC1" s="35">
        <v>2030</v>
      </c>
      <c r="AD1" s="35">
        <v>2031</v>
      </c>
      <c r="AE1" s="35">
        <v>2032</v>
      </c>
      <c r="AF1" s="35">
        <v>2033</v>
      </c>
      <c r="AG1" s="35">
        <v>2034</v>
      </c>
      <c r="AH1" s="35">
        <v>2035</v>
      </c>
      <c r="AI1" s="35">
        <v>2036</v>
      </c>
      <c r="AJ1" s="35">
        <v>2037</v>
      </c>
      <c r="AK1" s="35">
        <v>2038</v>
      </c>
      <c r="AL1" s="35">
        <v>2039</v>
      </c>
      <c r="AM1" s="35">
        <v>2040</v>
      </c>
      <c r="AN1" s="35">
        <v>2041</v>
      </c>
      <c r="AO1" s="35">
        <v>2042</v>
      </c>
      <c r="AP1" s="35">
        <v>2043</v>
      </c>
      <c r="AQ1" s="35">
        <v>2044</v>
      </c>
      <c r="AR1" s="35">
        <v>2045</v>
      </c>
      <c r="AS1" s="35">
        <v>2046</v>
      </c>
      <c r="AT1" s="35">
        <v>2047</v>
      </c>
      <c r="AU1" s="35">
        <v>2048</v>
      </c>
      <c r="AV1" s="35">
        <v>2049</v>
      </c>
      <c r="AW1" s="35">
        <v>2050</v>
      </c>
      <c r="AX1" s="34"/>
    </row>
    <row r="2" spans="1:50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6" t="s">
        <v>334</v>
      </c>
      <c r="R2" s="37">
        <v>1</v>
      </c>
      <c r="S2" s="37">
        <v>1</v>
      </c>
      <c r="T2" s="37">
        <v>0.98</v>
      </c>
      <c r="U2" s="37">
        <v>0.96</v>
      </c>
      <c r="V2" s="37">
        <v>0.94</v>
      </c>
      <c r="W2" s="37">
        <v>0.92</v>
      </c>
      <c r="X2" s="37">
        <v>0.9</v>
      </c>
      <c r="Y2" s="37">
        <v>0.88</v>
      </c>
      <c r="Z2" s="37">
        <v>0.86</v>
      </c>
      <c r="AA2" s="37">
        <v>0.85</v>
      </c>
      <c r="AB2" s="37">
        <v>0.83</v>
      </c>
      <c r="AC2" s="37">
        <v>0.81</v>
      </c>
      <c r="AD2" s="37">
        <v>0.79</v>
      </c>
      <c r="AE2" s="37">
        <v>0.77</v>
      </c>
      <c r="AF2" s="37">
        <v>0.75</v>
      </c>
      <c r="AG2" s="37">
        <v>0.73</v>
      </c>
      <c r="AH2" s="37">
        <v>0.71</v>
      </c>
      <c r="AI2" s="37">
        <v>0.69</v>
      </c>
      <c r="AJ2" s="37">
        <v>0.67</v>
      </c>
      <c r="AK2" s="37">
        <v>0.65</v>
      </c>
      <c r="AL2" s="37">
        <v>0.63</v>
      </c>
      <c r="AM2" s="37">
        <v>0.61</v>
      </c>
      <c r="AN2" s="37">
        <v>0.6</v>
      </c>
      <c r="AO2" s="37">
        <v>0.57999999999999996</v>
      </c>
      <c r="AP2" s="37">
        <v>0.56999999999999995</v>
      </c>
      <c r="AQ2" s="37">
        <v>0.56000000000000005</v>
      </c>
      <c r="AR2" s="37">
        <v>0.54</v>
      </c>
      <c r="AS2" s="37">
        <v>0.53</v>
      </c>
      <c r="AT2" s="37">
        <v>0.52</v>
      </c>
      <c r="AU2" s="37">
        <v>0.51</v>
      </c>
      <c r="AV2" s="37">
        <v>0.5</v>
      </c>
      <c r="AW2" s="37">
        <v>0.49</v>
      </c>
      <c r="AX2" s="34"/>
    </row>
    <row r="3" spans="1:50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6" t="s">
        <v>73</v>
      </c>
      <c r="R3" s="37">
        <v>1</v>
      </c>
      <c r="S3" s="37">
        <v>1</v>
      </c>
      <c r="T3" s="37">
        <v>0.99</v>
      </c>
      <c r="U3" s="37">
        <v>0.99</v>
      </c>
      <c r="V3" s="37">
        <v>0.98</v>
      </c>
      <c r="W3" s="37">
        <v>0.97</v>
      </c>
      <c r="X3" s="37">
        <v>0.96</v>
      </c>
      <c r="Y3" s="37">
        <v>0.94</v>
      </c>
      <c r="Z3" s="37">
        <v>0.92</v>
      </c>
      <c r="AA3" s="37">
        <v>0.89</v>
      </c>
      <c r="AB3" s="37">
        <v>0.87</v>
      </c>
      <c r="AC3" s="37">
        <v>0.85</v>
      </c>
      <c r="AD3" s="37">
        <v>0.83</v>
      </c>
      <c r="AE3" s="37">
        <v>0.8</v>
      </c>
      <c r="AF3" s="37">
        <v>0.78</v>
      </c>
      <c r="AG3" s="37">
        <v>0.75</v>
      </c>
      <c r="AH3" s="37">
        <v>0.73</v>
      </c>
      <c r="AI3" s="37">
        <v>0.71</v>
      </c>
      <c r="AJ3" s="37">
        <v>0.69</v>
      </c>
      <c r="AK3" s="37">
        <v>0.67</v>
      </c>
      <c r="AL3" s="37">
        <v>0.64</v>
      </c>
      <c r="AM3" s="37">
        <v>0.62</v>
      </c>
      <c r="AN3" s="37">
        <v>0.61</v>
      </c>
      <c r="AO3" s="37">
        <v>0.6</v>
      </c>
      <c r="AP3" s="37">
        <v>0.59</v>
      </c>
      <c r="AQ3" s="37">
        <v>0.57999999999999996</v>
      </c>
      <c r="AR3" s="37">
        <v>0.56000000000000005</v>
      </c>
      <c r="AS3" s="37">
        <v>0.56000000000000005</v>
      </c>
      <c r="AT3" s="37">
        <v>0.55000000000000004</v>
      </c>
      <c r="AU3" s="37">
        <v>0.55000000000000004</v>
      </c>
      <c r="AV3" s="37">
        <v>0.55000000000000004</v>
      </c>
      <c r="AW3" s="37">
        <v>0.54</v>
      </c>
      <c r="AX3" s="34"/>
    </row>
    <row r="4" spans="1:50">
      <c r="A4" s="34"/>
      <c r="B4" s="38" t="s">
        <v>335</v>
      </c>
      <c r="C4" s="34"/>
      <c r="D4" s="34"/>
      <c r="E4" s="38" t="s">
        <v>336</v>
      </c>
      <c r="F4" s="38"/>
      <c r="G4" s="34"/>
      <c r="H4" s="34"/>
      <c r="I4" s="34"/>
      <c r="J4" s="34"/>
      <c r="K4" s="34"/>
      <c r="L4" s="34"/>
      <c r="M4" s="34"/>
      <c r="N4" s="34"/>
      <c r="O4" s="34"/>
      <c r="P4" s="34"/>
      <c r="Q4" s="36" t="s">
        <v>337</v>
      </c>
      <c r="R4" s="37">
        <v>1</v>
      </c>
      <c r="S4" s="37">
        <v>1.01</v>
      </c>
      <c r="T4" s="37">
        <v>0.99</v>
      </c>
      <c r="U4" s="37">
        <v>0.98</v>
      </c>
      <c r="V4" s="37">
        <v>0.96</v>
      </c>
      <c r="W4" s="37">
        <v>0.95</v>
      </c>
      <c r="X4" s="37">
        <v>0.93</v>
      </c>
      <c r="Y4" s="37">
        <v>0.92</v>
      </c>
      <c r="Z4" s="37">
        <v>0.9</v>
      </c>
      <c r="AA4" s="37">
        <v>0.89</v>
      </c>
      <c r="AB4" s="37">
        <v>0.88</v>
      </c>
      <c r="AC4" s="37">
        <v>0.86</v>
      </c>
      <c r="AD4" s="37">
        <v>0.85</v>
      </c>
      <c r="AE4" s="37">
        <v>0.83</v>
      </c>
      <c r="AF4" s="37">
        <v>0.82</v>
      </c>
      <c r="AG4" s="37">
        <v>0.8</v>
      </c>
      <c r="AH4" s="37">
        <v>0.79</v>
      </c>
      <c r="AI4" s="37">
        <v>0.78</v>
      </c>
      <c r="AJ4" s="37">
        <v>0.77</v>
      </c>
      <c r="AK4" s="37">
        <v>0.77</v>
      </c>
      <c r="AL4" s="37">
        <v>0.76</v>
      </c>
      <c r="AM4" s="37">
        <v>0.76</v>
      </c>
      <c r="AN4" s="37">
        <v>0.76</v>
      </c>
      <c r="AO4" s="37">
        <v>0.76</v>
      </c>
      <c r="AP4" s="37">
        <v>0.76</v>
      </c>
      <c r="AQ4" s="37">
        <v>0.76</v>
      </c>
      <c r="AR4" s="37">
        <v>0.76</v>
      </c>
      <c r="AS4" s="37">
        <v>0.76</v>
      </c>
      <c r="AT4" s="37">
        <v>0.76</v>
      </c>
      <c r="AU4" s="37">
        <v>0.77</v>
      </c>
      <c r="AV4" s="37">
        <v>0.77</v>
      </c>
      <c r="AW4" s="37">
        <v>0.77</v>
      </c>
      <c r="AX4" s="34"/>
    </row>
    <row r="5" spans="1:50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 t="e">
        <v>#REF!</v>
      </c>
      <c r="R5" s="37">
        <v>1</v>
      </c>
      <c r="S5" s="37">
        <v>1</v>
      </c>
      <c r="T5" s="37">
        <v>0.99</v>
      </c>
      <c r="U5" s="37">
        <v>0.97</v>
      </c>
      <c r="V5" s="37">
        <v>0.95</v>
      </c>
      <c r="W5" s="37">
        <v>0.93</v>
      </c>
      <c r="X5" s="37">
        <v>0.91</v>
      </c>
      <c r="Y5" s="37">
        <v>0.9</v>
      </c>
      <c r="Z5" s="37">
        <v>0.88</v>
      </c>
      <c r="AA5" s="37">
        <v>0.86</v>
      </c>
      <c r="AB5" s="37">
        <v>0.84</v>
      </c>
      <c r="AC5" s="37">
        <v>0.83</v>
      </c>
      <c r="AD5" s="37">
        <v>0.81</v>
      </c>
      <c r="AE5" s="37">
        <v>0.79</v>
      </c>
      <c r="AF5" s="37">
        <v>0.77</v>
      </c>
      <c r="AG5" s="37">
        <v>0.76</v>
      </c>
      <c r="AH5" s="37">
        <v>0.74</v>
      </c>
      <c r="AI5" s="37">
        <v>0.73</v>
      </c>
      <c r="AJ5" s="37">
        <v>0.72</v>
      </c>
      <c r="AK5" s="37">
        <v>0.72</v>
      </c>
      <c r="AL5" s="37">
        <v>0.71</v>
      </c>
      <c r="AM5" s="37">
        <v>0.7</v>
      </c>
      <c r="AN5" s="37">
        <v>0.7</v>
      </c>
      <c r="AO5" s="37">
        <v>0.7</v>
      </c>
      <c r="AP5" s="37">
        <v>0.7</v>
      </c>
      <c r="AQ5" s="37">
        <v>0.7</v>
      </c>
      <c r="AR5" s="37">
        <v>0.7</v>
      </c>
      <c r="AS5" s="37">
        <v>0.7</v>
      </c>
      <c r="AT5" s="37">
        <v>0.71</v>
      </c>
      <c r="AU5" s="37">
        <v>0.71</v>
      </c>
      <c r="AV5" s="37">
        <v>0.71</v>
      </c>
      <c r="AW5" s="37">
        <v>0.71</v>
      </c>
      <c r="AX5" s="34"/>
    </row>
    <row r="6" spans="1:50">
      <c r="A6" s="35" t="s">
        <v>338</v>
      </c>
      <c r="B6" s="34" t="s">
        <v>339</v>
      </c>
      <c r="C6" s="34"/>
      <c r="D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 t="e">
        <v>#REF!</v>
      </c>
      <c r="R6" s="37">
        <v>1</v>
      </c>
      <c r="S6" s="37">
        <v>1</v>
      </c>
      <c r="T6" s="37">
        <v>0.99</v>
      </c>
      <c r="U6" s="37">
        <v>0.97</v>
      </c>
      <c r="V6" s="37">
        <v>0.96</v>
      </c>
      <c r="W6" s="37">
        <v>0.95</v>
      </c>
      <c r="X6" s="37">
        <v>0.94</v>
      </c>
      <c r="Y6" s="37">
        <v>0.93</v>
      </c>
      <c r="Z6" s="37">
        <v>0.91</v>
      </c>
      <c r="AA6" s="37">
        <v>0.9</v>
      </c>
      <c r="AB6" s="37">
        <v>0.88</v>
      </c>
      <c r="AC6" s="37">
        <v>0.87</v>
      </c>
      <c r="AD6" s="37">
        <v>0.85</v>
      </c>
      <c r="AE6" s="37">
        <v>0.83</v>
      </c>
      <c r="AF6" s="37">
        <v>0.81</v>
      </c>
      <c r="AG6" s="37">
        <v>0.79</v>
      </c>
      <c r="AH6" s="37">
        <v>0.77</v>
      </c>
      <c r="AI6" s="37">
        <v>0.76</v>
      </c>
      <c r="AJ6" s="37">
        <v>0.74</v>
      </c>
      <c r="AK6" s="37">
        <v>0.72</v>
      </c>
      <c r="AL6" s="37">
        <v>0.71</v>
      </c>
      <c r="AM6" s="37">
        <v>0.69</v>
      </c>
      <c r="AN6" s="37">
        <v>0.69</v>
      </c>
      <c r="AO6" s="37">
        <v>0.68</v>
      </c>
      <c r="AP6" s="37">
        <v>0.68</v>
      </c>
      <c r="AQ6" s="37">
        <v>0.68</v>
      </c>
      <c r="AR6" s="37">
        <v>0.67</v>
      </c>
      <c r="AS6" s="37">
        <v>0.67</v>
      </c>
      <c r="AT6" s="37">
        <v>0.67</v>
      </c>
      <c r="AU6" s="37">
        <v>0.66</v>
      </c>
      <c r="AV6" s="37">
        <v>0.66</v>
      </c>
      <c r="AW6" s="37">
        <v>0.66</v>
      </c>
      <c r="AX6" s="34"/>
    </row>
    <row r="7" spans="1:50">
      <c r="A7" s="34"/>
      <c r="B7" s="39" t="s">
        <v>340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 t="e">
        <v>#REF!</v>
      </c>
      <c r="R7" s="37">
        <v>1</v>
      </c>
      <c r="S7" s="37">
        <v>1</v>
      </c>
      <c r="T7" s="37">
        <v>0.98</v>
      </c>
      <c r="U7" s="37">
        <v>0.96</v>
      </c>
      <c r="V7" s="37">
        <v>0.94</v>
      </c>
      <c r="W7" s="37">
        <v>0.92</v>
      </c>
      <c r="X7" s="37">
        <v>0.9</v>
      </c>
      <c r="Y7" s="37">
        <v>0.88</v>
      </c>
      <c r="Z7" s="37">
        <v>0.86</v>
      </c>
      <c r="AA7" s="37">
        <v>0.84</v>
      </c>
      <c r="AB7" s="37">
        <v>0.83</v>
      </c>
      <c r="AC7" s="37">
        <v>0.81</v>
      </c>
      <c r="AD7" s="37">
        <v>0.79</v>
      </c>
      <c r="AE7" s="37">
        <v>0.77</v>
      </c>
      <c r="AF7" s="37">
        <v>0.75</v>
      </c>
      <c r="AG7" s="37">
        <v>0.73</v>
      </c>
      <c r="AH7" s="37">
        <v>0.71</v>
      </c>
      <c r="AI7" s="37">
        <v>0.7</v>
      </c>
      <c r="AJ7" s="37">
        <v>0.7</v>
      </c>
      <c r="AK7" s="37">
        <v>0.69</v>
      </c>
      <c r="AL7" s="37">
        <v>0.68</v>
      </c>
      <c r="AM7" s="37">
        <v>0.68</v>
      </c>
      <c r="AN7" s="37">
        <v>0.68</v>
      </c>
      <c r="AO7" s="37">
        <v>0.69</v>
      </c>
      <c r="AP7" s="37">
        <v>0.69</v>
      </c>
      <c r="AQ7" s="37">
        <v>0.7</v>
      </c>
      <c r="AR7" s="37">
        <v>0.7</v>
      </c>
      <c r="AS7" s="37">
        <v>0.71</v>
      </c>
      <c r="AT7" s="37">
        <v>0.71</v>
      </c>
      <c r="AU7" s="37">
        <v>0.71</v>
      </c>
      <c r="AV7" s="37">
        <v>0.71</v>
      </c>
      <c r="AW7" s="37">
        <v>0.71</v>
      </c>
      <c r="AX7" s="34"/>
    </row>
    <row r="8" spans="1:50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 t="e">
        <v>#REF!</v>
      </c>
      <c r="R8" s="37">
        <v>1</v>
      </c>
      <c r="S8" s="37">
        <v>1</v>
      </c>
      <c r="T8" s="37">
        <v>0.99</v>
      </c>
      <c r="U8" s="37">
        <v>0.99</v>
      </c>
      <c r="V8" s="37">
        <v>0.98</v>
      </c>
      <c r="W8" s="37">
        <v>0.97</v>
      </c>
      <c r="X8" s="37">
        <v>0.96</v>
      </c>
      <c r="Y8" s="37">
        <v>0.94</v>
      </c>
      <c r="Z8" s="37">
        <v>0.92</v>
      </c>
      <c r="AA8" s="37">
        <v>0.89</v>
      </c>
      <c r="AB8" s="37">
        <v>0.87</v>
      </c>
      <c r="AC8" s="37">
        <v>0.85</v>
      </c>
      <c r="AD8" s="37">
        <v>0.83</v>
      </c>
      <c r="AE8" s="37">
        <v>0.8</v>
      </c>
      <c r="AF8" s="37">
        <v>0.78</v>
      </c>
      <c r="AG8" s="37">
        <v>0.76</v>
      </c>
      <c r="AH8" s="37">
        <v>0.73</v>
      </c>
      <c r="AI8" s="37">
        <v>0.71</v>
      </c>
      <c r="AJ8" s="37">
        <v>0.69</v>
      </c>
      <c r="AK8" s="37">
        <v>0.67</v>
      </c>
      <c r="AL8" s="37">
        <v>0.65</v>
      </c>
      <c r="AM8" s="37">
        <v>0.63</v>
      </c>
      <c r="AN8" s="37">
        <v>0.62</v>
      </c>
      <c r="AO8" s="37">
        <v>0.6</v>
      </c>
      <c r="AP8" s="37">
        <v>0.59</v>
      </c>
      <c r="AQ8" s="37">
        <v>0.57999999999999996</v>
      </c>
      <c r="AR8" s="37">
        <v>0.56999999999999995</v>
      </c>
      <c r="AS8" s="37">
        <v>0.56000000000000005</v>
      </c>
      <c r="AT8" s="37">
        <v>0.56000000000000005</v>
      </c>
      <c r="AU8" s="37">
        <v>0.55000000000000004</v>
      </c>
      <c r="AV8" s="37">
        <v>0.55000000000000004</v>
      </c>
      <c r="AW8" s="37">
        <v>0.54</v>
      </c>
      <c r="AX8" s="34"/>
    </row>
    <row r="9" spans="1:50">
      <c r="A9" s="35" t="s">
        <v>341</v>
      </c>
      <c r="B9" s="39" t="s">
        <v>340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 t="e">
        <v>#REF!</v>
      </c>
      <c r="R9" s="37">
        <v>1</v>
      </c>
      <c r="S9" s="37">
        <v>1</v>
      </c>
      <c r="T9" s="37">
        <v>0.99</v>
      </c>
      <c r="U9" s="37">
        <v>0.99</v>
      </c>
      <c r="V9" s="37">
        <v>0.98</v>
      </c>
      <c r="W9" s="37">
        <v>0.97</v>
      </c>
      <c r="X9" s="37">
        <v>0.96</v>
      </c>
      <c r="Y9" s="37">
        <v>0.94</v>
      </c>
      <c r="Z9" s="37">
        <v>0.92</v>
      </c>
      <c r="AA9" s="37">
        <v>0.89</v>
      </c>
      <c r="AB9" s="37">
        <v>0.87</v>
      </c>
      <c r="AC9" s="37">
        <v>0.85</v>
      </c>
      <c r="AD9" s="37">
        <v>0.83</v>
      </c>
      <c r="AE9" s="37">
        <v>0.8</v>
      </c>
      <c r="AF9" s="37">
        <v>0.78</v>
      </c>
      <c r="AG9" s="37">
        <v>0.76</v>
      </c>
      <c r="AH9" s="37">
        <v>0.73</v>
      </c>
      <c r="AI9" s="37">
        <v>0.71</v>
      </c>
      <c r="AJ9" s="37">
        <v>0.69</v>
      </c>
      <c r="AK9" s="37">
        <v>0.67</v>
      </c>
      <c r="AL9" s="37">
        <v>0.65</v>
      </c>
      <c r="AM9" s="37">
        <v>0.63</v>
      </c>
      <c r="AN9" s="37">
        <v>0.62</v>
      </c>
      <c r="AO9" s="37">
        <v>0.6</v>
      </c>
      <c r="AP9" s="37">
        <v>0.59</v>
      </c>
      <c r="AQ9" s="37">
        <v>0.57999999999999996</v>
      </c>
      <c r="AR9" s="37">
        <v>0.56999999999999995</v>
      </c>
      <c r="AS9" s="37">
        <v>0.56000000000000005</v>
      </c>
      <c r="AT9" s="37">
        <v>0.56000000000000005</v>
      </c>
      <c r="AU9" s="37">
        <v>0.55000000000000004</v>
      </c>
      <c r="AV9" s="37">
        <v>0.55000000000000004</v>
      </c>
      <c r="AW9" s="37">
        <v>0.54</v>
      </c>
      <c r="AX9" s="34"/>
    </row>
    <row r="10" spans="1:50">
      <c r="A10" s="34"/>
      <c r="B10" s="34" t="s">
        <v>342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 t="e">
        <v>#REF!</v>
      </c>
      <c r="R10" s="37">
        <v>1</v>
      </c>
      <c r="S10" s="37">
        <v>1</v>
      </c>
      <c r="T10" s="37">
        <v>0.99</v>
      </c>
      <c r="U10" s="37">
        <v>0.99</v>
      </c>
      <c r="V10" s="37">
        <v>0.98</v>
      </c>
      <c r="W10" s="37">
        <v>0.97</v>
      </c>
      <c r="X10" s="37">
        <v>0.96</v>
      </c>
      <c r="Y10" s="37">
        <v>0.94</v>
      </c>
      <c r="Z10" s="37">
        <v>0.92</v>
      </c>
      <c r="AA10" s="37">
        <v>0.89</v>
      </c>
      <c r="AB10" s="37">
        <v>0.87</v>
      </c>
      <c r="AC10" s="37">
        <v>0.85</v>
      </c>
      <c r="AD10" s="37">
        <v>0.82</v>
      </c>
      <c r="AE10" s="37">
        <v>0.8</v>
      </c>
      <c r="AF10" s="37">
        <v>0.77</v>
      </c>
      <c r="AG10" s="37">
        <v>0.75</v>
      </c>
      <c r="AH10" s="37">
        <v>0.73</v>
      </c>
      <c r="AI10" s="37">
        <v>0.7</v>
      </c>
      <c r="AJ10" s="37">
        <v>0.68</v>
      </c>
      <c r="AK10" s="37">
        <v>0.66</v>
      </c>
      <c r="AL10" s="37">
        <v>0.64</v>
      </c>
      <c r="AM10" s="37">
        <v>0.61</v>
      </c>
      <c r="AN10" s="37">
        <v>0.6</v>
      </c>
      <c r="AO10" s="37">
        <v>0.59</v>
      </c>
      <c r="AP10" s="37">
        <v>0.57999999999999996</v>
      </c>
      <c r="AQ10" s="37">
        <v>0.56999999999999995</v>
      </c>
      <c r="AR10" s="37">
        <v>0.56000000000000005</v>
      </c>
      <c r="AS10" s="37">
        <v>0.56000000000000005</v>
      </c>
      <c r="AT10" s="37">
        <v>0.56000000000000005</v>
      </c>
      <c r="AU10" s="37">
        <v>0.55000000000000004</v>
      </c>
      <c r="AV10" s="37">
        <v>0.55000000000000004</v>
      </c>
      <c r="AW10" s="37">
        <v>0.55000000000000004</v>
      </c>
      <c r="AX10" s="34"/>
    </row>
    <row r="11" spans="1:50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 t="e">
        <v>#REF!</v>
      </c>
      <c r="R11" s="37">
        <v>1</v>
      </c>
      <c r="S11" s="37">
        <v>1</v>
      </c>
      <c r="T11" s="37">
        <v>0.99</v>
      </c>
      <c r="U11" s="37">
        <v>0.99</v>
      </c>
      <c r="V11" s="37">
        <v>0.98</v>
      </c>
      <c r="W11" s="37">
        <v>0.97</v>
      </c>
      <c r="X11" s="37">
        <v>0.96</v>
      </c>
      <c r="Y11" s="37">
        <v>0.94</v>
      </c>
      <c r="Z11" s="37">
        <v>0.92</v>
      </c>
      <c r="AA11" s="37">
        <v>0.89</v>
      </c>
      <c r="AB11" s="37">
        <v>0.87</v>
      </c>
      <c r="AC11" s="37">
        <v>0.85</v>
      </c>
      <c r="AD11" s="37">
        <v>0.82</v>
      </c>
      <c r="AE11" s="37">
        <v>0.8</v>
      </c>
      <c r="AF11" s="37">
        <v>0.77</v>
      </c>
      <c r="AG11" s="37">
        <v>0.75</v>
      </c>
      <c r="AH11" s="37">
        <v>0.73</v>
      </c>
      <c r="AI11" s="37">
        <v>0.7</v>
      </c>
      <c r="AJ11" s="37">
        <v>0.68</v>
      </c>
      <c r="AK11" s="37">
        <v>0.66</v>
      </c>
      <c r="AL11" s="37">
        <v>0.64</v>
      </c>
      <c r="AM11" s="37">
        <v>0.62</v>
      </c>
      <c r="AN11" s="37">
        <v>0.6</v>
      </c>
      <c r="AO11" s="37">
        <v>0.59</v>
      </c>
      <c r="AP11" s="37">
        <v>0.57999999999999996</v>
      </c>
      <c r="AQ11" s="37">
        <v>0.56999999999999995</v>
      </c>
      <c r="AR11" s="37">
        <v>0.56000000000000005</v>
      </c>
      <c r="AS11" s="37">
        <v>0.56000000000000005</v>
      </c>
      <c r="AT11" s="37">
        <v>0.56000000000000005</v>
      </c>
      <c r="AU11" s="37">
        <v>0.55000000000000004</v>
      </c>
      <c r="AV11" s="37">
        <v>0.55000000000000004</v>
      </c>
      <c r="AW11" s="37">
        <v>0.55000000000000004</v>
      </c>
      <c r="AX11" s="34"/>
    </row>
    <row r="12" spans="1:50">
      <c r="A12" s="35" t="s">
        <v>343</v>
      </c>
      <c r="B12" s="34" t="s">
        <v>344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 t="e">
        <v>#REF!</v>
      </c>
      <c r="R12" s="34" t="e">
        <v>#N/A</v>
      </c>
      <c r="S12" s="34" t="e">
        <v>#N/A</v>
      </c>
      <c r="T12" s="34" t="e">
        <v>#N/A</v>
      </c>
      <c r="U12" s="34" t="e">
        <v>#N/A</v>
      </c>
      <c r="V12" s="34" t="e">
        <v>#N/A</v>
      </c>
      <c r="W12" s="34" t="e">
        <v>#N/A</v>
      </c>
      <c r="X12" s="34" t="e">
        <v>#N/A</v>
      </c>
      <c r="Y12" s="34" t="e">
        <v>#N/A</v>
      </c>
      <c r="Z12" s="34" t="e">
        <v>#N/A</v>
      </c>
      <c r="AA12" s="34" t="e">
        <v>#N/A</v>
      </c>
      <c r="AB12" s="34" t="e">
        <v>#N/A</v>
      </c>
      <c r="AC12" s="34" t="e">
        <v>#N/A</v>
      </c>
      <c r="AD12" s="34" t="e">
        <v>#N/A</v>
      </c>
      <c r="AE12" s="34" t="e">
        <v>#N/A</v>
      </c>
      <c r="AF12" s="34" t="e">
        <v>#N/A</v>
      </c>
      <c r="AG12" s="34" t="e">
        <v>#N/A</v>
      </c>
      <c r="AH12" s="34" t="e">
        <v>#N/A</v>
      </c>
      <c r="AI12" s="34" t="e">
        <v>#N/A</v>
      </c>
      <c r="AJ12" s="34" t="e">
        <v>#N/A</v>
      </c>
      <c r="AK12" s="34" t="e">
        <v>#N/A</v>
      </c>
      <c r="AL12" s="34" t="e">
        <v>#N/A</v>
      </c>
      <c r="AM12" s="34" t="e">
        <v>#N/A</v>
      </c>
      <c r="AN12" s="34" t="e">
        <v>#N/A</v>
      </c>
      <c r="AO12" s="34" t="e">
        <v>#N/A</v>
      </c>
      <c r="AP12" s="34" t="e">
        <v>#N/A</v>
      </c>
      <c r="AQ12" s="34" t="e">
        <v>#N/A</v>
      </c>
      <c r="AR12" s="34" t="e">
        <v>#N/A</v>
      </c>
      <c r="AS12" s="34" t="e">
        <v>#N/A</v>
      </c>
      <c r="AT12" s="34" t="e">
        <v>#N/A</v>
      </c>
      <c r="AU12" s="34" t="e">
        <v>#N/A</v>
      </c>
      <c r="AV12" s="34" t="e">
        <v>#N/A</v>
      </c>
      <c r="AW12" s="34" t="e">
        <v>#N/A</v>
      </c>
      <c r="AX12" s="34"/>
    </row>
    <row r="13" spans="1:50">
      <c r="A13" s="34"/>
      <c r="B13" s="34" t="s">
        <v>345</v>
      </c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 t="e">
        <v>#REF!</v>
      </c>
      <c r="R13" s="34" t="e">
        <v>#N/A</v>
      </c>
      <c r="S13" s="34" t="e">
        <v>#N/A</v>
      </c>
      <c r="T13" s="34" t="e">
        <v>#N/A</v>
      </c>
      <c r="U13" s="34" t="e">
        <v>#N/A</v>
      </c>
      <c r="V13" s="34" t="e">
        <v>#N/A</v>
      </c>
      <c r="W13" s="34" t="e">
        <v>#N/A</v>
      </c>
      <c r="X13" s="34" t="e">
        <v>#N/A</v>
      </c>
      <c r="Y13" s="34" t="e">
        <v>#N/A</v>
      </c>
      <c r="Z13" s="34" t="e">
        <v>#N/A</v>
      </c>
      <c r="AA13" s="34" t="e">
        <v>#N/A</v>
      </c>
      <c r="AB13" s="34" t="e">
        <v>#N/A</v>
      </c>
      <c r="AC13" s="34" t="e">
        <v>#N/A</v>
      </c>
      <c r="AD13" s="34" t="e">
        <v>#N/A</v>
      </c>
      <c r="AE13" s="34" t="e">
        <v>#N/A</v>
      </c>
      <c r="AF13" s="34" t="e">
        <v>#N/A</v>
      </c>
      <c r="AG13" s="34" t="e">
        <v>#N/A</v>
      </c>
      <c r="AH13" s="34" t="e">
        <v>#N/A</v>
      </c>
      <c r="AI13" s="34" t="e">
        <v>#N/A</v>
      </c>
      <c r="AJ13" s="34" t="e">
        <v>#N/A</v>
      </c>
      <c r="AK13" s="34" t="e">
        <v>#N/A</v>
      </c>
      <c r="AL13" s="34" t="e">
        <v>#N/A</v>
      </c>
      <c r="AM13" s="34" t="e">
        <v>#N/A</v>
      </c>
      <c r="AN13" s="34" t="e">
        <v>#N/A</v>
      </c>
      <c r="AO13" s="34" t="e">
        <v>#N/A</v>
      </c>
      <c r="AP13" s="34" t="e">
        <v>#N/A</v>
      </c>
      <c r="AQ13" s="34" t="e">
        <v>#N/A</v>
      </c>
      <c r="AR13" s="34" t="e">
        <v>#N/A</v>
      </c>
      <c r="AS13" s="34" t="e">
        <v>#N/A</v>
      </c>
      <c r="AT13" s="34" t="e">
        <v>#N/A</v>
      </c>
      <c r="AU13" s="34" t="e">
        <v>#N/A</v>
      </c>
      <c r="AV13" s="34" t="e">
        <v>#N/A</v>
      </c>
      <c r="AW13" s="34" t="e">
        <v>#N/A</v>
      </c>
      <c r="AX13" s="34"/>
    </row>
    <row r="14" spans="1:50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 t="e">
        <v>#REF!</v>
      </c>
      <c r="R14" s="37">
        <v>1</v>
      </c>
      <c r="S14" s="37">
        <v>1</v>
      </c>
      <c r="T14" s="37">
        <v>0.99</v>
      </c>
      <c r="U14" s="37">
        <v>0.99</v>
      </c>
      <c r="V14" s="37">
        <v>0.98</v>
      </c>
      <c r="W14" s="37">
        <v>0.97</v>
      </c>
      <c r="X14" s="37">
        <v>0.96</v>
      </c>
      <c r="Y14" s="37">
        <v>0.94</v>
      </c>
      <c r="Z14" s="37">
        <v>0.92</v>
      </c>
      <c r="AA14" s="37">
        <v>0.89</v>
      </c>
      <c r="AB14" s="37">
        <v>0.87</v>
      </c>
      <c r="AC14" s="37">
        <v>0.85</v>
      </c>
      <c r="AD14" s="37">
        <v>0.82</v>
      </c>
      <c r="AE14" s="37">
        <v>0.8</v>
      </c>
      <c r="AF14" s="37">
        <v>0.78</v>
      </c>
      <c r="AG14" s="37">
        <v>0.75</v>
      </c>
      <c r="AH14" s="37">
        <v>0.73</v>
      </c>
      <c r="AI14" s="37">
        <v>0.71</v>
      </c>
      <c r="AJ14" s="37">
        <v>0.68</v>
      </c>
      <c r="AK14" s="37">
        <v>0.66</v>
      </c>
      <c r="AL14" s="37">
        <v>0.64</v>
      </c>
      <c r="AM14" s="37">
        <v>0.62</v>
      </c>
      <c r="AN14" s="37">
        <v>0.61</v>
      </c>
      <c r="AO14" s="37">
        <v>0.59</v>
      </c>
      <c r="AP14" s="37">
        <v>0.57999999999999996</v>
      </c>
      <c r="AQ14" s="37">
        <v>0.56999999999999995</v>
      </c>
      <c r="AR14" s="37">
        <v>0.56000000000000005</v>
      </c>
      <c r="AS14" s="37">
        <v>0.56000000000000005</v>
      </c>
      <c r="AT14" s="37">
        <v>0.55000000000000004</v>
      </c>
      <c r="AU14" s="37">
        <v>0.55000000000000004</v>
      </c>
      <c r="AV14" s="37">
        <v>0.55000000000000004</v>
      </c>
      <c r="AW14" s="37">
        <v>0.54</v>
      </c>
      <c r="AX14" s="34"/>
    </row>
    <row r="15" spans="1:50">
      <c r="A15" s="35" t="s">
        <v>346</v>
      </c>
      <c r="B15" s="40" t="s">
        <v>347</v>
      </c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 t="e">
        <v>#REF!</v>
      </c>
      <c r="R15" s="37">
        <v>1</v>
      </c>
      <c r="S15" s="37">
        <v>1</v>
      </c>
      <c r="T15" s="37">
        <v>0.99</v>
      </c>
      <c r="U15" s="37">
        <v>0.99</v>
      </c>
      <c r="V15" s="37">
        <v>0.98</v>
      </c>
      <c r="W15" s="37">
        <v>0.97</v>
      </c>
      <c r="X15" s="37">
        <v>0.96</v>
      </c>
      <c r="Y15" s="37">
        <v>0.94</v>
      </c>
      <c r="Z15" s="37">
        <v>0.92</v>
      </c>
      <c r="AA15" s="37">
        <v>0.89</v>
      </c>
      <c r="AB15" s="37">
        <v>0.87</v>
      </c>
      <c r="AC15" s="37">
        <v>0.85</v>
      </c>
      <c r="AD15" s="37">
        <v>0.82</v>
      </c>
      <c r="AE15" s="37">
        <v>0.79</v>
      </c>
      <c r="AF15" s="37">
        <v>0.77</v>
      </c>
      <c r="AG15" s="37">
        <v>0.74</v>
      </c>
      <c r="AH15" s="37">
        <v>0.71</v>
      </c>
      <c r="AI15" s="37">
        <v>0.69</v>
      </c>
      <c r="AJ15" s="37">
        <v>0.67</v>
      </c>
      <c r="AK15" s="37">
        <v>0.65</v>
      </c>
      <c r="AL15" s="37">
        <v>0.62</v>
      </c>
      <c r="AM15" s="37">
        <v>0.6</v>
      </c>
      <c r="AN15" s="37">
        <v>0.59</v>
      </c>
      <c r="AO15" s="37">
        <v>0.57999999999999996</v>
      </c>
      <c r="AP15" s="37">
        <v>0.57999999999999996</v>
      </c>
      <c r="AQ15" s="37">
        <v>0.56999999999999995</v>
      </c>
      <c r="AR15" s="37">
        <v>0.56000000000000005</v>
      </c>
      <c r="AS15" s="37">
        <v>0.56000000000000005</v>
      </c>
      <c r="AT15" s="37">
        <v>0.55000000000000004</v>
      </c>
      <c r="AU15" s="37">
        <v>0.55000000000000004</v>
      </c>
      <c r="AV15" s="37">
        <v>0.55000000000000004</v>
      </c>
      <c r="AW15" s="37">
        <v>0.55000000000000004</v>
      </c>
      <c r="AX15" s="34"/>
    </row>
    <row r="16" spans="1:50">
      <c r="A16" s="34"/>
      <c r="B16" s="41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 t="e">
        <v>#REF!</v>
      </c>
      <c r="R16" s="37">
        <v>1</v>
      </c>
      <c r="S16" s="37">
        <v>1.01</v>
      </c>
      <c r="T16" s="37">
        <v>0.99</v>
      </c>
      <c r="U16" s="37">
        <v>0.98</v>
      </c>
      <c r="V16" s="37">
        <v>0.97</v>
      </c>
      <c r="W16" s="37">
        <v>0.95</v>
      </c>
      <c r="X16" s="37">
        <v>0.94</v>
      </c>
      <c r="Y16" s="37">
        <v>0.93</v>
      </c>
      <c r="Z16" s="37">
        <v>0.91</v>
      </c>
      <c r="AA16" s="37">
        <v>0.9</v>
      </c>
      <c r="AB16" s="37">
        <v>0.89</v>
      </c>
      <c r="AC16" s="37">
        <v>0.87</v>
      </c>
      <c r="AD16" s="37">
        <v>0.86</v>
      </c>
      <c r="AE16" s="37">
        <v>0.85</v>
      </c>
      <c r="AF16" s="37">
        <v>0.83</v>
      </c>
      <c r="AG16" s="37">
        <v>0.82</v>
      </c>
      <c r="AH16" s="37">
        <v>0.8</v>
      </c>
      <c r="AI16" s="37">
        <v>0.79</v>
      </c>
      <c r="AJ16" s="37">
        <v>0.78</v>
      </c>
      <c r="AK16" s="37">
        <v>0.77</v>
      </c>
      <c r="AL16" s="37">
        <v>0.76</v>
      </c>
      <c r="AM16" s="37">
        <v>0.75</v>
      </c>
      <c r="AN16" s="37">
        <v>0.75</v>
      </c>
      <c r="AO16" s="37">
        <v>0.75</v>
      </c>
      <c r="AP16" s="37">
        <v>0.75</v>
      </c>
      <c r="AQ16" s="37">
        <v>0.75</v>
      </c>
      <c r="AR16" s="37">
        <v>0.75</v>
      </c>
      <c r="AS16" s="37">
        <v>0.76</v>
      </c>
      <c r="AT16" s="37">
        <v>0.76</v>
      </c>
      <c r="AU16" s="37">
        <v>0.76</v>
      </c>
      <c r="AV16" s="37">
        <v>0.76</v>
      </c>
      <c r="AW16" s="37">
        <v>0.77</v>
      </c>
      <c r="AX16" s="34"/>
    </row>
    <row r="17" spans="1:50">
      <c r="A17" s="34"/>
      <c r="B17" s="42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 t="e">
        <v>#REF!</v>
      </c>
      <c r="R17" s="34" t="e">
        <v>#N/A</v>
      </c>
      <c r="S17" s="34" t="e">
        <v>#N/A</v>
      </c>
      <c r="T17" s="34" t="e">
        <v>#N/A</v>
      </c>
      <c r="U17" s="34" t="e">
        <v>#N/A</v>
      </c>
      <c r="V17" s="34" t="e">
        <v>#N/A</v>
      </c>
      <c r="W17" s="34" t="e">
        <v>#N/A</v>
      </c>
      <c r="X17" s="34" t="e">
        <v>#N/A</v>
      </c>
      <c r="Y17" s="34" t="e">
        <v>#N/A</v>
      </c>
      <c r="Z17" s="34" t="e">
        <v>#N/A</v>
      </c>
      <c r="AA17" s="34" t="e">
        <v>#N/A</v>
      </c>
      <c r="AB17" s="34" t="e">
        <v>#N/A</v>
      </c>
      <c r="AC17" s="34" t="e">
        <v>#N/A</v>
      </c>
      <c r="AD17" s="34" t="e">
        <v>#N/A</v>
      </c>
      <c r="AE17" s="34" t="e">
        <v>#N/A</v>
      </c>
      <c r="AF17" s="34" t="e">
        <v>#N/A</v>
      </c>
      <c r="AG17" s="34" t="e">
        <v>#N/A</v>
      </c>
      <c r="AH17" s="34" t="e">
        <v>#N/A</v>
      </c>
      <c r="AI17" s="34" t="e">
        <v>#N/A</v>
      </c>
      <c r="AJ17" s="34" t="e">
        <v>#N/A</v>
      </c>
      <c r="AK17" s="34" t="e">
        <v>#N/A</v>
      </c>
      <c r="AL17" s="34" t="e">
        <v>#N/A</v>
      </c>
      <c r="AM17" s="34" t="e">
        <v>#N/A</v>
      </c>
      <c r="AN17" s="34" t="e">
        <v>#N/A</v>
      </c>
      <c r="AO17" s="34" t="e">
        <v>#N/A</v>
      </c>
      <c r="AP17" s="34" t="e">
        <v>#N/A</v>
      </c>
      <c r="AQ17" s="34" t="e">
        <v>#N/A</v>
      </c>
      <c r="AR17" s="34" t="e">
        <v>#N/A</v>
      </c>
      <c r="AS17" s="34" t="e">
        <v>#N/A</v>
      </c>
      <c r="AT17" s="34" t="e">
        <v>#N/A</v>
      </c>
      <c r="AU17" s="34" t="e">
        <v>#N/A</v>
      </c>
      <c r="AV17" s="34" t="e">
        <v>#N/A</v>
      </c>
      <c r="AW17" s="34" t="e">
        <v>#N/A</v>
      </c>
      <c r="AX17" s="34"/>
    </row>
    <row r="18" spans="1:50">
      <c r="A18" s="34"/>
      <c r="B18" s="43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 t="e">
        <v>#REF!</v>
      </c>
      <c r="R18" s="37">
        <v>1</v>
      </c>
      <c r="S18" s="37">
        <v>1</v>
      </c>
      <c r="T18" s="37">
        <v>0.99</v>
      </c>
      <c r="U18" s="37">
        <v>0.99</v>
      </c>
      <c r="V18" s="37">
        <v>0.98</v>
      </c>
      <c r="W18" s="37">
        <v>0.97</v>
      </c>
      <c r="X18" s="37">
        <v>0.96</v>
      </c>
      <c r="Y18" s="37">
        <v>0.94</v>
      </c>
      <c r="Z18" s="37">
        <v>0.92</v>
      </c>
      <c r="AA18" s="37">
        <v>0.89</v>
      </c>
      <c r="AB18" s="37">
        <v>0.87</v>
      </c>
      <c r="AC18" s="37">
        <v>0.85</v>
      </c>
      <c r="AD18" s="37">
        <v>0.82</v>
      </c>
      <c r="AE18" s="37">
        <v>0.8</v>
      </c>
      <c r="AF18" s="37">
        <v>0.77</v>
      </c>
      <c r="AG18" s="37">
        <v>0.75</v>
      </c>
      <c r="AH18" s="37">
        <v>0.72</v>
      </c>
      <c r="AI18" s="37">
        <v>0.7</v>
      </c>
      <c r="AJ18" s="37">
        <v>0.68</v>
      </c>
      <c r="AK18" s="37">
        <v>0.66</v>
      </c>
      <c r="AL18" s="37">
        <v>0.64</v>
      </c>
      <c r="AM18" s="37">
        <v>0.61</v>
      </c>
      <c r="AN18" s="37">
        <v>0.6</v>
      </c>
      <c r="AO18" s="37">
        <v>0.59</v>
      </c>
      <c r="AP18" s="37">
        <v>0.57999999999999996</v>
      </c>
      <c r="AQ18" s="37">
        <v>0.56999999999999995</v>
      </c>
      <c r="AR18" s="37">
        <v>0.56000000000000005</v>
      </c>
      <c r="AS18" s="37">
        <v>0.56000000000000005</v>
      </c>
      <c r="AT18" s="37">
        <v>0.55000000000000004</v>
      </c>
      <c r="AU18" s="37">
        <v>0.55000000000000004</v>
      </c>
      <c r="AV18" s="37">
        <v>0.55000000000000004</v>
      </c>
      <c r="AW18" s="37">
        <v>0.54</v>
      </c>
      <c r="AX18" s="34"/>
    </row>
    <row r="19" spans="1:50">
      <c r="A19" s="34"/>
      <c r="B19" s="39" t="s">
        <v>347</v>
      </c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 t="e">
        <v>#REF!</v>
      </c>
      <c r="R19" s="37">
        <v>1</v>
      </c>
      <c r="S19" s="37">
        <v>1</v>
      </c>
      <c r="T19" s="37">
        <v>0.99</v>
      </c>
      <c r="U19" s="37">
        <v>0.99</v>
      </c>
      <c r="V19" s="37">
        <v>0.98</v>
      </c>
      <c r="W19" s="37">
        <v>0.97</v>
      </c>
      <c r="X19" s="37">
        <v>0.96</v>
      </c>
      <c r="Y19" s="37">
        <v>0.94</v>
      </c>
      <c r="Z19" s="37">
        <v>0.92</v>
      </c>
      <c r="AA19" s="37">
        <v>0.89</v>
      </c>
      <c r="AB19" s="37">
        <v>0.87</v>
      </c>
      <c r="AC19" s="37">
        <v>0.85</v>
      </c>
      <c r="AD19" s="37">
        <v>0.82</v>
      </c>
      <c r="AE19" s="37">
        <v>0.8</v>
      </c>
      <c r="AF19" s="37">
        <v>0.77</v>
      </c>
      <c r="AG19" s="37">
        <v>0.75</v>
      </c>
      <c r="AH19" s="37">
        <v>0.72</v>
      </c>
      <c r="AI19" s="37">
        <v>0.7</v>
      </c>
      <c r="AJ19" s="37">
        <v>0.68</v>
      </c>
      <c r="AK19" s="37">
        <v>0.66</v>
      </c>
      <c r="AL19" s="37">
        <v>0.64</v>
      </c>
      <c r="AM19" s="37">
        <v>0.61</v>
      </c>
      <c r="AN19" s="37">
        <v>0.6</v>
      </c>
      <c r="AO19" s="37">
        <v>0.59</v>
      </c>
      <c r="AP19" s="37">
        <v>0.57999999999999996</v>
      </c>
      <c r="AQ19" s="37">
        <v>0.56999999999999995</v>
      </c>
      <c r="AR19" s="37">
        <v>0.56000000000000005</v>
      </c>
      <c r="AS19" s="37">
        <v>0.56000000000000005</v>
      </c>
      <c r="AT19" s="37">
        <v>0.56000000000000005</v>
      </c>
      <c r="AU19" s="37">
        <v>0.55000000000000004</v>
      </c>
      <c r="AV19" s="37">
        <v>0.55000000000000004</v>
      </c>
      <c r="AW19" s="37">
        <v>0.54</v>
      </c>
      <c r="AX19" s="34"/>
    </row>
    <row r="20" spans="1:50">
      <c r="A20" s="34"/>
      <c r="B20" s="4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 t="e">
        <v>#REF!</v>
      </c>
      <c r="R20" s="34" t="e">
        <v>#N/A</v>
      </c>
      <c r="S20" s="34" t="e">
        <v>#N/A</v>
      </c>
      <c r="T20" s="34" t="e">
        <v>#N/A</v>
      </c>
      <c r="U20" s="34" t="e">
        <v>#N/A</v>
      </c>
      <c r="V20" s="34" t="e">
        <v>#N/A</v>
      </c>
      <c r="W20" s="34" t="e">
        <v>#N/A</v>
      </c>
      <c r="X20" s="34" t="e">
        <v>#N/A</v>
      </c>
      <c r="Y20" s="34" t="e">
        <v>#N/A</v>
      </c>
      <c r="Z20" s="34" t="e">
        <v>#N/A</v>
      </c>
      <c r="AA20" s="34" t="e">
        <v>#N/A</v>
      </c>
      <c r="AB20" s="34" t="e">
        <v>#N/A</v>
      </c>
      <c r="AC20" s="34" t="e">
        <v>#N/A</v>
      </c>
      <c r="AD20" s="34" t="e">
        <v>#N/A</v>
      </c>
      <c r="AE20" s="34" t="e">
        <v>#N/A</v>
      </c>
      <c r="AF20" s="34" t="e">
        <v>#N/A</v>
      </c>
      <c r="AG20" s="34" t="e">
        <v>#N/A</v>
      </c>
      <c r="AH20" s="34" t="e">
        <v>#N/A</v>
      </c>
      <c r="AI20" s="34" t="e">
        <v>#N/A</v>
      </c>
      <c r="AJ20" s="34" t="e">
        <v>#N/A</v>
      </c>
      <c r="AK20" s="34" t="e">
        <v>#N/A</v>
      </c>
      <c r="AL20" s="34" t="e">
        <v>#N/A</v>
      </c>
      <c r="AM20" s="34" t="e">
        <v>#N/A</v>
      </c>
      <c r="AN20" s="34" t="e">
        <v>#N/A</v>
      </c>
      <c r="AO20" s="34" t="e">
        <v>#N/A</v>
      </c>
      <c r="AP20" s="34" t="e">
        <v>#N/A</v>
      </c>
      <c r="AQ20" s="34" t="e">
        <v>#N/A</v>
      </c>
      <c r="AR20" s="34" t="e">
        <v>#N/A</v>
      </c>
      <c r="AS20" s="34" t="e">
        <v>#N/A</v>
      </c>
      <c r="AT20" s="34" t="e">
        <v>#N/A</v>
      </c>
      <c r="AU20" s="34" t="e">
        <v>#N/A</v>
      </c>
      <c r="AV20" s="34" t="e">
        <v>#N/A</v>
      </c>
      <c r="AW20" s="34" t="e">
        <v>#N/A</v>
      </c>
      <c r="AX20" s="34"/>
    </row>
    <row r="21" spans="1:50">
      <c r="A21" s="34"/>
      <c r="B21" s="45" t="s">
        <v>347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 t="e">
        <v>#REF!</v>
      </c>
      <c r="R21" s="34" t="e">
        <v>#N/A</v>
      </c>
      <c r="S21" s="34" t="e">
        <v>#N/A</v>
      </c>
      <c r="T21" s="34" t="e">
        <v>#N/A</v>
      </c>
      <c r="U21" s="34" t="e">
        <v>#N/A</v>
      </c>
      <c r="V21" s="34" t="e">
        <v>#N/A</v>
      </c>
      <c r="W21" s="34" t="e">
        <v>#N/A</v>
      </c>
      <c r="X21" s="34" t="e">
        <v>#N/A</v>
      </c>
      <c r="Y21" s="34" t="e">
        <v>#N/A</v>
      </c>
      <c r="Z21" s="34" t="e">
        <v>#N/A</v>
      </c>
      <c r="AA21" s="34" t="e">
        <v>#N/A</v>
      </c>
      <c r="AB21" s="34" t="e">
        <v>#N/A</v>
      </c>
      <c r="AC21" s="34" t="e">
        <v>#N/A</v>
      </c>
      <c r="AD21" s="34" t="e">
        <v>#N/A</v>
      </c>
      <c r="AE21" s="34" t="e">
        <v>#N/A</v>
      </c>
      <c r="AF21" s="34" t="e">
        <v>#N/A</v>
      </c>
      <c r="AG21" s="34" t="e">
        <v>#N/A</v>
      </c>
      <c r="AH21" s="34" t="e">
        <v>#N/A</v>
      </c>
      <c r="AI21" s="34" t="e">
        <v>#N/A</v>
      </c>
      <c r="AJ21" s="34" t="e">
        <v>#N/A</v>
      </c>
      <c r="AK21" s="34" t="e">
        <v>#N/A</v>
      </c>
      <c r="AL21" s="34" t="e">
        <v>#N/A</v>
      </c>
      <c r="AM21" s="34" t="e">
        <v>#N/A</v>
      </c>
      <c r="AN21" s="34" t="e">
        <v>#N/A</v>
      </c>
      <c r="AO21" s="34" t="e">
        <v>#N/A</v>
      </c>
      <c r="AP21" s="34" t="e">
        <v>#N/A</v>
      </c>
      <c r="AQ21" s="34" t="e">
        <v>#N/A</v>
      </c>
      <c r="AR21" s="34" t="e">
        <v>#N/A</v>
      </c>
      <c r="AS21" s="34" t="e">
        <v>#N/A</v>
      </c>
      <c r="AT21" s="34" t="e">
        <v>#N/A</v>
      </c>
      <c r="AU21" s="34" t="e">
        <v>#N/A</v>
      </c>
      <c r="AV21" s="34" t="e">
        <v>#N/A</v>
      </c>
      <c r="AW21" s="34" t="e">
        <v>#N/A</v>
      </c>
      <c r="AX21" s="34"/>
    </row>
    <row r="22" spans="1:50">
      <c r="A22" s="34"/>
      <c r="B22" s="46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 t="e">
        <v>#REF!</v>
      </c>
      <c r="R22" s="37">
        <v>1</v>
      </c>
      <c r="S22" s="37">
        <v>1</v>
      </c>
      <c r="T22" s="37">
        <v>0.99</v>
      </c>
      <c r="U22" s="37">
        <v>0.98</v>
      </c>
      <c r="V22" s="37">
        <v>0.98</v>
      </c>
      <c r="W22" s="37">
        <v>0.97</v>
      </c>
      <c r="X22" s="37">
        <v>0.96</v>
      </c>
      <c r="Y22" s="37">
        <v>0.94</v>
      </c>
      <c r="Z22" s="37">
        <v>0.92</v>
      </c>
      <c r="AA22" s="37">
        <v>0.89</v>
      </c>
      <c r="AB22" s="37">
        <v>0.87</v>
      </c>
      <c r="AC22" s="37">
        <v>0.85</v>
      </c>
      <c r="AD22" s="37">
        <v>0.82</v>
      </c>
      <c r="AE22" s="37">
        <v>0.8</v>
      </c>
      <c r="AF22" s="37">
        <v>0.77</v>
      </c>
      <c r="AG22" s="37">
        <v>0.75</v>
      </c>
      <c r="AH22" s="37">
        <v>0.73</v>
      </c>
      <c r="AI22" s="37">
        <v>0.7</v>
      </c>
      <c r="AJ22" s="37">
        <v>0.68</v>
      </c>
      <c r="AK22" s="37">
        <v>0.66</v>
      </c>
      <c r="AL22" s="37">
        <v>0.64</v>
      </c>
      <c r="AM22" s="37">
        <v>0.62</v>
      </c>
      <c r="AN22" s="37">
        <v>0.6</v>
      </c>
      <c r="AO22" s="37">
        <v>0.59</v>
      </c>
      <c r="AP22" s="37">
        <v>0.57999999999999996</v>
      </c>
      <c r="AQ22" s="37">
        <v>0.56999999999999995</v>
      </c>
      <c r="AR22" s="37">
        <v>0.56000000000000005</v>
      </c>
      <c r="AS22" s="37">
        <v>0.56000000000000005</v>
      </c>
      <c r="AT22" s="37">
        <v>0.55000000000000004</v>
      </c>
      <c r="AU22" s="37">
        <v>0.55000000000000004</v>
      </c>
      <c r="AV22" s="37">
        <v>0.54</v>
      </c>
      <c r="AW22" s="37">
        <v>0.54</v>
      </c>
      <c r="AX22" s="34"/>
    </row>
    <row r="23" spans="1:50">
      <c r="A23" s="34"/>
      <c r="B23" s="47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 t="e">
        <v>#REF!</v>
      </c>
      <c r="R23" s="37">
        <v>1</v>
      </c>
      <c r="S23" s="37">
        <v>1</v>
      </c>
      <c r="T23" s="37">
        <v>0.99</v>
      </c>
      <c r="U23" s="37">
        <v>0.99</v>
      </c>
      <c r="V23" s="37">
        <v>0.98</v>
      </c>
      <c r="W23" s="37">
        <v>0.97</v>
      </c>
      <c r="X23" s="37">
        <v>0.96</v>
      </c>
      <c r="Y23" s="37">
        <v>0.94</v>
      </c>
      <c r="Z23" s="37">
        <v>0.92</v>
      </c>
      <c r="AA23" s="37">
        <v>0.89</v>
      </c>
      <c r="AB23" s="37">
        <v>0.87</v>
      </c>
      <c r="AC23" s="37">
        <v>0.84</v>
      </c>
      <c r="AD23" s="37">
        <v>0.82</v>
      </c>
      <c r="AE23" s="37">
        <v>0.79</v>
      </c>
      <c r="AF23" s="37">
        <v>0.77</v>
      </c>
      <c r="AG23" s="37">
        <v>0.74</v>
      </c>
      <c r="AH23" s="37">
        <v>0.71</v>
      </c>
      <c r="AI23" s="37">
        <v>0.69</v>
      </c>
      <c r="AJ23" s="37">
        <v>0.67</v>
      </c>
      <c r="AK23" s="37">
        <v>0.65</v>
      </c>
      <c r="AL23" s="37">
        <v>0.63</v>
      </c>
      <c r="AM23" s="37">
        <v>0.6</v>
      </c>
      <c r="AN23" s="37">
        <v>0.6</v>
      </c>
      <c r="AO23" s="37">
        <v>0.59</v>
      </c>
      <c r="AP23" s="37">
        <v>0.57999999999999996</v>
      </c>
      <c r="AQ23" s="37">
        <v>0.56999999999999995</v>
      </c>
      <c r="AR23" s="37">
        <v>0.56000000000000005</v>
      </c>
      <c r="AS23" s="37">
        <v>0.56000000000000005</v>
      </c>
      <c r="AT23" s="37">
        <v>0.56000000000000005</v>
      </c>
      <c r="AU23" s="37">
        <v>0.55000000000000004</v>
      </c>
      <c r="AV23" s="37">
        <v>0.55000000000000004</v>
      </c>
      <c r="AW23" s="37">
        <v>0.55000000000000004</v>
      </c>
      <c r="AX23" s="34"/>
    </row>
    <row r="24" spans="1:50">
      <c r="A24" s="34"/>
      <c r="B24" s="48" t="s">
        <v>347</v>
      </c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 t="e">
        <v>#REF!</v>
      </c>
      <c r="R24" s="34" t="e">
        <v>#N/A</v>
      </c>
      <c r="S24" s="34" t="e">
        <v>#N/A</v>
      </c>
      <c r="T24" s="34" t="e">
        <v>#N/A</v>
      </c>
      <c r="U24" s="34" t="e">
        <v>#N/A</v>
      </c>
      <c r="V24" s="34" t="e">
        <v>#N/A</v>
      </c>
      <c r="W24" s="34" t="e">
        <v>#N/A</v>
      </c>
      <c r="X24" s="34" t="e">
        <v>#N/A</v>
      </c>
      <c r="Y24" s="34" t="e">
        <v>#N/A</v>
      </c>
      <c r="Z24" s="34" t="e">
        <v>#N/A</v>
      </c>
      <c r="AA24" s="34" t="e">
        <v>#N/A</v>
      </c>
      <c r="AB24" s="34" t="e">
        <v>#N/A</v>
      </c>
      <c r="AC24" s="34" t="e">
        <v>#N/A</v>
      </c>
      <c r="AD24" s="34" t="e">
        <v>#N/A</v>
      </c>
      <c r="AE24" s="34" t="e">
        <v>#N/A</v>
      </c>
      <c r="AF24" s="34" t="e">
        <v>#N/A</v>
      </c>
      <c r="AG24" s="34" t="e">
        <v>#N/A</v>
      </c>
      <c r="AH24" s="34" t="e">
        <v>#N/A</v>
      </c>
      <c r="AI24" s="34" t="e">
        <v>#N/A</v>
      </c>
      <c r="AJ24" s="34" t="e">
        <v>#N/A</v>
      </c>
      <c r="AK24" s="34" t="e">
        <v>#N/A</v>
      </c>
      <c r="AL24" s="34" t="e">
        <v>#N/A</v>
      </c>
      <c r="AM24" s="34" t="e">
        <v>#N/A</v>
      </c>
      <c r="AN24" s="34" t="e">
        <v>#N/A</v>
      </c>
      <c r="AO24" s="34" t="e">
        <v>#N/A</v>
      </c>
      <c r="AP24" s="34" t="e">
        <v>#N/A</v>
      </c>
      <c r="AQ24" s="34" t="e">
        <v>#N/A</v>
      </c>
      <c r="AR24" s="34" t="e">
        <v>#N/A</v>
      </c>
      <c r="AS24" s="34" t="e">
        <v>#N/A</v>
      </c>
      <c r="AT24" s="34" t="e">
        <v>#N/A</v>
      </c>
      <c r="AU24" s="34" t="e">
        <v>#N/A</v>
      </c>
      <c r="AV24" s="34" t="e">
        <v>#N/A</v>
      </c>
      <c r="AW24" s="34" t="e">
        <v>#N/A</v>
      </c>
      <c r="AX24" s="34"/>
    </row>
    <row r="25" spans="1:50">
      <c r="A25" s="34"/>
      <c r="B25" s="49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 t="e">
        <v>#REF!</v>
      </c>
      <c r="R25" s="37">
        <v>1</v>
      </c>
      <c r="S25" s="37">
        <v>1</v>
      </c>
      <c r="T25" s="37">
        <v>0.99</v>
      </c>
      <c r="U25" s="37">
        <v>0.99</v>
      </c>
      <c r="V25" s="37">
        <v>0.98</v>
      </c>
      <c r="W25" s="37">
        <v>0.97</v>
      </c>
      <c r="X25" s="37">
        <v>0.96</v>
      </c>
      <c r="Y25" s="37">
        <v>0.94</v>
      </c>
      <c r="Z25" s="37">
        <v>0.92</v>
      </c>
      <c r="AA25" s="37">
        <v>0.89</v>
      </c>
      <c r="AB25" s="37">
        <v>0.87</v>
      </c>
      <c r="AC25" s="37">
        <v>0.85</v>
      </c>
      <c r="AD25" s="37">
        <v>0.83</v>
      </c>
      <c r="AE25" s="37">
        <v>0.81</v>
      </c>
      <c r="AF25" s="37">
        <v>0.8</v>
      </c>
      <c r="AG25" s="37">
        <v>0.78</v>
      </c>
      <c r="AH25" s="37">
        <v>0.76</v>
      </c>
      <c r="AI25" s="37">
        <v>0.74</v>
      </c>
      <c r="AJ25" s="37">
        <v>0.72</v>
      </c>
      <c r="AK25" s="37">
        <v>0.7</v>
      </c>
      <c r="AL25" s="37">
        <v>0.68</v>
      </c>
      <c r="AM25" s="37">
        <v>0.66</v>
      </c>
      <c r="AN25" s="37">
        <v>0.65</v>
      </c>
      <c r="AO25" s="37">
        <v>0.64</v>
      </c>
      <c r="AP25" s="37">
        <v>0.63</v>
      </c>
      <c r="AQ25" s="37">
        <v>0.62</v>
      </c>
      <c r="AR25" s="37">
        <v>0.61</v>
      </c>
      <c r="AS25" s="37">
        <v>0.61</v>
      </c>
      <c r="AT25" s="37">
        <v>0.61</v>
      </c>
      <c r="AU25" s="37">
        <v>0.61</v>
      </c>
      <c r="AV25" s="37">
        <v>0.61</v>
      </c>
      <c r="AW25" s="37">
        <v>0.6</v>
      </c>
      <c r="AX25" s="34"/>
    </row>
    <row r="26" spans="1:50">
      <c r="A26" s="34"/>
      <c r="B26" s="50"/>
      <c r="C26" s="34"/>
      <c r="D26" s="34"/>
      <c r="E26" s="38" t="s">
        <v>348</v>
      </c>
      <c r="F26" s="38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 t="e">
        <v>#REF!</v>
      </c>
      <c r="R26" s="37">
        <v>1</v>
      </c>
      <c r="S26" s="37">
        <v>1</v>
      </c>
      <c r="T26" s="37">
        <v>0.99</v>
      </c>
      <c r="U26" s="37">
        <v>0.99</v>
      </c>
      <c r="V26" s="37">
        <v>0.98</v>
      </c>
      <c r="W26" s="37">
        <v>0.97</v>
      </c>
      <c r="X26" s="37">
        <v>0.96</v>
      </c>
      <c r="Y26" s="37">
        <v>0.94</v>
      </c>
      <c r="Z26" s="37">
        <v>0.92</v>
      </c>
      <c r="AA26" s="37">
        <v>0.89</v>
      </c>
      <c r="AB26" s="37">
        <v>0.87</v>
      </c>
      <c r="AC26" s="37">
        <v>0.85</v>
      </c>
      <c r="AD26" s="37">
        <v>0.83</v>
      </c>
      <c r="AE26" s="37">
        <v>0.81</v>
      </c>
      <c r="AF26" s="37">
        <v>0.8</v>
      </c>
      <c r="AG26" s="37">
        <v>0.78</v>
      </c>
      <c r="AH26" s="37">
        <v>0.76</v>
      </c>
      <c r="AI26" s="37">
        <v>0.74</v>
      </c>
      <c r="AJ26" s="37">
        <v>0.72</v>
      </c>
      <c r="AK26" s="37">
        <v>0.7</v>
      </c>
      <c r="AL26" s="37">
        <v>0.68</v>
      </c>
      <c r="AM26" s="37">
        <v>0.66</v>
      </c>
      <c r="AN26" s="37">
        <v>0.65</v>
      </c>
      <c r="AO26" s="37">
        <v>0.64</v>
      </c>
      <c r="AP26" s="37">
        <v>0.63</v>
      </c>
      <c r="AQ26" s="37">
        <v>0.62</v>
      </c>
      <c r="AR26" s="37">
        <v>0.61</v>
      </c>
      <c r="AS26" s="37">
        <v>0.61</v>
      </c>
      <c r="AT26" s="37">
        <v>0.61</v>
      </c>
      <c r="AU26" s="37">
        <v>0.61</v>
      </c>
      <c r="AV26" s="37">
        <v>0.61</v>
      </c>
      <c r="AW26" s="37">
        <v>0.6</v>
      </c>
      <c r="AX26" s="34"/>
    </row>
    <row r="27" spans="1:50">
      <c r="A27" s="34"/>
      <c r="B27" s="51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 t="e">
        <v>#REF!</v>
      </c>
      <c r="R27" s="37">
        <v>1</v>
      </c>
      <c r="S27" s="37">
        <v>1.01</v>
      </c>
      <c r="T27" s="37">
        <v>0.99</v>
      </c>
      <c r="U27" s="37">
        <v>0.98</v>
      </c>
      <c r="V27" s="37">
        <v>0.96</v>
      </c>
      <c r="W27" s="37">
        <v>0.95</v>
      </c>
      <c r="X27" s="37">
        <v>0.94</v>
      </c>
      <c r="Y27" s="37">
        <v>0.92</v>
      </c>
      <c r="Z27" s="37">
        <v>0.91</v>
      </c>
      <c r="AA27" s="37">
        <v>0.89</v>
      </c>
      <c r="AB27" s="37">
        <v>0.88</v>
      </c>
      <c r="AC27" s="37">
        <v>0.87</v>
      </c>
      <c r="AD27" s="37">
        <v>0.85</v>
      </c>
      <c r="AE27" s="37">
        <v>0.84</v>
      </c>
      <c r="AF27" s="37">
        <v>0.82</v>
      </c>
      <c r="AG27" s="37">
        <v>0.81</v>
      </c>
      <c r="AH27" s="37">
        <v>0.79</v>
      </c>
      <c r="AI27" s="37">
        <v>0.78</v>
      </c>
      <c r="AJ27" s="37">
        <v>0.78</v>
      </c>
      <c r="AK27" s="37">
        <v>0.77</v>
      </c>
      <c r="AL27" s="37">
        <v>0.76</v>
      </c>
      <c r="AM27" s="37">
        <v>0.75</v>
      </c>
      <c r="AN27" s="37">
        <v>0.75</v>
      </c>
      <c r="AO27" s="37">
        <v>0.75</v>
      </c>
      <c r="AP27" s="37">
        <v>0.75</v>
      </c>
      <c r="AQ27" s="37">
        <v>0.75</v>
      </c>
      <c r="AR27" s="37">
        <v>0.75</v>
      </c>
      <c r="AS27" s="37">
        <v>0.75</v>
      </c>
      <c r="AT27" s="37">
        <v>0.75</v>
      </c>
      <c r="AU27" s="37">
        <v>0.76</v>
      </c>
      <c r="AV27" s="37">
        <v>0.76</v>
      </c>
      <c r="AW27" s="37">
        <v>0.76</v>
      </c>
      <c r="AX27" s="34"/>
    </row>
    <row r="28" spans="1:50">
      <c r="A28" s="34"/>
      <c r="B28" s="52"/>
      <c r="C28" s="34"/>
      <c r="D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 t="e">
        <v>#REF!</v>
      </c>
      <c r="R28" s="34" t="e">
        <v>#N/A</v>
      </c>
      <c r="S28" s="34" t="e">
        <v>#N/A</v>
      </c>
      <c r="T28" s="34" t="e">
        <v>#N/A</v>
      </c>
      <c r="U28" s="34" t="e">
        <v>#N/A</v>
      </c>
      <c r="V28" s="34" t="e">
        <v>#N/A</v>
      </c>
      <c r="W28" s="34" t="e">
        <v>#N/A</v>
      </c>
      <c r="X28" s="34" t="e">
        <v>#N/A</v>
      </c>
      <c r="Y28" s="34" t="e">
        <v>#N/A</v>
      </c>
      <c r="Z28" s="34" t="e">
        <v>#N/A</v>
      </c>
      <c r="AA28" s="34" t="e">
        <v>#N/A</v>
      </c>
      <c r="AB28" s="34" t="e">
        <v>#N/A</v>
      </c>
      <c r="AC28" s="34" t="e">
        <v>#N/A</v>
      </c>
      <c r="AD28" s="34" t="e">
        <v>#N/A</v>
      </c>
      <c r="AE28" s="34" t="e">
        <v>#N/A</v>
      </c>
      <c r="AF28" s="34" t="e">
        <v>#N/A</v>
      </c>
      <c r="AG28" s="34" t="e">
        <v>#N/A</v>
      </c>
      <c r="AH28" s="34" t="e">
        <v>#N/A</v>
      </c>
      <c r="AI28" s="34" t="e">
        <v>#N/A</v>
      </c>
      <c r="AJ28" s="34" t="e">
        <v>#N/A</v>
      </c>
      <c r="AK28" s="34" t="e">
        <v>#N/A</v>
      </c>
      <c r="AL28" s="34" t="e">
        <v>#N/A</v>
      </c>
      <c r="AM28" s="34" t="e">
        <v>#N/A</v>
      </c>
      <c r="AN28" s="34" t="e">
        <v>#N/A</v>
      </c>
      <c r="AO28" s="34" t="e">
        <v>#N/A</v>
      </c>
      <c r="AP28" s="34" t="e">
        <v>#N/A</v>
      </c>
      <c r="AQ28" s="34" t="e">
        <v>#N/A</v>
      </c>
      <c r="AR28" s="34" t="e">
        <v>#N/A</v>
      </c>
      <c r="AS28" s="34" t="e">
        <v>#N/A</v>
      </c>
      <c r="AT28" s="34" t="e">
        <v>#N/A</v>
      </c>
      <c r="AU28" s="34" t="e">
        <v>#N/A</v>
      </c>
      <c r="AV28" s="34" t="e">
        <v>#N/A</v>
      </c>
      <c r="AW28" s="34" t="e">
        <v>#N/A</v>
      </c>
      <c r="AX28" s="34"/>
    </row>
    <row r="29" spans="1:50">
      <c r="A29" s="34"/>
      <c r="B29" s="53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 t="e">
        <v>#REF!</v>
      </c>
      <c r="R29" s="34" t="e">
        <v>#N/A</v>
      </c>
      <c r="S29" s="34" t="e">
        <v>#N/A</v>
      </c>
      <c r="T29" s="34" t="e">
        <v>#N/A</v>
      </c>
      <c r="U29" s="34" t="e">
        <v>#N/A</v>
      </c>
      <c r="V29" s="34" t="e">
        <v>#N/A</v>
      </c>
      <c r="W29" s="34" t="e">
        <v>#N/A</v>
      </c>
      <c r="X29" s="34" t="e">
        <v>#N/A</v>
      </c>
      <c r="Y29" s="34" t="e">
        <v>#N/A</v>
      </c>
      <c r="Z29" s="34" t="e">
        <v>#N/A</v>
      </c>
      <c r="AA29" s="34" t="e">
        <v>#N/A</v>
      </c>
      <c r="AB29" s="34" t="e">
        <v>#N/A</v>
      </c>
      <c r="AC29" s="34" t="e">
        <v>#N/A</v>
      </c>
      <c r="AD29" s="34" t="e">
        <v>#N/A</v>
      </c>
      <c r="AE29" s="34" t="e">
        <v>#N/A</v>
      </c>
      <c r="AF29" s="34" t="e">
        <v>#N/A</v>
      </c>
      <c r="AG29" s="34" t="e">
        <v>#N/A</v>
      </c>
      <c r="AH29" s="34" t="e">
        <v>#N/A</v>
      </c>
      <c r="AI29" s="34" t="e">
        <v>#N/A</v>
      </c>
      <c r="AJ29" s="34" t="e">
        <v>#N/A</v>
      </c>
      <c r="AK29" s="34" t="e">
        <v>#N/A</v>
      </c>
      <c r="AL29" s="34" t="e">
        <v>#N/A</v>
      </c>
      <c r="AM29" s="34" t="e">
        <v>#N/A</v>
      </c>
      <c r="AN29" s="34" t="e">
        <v>#N/A</v>
      </c>
      <c r="AO29" s="34" t="e">
        <v>#N/A</v>
      </c>
      <c r="AP29" s="34" t="e">
        <v>#N/A</v>
      </c>
      <c r="AQ29" s="34" t="e">
        <v>#N/A</v>
      </c>
      <c r="AR29" s="34" t="e">
        <v>#N/A</v>
      </c>
      <c r="AS29" s="34" t="e">
        <v>#N/A</v>
      </c>
      <c r="AT29" s="34" t="e">
        <v>#N/A</v>
      </c>
      <c r="AU29" s="34" t="e">
        <v>#N/A</v>
      </c>
      <c r="AV29" s="34" t="e">
        <v>#N/A</v>
      </c>
      <c r="AW29" s="34" t="e">
        <v>#N/A</v>
      </c>
      <c r="AX29" s="34"/>
    </row>
    <row r="30" spans="1:50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 t="e">
        <v>#REF!</v>
      </c>
      <c r="R30" s="37">
        <v>1</v>
      </c>
      <c r="S30" s="37">
        <v>1</v>
      </c>
      <c r="T30" s="37">
        <v>0.99</v>
      </c>
      <c r="U30" s="37">
        <v>0.99</v>
      </c>
      <c r="V30" s="37">
        <v>0.98</v>
      </c>
      <c r="W30" s="37">
        <v>0.97</v>
      </c>
      <c r="X30" s="37">
        <v>0.96</v>
      </c>
      <c r="Y30" s="37">
        <v>0.94</v>
      </c>
      <c r="Z30" s="37">
        <v>0.92</v>
      </c>
      <c r="AA30" s="37">
        <v>0.89</v>
      </c>
      <c r="AB30" s="37">
        <v>0.87</v>
      </c>
      <c r="AC30" s="37">
        <v>0.85</v>
      </c>
      <c r="AD30" s="37">
        <v>0.83</v>
      </c>
      <c r="AE30" s="37">
        <v>0.81</v>
      </c>
      <c r="AF30" s="37">
        <v>0.8</v>
      </c>
      <c r="AG30" s="37">
        <v>0.78</v>
      </c>
      <c r="AH30" s="37">
        <v>0.76</v>
      </c>
      <c r="AI30" s="37">
        <v>0.74</v>
      </c>
      <c r="AJ30" s="37">
        <v>0.72</v>
      </c>
      <c r="AK30" s="37">
        <v>0.7</v>
      </c>
      <c r="AL30" s="37">
        <v>0.68</v>
      </c>
      <c r="AM30" s="37">
        <v>0.65</v>
      </c>
      <c r="AN30" s="37">
        <v>0.65</v>
      </c>
      <c r="AO30" s="37">
        <v>0.64</v>
      </c>
      <c r="AP30" s="37">
        <v>0.63</v>
      </c>
      <c r="AQ30" s="37">
        <v>0.62</v>
      </c>
      <c r="AR30" s="37">
        <v>0.61</v>
      </c>
      <c r="AS30" s="37">
        <v>0.61</v>
      </c>
      <c r="AT30" s="37">
        <v>0.6</v>
      </c>
      <c r="AU30" s="37">
        <v>0.6</v>
      </c>
      <c r="AV30" s="37">
        <v>0.6</v>
      </c>
      <c r="AW30" s="37">
        <v>0.59</v>
      </c>
      <c r="AX30" s="34"/>
    </row>
    <row r="31" spans="1:50">
      <c r="A31" s="35" t="s">
        <v>349</v>
      </c>
      <c r="B31" s="34" t="s">
        <v>350</v>
      </c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 t="e">
        <v>#REF!</v>
      </c>
      <c r="R31" s="37">
        <v>1</v>
      </c>
      <c r="S31" s="37">
        <v>1</v>
      </c>
      <c r="T31" s="37">
        <v>0.99</v>
      </c>
      <c r="U31" s="37">
        <v>0.99</v>
      </c>
      <c r="V31" s="37">
        <v>0.98</v>
      </c>
      <c r="W31" s="37">
        <v>0.97</v>
      </c>
      <c r="X31" s="37">
        <v>0.96</v>
      </c>
      <c r="Y31" s="37">
        <v>0.94</v>
      </c>
      <c r="Z31" s="37">
        <v>0.92</v>
      </c>
      <c r="AA31" s="37">
        <v>0.89</v>
      </c>
      <c r="AB31" s="37">
        <v>0.87</v>
      </c>
      <c r="AC31" s="37">
        <v>0.85</v>
      </c>
      <c r="AD31" s="37">
        <v>0.83</v>
      </c>
      <c r="AE31" s="37">
        <v>0.8</v>
      </c>
      <c r="AF31" s="37">
        <v>0.78</v>
      </c>
      <c r="AG31" s="37">
        <v>0.76</v>
      </c>
      <c r="AH31" s="37">
        <v>0.73</v>
      </c>
      <c r="AI31" s="37">
        <v>0.71</v>
      </c>
      <c r="AJ31" s="37">
        <v>0.69</v>
      </c>
      <c r="AK31" s="37">
        <v>0.66</v>
      </c>
      <c r="AL31" s="37">
        <v>0.64</v>
      </c>
      <c r="AM31" s="37">
        <v>0.62</v>
      </c>
      <c r="AN31" s="37">
        <v>0.61</v>
      </c>
      <c r="AO31" s="37">
        <v>0.6</v>
      </c>
      <c r="AP31" s="37">
        <v>0.6</v>
      </c>
      <c r="AQ31" s="37">
        <v>0.59</v>
      </c>
      <c r="AR31" s="37">
        <v>0.59</v>
      </c>
      <c r="AS31" s="37">
        <v>0.57999999999999996</v>
      </c>
      <c r="AT31" s="37">
        <v>0.57999999999999996</v>
      </c>
      <c r="AU31" s="37">
        <v>0.57999999999999996</v>
      </c>
      <c r="AV31" s="37">
        <v>0.57999999999999996</v>
      </c>
      <c r="AW31" s="37">
        <v>0.57999999999999996</v>
      </c>
      <c r="AX31" s="34"/>
    </row>
    <row r="32" spans="1:50">
      <c r="A32" s="35" t="s">
        <v>351</v>
      </c>
      <c r="B32" s="34" t="s">
        <v>352</v>
      </c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 t="e">
        <v>#REF!</v>
      </c>
      <c r="R32" s="37">
        <v>1</v>
      </c>
      <c r="S32" s="37">
        <v>1</v>
      </c>
      <c r="T32" s="37">
        <v>0.99</v>
      </c>
      <c r="U32" s="37">
        <v>0.99</v>
      </c>
      <c r="V32" s="37">
        <v>0.98</v>
      </c>
      <c r="W32" s="37">
        <v>0.97</v>
      </c>
      <c r="X32" s="37">
        <v>0.96</v>
      </c>
      <c r="Y32" s="37">
        <v>0.94</v>
      </c>
      <c r="Z32" s="37">
        <v>0.92</v>
      </c>
      <c r="AA32" s="37">
        <v>0.89</v>
      </c>
      <c r="AB32" s="37">
        <v>0.87</v>
      </c>
      <c r="AC32" s="37">
        <v>0.85</v>
      </c>
      <c r="AD32" s="37">
        <v>0.82</v>
      </c>
      <c r="AE32" s="37">
        <v>0.79</v>
      </c>
      <c r="AF32" s="37">
        <v>0.76</v>
      </c>
      <c r="AG32" s="37">
        <v>0.73</v>
      </c>
      <c r="AH32" s="37">
        <v>0.7</v>
      </c>
      <c r="AI32" s="37">
        <v>0.68</v>
      </c>
      <c r="AJ32" s="37">
        <v>0.66</v>
      </c>
      <c r="AK32" s="37">
        <v>0.64</v>
      </c>
      <c r="AL32" s="37">
        <v>0.62</v>
      </c>
      <c r="AM32" s="37">
        <v>0.6</v>
      </c>
      <c r="AN32" s="37">
        <v>0.6</v>
      </c>
      <c r="AO32" s="37">
        <v>0.6</v>
      </c>
      <c r="AP32" s="37">
        <v>0.59</v>
      </c>
      <c r="AQ32" s="37">
        <v>0.59</v>
      </c>
      <c r="AR32" s="37">
        <v>0.59</v>
      </c>
      <c r="AS32" s="37">
        <v>0.59</v>
      </c>
      <c r="AT32" s="37">
        <v>0.59</v>
      </c>
      <c r="AU32" s="37">
        <v>0.6</v>
      </c>
      <c r="AV32" s="37">
        <v>0.6</v>
      </c>
      <c r="AW32" s="37">
        <v>0.6</v>
      </c>
      <c r="AX32" s="34"/>
    </row>
    <row r="33" spans="1:50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 t="e">
        <v>#REF!</v>
      </c>
      <c r="R33" s="37">
        <v>1</v>
      </c>
      <c r="S33" s="37">
        <v>1</v>
      </c>
      <c r="T33" s="37">
        <v>0.99</v>
      </c>
      <c r="U33" s="37">
        <v>0.99</v>
      </c>
      <c r="V33" s="37">
        <v>0.98</v>
      </c>
      <c r="W33" s="37">
        <v>0.97</v>
      </c>
      <c r="X33" s="37">
        <v>0.97</v>
      </c>
      <c r="Y33" s="37">
        <v>0.96</v>
      </c>
      <c r="Z33" s="37">
        <v>0.95</v>
      </c>
      <c r="AA33" s="37">
        <v>0.94</v>
      </c>
      <c r="AB33" s="37">
        <v>0.94</v>
      </c>
      <c r="AC33" s="37">
        <v>0.93</v>
      </c>
      <c r="AD33" s="37">
        <v>0.92</v>
      </c>
      <c r="AE33" s="37">
        <v>0.9</v>
      </c>
      <c r="AF33" s="37">
        <v>0.89</v>
      </c>
      <c r="AG33" s="37">
        <v>0.88</v>
      </c>
      <c r="AH33" s="37">
        <v>0.87</v>
      </c>
      <c r="AI33" s="37">
        <v>0.85</v>
      </c>
      <c r="AJ33" s="37">
        <v>0.83</v>
      </c>
      <c r="AK33" s="37">
        <v>0.81</v>
      </c>
      <c r="AL33" s="37">
        <v>0.8</v>
      </c>
      <c r="AM33" s="37">
        <v>0.78</v>
      </c>
      <c r="AN33" s="37">
        <v>0.77</v>
      </c>
      <c r="AO33" s="37">
        <v>0.76</v>
      </c>
      <c r="AP33" s="37">
        <v>0.76</v>
      </c>
      <c r="AQ33" s="37">
        <v>0.75</v>
      </c>
      <c r="AR33" s="37">
        <v>0.74</v>
      </c>
      <c r="AS33" s="37">
        <v>0.74</v>
      </c>
      <c r="AT33" s="37">
        <v>0.73</v>
      </c>
      <c r="AU33" s="37">
        <v>0.72</v>
      </c>
      <c r="AV33" s="37">
        <v>0.72</v>
      </c>
      <c r="AW33" s="37">
        <v>0.71</v>
      </c>
      <c r="AX33" s="34"/>
    </row>
    <row r="34" spans="1:50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 t="e">
        <v>#REF!</v>
      </c>
      <c r="R34" s="37">
        <v>1</v>
      </c>
      <c r="S34" s="37">
        <v>1</v>
      </c>
      <c r="T34" s="37">
        <v>0.99</v>
      </c>
      <c r="U34" s="37">
        <v>0.99</v>
      </c>
      <c r="V34" s="37">
        <v>0.98</v>
      </c>
      <c r="W34" s="37">
        <v>0.98</v>
      </c>
      <c r="X34" s="37">
        <v>0.97</v>
      </c>
      <c r="Y34" s="37">
        <v>0.96</v>
      </c>
      <c r="Z34" s="37">
        <v>0.95</v>
      </c>
      <c r="AA34" s="37">
        <v>0.95</v>
      </c>
      <c r="AB34" s="37">
        <v>0.94</v>
      </c>
      <c r="AC34" s="37">
        <v>0.93</v>
      </c>
      <c r="AD34" s="37">
        <v>0.92</v>
      </c>
      <c r="AE34" s="37">
        <v>0.91</v>
      </c>
      <c r="AF34" s="37">
        <v>0.9</v>
      </c>
      <c r="AG34" s="37">
        <v>0.89</v>
      </c>
      <c r="AH34" s="37">
        <v>0.87</v>
      </c>
      <c r="AI34" s="37">
        <v>0.86</v>
      </c>
      <c r="AJ34" s="37">
        <v>0.84</v>
      </c>
      <c r="AK34" s="37">
        <v>0.82</v>
      </c>
      <c r="AL34" s="37">
        <v>0.8</v>
      </c>
      <c r="AM34" s="37">
        <v>0.78</v>
      </c>
      <c r="AN34" s="37">
        <v>0.78</v>
      </c>
      <c r="AO34" s="37">
        <v>0.77</v>
      </c>
      <c r="AP34" s="37">
        <v>0.76</v>
      </c>
      <c r="AQ34" s="37">
        <v>0.76</v>
      </c>
      <c r="AR34" s="37">
        <v>0.75</v>
      </c>
      <c r="AS34" s="37">
        <v>0.74</v>
      </c>
      <c r="AT34" s="37">
        <v>0.74</v>
      </c>
      <c r="AU34" s="37">
        <v>0.73</v>
      </c>
      <c r="AV34" s="37">
        <v>0.72</v>
      </c>
      <c r="AW34" s="37">
        <v>0.71</v>
      </c>
      <c r="AX34" s="34"/>
    </row>
    <row r="35" spans="1:50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 t="e">
        <v>#REF!</v>
      </c>
      <c r="R35" s="37">
        <v>1</v>
      </c>
      <c r="S35" s="37">
        <v>1</v>
      </c>
      <c r="T35" s="37">
        <v>0.99</v>
      </c>
      <c r="U35" s="37">
        <v>0.99</v>
      </c>
      <c r="V35" s="37">
        <v>0.98</v>
      </c>
      <c r="W35" s="37">
        <v>0.98</v>
      </c>
      <c r="X35" s="37">
        <v>0.97</v>
      </c>
      <c r="Y35" s="37">
        <v>0.97</v>
      </c>
      <c r="Z35" s="37">
        <v>0.96</v>
      </c>
      <c r="AA35" s="37">
        <v>0.95</v>
      </c>
      <c r="AB35" s="37">
        <v>0.95</v>
      </c>
      <c r="AC35" s="37">
        <v>0.94</v>
      </c>
      <c r="AD35" s="37">
        <v>0.93</v>
      </c>
      <c r="AE35" s="37">
        <v>0.92</v>
      </c>
      <c r="AF35" s="37">
        <v>0.9</v>
      </c>
      <c r="AG35" s="37">
        <v>0.89</v>
      </c>
      <c r="AH35" s="37">
        <v>0.88</v>
      </c>
      <c r="AI35" s="37">
        <v>0.86</v>
      </c>
      <c r="AJ35" s="37">
        <v>0.85</v>
      </c>
      <c r="AK35" s="37">
        <v>0.83</v>
      </c>
      <c r="AL35" s="37">
        <v>0.81</v>
      </c>
      <c r="AM35" s="37">
        <v>0.79</v>
      </c>
      <c r="AN35" s="37">
        <v>0.78</v>
      </c>
      <c r="AO35" s="37">
        <v>0.78</v>
      </c>
      <c r="AP35" s="37">
        <v>0.77</v>
      </c>
      <c r="AQ35" s="37">
        <v>0.76</v>
      </c>
      <c r="AR35" s="37">
        <v>0.75</v>
      </c>
      <c r="AS35" s="37">
        <v>0.75</v>
      </c>
      <c r="AT35" s="37">
        <v>0.74</v>
      </c>
      <c r="AU35" s="37">
        <v>0.73</v>
      </c>
      <c r="AV35" s="37">
        <v>0.72</v>
      </c>
      <c r="AW35" s="37">
        <v>0.71</v>
      </c>
      <c r="AX35" s="34"/>
    </row>
    <row r="36" spans="1:50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 t="e">
        <v>#REF!</v>
      </c>
      <c r="R36" s="37">
        <v>1</v>
      </c>
      <c r="S36" s="37">
        <v>1</v>
      </c>
      <c r="T36" s="37">
        <v>0.99</v>
      </c>
      <c r="U36" s="37">
        <v>0.99</v>
      </c>
      <c r="V36" s="37">
        <v>0.98</v>
      </c>
      <c r="W36" s="37">
        <v>0.97</v>
      </c>
      <c r="X36" s="37">
        <v>0.97</v>
      </c>
      <c r="Y36" s="37">
        <v>0.96</v>
      </c>
      <c r="Z36" s="37">
        <v>0.95</v>
      </c>
      <c r="AA36" s="37">
        <v>0.94</v>
      </c>
      <c r="AB36" s="37">
        <v>0.93</v>
      </c>
      <c r="AC36" s="37">
        <v>0.92</v>
      </c>
      <c r="AD36" s="37">
        <v>0.91</v>
      </c>
      <c r="AE36" s="37">
        <v>0.9</v>
      </c>
      <c r="AF36" s="37">
        <v>0.89</v>
      </c>
      <c r="AG36" s="37">
        <v>0.88</v>
      </c>
      <c r="AH36" s="37">
        <v>0.86</v>
      </c>
      <c r="AI36" s="37">
        <v>0.85</v>
      </c>
      <c r="AJ36" s="37">
        <v>0.83</v>
      </c>
      <c r="AK36" s="37">
        <v>0.81</v>
      </c>
      <c r="AL36" s="37">
        <v>0.79</v>
      </c>
      <c r="AM36" s="37">
        <v>0.77</v>
      </c>
      <c r="AN36" s="37">
        <v>0.77</v>
      </c>
      <c r="AO36" s="37">
        <v>0.76</v>
      </c>
      <c r="AP36" s="37">
        <v>0.75</v>
      </c>
      <c r="AQ36" s="37">
        <v>0.75</v>
      </c>
      <c r="AR36" s="37">
        <v>0.74</v>
      </c>
      <c r="AS36" s="37">
        <v>0.73</v>
      </c>
      <c r="AT36" s="37">
        <v>0.73</v>
      </c>
      <c r="AU36" s="37">
        <v>0.72</v>
      </c>
      <c r="AV36" s="37">
        <v>0.71</v>
      </c>
      <c r="AW36" s="37">
        <v>0.71</v>
      </c>
      <c r="AX36" s="34"/>
    </row>
    <row r="37" spans="1:50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 t="e">
        <v>#REF!</v>
      </c>
      <c r="R37" s="37">
        <v>1</v>
      </c>
      <c r="S37" s="37">
        <v>1</v>
      </c>
      <c r="T37" s="37">
        <v>0.98</v>
      </c>
      <c r="U37" s="37">
        <v>0.96</v>
      </c>
      <c r="V37" s="37">
        <v>0.95</v>
      </c>
      <c r="W37" s="37">
        <v>0.93</v>
      </c>
      <c r="X37" s="37">
        <v>0.91</v>
      </c>
      <c r="Y37" s="37">
        <v>0.9</v>
      </c>
      <c r="Z37" s="37">
        <v>0.89</v>
      </c>
      <c r="AA37" s="37">
        <v>0.88</v>
      </c>
      <c r="AB37" s="37">
        <v>0.87</v>
      </c>
      <c r="AC37" s="37">
        <v>0.86</v>
      </c>
      <c r="AD37" s="37">
        <v>0.84</v>
      </c>
      <c r="AE37" s="37">
        <v>0.83</v>
      </c>
      <c r="AF37" s="37">
        <v>0.82</v>
      </c>
      <c r="AG37" s="37">
        <v>0.8</v>
      </c>
      <c r="AH37" s="37">
        <v>0.79</v>
      </c>
      <c r="AI37" s="37">
        <v>0.77</v>
      </c>
      <c r="AJ37" s="37">
        <v>0.75</v>
      </c>
      <c r="AK37" s="37">
        <v>0.72</v>
      </c>
      <c r="AL37" s="37">
        <v>0.7</v>
      </c>
      <c r="AM37" s="37">
        <v>0.68</v>
      </c>
      <c r="AN37" s="37">
        <v>0.67</v>
      </c>
      <c r="AO37" s="37">
        <v>0.66</v>
      </c>
      <c r="AP37" s="37">
        <v>0.65</v>
      </c>
      <c r="AQ37" s="37">
        <v>0.64</v>
      </c>
      <c r="AR37" s="37">
        <v>0.63</v>
      </c>
      <c r="AS37" s="37">
        <v>0.63</v>
      </c>
      <c r="AT37" s="37">
        <v>0.62</v>
      </c>
      <c r="AU37" s="37">
        <v>0.61</v>
      </c>
      <c r="AV37" s="37">
        <v>0.61</v>
      </c>
      <c r="AW37" s="37">
        <v>0.6</v>
      </c>
      <c r="AX37" s="34"/>
    </row>
    <row r="38" spans="1:50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 t="e">
        <v>#REF!</v>
      </c>
      <c r="R38" s="37">
        <v>1</v>
      </c>
      <c r="S38" s="37">
        <v>1</v>
      </c>
      <c r="T38" s="37">
        <v>0.99</v>
      </c>
      <c r="U38" s="37">
        <v>0.98</v>
      </c>
      <c r="V38" s="37">
        <v>0.96</v>
      </c>
      <c r="W38" s="37">
        <v>0.95</v>
      </c>
      <c r="X38" s="37">
        <v>0.94</v>
      </c>
      <c r="Y38" s="37">
        <v>0.92</v>
      </c>
      <c r="Z38" s="37">
        <v>0.91</v>
      </c>
      <c r="AA38" s="37">
        <v>0.89</v>
      </c>
      <c r="AB38" s="37">
        <v>0.88</v>
      </c>
      <c r="AC38" s="37">
        <v>0.86</v>
      </c>
      <c r="AD38" s="37">
        <v>0.85</v>
      </c>
      <c r="AE38" s="37">
        <v>0.83</v>
      </c>
      <c r="AF38" s="37">
        <v>0.81</v>
      </c>
      <c r="AG38" s="37">
        <v>0.8</v>
      </c>
      <c r="AH38" s="37">
        <v>0.78</v>
      </c>
      <c r="AI38" s="37">
        <v>0.78</v>
      </c>
      <c r="AJ38" s="37">
        <v>0.77</v>
      </c>
      <c r="AK38" s="37">
        <v>0.76</v>
      </c>
      <c r="AL38" s="37">
        <v>0.76</v>
      </c>
      <c r="AM38" s="37">
        <v>0.75</v>
      </c>
      <c r="AN38" s="37">
        <v>0.75</v>
      </c>
      <c r="AO38" s="37">
        <v>0.75</v>
      </c>
      <c r="AP38" s="37">
        <v>0.75</v>
      </c>
      <c r="AQ38" s="37">
        <v>0.75</v>
      </c>
      <c r="AR38" s="37">
        <v>0.75</v>
      </c>
      <c r="AS38" s="37">
        <v>0.75</v>
      </c>
      <c r="AT38" s="37">
        <v>0.75</v>
      </c>
      <c r="AU38" s="37">
        <v>0.75</v>
      </c>
      <c r="AV38" s="37">
        <v>0.75</v>
      </c>
      <c r="AW38" s="37">
        <v>0.76</v>
      </c>
      <c r="AX38" s="34"/>
    </row>
    <row r="39" spans="1:50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 t="e">
        <v>#REF!</v>
      </c>
      <c r="R39" s="37">
        <v>1</v>
      </c>
      <c r="S39" s="37">
        <v>0.99</v>
      </c>
      <c r="T39" s="37">
        <v>0.97</v>
      </c>
      <c r="U39" s="37">
        <v>0.95</v>
      </c>
      <c r="V39" s="37">
        <v>0.93</v>
      </c>
      <c r="W39" s="37">
        <v>0.91</v>
      </c>
      <c r="X39" s="37">
        <v>0.89</v>
      </c>
      <c r="Y39" s="37">
        <v>0.88</v>
      </c>
      <c r="Z39" s="37">
        <v>0.87</v>
      </c>
      <c r="AA39" s="37">
        <v>0.85</v>
      </c>
      <c r="AB39" s="37">
        <v>0.84</v>
      </c>
      <c r="AC39" s="37">
        <v>0.83</v>
      </c>
      <c r="AD39" s="37">
        <v>0.81</v>
      </c>
      <c r="AE39" s="37">
        <v>0.79</v>
      </c>
      <c r="AF39" s="37">
        <v>0.77</v>
      </c>
      <c r="AG39" s="37">
        <v>0.76</v>
      </c>
      <c r="AH39" s="37">
        <v>0.74</v>
      </c>
      <c r="AI39" s="37">
        <v>0.72</v>
      </c>
      <c r="AJ39" s="37">
        <v>0.71</v>
      </c>
      <c r="AK39" s="37">
        <v>0.69</v>
      </c>
      <c r="AL39" s="37">
        <v>0.68</v>
      </c>
      <c r="AM39" s="37">
        <v>0.66</v>
      </c>
      <c r="AN39" s="37">
        <v>0.65</v>
      </c>
      <c r="AO39" s="37">
        <v>0.64</v>
      </c>
      <c r="AP39" s="37">
        <v>0.64</v>
      </c>
      <c r="AQ39" s="37">
        <v>0.63</v>
      </c>
      <c r="AR39" s="37">
        <v>0.62</v>
      </c>
      <c r="AS39" s="37">
        <v>0.62</v>
      </c>
      <c r="AT39" s="37">
        <v>0.61</v>
      </c>
      <c r="AU39" s="37">
        <v>0.61</v>
      </c>
      <c r="AV39" s="37">
        <v>0.6</v>
      </c>
      <c r="AW39" s="37">
        <v>0.6</v>
      </c>
      <c r="AX39" s="34"/>
    </row>
    <row r="40" spans="1:50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 t="e">
        <v>#REF!</v>
      </c>
      <c r="R40" s="37">
        <v>1</v>
      </c>
      <c r="S40" s="37">
        <v>1</v>
      </c>
      <c r="T40" s="37">
        <v>0.99</v>
      </c>
      <c r="U40" s="37">
        <v>0.97</v>
      </c>
      <c r="V40" s="37">
        <v>0.96</v>
      </c>
      <c r="W40" s="37">
        <v>0.95</v>
      </c>
      <c r="X40" s="37">
        <v>0.94</v>
      </c>
      <c r="Y40" s="37">
        <v>0.93</v>
      </c>
      <c r="Z40" s="37">
        <v>0.91</v>
      </c>
      <c r="AA40" s="37">
        <v>0.9</v>
      </c>
      <c r="AB40" s="37">
        <v>0.88</v>
      </c>
      <c r="AC40" s="37">
        <v>0.87</v>
      </c>
      <c r="AD40" s="37">
        <v>0.85</v>
      </c>
      <c r="AE40" s="37">
        <v>0.83</v>
      </c>
      <c r="AF40" s="37">
        <v>0.81</v>
      </c>
      <c r="AG40" s="37">
        <v>0.79</v>
      </c>
      <c r="AH40" s="37">
        <v>0.77</v>
      </c>
      <c r="AI40" s="37">
        <v>0.76</v>
      </c>
      <c r="AJ40" s="37">
        <v>0.74</v>
      </c>
      <c r="AK40" s="37">
        <v>0.73</v>
      </c>
      <c r="AL40" s="37">
        <v>0.71</v>
      </c>
      <c r="AM40" s="37">
        <v>0.69</v>
      </c>
      <c r="AN40" s="37">
        <v>0.69</v>
      </c>
      <c r="AO40" s="37">
        <v>0.68</v>
      </c>
      <c r="AP40" s="37">
        <v>0.68</v>
      </c>
      <c r="AQ40" s="37">
        <v>0.68</v>
      </c>
      <c r="AR40" s="37">
        <v>0.67</v>
      </c>
      <c r="AS40" s="37">
        <v>0.67</v>
      </c>
      <c r="AT40" s="37">
        <v>0.67</v>
      </c>
      <c r="AU40" s="37">
        <v>0.66</v>
      </c>
      <c r="AV40" s="37">
        <v>0.66</v>
      </c>
      <c r="AW40" s="37">
        <v>0.66</v>
      </c>
      <c r="AX40" s="34"/>
    </row>
    <row r="41" spans="1:50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 t="e">
        <v>#REF!</v>
      </c>
      <c r="R41" s="37">
        <v>1</v>
      </c>
      <c r="S41" s="37">
        <v>1</v>
      </c>
      <c r="T41" s="37">
        <v>0.98</v>
      </c>
      <c r="U41" s="37">
        <v>0.97</v>
      </c>
      <c r="V41" s="37">
        <v>0.95</v>
      </c>
      <c r="W41" s="37">
        <v>0.94</v>
      </c>
      <c r="X41" s="37">
        <v>0.93</v>
      </c>
      <c r="Y41" s="37">
        <v>0.91</v>
      </c>
      <c r="Z41" s="37">
        <v>0.88</v>
      </c>
      <c r="AA41" s="37">
        <v>0.86</v>
      </c>
      <c r="AB41" s="37">
        <v>0.84</v>
      </c>
      <c r="AC41" s="37">
        <v>0.82</v>
      </c>
      <c r="AD41" s="37">
        <v>0.8</v>
      </c>
      <c r="AE41" s="37">
        <v>0.78</v>
      </c>
      <c r="AF41" s="37">
        <v>0.75</v>
      </c>
      <c r="AG41" s="37">
        <v>0.73</v>
      </c>
      <c r="AH41" s="37">
        <v>0.7</v>
      </c>
      <c r="AI41" s="37">
        <v>0.68</v>
      </c>
      <c r="AJ41" s="37">
        <v>0.65</v>
      </c>
      <c r="AK41" s="37">
        <v>0.63</v>
      </c>
      <c r="AL41" s="37">
        <v>0.61</v>
      </c>
      <c r="AM41" s="37">
        <v>0.57999999999999996</v>
      </c>
      <c r="AN41" s="37">
        <v>0.56999999999999995</v>
      </c>
      <c r="AO41" s="37">
        <v>0.56000000000000005</v>
      </c>
      <c r="AP41" s="37">
        <v>0.55000000000000004</v>
      </c>
      <c r="AQ41" s="37">
        <v>0.54</v>
      </c>
      <c r="AR41" s="37">
        <v>0.52</v>
      </c>
      <c r="AS41" s="37">
        <v>0.52</v>
      </c>
      <c r="AT41" s="37">
        <v>0.51</v>
      </c>
      <c r="AU41" s="37">
        <v>0.5</v>
      </c>
      <c r="AV41" s="37">
        <v>0.49</v>
      </c>
      <c r="AW41" s="37">
        <v>0.48</v>
      </c>
      <c r="AX41" s="34"/>
    </row>
    <row r="42" spans="1:50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 t="e">
        <v>#REF!</v>
      </c>
      <c r="R42" s="37">
        <v>1</v>
      </c>
      <c r="S42" s="37">
        <v>1</v>
      </c>
      <c r="T42" s="37">
        <v>0.99</v>
      </c>
      <c r="U42" s="37">
        <v>0.98</v>
      </c>
      <c r="V42" s="37">
        <v>0.96</v>
      </c>
      <c r="W42" s="37">
        <v>0.95</v>
      </c>
      <c r="X42" s="37">
        <v>0.94</v>
      </c>
      <c r="Y42" s="37">
        <v>0.93</v>
      </c>
      <c r="Z42" s="37">
        <v>0.91</v>
      </c>
      <c r="AA42" s="37">
        <v>0.9</v>
      </c>
      <c r="AB42" s="37">
        <v>0.88</v>
      </c>
      <c r="AC42" s="37">
        <v>0.87</v>
      </c>
      <c r="AD42" s="37">
        <v>0.85</v>
      </c>
      <c r="AE42" s="37">
        <v>0.83</v>
      </c>
      <c r="AF42" s="37">
        <v>0.82</v>
      </c>
      <c r="AG42" s="37">
        <v>0.8</v>
      </c>
      <c r="AH42" s="37">
        <v>0.78</v>
      </c>
      <c r="AI42" s="37">
        <v>0.76</v>
      </c>
      <c r="AJ42" s="37">
        <v>0.75</v>
      </c>
      <c r="AK42" s="37">
        <v>0.73</v>
      </c>
      <c r="AL42" s="37">
        <v>0.72</v>
      </c>
      <c r="AM42" s="37">
        <v>0.7</v>
      </c>
      <c r="AN42" s="37">
        <v>0.7</v>
      </c>
      <c r="AO42" s="37">
        <v>0.7</v>
      </c>
      <c r="AP42" s="37">
        <v>0.69</v>
      </c>
      <c r="AQ42" s="37">
        <v>0.69</v>
      </c>
      <c r="AR42" s="37">
        <v>0.68</v>
      </c>
      <c r="AS42" s="37">
        <v>0.68</v>
      </c>
      <c r="AT42" s="37">
        <v>0.68</v>
      </c>
      <c r="AU42" s="37">
        <v>0.68</v>
      </c>
      <c r="AV42" s="37">
        <v>0.67</v>
      </c>
      <c r="AW42" s="37">
        <v>0.67</v>
      </c>
      <c r="AX42" s="34"/>
    </row>
    <row r="43" spans="1:50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 t="e">
        <v>#REF!</v>
      </c>
      <c r="R43" s="37">
        <v>1</v>
      </c>
      <c r="S43" s="37">
        <v>1</v>
      </c>
      <c r="T43" s="37">
        <v>0.99</v>
      </c>
      <c r="U43" s="37">
        <v>0.97</v>
      </c>
      <c r="V43" s="37">
        <v>0.96</v>
      </c>
      <c r="W43" s="37">
        <v>0.95</v>
      </c>
      <c r="X43" s="37">
        <v>0.94</v>
      </c>
      <c r="Y43" s="37">
        <v>0.93</v>
      </c>
      <c r="Z43" s="37">
        <v>0.91</v>
      </c>
      <c r="AA43" s="37">
        <v>0.9</v>
      </c>
      <c r="AB43" s="37">
        <v>0.88</v>
      </c>
      <c r="AC43" s="37">
        <v>0.87</v>
      </c>
      <c r="AD43" s="37">
        <v>0.85</v>
      </c>
      <c r="AE43" s="37">
        <v>0.83</v>
      </c>
      <c r="AF43" s="37">
        <v>0.81</v>
      </c>
      <c r="AG43" s="37">
        <v>0.8</v>
      </c>
      <c r="AH43" s="37">
        <v>0.78</v>
      </c>
      <c r="AI43" s="37">
        <v>0.76</v>
      </c>
      <c r="AJ43" s="37">
        <v>0.75</v>
      </c>
      <c r="AK43" s="37">
        <v>0.74</v>
      </c>
      <c r="AL43" s="37">
        <v>0.73</v>
      </c>
      <c r="AM43" s="37">
        <v>0.71</v>
      </c>
      <c r="AN43" s="37">
        <v>0.72</v>
      </c>
      <c r="AO43" s="37">
        <v>0.72</v>
      </c>
      <c r="AP43" s="37">
        <v>0.72</v>
      </c>
      <c r="AQ43" s="37">
        <v>0.72</v>
      </c>
      <c r="AR43" s="37">
        <v>0.72</v>
      </c>
      <c r="AS43" s="37">
        <v>0.72</v>
      </c>
      <c r="AT43" s="37">
        <v>0.72</v>
      </c>
      <c r="AU43" s="37">
        <v>0.72</v>
      </c>
      <c r="AV43" s="37">
        <v>0.72</v>
      </c>
      <c r="AW43" s="37">
        <v>0.72</v>
      </c>
      <c r="AX43" s="34"/>
    </row>
    <row r="44" spans="1:50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 t="e">
        <v>#REF!</v>
      </c>
      <c r="R44" s="37">
        <v>1</v>
      </c>
      <c r="S44" s="37">
        <v>1</v>
      </c>
      <c r="T44" s="37">
        <v>0.99</v>
      </c>
      <c r="U44" s="37">
        <v>0.97</v>
      </c>
      <c r="V44" s="37">
        <v>0.96</v>
      </c>
      <c r="W44" s="37">
        <v>0.95</v>
      </c>
      <c r="X44" s="37">
        <v>0.94</v>
      </c>
      <c r="Y44" s="37">
        <v>0.93</v>
      </c>
      <c r="Z44" s="37">
        <v>0.91</v>
      </c>
      <c r="AA44" s="37">
        <v>0.9</v>
      </c>
      <c r="AB44" s="37">
        <v>0.88</v>
      </c>
      <c r="AC44" s="37">
        <v>0.87</v>
      </c>
      <c r="AD44" s="37">
        <v>0.85</v>
      </c>
      <c r="AE44" s="37">
        <v>0.83</v>
      </c>
      <c r="AF44" s="37">
        <v>0.81</v>
      </c>
      <c r="AG44" s="37">
        <v>0.79</v>
      </c>
      <c r="AH44" s="37">
        <v>0.78</v>
      </c>
      <c r="AI44" s="37">
        <v>0.76</v>
      </c>
      <c r="AJ44" s="37">
        <v>0.75</v>
      </c>
      <c r="AK44" s="37">
        <v>0.73</v>
      </c>
      <c r="AL44" s="37">
        <v>0.72</v>
      </c>
      <c r="AM44" s="37">
        <v>0.7</v>
      </c>
      <c r="AN44" s="37">
        <v>0.7</v>
      </c>
      <c r="AO44" s="37">
        <v>0.69</v>
      </c>
      <c r="AP44" s="37">
        <v>0.69</v>
      </c>
      <c r="AQ44" s="37">
        <v>0.69</v>
      </c>
      <c r="AR44" s="37">
        <v>0.68</v>
      </c>
      <c r="AS44" s="37">
        <v>0.68</v>
      </c>
      <c r="AT44" s="37">
        <v>0.68</v>
      </c>
      <c r="AU44" s="37">
        <v>0.68</v>
      </c>
      <c r="AV44" s="37">
        <v>0.68</v>
      </c>
      <c r="AW44" s="37">
        <v>0.68</v>
      </c>
      <c r="AX44" s="34"/>
    </row>
    <row r="45" spans="1:50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</row>
    <row r="46" spans="1:50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</row>
    <row r="47" spans="1:50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</row>
    <row r="48" spans="1:50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</row>
    <row r="49" spans="1:50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</row>
    <row r="50" spans="1:50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</row>
    <row r="51" spans="1:50">
      <c r="A51" s="34"/>
      <c r="B51" s="34"/>
      <c r="C51" s="34"/>
      <c r="D51" s="34"/>
      <c r="E51" s="34"/>
      <c r="F51" s="34"/>
      <c r="G51" s="34"/>
      <c r="H51" s="34" t="s">
        <v>353</v>
      </c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</row>
    <row r="52" spans="1:50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9d963ac-f1ca-452e-b18b-8cbbecb7290e">
      <Terms xmlns="http://schemas.microsoft.com/office/infopath/2007/PartnerControls"/>
    </lcf76f155ced4ddcb4097134ff3c332f>
    <TaxCatchAll xmlns="a8fcedee-7f03-4257-8c59-ae56f55c4b1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462A1B62F2C54A89815A910B5DA9DF" ma:contentTypeVersion="16" ma:contentTypeDescription="Create a new document." ma:contentTypeScope="" ma:versionID="5c357ddb39d2ff365e7eab8b52bc2745">
  <xsd:schema xmlns:xsd="http://www.w3.org/2001/XMLSchema" xmlns:xs="http://www.w3.org/2001/XMLSchema" xmlns:p="http://schemas.microsoft.com/office/2006/metadata/properties" xmlns:ns2="a9d963ac-f1ca-452e-b18b-8cbbecb7290e" xmlns:ns3="a8fcedee-7f03-4257-8c59-ae56f55c4b1e" targetNamespace="http://schemas.microsoft.com/office/2006/metadata/properties" ma:root="true" ma:fieldsID="98696007e94ef81a4107eaed4ccd1d1f" ns2:_="" ns3:_="">
    <xsd:import namespace="a9d963ac-f1ca-452e-b18b-8cbbecb7290e"/>
    <xsd:import namespace="a8fcedee-7f03-4257-8c59-ae56f55c4b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d963ac-f1ca-452e-b18b-8cbbecb729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de42cbc-566b-46c9-aea5-a71cdcd36d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fcedee-7f03-4257-8c59-ae56f55c4b1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e1f8554-d6c4-460b-bca5-2ae6d8f9a2f4}" ma:internalName="TaxCatchAll" ma:showField="CatchAllData" ma:web="a8fcedee-7f03-4257-8c59-ae56f55c4b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F2426F-7829-4C54-AD0D-0104F971E5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075919-C505-48E9-A7EE-DD00A6955BE1}">
  <ds:schemaRefs>
    <ds:schemaRef ds:uri="http://purl.org/dc/elements/1.1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purl.org/dc/dcmitype/"/>
    <ds:schemaRef ds:uri="a8fcedee-7f03-4257-8c59-ae56f55c4b1e"/>
    <ds:schemaRef ds:uri="http://schemas.openxmlformats.org/package/2006/metadata/core-properties"/>
    <ds:schemaRef ds:uri="a9d963ac-f1ca-452e-b18b-8cbbecb7290e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D20CB0CB-2F19-480E-BC71-19A7D8F452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T1. GHG emissions</vt:lpstr>
      <vt:lpstr>T2a. total demand passenger</vt:lpstr>
      <vt:lpstr>T2b. total demand freight</vt:lpstr>
      <vt:lpstr>T3a &amp; T3c modal split</vt:lpstr>
      <vt:lpstr>T3b. modal split passenger</vt:lpstr>
      <vt:lpstr>T4. GHG intensity</vt:lpstr>
      <vt:lpstr>T5a&amp;b. ZEV shares</vt:lpstr>
      <vt:lpstr>T6a. % of fossil fuels</vt:lpstr>
      <vt:lpstr>T6b. conventional biofuels</vt:lpstr>
      <vt:lpstr>3. modal split freight</vt:lpstr>
      <vt:lpstr>Colour palette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Pieter Lemmens</dc:creator>
  <cp:keywords/>
  <dc:description/>
  <cp:lastModifiedBy>Ciaran Maguire</cp:lastModifiedBy>
  <cp:revision/>
  <dcterms:created xsi:type="dcterms:W3CDTF">2015-06-05T18:17:20Z</dcterms:created>
  <dcterms:modified xsi:type="dcterms:W3CDTF">2024-02-09T12:09:14Z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0x01010003462A1B62F2C54A89815A910B5DA9DF</vt:lpwstr>
  </property>
</Properties>
</file>