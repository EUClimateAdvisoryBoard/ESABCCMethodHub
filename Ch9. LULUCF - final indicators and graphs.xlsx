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eea1.sharepoint.com/teams/EuropeanScientificAdvisoryBoardonClimateChange2/Shared Documents/General/Subgroups/1b. Consistency EU measures/Drafts/underlying excels and flowcharts/Final Figures and Graphs/"/>
    </mc:Choice>
  </mc:AlternateContent>
  <xr:revisionPtr revIDLastSave="9963" documentId="11_5149935FDFAAC8D342AC02DDBFF15129D7704391" xr6:coauthVersionLast="47" xr6:coauthVersionMax="47" xr10:uidLastSave="{DE7E37F9-2F86-4B7D-BAE5-A29BF9EE7939}"/>
  <bookViews>
    <workbookView xWindow="-120" yWindow="-120" windowWidth="51840" windowHeight="21240" activeTab="1" xr2:uid="{00000000-000D-0000-FFFF-FFFF00000000}"/>
  </bookViews>
  <sheets>
    <sheet name="0. LULUCF ranges 2030 and 2050" sheetId="20" r:id="rId1"/>
    <sheet name="L1. GHG emissions and removals" sheetId="17" r:id="rId2"/>
    <sheet name="L2. Areas per land-use category" sheetId="21" r:id="rId3"/>
    <sheet name="L3 &amp; L4. A-deforestation" sheetId="23" r:id="rId4"/>
    <sheet name="L5. Net land take" sheetId="22" r:id="rId5"/>
    <sheet name="L6. forest living biomass" sheetId="24" r:id="rId6"/>
    <sheet name="L7. Emission reductions others" sheetId="26" r:id="rId7"/>
    <sheet name="L8. bioenergy" sheetId="28" r:id="rId8"/>
    <sheet name="Fig. 74 woody biomass S&amp;D" sheetId="25" r:id="rId9"/>
    <sheet name="LULUCF sink baseline" sheetId="27" r:id="rId10"/>
    <sheet name="Colour palette" sheetId="18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</externalReferences>
  <definedNames>
    <definedName name="_xlnm._FilterDatabase" localSheetId="0" hidden="1">'0. LULUCF ranges 2030 and 2050'!$A$1:$B$1</definedName>
    <definedName name="_xlnm._FilterDatabase" localSheetId="2" hidden="1">'L2. Areas per land-use category'!$A$10:$D$10</definedName>
    <definedName name="_xlchart.v1.0" hidden="1">'L2. Areas per land-use category'!$A$11:$C$16</definedName>
    <definedName name="_xlchart.v1.1" hidden="1">'L2. Areas per land-use category'!$D$10</definedName>
    <definedName name="_xlchart.v1.2" hidden="1">'L2. Areas per land-use category'!$D$11:$D$16</definedName>
    <definedName name="_xlchart.v1.3" hidden="1">'L2. Areas per land-use category'!$A$11:$C$16</definedName>
    <definedName name="_xlchart.v1.4" hidden="1">'L2. Areas per land-use category'!$D$10</definedName>
    <definedName name="_xlchart.v1.5" hidden="1">'L2. Areas per land-use category'!$D$11:$D$16</definedName>
    <definedName name="EJ2TWh">'L8. bioenergy'!$B$118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4" l="1"/>
  <c r="AX10" i="28"/>
  <c r="AN10" i="28"/>
  <c r="AW13" i="17" l="1"/>
  <c r="AM13" i="17"/>
  <c r="AC13" i="17"/>
  <c r="I32" i="28"/>
  <c r="I31" i="28"/>
  <c r="I30" i="28"/>
  <c r="U21" i="28"/>
  <c r="U20" i="28"/>
  <c r="U19" i="28"/>
  <c r="U18" i="28"/>
  <c r="B14" i="28"/>
  <c r="E16" i="28"/>
  <c r="C16" i="28"/>
  <c r="D16" i="28"/>
  <c r="B16" i="28"/>
  <c r="AX9" i="28" s="1"/>
  <c r="E15" i="28"/>
  <c r="C15" i="28"/>
  <c r="D15" i="28"/>
  <c r="B15" i="28"/>
  <c r="AD8" i="28" s="1"/>
  <c r="U7" i="28"/>
  <c r="E14" i="28" s="1"/>
  <c r="T7" i="28"/>
  <c r="S7" i="28"/>
  <c r="R7" i="28"/>
  <c r="Q7" i="28"/>
  <c r="P7" i="28"/>
  <c r="O7" i="28"/>
  <c r="N7" i="28"/>
  <c r="M7" i="28"/>
  <c r="L7" i="28"/>
  <c r="K7" i="28"/>
  <c r="J7" i="28"/>
  <c r="I7" i="28"/>
  <c r="H7" i="28"/>
  <c r="G7" i="28"/>
  <c r="F7" i="28"/>
  <c r="E7" i="28"/>
  <c r="U6" i="28"/>
  <c r="C14" i="28" s="1"/>
  <c r="T6" i="28"/>
  <c r="S6" i="28"/>
  <c r="R6" i="28"/>
  <c r="Q6" i="28"/>
  <c r="P6" i="28"/>
  <c r="O6" i="28"/>
  <c r="N6" i="28"/>
  <c r="M6" i="28"/>
  <c r="L6" i="28"/>
  <c r="K6" i="28"/>
  <c r="J6" i="28"/>
  <c r="I6" i="28"/>
  <c r="H6" i="28"/>
  <c r="G6" i="28"/>
  <c r="F6" i="28"/>
  <c r="E6" i="28"/>
  <c r="U5" i="28"/>
  <c r="D14" i="28" s="1"/>
  <c r="T5" i="28"/>
  <c r="S5" i="28"/>
  <c r="R5" i="28"/>
  <c r="Q5" i="28"/>
  <c r="P5" i="28"/>
  <c r="O5" i="28"/>
  <c r="N5" i="28"/>
  <c r="M5" i="28"/>
  <c r="L5" i="28"/>
  <c r="K5" i="28"/>
  <c r="J5" i="28"/>
  <c r="I5" i="28"/>
  <c r="H5" i="28"/>
  <c r="G5" i="28"/>
  <c r="F5" i="28"/>
  <c r="E5" i="28"/>
  <c r="U4" i="28"/>
  <c r="T4" i="28"/>
  <c r="S4" i="28"/>
  <c r="R4" i="28"/>
  <c r="Q4" i="28"/>
  <c r="Q3" i="28" s="1"/>
  <c r="P4" i="28"/>
  <c r="O4" i="28"/>
  <c r="N4" i="28"/>
  <c r="M4" i="28"/>
  <c r="L4" i="28"/>
  <c r="K4" i="28"/>
  <c r="J4" i="28"/>
  <c r="I4" i="28"/>
  <c r="I3" i="28" s="1"/>
  <c r="H4" i="28"/>
  <c r="G4" i="28"/>
  <c r="F4" i="28"/>
  <c r="E4" i="28"/>
  <c r="J3" i="28" l="1"/>
  <c r="R3" i="28"/>
  <c r="K3" i="28"/>
  <c r="F3" i="28"/>
  <c r="T3" i="28"/>
  <c r="H3" i="28"/>
  <c r="S3" i="28"/>
  <c r="L3" i="28"/>
  <c r="G3" i="28"/>
  <c r="O3" i="28"/>
  <c r="P3" i="28"/>
  <c r="E3" i="28"/>
  <c r="M3" i="28"/>
  <c r="U3" i="28"/>
  <c r="N3" i="28"/>
  <c r="D61" i="24"/>
  <c r="D19" i="24" l="1"/>
  <c r="D3" i="17"/>
  <c r="D5" i="17"/>
  <c r="F5" i="27"/>
  <c r="F6" i="27"/>
  <c r="F3" i="27"/>
  <c r="T6" i="24" l="1"/>
  <c r="S6" i="24"/>
  <c r="R6" i="24"/>
  <c r="Q6" i="24"/>
  <c r="P6" i="24"/>
  <c r="O6" i="24"/>
  <c r="N6" i="24"/>
  <c r="M6" i="24"/>
  <c r="L6" i="24"/>
  <c r="K6" i="24"/>
  <c r="J6" i="24"/>
  <c r="I6" i="24"/>
  <c r="H6" i="24"/>
  <c r="G6" i="24"/>
  <c r="F6" i="24"/>
  <c r="E6" i="24"/>
  <c r="D6" i="24"/>
  <c r="E3" i="17"/>
  <c r="D15" i="26"/>
  <c r="D14" i="26"/>
  <c r="D17" i="24" l="1"/>
  <c r="D32" i="24" l="1"/>
  <c r="D33" i="24" s="1"/>
  <c r="D34" i="24" s="1"/>
  <c r="D19" i="17" l="1"/>
  <c r="D15" i="17"/>
  <c r="T39" i="23"/>
  <c r="T38" i="23"/>
  <c r="T36" i="23"/>
  <c r="T35" i="23"/>
  <c r="S39" i="23"/>
  <c r="S38" i="23"/>
  <c r="S36" i="23"/>
  <c r="S35" i="23"/>
  <c r="R39" i="23"/>
  <c r="R38" i="23"/>
  <c r="R36" i="23"/>
  <c r="R35" i="23"/>
  <c r="Q39" i="23"/>
  <c r="Q38" i="23"/>
  <c r="Q36" i="23"/>
  <c r="Q35" i="23"/>
  <c r="P39" i="23"/>
  <c r="P38" i="23"/>
  <c r="P36" i="23"/>
  <c r="P35" i="23"/>
  <c r="O39" i="23"/>
  <c r="O38" i="23"/>
  <c r="O36" i="23"/>
  <c r="O35" i="23"/>
  <c r="N39" i="23"/>
  <c r="N38" i="23"/>
  <c r="N36" i="23"/>
  <c r="N35" i="23"/>
  <c r="M39" i="23"/>
  <c r="M38" i="23"/>
  <c r="M36" i="23"/>
  <c r="M35" i="23"/>
  <c r="L39" i="23"/>
  <c r="L38" i="23"/>
  <c r="L36" i="23"/>
  <c r="L35" i="23"/>
  <c r="K39" i="23"/>
  <c r="K38" i="23"/>
  <c r="K36" i="23"/>
  <c r="K35" i="23"/>
  <c r="J39" i="23"/>
  <c r="J38" i="23"/>
  <c r="J36" i="23"/>
  <c r="J35" i="23"/>
  <c r="I39" i="23"/>
  <c r="I38" i="23"/>
  <c r="I36" i="23"/>
  <c r="I35" i="23"/>
  <c r="H39" i="23"/>
  <c r="H38" i="23"/>
  <c r="H36" i="23"/>
  <c r="H35" i="23"/>
  <c r="E39" i="23"/>
  <c r="E38" i="23"/>
  <c r="E36" i="23"/>
  <c r="E35" i="23"/>
  <c r="G39" i="23"/>
  <c r="G38" i="23"/>
  <c r="G36" i="23"/>
  <c r="G35" i="23"/>
  <c r="F39" i="23"/>
  <c r="F38" i="23"/>
  <c r="F36" i="23"/>
  <c r="F35" i="23"/>
  <c r="D29" i="23"/>
  <c r="D39" i="23"/>
  <c r="D38" i="23"/>
  <c r="D36" i="23"/>
  <c r="D35" i="23"/>
  <c r="D20" i="17"/>
  <c r="L8" i="25"/>
  <c r="K8" i="25"/>
  <c r="J8" i="25"/>
  <c r="I8" i="25"/>
  <c r="H8" i="25"/>
  <c r="G8" i="25"/>
  <c r="F8" i="25"/>
  <c r="E8" i="25"/>
  <c r="L7" i="25"/>
  <c r="L10" i="25" s="1"/>
  <c r="K7" i="25"/>
  <c r="J7" i="25"/>
  <c r="J10" i="25" s="1"/>
  <c r="I7" i="25"/>
  <c r="I10" i="25" s="1"/>
  <c r="H7" i="25"/>
  <c r="H10" i="25" s="1"/>
  <c r="G7" i="25"/>
  <c r="G10" i="25" s="1"/>
  <c r="F7" i="25"/>
  <c r="F10" i="25" s="1"/>
  <c r="E7" i="25"/>
  <c r="E10" i="25" s="1"/>
  <c r="L6" i="25"/>
  <c r="K6" i="25"/>
  <c r="J6" i="25"/>
  <c r="I6" i="25"/>
  <c r="H6" i="25"/>
  <c r="G6" i="25"/>
  <c r="F6" i="25"/>
  <c r="E6" i="25"/>
  <c r="L5" i="25"/>
  <c r="O5" i="25" s="1"/>
  <c r="K5" i="25"/>
  <c r="J5" i="25"/>
  <c r="I5" i="25"/>
  <c r="H5" i="25"/>
  <c r="G5" i="25"/>
  <c r="F5" i="25"/>
  <c r="E5" i="25"/>
  <c r="L4" i="25"/>
  <c r="O4" i="25" s="1"/>
  <c r="K4" i="25"/>
  <c r="J4" i="25"/>
  <c r="I4" i="25"/>
  <c r="H4" i="25"/>
  <c r="G4" i="25"/>
  <c r="F4" i="25"/>
  <c r="E4" i="25"/>
  <c r="L3" i="25"/>
  <c r="K3" i="25"/>
  <c r="J3" i="25"/>
  <c r="I3" i="25"/>
  <c r="H3" i="25"/>
  <c r="G3" i="25"/>
  <c r="F3" i="25"/>
  <c r="E3" i="25"/>
  <c r="D3" i="25"/>
  <c r="D8" i="25"/>
  <c r="D7" i="25"/>
  <c r="D6" i="25"/>
  <c r="D5" i="25"/>
  <c r="D4" i="25"/>
  <c r="D18" i="24"/>
  <c r="T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E50" i="24"/>
  <c r="T49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T48" i="24"/>
  <c r="S48" i="24"/>
  <c r="R48" i="24"/>
  <c r="Q48" i="24"/>
  <c r="P48" i="24"/>
  <c r="O48" i="24"/>
  <c r="N48" i="24"/>
  <c r="M48" i="24"/>
  <c r="L48" i="24"/>
  <c r="K48" i="24"/>
  <c r="J48" i="24"/>
  <c r="I48" i="24"/>
  <c r="H48" i="24"/>
  <c r="G48" i="24"/>
  <c r="F48" i="24"/>
  <c r="E48" i="24"/>
  <c r="T47" i="24"/>
  <c r="S47" i="24"/>
  <c r="R47" i="24"/>
  <c r="Q47" i="24"/>
  <c r="P47" i="24"/>
  <c r="O47" i="24"/>
  <c r="N47" i="24"/>
  <c r="M47" i="24"/>
  <c r="L47" i="24"/>
  <c r="K47" i="24"/>
  <c r="K46" i="24" s="1"/>
  <c r="K4" i="24" s="1"/>
  <c r="K3" i="24" s="1"/>
  <c r="J47" i="24"/>
  <c r="J46" i="24" s="1"/>
  <c r="J4" i="24" s="1"/>
  <c r="J3" i="24" s="1"/>
  <c r="I47" i="24"/>
  <c r="H47" i="24"/>
  <c r="G47" i="24"/>
  <c r="F47" i="24"/>
  <c r="E47" i="24"/>
  <c r="D50" i="24"/>
  <c r="D49" i="24"/>
  <c r="D48" i="24"/>
  <c r="D47" i="24"/>
  <c r="N6" i="25" l="1"/>
  <c r="K10" i="25"/>
  <c r="N8" i="25"/>
  <c r="N3" i="25"/>
  <c r="D10" i="25"/>
  <c r="O10" i="25" s="1"/>
  <c r="N10" i="25"/>
  <c r="D16" i="25" s="1"/>
  <c r="N4" i="25"/>
  <c r="D14" i="25" s="1"/>
  <c r="O6" i="25"/>
  <c r="N5" i="25"/>
  <c r="O7" i="25"/>
  <c r="O8" i="25"/>
  <c r="N7" i="25"/>
  <c r="O3" i="25"/>
  <c r="R46" i="24"/>
  <c r="R4" i="24" s="1"/>
  <c r="R3" i="24" s="1"/>
  <c r="S46" i="24"/>
  <c r="S4" i="24" s="1"/>
  <c r="S3" i="24" s="1"/>
  <c r="K40" i="23"/>
  <c r="M40" i="23"/>
  <c r="O40" i="23"/>
  <c r="E40" i="23"/>
  <c r="S40" i="23"/>
  <c r="F40" i="23"/>
  <c r="I40" i="23"/>
  <c r="Q40" i="23"/>
  <c r="D40" i="23"/>
  <c r="G40" i="23"/>
  <c r="H40" i="23"/>
  <c r="J40" i="23"/>
  <c r="L40" i="23"/>
  <c r="N40" i="23"/>
  <c r="P40" i="23"/>
  <c r="R40" i="23"/>
  <c r="T40" i="23"/>
  <c r="O46" i="24"/>
  <c r="O4" i="24" s="1"/>
  <c r="O3" i="24" s="1"/>
  <c r="G46" i="24"/>
  <c r="G4" i="24" s="1"/>
  <c r="G3" i="24" s="1"/>
  <c r="N46" i="24"/>
  <c r="N4" i="24" s="1"/>
  <c r="N3" i="24" s="1"/>
  <c r="F46" i="24"/>
  <c r="F4" i="24" s="1"/>
  <c r="F3" i="24" s="1"/>
  <c r="H46" i="24"/>
  <c r="H4" i="24" s="1"/>
  <c r="H3" i="24" s="1"/>
  <c r="P46" i="24"/>
  <c r="P4" i="24" s="1"/>
  <c r="P3" i="24" s="1"/>
  <c r="D46" i="24"/>
  <c r="D3" i="24" s="1"/>
  <c r="L46" i="24"/>
  <c r="L4" i="24" s="1"/>
  <c r="L3" i="24" s="1"/>
  <c r="T46" i="24"/>
  <c r="T4" i="24" s="1"/>
  <c r="T3" i="24" s="1"/>
  <c r="M46" i="24"/>
  <c r="M4" i="24" s="1"/>
  <c r="M3" i="24" s="1"/>
  <c r="E46" i="24"/>
  <c r="E4" i="24" s="1"/>
  <c r="E3" i="24" s="1"/>
  <c r="I46" i="24"/>
  <c r="I4" i="24" s="1"/>
  <c r="I3" i="24" s="1"/>
  <c r="Q46" i="24"/>
  <c r="Q4" i="24" s="1"/>
  <c r="Q3" i="24" s="1"/>
  <c r="D13" i="25" l="1"/>
  <c r="D15" i="25"/>
  <c r="D14" i="24"/>
  <c r="D31" i="24"/>
  <c r="D30" i="24"/>
  <c r="E32" i="24"/>
  <c r="E33" i="24" s="1"/>
  <c r="E34" i="24" s="1"/>
  <c r="E31" i="24"/>
  <c r="E30" i="24"/>
  <c r="F32" i="24"/>
  <c r="F33" i="24" s="1"/>
  <c r="F34" i="24" s="1"/>
  <c r="F31" i="24"/>
  <c r="F30" i="24"/>
  <c r="G32" i="24"/>
  <c r="G33" i="24" s="1"/>
  <c r="G34" i="24" s="1"/>
  <c r="G31" i="24"/>
  <c r="G30" i="24"/>
  <c r="H32" i="24"/>
  <c r="H33" i="24" s="1"/>
  <c r="H34" i="24" s="1"/>
  <c r="H31" i="24"/>
  <c r="H30" i="24"/>
  <c r="I32" i="24"/>
  <c r="I33" i="24" s="1"/>
  <c r="I34" i="24" s="1"/>
  <c r="I31" i="24"/>
  <c r="I30" i="24"/>
  <c r="J32" i="24"/>
  <c r="J33" i="24" s="1"/>
  <c r="J34" i="24" s="1"/>
  <c r="J31" i="24"/>
  <c r="J30" i="24"/>
  <c r="K32" i="24"/>
  <c r="K33" i="24" s="1"/>
  <c r="K34" i="24" s="1"/>
  <c r="K31" i="24"/>
  <c r="K30" i="24"/>
  <c r="L32" i="24"/>
  <c r="L33" i="24" s="1"/>
  <c r="L34" i="24" s="1"/>
  <c r="L31" i="24"/>
  <c r="L30" i="24"/>
  <c r="M32" i="24"/>
  <c r="M33" i="24" s="1"/>
  <c r="M34" i="24" s="1"/>
  <c r="M31" i="24"/>
  <c r="M30" i="24"/>
  <c r="N32" i="24"/>
  <c r="N33" i="24" s="1"/>
  <c r="N34" i="24" s="1"/>
  <c r="N31" i="24"/>
  <c r="N30" i="24"/>
  <c r="O32" i="24"/>
  <c r="O33" i="24" s="1"/>
  <c r="O34" i="24" s="1"/>
  <c r="O31" i="24"/>
  <c r="O30" i="24"/>
  <c r="P32" i="24"/>
  <c r="P33" i="24" s="1"/>
  <c r="P34" i="24" s="1"/>
  <c r="P31" i="24"/>
  <c r="P30" i="24"/>
  <c r="Q32" i="24"/>
  <c r="Q33" i="24" s="1"/>
  <c r="Q34" i="24" s="1"/>
  <c r="Q31" i="24"/>
  <c r="Q30" i="24"/>
  <c r="R32" i="24"/>
  <c r="R33" i="24" s="1"/>
  <c r="R34" i="24" s="1"/>
  <c r="R31" i="24"/>
  <c r="R30" i="24"/>
  <c r="S32" i="24"/>
  <c r="S33" i="24" s="1"/>
  <c r="S34" i="24" s="1"/>
  <c r="S31" i="24"/>
  <c r="S30" i="24"/>
  <c r="T32" i="24"/>
  <c r="T33" i="24" s="1"/>
  <c r="T34" i="24" s="1"/>
  <c r="T31" i="24"/>
  <c r="T30" i="24"/>
  <c r="D13" i="24" l="1"/>
  <c r="E14" i="24" s="1"/>
  <c r="S31" i="23"/>
  <c r="E46" i="23"/>
  <c r="D46" i="23"/>
  <c r="P31" i="23"/>
  <c r="O31" i="23"/>
  <c r="N31" i="23"/>
  <c r="M31" i="23"/>
  <c r="L31" i="23"/>
  <c r="J31" i="23"/>
  <c r="I31" i="23"/>
  <c r="H31" i="23"/>
  <c r="G31" i="23"/>
  <c r="D31" i="23"/>
  <c r="N30" i="23"/>
  <c r="M30" i="23"/>
  <c r="L30" i="23"/>
  <c r="J30" i="23"/>
  <c r="D30" i="23"/>
  <c r="O29" i="23"/>
  <c r="N29" i="23"/>
  <c r="M29" i="23"/>
  <c r="L29" i="23"/>
  <c r="K29" i="23"/>
  <c r="J29" i="23"/>
  <c r="H29" i="23"/>
  <c r="G29" i="23"/>
  <c r="F29" i="23"/>
  <c r="E29" i="23"/>
  <c r="D49" i="23"/>
  <c r="D48" i="23"/>
  <c r="D47" i="23"/>
  <c r="D45" i="23"/>
  <c r="D33" i="23"/>
  <c r="D32" i="23"/>
  <c r="E49" i="23"/>
  <c r="E48" i="23"/>
  <c r="E47" i="23"/>
  <c r="E45" i="23"/>
  <c r="E33" i="23"/>
  <c r="E32" i="23"/>
  <c r="E31" i="23"/>
  <c r="E30" i="23"/>
  <c r="F49" i="23"/>
  <c r="F48" i="23"/>
  <c r="F47" i="23"/>
  <c r="F46" i="23"/>
  <c r="F45" i="23"/>
  <c r="F33" i="23"/>
  <c r="F32" i="23"/>
  <c r="F31" i="23"/>
  <c r="F30" i="23"/>
  <c r="G49" i="23"/>
  <c r="G48" i="23"/>
  <c r="G47" i="23"/>
  <c r="G46" i="23"/>
  <c r="G45" i="23"/>
  <c r="G33" i="23"/>
  <c r="G32" i="23"/>
  <c r="G30" i="23"/>
  <c r="H49" i="23"/>
  <c r="H48" i="23"/>
  <c r="H47" i="23"/>
  <c r="H46" i="23"/>
  <c r="H45" i="23"/>
  <c r="H33" i="23"/>
  <c r="H32" i="23"/>
  <c r="H30" i="23"/>
  <c r="I49" i="23"/>
  <c r="I48" i="23"/>
  <c r="I47" i="23"/>
  <c r="I46" i="23"/>
  <c r="I45" i="23"/>
  <c r="I33" i="23"/>
  <c r="I32" i="23"/>
  <c r="I30" i="23"/>
  <c r="I29" i="23"/>
  <c r="J49" i="23"/>
  <c r="J48" i="23"/>
  <c r="J47" i="23"/>
  <c r="J46" i="23"/>
  <c r="J45" i="23"/>
  <c r="J33" i="23"/>
  <c r="J32" i="23"/>
  <c r="K49" i="23"/>
  <c r="K48" i="23"/>
  <c r="K47" i="23"/>
  <c r="K46" i="23"/>
  <c r="K45" i="23"/>
  <c r="K33" i="23"/>
  <c r="K32" i="23"/>
  <c r="K31" i="23"/>
  <c r="K30" i="23"/>
  <c r="L49" i="23"/>
  <c r="L48" i="23"/>
  <c r="L47" i="23"/>
  <c r="L46" i="23"/>
  <c r="L45" i="23"/>
  <c r="L33" i="23"/>
  <c r="L32" i="23"/>
  <c r="M49" i="23"/>
  <c r="M48" i="23"/>
  <c r="M47" i="23"/>
  <c r="M46" i="23"/>
  <c r="M45" i="23"/>
  <c r="M33" i="23"/>
  <c r="M32" i="23"/>
  <c r="N49" i="23"/>
  <c r="N48" i="23"/>
  <c r="N47" i="23"/>
  <c r="N46" i="23"/>
  <c r="N45" i="23"/>
  <c r="N33" i="23"/>
  <c r="N32" i="23"/>
  <c r="O49" i="23"/>
  <c r="O48" i="23"/>
  <c r="O47" i="23"/>
  <c r="O46" i="23"/>
  <c r="O45" i="23"/>
  <c r="O33" i="23"/>
  <c r="O32" i="23"/>
  <c r="O30" i="23"/>
  <c r="P49" i="23"/>
  <c r="P48" i="23"/>
  <c r="P47" i="23"/>
  <c r="P46" i="23"/>
  <c r="P45" i="23"/>
  <c r="P33" i="23"/>
  <c r="P32" i="23"/>
  <c r="P30" i="23"/>
  <c r="P29" i="23"/>
  <c r="Q49" i="23"/>
  <c r="Q48" i="23"/>
  <c r="Q47" i="23"/>
  <c r="Q46" i="23"/>
  <c r="Q45" i="23"/>
  <c r="Q33" i="23"/>
  <c r="Q32" i="23"/>
  <c r="Q31" i="23"/>
  <c r="Q30" i="23"/>
  <c r="Q29" i="23"/>
  <c r="R49" i="23"/>
  <c r="R48" i="23"/>
  <c r="R47" i="23"/>
  <c r="R46" i="23"/>
  <c r="R45" i="23"/>
  <c r="R33" i="23"/>
  <c r="R32" i="23"/>
  <c r="R31" i="23"/>
  <c r="R30" i="23"/>
  <c r="R29" i="23"/>
  <c r="S49" i="23"/>
  <c r="S48" i="23"/>
  <c r="S47" i="23"/>
  <c r="S46" i="23"/>
  <c r="S45" i="23"/>
  <c r="S33" i="23"/>
  <c r="S32" i="23"/>
  <c r="S30" i="23"/>
  <c r="S29" i="23"/>
  <c r="T49" i="23"/>
  <c r="T48" i="23"/>
  <c r="T47" i="23"/>
  <c r="T46" i="23"/>
  <c r="T45" i="23"/>
  <c r="T33" i="23"/>
  <c r="T32" i="23"/>
  <c r="T31" i="23"/>
  <c r="T30" i="23"/>
  <c r="T29" i="23"/>
  <c r="D8" i="22"/>
  <c r="D46" i="21"/>
  <c r="D45" i="21"/>
  <c r="D44" i="21"/>
  <c r="D5" i="21" s="1"/>
  <c r="D43" i="21"/>
  <c r="D42" i="21"/>
  <c r="D41" i="21"/>
  <c r="D40" i="21"/>
  <c r="D39" i="21"/>
  <c r="D7" i="21" s="1"/>
  <c r="D38" i="21"/>
  <c r="D37" i="21"/>
  <c r="E46" i="21"/>
  <c r="E45" i="21"/>
  <c r="E44" i="21"/>
  <c r="E5" i="21" s="1"/>
  <c r="E43" i="21"/>
  <c r="E42" i="21"/>
  <c r="E41" i="21"/>
  <c r="E40" i="21"/>
  <c r="E39" i="21"/>
  <c r="E7" i="21" s="1"/>
  <c r="E38" i="21"/>
  <c r="E37" i="21"/>
  <c r="F46" i="21"/>
  <c r="F45" i="21"/>
  <c r="F44" i="21"/>
  <c r="F3" i="22" s="1"/>
  <c r="F43" i="21"/>
  <c r="F42" i="21"/>
  <c r="F41" i="21"/>
  <c r="F40" i="21"/>
  <c r="F39" i="21"/>
  <c r="F7" i="21" s="1"/>
  <c r="F38" i="21"/>
  <c r="F37" i="21"/>
  <c r="G46" i="21"/>
  <c r="G45" i="21"/>
  <c r="G44" i="21"/>
  <c r="G5" i="21" s="1"/>
  <c r="G43" i="21"/>
  <c r="G42" i="21"/>
  <c r="G41" i="21"/>
  <c r="G40" i="21"/>
  <c r="G39" i="21"/>
  <c r="G7" i="21" s="1"/>
  <c r="G38" i="21"/>
  <c r="G37" i="21"/>
  <c r="H46" i="21"/>
  <c r="H45" i="21"/>
  <c r="H44" i="21"/>
  <c r="H5" i="21" s="1"/>
  <c r="H43" i="21"/>
  <c r="H42" i="21"/>
  <c r="H41" i="21"/>
  <c r="H40" i="21"/>
  <c r="H39" i="21"/>
  <c r="H7" i="21" s="1"/>
  <c r="H38" i="21"/>
  <c r="H37" i="21"/>
  <c r="I46" i="21"/>
  <c r="I45" i="21"/>
  <c r="I44" i="21"/>
  <c r="I5" i="21" s="1"/>
  <c r="I43" i="21"/>
  <c r="I42" i="21"/>
  <c r="I41" i="21"/>
  <c r="I40" i="21"/>
  <c r="I39" i="21"/>
  <c r="I7" i="21" s="1"/>
  <c r="I38" i="21"/>
  <c r="I37" i="21"/>
  <c r="J46" i="21"/>
  <c r="J45" i="21"/>
  <c r="J44" i="21"/>
  <c r="J5" i="21" s="1"/>
  <c r="J43" i="21"/>
  <c r="J42" i="21"/>
  <c r="J41" i="21"/>
  <c r="J40" i="21"/>
  <c r="J39" i="21"/>
  <c r="J7" i="21" s="1"/>
  <c r="J38" i="21"/>
  <c r="J37" i="21"/>
  <c r="K46" i="21"/>
  <c r="K45" i="21"/>
  <c r="K44" i="21"/>
  <c r="K5" i="21" s="1"/>
  <c r="K43" i="21"/>
  <c r="K42" i="21"/>
  <c r="K41" i="21"/>
  <c r="K40" i="21"/>
  <c r="K39" i="21"/>
  <c r="K7" i="21" s="1"/>
  <c r="K38" i="21"/>
  <c r="K37" i="21"/>
  <c r="L46" i="21"/>
  <c r="L45" i="21"/>
  <c r="L44" i="21"/>
  <c r="L43" i="21"/>
  <c r="L42" i="21"/>
  <c r="L41" i="21"/>
  <c r="L40" i="21"/>
  <c r="L39" i="21"/>
  <c r="L7" i="21" s="1"/>
  <c r="L38" i="21"/>
  <c r="L37" i="21"/>
  <c r="M46" i="21"/>
  <c r="M45" i="21"/>
  <c r="M44" i="21"/>
  <c r="M5" i="21" s="1"/>
  <c r="M43" i="21"/>
  <c r="M42" i="21"/>
  <c r="M41" i="21"/>
  <c r="M40" i="21"/>
  <c r="M39" i="21"/>
  <c r="M7" i="21" s="1"/>
  <c r="M38" i="21"/>
  <c r="M37" i="21"/>
  <c r="N46" i="21"/>
  <c r="N45" i="21"/>
  <c r="N44" i="21"/>
  <c r="N5" i="21" s="1"/>
  <c r="N43" i="21"/>
  <c r="N42" i="21"/>
  <c r="N41" i="21"/>
  <c r="N40" i="21"/>
  <c r="N39" i="21"/>
  <c r="N7" i="21" s="1"/>
  <c r="N38" i="21"/>
  <c r="N37" i="21"/>
  <c r="O46" i="21"/>
  <c r="O45" i="21"/>
  <c r="O3" i="21" s="1"/>
  <c r="O44" i="21"/>
  <c r="O5" i="21" s="1"/>
  <c r="O43" i="21"/>
  <c r="O42" i="21"/>
  <c r="O41" i="21"/>
  <c r="O40" i="21"/>
  <c r="O39" i="21"/>
  <c r="O7" i="21" s="1"/>
  <c r="O38" i="21"/>
  <c r="O37" i="21"/>
  <c r="O8" i="21" s="1"/>
  <c r="P46" i="21"/>
  <c r="P45" i="21"/>
  <c r="P44" i="21"/>
  <c r="P43" i="21"/>
  <c r="P42" i="21"/>
  <c r="P41" i="21"/>
  <c r="P40" i="21"/>
  <c r="P39" i="21"/>
  <c r="P7" i="21" s="1"/>
  <c r="P38" i="21"/>
  <c r="P37" i="21"/>
  <c r="Q46" i="21"/>
  <c r="Q45" i="21"/>
  <c r="Q44" i="21"/>
  <c r="Q5" i="21" s="1"/>
  <c r="Q43" i="21"/>
  <c r="Q42" i="21"/>
  <c r="Q41" i="21"/>
  <c r="Q40" i="21"/>
  <c r="Q39" i="21"/>
  <c r="Q7" i="21" s="1"/>
  <c r="Q38" i="21"/>
  <c r="Q37" i="21"/>
  <c r="R46" i="21"/>
  <c r="R45" i="21"/>
  <c r="R44" i="21"/>
  <c r="R5" i="21" s="1"/>
  <c r="R43" i="21"/>
  <c r="R42" i="21"/>
  <c r="R41" i="21"/>
  <c r="R40" i="21"/>
  <c r="R39" i="21"/>
  <c r="R7" i="21" s="1"/>
  <c r="R38" i="21"/>
  <c r="R37" i="21"/>
  <c r="S46" i="21"/>
  <c r="S45" i="21"/>
  <c r="S3" i="21" s="1"/>
  <c r="S44" i="21"/>
  <c r="S5" i="21" s="1"/>
  <c r="S43" i="21"/>
  <c r="S42" i="21"/>
  <c r="S41" i="21"/>
  <c r="S40" i="21"/>
  <c r="S39" i="21"/>
  <c r="S7" i="21" s="1"/>
  <c r="S38" i="21"/>
  <c r="S37" i="21"/>
  <c r="S8" i="21" s="1"/>
  <c r="T46" i="21"/>
  <c r="T45" i="21"/>
  <c r="T44" i="21"/>
  <c r="T43" i="21"/>
  <c r="T42" i="21"/>
  <c r="T41" i="21"/>
  <c r="T40" i="21"/>
  <c r="T39" i="21"/>
  <c r="T7" i="21" s="1"/>
  <c r="T38" i="21"/>
  <c r="T37" i="21"/>
  <c r="P8" i="21" l="1"/>
  <c r="P3" i="21"/>
  <c r="L8" i="21"/>
  <c r="L3" i="21"/>
  <c r="H8" i="21"/>
  <c r="H3" i="21"/>
  <c r="K3" i="21"/>
  <c r="G8" i="21"/>
  <c r="K8" i="21"/>
  <c r="T3" i="22"/>
  <c r="D15" i="24"/>
  <c r="E15" i="24" s="1"/>
  <c r="T8" i="21"/>
  <c r="G3" i="21"/>
  <c r="T4" i="21"/>
  <c r="L4" i="21"/>
  <c r="P3" i="22"/>
  <c r="O3" i="22"/>
  <c r="H4" i="21"/>
  <c r="H3" i="22"/>
  <c r="G3" i="22"/>
  <c r="T3" i="21"/>
  <c r="S6" i="21"/>
  <c r="E3" i="23"/>
  <c r="F3" i="23"/>
  <c r="L3" i="23"/>
  <c r="N3" i="23"/>
  <c r="T4" i="23"/>
  <c r="D10" i="23" s="1"/>
  <c r="Q3" i="23"/>
  <c r="I3" i="23"/>
  <c r="D3" i="23"/>
  <c r="S4" i="23"/>
  <c r="P3" i="23"/>
  <c r="J3" i="23"/>
  <c r="O3" i="23"/>
  <c r="R4" i="23"/>
  <c r="L4" i="23"/>
  <c r="G3" i="23"/>
  <c r="M4" i="23"/>
  <c r="I4" i="23"/>
  <c r="D4" i="23"/>
  <c r="H3" i="23"/>
  <c r="Q4" i="23"/>
  <c r="T3" i="23"/>
  <c r="D9" i="23" s="1"/>
  <c r="R3" i="23"/>
  <c r="P4" i="23"/>
  <c r="O4" i="23"/>
  <c r="N4" i="23"/>
  <c r="K4" i="23"/>
  <c r="J4" i="23"/>
  <c r="J5" i="23" s="1"/>
  <c r="H4" i="23"/>
  <c r="G4" i="23"/>
  <c r="F4" i="23"/>
  <c r="E4" i="23"/>
  <c r="K3" i="23"/>
  <c r="M3" i="23"/>
  <c r="S3" i="23"/>
  <c r="Q3" i="22"/>
  <c r="R6" i="21"/>
  <c r="O4" i="21"/>
  <c r="J6" i="21"/>
  <c r="G4" i="21"/>
  <c r="J3" i="22"/>
  <c r="R3" i="22"/>
  <c r="K6" i="21"/>
  <c r="I3" i="22"/>
  <c r="K3" i="22"/>
  <c r="S3" i="22"/>
  <c r="L3" i="22"/>
  <c r="I6" i="21"/>
  <c r="E6" i="21"/>
  <c r="E3" i="22"/>
  <c r="M3" i="22"/>
  <c r="N3" i="22"/>
  <c r="R4" i="21"/>
  <c r="Q6" i="21"/>
  <c r="N4" i="21"/>
  <c r="M6" i="21"/>
  <c r="J4" i="21"/>
  <c r="F4" i="21"/>
  <c r="Q4" i="21"/>
  <c r="I4" i="21"/>
  <c r="E4" i="21"/>
  <c r="F5" i="21"/>
  <c r="Q8" i="21"/>
  <c r="M8" i="21"/>
  <c r="M3" i="21"/>
  <c r="I8" i="21"/>
  <c r="I3" i="21"/>
  <c r="E8" i="21"/>
  <c r="E3" i="21"/>
  <c r="S4" i="21"/>
  <c r="F6" i="21"/>
  <c r="L5" i="21"/>
  <c r="D3" i="21"/>
  <c r="T6" i="21"/>
  <c r="P6" i="21"/>
  <c r="M4" i="21"/>
  <c r="L6" i="21"/>
  <c r="H6" i="21"/>
  <c r="T5" i="21"/>
  <c r="D6" i="21"/>
  <c r="N6" i="21"/>
  <c r="K4" i="21"/>
  <c r="P5" i="21"/>
  <c r="R8" i="21"/>
  <c r="R3" i="21"/>
  <c r="N8" i="21"/>
  <c r="N3" i="21"/>
  <c r="J8" i="21"/>
  <c r="J3" i="21"/>
  <c r="F8" i="21"/>
  <c r="F3" i="21"/>
  <c r="P4" i="21"/>
  <c r="O6" i="21"/>
  <c r="G6" i="21"/>
  <c r="D4" i="21"/>
  <c r="Q3" i="21"/>
  <c r="D8" i="21"/>
  <c r="D21" i="21" l="1"/>
  <c r="D20" i="21"/>
  <c r="D7" i="22"/>
  <c r="G5" i="23"/>
  <c r="D19" i="21"/>
  <c r="T5" i="23"/>
  <c r="N5" i="23"/>
  <c r="O5" i="23"/>
  <c r="M5" i="23"/>
  <c r="E5" i="23"/>
  <c r="P5" i="23"/>
  <c r="F5" i="23"/>
  <c r="Q5" i="23"/>
  <c r="R5" i="23"/>
  <c r="L5" i="23"/>
  <c r="H5" i="23"/>
  <c r="K5" i="23"/>
  <c r="D5" i="23"/>
  <c r="I5" i="23"/>
  <c r="S5" i="23"/>
  <c r="S7" i="17" l="1"/>
  <c r="S6" i="26" s="1"/>
  <c r="R7" i="17"/>
  <c r="R6" i="26" s="1"/>
  <c r="Q7" i="17"/>
  <c r="Q6" i="26" s="1"/>
  <c r="P7" i="17"/>
  <c r="P6" i="26" s="1"/>
  <c r="O7" i="17"/>
  <c r="O6" i="26" s="1"/>
  <c r="N7" i="17"/>
  <c r="N6" i="26" s="1"/>
  <c r="M7" i="17"/>
  <c r="M6" i="26" s="1"/>
  <c r="L7" i="17"/>
  <c r="L6" i="26" s="1"/>
  <c r="K7" i="17"/>
  <c r="K6" i="26" s="1"/>
  <c r="J7" i="17"/>
  <c r="J6" i="26" s="1"/>
  <c r="I7" i="17"/>
  <c r="I6" i="26" s="1"/>
  <c r="H7" i="17"/>
  <c r="H6" i="26" s="1"/>
  <c r="G7" i="17"/>
  <c r="G6" i="26" s="1"/>
  <c r="F7" i="17"/>
  <c r="F6" i="26" s="1"/>
  <c r="E7" i="17"/>
  <c r="E6" i="26" s="1"/>
  <c r="D7" i="17"/>
  <c r="D6" i="26" s="1"/>
  <c r="T7" i="17"/>
  <c r="T6" i="26" s="1"/>
  <c r="T9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T8" i="17"/>
  <c r="T7" i="26" s="1"/>
  <c r="S8" i="17"/>
  <c r="S7" i="26" s="1"/>
  <c r="R8" i="17"/>
  <c r="R7" i="26" s="1"/>
  <c r="Q8" i="17"/>
  <c r="Q7" i="26" s="1"/>
  <c r="P8" i="17"/>
  <c r="P7" i="26" s="1"/>
  <c r="O8" i="17"/>
  <c r="O7" i="26" s="1"/>
  <c r="N8" i="17"/>
  <c r="N7" i="26" s="1"/>
  <c r="M8" i="17"/>
  <c r="M7" i="26" s="1"/>
  <c r="L8" i="17"/>
  <c r="L7" i="26" s="1"/>
  <c r="K8" i="17"/>
  <c r="K7" i="26" s="1"/>
  <c r="J8" i="17"/>
  <c r="J7" i="26" s="1"/>
  <c r="I8" i="17"/>
  <c r="I7" i="26" s="1"/>
  <c r="H8" i="17"/>
  <c r="H7" i="26" s="1"/>
  <c r="G8" i="17"/>
  <c r="G7" i="26" s="1"/>
  <c r="F8" i="17"/>
  <c r="F7" i="26" s="1"/>
  <c r="E8" i="17"/>
  <c r="E7" i="26" s="1"/>
  <c r="D8" i="17"/>
  <c r="D7" i="26" s="1"/>
  <c r="D9" i="17"/>
  <c r="N68" i="17"/>
  <c r="N67" i="17" s="1"/>
  <c r="E24" i="26" l="1"/>
  <c r="D24" i="26"/>
  <c r="E23" i="26"/>
  <c r="D23" i="26"/>
  <c r="AW70" i="17"/>
  <c r="AW69" i="17"/>
  <c r="T6" i="17"/>
  <c r="T5" i="26" s="1"/>
  <c r="S6" i="17"/>
  <c r="S5" i="26" s="1"/>
  <c r="R6" i="17"/>
  <c r="R5" i="26" s="1"/>
  <c r="Q6" i="17"/>
  <c r="Q5" i="26" s="1"/>
  <c r="P6" i="17"/>
  <c r="P5" i="26" s="1"/>
  <c r="O6" i="17"/>
  <c r="O5" i="26" s="1"/>
  <c r="N6" i="17"/>
  <c r="N5" i="26" s="1"/>
  <c r="M6" i="17"/>
  <c r="M5" i="26" s="1"/>
  <c r="L6" i="17"/>
  <c r="L5" i="26" s="1"/>
  <c r="K6" i="17"/>
  <c r="K5" i="26" s="1"/>
  <c r="J6" i="17"/>
  <c r="J5" i="26" s="1"/>
  <c r="I6" i="17"/>
  <c r="I5" i="26" s="1"/>
  <c r="H6" i="17"/>
  <c r="H5" i="26" s="1"/>
  <c r="G6" i="17"/>
  <c r="G5" i="26" s="1"/>
  <c r="F6" i="17"/>
  <c r="F5" i="26" s="1"/>
  <c r="E6" i="17"/>
  <c r="E5" i="26" s="1"/>
  <c r="T5" i="17"/>
  <c r="T4" i="26" s="1"/>
  <c r="S5" i="17"/>
  <c r="S4" i="26" s="1"/>
  <c r="S3" i="26" s="1"/>
  <c r="R5" i="17"/>
  <c r="R4" i="26" s="1"/>
  <c r="R3" i="26" s="1"/>
  <c r="Q5" i="17"/>
  <c r="Q4" i="26" s="1"/>
  <c r="Q3" i="26" s="1"/>
  <c r="P5" i="17"/>
  <c r="P4" i="26" s="1"/>
  <c r="P3" i="26" s="1"/>
  <c r="O5" i="17"/>
  <c r="O4" i="26" s="1"/>
  <c r="O3" i="26" s="1"/>
  <c r="N5" i="17"/>
  <c r="N4" i="26" s="1"/>
  <c r="N3" i="26" s="1"/>
  <c r="M5" i="17"/>
  <c r="M4" i="26" s="1"/>
  <c r="L5" i="17"/>
  <c r="L4" i="26" s="1"/>
  <c r="K5" i="17"/>
  <c r="K4" i="26" s="1"/>
  <c r="K3" i="26" s="1"/>
  <c r="J5" i="17"/>
  <c r="J4" i="26" s="1"/>
  <c r="J3" i="26" s="1"/>
  <c r="I5" i="17"/>
  <c r="I4" i="26" s="1"/>
  <c r="I3" i="26" s="1"/>
  <c r="H5" i="17"/>
  <c r="H4" i="26" s="1"/>
  <c r="H3" i="26" s="1"/>
  <c r="G5" i="17"/>
  <c r="G4" i="26" s="1"/>
  <c r="G3" i="26" s="1"/>
  <c r="F5" i="17"/>
  <c r="F4" i="26" s="1"/>
  <c r="F3" i="26" s="1"/>
  <c r="E5" i="17"/>
  <c r="E4" i="26" s="1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6" i="17"/>
  <c r="D5" i="26" s="1"/>
  <c r="D4" i="26"/>
  <c r="D4" i="17"/>
  <c r="T3" i="17"/>
  <c r="S3" i="17"/>
  <c r="R3" i="17"/>
  <c r="Q3" i="17"/>
  <c r="D17" i="17" s="1"/>
  <c r="P3" i="17"/>
  <c r="O3" i="17"/>
  <c r="N3" i="17"/>
  <c r="M3" i="17"/>
  <c r="L3" i="17"/>
  <c r="K3" i="17"/>
  <c r="J3" i="17"/>
  <c r="I3" i="17"/>
  <c r="H3" i="17"/>
  <c r="G3" i="17"/>
  <c r="F3" i="17"/>
  <c r="E3" i="26" l="1"/>
  <c r="M3" i="26"/>
  <c r="E16" i="17"/>
  <c r="E15" i="17"/>
  <c r="D16" i="17"/>
  <c r="D18" i="17"/>
  <c r="L3" i="26"/>
  <c r="E21" i="26"/>
  <c r="D21" i="26"/>
  <c r="T3" i="26"/>
  <c r="E22" i="26"/>
  <c r="D22" i="26"/>
  <c r="D3" i="26"/>
  <c r="E20" i="26" l="1"/>
  <c r="D20" i="26"/>
  <c r="E12" i="26"/>
  <c r="D12" i="26"/>
  <c r="D13" i="26"/>
</calcChain>
</file>

<file path=xl/sharedStrings.xml><?xml version="1.0" encoding="utf-8"?>
<sst xmlns="http://schemas.openxmlformats.org/spreadsheetml/2006/main" count="1174" uniqueCount="415">
  <si>
    <t>2005</t>
  </si>
  <si>
    <t>2010</t>
  </si>
  <si>
    <t>2015</t>
  </si>
  <si>
    <t>2020</t>
  </si>
  <si>
    <t>Total</t>
  </si>
  <si>
    <t>Average 2022-2030</t>
  </si>
  <si>
    <t>2030 benchmark</t>
  </si>
  <si>
    <t>2050 benchmark</t>
  </si>
  <si>
    <t>Source</t>
  </si>
  <si>
    <t>EEA GHG data viewer</t>
  </si>
  <si>
    <t>linear trajectory</t>
  </si>
  <si>
    <t>calculated</t>
  </si>
  <si>
    <t>Unit</t>
  </si>
  <si>
    <t>Mt CO2e</t>
  </si>
  <si>
    <t>Total LULUCF emissions and removals</t>
  </si>
  <si>
    <t>Demand-side Focus Pathway</t>
  </si>
  <si>
    <t>High Renewable Energy Pathway</t>
  </si>
  <si>
    <t>Mixed Options Pathway</t>
  </si>
  <si>
    <t>Font and colours:</t>
  </si>
  <si>
    <t>Half page width:</t>
  </si>
  <si>
    <t xml:space="preserve">Font: </t>
  </si>
  <si>
    <t xml:space="preserve">Segoe UI, size 8 </t>
  </si>
  <si>
    <t>Signature colour</t>
  </si>
  <si>
    <t>Gridlines:</t>
  </si>
  <si>
    <t>Transparency: 90%</t>
  </si>
  <si>
    <t>Lines:</t>
  </si>
  <si>
    <t>High width: 2.25 pt</t>
  </si>
  <si>
    <t>Low width: 0.25 pt</t>
  </si>
  <si>
    <t>Colours:</t>
  </si>
  <si>
    <t>Primary colour palette</t>
  </si>
  <si>
    <t>Full page width:</t>
  </si>
  <si>
    <t>Title and</t>
  </si>
  <si>
    <t xml:space="preserve">In Word document </t>
  </si>
  <si>
    <t>source:</t>
  </si>
  <si>
    <t>(only unit on chart)</t>
  </si>
  <si>
    <t xml:space="preserve"> </t>
  </si>
  <si>
    <t>t</t>
  </si>
  <si>
    <t>4 - Land Use, Land-Use Change and Forestry</t>
  </si>
  <si>
    <t>4.A - Forest Land</t>
  </si>
  <si>
    <t>4.A Emissions/Removal 4(II)  Emissions and removals from drainage and rewetting and other management of organic and mineral soils</t>
  </si>
  <si>
    <t>4.A.1 - Forest Land remaining forest land</t>
  </si>
  <si>
    <t>4.A.2 - Land converted to forest land</t>
  </si>
  <si>
    <t>4.B - Cropland</t>
  </si>
  <si>
    <t>4.B Emissions/Removal 4(II)  Emissions and removals from drainage and rewetting and other management of organic and mineral soils</t>
  </si>
  <si>
    <t>4.B.1 - Cropland remaining cropland</t>
  </si>
  <si>
    <t>4.B.2 - Land converted to cropland</t>
  </si>
  <si>
    <t>4.C - Grassland</t>
  </si>
  <si>
    <t>4.C Emissions/Removal 4(II)  Emissions and removals from drainage and rewetting and other management of organic and mineral soils</t>
  </si>
  <si>
    <t>4.C.1 - Grassland remaining grassland</t>
  </si>
  <si>
    <t>4.C.2 - Land converted to grassland</t>
  </si>
  <si>
    <t>4.D - Wetlands</t>
  </si>
  <si>
    <t>4.D Emissions/Removal 4(II)  Emissions and removals from drainage and rewetting and other management of organic and mineral soils</t>
  </si>
  <si>
    <t>4.D.1 - Wetlands remaining wetlands</t>
  </si>
  <si>
    <t>4.D.2 - Land converted to wetlands</t>
  </si>
  <si>
    <t>4.E - Settlements</t>
  </si>
  <si>
    <t>4.E Biomass Burning 4(V) Biomass Burning</t>
  </si>
  <si>
    <t>4.E.1 - Settlements remaining settlements</t>
  </si>
  <si>
    <t>4.E.2 - Land converted to settlements</t>
  </si>
  <si>
    <t>4.F - Other Land</t>
  </si>
  <si>
    <t>4.F.2 - Land converted to other land</t>
  </si>
  <si>
    <t>4.F.3 4(III)  Direct N2O Emissions from N Mineralization/Immobilization</t>
  </si>
  <si>
    <t>4.F.4 4(V)  Biomass Burning</t>
  </si>
  <si>
    <t>4.G - Harvested Wood Products</t>
  </si>
  <si>
    <t>4.H - Other LULUCF</t>
  </si>
  <si>
    <t>kt CO2e</t>
  </si>
  <si>
    <t>CRF table</t>
  </si>
  <si>
    <t>kha</t>
  </si>
  <si>
    <t>Forest land</t>
  </si>
  <si>
    <t>Cropland</t>
  </si>
  <si>
    <t>Grassland</t>
  </si>
  <si>
    <t>Wetlands</t>
  </si>
  <si>
    <t>Settlements</t>
  </si>
  <si>
    <t>Raw historic data</t>
  </si>
  <si>
    <t>2050 benchmark data</t>
  </si>
  <si>
    <t>1,5TECH (EU28)</t>
  </si>
  <si>
    <t>1,5LIFE (EU28)</t>
  </si>
  <si>
    <t>ACP4A in depth analysis figure 91</t>
  </si>
  <si>
    <t>UK LULUCF</t>
  </si>
  <si>
    <t>1,5TECH (recalibrated for EU27)</t>
  </si>
  <si>
    <t>1,5LIFE (recalibrated for EU27)</t>
  </si>
  <si>
    <t>UK CRF</t>
  </si>
  <si>
    <t>EU28 LULUCF</t>
  </si>
  <si>
    <t>2030 benchmark data</t>
  </si>
  <si>
    <t>FF55 MIX</t>
  </si>
  <si>
    <t xml:space="preserve">Total Forest Land </t>
  </si>
  <si>
    <t>Forest Land remaining Forest Land</t>
  </si>
  <si>
    <t>Land converted to Forest Land</t>
  </si>
  <si>
    <t>Forest Land converted to other land use categories</t>
  </si>
  <si>
    <t>Total Cropland</t>
  </si>
  <si>
    <t>Cropland remaining Cropland</t>
  </si>
  <si>
    <t>Land converted to Cropland</t>
  </si>
  <si>
    <t>Total Grassland</t>
  </si>
  <si>
    <t>Grassland remaining Grassland</t>
  </si>
  <si>
    <t>Land converted to Grassland</t>
  </si>
  <si>
    <t>Total Wetlands</t>
  </si>
  <si>
    <t>Total Settlements</t>
  </si>
  <si>
    <t>Total Other land</t>
  </si>
  <si>
    <t>Harvested Wood Products</t>
  </si>
  <si>
    <t>FF55 MIX excel</t>
  </si>
  <si>
    <t>CTP</t>
  </si>
  <si>
    <t>CTP IA table 39</t>
  </si>
  <si>
    <t>MIX</t>
  </si>
  <si>
    <t>REG</t>
  </si>
  <si>
    <t>MIX-CP</t>
  </si>
  <si>
    <t>CTP-MIX</t>
  </si>
  <si>
    <t>1,5TECH</t>
  </si>
  <si>
    <t>1,5LIFE</t>
  </si>
  <si>
    <t>2040 advice MIN</t>
  </si>
  <si>
    <t>2040 advice MAX</t>
  </si>
  <si>
    <t>LULUCF target</t>
  </si>
  <si>
    <t>Average 2017-2021</t>
  </si>
  <si>
    <t>Settlements and other land</t>
  </si>
  <si>
    <t>CRF data</t>
  </si>
  <si>
    <t>Forest land (managed)</t>
  </si>
  <si>
    <t>Forest land (unmanaged)</t>
  </si>
  <si>
    <t xml:space="preserve">Cropland </t>
  </si>
  <si>
    <t>Grassland (managed)</t>
  </si>
  <si>
    <t>Grassland (unmanaged)</t>
  </si>
  <si>
    <t>Wetlands (managed)</t>
  </si>
  <si>
    <t>Wetlands (unmanaged)</t>
  </si>
  <si>
    <t>Other land</t>
  </si>
  <si>
    <t>Total 
unmanaged 
land</t>
  </si>
  <si>
    <t>EU CRF</t>
  </si>
  <si>
    <t>Other</t>
  </si>
  <si>
    <t>Wetland</t>
  </si>
  <si>
    <t>Mha</t>
  </si>
  <si>
    <t>2005-2021 change</t>
  </si>
  <si>
    <t>Net land take</t>
  </si>
  <si>
    <t>7th EAP</t>
  </si>
  <si>
    <t>Average until 2050</t>
  </si>
  <si>
    <t>annual increase in settlement area</t>
  </si>
  <si>
    <t>Raw GHG inventory data</t>
  </si>
  <si>
    <t>forest to cropland</t>
  </si>
  <si>
    <t>forest to grassland</t>
  </si>
  <si>
    <t>forest to settlement</t>
  </si>
  <si>
    <t>forest to other land</t>
  </si>
  <si>
    <t>Deforestation</t>
  </si>
  <si>
    <t>Aforestation</t>
  </si>
  <si>
    <t>cropland to forest land</t>
  </si>
  <si>
    <t>grassland to forest land</t>
  </si>
  <si>
    <t>wetland to forest land</t>
  </si>
  <si>
    <t>settlement to forest land</t>
  </si>
  <si>
    <t>other land to forest land</t>
  </si>
  <si>
    <t>forest to wetland</t>
  </si>
  <si>
    <t>De- and aforestation</t>
  </si>
  <si>
    <t>Carbon stock change in livin biomass</t>
  </si>
  <si>
    <t>Carbon stock gain in livin biomass</t>
  </si>
  <si>
    <t>Carbon stock loss in livin biomass</t>
  </si>
  <si>
    <t>kt C</t>
  </si>
  <si>
    <t>EU GHG inventory CRF</t>
  </si>
  <si>
    <t>Raw data</t>
  </si>
  <si>
    <t>Carbon stock changes</t>
  </si>
  <si>
    <t>FAOSTAT (forestry production)</t>
  </si>
  <si>
    <t>m3</t>
  </si>
  <si>
    <t>Total roundwood</t>
  </si>
  <si>
    <t>Conversion factor</t>
  </si>
  <si>
    <t>https://www.mdpi.com/1999-4907/3/2/332</t>
  </si>
  <si>
    <t>Value</t>
  </si>
  <si>
    <t>Forestry production (under bark, see https://www.fao.org/forestry/34572-0902b3c041384fd87f2451da2bb9237.pdf)</t>
  </si>
  <si>
    <t>FAOSTAT</t>
  </si>
  <si>
    <t>EU GHG inventory</t>
  </si>
  <si>
    <t>under bark to over bark</t>
  </si>
  <si>
    <t>density coniferous (t dry mass per m3)</t>
  </si>
  <si>
    <t>density non-coniferous (t dry mass per m3)</t>
  </si>
  <si>
    <t>Carbon content coniferous (t C per t dry mass)</t>
  </si>
  <si>
    <t>Carbon content non-coniferous (t C per t dry mass)</t>
  </si>
  <si>
    <t>Industrial roundwood, coniferous</t>
  </si>
  <si>
    <t>Industrial roundwood, non-coniferous</t>
  </si>
  <si>
    <t>Wood fuel, coniferous</t>
  </si>
  <si>
    <t>Wood fuel, non-coniferous</t>
  </si>
  <si>
    <t>%</t>
  </si>
  <si>
    <t>t/m3</t>
  </si>
  <si>
    <t>t C/t</t>
  </si>
  <si>
    <t>Carbon to CO2 conversion</t>
  </si>
  <si>
    <t>stochiometric factor</t>
  </si>
  <si>
    <t>t CO2/t</t>
  </si>
  <si>
    <t>total decrease</t>
  </si>
  <si>
    <t>contribution harvesting</t>
  </si>
  <si>
    <t>contribution net annual increment</t>
  </si>
  <si>
    <t>Biomass supply</t>
  </si>
  <si>
    <t>Industrial roundwood harvest - conifer</t>
  </si>
  <si>
    <t>Industrial roundwood harvest - non-conifer</t>
  </si>
  <si>
    <t>Fuel wood harvest - conifer</t>
  </si>
  <si>
    <t>Fuel wood harvest - non-conifer</t>
  </si>
  <si>
    <t>Import industrial roundwood - conifer</t>
  </si>
  <si>
    <t>Import industrial roundwood - non-conifer</t>
  </si>
  <si>
    <t>Import fuel roundwood</t>
  </si>
  <si>
    <t>Bark</t>
  </si>
  <si>
    <t>Sawmill residues</t>
  </si>
  <si>
    <t>Other industrial residues</t>
  </si>
  <si>
    <t>Secundary wood pellets</t>
  </si>
  <si>
    <t>Black liquor</t>
  </si>
  <si>
    <t>Net import - wood chips and particles</t>
  </si>
  <si>
    <t>Net import - other wood residues</t>
  </si>
  <si>
    <t>Net import - wood pellets</t>
  </si>
  <si>
    <t>Post-consumer wood</t>
  </si>
  <si>
    <t>Unknown</t>
  </si>
  <si>
    <t>JRC (https://publications.jrc.ec.europa.eu/repository/handle/JRC128384#:~:text=The%20EU%20Biomass%20Flows%20tool,Assessment%20study%20of%20the%20JRC.)</t>
  </si>
  <si>
    <t>1000 m3</t>
  </si>
  <si>
    <t>Demand</t>
  </si>
  <si>
    <t>Sawmill industry - conifer</t>
  </si>
  <si>
    <t>Sawmill industry - non-conifer</t>
  </si>
  <si>
    <t>Veneer sheets</t>
  </si>
  <si>
    <t>Plywood</t>
  </si>
  <si>
    <t>Particle board</t>
  </si>
  <si>
    <t>Fiberboard</t>
  </si>
  <si>
    <t>Mechanical pulp</t>
  </si>
  <si>
    <t>Chemical pulp</t>
  </si>
  <si>
    <t>Semi-chemical pulp</t>
  </si>
  <si>
    <t>Dissolving pulp</t>
  </si>
  <si>
    <t>Wood pellets</t>
  </si>
  <si>
    <t>Direct wood</t>
  </si>
  <si>
    <t>indirect wood</t>
  </si>
  <si>
    <t>unknown wood</t>
  </si>
  <si>
    <t>Total supply and demand</t>
  </si>
  <si>
    <t>Supply - imports</t>
  </si>
  <si>
    <t>Supply - secondary sources</t>
  </si>
  <si>
    <t>Supply - primary (harvest)</t>
  </si>
  <si>
    <t>Supply - unknown</t>
  </si>
  <si>
    <t>Demand - material use</t>
  </si>
  <si>
    <t>Demand - energy use</t>
  </si>
  <si>
    <t>10^6 m3</t>
  </si>
  <si>
    <t>2009-2017</t>
  </si>
  <si>
    <t>Total demand</t>
  </si>
  <si>
    <t>How demand was met</t>
  </si>
  <si>
    <t>increased unknown</t>
  </si>
  <si>
    <t>increased imports</t>
  </si>
  <si>
    <t>increased secondary sources</t>
  </si>
  <si>
    <t>increased harvest</t>
  </si>
  <si>
    <t>Forests</t>
  </si>
  <si>
    <t>Grasslands</t>
  </si>
  <si>
    <t>LULUCF Regulation IA</t>
  </si>
  <si>
    <t>Average 2031-2050</t>
  </si>
  <si>
    <t>afforestation</t>
  </si>
  <si>
    <t>deforestation</t>
  </si>
  <si>
    <t>Total emissions</t>
  </si>
  <si>
    <t>Net annual increment (NAI)</t>
  </si>
  <si>
    <t>Average 2005-2022</t>
  </si>
  <si>
    <t>Average 2018-2022</t>
  </si>
  <si>
    <t>Average 2023-2030</t>
  </si>
  <si>
    <t>Afforestation</t>
  </si>
  <si>
    <t>Net afforestation</t>
  </si>
  <si>
    <t>linear trajectory to benchmark</t>
  </si>
  <si>
    <t>Total forest sink</t>
  </si>
  <si>
    <t>Wood harvesting</t>
  </si>
  <si>
    <t>CTP IA figure 10</t>
  </si>
  <si>
    <t>2005-2021</t>
  </si>
  <si>
    <t>Average 2005-2021</t>
  </si>
  <si>
    <t>total</t>
  </si>
  <si>
    <t>Living biomass sink</t>
  </si>
  <si>
    <t>Other sink</t>
  </si>
  <si>
    <t>Deadwood, litter and soil sink</t>
  </si>
  <si>
    <t>CTP IA fig 10</t>
  </si>
  <si>
    <t>additional effort to 2030</t>
  </si>
  <si>
    <t>2023 GHG inventory</t>
  </si>
  <si>
    <t>IA figure</t>
  </si>
  <si>
    <t>GHG inventory</t>
  </si>
  <si>
    <t>CTP IA</t>
  </si>
  <si>
    <t>Total LULUCF</t>
  </si>
  <si>
    <t>forests</t>
  </si>
  <si>
    <t>Use for energy</t>
  </si>
  <si>
    <t>Forest stemwood</t>
  </si>
  <si>
    <t>CTP IA figure 79</t>
  </si>
  <si>
    <t>Mtoe</t>
  </si>
  <si>
    <t>Forest residues</t>
  </si>
  <si>
    <t>energy content</t>
  </si>
  <si>
    <t>http://woodenergy.ie/media/coford/content/publications/projectreports/cofordconnects/ht21.pdf</t>
  </si>
  <si>
    <t>GJ/m3</t>
  </si>
  <si>
    <t>toe/m3</t>
  </si>
  <si>
    <t>Primary solid biofuels</t>
  </si>
  <si>
    <t>Charcoal</t>
  </si>
  <si>
    <t>Pure biogasoline</t>
  </si>
  <si>
    <t>Blended biogasoline</t>
  </si>
  <si>
    <t>Pure biodiesels</t>
  </si>
  <si>
    <t>Blended biodiesels</t>
  </si>
  <si>
    <t>Pure bio jet kerosene</t>
  </si>
  <si>
    <t>Blended bio jet kerosene</t>
  </si>
  <si>
    <t>Other liquid biofuels</t>
  </si>
  <si>
    <t>Biogases</t>
  </si>
  <si>
    <t>Graph feed</t>
  </si>
  <si>
    <t>TWh</t>
  </si>
  <si>
    <t>Final consumption - industry sector - energy use</t>
  </si>
  <si>
    <t>Final consumption - transport sector - energy use</t>
  </si>
  <si>
    <t>Final consumption - other sectors - energy use</t>
  </si>
  <si>
    <t>Transformation input - energy use</t>
  </si>
  <si>
    <t>Final consumption - other sectors - commercial and public services - energy use</t>
  </si>
  <si>
    <t>Final consumption - other sectors - households - energy use</t>
  </si>
  <si>
    <t>GWh</t>
  </si>
  <si>
    <t>energy balance</t>
  </si>
  <si>
    <t>Power and heat</t>
  </si>
  <si>
    <t>Industry</t>
  </si>
  <si>
    <t>Transport</t>
  </si>
  <si>
    <t>Residential</t>
  </si>
  <si>
    <t>Historic data</t>
  </si>
  <si>
    <t>Benchmark data</t>
  </si>
  <si>
    <t>BSL</t>
  </si>
  <si>
    <t>MIX-50</t>
  </si>
  <si>
    <t>CPRICE</t>
  </si>
  <si>
    <t>ALLBNK</t>
  </si>
  <si>
    <t>Power</t>
  </si>
  <si>
    <t>Road Transport</t>
  </si>
  <si>
    <t>Air Transport</t>
  </si>
  <si>
    <t>Service &amp; Agriculture</t>
  </si>
  <si>
    <t>Maritime Navigation</t>
  </si>
  <si>
    <t>Source CTP IA Figure 77: Use of bioenergy by sector and by scenario</t>
  </si>
  <si>
    <t>Unit: Mtoe</t>
  </si>
  <si>
    <t>Other sectors</t>
  </si>
  <si>
    <t>2040 advice scenarios</t>
  </si>
  <si>
    <t>2040 report primary bioenergy (90-95% env friendly scenarios)</t>
  </si>
  <si>
    <t>Model</t>
  </si>
  <si>
    <t>Scenario</t>
  </si>
  <si>
    <t>Variable</t>
  </si>
  <si>
    <t>2006</t>
  </si>
  <si>
    <t>2007</t>
  </si>
  <si>
    <t>2008</t>
  </si>
  <si>
    <t>2009</t>
  </si>
  <si>
    <t>2011</t>
  </si>
  <si>
    <t>2012</t>
  </si>
  <si>
    <t>2013</t>
  </si>
  <si>
    <t>2014</t>
  </si>
  <si>
    <t>2016</t>
  </si>
  <si>
    <t>2017</t>
  </si>
  <si>
    <t>2018</t>
  </si>
  <si>
    <t>2019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</si>
  <si>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</si>
  <si>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</si>
  <si>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</si>
  <si>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</si>
  <si>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</si>
  <si>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</si>
  <si>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</si>
  <si>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</si>
  <si>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</si>
  <si>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</si>
  <si>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</si>
  <si>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</si>
  <si>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</si>
  <si>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</si>
  <si>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</si>
  <si>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</si>
  <si>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</si>
  <si>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</si>
  <si>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</si>
  <si>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</si>
  <si>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</si>
  <si>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</si>
  <si>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</si>
  <si>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</si>
  <si>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</si>
  <si>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</si>
  <si>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</si>
  <si>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</si>
  <si>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</si>
  <si>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</si>
  <si>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</si>
  <si>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</si>
  <si>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</si>
  <si>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</si>
  <si>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</si>
  <si>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</si>
  <si>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</si>
  <si>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</si>
  <si>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</si>
  <si>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</si>
  <si>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</si>
  <si>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</si>
  <si>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</si>
  <si>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</si>
  <si>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</si>
  <si>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</si>
  <si>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</si>
  <si>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</si>
  <si>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</si>
  <si>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</si>
  <si>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</si>
  <si>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</si>
  <si>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</si>
  <si>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</si>
  <si>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</si>
  <si>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</si>
  <si>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</si>
  <si>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</si>
  <si>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</si>
  <si>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</si>
  <si>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</si>
  <si>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</si>
  <si>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</si>
  <si>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</si>
  <si>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</si>
  <si>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</si>
  <si>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</si>
  <si>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</si>
  <si>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</si>
  <si>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</si>
  <si>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</si>
  <si>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</si>
  <si>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</si>
  <si>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</si>
  <si>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</si>
  <si>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</si>
  <si>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</si>
  <si>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</si>
  <si>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</si>
  <si>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</si>
  <si>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REMIND 3.2</t>
  </si>
  <si>
    <t>NZero_bioLim7p5_withICEPhOP</t>
  </si>
  <si>
    <t>Diagnostics|Harmonized|Primary Energy|Biomass</t>
  </si>
  <si>
    <t>EJ/yr</t>
  </si>
  <si>
    <t>def_bioLim7p5_300_withICEPhOP</t>
  </si>
  <si>
    <t>def_bioLim7p5_500_withICEPhOP</t>
  </si>
  <si>
    <t>flex_bioLim7p5_300_withICEPhOP</t>
  </si>
  <si>
    <t>flex_bioLim7p5_500_withICEPhOP</t>
  </si>
  <si>
    <t>rigid_bioLim7p5_500_withICEPhOP</t>
  </si>
  <si>
    <t>Conversion (TWh per Mtoe)</t>
  </si>
  <si>
    <t>Conversion (TWh per EJ)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</si>
</sst>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0.0"/>
    <numFmt numFmtId="165" formatCode="###0.00_)"/>
    <numFmt numFmtId="166" formatCode="#,##0_)"/>
    <numFmt numFmtId="167" formatCode="#,##0.0_i"/>
    <numFmt numFmtId="168" formatCode="_-* #,##0.00\ _€_-;\-* #,##0.00\ _€_-;_-* &quot;-&quot;??\ _€_-;_-@_-"/>
    <numFmt numFmtId="169" formatCode="???,???.00"/>
    <numFmt numFmtId="170" formatCode="#,##0.0000"/>
    <numFmt numFmtId="171" formatCode="#,##0.0"/>
    <numFmt numFmtId="172" formatCode="#,##0.##########"/>
    <numFmt numFmtId="173" formatCode="#,##0.000"/>
  </numFmts>
  <fonts count="5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rgb="FF000000"/>
      <name val="Calibri"/>
      <family val="2"/>
    </font>
    <font>
      <sz val="10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Arial"/>
      <family val="2"/>
    </font>
    <font>
      <b/>
      <sz val="10"/>
      <color indexed="18"/>
      <name val="Arial"/>
      <family val="2"/>
    </font>
    <font>
      <b/>
      <sz val="10"/>
      <color indexed="8"/>
      <name val="Arial"/>
      <family val="2"/>
    </font>
    <font>
      <sz val="11"/>
      <name val="Arial"/>
      <family val="2"/>
    </font>
    <font>
      <b/>
      <sz val="14"/>
      <name val="Helv"/>
    </font>
    <font>
      <b/>
      <sz val="10"/>
      <name val="Helv"/>
    </font>
    <font>
      <sz val="10"/>
      <name val="Helv"/>
    </font>
    <font>
      <sz val="12"/>
      <name val="Helv"/>
    </font>
    <font>
      <b/>
      <sz val="12"/>
      <name val="Helv"/>
    </font>
    <font>
      <sz val="9"/>
      <name val="Helv"/>
    </font>
    <font>
      <vertAlign val="superscript"/>
      <sz val="12"/>
      <name val="Helv"/>
    </font>
    <font>
      <b/>
      <sz val="9"/>
      <name val="Helv"/>
    </font>
    <font>
      <sz val="8.5"/>
      <name val="Helv"/>
    </font>
    <font>
      <sz val="8"/>
      <name val="Helv"/>
    </font>
    <font>
      <sz val="11"/>
      <color rgb="FF9C6500"/>
      <name val="Calibri"/>
      <family val="2"/>
      <scheme val="minor"/>
    </font>
    <font>
      <sz val="9"/>
      <color theme="1"/>
      <name val="Arial"/>
      <family val="2"/>
    </font>
    <font>
      <b/>
      <sz val="18"/>
      <color theme="3"/>
      <name val="Calibri Light"/>
      <family val="2"/>
      <scheme val="major"/>
    </font>
    <font>
      <sz val="8"/>
      <name val="Arial"/>
      <family val="2"/>
      <charset val="161"/>
    </font>
    <font>
      <sz val="9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8"/>
      <name val="Helvetica"/>
    </font>
    <font>
      <b/>
      <sz val="12"/>
      <color indexed="10"/>
      <name val="Arial"/>
      <family val="2"/>
    </font>
    <font>
      <sz val="10"/>
      <name val="Arial"/>
      <family val="2"/>
      <charset val="161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name val="Calibri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</fonts>
  <fills count="6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9"/>
      </patternFill>
    </fill>
    <fill>
      <patternFill patternType="solid">
        <fgColor indexed="22"/>
        <bgColor indexed="55"/>
      </patternFill>
    </fill>
    <fill>
      <patternFill patternType="lightGray">
        <fgColor indexed="9"/>
      </patternFill>
    </fill>
    <fill>
      <patternFill patternType="gray0625">
        <fgColor indexed="9"/>
      </patternFill>
    </fill>
    <fill>
      <patternFill patternType="solid">
        <fgColor indexed="22"/>
        <bgColor indexed="64"/>
      </patternFill>
    </fill>
    <fill>
      <patternFill patternType="darkTrellis"/>
    </fill>
    <fill>
      <patternFill patternType="solid">
        <fgColor rgb="FFFFFF00"/>
        <bgColor rgb="FF000000"/>
      </patternFill>
    </fill>
    <fill>
      <patternFill patternType="solid">
        <fgColor rgb="FF608C95"/>
        <bgColor rgb="FF000000"/>
      </patternFill>
    </fill>
    <fill>
      <patternFill patternType="solid">
        <fgColor rgb="FF3D5584"/>
        <bgColor rgb="FF000000"/>
      </patternFill>
    </fill>
    <fill>
      <patternFill patternType="solid">
        <fgColor rgb="FF648ECA"/>
        <bgColor rgb="FF000000"/>
      </patternFill>
    </fill>
    <fill>
      <patternFill patternType="solid">
        <fgColor rgb="FF98C9EE"/>
        <bgColor rgb="FF000000"/>
      </patternFill>
    </fill>
    <fill>
      <patternFill patternType="solid">
        <fgColor rgb="FFA2C0B6"/>
        <bgColor rgb="FF000000"/>
      </patternFill>
    </fill>
    <fill>
      <patternFill patternType="solid">
        <fgColor rgb="FF64786A"/>
        <bgColor rgb="FF000000"/>
      </patternFill>
    </fill>
    <fill>
      <patternFill patternType="solid">
        <fgColor rgb="FF2E422F"/>
        <bgColor rgb="FF000000"/>
      </patternFill>
    </fill>
    <fill>
      <patternFill patternType="solid">
        <fgColor rgb="FFEFE973"/>
        <bgColor rgb="FF000000"/>
      </patternFill>
    </fill>
    <fill>
      <patternFill patternType="solid">
        <fgColor rgb="FFF59E2D"/>
        <bgColor rgb="FF000000"/>
      </patternFill>
    </fill>
    <fill>
      <patternFill patternType="solid">
        <fgColor rgb="FFF26119"/>
        <bgColor rgb="FF000000"/>
      </patternFill>
    </fill>
    <fill>
      <patternFill patternType="solid">
        <fgColor rgb="FFB04545"/>
        <bgColor rgb="FF000000"/>
      </patternFill>
    </fill>
    <fill>
      <patternFill patternType="solid">
        <fgColor rgb="FFF0CBD9"/>
        <bgColor rgb="FF000000"/>
      </patternFill>
    </fill>
    <fill>
      <patternFill patternType="solid">
        <fgColor rgb="FFB487C7"/>
        <bgColor rgb="FF000000"/>
      </patternFill>
    </fill>
    <fill>
      <patternFill patternType="solid">
        <fgColor rgb="FF4F3A66"/>
        <bgColor rgb="FF000000"/>
      </patternFill>
    </fill>
    <fill>
      <patternFill patternType="solid">
        <fgColor rgb="FF2C2D2D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D5584"/>
        <bgColor indexed="64"/>
      </patternFill>
    </fill>
    <fill>
      <patternFill patternType="solid">
        <fgColor rgb="FFDCE6F1"/>
      </patternFill>
    </fill>
    <fill>
      <patternFill patternType="solid">
        <fgColor rgb="FFF6F6F6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70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0"/>
    <xf numFmtId="0" fontId="5" fillId="0" borderId="0"/>
    <xf numFmtId="0" fontId="6" fillId="0" borderId="0"/>
    <xf numFmtId="0" fontId="7" fillId="0" borderId="0"/>
    <xf numFmtId="0" fontId="8" fillId="0" borderId="0" applyNumberFormat="0" applyFill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6" applyNumberFormat="0" applyAlignment="0" applyProtection="0"/>
    <xf numFmtId="0" fontId="16" fillId="7" borderId="7" applyNumberFormat="0" applyAlignment="0" applyProtection="0"/>
    <xf numFmtId="0" fontId="17" fillId="7" borderId="6" applyNumberFormat="0" applyAlignment="0" applyProtection="0"/>
    <xf numFmtId="0" fontId="18" fillId="0" borderId="8" applyNumberFormat="0" applyFill="0" applyAlignment="0" applyProtection="0"/>
    <xf numFmtId="0" fontId="19" fillId="8" borderId="9" applyNumberFormat="0" applyAlignment="0" applyProtection="0"/>
    <xf numFmtId="0" fontId="20" fillId="0" borderId="0" applyNumberFormat="0" applyFill="0" applyBorder="0" applyAlignment="0" applyProtection="0"/>
    <xf numFmtId="0" fontId="1" fillId="9" borderId="10" applyNumberFormat="0" applyFont="0" applyAlignment="0" applyProtection="0"/>
    <xf numFmtId="0" fontId="21" fillId="0" borderId="0" applyNumberFormat="0" applyFill="0" applyBorder="0" applyAlignment="0" applyProtection="0"/>
    <xf numFmtId="0" fontId="4" fillId="0" borderId="11" applyNumberFormat="0" applyFill="0" applyAlignment="0" applyProtection="0"/>
    <xf numFmtId="0" fontId="2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2" fillId="33" borderId="0" applyNumberFormat="0" applyBorder="0" applyAlignment="0" applyProtection="0"/>
    <xf numFmtId="0" fontId="30" fillId="0" borderId="0">
      <alignment horizontal="center" vertical="center" wrapText="1"/>
    </xf>
    <xf numFmtId="43" fontId="7" fillId="0" borderId="0" applyFont="0" applyFill="0" applyBorder="0" applyAlignment="0" applyProtection="0"/>
    <xf numFmtId="0" fontId="31" fillId="0" borderId="0">
      <alignment horizontal="left" vertical="center" wrapText="1"/>
    </xf>
    <xf numFmtId="165" fontId="29" fillId="0" borderId="12" applyNumberFormat="0" applyFill="0">
      <alignment horizontal="right"/>
    </xf>
    <xf numFmtId="166" fontId="32" fillId="0" borderId="12">
      <alignment horizontal="right" vertical="center"/>
    </xf>
    <xf numFmtId="49" fontId="33" fillId="0" borderId="12">
      <alignment horizontal="left" vertical="center"/>
    </xf>
    <xf numFmtId="165" fontId="29" fillId="0" borderId="12" applyNumberFormat="0" applyFill="0">
      <alignment horizontal="right"/>
    </xf>
    <xf numFmtId="0" fontId="28" fillId="0" borderId="12">
      <alignment horizontal="left"/>
    </xf>
    <xf numFmtId="0" fontId="34" fillId="0" borderId="13">
      <alignment horizontal="right" vertical="center"/>
    </xf>
    <xf numFmtId="0" fontId="35" fillId="0" borderId="12">
      <alignment horizontal="left" vertical="center"/>
    </xf>
    <xf numFmtId="0" fontId="29" fillId="0" borderId="12">
      <alignment horizontal="left" vertical="center"/>
    </xf>
    <xf numFmtId="0" fontId="28" fillId="0" borderId="12">
      <alignment horizontal="left"/>
    </xf>
    <xf numFmtId="0" fontId="28" fillId="34" borderId="0">
      <alignment horizontal="centerContinuous" wrapText="1"/>
    </xf>
    <xf numFmtId="49" fontId="28" fillId="34" borderId="14">
      <alignment horizontal="left" vertical="center"/>
    </xf>
    <xf numFmtId="0" fontId="28" fillId="34" borderId="0">
      <alignment horizontal="centerContinuous" vertical="center" wrapText="1"/>
    </xf>
    <xf numFmtId="0" fontId="37" fillId="5" borderId="0" applyNumberFormat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7" fillId="0" borderId="0"/>
    <xf numFmtId="0" fontId="1" fillId="0" borderId="0"/>
    <xf numFmtId="0" fontId="1" fillId="9" borderId="10" applyNumberFormat="0" applyFont="0" applyAlignment="0" applyProtection="0"/>
    <xf numFmtId="0" fontId="1" fillId="9" borderId="10" applyNumberFormat="0" applyFont="0" applyAlignment="0" applyProtection="0"/>
    <xf numFmtId="0" fontId="1" fillId="9" borderId="10" applyNumberFormat="0" applyFont="0" applyAlignment="0" applyProtection="0"/>
    <xf numFmtId="167" fontId="38" fillId="0" borderId="0" applyFill="0" applyBorder="0" applyProtection="0">
      <alignment horizontal="right"/>
    </xf>
    <xf numFmtId="3" fontId="32" fillId="0" borderId="0">
      <alignment horizontal="left" vertical="center"/>
    </xf>
    <xf numFmtId="0" fontId="30" fillId="0" borderId="0">
      <alignment horizontal="left" vertical="center"/>
    </xf>
    <xf numFmtId="0" fontId="36" fillId="0" borderId="0">
      <alignment horizontal="right"/>
    </xf>
    <xf numFmtId="49" fontId="36" fillId="0" borderId="0">
      <alignment horizontal="center"/>
    </xf>
    <xf numFmtId="0" fontId="33" fillId="0" borderId="0">
      <alignment horizontal="right"/>
    </xf>
    <xf numFmtId="0" fontId="36" fillId="0" borderId="0">
      <alignment horizontal="left"/>
    </xf>
    <xf numFmtId="0" fontId="23" fillId="0" borderId="0"/>
    <xf numFmtId="49" fontId="32" fillId="0" borderId="0">
      <alignment horizontal="left" vertical="center"/>
    </xf>
    <xf numFmtId="49" fontId="33" fillId="0" borderId="12">
      <alignment horizontal="left"/>
    </xf>
    <xf numFmtId="165" fontId="32" fillId="0" borderId="0" applyNumberFormat="0">
      <alignment horizontal="right"/>
    </xf>
    <xf numFmtId="0" fontId="34" fillId="35" borderId="0">
      <alignment horizontal="centerContinuous" vertical="center" wrapText="1"/>
    </xf>
    <xf numFmtId="0" fontId="34" fillId="0" borderId="15">
      <alignment horizontal="left" vertical="center"/>
    </xf>
    <xf numFmtId="0" fontId="27" fillId="0" borderId="0">
      <alignment horizontal="left" vertical="top"/>
    </xf>
    <xf numFmtId="0" fontId="3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28" fillId="0" borderId="0">
      <alignment horizontal="left"/>
    </xf>
    <xf numFmtId="0" fontId="31" fillId="0" borderId="0">
      <alignment horizontal="left"/>
    </xf>
    <xf numFmtId="0" fontId="29" fillId="0" borderId="0">
      <alignment horizontal="left"/>
    </xf>
    <xf numFmtId="0" fontId="27" fillId="0" borderId="0">
      <alignment horizontal="left" vertical="top"/>
    </xf>
    <xf numFmtId="0" fontId="31" fillId="0" borderId="0">
      <alignment horizontal="left"/>
    </xf>
    <xf numFmtId="0" fontId="29" fillId="0" borderId="0">
      <alignment horizontal="left"/>
    </xf>
    <xf numFmtId="0" fontId="24" fillId="36" borderId="0" applyNumberFormat="0" applyBorder="0">
      <protection locked="0"/>
    </xf>
    <xf numFmtId="0" fontId="25" fillId="37" borderId="0" applyNumberFormat="0" applyBorder="0">
      <protection locked="0"/>
    </xf>
    <xf numFmtId="49" fontId="32" fillId="0" borderId="12">
      <alignment horizontal="left"/>
    </xf>
    <xf numFmtId="0" fontId="34" fillId="0" borderId="13">
      <alignment horizontal="left"/>
    </xf>
    <xf numFmtId="0" fontId="28" fillId="0" borderId="0">
      <alignment horizontal="left" vertical="center"/>
    </xf>
    <xf numFmtId="49" fontId="36" fillId="0" borderId="12">
      <alignment horizontal="left"/>
    </xf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7" fillId="0" borderId="0"/>
    <xf numFmtId="168" fontId="7" fillId="0" borderId="0" applyFont="0" applyFill="0" applyBorder="0" applyAlignment="0" applyProtection="0"/>
    <xf numFmtId="0" fontId="1" fillId="0" borderId="0"/>
    <xf numFmtId="0" fontId="1" fillId="0" borderId="0"/>
    <xf numFmtId="0" fontId="23" fillId="0" borderId="0"/>
    <xf numFmtId="9" fontId="23" fillId="0" borderId="0" applyFont="0" applyFill="0" applyBorder="0" applyAlignment="0" applyProtection="0"/>
    <xf numFmtId="9" fontId="7" fillId="0" borderId="0" applyFont="0" applyFill="0" applyBorder="0" applyAlignment="0" applyProtection="0"/>
    <xf numFmtId="169" fontId="41" fillId="0" borderId="0" applyNumberFormat="0" applyProtection="0">
      <alignment horizontal="center" vertical="center"/>
    </xf>
    <xf numFmtId="49" fontId="42" fillId="0" borderId="16" applyNumberFormat="0" applyFont="0" applyFill="0" applyBorder="0" applyProtection="0">
      <alignment horizontal="left" vertical="center" indent="5"/>
    </xf>
    <xf numFmtId="4" fontId="43" fillId="0" borderId="2" applyFill="0" applyBorder="0" applyProtection="0">
      <alignment horizontal="right" vertical="center"/>
    </xf>
    <xf numFmtId="43" fontId="1" fillId="0" borderId="0" applyFont="0" applyFill="0" applyBorder="0" applyAlignment="0" applyProtection="0"/>
    <xf numFmtId="0" fontId="44" fillId="0" borderId="0" applyNumberFormat="0" applyFill="0" applyBorder="0" applyAlignment="0" applyProtection="0"/>
    <xf numFmtId="0" fontId="23" fillId="0" borderId="0"/>
    <xf numFmtId="4" fontId="42" fillId="0" borderId="1" applyFill="0" applyBorder="0" applyProtection="0">
      <alignment horizontal="right" vertical="center"/>
    </xf>
    <xf numFmtId="0" fontId="42" fillId="0" borderId="1" applyNumberFormat="0" applyFill="0" applyAlignment="0" applyProtection="0"/>
    <xf numFmtId="0" fontId="45" fillId="38" borderId="0" applyNumberFormat="0" applyFont="0" applyBorder="0" applyAlignment="0" applyProtection="0"/>
    <xf numFmtId="170" fontId="42" fillId="39" borderId="1" applyNumberFormat="0" applyFont="0" applyBorder="0" applyAlignment="0" applyProtection="0">
      <alignment horizontal="right" vertical="center"/>
    </xf>
    <xf numFmtId="0" fontId="46" fillId="0" borderId="17">
      <alignment horizontal="center"/>
      <protection hidden="1"/>
    </xf>
    <xf numFmtId="0" fontId="47" fillId="0" borderId="0"/>
    <xf numFmtId="0" fontId="40" fillId="0" borderId="0"/>
    <xf numFmtId="0" fontId="7" fillId="0" borderId="0"/>
    <xf numFmtId="43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48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2" fillId="0" borderId="0"/>
  </cellStyleXfs>
  <cellXfs count="70">
    <xf numFmtId="0" fontId="0" fillId="0" borderId="0" xfId="0"/>
    <xf numFmtId="1" fontId="0" fillId="0" borderId="0" xfId="0" applyNumberFormat="1"/>
    <xf numFmtId="9" fontId="0" fillId="0" borderId="0" xfId="1" applyFont="1"/>
    <xf numFmtId="3" fontId="0" fillId="0" borderId="0" xfId="0" applyNumberFormat="1"/>
    <xf numFmtId="0" fontId="2" fillId="2" borderId="0" xfId="0" applyFont="1" applyFill="1"/>
    <xf numFmtId="0" fontId="0" fillId="2" borderId="0" xfId="0" applyFill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9" fillId="0" borderId="0" xfId="0" applyFont="1"/>
    <xf numFmtId="0" fontId="50" fillId="0" borderId="0" xfId="0" applyFont="1"/>
    <xf numFmtId="0" fontId="49" fillId="0" borderId="0" xfId="0" applyFont="1" applyAlignment="1">
      <alignment horizontal="right"/>
    </xf>
    <xf numFmtId="9" fontId="49" fillId="0" borderId="0" xfId="0" applyNumberFormat="1" applyFont="1"/>
    <xf numFmtId="0" fontId="49" fillId="40" borderId="0" xfId="0" applyFont="1" applyFill="1"/>
    <xf numFmtId="0" fontId="49" fillId="41" borderId="0" xfId="0" applyFont="1" applyFill="1"/>
    <xf numFmtId="0" fontId="51" fillId="42" borderId="0" xfId="0" applyFont="1" applyFill="1"/>
    <xf numFmtId="0" fontId="49" fillId="43" borderId="0" xfId="0" applyFont="1" applyFill="1"/>
    <xf numFmtId="0" fontId="49" fillId="44" borderId="0" xfId="0" applyFont="1" applyFill="1"/>
    <xf numFmtId="0" fontId="49" fillId="45" borderId="0" xfId="0" applyFont="1" applyFill="1"/>
    <xf numFmtId="0" fontId="49" fillId="46" borderId="0" xfId="0" applyFont="1" applyFill="1"/>
    <xf numFmtId="0" fontId="49" fillId="47" borderId="0" xfId="0" applyFont="1" applyFill="1"/>
    <xf numFmtId="0" fontId="49" fillId="48" borderId="0" xfId="0" applyFont="1" applyFill="1"/>
    <xf numFmtId="0" fontId="49" fillId="49" borderId="0" xfId="0" applyFont="1" applyFill="1"/>
    <xf numFmtId="0" fontId="49" fillId="50" borderId="0" xfId="0" applyFont="1" applyFill="1"/>
    <xf numFmtId="0" fontId="49" fillId="51" borderId="0" xfId="0" applyFont="1" applyFill="1"/>
    <xf numFmtId="0" fontId="49" fillId="52" borderId="0" xfId="0" applyFont="1" applyFill="1"/>
    <xf numFmtId="0" fontId="49" fillId="53" borderId="0" xfId="0" applyFont="1" applyFill="1"/>
    <xf numFmtId="0" fontId="49" fillId="54" borderId="0" xfId="0" applyFont="1" applyFill="1"/>
    <xf numFmtId="0" fontId="49" fillId="55" borderId="0" xfId="0" applyFont="1" applyFill="1"/>
    <xf numFmtId="0" fontId="53" fillId="0" borderId="0" xfId="169" applyFont="1" applyAlignment="1">
      <alignment horizontal="left" vertical="top"/>
    </xf>
    <xf numFmtId="3" fontId="53" fillId="0" borderId="0" xfId="169" applyNumberFormat="1" applyFont="1" applyAlignment="1">
      <alignment vertical="center"/>
    </xf>
    <xf numFmtId="0" fontId="0" fillId="56" borderId="0" xfId="0" applyFill="1"/>
    <xf numFmtId="0" fontId="2" fillId="56" borderId="0" xfId="0" applyFont="1" applyFill="1"/>
    <xf numFmtId="2" fontId="0" fillId="0" borderId="0" xfId="0" applyNumberFormat="1"/>
    <xf numFmtId="0" fontId="54" fillId="0" borderId="0" xfId="169" applyFont="1" applyAlignment="1">
      <alignment horizontal="left" vertical="top"/>
    </xf>
    <xf numFmtId="3" fontId="54" fillId="0" borderId="0" xfId="2" applyNumberFormat="1" applyFont="1" applyAlignment="1">
      <alignment vertical="center"/>
    </xf>
    <xf numFmtId="3" fontId="54" fillId="0" borderId="0" xfId="169" applyNumberFormat="1" applyFont="1" applyAlignment="1">
      <alignment vertical="center"/>
    </xf>
    <xf numFmtId="0" fontId="0" fillId="57" borderId="0" xfId="0" applyFill="1"/>
    <xf numFmtId="0" fontId="0" fillId="57" borderId="0" xfId="0" applyFill="1" applyAlignment="1">
      <alignment horizontal="center"/>
    </xf>
    <xf numFmtId="0" fontId="4" fillId="0" borderId="0" xfId="0" applyFont="1"/>
    <xf numFmtId="164" fontId="0" fillId="0" borderId="0" xfId="0" applyNumberFormat="1"/>
    <xf numFmtId="0" fontId="2" fillId="58" borderId="0" xfId="0" applyFont="1" applyFill="1"/>
    <xf numFmtId="0" fontId="0" fillId="58" borderId="0" xfId="0" applyFill="1"/>
    <xf numFmtId="0" fontId="0" fillId="0" borderId="0" xfId="0" applyAlignment="1">
      <alignment horizontal="center" vertical="center"/>
    </xf>
    <xf numFmtId="0" fontId="2" fillId="57" borderId="0" xfId="0" applyFont="1" applyFill="1"/>
    <xf numFmtId="0" fontId="0" fillId="0" borderId="0" xfId="0" applyAlignment="1">
      <alignment horizontal="left"/>
    </xf>
    <xf numFmtId="0" fontId="2" fillId="59" borderId="0" xfId="0" applyFont="1" applyFill="1"/>
    <xf numFmtId="171" fontId="0" fillId="0" borderId="0" xfId="0" applyNumberFormat="1"/>
    <xf numFmtId="0" fontId="0" fillId="60" borderId="0" xfId="0" applyFill="1" applyAlignment="1">
      <alignment horizontal="center"/>
    </xf>
    <xf numFmtId="3" fontId="0" fillId="60" borderId="0" xfId="0" applyNumberFormat="1" applyFill="1"/>
    <xf numFmtId="0" fontId="0" fillId="60" borderId="0" xfId="0" applyFill="1"/>
    <xf numFmtId="1" fontId="0" fillId="60" borderId="0" xfId="0" applyNumberFormat="1" applyFill="1"/>
    <xf numFmtId="2" fontId="0" fillId="60" borderId="0" xfId="0" applyNumberFormat="1" applyFill="1"/>
    <xf numFmtId="3" fontId="0" fillId="61" borderId="0" xfId="0" applyNumberFormat="1" applyFill="1"/>
    <xf numFmtId="1" fontId="0" fillId="61" borderId="0" xfId="0" applyNumberFormat="1" applyFill="1"/>
    <xf numFmtId="0" fontId="2" fillId="62" borderId="0" xfId="0" applyFont="1" applyFill="1"/>
    <xf numFmtId="172" fontId="56" fillId="0" borderId="0" xfId="0" applyNumberFormat="1" applyFont="1" applyAlignment="1">
      <alignment horizontal="right" vertical="center" shrinkToFit="1"/>
    </xf>
    <xf numFmtId="3" fontId="56" fillId="0" borderId="0" xfId="0" applyNumberFormat="1" applyFont="1" applyAlignment="1">
      <alignment horizontal="right" vertical="center" shrinkToFit="1"/>
    </xf>
    <xf numFmtId="173" fontId="56" fillId="0" borderId="0" xfId="0" applyNumberFormat="1" applyFont="1" applyAlignment="1">
      <alignment horizontal="right" vertical="center" shrinkToFit="1"/>
    </xf>
    <xf numFmtId="172" fontId="56" fillId="64" borderId="0" xfId="0" applyNumberFormat="1" applyFont="1" applyFill="1" applyAlignment="1">
      <alignment horizontal="right" vertical="center" shrinkToFit="1"/>
    </xf>
    <xf numFmtId="3" fontId="56" fillId="64" borderId="0" xfId="0" applyNumberFormat="1" applyFont="1" applyFill="1" applyAlignment="1">
      <alignment horizontal="right" vertical="center" shrinkToFit="1"/>
    </xf>
    <xf numFmtId="173" fontId="56" fillId="64" borderId="0" xfId="0" applyNumberFormat="1" applyFont="1" applyFill="1" applyAlignment="1">
      <alignment horizontal="right" vertical="center" shrinkToFit="1"/>
    </xf>
    <xf numFmtId="0" fontId="55" fillId="63" borderId="18" xfId="4" applyFont="1" applyFill="1" applyBorder="1" applyAlignment="1">
      <alignment horizontal="left" vertical="center"/>
    </xf>
    <xf numFmtId="172" fontId="56" fillId="0" borderId="0" xfId="4" applyNumberFormat="1" applyFont="1" applyAlignment="1">
      <alignment horizontal="right" vertical="center" shrinkToFit="1"/>
    </xf>
    <xf numFmtId="172" fontId="56" fillId="64" borderId="0" xfId="4" applyNumberFormat="1" applyFont="1" applyFill="1" applyAlignment="1">
      <alignment horizontal="right" vertical="center" shrinkToFit="1"/>
    </xf>
    <xf numFmtId="173" fontId="56" fillId="0" borderId="0" xfId="4" applyNumberFormat="1" applyFont="1" applyAlignment="1">
      <alignment horizontal="right" vertical="center" shrinkToFit="1"/>
    </xf>
    <xf numFmtId="173" fontId="56" fillId="64" borderId="0" xfId="4" applyNumberFormat="1" applyFont="1" applyFill="1" applyAlignment="1">
      <alignment horizontal="right" vertical="center" shrinkToFit="1"/>
    </xf>
    <xf numFmtId="0" fontId="57" fillId="57" borderId="0" xfId="0" applyFont="1" applyFill="1"/>
    <xf numFmtId="0" fontId="0" fillId="61" borderId="0" xfId="0" applyFill="1"/>
    <xf numFmtId="0" fontId="4" fillId="0" borderId="1" xfId="0" applyFont="1" applyBorder="1" applyAlignment="1">
      <alignment horizontal="center" vertical="top"/>
    </xf>
    <xf numFmtId="0" fontId="0" fillId="61" borderId="0" xfId="0" applyFill="1" applyAlignment="1">
      <alignment horizontal="center"/>
    </xf>
  </cellXfs>
  <cellStyles count="170">
    <cellStyle name="20% - Accent1" xfId="25" builtinId="30" customBuiltin="1"/>
    <cellStyle name="20% - Accent1 2" xfId="48" xr:uid="{EF349DA7-B6E5-4DC5-B767-B6D92AF7E3EC}"/>
    <cellStyle name="20% - Accent1 3" xfId="49" xr:uid="{37799E49-DBAE-4CD5-A067-E42A578A473C}"/>
    <cellStyle name="20% - Accent2" xfId="29" builtinId="34" customBuiltin="1"/>
    <cellStyle name="20% - Accent2 2" xfId="50" xr:uid="{7CECD539-D3CA-4E15-AC9C-D235FA850490}"/>
    <cellStyle name="20% - Accent2 3" xfId="51" xr:uid="{57C6823C-0F62-4670-9A16-CBAC8C50E5D8}"/>
    <cellStyle name="20% - Accent3" xfId="33" builtinId="38" customBuiltin="1"/>
    <cellStyle name="20% - Accent3 2" xfId="52" xr:uid="{885CBCE4-EA76-43E4-8632-BD033B5D73C4}"/>
    <cellStyle name="20% - Accent3 3" xfId="53" xr:uid="{47556736-6C9D-430C-86B6-3B2EBE9D5966}"/>
    <cellStyle name="20% - Accent4" xfId="37" builtinId="42" customBuiltin="1"/>
    <cellStyle name="20% - Accent4 2" xfId="54" xr:uid="{73353521-A73B-44F8-BBDB-5633077675C4}"/>
    <cellStyle name="20% - Accent4 3" xfId="55" xr:uid="{493AE928-2EFD-483A-8162-272BDA473EF0}"/>
    <cellStyle name="20% - Accent5" xfId="41" builtinId="46" customBuiltin="1"/>
    <cellStyle name="20% - Accent5 2" xfId="56" xr:uid="{0A74C958-C6B7-48B4-8428-C3C1CB6B4A40}"/>
    <cellStyle name="20% - Accent5 3" xfId="57" xr:uid="{EE6D92EA-4FDA-4A0A-90CA-CE55F431CBC2}"/>
    <cellStyle name="20% - Accent6" xfId="45" builtinId="50" customBuiltin="1"/>
    <cellStyle name="20% - Accent6 2" xfId="58" xr:uid="{8F33C687-E8BA-4150-AB50-6F10311B956F}"/>
    <cellStyle name="20% - Accent6 3" xfId="59" xr:uid="{4266150C-5E0C-4AF6-8DA2-1AE4872E707E}"/>
    <cellStyle name="40% - Accent1" xfId="26" builtinId="31" customBuiltin="1"/>
    <cellStyle name="40% - Accent1 2" xfId="60" xr:uid="{FD2576D1-BCFA-458F-9DB5-07D64E00509F}"/>
    <cellStyle name="40% - Accent1 3" xfId="61" xr:uid="{2435BF9E-1B3F-46EF-BC28-15EE8DD4C94A}"/>
    <cellStyle name="40% - Accent2" xfId="30" builtinId="35" customBuiltin="1"/>
    <cellStyle name="40% - Accent2 2" xfId="62" xr:uid="{04B6AEBB-7C83-49E0-BCAC-38F16B175B9B}"/>
    <cellStyle name="40% - Accent2 3" xfId="63" xr:uid="{8F91FD4E-2B27-4C63-894C-66BBF13C29B9}"/>
    <cellStyle name="40% - Accent3" xfId="34" builtinId="39" customBuiltin="1"/>
    <cellStyle name="40% - Accent3 2" xfId="64" xr:uid="{1BD7F255-F5E9-41EF-8CE5-15AE35E0F89F}"/>
    <cellStyle name="40% - Accent3 3" xfId="65" xr:uid="{48952A33-7AFE-438E-915A-E7E27EB72B4D}"/>
    <cellStyle name="40% - Accent4" xfId="38" builtinId="43" customBuiltin="1"/>
    <cellStyle name="40% - Accent4 2" xfId="66" xr:uid="{27369165-4219-413F-839B-3F95831A14FB}"/>
    <cellStyle name="40% - Accent4 3" xfId="67" xr:uid="{5DDB81E7-5A82-4FA7-A133-49EC755E72D3}"/>
    <cellStyle name="40% - Accent5" xfId="42" builtinId="47" customBuiltin="1"/>
    <cellStyle name="40% - Accent5 2" xfId="68" xr:uid="{E33EA2F3-09B9-4376-BE5C-FFF84BCBC07E}"/>
    <cellStyle name="40% - Accent5 3" xfId="69" xr:uid="{FCFFAB5E-45FC-4759-B083-AAFB565C56D8}"/>
    <cellStyle name="40% - Accent6" xfId="46" builtinId="51" customBuiltin="1"/>
    <cellStyle name="40% - Accent6 2" xfId="70" xr:uid="{AD01C7EA-54CC-4C67-BD52-1F8A19DB6570}"/>
    <cellStyle name="40% - Accent6 3" xfId="71" xr:uid="{DB26C4B2-C109-4196-B7E7-49A1ECC046CD}"/>
    <cellStyle name="5x indented GHG Textfiels" xfId="143" xr:uid="{F83D2B3E-D80F-499F-BEC3-FFF7B5C2AEBA}"/>
    <cellStyle name="60% - Accent1" xfId="27" builtinId="32" customBuiltin="1"/>
    <cellStyle name="60% - Accent1 2" xfId="72" xr:uid="{E06E8E81-3F1F-4FD5-A7E2-5A909B821531}"/>
    <cellStyle name="60% - Accent2" xfId="31" builtinId="36" customBuiltin="1"/>
    <cellStyle name="60% - Accent2 2" xfId="73" xr:uid="{11FCD26B-6226-4D8F-B666-C3A7340670DD}"/>
    <cellStyle name="60% - Accent3" xfId="35" builtinId="40" customBuiltin="1"/>
    <cellStyle name="60% - Accent3 2" xfId="74" xr:uid="{69224D30-1CB9-4042-AC47-741B3101FB6C}"/>
    <cellStyle name="60% - Accent4" xfId="39" builtinId="44" customBuiltin="1"/>
    <cellStyle name="60% - Accent4 2" xfId="75" xr:uid="{31A1600E-2ADA-4494-830E-19E470E88D31}"/>
    <cellStyle name="60% - Accent5" xfId="43" builtinId="48" customBuiltin="1"/>
    <cellStyle name="60% - Accent5 2" xfId="76" xr:uid="{EF1950ED-4FE6-4B6D-9132-67D459E99238}"/>
    <cellStyle name="60% - Accent6" xfId="47" builtinId="52" customBuiltin="1"/>
    <cellStyle name="60% - Accent6 2" xfId="77" xr:uid="{3EA7A03E-54F0-4C77-B111-82968D28AD79}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Bold GHG Numbers (0.00)" xfId="144" xr:uid="{DA4FF68C-7FF0-4CED-A5EA-0097B6EB2369}"/>
    <cellStyle name="Calculation" xfId="17" builtinId="22" customBuiltin="1"/>
    <cellStyle name="Check Cell" xfId="19" builtinId="23" customBuiltin="1"/>
    <cellStyle name="Column heading" xfId="78" xr:uid="{B7F6F0CA-8447-40B5-B305-0995BEF9DC81}"/>
    <cellStyle name="Comma 2" xfId="79" xr:uid="{E229120F-E6BF-453E-B284-ADB3C2EFF798}"/>
    <cellStyle name="Comma 2 2" xfId="160" xr:uid="{2A2288AD-3C24-4FB2-8418-F26E54997657}"/>
    <cellStyle name="Comma 2 2 2" xfId="167" xr:uid="{EB037193-A471-4CB2-9E7C-8CF3185046D6}"/>
    <cellStyle name="Comma 2 3" xfId="163" xr:uid="{E2D67C64-2CF4-4488-9A8F-645F79D74688}"/>
    <cellStyle name="Comma 2 4" xfId="145" xr:uid="{2BE6E7D8-58DF-4616-A8B4-ACC033CF8394}"/>
    <cellStyle name="Comma 3" xfId="156" xr:uid="{E12608C2-090C-409F-BF94-5C614256EB27}"/>
    <cellStyle name="Comma 3 2" xfId="157" xr:uid="{C669213E-2105-465E-96E8-2B2A1ADD5F86}"/>
    <cellStyle name="Comma 3 3" xfId="161" xr:uid="{84354EFF-D576-4FFC-A206-30B76C92195E}"/>
    <cellStyle name="Comma 3 3 2" xfId="168" xr:uid="{0F5D64C1-E285-420D-B6D8-505AE982E671}"/>
    <cellStyle name="Comma 3 4" xfId="165" xr:uid="{3D09E4A3-5CD1-455D-9B7E-C036370DE385}"/>
    <cellStyle name="Comma 4" xfId="162" xr:uid="{C701A914-F7C5-4135-8657-7A9ABA714A2D}"/>
    <cellStyle name="Comma 5" xfId="159" xr:uid="{086F30DA-0BA8-415D-B817-1952049D5F8A}"/>
    <cellStyle name="Corner heading" xfId="80" xr:uid="{330ED3DB-6560-4052-B4DE-F68437890C69}"/>
    <cellStyle name="Data" xfId="81" xr:uid="{B3481D78-FAE6-4498-BEB0-B4E42369CD22}"/>
    <cellStyle name="Data no deci" xfId="82" xr:uid="{77489161-3B29-4346-8823-96B2E8044414}"/>
    <cellStyle name="Data Superscript" xfId="83" xr:uid="{F640F237-610A-48A7-BE88-46296592F176}"/>
    <cellStyle name="Data_1-1A-Regular" xfId="84" xr:uid="{2AB52574-9598-4CB8-B487-29D8E240C7BF}"/>
    <cellStyle name="Explanatory Text" xfId="22" builtinId="53" customBuiltin="1"/>
    <cellStyle name="Good" xfId="12" builtinId="26" customBuiltin="1"/>
    <cellStyle name="Heading 1" xfId="8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Headline" xfId="146" xr:uid="{4E05191A-A3A7-4E45-B95A-BCD7F498231F}"/>
    <cellStyle name="Hed Side" xfId="85" xr:uid="{7CF23A2E-88A2-4097-BC86-89BEFEED221A}"/>
    <cellStyle name="Hed Side bold" xfId="86" xr:uid="{9F782E38-AE41-4773-941D-50FA1FF86B91}"/>
    <cellStyle name="Hed Side Indent" xfId="87" xr:uid="{17640473-0DD0-4C3B-8441-1B62DE15E0EB}"/>
    <cellStyle name="Hed Side Regular" xfId="88" xr:uid="{E470F15A-3C40-47DB-A3DD-90E86487C31A}"/>
    <cellStyle name="Hed Side_1-1A-Regular" xfId="89" xr:uid="{E9F183F5-C7C6-45E2-816F-496B1C6D77E9}"/>
    <cellStyle name="Hed Top" xfId="90" xr:uid="{7BDA868B-13BF-46CB-AE60-AFE0D0E66FBE}"/>
    <cellStyle name="Hed Top - SECTION" xfId="91" xr:uid="{24B5B5BD-4A52-4F56-BC33-3B0DF32B7AE6}"/>
    <cellStyle name="Hed Top_3-new4" xfId="92" xr:uid="{DD86D1C9-1E75-4C54-8359-BC926AAFA9B5}"/>
    <cellStyle name="Hyperlink 2" xfId="134" xr:uid="{8C068579-6944-4469-B8C5-5876577F8569}"/>
    <cellStyle name="Input" xfId="15" builtinId="20" customBuiltin="1"/>
    <cellStyle name="Linked Cell" xfId="18" builtinId="24" customBuiltin="1"/>
    <cellStyle name="Milliers 2" xfId="136" xr:uid="{D8FFE04B-DB51-4D64-B1E0-2B7720A0CD04}"/>
    <cellStyle name="Neutral" xfId="14" builtinId="28" customBuiltin="1"/>
    <cellStyle name="Neutral 2" xfId="93" xr:uid="{9F71F88E-1C42-42BB-9048-2F53E4F20AA1}"/>
    <cellStyle name="Normal" xfId="0" builtinId="0"/>
    <cellStyle name="Normal 10" xfId="169" xr:uid="{7928B56D-3C69-49A0-9D21-68924415C0AD}"/>
    <cellStyle name="Normal 12" xfId="94" xr:uid="{EC410101-D69E-4FCF-A9F1-21B3CF23F348}"/>
    <cellStyle name="Normal 2" xfId="2" xr:uid="{55B6A459-018A-4159-BCD7-B35C942A65A0}"/>
    <cellStyle name="Normal 2 2" xfId="6" xr:uid="{AA58C20A-3AFF-4D45-9EE5-5F1CBF1179BF}"/>
    <cellStyle name="Normal 2 2 2" xfId="97" xr:uid="{58E3476F-BE97-4199-8773-2E33D564CF2D}"/>
    <cellStyle name="Normal 2 2 3" xfId="96" xr:uid="{831227AC-581D-4890-BAB5-3946EF3B389A}"/>
    <cellStyle name="Normal 2 3" xfId="135" xr:uid="{A978334C-3E38-4F8C-9AEC-0A99C8A704DD}"/>
    <cellStyle name="Normal 2 4" xfId="95" xr:uid="{C7DE0F11-6FE3-4C12-A367-016EE4943441}"/>
    <cellStyle name="Normal 3" xfId="4" xr:uid="{2E4BA378-3DE0-42C2-BA23-2407BCA94ACF}"/>
    <cellStyle name="Normal 3 2" xfId="138" xr:uid="{726176F6-8CC2-4CBA-9AA3-933B2AB786CE}"/>
    <cellStyle name="Normal 3 3" xfId="98" xr:uid="{96377BA5-BA51-47A3-8326-7538582DBB83}"/>
    <cellStyle name="Normal 3 4" xfId="147" xr:uid="{B666AE08-34F2-48FA-8465-610E73AE3A38}"/>
    <cellStyle name="Normal 4" xfId="5" xr:uid="{C4A79ADA-18DB-4104-AD79-FCF2C31AE69C}"/>
    <cellStyle name="Normal 4 2" xfId="132" xr:uid="{C19418A3-F747-4D48-9A68-6EFDF0E72F85}"/>
    <cellStyle name="Normal 4 3" xfId="164" xr:uid="{FB4BA9DE-52B1-451E-B473-EB99721C1AC7}"/>
    <cellStyle name="Normal 5" xfId="142" xr:uid="{58842B04-BC91-4B1D-999F-4998E1DC29C8}"/>
    <cellStyle name="Normal 6" xfId="154" xr:uid="{8229B25A-E9AE-48BB-A9AF-E30C655F08A3}"/>
    <cellStyle name="Normal 6 2" xfId="155" xr:uid="{58BF46DA-3A04-4611-B8D3-011CF36A8D09}"/>
    <cellStyle name="Normal 7" xfId="153" xr:uid="{EA3703FF-45DE-42E8-8F10-6E5FF133FBE2}"/>
    <cellStyle name="Normal 8" xfId="139" xr:uid="{2ED08D51-D347-48C3-AC54-F657E20E74FC}"/>
    <cellStyle name="Normal 9" xfId="3" xr:uid="{901E6851-97D6-414B-9218-20533A98EFED}"/>
    <cellStyle name="Normal 9 2" xfId="99" xr:uid="{FB6972EF-B788-4FB0-B93D-37D130E34275}"/>
    <cellStyle name="Normal GHG Numbers (0.00)" xfId="148" xr:uid="{94AA7987-9E96-4F07-8ADF-A2B53B4EE6BB}"/>
    <cellStyle name="Normal GHG whole table" xfId="149" xr:uid="{3156BCC2-469A-4D5D-BC3A-5854C86DB246}"/>
    <cellStyle name="Normal GHG-Shade" xfId="150" xr:uid="{33F64DAB-4759-4EE0-B938-935266B4665D}"/>
    <cellStyle name="Note" xfId="21" builtinId="10" customBuiltin="1"/>
    <cellStyle name="Note 2" xfId="100" xr:uid="{6DEB8261-6E52-4657-8CC1-81718DF31F1A}"/>
    <cellStyle name="Note 3" xfId="101" xr:uid="{39E54385-D062-4AEF-BF96-DE804439AEF4}"/>
    <cellStyle name="Note 4" xfId="102" xr:uid="{022AF93A-D3B5-4DB6-9D7F-99FD54820E9B}"/>
    <cellStyle name="NumberCellStyle" xfId="103" xr:uid="{D09C104C-93B5-410B-9A69-EB5387AFC1C4}"/>
    <cellStyle name="Output" xfId="16" builtinId="21" customBuiltin="1"/>
    <cellStyle name="Pattern" xfId="151" xr:uid="{C5B6B55A-2D4E-4EFE-B52D-08544A8E2869}"/>
    <cellStyle name="Percent" xfId="1" builtinId="5"/>
    <cellStyle name="Percent 2" xfId="133" xr:uid="{EFE8812B-55B9-44C3-8E2C-F87D498E8DE4}"/>
    <cellStyle name="Percent 2 2" xfId="141" xr:uid="{F9E8E6E0-C3F1-49C1-BC66-A469EF843869}"/>
    <cellStyle name="Percent 3" xfId="158" xr:uid="{C739EFB1-9B9D-4C58-9894-942726FEDA0D}"/>
    <cellStyle name="Percent 4" xfId="140" xr:uid="{FD674B19-9311-426D-81A8-A030956D65BD}"/>
    <cellStyle name="Reference" xfId="104" xr:uid="{DBFA3B77-CFDF-4449-A8DD-1E286D1FA68C}"/>
    <cellStyle name="Row heading" xfId="105" xr:uid="{3D5DD19C-7502-48B3-8DA7-2CE786ACE5A2}"/>
    <cellStyle name="Source Hed" xfId="106" xr:uid="{2699F76C-1169-40F1-A181-5C0E99223BEA}"/>
    <cellStyle name="Source Letter" xfId="107" xr:uid="{D0776B51-2F3C-4C2A-B83D-5968884A2806}"/>
    <cellStyle name="Source Superscript" xfId="108" xr:uid="{10F35462-EEE1-48B3-8E71-98E7E28238AE}"/>
    <cellStyle name="Source Text" xfId="109" xr:uid="{8ED7D922-6E8F-4200-91B1-9369FA2EC1D6}"/>
    <cellStyle name="Standard 2" xfId="131" xr:uid="{5FDB74BA-E82A-4194-A5FC-6401D6ADA2B6}"/>
    <cellStyle name="Standard 3" xfId="137" xr:uid="{781C33C5-8D72-4B7A-B3EE-960A5ABD8341}"/>
    <cellStyle name="Standard_E00seit45" xfId="110" xr:uid="{E60E5DFC-99F9-4821-95F9-A448A6D7ED01}"/>
    <cellStyle name="State" xfId="111" xr:uid="{1E22EF94-4035-46A3-B93F-7B4C04D93865}"/>
    <cellStyle name="Superscript" xfId="112" xr:uid="{E095C70B-1BE0-483B-9328-402E4F7F4665}"/>
    <cellStyle name="Table Data" xfId="113" xr:uid="{6D28BA16-B1ED-487E-97D4-E11766253CAB}"/>
    <cellStyle name="Table Head Top" xfId="114" xr:uid="{D73E975F-B195-4C69-ABA9-C3FDF3B768EE}"/>
    <cellStyle name="Table Hed Side" xfId="115" xr:uid="{19764F6F-0584-40C9-86AF-753E0D4ACD46}"/>
    <cellStyle name="Table Title" xfId="116" xr:uid="{DEDC75C9-E546-42B3-A8E7-56EF9F0EAE06}"/>
    <cellStyle name="Title" xfId="7" builtinId="15" customBuiltin="1"/>
    <cellStyle name="Title 2" xfId="118" xr:uid="{D0FC54C7-BAC5-467F-8F57-2084F2E2393E}"/>
    <cellStyle name="Title 3" xfId="117" xr:uid="{62A59C55-F8BD-439D-9818-59BD38960B4A}"/>
    <cellStyle name="Title Text" xfId="119" xr:uid="{46B5E72A-6019-4651-B789-3218EFB90083}"/>
    <cellStyle name="Title Text 1" xfId="120" xr:uid="{B66B38CF-B1B9-4A7F-A767-134AD0C8B60D}"/>
    <cellStyle name="Title Text 2" xfId="121" xr:uid="{8D7959A8-9EB8-4C2C-A363-103B0AD7FAD3}"/>
    <cellStyle name="Title-1" xfId="122" xr:uid="{36D030D9-D8F5-429A-903C-44ADDFF4B66E}"/>
    <cellStyle name="Title-2" xfId="123" xr:uid="{E482A6AF-F54E-46D8-85EC-0F79A3AB2412}"/>
    <cellStyle name="Title-3" xfId="124" xr:uid="{52079772-F763-4205-A35F-F27A24D17A83}"/>
    <cellStyle name="Titre ligne" xfId="125" xr:uid="{B26EA383-68B0-464B-A8D1-9AE2A1714C6F}"/>
    <cellStyle name="Total" xfId="23" builtinId="25" customBuiltin="1"/>
    <cellStyle name="Total intermediaire" xfId="126" xr:uid="{F17DB0AD-BDDB-41FD-8960-52BB3FCB6198}"/>
    <cellStyle name="Warning Text" xfId="20" builtinId="11" customBuiltin="1"/>
    <cellStyle name="Wrap" xfId="127" xr:uid="{374F57C0-3A75-4493-8C04-4C69D4F4D0BF}"/>
    <cellStyle name="Wrap Bold" xfId="128" xr:uid="{A3F8ABE9-DB85-4BEB-8717-FDE1DBC76539}"/>
    <cellStyle name="Wrap Title" xfId="129" xr:uid="{1DF114DE-99D7-4A0A-BF1F-5AB3072093AC}"/>
    <cellStyle name="Wrap_NTS99-~11" xfId="130" xr:uid="{B35AD1E7-4B68-4494-9F06-F6EF3B83D614}"/>
    <cellStyle name="Year" xfId="152" xr:uid="{BF9A27E0-4EC2-4496-B182-E26259F1F3E4}"/>
    <cellStyle name="Κόμμα 2" xfId="166" xr:uid="{39429696-BB52-41AB-928B-DAAD9594DB86}"/>
  </cellStyles>
  <dxfs count="0"/>
  <tableStyles count="0" defaultTableStyle="TableStyleMedium2" defaultPivotStyle="PivotStyleLight16"/>
  <colors>
    <mruColors>
      <color rgb="FFF26119"/>
      <color rgb="FF3D5584"/>
      <color rgb="FFEFE973"/>
      <color rgb="FFA2C0B6"/>
      <color rgb="FF98C9EE"/>
      <color rgb="FFB04545"/>
      <color rgb="FFB487C7"/>
      <color rgb="FFF59E2D"/>
      <color rgb="FF648ECA"/>
      <color rgb="FF2E42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28.xml"/><Relationship Id="rId21" Type="http://schemas.openxmlformats.org/officeDocument/2006/relationships/externalLink" Target="externalLinks/externalLink10.xml"/><Relationship Id="rId34" Type="http://schemas.openxmlformats.org/officeDocument/2006/relationships/externalLink" Target="externalLinks/externalLink23.xml"/><Relationship Id="rId42" Type="http://schemas.openxmlformats.org/officeDocument/2006/relationships/externalLink" Target="externalLinks/externalLink31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9" Type="http://schemas.openxmlformats.org/officeDocument/2006/relationships/externalLink" Target="externalLinks/externalLink18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externalLink" Target="externalLinks/externalLink21.xml"/><Relationship Id="rId37" Type="http://schemas.openxmlformats.org/officeDocument/2006/relationships/externalLink" Target="externalLinks/externalLink26.xml"/><Relationship Id="rId40" Type="http://schemas.openxmlformats.org/officeDocument/2006/relationships/externalLink" Target="externalLinks/externalLink29.xml"/><Relationship Id="rId45" Type="http://schemas.openxmlformats.org/officeDocument/2006/relationships/externalLink" Target="externalLinks/externalLink34.xml"/><Relationship Id="rId53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0.xml"/><Relationship Id="rId44" Type="http://schemas.openxmlformats.org/officeDocument/2006/relationships/externalLink" Target="externalLinks/externalLink33.xml"/><Relationship Id="rId52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9.xml"/><Relationship Id="rId35" Type="http://schemas.openxmlformats.org/officeDocument/2006/relationships/externalLink" Target="externalLinks/externalLink24.xml"/><Relationship Id="rId43" Type="http://schemas.openxmlformats.org/officeDocument/2006/relationships/externalLink" Target="externalLinks/externalLink32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externalLink" Target="externalLinks/externalLink22.xml"/><Relationship Id="rId38" Type="http://schemas.openxmlformats.org/officeDocument/2006/relationships/externalLink" Target="externalLinks/externalLink27.xml"/><Relationship Id="rId46" Type="http://schemas.openxmlformats.org/officeDocument/2006/relationships/externalLink" Target="externalLinks/externalLink35.xml"/><Relationship Id="rId20" Type="http://schemas.openxmlformats.org/officeDocument/2006/relationships/externalLink" Target="externalLinks/externalLink9.xml"/><Relationship Id="rId41" Type="http://schemas.openxmlformats.org/officeDocument/2006/relationships/externalLink" Target="externalLinks/externalLink3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36" Type="http://schemas.openxmlformats.org/officeDocument/2006/relationships/externalLink" Target="externalLinks/externalLink25.xml"/><Relationship Id="rId4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'0. LULUCF ranges 2030 and 2050'!$B$1</c:f>
              <c:strCache>
                <c:ptCount val="1"/>
                <c:pt idx="0">
                  <c:v>2050</c:v>
                </c:pt>
              </c:strCache>
            </c:strRef>
          </c:tx>
          <c:spPr>
            <a:solidFill>
              <a:srgbClr val="98C9EE"/>
            </a:solidFill>
            <a:ln>
              <a:noFill/>
            </a:ln>
            <a:effectLst/>
          </c:spPr>
          <c:invertIfNegative val="0"/>
          <c:cat>
            <c:strRef>
              <c:f>'0. LULUCF ranges 2030 and 2050'!$A$2:$A$7</c:f>
              <c:strCache>
                <c:ptCount val="6"/>
                <c:pt idx="0">
                  <c:v>2040 advice MIN</c:v>
                </c:pt>
                <c:pt idx="1">
                  <c:v>1,5TECH</c:v>
                </c:pt>
                <c:pt idx="2">
                  <c:v>2040 advice MAX</c:v>
                </c:pt>
                <c:pt idx="3">
                  <c:v>LULUCF Regulation IA</c:v>
                </c:pt>
                <c:pt idx="4">
                  <c:v>CTP-MIX</c:v>
                </c:pt>
                <c:pt idx="5">
                  <c:v>1,5LIFE</c:v>
                </c:pt>
              </c:strCache>
            </c:strRef>
          </c:cat>
          <c:val>
            <c:numRef>
              <c:f>'0. LULUCF ranges 2030 and 2050'!$B$2:$B$7</c:f>
              <c:numCache>
                <c:formatCode>General</c:formatCode>
                <c:ptCount val="6"/>
                <c:pt idx="0">
                  <c:v>-273</c:v>
                </c:pt>
                <c:pt idx="1">
                  <c:v>-317</c:v>
                </c:pt>
                <c:pt idx="2">
                  <c:v>-400</c:v>
                </c:pt>
                <c:pt idx="3">
                  <c:v>-400</c:v>
                </c:pt>
                <c:pt idx="4">
                  <c:v>-425</c:v>
                </c:pt>
                <c:pt idx="5">
                  <c:v>-464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C5-4473-A6F5-6E71B0D49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4814288"/>
        <c:axId val="2038419952"/>
      </c:barChart>
      <c:catAx>
        <c:axId val="206481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038419952"/>
        <c:crosses val="autoZero"/>
        <c:auto val="1"/>
        <c:lblAlgn val="ctr"/>
        <c:lblOffset val="100"/>
        <c:noMultiLvlLbl val="0"/>
      </c:catAx>
      <c:valAx>
        <c:axId val="20384199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Mt CO2</a:t>
                </a:r>
                <a:endParaRPr lang="en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064814288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'L1. GHG emissions and removals'!$A$4</c:f>
              <c:strCache>
                <c:ptCount val="1"/>
                <c:pt idx="0">
                  <c:v>Forest land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'L1. GHG emissions and removals'!$D$2:$AW$2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'L1. GHG emissions and removals'!$D$4:$AW$4</c:f>
              <c:numCache>
                <c:formatCode>#,##0</c:formatCode>
                <c:ptCount val="46"/>
                <c:pt idx="0">
                  <c:v>-414.79155674527755</c:v>
                </c:pt>
                <c:pt idx="1">
                  <c:v>-410.56394899450521</c:v>
                </c:pt>
                <c:pt idx="2">
                  <c:v>-366.51828751765754</c:v>
                </c:pt>
                <c:pt idx="3">
                  <c:v>-431.22540492435542</c:v>
                </c:pt>
                <c:pt idx="4">
                  <c:v>-449.76761713029344</c:v>
                </c:pt>
                <c:pt idx="5">
                  <c:v>-433.19132210959242</c:v>
                </c:pt>
                <c:pt idx="6">
                  <c:v>-426.4436534128273</c:v>
                </c:pt>
                <c:pt idx="7">
                  <c:v>-424.19423490970377</c:v>
                </c:pt>
                <c:pt idx="8">
                  <c:v>-440.71983176360561</c:v>
                </c:pt>
                <c:pt idx="9">
                  <c:v>-401.75284013655579</c:v>
                </c:pt>
                <c:pt idx="10">
                  <c:v>-390.72811714475574</c:v>
                </c:pt>
                <c:pt idx="11">
                  <c:v>-382.31947922881983</c:v>
                </c:pt>
                <c:pt idx="12">
                  <c:v>-312.61227163275072</c:v>
                </c:pt>
                <c:pt idx="13">
                  <c:v>-306.9835659788622</c:v>
                </c:pt>
                <c:pt idx="14">
                  <c:v>-293.83965788429595</c:v>
                </c:pt>
                <c:pt idx="15">
                  <c:v>-291.70824839557855</c:v>
                </c:pt>
                <c:pt idx="16">
                  <c:v>-280.8293823636958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C6-40C3-8685-957CDA505478}"/>
            </c:ext>
          </c:extLst>
        </c:ser>
        <c:ser>
          <c:idx val="2"/>
          <c:order val="2"/>
          <c:tx>
            <c:strRef>
              <c:f>'L1. GHG emissions and removals'!$A$5</c:f>
              <c:strCache>
                <c:ptCount val="1"/>
                <c:pt idx="0">
                  <c:v>Cropland</c:v>
                </c:pt>
              </c:strCache>
            </c:strRef>
          </c:tx>
          <c:spPr>
            <a:solidFill>
              <a:srgbClr val="EFE973"/>
            </a:solidFill>
            <a:ln>
              <a:noFill/>
            </a:ln>
            <a:effectLst/>
          </c:spPr>
          <c:invertIfNegative val="0"/>
          <c:cat>
            <c:strRef>
              <c:f>'L1. GHG emissions and removals'!$D$2:$AW$2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'L1. GHG emissions and removals'!$D$5:$AW$5</c:f>
              <c:numCache>
                <c:formatCode>#,##0</c:formatCode>
                <c:ptCount val="46"/>
                <c:pt idx="0">
                  <c:v>41.88553425752837</c:v>
                </c:pt>
                <c:pt idx="1">
                  <c:v>42.292718476518083</c:v>
                </c:pt>
                <c:pt idx="2">
                  <c:v>46.32595223374323</c:v>
                </c:pt>
                <c:pt idx="3">
                  <c:v>47.762401038868859</c:v>
                </c:pt>
                <c:pt idx="4">
                  <c:v>46.350099702714964</c:v>
                </c:pt>
                <c:pt idx="5">
                  <c:v>36.721831502557045</c:v>
                </c:pt>
                <c:pt idx="6">
                  <c:v>36.216021077214357</c:v>
                </c:pt>
                <c:pt idx="7">
                  <c:v>36.317395487500129</c:v>
                </c:pt>
                <c:pt idx="8">
                  <c:v>38.971129448076482</c:v>
                </c:pt>
                <c:pt idx="9">
                  <c:v>36.049323325525144</c:v>
                </c:pt>
                <c:pt idx="10">
                  <c:v>30.257074080196023</c:v>
                </c:pt>
                <c:pt idx="11">
                  <c:v>25.855203989966096</c:v>
                </c:pt>
                <c:pt idx="12">
                  <c:v>27.354586303049683</c:v>
                </c:pt>
                <c:pt idx="13">
                  <c:v>25.495219947681715</c:v>
                </c:pt>
                <c:pt idx="14">
                  <c:v>21.646503136414118</c:v>
                </c:pt>
                <c:pt idx="15">
                  <c:v>22.368511518801125</c:v>
                </c:pt>
                <c:pt idx="16">
                  <c:v>22.646397835763921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C6-40C3-8685-957CDA505478}"/>
            </c:ext>
          </c:extLst>
        </c:ser>
        <c:ser>
          <c:idx val="3"/>
          <c:order val="3"/>
          <c:tx>
            <c:strRef>
              <c:f>'L1. GHG emissions and removals'!$A$6</c:f>
              <c:strCache>
                <c:ptCount val="1"/>
                <c:pt idx="0">
                  <c:v>Grassland</c:v>
                </c:pt>
              </c:strCache>
            </c:strRef>
          </c:tx>
          <c:spPr>
            <a:solidFill>
              <a:srgbClr val="3D5584"/>
            </a:solidFill>
            <a:ln>
              <a:noFill/>
            </a:ln>
            <a:effectLst/>
          </c:spPr>
          <c:invertIfNegative val="0"/>
          <c:cat>
            <c:strRef>
              <c:f>'L1. GHG emissions and removals'!$D$2:$AW$2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'L1. GHG emissions and removals'!$D$6:$AW$6</c:f>
              <c:numCache>
                <c:formatCode>#,##0</c:formatCode>
                <c:ptCount val="46"/>
                <c:pt idx="0">
                  <c:v>32.510711081314497</c:v>
                </c:pt>
                <c:pt idx="1">
                  <c:v>27.3373261531531</c:v>
                </c:pt>
                <c:pt idx="2">
                  <c:v>33.798482800358343</c:v>
                </c:pt>
                <c:pt idx="3">
                  <c:v>31.158825769213845</c:v>
                </c:pt>
                <c:pt idx="4">
                  <c:v>32.804094809503759</c:v>
                </c:pt>
                <c:pt idx="5">
                  <c:v>31.258860638103982</c:v>
                </c:pt>
                <c:pt idx="6">
                  <c:v>32.793280383787092</c:v>
                </c:pt>
                <c:pt idx="7">
                  <c:v>33.714568394643415</c:v>
                </c:pt>
                <c:pt idx="8">
                  <c:v>40.699159635874572</c:v>
                </c:pt>
                <c:pt idx="9">
                  <c:v>23.6948825455224</c:v>
                </c:pt>
                <c:pt idx="10">
                  <c:v>21.547002939445893</c:v>
                </c:pt>
                <c:pt idx="11">
                  <c:v>21.169805021232566</c:v>
                </c:pt>
                <c:pt idx="12">
                  <c:v>25.072843377392957</c:v>
                </c:pt>
                <c:pt idx="13">
                  <c:v>16.449560015010768</c:v>
                </c:pt>
                <c:pt idx="14">
                  <c:v>18.244112195613358</c:v>
                </c:pt>
                <c:pt idx="15">
                  <c:v>18.543529602015916</c:v>
                </c:pt>
                <c:pt idx="16">
                  <c:v>24.955053501122915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C6-40C3-8685-957CDA505478}"/>
            </c:ext>
          </c:extLst>
        </c:ser>
        <c:ser>
          <c:idx val="4"/>
          <c:order val="4"/>
          <c:tx>
            <c:strRef>
              <c:f>'L1. GHG emissions and removals'!$A$7</c:f>
              <c:strCache>
                <c:ptCount val="1"/>
                <c:pt idx="0">
                  <c:v>Wetlands</c:v>
                </c:pt>
              </c:strCache>
            </c:strRef>
          </c:tx>
          <c:spPr>
            <a:solidFill>
              <a:srgbClr val="648ECA"/>
            </a:solidFill>
            <a:ln>
              <a:noFill/>
            </a:ln>
            <a:effectLst/>
          </c:spPr>
          <c:invertIfNegative val="0"/>
          <c:cat>
            <c:strRef>
              <c:f>'L1. GHG emissions and removals'!$D$2:$AW$2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'L1. GHG emissions and removals'!$D$7:$AW$7</c:f>
              <c:numCache>
                <c:formatCode>#,##0</c:formatCode>
                <c:ptCount val="46"/>
                <c:pt idx="0">
                  <c:v>20.342633478671015</c:v>
                </c:pt>
                <c:pt idx="1">
                  <c:v>19.996684255048407</c:v>
                </c:pt>
                <c:pt idx="2">
                  <c:v>18.814035616085214</c:v>
                </c:pt>
                <c:pt idx="3">
                  <c:v>19.020275657201509</c:v>
                </c:pt>
                <c:pt idx="4">
                  <c:v>18.775734370687793</c:v>
                </c:pt>
                <c:pt idx="5">
                  <c:v>20.203806078134242</c:v>
                </c:pt>
                <c:pt idx="6">
                  <c:v>19.884201192290881</c:v>
                </c:pt>
                <c:pt idx="7">
                  <c:v>18.65685199674396</c:v>
                </c:pt>
                <c:pt idx="8">
                  <c:v>21.154751048074466</c:v>
                </c:pt>
                <c:pt idx="9">
                  <c:v>20.163324336491801</c:v>
                </c:pt>
                <c:pt idx="10">
                  <c:v>22.092726797231361</c:v>
                </c:pt>
                <c:pt idx="11">
                  <c:v>20.224480182398143</c:v>
                </c:pt>
                <c:pt idx="12">
                  <c:v>21.688376968527802</c:v>
                </c:pt>
                <c:pt idx="13">
                  <c:v>21.436102788851176</c:v>
                </c:pt>
                <c:pt idx="14">
                  <c:v>20.796377300090132</c:v>
                </c:pt>
                <c:pt idx="15">
                  <c:v>21.449868926657988</c:v>
                </c:pt>
                <c:pt idx="16">
                  <c:v>21.269811792639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2C6-40C3-8685-957CDA505478}"/>
            </c:ext>
          </c:extLst>
        </c:ser>
        <c:ser>
          <c:idx val="5"/>
          <c:order val="5"/>
          <c:tx>
            <c:strRef>
              <c:f>'L1. GHG emissions and removals'!$A$8</c:f>
              <c:strCache>
                <c:ptCount val="1"/>
                <c:pt idx="0">
                  <c:v>Settlements and other land</c:v>
                </c:pt>
              </c:strCache>
            </c:strRef>
          </c:tx>
          <c:spPr>
            <a:solidFill>
              <a:srgbClr val="F59E2D"/>
            </a:solidFill>
            <a:ln>
              <a:noFill/>
            </a:ln>
            <a:effectLst/>
          </c:spPr>
          <c:invertIfNegative val="0"/>
          <c:cat>
            <c:strRef>
              <c:f>'L1. GHG emissions and removals'!$D$2:$AW$2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'L1. GHG emissions and removals'!$D$8:$AW$8</c:f>
              <c:numCache>
                <c:formatCode>#,##0</c:formatCode>
                <c:ptCount val="46"/>
                <c:pt idx="0">
                  <c:v>33.109972218041314</c:v>
                </c:pt>
                <c:pt idx="1">
                  <c:v>32.212374070467909</c:v>
                </c:pt>
                <c:pt idx="2">
                  <c:v>32.992411150895968</c:v>
                </c:pt>
                <c:pt idx="3">
                  <c:v>32.78434190794615</c:v>
                </c:pt>
                <c:pt idx="4">
                  <c:v>33.007915373243584</c:v>
                </c:pt>
                <c:pt idx="5">
                  <c:v>29.589636536777842</c:v>
                </c:pt>
                <c:pt idx="6">
                  <c:v>26.990698984333982</c:v>
                </c:pt>
                <c:pt idx="7">
                  <c:v>25.943854446788606</c:v>
                </c:pt>
                <c:pt idx="8">
                  <c:v>27.199830475603658</c:v>
                </c:pt>
                <c:pt idx="9">
                  <c:v>28.34063819573171</c:v>
                </c:pt>
                <c:pt idx="10">
                  <c:v>29.182521966706076</c:v>
                </c:pt>
                <c:pt idx="11">
                  <c:v>33.107437231689609</c:v>
                </c:pt>
                <c:pt idx="12">
                  <c:v>29.177322867486975</c:v>
                </c:pt>
                <c:pt idx="13">
                  <c:v>30.620808792356708</c:v>
                </c:pt>
                <c:pt idx="14">
                  <c:v>28.751614899110571</c:v>
                </c:pt>
                <c:pt idx="15">
                  <c:v>28.852847227459577</c:v>
                </c:pt>
                <c:pt idx="16">
                  <c:v>28.569496485855588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2C6-40C3-8685-957CDA505478}"/>
            </c:ext>
          </c:extLst>
        </c:ser>
        <c:ser>
          <c:idx val="6"/>
          <c:order val="6"/>
          <c:tx>
            <c:strRef>
              <c:f>'L1. GHG emissions and removals'!$A$9</c:f>
              <c:strCache>
                <c:ptCount val="1"/>
                <c:pt idx="0">
                  <c:v>Harvested Wood Products</c:v>
                </c:pt>
              </c:strCache>
            </c:strRef>
          </c:tx>
          <c:spPr>
            <a:solidFill>
              <a:srgbClr val="B04545"/>
            </a:solidFill>
            <a:ln>
              <a:noFill/>
            </a:ln>
            <a:effectLst/>
          </c:spPr>
          <c:invertIfNegative val="0"/>
          <c:cat>
            <c:strRef>
              <c:f>'L1. GHG emissions and removals'!$D$2:$AW$2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'L1. GHG emissions and removals'!$D$9:$AW$9</c:f>
              <c:numCache>
                <c:formatCode>#,##0</c:formatCode>
                <c:ptCount val="46"/>
                <c:pt idx="0">
                  <c:v>-56.082216015799972</c:v>
                </c:pt>
                <c:pt idx="1">
                  <c:v>-63.462510299974412</c:v>
                </c:pt>
                <c:pt idx="2">
                  <c:v>-66.939588688701804</c:v>
                </c:pt>
                <c:pt idx="3">
                  <c:v>-44.678084003251442</c:v>
                </c:pt>
                <c:pt idx="4">
                  <c:v>-29.13136299960054</c:v>
                </c:pt>
                <c:pt idx="5">
                  <c:v>-38.111944843108319</c:v>
                </c:pt>
                <c:pt idx="6">
                  <c:v>-37.63463003817072</c:v>
                </c:pt>
                <c:pt idx="7">
                  <c:v>-33.982435433909771</c:v>
                </c:pt>
                <c:pt idx="8">
                  <c:v>-30.831109424066266</c:v>
                </c:pt>
                <c:pt idx="9">
                  <c:v>-35.207475832357282</c:v>
                </c:pt>
                <c:pt idx="10">
                  <c:v>-35.686187116030148</c:v>
                </c:pt>
                <c:pt idx="11">
                  <c:v>-37.417026497957011</c:v>
                </c:pt>
                <c:pt idx="12">
                  <c:v>-41.385805594152558</c:v>
                </c:pt>
                <c:pt idx="13">
                  <c:v>-45.644940731314648</c:v>
                </c:pt>
                <c:pt idx="14">
                  <c:v>-43.729649525066449</c:v>
                </c:pt>
                <c:pt idx="15">
                  <c:v>-41.337241962761262</c:v>
                </c:pt>
                <c:pt idx="16">
                  <c:v>-47.390090019634279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2C6-40C3-8685-957CDA505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606257040"/>
        <c:axId val="1708436368"/>
      </c:barChart>
      <c:lineChart>
        <c:grouping val="standard"/>
        <c:varyColors val="0"/>
        <c:ser>
          <c:idx val="0"/>
          <c:order val="0"/>
          <c:tx>
            <c:strRef>
              <c:f>'L1. GHG emissions and removals'!$A$3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strRef>
              <c:f>'L1. GHG emissions and removals'!$D$2:$AW$2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'L1. GHG emissions and removals'!$D$3:$AW$3</c:f>
              <c:numCache>
                <c:formatCode>#,##0</c:formatCode>
                <c:ptCount val="46"/>
                <c:pt idx="0">
                  <c:v>-342.10947613129105</c:v>
                </c:pt>
                <c:pt idx="1">
                  <c:v>-351.29638360007004</c:v>
                </c:pt>
                <c:pt idx="2">
                  <c:v>-300.61728649736148</c:v>
                </c:pt>
                <c:pt idx="3">
                  <c:v>-344.26277168343694</c:v>
                </c:pt>
                <c:pt idx="4">
                  <c:v>-347.02232862364394</c:v>
                </c:pt>
                <c:pt idx="5">
                  <c:v>-352.59019094981733</c:v>
                </c:pt>
                <c:pt idx="6">
                  <c:v>-347.27380043837763</c:v>
                </c:pt>
                <c:pt idx="7">
                  <c:v>-342.63359898826837</c:v>
                </c:pt>
                <c:pt idx="8">
                  <c:v>-342.60490517123242</c:v>
                </c:pt>
                <c:pt idx="9">
                  <c:v>-327.80272088059951</c:v>
                </c:pt>
                <c:pt idx="10">
                  <c:v>-322.42383901204818</c:v>
                </c:pt>
                <c:pt idx="11">
                  <c:v>-318.48652483153614</c:v>
                </c:pt>
                <c:pt idx="12">
                  <c:v>-249.79589118034281</c:v>
                </c:pt>
                <c:pt idx="13">
                  <c:v>-257.78904072107576</c:v>
                </c:pt>
                <c:pt idx="14">
                  <c:v>-247.3176236412184</c:v>
                </c:pt>
                <c:pt idx="15">
                  <c:v>-241.03805792704637</c:v>
                </c:pt>
                <c:pt idx="16">
                  <c:v>-229.98466641727219</c:v>
                </c:pt>
                <c:pt idx="17">
                  <c:v>-243.76728937000001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C6-40C3-8685-957CDA505478}"/>
            </c:ext>
          </c:extLst>
        </c:ser>
        <c:ser>
          <c:idx val="7"/>
          <c:order val="7"/>
          <c:tx>
            <c:strRef>
              <c:f>'L1. GHG emissions and removals'!$A$10</c:f>
              <c:strCache>
                <c:ptCount val="1"/>
                <c:pt idx="0">
                  <c:v>2030 benchmark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26119"/>
              </a:solidFill>
              <a:ln w="9525">
                <a:noFill/>
              </a:ln>
              <a:effectLst/>
            </c:spPr>
          </c:marker>
          <c:cat>
            <c:strRef>
              <c:f>'L1. GHG emissions and removals'!$D$2:$AW$2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'L1. GHG emissions and removals'!$D$10:$AW$10</c:f>
              <c:numCache>
                <c:formatCode>#,##0</c:formatCode>
                <c:ptCount val="46"/>
                <c:pt idx="25">
                  <c:v>-310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2C6-40C3-8685-957CDA505478}"/>
            </c:ext>
          </c:extLst>
        </c:ser>
        <c:ser>
          <c:idx val="9"/>
          <c:order val="8"/>
          <c:tx>
            <c:strRef>
              <c:f>'L1. GHG emissions and removals'!$A$11</c:f>
              <c:strCache>
                <c:ptCount val="1"/>
                <c:pt idx="0">
                  <c:v>2050 benchmark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648ECA"/>
              </a:solidFill>
              <a:ln w="9525">
                <a:noFill/>
              </a:ln>
              <a:effectLst/>
            </c:spPr>
          </c:marker>
          <c:cat>
            <c:strRef>
              <c:f>'L1. GHG emissions and removals'!$D$2:$AW$2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'L1. GHG emissions and removals'!$D$11:$AW$11</c:f>
              <c:numCache>
                <c:formatCode>#,##0</c:formatCode>
                <c:ptCount val="46"/>
                <c:pt idx="45">
                  <c:v>-400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2C6-40C3-8685-957CDA505478}"/>
            </c:ext>
          </c:extLst>
        </c:ser>
        <c:ser>
          <c:idx val="8"/>
          <c:order val="10"/>
          <c:tx>
            <c:strRef>
              <c:f>'L1. GHG emissions and removals'!$A$13</c:f>
              <c:strCache>
                <c:ptCount val="1"/>
                <c:pt idx="0">
                  <c:v>2040 advice scenarios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A2C0B6"/>
              </a:solidFill>
              <a:ln w="9525">
                <a:noFill/>
              </a:ln>
              <a:effectLst/>
            </c:spPr>
          </c:marker>
          <c:cat>
            <c:strRef>
              <c:f>'L1. GHG emissions and removals'!$D$2:$AW$2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'L1. GHG emissions and removals'!$D$13:$AW$13</c:f>
              <c:numCache>
                <c:formatCode>#,##0</c:formatCode>
                <c:ptCount val="46"/>
                <c:pt idx="25">
                  <c:v>-293.89269999999999</c:v>
                </c:pt>
                <c:pt idx="35">
                  <c:v>-322.87400000000002</c:v>
                </c:pt>
                <c:pt idx="45">
                  <c:v>-312.07569999999998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DB-4BD6-84DA-D7CDFD6C08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6257040"/>
        <c:axId val="1708436368"/>
        <c:extLst>
          <c:ext xmlns:c15="http://schemas.microsoft.com/office/drawing/2012/chart" uri="{02D57815-91ED-43cb-92C2-25804820EDAC}">
            <c15:filteredLineSeries>
              <c15:ser>
                <c:idx val="10"/>
                <c:order val="9"/>
                <c:tx>
                  <c:strRef>
                    <c:extLst>
                      <c:ext uri="{02D57815-91ED-43cb-92C2-25804820EDAC}">
                        <c15:formulaRef>
                          <c15:sqref>'L1. GHG emissions and removals'!$A$12</c15:sqref>
                        </c15:formulaRef>
                      </c:ext>
                    </c:extLst>
                    <c:strCache>
                      <c:ptCount val="1"/>
                      <c:pt idx="0">
                        <c:v>linear trajectory</c:v>
                      </c:pt>
                    </c:strCache>
                  </c:strRef>
                </c:tx>
                <c:spPr>
                  <a:ln w="12700" cap="rnd">
                    <a:solidFill>
                      <a:sysClr val="windowText" lastClr="000000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'L1. GHG emissions and removals'!$D$2:$AW$2</c15:sqref>
                        </c15:formulaRef>
                      </c:ext>
                    </c:extLst>
                    <c:strCache>
                      <c:ptCount val="46"/>
                      <c:pt idx="0">
                        <c:v>2005</c:v>
                      </c:pt>
                      <c:pt idx="5">
                        <c:v>2010</c:v>
                      </c:pt>
                      <c:pt idx="10">
                        <c:v>2015</c:v>
                      </c:pt>
                      <c:pt idx="15">
                        <c:v>2020</c:v>
                      </c:pt>
                      <c:pt idx="20">
                        <c:v>2025</c:v>
                      </c:pt>
                      <c:pt idx="25">
                        <c:v>2030</c:v>
                      </c:pt>
                      <c:pt idx="30">
                        <c:v>2035</c:v>
                      </c:pt>
                      <c:pt idx="35">
                        <c:v>2040</c:v>
                      </c:pt>
                      <c:pt idx="40">
                        <c:v>2045</c:v>
                      </c:pt>
                      <c:pt idx="45">
                        <c:v>2050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'L1. GHG emissions and removals'!$D$12:$AW$12</c15:sqref>
                        </c15:formulaRef>
                      </c:ext>
                    </c:extLst>
                    <c:numCache>
                      <c:formatCode>#,##0</c:formatCode>
                      <c:ptCount val="46"/>
                      <c:pt idx="16">
                        <c:v>-229.98466641727217</c:v>
                      </c:pt>
                      <c:pt idx="17">
                        <c:v>-238.87525903757526</c:v>
                      </c:pt>
                      <c:pt idx="18">
                        <c:v>-247.76585165787836</c:v>
                      </c:pt>
                      <c:pt idx="19">
                        <c:v>-256.65644427818143</c:v>
                      </c:pt>
                      <c:pt idx="20">
                        <c:v>-265.54703689848452</c:v>
                      </c:pt>
                      <c:pt idx="21">
                        <c:v>-274.43762951878762</c:v>
                      </c:pt>
                      <c:pt idx="22">
                        <c:v>-283.32822213909071</c:v>
                      </c:pt>
                      <c:pt idx="23">
                        <c:v>-292.21881475939381</c:v>
                      </c:pt>
                      <c:pt idx="24">
                        <c:v>-301.1094073796969</c:v>
                      </c:pt>
                      <c:pt idx="25">
                        <c:v>-310</c:v>
                      </c:pt>
                      <c:pt idx="26">
                        <c:v>-314.5</c:v>
                      </c:pt>
                      <c:pt idx="27">
                        <c:v>-319</c:v>
                      </c:pt>
                      <c:pt idx="28">
                        <c:v>-323.5</c:v>
                      </c:pt>
                      <c:pt idx="29">
                        <c:v>-328</c:v>
                      </c:pt>
                      <c:pt idx="30">
                        <c:v>-332.5</c:v>
                      </c:pt>
                      <c:pt idx="31">
                        <c:v>-337</c:v>
                      </c:pt>
                      <c:pt idx="32">
                        <c:v>-341.5</c:v>
                      </c:pt>
                      <c:pt idx="33">
                        <c:v>-346</c:v>
                      </c:pt>
                      <c:pt idx="34">
                        <c:v>-350.5</c:v>
                      </c:pt>
                      <c:pt idx="35">
                        <c:v>-355</c:v>
                      </c:pt>
                      <c:pt idx="36">
                        <c:v>-359.5</c:v>
                      </c:pt>
                      <c:pt idx="37">
                        <c:v>-364</c:v>
                      </c:pt>
                      <c:pt idx="38">
                        <c:v>-368.5</c:v>
                      </c:pt>
                      <c:pt idx="39">
                        <c:v>-373</c:v>
                      </c:pt>
                      <c:pt idx="40">
                        <c:v>-377.5</c:v>
                      </c:pt>
                      <c:pt idx="41">
                        <c:v>-382</c:v>
                      </c:pt>
                      <c:pt idx="42">
                        <c:v>-386.5</c:v>
                      </c:pt>
                      <c:pt idx="43">
                        <c:v>-391</c:v>
                      </c:pt>
                      <c:pt idx="44">
                        <c:v>-395.5</c:v>
                      </c:pt>
                      <c:pt idx="45">
                        <c:v>-400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A-92C6-40C3-8685-957CDA505478}"/>
                  </c:ext>
                </c:extLst>
              </c15:ser>
            </c15:filteredLineSeries>
          </c:ext>
        </c:extLst>
      </c:lineChart>
      <c:catAx>
        <c:axId val="1606257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DK"/>
          </a:p>
        </c:txPr>
        <c:crossAx val="1708436368"/>
        <c:crosses val="autoZero"/>
        <c:auto val="1"/>
        <c:lblAlgn val="ctr"/>
        <c:lblOffset val="100"/>
        <c:noMultiLvlLbl val="0"/>
      </c:catAx>
      <c:valAx>
        <c:axId val="17084363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en-US" b="1"/>
                  <a:t>Mt CO2e</a:t>
                </a:r>
                <a:endParaRPr lang="en-DK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DK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DK"/>
          </a:p>
        </c:txPr>
        <c:crossAx val="160625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latin typeface="Segoe UI" panose="020B0502040204020203" pitchFamily="34" charset="0"/>
          <a:cs typeface="Segoe UI" panose="020B0502040204020203" pitchFamily="34" charset="0"/>
        </a:defRPr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'L3 &amp; L4. A-deforestation'!$A$3</c:f>
              <c:strCache>
                <c:ptCount val="1"/>
                <c:pt idx="0">
                  <c:v>Deforestation</c:v>
                </c:pt>
              </c:strCache>
            </c:strRef>
          </c:tx>
          <c:spPr>
            <a:solidFill>
              <a:srgbClr val="F26119"/>
            </a:solidFill>
            <a:ln>
              <a:noFill/>
            </a:ln>
            <a:effectLst/>
          </c:spPr>
          <c:invertIfNegative val="0"/>
          <c:cat>
            <c:strRef>
              <c:f>'L3 &amp; L4. A-deforestation'!$D$2:$T$2</c:f>
              <c:strCache>
                <c:ptCount val="1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</c:strCache>
            </c:strRef>
          </c:cat>
          <c:val>
            <c:numRef>
              <c:f>'L3 &amp; L4. A-deforestation'!$D$3:$T$3</c:f>
              <c:numCache>
                <c:formatCode>0.00</c:formatCode>
                <c:ptCount val="17"/>
                <c:pt idx="0">
                  <c:v>-125.94031744273292</c:v>
                </c:pt>
                <c:pt idx="1">
                  <c:v>-129.78837399873294</c:v>
                </c:pt>
                <c:pt idx="2">
                  <c:v>-138.54180541198636</c:v>
                </c:pt>
                <c:pt idx="3">
                  <c:v>-122.74188649064034</c:v>
                </c:pt>
                <c:pt idx="4">
                  <c:v>-127.48059668157451</c:v>
                </c:pt>
                <c:pt idx="5">
                  <c:v>-132.69654472412921</c:v>
                </c:pt>
                <c:pt idx="6">
                  <c:v>-112.73472182779039</c:v>
                </c:pt>
                <c:pt idx="7">
                  <c:v>-110.29006185807738</c:v>
                </c:pt>
                <c:pt idx="8">
                  <c:v>-141.70748023379116</c:v>
                </c:pt>
                <c:pt idx="9">
                  <c:v>-125.1396853098111</c:v>
                </c:pt>
                <c:pt idx="10">
                  <c:v>-121.76432725881114</c:v>
                </c:pt>
                <c:pt idx="11">
                  <c:v>-143.44326858068931</c:v>
                </c:pt>
                <c:pt idx="12">
                  <c:v>-119.12566324336933</c:v>
                </c:pt>
                <c:pt idx="13">
                  <c:v>-115.19006072429926</c:v>
                </c:pt>
                <c:pt idx="14">
                  <c:v>-113.98370289864586</c:v>
                </c:pt>
                <c:pt idx="15">
                  <c:v>-112.91812305823431</c:v>
                </c:pt>
                <c:pt idx="16">
                  <c:v>-114.52994860791408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2D-47BF-8B85-56C875A8815F}"/>
            </c:ext>
          </c:extLst>
        </c:ser>
        <c:ser>
          <c:idx val="1"/>
          <c:order val="1"/>
          <c:tx>
            <c:strRef>
              <c:f>'L3 &amp; L4. A-deforestation'!$A$4</c:f>
              <c:strCache>
                <c:ptCount val="1"/>
                <c:pt idx="0">
                  <c:v>Afforestation</c:v>
                </c:pt>
              </c:strCache>
            </c:strRef>
          </c:tx>
          <c:spPr>
            <a:solidFill>
              <a:srgbClr val="648ECA"/>
            </a:solidFill>
            <a:ln>
              <a:noFill/>
            </a:ln>
            <a:effectLst/>
          </c:spPr>
          <c:invertIfNegative val="0"/>
          <c:cat>
            <c:strRef>
              <c:f>'L3 &amp; L4. A-deforestation'!$D$2:$T$2</c:f>
              <c:strCache>
                <c:ptCount val="1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</c:strCache>
            </c:strRef>
          </c:cat>
          <c:val>
            <c:numRef>
              <c:f>'L3 &amp; L4. A-deforestation'!$D$4:$T$4</c:f>
              <c:numCache>
                <c:formatCode>0.00</c:formatCode>
                <c:ptCount val="17"/>
                <c:pt idx="0">
                  <c:v>487.99763357425292</c:v>
                </c:pt>
                <c:pt idx="1">
                  <c:v>435.65373936384759</c:v>
                </c:pt>
                <c:pt idx="2">
                  <c:v>407.43344458020459</c:v>
                </c:pt>
                <c:pt idx="3">
                  <c:v>337.95295592145828</c:v>
                </c:pt>
                <c:pt idx="4">
                  <c:v>334.02645268412641</c:v>
                </c:pt>
                <c:pt idx="5">
                  <c:v>300.95643557839838</c:v>
                </c:pt>
                <c:pt idx="6">
                  <c:v>288.30718829515638</c:v>
                </c:pt>
                <c:pt idx="7">
                  <c:v>282.84221242648641</c:v>
                </c:pt>
                <c:pt idx="8">
                  <c:v>294.48387575611952</c:v>
                </c:pt>
                <c:pt idx="9">
                  <c:v>266.74337453451739</c:v>
                </c:pt>
                <c:pt idx="10">
                  <c:v>272.84736574935727</c:v>
                </c:pt>
                <c:pt idx="11">
                  <c:v>298.14161999561867</c:v>
                </c:pt>
                <c:pt idx="12">
                  <c:v>343.23541375725881</c:v>
                </c:pt>
                <c:pt idx="13">
                  <c:v>299.82155822412221</c:v>
                </c:pt>
                <c:pt idx="14">
                  <c:v>310.17463615351238</c:v>
                </c:pt>
                <c:pt idx="15">
                  <c:v>297.71522824348159</c:v>
                </c:pt>
                <c:pt idx="16">
                  <c:v>326.75899015257193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2D-47BF-8B85-56C875A88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0266399"/>
        <c:axId val="2045567984"/>
      </c:barChart>
      <c:lineChart>
        <c:grouping val="standard"/>
        <c:varyColors val="0"/>
        <c:ser>
          <c:idx val="2"/>
          <c:order val="2"/>
          <c:tx>
            <c:strRef>
              <c:f>'L3 &amp; L4. A-deforestation'!$A$5</c:f>
              <c:strCache>
                <c:ptCount val="1"/>
                <c:pt idx="0">
                  <c:v>Net afforestation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strRef>
              <c:f>'L3 &amp; L4. A-deforestation'!$D$2:$T$2</c:f>
              <c:strCache>
                <c:ptCount val="1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</c:strCache>
            </c:strRef>
          </c:cat>
          <c:val>
            <c:numRef>
              <c:f>'L3 &amp; L4. A-deforestation'!$D$5:$T$5</c:f>
              <c:numCache>
                <c:formatCode>0.00</c:formatCode>
                <c:ptCount val="17"/>
                <c:pt idx="0">
                  <c:v>362.05731613152</c:v>
                </c:pt>
                <c:pt idx="1">
                  <c:v>305.86536536511466</c:v>
                </c:pt>
                <c:pt idx="2">
                  <c:v>268.89163916821826</c:v>
                </c:pt>
                <c:pt idx="3">
                  <c:v>215.21106943081793</c:v>
                </c:pt>
                <c:pt idx="4">
                  <c:v>206.54585600255189</c:v>
                </c:pt>
                <c:pt idx="5">
                  <c:v>168.25989085426917</c:v>
                </c:pt>
                <c:pt idx="6">
                  <c:v>175.57246646736598</c:v>
                </c:pt>
                <c:pt idx="7">
                  <c:v>172.55215056840905</c:v>
                </c:pt>
                <c:pt idx="8">
                  <c:v>152.77639552232836</c:v>
                </c:pt>
                <c:pt idx="9">
                  <c:v>141.60368922470627</c:v>
                </c:pt>
                <c:pt idx="10">
                  <c:v>151.08303849054613</c:v>
                </c:pt>
                <c:pt idx="11">
                  <c:v>154.69835141492936</c:v>
                </c:pt>
                <c:pt idx="12">
                  <c:v>224.10975051388948</c:v>
                </c:pt>
                <c:pt idx="13">
                  <c:v>184.63149749982296</c:v>
                </c:pt>
                <c:pt idx="14">
                  <c:v>196.19093325486654</c:v>
                </c:pt>
                <c:pt idx="15">
                  <c:v>184.79710518524729</c:v>
                </c:pt>
                <c:pt idx="16">
                  <c:v>212.22904154465783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2D-47BF-8B85-56C875A88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266399"/>
        <c:axId val="2045567984"/>
      </c:lineChart>
      <c:catAx>
        <c:axId val="100266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045567984"/>
        <c:crosses val="autoZero"/>
        <c:auto val="1"/>
        <c:lblAlgn val="ctr"/>
        <c:lblOffset val="100"/>
        <c:noMultiLvlLbl val="0"/>
      </c:catAx>
      <c:valAx>
        <c:axId val="20455679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kha</a:t>
                </a:r>
                <a:endParaRPr lang="en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00266399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'L5. Net land take'!$A$3</c:f>
              <c:strCache>
                <c:ptCount val="1"/>
                <c:pt idx="0">
                  <c:v>annual increase in settlement area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strRef>
              <c:f>'L5. Net land take'!$E$2:$AW$2</c:f>
              <c:strCache>
                <c:ptCount val="45"/>
                <c:pt idx="4">
                  <c:v>2010</c:v>
                </c:pt>
                <c:pt idx="9">
                  <c:v>2015</c:v>
                </c:pt>
                <c:pt idx="14">
                  <c:v>2020</c:v>
                </c:pt>
                <c:pt idx="19">
                  <c:v>2025</c:v>
                </c:pt>
                <c:pt idx="24">
                  <c:v>2030</c:v>
                </c:pt>
                <c:pt idx="29">
                  <c:v>2035</c:v>
                </c:pt>
                <c:pt idx="34">
                  <c:v>2040</c:v>
                </c:pt>
                <c:pt idx="39">
                  <c:v>2045</c:v>
                </c:pt>
                <c:pt idx="44">
                  <c:v>2050</c:v>
                </c:pt>
              </c:strCache>
            </c:strRef>
          </c:cat>
          <c:val>
            <c:numRef>
              <c:f>'L5. Net land take'!$E$3:$AW$3</c:f>
              <c:numCache>
                <c:formatCode>0.00</c:formatCode>
                <c:ptCount val="45"/>
                <c:pt idx="0">
                  <c:v>401.19321244507591</c:v>
                </c:pt>
                <c:pt idx="1">
                  <c:v>231.93072364233012</c:v>
                </c:pt>
                <c:pt idx="2">
                  <c:v>225.85633956975289</c:v>
                </c:pt>
                <c:pt idx="3">
                  <c:v>236.55833969975356</c:v>
                </c:pt>
                <c:pt idx="4">
                  <c:v>232.01301003732806</c:v>
                </c:pt>
                <c:pt idx="5">
                  <c:v>228.45056036303504</c:v>
                </c:pt>
                <c:pt idx="6">
                  <c:v>231.94095441418904</c:v>
                </c:pt>
                <c:pt idx="7">
                  <c:v>155.89010186346059</c:v>
                </c:pt>
                <c:pt idx="8">
                  <c:v>265.2911194371336</c:v>
                </c:pt>
                <c:pt idx="9">
                  <c:v>125.57669410957897</c:v>
                </c:pt>
                <c:pt idx="10">
                  <c:v>179.18642471923886</c:v>
                </c:pt>
                <c:pt idx="11">
                  <c:v>141.46489158360419</c:v>
                </c:pt>
                <c:pt idx="12">
                  <c:v>164.33094171945777</c:v>
                </c:pt>
                <c:pt idx="13">
                  <c:v>149.25088031767154</c:v>
                </c:pt>
                <c:pt idx="14">
                  <c:v>157.54236404463154</c:v>
                </c:pt>
                <c:pt idx="15">
                  <c:v>142.16969832046743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17-4598-B24F-3FCE47485D2C}"/>
            </c:ext>
          </c:extLst>
        </c:ser>
        <c:ser>
          <c:idx val="1"/>
          <c:order val="1"/>
          <c:tx>
            <c:strRef>
              <c:f>'L5. Net land take'!$A$4</c:f>
              <c:strCache>
                <c:ptCount val="1"/>
                <c:pt idx="0">
                  <c:v>2050 benchmark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3D5584"/>
              </a:solidFill>
              <a:ln w="9525">
                <a:noFill/>
              </a:ln>
              <a:effectLst/>
            </c:spPr>
          </c:marker>
          <c:cat>
            <c:strRef>
              <c:f>'L5. Net land take'!$E$2:$AW$2</c:f>
              <c:strCache>
                <c:ptCount val="45"/>
                <c:pt idx="4">
                  <c:v>2010</c:v>
                </c:pt>
                <c:pt idx="9">
                  <c:v>2015</c:v>
                </c:pt>
                <c:pt idx="14">
                  <c:v>2020</c:v>
                </c:pt>
                <c:pt idx="19">
                  <c:v>2025</c:v>
                </c:pt>
                <c:pt idx="24">
                  <c:v>2030</c:v>
                </c:pt>
                <c:pt idx="29">
                  <c:v>2035</c:v>
                </c:pt>
                <c:pt idx="34">
                  <c:v>2040</c:v>
                </c:pt>
                <c:pt idx="39">
                  <c:v>2045</c:v>
                </c:pt>
                <c:pt idx="44">
                  <c:v>2050</c:v>
                </c:pt>
              </c:strCache>
            </c:strRef>
          </c:cat>
          <c:val>
            <c:numRef>
              <c:f>'L5. Net land take'!$E$4:$AW$4</c:f>
              <c:numCache>
                <c:formatCode>0.00</c:formatCode>
                <c:ptCount val="45"/>
                <c:pt idx="44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17-4598-B24F-3FCE47485D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0074688"/>
        <c:axId val="2132133328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'L5. Net land take'!$A$5</c15:sqref>
                        </c15:formulaRef>
                      </c:ext>
                    </c:extLst>
                    <c:strCache>
                      <c:ptCount val="1"/>
                      <c:pt idx="0">
                        <c:v>linear trajectory to benchmark</c:v>
                      </c:pt>
                    </c:strCache>
                  </c:strRef>
                </c:tx>
                <c:spPr>
                  <a:ln w="12700" cap="rnd">
                    <a:solidFill>
                      <a:sysClr val="windowText" lastClr="000000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'L5. Net land take'!$E$2:$AW$2</c15:sqref>
                        </c15:formulaRef>
                      </c:ext>
                    </c:extLst>
                    <c:strCache>
                      <c:ptCount val="45"/>
                      <c:pt idx="4">
                        <c:v>2010</c:v>
                      </c:pt>
                      <c:pt idx="9">
                        <c:v>2015</c:v>
                      </c:pt>
                      <c:pt idx="14">
                        <c:v>2020</c:v>
                      </c:pt>
                      <c:pt idx="19">
                        <c:v>2025</c:v>
                      </c:pt>
                      <c:pt idx="24">
                        <c:v>2030</c:v>
                      </c:pt>
                      <c:pt idx="29">
                        <c:v>2035</c:v>
                      </c:pt>
                      <c:pt idx="34">
                        <c:v>2040</c:v>
                      </c:pt>
                      <c:pt idx="39">
                        <c:v>2045</c:v>
                      </c:pt>
                      <c:pt idx="44">
                        <c:v>2050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'L5. Net land take'!$E$5:$AW$5</c15:sqref>
                        </c15:formulaRef>
                      </c:ext>
                    </c:extLst>
                    <c:numCache>
                      <c:formatCode>0.00</c:formatCode>
                      <c:ptCount val="45"/>
                      <c:pt idx="15">
                        <c:v>142.16969832046746</c:v>
                      </c:pt>
                      <c:pt idx="16">
                        <c:v>137.26729493010652</c:v>
                      </c:pt>
                      <c:pt idx="17">
                        <c:v>132.36489153974557</c:v>
                      </c:pt>
                      <c:pt idx="18">
                        <c:v>127.46248814938461</c:v>
                      </c:pt>
                      <c:pt idx="19">
                        <c:v>122.56008475902367</c:v>
                      </c:pt>
                      <c:pt idx="20">
                        <c:v>117.65768136866272</c:v>
                      </c:pt>
                      <c:pt idx="21">
                        <c:v>112.75527797830176</c:v>
                      </c:pt>
                      <c:pt idx="22">
                        <c:v>107.85287458794082</c:v>
                      </c:pt>
                      <c:pt idx="23">
                        <c:v>102.95047119757987</c:v>
                      </c:pt>
                      <c:pt idx="24">
                        <c:v>98.048067807218928</c:v>
                      </c:pt>
                      <c:pt idx="25">
                        <c:v>93.145664416857983</c:v>
                      </c:pt>
                      <c:pt idx="26">
                        <c:v>88.243261026497038</c:v>
                      </c:pt>
                      <c:pt idx="27">
                        <c:v>83.340857636136093</c:v>
                      </c:pt>
                      <c:pt idx="28">
                        <c:v>78.438454245775134</c:v>
                      </c:pt>
                      <c:pt idx="29">
                        <c:v>73.536050855414189</c:v>
                      </c:pt>
                      <c:pt idx="30">
                        <c:v>68.633647465053244</c:v>
                      </c:pt>
                      <c:pt idx="31">
                        <c:v>63.731244074692299</c:v>
                      </c:pt>
                      <c:pt idx="32">
                        <c:v>58.828840684331354</c:v>
                      </c:pt>
                      <c:pt idx="33">
                        <c:v>53.926437293970395</c:v>
                      </c:pt>
                      <c:pt idx="34">
                        <c:v>49.02403390360945</c:v>
                      </c:pt>
                      <c:pt idx="35">
                        <c:v>44.121630513248505</c:v>
                      </c:pt>
                      <c:pt idx="36">
                        <c:v>39.21922712288756</c:v>
                      </c:pt>
                      <c:pt idx="37">
                        <c:v>34.316823732526615</c:v>
                      </c:pt>
                      <c:pt idx="38">
                        <c:v>29.41442034216567</c:v>
                      </c:pt>
                      <c:pt idx="39">
                        <c:v>24.512016951804711</c:v>
                      </c:pt>
                      <c:pt idx="40">
                        <c:v>19.609613561443766</c:v>
                      </c:pt>
                      <c:pt idx="41">
                        <c:v>14.707210171082806</c:v>
                      </c:pt>
                      <c:pt idx="42">
                        <c:v>9.8048067807218615</c:v>
                      </c:pt>
                      <c:pt idx="43">
                        <c:v>4.9024033903609165</c:v>
                      </c:pt>
                      <c:pt idx="44">
                        <c:v>-2.8421709430404007E-14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DB17-4598-B24F-3FCE47485D2C}"/>
                  </c:ext>
                </c:extLst>
              </c15:ser>
            </c15:filteredLineSeries>
          </c:ext>
        </c:extLst>
      </c:lineChart>
      <c:catAx>
        <c:axId val="2020074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DK"/>
          </a:p>
        </c:txPr>
        <c:crossAx val="2132133328"/>
        <c:crosses val="autoZero"/>
        <c:auto val="1"/>
        <c:lblAlgn val="ctr"/>
        <c:lblOffset val="100"/>
        <c:noMultiLvlLbl val="0"/>
      </c:catAx>
      <c:valAx>
        <c:axId val="2132133328"/>
        <c:scaling>
          <c:orientation val="minMax"/>
          <c:max val="4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en-US" b="1"/>
                  <a:t>kha</a:t>
                </a:r>
                <a:endParaRPr lang="en-DK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DK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DK"/>
          </a:p>
        </c:txPr>
        <c:crossAx val="2020074688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Segoe UI" panose="020B0502040204020203" pitchFamily="34" charset="0"/>
          <a:cs typeface="Segoe UI" panose="020B0502040204020203" pitchFamily="34" charset="0"/>
        </a:defRPr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148970681431621E-2"/>
          <c:y val="4.1904749334908335E-2"/>
          <c:w val="0.55332879519289568"/>
          <c:h val="0.86972092396822676"/>
        </c:manualLayout>
      </c:layout>
      <c:barChart>
        <c:barDir val="col"/>
        <c:grouping val="stacked"/>
        <c:varyColors val="0"/>
        <c:ser>
          <c:idx val="2"/>
          <c:order val="1"/>
          <c:tx>
            <c:strRef>
              <c:f>'L6. forest living biomass'!$A$6</c:f>
              <c:strCache>
                <c:ptCount val="1"/>
                <c:pt idx="0">
                  <c:v>Deadwood, litter and soil sink</c:v>
                </c:pt>
              </c:strCache>
            </c:strRef>
          </c:tx>
          <c:spPr>
            <a:solidFill>
              <a:srgbClr val="B04545"/>
            </a:solidFill>
            <a:ln>
              <a:noFill/>
            </a:ln>
            <a:effectLst/>
          </c:spPr>
          <c:invertIfNegative val="0"/>
          <c:cat>
            <c:strRef>
              <c:f>'L6. forest living biomass'!$D$2:$AC$2</c:f>
              <c:strCache>
                <c:ptCount val="2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</c:strCache>
            </c:strRef>
          </c:cat>
          <c:val>
            <c:numRef>
              <c:f>'L6. forest living biomass'!$D$6:$AW$6</c:f>
              <c:numCache>
                <c:formatCode>0</c:formatCode>
                <c:ptCount val="46"/>
                <c:pt idx="0">
                  <c:v>53.03668416234666</c:v>
                </c:pt>
                <c:pt idx="1">
                  <c:v>54.051849840866055</c:v>
                </c:pt>
                <c:pt idx="2">
                  <c:v>46.765143421252333</c:v>
                </c:pt>
                <c:pt idx="3">
                  <c:v>39.134711320188615</c:v>
                </c:pt>
                <c:pt idx="4">
                  <c:v>52.325228950767496</c:v>
                </c:pt>
                <c:pt idx="5">
                  <c:v>44.121680280369901</c:v>
                </c:pt>
                <c:pt idx="6">
                  <c:v>45.986308993911962</c:v>
                </c:pt>
                <c:pt idx="7">
                  <c:v>41.477672996563911</c:v>
                </c:pt>
                <c:pt idx="8">
                  <c:v>49.648504855853616</c:v>
                </c:pt>
                <c:pt idx="9">
                  <c:v>39.771281391553657</c:v>
                </c:pt>
                <c:pt idx="10">
                  <c:v>47.804242169479323</c:v>
                </c:pt>
                <c:pt idx="11">
                  <c:v>44.965168557090635</c:v>
                </c:pt>
                <c:pt idx="12">
                  <c:v>25.022881878178396</c:v>
                </c:pt>
                <c:pt idx="13">
                  <c:v>39.827852656629432</c:v>
                </c:pt>
                <c:pt idx="14">
                  <c:v>48.743682954624205</c:v>
                </c:pt>
                <c:pt idx="15">
                  <c:v>44.995059452840707</c:v>
                </c:pt>
                <c:pt idx="16">
                  <c:v>49.069205978016555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4C-4B67-8F9B-6967B06295AC}"/>
            </c:ext>
          </c:extLst>
        </c:ser>
        <c:ser>
          <c:idx val="6"/>
          <c:order val="2"/>
          <c:tx>
            <c:strRef>
              <c:f>'L6. forest living biomass'!$A$5</c:f>
              <c:strCache>
                <c:ptCount val="1"/>
                <c:pt idx="0">
                  <c:v>Living biomass sink</c:v>
                </c:pt>
              </c:strCache>
            </c:strRef>
          </c:tx>
          <c:spPr>
            <a:solidFill>
              <a:srgbClr val="EFE973"/>
            </a:solidFill>
            <a:ln>
              <a:noFill/>
            </a:ln>
            <a:effectLst/>
          </c:spPr>
          <c:invertIfNegative val="0"/>
          <c:val>
            <c:numRef>
              <c:f>'L6. forest living biomass'!$D$5:$AW$5</c:f>
              <c:numCache>
                <c:formatCode>0</c:formatCode>
                <c:ptCount val="46"/>
                <c:pt idx="0">
                  <c:v>361.75531583765331</c:v>
                </c:pt>
                <c:pt idx="1">
                  <c:v>356.51215015913397</c:v>
                </c:pt>
                <c:pt idx="2">
                  <c:v>319.75285657874764</c:v>
                </c:pt>
                <c:pt idx="3">
                  <c:v>392.09028867981141</c:v>
                </c:pt>
                <c:pt idx="4">
                  <c:v>397.44277104923248</c:v>
                </c:pt>
                <c:pt idx="5">
                  <c:v>389.06931971963007</c:v>
                </c:pt>
                <c:pt idx="6">
                  <c:v>380.45769100608806</c:v>
                </c:pt>
                <c:pt idx="7">
                  <c:v>382.71632700343611</c:v>
                </c:pt>
                <c:pt idx="8">
                  <c:v>391.07149514414641</c:v>
                </c:pt>
                <c:pt idx="9">
                  <c:v>361.98171860844633</c:v>
                </c:pt>
                <c:pt idx="10">
                  <c:v>342.92375783052069</c:v>
                </c:pt>
                <c:pt idx="11">
                  <c:v>337.35383144290938</c:v>
                </c:pt>
                <c:pt idx="12">
                  <c:v>287.58911812182163</c:v>
                </c:pt>
                <c:pt idx="13">
                  <c:v>267.15614734337055</c:v>
                </c:pt>
                <c:pt idx="14">
                  <c:v>245.09631704537577</c:v>
                </c:pt>
                <c:pt idx="15">
                  <c:v>246.71294054715932</c:v>
                </c:pt>
                <c:pt idx="16">
                  <c:v>231.75979402198345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5F-456C-B472-5C7DC1DEA955}"/>
            </c:ext>
          </c:extLst>
        </c:ser>
        <c:ser>
          <c:idx val="1"/>
          <c:order val="3"/>
          <c:tx>
            <c:strRef>
              <c:f>'L6. forest living biomass'!$A$4</c:f>
              <c:strCache>
                <c:ptCount val="1"/>
                <c:pt idx="0">
                  <c:v>Wood harvesting</c:v>
                </c:pt>
              </c:strCache>
            </c:strRef>
          </c:tx>
          <c:spPr>
            <a:solidFill>
              <a:srgbClr val="98C9EE"/>
            </a:solidFill>
            <a:ln>
              <a:noFill/>
            </a:ln>
            <a:effectLst/>
          </c:spPr>
          <c:invertIfNegative val="0"/>
          <c:cat>
            <c:strRef>
              <c:f>'L6. forest living biomass'!$D$2:$AC$2</c:f>
              <c:strCache>
                <c:ptCount val="2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</c:strCache>
            </c:strRef>
          </c:cat>
          <c:val>
            <c:numRef>
              <c:f>'L6. forest living biomass'!$D$4:$AW$4</c:f>
              <c:numCache>
                <c:formatCode>0</c:formatCode>
                <c:ptCount val="46"/>
                <c:pt idx="0">
                  <c:v>435.62470506341748</c:v>
                </c:pt>
                <c:pt idx="1">
                  <c:v>413.85043571399552</c:v>
                </c:pt>
                <c:pt idx="2">
                  <c:v>442.2800023995726</c:v>
                </c:pt>
                <c:pt idx="3">
                  <c:v>413.26197341037272</c:v>
                </c:pt>
                <c:pt idx="4">
                  <c:v>381.02847836332711</c:v>
                </c:pt>
                <c:pt idx="5">
                  <c:v>428.20066802095863</c:v>
                </c:pt>
                <c:pt idx="6">
                  <c:v>428.36403518207851</c:v>
                </c:pt>
                <c:pt idx="7">
                  <c:v>428.69638165378268</c:v>
                </c:pt>
                <c:pt idx="8">
                  <c:v>435.29837549572142</c:v>
                </c:pt>
                <c:pt idx="9">
                  <c:v>435.44375583319402</c:v>
                </c:pt>
                <c:pt idx="10">
                  <c:v>443.41538592139307</c:v>
                </c:pt>
                <c:pt idx="11">
                  <c:v>449.92851885088851</c:v>
                </c:pt>
                <c:pt idx="12">
                  <c:v>455.57712123800138</c:v>
                </c:pt>
                <c:pt idx="13">
                  <c:v>479.7079168880249</c:v>
                </c:pt>
                <c:pt idx="14">
                  <c:v>482.76994549875656</c:v>
                </c:pt>
                <c:pt idx="15">
                  <c:v>467.37460502423244</c:v>
                </c:pt>
                <c:pt idx="16">
                  <c:v>486.720929319665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4C-4B67-8F9B-6967B0629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27197295"/>
        <c:axId val="934677919"/>
      </c:barChart>
      <c:lineChart>
        <c:grouping val="standard"/>
        <c:varyColors val="0"/>
        <c:ser>
          <c:idx val="0"/>
          <c:order val="0"/>
          <c:tx>
            <c:strRef>
              <c:f>'L6. forest living biomass'!$A$3</c:f>
              <c:strCache>
                <c:ptCount val="1"/>
                <c:pt idx="0">
                  <c:v>Net annual increment (NAI)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strRef>
              <c:f>'L6. forest living biomass'!$D$2:$AW$2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'L6. forest living biomass'!$D$3:$AW$3</c:f>
              <c:numCache>
                <c:formatCode>0</c:formatCode>
                <c:ptCount val="46"/>
                <c:pt idx="0">
                  <c:v>797.38002090107079</c:v>
                </c:pt>
                <c:pt idx="1">
                  <c:v>770.36258587312955</c:v>
                </c:pt>
                <c:pt idx="2">
                  <c:v>762.03285897832029</c:v>
                </c:pt>
                <c:pt idx="3">
                  <c:v>805.35226209018413</c:v>
                </c:pt>
                <c:pt idx="4">
                  <c:v>778.47124941255959</c:v>
                </c:pt>
                <c:pt idx="5">
                  <c:v>817.2699877405887</c:v>
                </c:pt>
                <c:pt idx="6">
                  <c:v>808.82172618816662</c:v>
                </c:pt>
                <c:pt idx="7">
                  <c:v>811.41270865721879</c:v>
                </c:pt>
                <c:pt idx="8">
                  <c:v>826.36987063986783</c:v>
                </c:pt>
                <c:pt idx="9">
                  <c:v>797.42547444164029</c:v>
                </c:pt>
                <c:pt idx="10">
                  <c:v>786.33914375191375</c:v>
                </c:pt>
                <c:pt idx="11">
                  <c:v>787.28235029379789</c:v>
                </c:pt>
                <c:pt idx="12">
                  <c:v>743.16623935982307</c:v>
                </c:pt>
                <c:pt idx="13">
                  <c:v>746.86406423139545</c:v>
                </c:pt>
                <c:pt idx="14">
                  <c:v>727.86626254413227</c:v>
                </c:pt>
                <c:pt idx="15">
                  <c:v>714.08754557139173</c:v>
                </c:pt>
                <c:pt idx="16">
                  <c:v>718.4807233416484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4C-4B67-8F9B-6967B06295AC}"/>
            </c:ext>
          </c:extLst>
        </c:ser>
        <c:ser>
          <c:idx val="4"/>
          <c:order val="4"/>
          <c:tx>
            <c:strRef>
              <c:f>'L6. forest living biomass'!$A$7</c:f>
              <c:strCache>
                <c:ptCount val="1"/>
                <c:pt idx="0">
                  <c:v>2030 benchmark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26119"/>
              </a:solidFill>
              <a:ln w="9525">
                <a:noFill/>
              </a:ln>
              <a:effectLst/>
            </c:spPr>
          </c:marker>
          <c:cat>
            <c:strRef>
              <c:f>'L6. forest living biomass'!$D$2:$AW$2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'L6. forest living biomass'!$D$7:$AW$7</c:f>
              <c:numCache>
                <c:formatCode>General</c:formatCode>
                <c:ptCount val="46"/>
                <c:pt idx="25" formatCode="0">
                  <c:v>380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F4C-4B67-8F9B-6967B06295AC}"/>
            </c:ext>
          </c:extLst>
        </c:ser>
        <c:ser>
          <c:idx val="3"/>
          <c:order val="5"/>
          <c:tx>
            <c:strRef>
              <c:f>'L6. forest living biomass'!$A$8</c:f>
              <c:strCache>
                <c:ptCount val="1"/>
                <c:pt idx="0">
                  <c:v>2050 benchmark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3D5584"/>
              </a:solidFill>
              <a:ln w="9525">
                <a:noFill/>
              </a:ln>
              <a:effectLst/>
            </c:spPr>
          </c:marker>
          <c:cat>
            <c:strRef>
              <c:f>'L6. forest living biomass'!$D$2:$AW$2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'L6. forest living biomass'!$D$8:$AW$8</c:f>
              <c:numCache>
                <c:formatCode>General</c:formatCode>
                <c:ptCount val="46"/>
                <c:pt idx="45">
                  <c:v>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5F-456C-B472-5C7DC1DEA9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7197295"/>
        <c:axId val="934677919"/>
        <c:extLst>
          <c:ext xmlns:c15="http://schemas.microsoft.com/office/drawing/2012/chart" uri="{02D57815-91ED-43cb-92C2-25804820EDAC}">
            <c15:filteredLineSeries>
              <c15:ser>
                <c:idx val="5"/>
                <c:order val="6"/>
                <c:tx>
                  <c:strRef>
                    <c:extLst>
                      <c:ext uri="{02D57815-91ED-43cb-92C2-25804820EDAC}">
                        <c15:formulaRef>
                          <c15:sqref>'L6. forest living biomass'!$A$9</c15:sqref>
                        </c15:formulaRef>
                      </c:ext>
                    </c:extLst>
                    <c:strCache>
                      <c:ptCount val="1"/>
                      <c:pt idx="0">
                        <c:v>linear trajectory</c:v>
                      </c:pt>
                    </c:strCache>
                  </c:strRef>
                </c:tx>
                <c:spPr>
                  <a:ln w="12700" cap="rnd">
                    <a:solidFill>
                      <a:sysClr val="windowText" lastClr="000000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'L6. forest living biomass'!$D$2:$AW$2</c15:sqref>
                        </c15:formulaRef>
                      </c:ext>
                    </c:extLst>
                    <c:strCache>
                      <c:ptCount val="46"/>
                      <c:pt idx="0">
                        <c:v>2005</c:v>
                      </c:pt>
                      <c:pt idx="5">
                        <c:v>2010</c:v>
                      </c:pt>
                      <c:pt idx="10">
                        <c:v>2015</c:v>
                      </c:pt>
                      <c:pt idx="15">
                        <c:v>2020</c:v>
                      </c:pt>
                      <c:pt idx="20">
                        <c:v>2025</c:v>
                      </c:pt>
                      <c:pt idx="25">
                        <c:v>2030</c:v>
                      </c:pt>
                      <c:pt idx="30">
                        <c:v>2035</c:v>
                      </c:pt>
                      <c:pt idx="35">
                        <c:v>2040</c:v>
                      </c:pt>
                      <c:pt idx="40">
                        <c:v>2045</c:v>
                      </c:pt>
                      <c:pt idx="45">
                        <c:v>2050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'L6. forest living biomass'!$D$9:$AW$9</c15:sqref>
                        </c15:formulaRef>
                      </c:ext>
                    </c:extLst>
                    <c:numCache>
                      <c:formatCode>General</c:formatCode>
                      <c:ptCount val="46"/>
                      <c:pt idx="16" formatCode="0">
                        <c:v>280.82900000000001</c:v>
                      </c:pt>
                      <c:pt idx="17" formatCode="0">
                        <c:v>291.84800000000001</c:v>
                      </c:pt>
                      <c:pt idx="18" formatCode="0">
                        <c:v>302.86699999999996</c:v>
                      </c:pt>
                      <c:pt idx="19" formatCode="0">
                        <c:v>313.88599999999997</c:v>
                      </c:pt>
                      <c:pt idx="20" formatCode="0">
                        <c:v>324.90499999999997</c:v>
                      </c:pt>
                      <c:pt idx="21" formatCode="0">
                        <c:v>335.92399999999998</c:v>
                      </c:pt>
                      <c:pt idx="22" formatCode="0">
                        <c:v>346.94299999999998</c:v>
                      </c:pt>
                      <c:pt idx="23" formatCode="0">
                        <c:v>357.96199999999993</c:v>
                      </c:pt>
                      <c:pt idx="24" formatCode="0">
                        <c:v>368.98099999999994</c:v>
                      </c:pt>
                      <c:pt idx="25" formatCode="0">
                        <c:v>379.99999999999994</c:v>
                      </c:pt>
                      <c:pt idx="26" formatCode="0">
                        <c:v>383.49999999999994</c:v>
                      </c:pt>
                      <c:pt idx="27" formatCode="0">
                        <c:v>386.99999999999994</c:v>
                      </c:pt>
                      <c:pt idx="28" formatCode="0">
                        <c:v>390.49999999999994</c:v>
                      </c:pt>
                      <c:pt idx="29" formatCode="0">
                        <c:v>393.99999999999994</c:v>
                      </c:pt>
                      <c:pt idx="30" formatCode="0">
                        <c:v>397.49999999999994</c:v>
                      </c:pt>
                      <c:pt idx="31" formatCode="0">
                        <c:v>400.99999999999994</c:v>
                      </c:pt>
                      <c:pt idx="32" formatCode="0">
                        <c:v>404.49999999999994</c:v>
                      </c:pt>
                      <c:pt idx="33" formatCode="0">
                        <c:v>407.99999999999994</c:v>
                      </c:pt>
                      <c:pt idx="34" formatCode="0">
                        <c:v>411.49999999999994</c:v>
                      </c:pt>
                      <c:pt idx="35" formatCode="0">
                        <c:v>414.99999999999994</c:v>
                      </c:pt>
                      <c:pt idx="36" formatCode="0">
                        <c:v>418.49999999999994</c:v>
                      </c:pt>
                      <c:pt idx="37" formatCode="0">
                        <c:v>421.99999999999994</c:v>
                      </c:pt>
                      <c:pt idx="38" formatCode="0">
                        <c:v>425.49999999999994</c:v>
                      </c:pt>
                      <c:pt idx="39" formatCode="0">
                        <c:v>428.99999999999994</c:v>
                      </c:pt>
                      <c:pt idx="40" formatCode="0">
                        <c:v>432.49999999999994</c:v>
                      </c:pt>
                      <c:pt idx="41" formatCode="0">
                        <c:v>435.99999999999994</c:v>
                      </c:pt>
                      <c:pt idx="42" formatCode="0">
                        <c:v>439.49999999999994</c:v>
                      </c:pt>
                      <c:pt idx="43" formatCode="0">
                        <c:v>442.99999999999994</c:v>
                      </c:pt>
                      <c:pt idx="44" formatCode="0">
                        <c:v>446.49999999999994</c:v>
                      </c:pt>
                      <c:pt idx="45" formatCode="0">
                        <c:v>449.99999999999994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9F4C-4B67-8F9B-6967B06295AC}"/>
                  </c:ext>
                </c:extLst>
              </c15:ser>
            </c15:filteredLineSeries>
          </c:ext>
        </c:extLst>
      </c:lineChart>
      <c:catAx>
        <c:axId val="1027197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DK"/>
          </a:p>
        </c:txPr>
        <c:crossAx val="934677919"/>
        <c:crosses val="autoZero"/>
        <c:auto val="1"/>
        <c:lblAlgn val="ctr"/>
        <c:lblOffset val="100"/>
        <c:noMultiLvlLbl val="0"/>
      </c:catAx>
      <c:valAx>
        <c:axId val="934677919"/>
        <c:scaling>
          <c:orientation val="minMax"/>
          <c:max val="9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en-DK" b="1"/>
                  <a:t>Mt CO2e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DK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DK"/>
          </a:p>
        </c:txPr>
        <c:crossAx val="1027197295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851383011029765"/>
          <c:y val="0.27880786537446856"/>
          <c:w val="0.26714446376893475"/>
          <c:h val="0.563742818394679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latin typeface="Segoe UI" panose="020B0502040204020203" pitchFamily="34" charset="0"/>
          <a:cs typeface="Segoe UI" panose="020B0502040204020203" pitchFamily="34" charset="0"/>
        </a:defRPr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'L7. Emission reductions others'!$A$4</c:f>
              <c:strCache>
                <c:ptCount val="1"/>
                <c:pt idx="0">
                  <c:v>Cropland</c:v>
                </c:pt>
              </c:strCache>
            </c:strRef>
          </c:tx>
          <c:spPr>
            <a:solidFill>
              <a:srgbClr val="EFE973"/>
            </a:solidFill>
            <a:ln>
              <a:noFill/>
            </a:ln>
            <a:effectLst/>
          </c:spPr>
          <c:invertIfNegative val="0"/>
          <c:cat>
            <c:strRef>
              <c:f>'L7. Emission reductions others'!$D$2:$AW$2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'L7. Emission reductions others'!$D$4:$AW$4</c:f>
              <c:numCache>
                <c:formatCode>#,##0</c:formatCode>
                <c:ptCount val="46"/>
                <c:pt idx="0">
                  <c:v>41.88553425752837</c:v>
                </c:pt>
                <c:pt idx="1">
                  <c:v>42.292718476518083</c:v>
                </c:pt>
                <c:pt idx="2">
                  <c:v>46.32595223374323</c:v>
                </c:pt>
                <c:pt idx="3">
                  <c:v>47.762401038868859</c:v>
                </c:pt>
                <c:pt idx="4">
                  <c:v>46.350099702714964</c:v>
                </c:pt>
                <c:pt idx="5">
                  <c:v>36.721831502557045</c:v>
                </c:pt>
                <c:pt idx="6">
                  <c:v>36.216021077214357</c:v>
                </c:pt>
                <c:pt idx="7">
                  <c:v>36.317395487500129</c:v>
                </c:pt>
                <c:pt idx="8">
                  <c:v>38.971129448076482</c:v>
                </c:pt>
                <c:pt idx="9">
                  <c:v>36.049323325525144</c:v>
                </c:pt>
                <c:pt idx="10">
                  <c:v>30.257074080196023</c:v>
                </c:pt>
                <c:pt idx="11">
                  <c:v>25.855203989966096</c:v>
                </c:pt>
                <c:pt idx="12">
                  <c:v>27.354586303049683</c:v>
                </c:pt>
                <c:pt idx="13">
                  <c:v>25.495219947681715</c:v>
                </c:pt>
                <c:pt idx="14">
                  <c:v>21.646503136414118</c:v>
                </c:pt>
                <c:pt idx="15">
                  <c:v>22.368511518801125</c:v>
                </c:pt>
                <c:pt idx="16">
                  <c:v>22.646397835763921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34-4BFB-BF67-E8A74D33A53B}"/>
            </c:ext>
          </c:extLst>
        </c:ser>
        <c:ser>
          <c:idx val="2"/>
          <c:order val="2"/>
          <c:tx>
            <c:strRef>
              <c:f>'L7. Emission reductions others'!$A$5</c:f>
              <c:strCache>
                <c:ptCount val="1"/>
                <c:pt idx="0">
                  <c:v>Grassland</c:v>
                </c:pt>
              </c:strCache>
            </c:strRef>
          </c:tx>
          <c:spPr>
            <a:solidFill>
              <a:srgbClr val="2E422F"/>
            </a:solidFill>
            <a:ln>
              <a:noFill/>
            </a:ln>
            <a:effectLst/>
          </c:spPr>
          <c:invertIfNegative val="0"/>
          <c:cat>
            <c:strRef>
              <c:f>'L7. Emission reductions others'!$D$2:$AW$2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'L7. Emission reductions others'!$D$5:$AW$5</c:f>
              <c:numCache>
                <c:formatCode>#,##0</c:formatCode>
                <c:ptCount val="46"/>
                <c:pt idx="0">
                  <c:v>32.510711081314497</c:v>
                </c:pt>
                <c:pt idx="1">
                  <c:v>27.3373261531531</c:v>
                </c:pt>
                <c:pt idx="2">
                  <c:v>33.798482800358343</c:v>
                </c:pt>
                <c:pt idx="3">
                  <c:v>31.158825769213845</c:v>
                </c:pt>
                <c:pt idx="4">
                  <c:v>32.804094809503759</c:v>
                </c:pt>
                <c:pt idx="5">
                  <c:v>31.258860638103982</c:v>
                </c:pt>
                <c:pt idx="6">
                  <c:v>32.793280383787092</c:v>
                </c:pt>
                <c:pt idx="7">
                  <c:v>33.714568394643415</c:v>
                </c:pt>
                <c:pt idx="8">
                  <c:v>40.699159635874572</c:v>
                </c:pt>
                <c:pt idx="9">
                  <c:v>23.6948825455224</c:v>
                </c:pt>
                <c:pt idx="10">
                  <c:v>21.547002939445893</c:v>
                </c:pt>
                <c:pt idx="11">
                  <c:v>21.169805021232566</c:v>
                </c:pt>
                <c:pt idx="12">
                  <c:v>25.072843377392957</c:v>
                </c:pt>
                <c:pt idx="13">
                  <c:v>16.449560015010768</c:v>
                </c:pt>
                <c:pt idx="14">
                  <c:v>18.244112195613358</c:v>
                </c:pt>
                <c:pt idx="15">
                  <c:v>18.543529602015916</c:v>
                </c:pt>
                <c:pt idx="16">
                  <c:v>24.955053501122915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34-4BFB-BF67-E8A74D33A53B}"/>
            </c:ext>
          </c:extLst>
        </c:ser>
        <c:ser>
          <c:idx val="3"/>
          <c:order val="3"/>
          <c:tx>
            <c:strRef>
              <c:f>'L7. Emission reductions others'!$A$6</c:f>
              <c:strCache>
                <c:ptCount val="1"/>
                <c:pt idx="0">
                  <c:v>Wetlands</c:v>
                </c:pt>
              </c:strCache>
            </c:strRef>
          </c:tx>
          <c:spPr>
            <a:solidFill>
              <a:srgbClr val="648ECA"/>
            </a:solidFill>
            <a:ln>
              <a:noFill/>
            </a:ln>
            <a:effectLst/>
          </c:spPr>
          <c:invertIfNegative val="0"/>
          <c:cat>
            <c:strRef>
              <c:f>'L7. Emission reductions others'!$D$2:$AW$2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'L7. Emission reductions others'!$D$6:$AW$6</c:f>
              <c:numCache>
                <c:formatCode>#,##0</c:formatCode>
                <c:ptCount val="46"/>
                <c:pt idx="0">
                  <c:v>20.342633478671015</c:v>
                </c:pt>
                <c:pt idx="1">
                  <c:v>19.996684255048407</c:v>
                </c:pt>
                <c:pt idx="2">
                  <c:v>18.814035616085214</c:v>
                </c:pt>
                <c:pt idx="3">
                  <c:v>19.020275657201509</c:v>
                </c:pt>
                <c:pt idx="4">
                  <c:v>18.775734370687793</c:v>
                </c:pt>
                <c:pt idx="5">
                  <c:v>20.203806078134242</c:v>
                </c:pt>
                <c:pt idx="6">
                  <c:v>19.884201192290881</c:v>
                </c:pt>
                <c:pt idx="7">
                  <c:v>18.65685199674396</c:v>
                </c:pt>
                <c:pt idx="8">
                  <c:v>21.154751048074466</c:v>
                </c:pt>
                <c:pt idx="9">
                  <c:v>20.163324336491801</c:v>
                </c:pt>
                <c:pt idx="10">
                  <c:v>22.092726797231361</c:v>
                </c:pt>
                <c:pt idx="11">
                  <c:v>20.224480182398143</c:v>
                </c:pt>
                <c:pt idx="12">
                  <c:v>21.688376968527802</c:v>
                </c:pt>
                <c:pt idx="13">
                  <c:v>21.436102788851176</c:v>
                </c:pt>
                <c:pt idx="14">
                  <c:v>20.796377300090132</c:v>
                </c:pt>
                <c:pt idx="15">
                  <c:v>21.449868926657988</c:v>
                </c:pt>
                <c:pt idx="16">
                  <c:v>21.269811792639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34-4BFB-BF67-E8A74D33A53B}"/>
            </c:ext>
          </c:extLst>
        </c:ser>
        <c:ser>
          <c:idx val="4"/>
          <c:order val="4"/>
          <c:tx>
            <c:strRef>
              <c:f>'L7. Emission reductions others'!$A$7</c:f>
              <c:strCache>
                <c:ptCount val="1"/>
                <c:pt idx="0">
                  <c:v>Settlements and other land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'L7. Emission reductions others'!$D$2:$AW$2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'L7. Emission reductions others'!$D$7:$AW$7</c:f>
              <c:numCache>
                <c:formatCode>#,##0</c:formatCode>
                <c:ptCount val="46"/>
                <c:pt idx="0">
                  <c:v>33.109972218041314</c:v>
                </c:pt>
                <c:pt idx="1">
                  <c:v>32.212374070467909</c:v>
                </c:pt>
                <c:pt idx="2">
                  <c:v>32.992411150895968</c:v>
                </c:pt>
                <c:pt idx="3">
                  <c:v>32.78434190794615</c:v>
                </c:pt>
                <c:pt idx="4">
                  <c:v>33.007915373243584</c:v>
                </c:pt>
                <c:pt idx="5">
                  <c:v>29.589636536777842</c:v>
                </c:pt>
                <c:pt idx="6">
                  <c:v>26.990698984333982</c:v>
                </c:pt>
                <c:pt idx="7">
                  <c:v>25.943854446788606</c:v>
                </c:pt>
                <c:pt idx="8">
                  <c:v>27.199830475603658</c:v>
                </c:pt>
                <c:pt idx="9">
                  <c:v>28.34063819573171</c:v>
                </c:pt>
                <c:pt idx="10">
                  <c:v>29.182521966706076</c:v>
                </c:pt>
                <c:pt idx="11">
                  <c:v>33.107437231689609</c:v>
                </c:pt>
                <c:pt idx="12">
                  <c:v>29.177322867486975</c:v>
                </c:pt>
                <c:pt idx="13">
                  <c:v>30.620808792356708</c:v>
                </c:pt>
                <c:pt idx="14">
                  <c:v>28.751614899110571</c:v>
                </c:pt>
                <c:pt idx="15">
                  <c:v>28.852847227459577</c:v>
                </c:pt>
                <c:pt idx="16">
                  <c:v>28.569496485855588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534-4BFB-BF67-E8A74D33A5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0067231"/>
        <c:axId val="294912127"/>
      </c:barChart>
      <c:lineChart>
        <c:grouping val="standard"/>
        <c:varyColors val="0"/>
        <c:ser>
          <c:idx val="0"/>
          <c:order val="0"/>
          <c:tx>
            <c:strRef>
              <c:f>'L7. Emission reductions others'!$A$3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strRef>
              <c:f>'L7. Emission reductions others'!$D$2:$AW$2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'L7. Emission reductions others'!$D$3:$AW$3</c:f>
              <c:numCache>
                <c:formatCode>#,##0</c:formatCode>
                <c:ptCount val="46"/>
                <c:pt idx="0">
                  <c:v>127.84885103555521</c:v>
                </c:pt>
                <c:pt idx="1">
                  <c:v>121.83910295518749</c:v>
                </c:pt>
                <c:pt idx="2">
                  <c:v>131.93088180108276</c:v>
                </c:pt>
                <c:pt idx="3">
                  <c:v>130.72584437323036</c:v>
                </c:pt>
                <c:pt idx="4">
                  <c:v>130.9378442561501</c:v>
                </c:pt>
                <c:pt idx="5">
                  <c:v>117.77413475557313</c:v>
                </c:pt>
                <c:pt idx="6">
                  <c:v>115.88420163762632</c:v>
                </c:pt>
                <c:pt idx="7">
                  <c:v>114.63267032567612</c:v>
                </c:pt>
                <c:pt idx="8">
                  <c:v>128.02487060762917</c:v>
                </c:pt>
                <c:pt idx="9">
                  <c:v>108.24816840327105</c:v>
                </c:pt>
                <c:pt idx="10">
                  <c:v>103.07932578357935</c:v>
                </c:pt>
                <c:pt idx="11">
                  <c:v>100.35692642528642</c:v>
                </c:pt>
                <c:pt idx="12">
                  <c:v>103.29312951645743</c:v>
                </c:pt>
                <c:pt idx="13">
                  <c:v>94.001691543900364</c:v>
                </c:pt>
                <c:pt idx="14">
                  <c:v>89.438607531228172</c:v>
                </c:pt>
                <c:pt idx="15">
                  <c:v>91.214757274934598</c:v>
                </c:pt>
                <c:pt idx="16">
                  <c:v>97.440759615381438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34-4BFB-BF67-E8A74D33A53B}"/>
            </c:ext>
          </c:extLst>
        </c:ser>
        <c:ser>
          <c:idx val="5"/>
          <c:order val="5"/>
          <c:tx>
            <c:strRef>
              <c:f>'L7. Emission reductions others'!$A$8</c:f>
              <c:strCache>
                <c:ptCount val="1"/>
                <c:pt idx="0">
                  <c:v>2030 benchmark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26119"/>
              </a:solidFill>
              <a:ln w="9525">
                <a:noFill/>
              </a:ln>
              <a:effectLst/>
            </c:spPr>
          </c:marker>
          <c:cat>
            <c:strRef>
              <c:f>'L7. Emission reductions others'!$D$2:$AW$2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'L7. Emission reductions others'!$D$8:$AW$8</c:f>
              <c:numCache>
                <c:formatCode>General</c:formatCode>
                <c:ptCount val="46"/>
                <c:pt idx="25">
                  <c:v>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534-4BFB-BF67-E8A74D33A53B}"/>
            </c:ext>
          </c:extLst>
        </c:ser>
        <c:ser>
          <c:idx val="6"/>
          <c:order val="6"/>
          <c:tx>
            <c:strRef>
              <c:f>'L7. Emission reductions others'!$A$9</c:f>
              <c:strCache>
                <c:ptCount val="1"/>
                <c:pt idx="0">
                  <c:v>2050 benchmark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3D5584"/>
              </a:solidFill>
              <a:ln w="9525">
                <a:noFill/>
              </a:ln>
              <a:effectLst/>
            </c:spPr>
          </c:marker>
          <c:cat>
            <c:strRef>
              <c:f>'L7. Emission reductions others'!$D$2:$AW$2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'L7. Emission reductions others'!$D$9:$AW$9</c:f>
              <c:numCache>
                <c:formatCode>General</c:formatCode>
                <c:ptCount val="46"/>
                <c:pt idx="45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534-4BFB-BF67-E8A74D33A5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0067231"/>
        <c:axId val="294912127"/>
        <c:extLst>
          <c:ext xmlns:c15="http://schemas.microsoft.com/office/drawing/2012/chart" uri="{02D57815-91ED-43cb-92C2-25804820EDAC}">
            <c15:filteredLine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'L7. Emission reductions others'!$A$10</c15:sqref>
                        </c15:formulaRef>
                      </c:ext>
                    </c:extLst>
                    <c:strCache>
                      <c:ptCount val="1"/>
                      <c:pt idx="0">
                        <c:v>linear trajectory</c:v>
                      </c:pt>
                    </c:strCache>
                  </c:strRef>
                </c:tx>
                <c:spPr>
                  <a:ln w="12700" cap="rnd">
                    <a:solidFill>
                      <a:sysClr val="windowText" lastClr="000000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'L7. Emission reductions others'!$D$2:$AW$2</c15:sqref>
                        </c15:formulaRef>
                      </c:ext>
                    </c:extLst>
                    <c:strCache>
                      <c:ptCount val="46"/>
                      <c:pt idx="0">
                        <c:v>2005</c:v>
                      </c:pt>
                      <c:pt idx="5">
                        <c:v>2010</c:v>
                      </c:pt>
                      <c:pt idx="10">
                        <c:v>2015</c:v>
                      </c:pt>
                      <c:pt idx="15">
                        <c:v>2020</c:v>
                      </c:pt>
                      <c:pt idx="20">
                        <c:v>2025</c:v>
                      </c:pt>
                      <c:pt idx="25">
                        <c:v>2030</c:v>
                      </c:pt>
                      <c:pt idx="30">
                        <c:v>2035</c:v>
                      </c:pt>
                      <c:pt idx="35">
                        <c:v>2040</c:v>
                      </c:pt>
                      <c:pt idx="40">
                        <c:v>2045</c:v>
                      </c:pt>
                      <c:pt idx="45">
                        <c:v>2050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'L7. Emission reductions others'!$D$10:$AW$10</c15:sqref>
                        </c15:formulaRef>
                      </c:ext>
                    </c:extLst>
                    <c:numCache>
                      <c:formatCode>General</c:formatCode>
                      <c:ptCount val="46"/>
                      <c:pt idx="16" formatCode="#,##0">
                        <c:v>97.440759615381438</c:v>
                      </c:pt>
                      <c:pt idx="17" formatCode="#,##0">
                        <c:v>96.169564102561282</c:v>
                      </c:pt>
                      <c:pt idx="18" formatCode="#,##0">
                        <c:v>94.898368589741111</c:v>
                      </c:pt>
                      <c:pt idx="19" formatCode="#,##0">
                        <c:v>93.627173076920954</c:v>
                      </c:pt>
                      <c:pt idx="20" formatCode="#,##0">
                        <c:v>92.355977564100797</c:v>
                      </c:pt>
                      <c:pt idx="21" formatCode="#,##0">
                        <c:v>91.084782051280641</c:v>
                      </c:pt>
                      <c:pt idx="22" formatCode="#,##0">
                        <c:v>89.81358653846047</c:v>
                      </c:pt>
                      <c:pt idx="23" formatCode="#,##0">
                        <c:v>88.542391025640313</c:v>
                      </c:pt>
                      <c:pt idx="24" formatCode="#,##0">
                        <c:v>87.271195512820157</c:v>
                      </c:pt>
                      <c:pt idx="25" formatCode="#,##0">
                        <c:v>85.999999999999986</c:v>
                      </c:pt>
                      <c:pt idx="26" formatCode="#,##0">
                        <c:v>82.949999999999989</c:v>
                      </c:pt>
                      <c:pt idx="27" formatCode="#,##0">
                        <c:v>79.899999999999991</c:v>
                      </c:pt>
                      <c:pt idx="28" formatCode="#,##0">
                        <c:v>76.849999999999994</c:v>
                      </c:pt>
                      <c:pt idx="29" formatCode="#,##0">
                        <c:v>73.799999999999983</c:v>
                      </c:pt>
                      <c:pt idx="30" formatCode="#,##0">
                        <c:v>70.749999999999986</c:v>
                      </c:pt>
                      <c:pt idx="31" formatCode="#,##0">
                        <c:v>67.699999999999989</c:v>
                      </c:pt>
                      <c:pt idx="32" formatCode="#,##0">
                        <c:v>64.649999999999991</c:v>
                      </c:pt>
                      <c:pt idx="33" formatCode="#,##0">
                        <c:v>61.599999999999994</c:v>
                      </c:pt>
                      <c:pt idx="34" formatCode="#,##0">
                        <c:v>58.55</c:v>
                      </c:pt>
                      <c:pt idx="35" formatCode="#,##0">
                        <c:v>55.499999999999993</c:v>
                      </c:pt>
                      <c:pt idx="36" formatCode="#,##0">
                        <c:v>52.449999999999996</c:v>
                      </c:pt>
                      <c:pt idx="37" formatCode="#,##0">
                        <c:v>49.4</c:v>
                      </c:pt>
                      <c:pt idx="38" formatCode="#,##0">
                        <c:v>46.349999999999994</c:v>
                      </c:pt>
                      <c:pt idx="39" formatCode="#,##0">
                        <c:v>43.3</c:v>
                      </c:pt>
                      <c:pt idx="40" formatCode="#,##0">
                        <c:v>40.25</c:v>
                      </c:pt>
                      <c:pt idx="41" formatCode="#,##0">
                        <c:v>37.200000000000003</c:v>
                      </c:pt>
                      <c:pt idx="42" formatCode="#,##0">
                        <c:v>34.150000000000006</c:v>
                      </c:pt>
                      <c:pt idx="43" formatCode="#,##0">
                        <c:v>31.1</c:v>
                      </c:pt>
                      <c:pt idx="44" formatCode="#,##0">
                        <c:v>28.050000000000004</c:v>
                      </c:pt>
                      <c:pt idx="45" formatCode="#,##0">
                        <c:v>25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A534-4BFB-BF67-E8A74D33A53B}"/>
                  </c:ext>
                </c:extLst>
              </c15:ser>
            </c15:filteredLineSeries>
          </c:ext>
        </c:extLst>
      </c:lineChart>
      <c:catAx>
        <c:axId val="310067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DK"/>
          </a:p>
        </c:txPr>
        <c:crossAx val="294912127"/>
        <c:crosses val="autoZero"/>
        <c:auto val="1"/>
        <c:lblAlgn val="ctr"/>
        <c:lblOffset val="100"/>
        <c:noMultiLvlLbl val="0"/>
      </c:catAx>
      <c:valAx>
        <c:axId val="2949121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en-US" b="1"/>
                  <a:t>Mt CO2e</a:t>
                </a:r>
                <a:endParaRPr lang="en-DK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DK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DK"/>
          </a:p>
        </c:txPr>
        <c:crossAx val="310067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Segoe UI" panose="020B0502040204020203" pitchFamily="34" charset="0"/>
          <a:cs typeface="Segoe UI" panose="020B0502040204020203" pitchFamily="34" charset="0"/>
        </a:defRPr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4"/>
          <c:order val="1"/>
          <c:tx>
            <c:strRef>
              <c:f>'L8. bioenergy'!$A$7</c:f>
              <c:strCache>
                <c:ptCount val="1"/>
                <c:pt idx="0">
                  <c:v>Other sectors</c:v>
                </c:pt>
              </c:strCache>
            </c:strRef>
          </c:tx>
          <c:spPr>
            <a:solidFill>
              <a:srgbClr val="EFE973"/>
            </a:solidFill>
            <a:ln>
              <a:noFill/>
            </a:ln>
            <a:effectLst/>
          </c:spPr>
          <c:invertIfNegative val="0"/>
          <c:cat>
            <c:strRef>
              <c:f>'L8. bioenergy'!$E$2:$AX$2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'L8. bioenergy'!$E$7:$AX$7</c:f>
              <c:numCache>
                <c:formatCode>#,##0</c:formatCode>
                <c:ptCount val="46"/>
                <c:pt idx="0">
                  <c:v>441.70782499999996</c:v>
                </c:pt>
                <c:pt idx="1">
                  <c:v>458.46250899999995</c:v>
                </c:pt>
                <c:pt idx="2">
                  <c:v>491.33596400000005</c:v>
                </c:pt>
                <c:pt idx="3">
                  <c:v>534.02721199999996</c:v>
                </c:pt>
                <c:pt idx="4">
                  <c:v>541.42352999999991</c:v>
                </c:pt>
                <c:pt idx="5">
                  <c:v>578.04889900000001</c:v>
                </c:pt>
                <c:pt idx="6">
                  <c:v>520.22378600000002</c:v>
                </c:pt>
                <c:pt idx="7">
                  <c:v>585.80612800000006</c:v>
                </c:pt>
                <c:pt idx="8">
                  <c:v>596.77706299999988</c:v>
                </c:pt>
                <c:pt idx="9">
                  <c:v>531.81478400000003</c:v>
                </c:pt>
                <c:pt idx="10">
                  <c:v>553.78324199999997</c:v>
                </c:pt>
                <c:pt idx="11">
                  <c:v>550.79331499999989</c:v>
                </c:pt>
                <c:pt idx="12">
                  <c:v>558.61111900000003</c:v>
                </c:pt>
                <c:pt idx="13">
                  <c:v>583.60529999999994</c:v>
                </c:pt>
                <c:pt idx="14">
                  <c:v>584.92915200000004</c:v>
                </c:pt>
                <c:pt idx="15">
                  <c:v>567.79487300000017</c:v>
                </c:pt>
                <c:pt idx="16">
                  <c:v>614.96350400000017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DB-4C01-BF09-94CD937E2427}"/>
            </c:ext>
          </c:extLst>
        </c:ser>
        <c:ser>
          <c:idx val="1"/>
          <c:order val="2"/>
          <c:tx>
            <c:strRef>
              <c:f>'L8. bioenergy'!$A$4</c:f>
              <c:strCache>
                <c:ptCount val="1"/>
                <c:pt idx="0">
                  <c:v>Power and heat</c:v>
                </c:pt>
              </c:strCache>
            </c:strRef>
          </c:tx>
          <c:spPr>
            <a:solidFill>
              <a:srgbClr val="3D5584"/>
            </a:solidFill>
            <a:ln>
              <a:noFill/>
            </a:ln>
            <a:effectLst/>
          </c:spPr>
          <c:invertIfNegative val="0"/>
          <c:cat>
            <c:strRef>
              <c:f>'L8. bioenergy'!$E$2:$AX$2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'L8. bioenergy'!$E$4:$AX$4</c:f>
              <c:numCache>
                <c:formatCode>#,##0</c:formatCode>
                <c:ptCount val="46"/>
                <c:pt idx="0">
                  <c:v>216.83460200000002</c:v>
                </c:pt>
                <c:pt idx="1">
                  <c:v>243.42545500000003</c:v>
                </c:pt>
                <c:pt idx="2">
                  <c:v>281.75916699999999</c:v>
                </c:pt>
                <c:pt idx="3">
                  <c:v>343.72267199999999</c:v>
                </c:pt>
                <c:pt idx="4">
                  <c:v>397.94205800000003</c:v>
                </c:pt>
                <c:pt idx="5">
                  <c:v>463.51747599999999</c:v>
                </c:pt>
                <c:pt idx="6">
                  <c:v>481.50767099999996</c:v>
                </c:pt>
                <c:pt idx="7">
                  <c:v>544.17819900000006</c:v>
                </c:pt>
                <c:pt idx="8">
                  <c:v>547.72582599999998</c:v>
                </c:pt>
                <c:pt idx="9">
                  <c:v>567.06578499999989</c:v>
                </c:pt>
                <c:pt idx="10">
                  <c:v>577.36451099999999</c:v>
                </c:pt>
                <c:pt idx="11">
                  <c:v>583.04395000000011</c:v>
                </c:pt>
                <c:pt idx="12">
                  <c:v>605.79835000000003</c:v>
                </c:pt>
                <c:pt idx="13">
                  <c:v>631.17781500000001</c:v>
                </c:pt>
                <c:pt idx="14">
                  <c:v>654.93196499999999</c:v>
                </c:pt>
                <c:pt idx="15">
                  <c:v>674.97423300000003</c:v>
                </c:pt>
                <c:pt idx="16">
                  <c:v>729.17528500000014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DB-4C01-BF09-94CD937E2427}"/>
            </c:ext>
          </c:extLst>
        </c:ser>
        <c:ser>
          <c:idx val="2"/>
          <c:order val="3"/>
          <c:tx>
            <c:strRef>
              <c:f>'L8. bioenergy'!$A$5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rgbClr val="F26119"/>
            </a:solidFill>
            <a:ln>
              <a:noFill/>
            </a:ln>
            <a:effectLst/>
          </c:spPr>
          <c:invertIfNegative val="0"/>
          <c:cat>
            <c:strRef>
              <c:f>'L8. bioenergy'!$E$2:$AX$2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'L8. bioenergy'!$E$5:$AX$5</c:f>
              <c:numCache>
                <c:formatCode>#,##0</c:formatCode>
                <c:ptCount val="46"/>
                <c:pt idx="0">
                  <c:v>201.32204899999999</c:v>
                </c:pt>
                <c:pt idx="1">
                  <c:v>209.756362</c:v>
                </c:pt>
                <c:pt idx="2">
                  <c:v>218.36647900000003</c:v>
                </c:pt>
                <c:pt idx="3">
                  <c:v>210.71204999999998</c:v>
                </c:pt>
                <c:pt idx="4">
                  <c:v>207.776625</c:v>
                </c:pt>
                <c:pt idx="5">
                  <c:v>224.939404</c:v>
                </c:pt>
                <c:pt idx="6">
                  <c:v>224.67066200000002</c:v>
                </c:pt>
                <c:pt idx="7">
                  <c:v>216.96218000000002</c:v>
                </c:pt>
                <c:pt idx="8">
                  <c:v>221.10511100000002</c:v>
                </c:pt>
                <c:pt idx="9">
                  <c:v>224.30174299999999</c:v>
                </c:pt>
                <c:pt idx="10">
                  <c:v>233.025668</c:v>
                </c:pt>
                <c:pt idx="11">
                  <c:v>243.03760700000001</c:v>
                </c:pt>
                <c:pt idx="12">
                  <c:v>245.42054499999998</c:v>
                </c:pt>
                <c:pt idx="13">
                  <c:v>249.78806700000004</c:v>
                </c:pt>
                <c:pt idx="14">
                  <c:v>255.07633999999999</c:v>
                </c:pt>
                <c:pt idx="15">
                  <c:v>255.27680699999999</c:v>
                </c:pt>
                <c:pt idx="16">
                  <c:v>256.79752500000001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DB-4C01-BF09-94CD937E2427}"/>
            </c:ext>
          </c:extLst>
        </c:ser>
        <c:ser>
          <c:idx val="3"/>
          <c:order val="4"/>
          <c:tx>
            <c:strRef>
              <c:f>'L8. bioenergy'!$A$6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'L8. bioenergy'!$E$2:$AX$2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'L8. bioenergy'!$E$6:$AX$6</c:f>
              <c:numCache>
                <c:formatCode>#,##0</c:formatCode>
                <c:ptCount val="46"/>
                <c:pt idx="0">
                  <c:v>36.520967000000006</c:v>
                </c:pt>
                <c:pt idx="1">
                  <c:v>60.421133999999995</c:v>
                </c:pt>
                <c:pt idx="2">
                  <c:v>84.486592999999999</c:v>
                </c:pt>
                <c:pt idx="3">
                  <c:v>104.159728</c:v>
                </c:pt>
                <c:pt idx="4">
                  <c:v>123.11382800000001</c:v>
                </c:pt>
                <c:pt idx="5">
                  <c:v>139.67660800000002</c:v>
                </c:pt>
                <c:pt idx="6">
                  <c:v>147.56041099999999</c:v>
                </c:pt>
                <c:pt idx="7">
                  <c:v>157.28238100000002</c:v>
                </c:pt>
                <c:pt idx="8">
                  <c:v>140.10696199999998</c:v>
                </c:pt>
                <c:pt idx="9">
                  <c:v>151.144057</c:v>
                </c:pt>
                <c:pt idx="10">
                  <c:v>151.26266699999999</c:v>
                </c:pt>
                <c:pt idx="11">
                  <c:v>147.52683100000002</c:v>
                </c:pt>
                <c:pt idx="12">
                  <c:v>160.875496</c:v>
                </c:pt>
                <c:pt idx="13">
                  <c:v>177.529417</c:v>
                </c:pt>
                <c:pt idx="14">
                  <c:v>184.03662199999997</c:v>
                </c:pt>
                <c:pt idx="15">
                  <c:v>186.04972699999999</c:v>
                </c:pt>
                <c:pt idx="16">
                  <c:v>194.75991599999998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DB-4C01-BF09-94CD937E24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56921519"/>
        <c:axId val="1133947551"/>
      </c:barChart>
      <c:lineChart>
        <c:grouping val="standard"/>
        <c:varyColors val="0"/>
        <c:ser>
          <c:idx val="0"/>
          <c:order val="0"/>
          <c:tx>
            <c:strRef>
              <c:f>'L8. bioenergy'!$A$3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strRef>
              <c:f>'L8. bioenergy'!$E$2:$AX$2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'L8. bioenergy'!$E$3:$AX$3</c:f>
              <c:numCache>
                <c:formatCode>#,##0</c:formatCode>
                <c:ptCount val="46"/>
                <c:pt idx="0">
                  <c:v>896.3854429999999</c:v>
                </c:pt>
                <c:pt idx="1">
                  <c:v>972.06546000000003</c:v>
                </c:pt>
                <c:pt idx="2">
                  <c:v>1075.9482030000001</c:v>
                </c:pt>
                <c:pt idx="3">
                  <c:v>1192.621662</c:v>
                </c:pt>
                <c:pt idx="4">
                  <c:v>1270.2560410000001</c:v>
                </c:pt>
                <c:pt idx="5">
                  <c:v>1406.1823869999998</c:v>
                </c:pt>
                <c:pt idx="6">
                  <c:v>1373.96253</c:v>
                </c:pt>
                <c:pt idx="7">
                  <c:v>1504.2288880000001</c:v>
                </c:pt>
                <c:pt idx="8">
                  <c:v>1505.7149619999998</c:v>
                </c:pt>
                <c:pt idx="9">
                  <c:v>1474.3263689999999</c:v>
                </c:pt>
                <c:pt idx="10">
                  <c:v>1515.4360879999999</c:v>
                </c:pt>
                <c:pt idx="11">
                  <c:v>1524.401703</c:v>
                </c:pt>
                <c:pt idx="12">
                  <c:v>1570.70551</c:v>
                </c:pt>
                <c:pt idx="13">
                  <c:v>1642.1005990000001</c:v>
                </c:pt>
                <c:pt idx="14">
                  <c:v>1678.9740790000001</c:v>
                </c:pt>
                <c:pt idx="15">
                  <c:v>1684.09564</c:v>
                </c:pt>
                <c:pt idx="16">
                  <c:v>1795.6962300000005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DB-4C01-BF09-94CD937E2427}"/>
            </c:ext>
          </c:extLst>
        </c:ser>
        <c:ser>
          <c:idx val="5"/>
          <c:order val="5"/>
          <c:tx>
            <c:strRef>
              <c:f>'L8. bioenergy'!$A$8</c:f>
              <c:strCache>
                <c:ptCount val="1"/>
                <c:pt idx="0">
                  <c:v>2030 benchmark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26119"/>
              </a:solidFill>
              <a:ln w="9525">
                <a:noFill/>
              </a:ln>
              <a:effectLst/>
            </c:spPr>
          </c:marker>
          <c:cat>
            <c:strRef>
              <c:f>'L8. bioenergy'!$E$2:$AX$2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'L8. bioenergy'!$E$8:$AX$8</c:f>
              <c:numCache>
                <c:formatCode>0</c:formatCode>
                <c:ptCount val="46"/>
                <c:pt idx="25">
                  <c:v>1783.0388746023273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0DB-4C01-BF09-94CD937E2427}"/>
            </c:ext>
          </c:extLst>
        </c:ser>
        <c:ser>
          <c:idx val="6"/>
          <c:order val="6"/>
          <c:tx>
            <c:strRef>
              <c:f>'L8. bioenergy'!$A$9</c:f>
              <c:strCache>
                <c:ptCount val="1"/>
                <c:pt idx="0">
                  <c:v>2050 benchmark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3D5584"/>
              </a:solidFill>
              <a:ln w="9525">
                <a:noFill/>
              </a:ln>
              <a:effectLst/>
            </c:spPr>
          </c:marker>
          <c:cat>
            <c:strRef>
              <c:f>'L8. bioenergy'!$E$2:$AX$2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'L8. bioenergy'!$E$9:$AX$9</c:f>
              <c:numCache>
                <c:formatCode>0</c:formatCode>
                <c:ptCount val="46"/>
                <c:pt idx="45">
                  <c:v>2815.0902164136196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0DB-4C01-BF09-94CD937E2427}"/>
            </c:ext>
          </c:extLst>
        </c:ser>
        <c:ser>
          <c:idx val="7"/>
          <c:order val="7"/>
          <c:tx>
            <c:strRef>
              <c:f>'L8. bioenergy'!$A$10</c:f>
              <c:strCache>
                <c:ptCount val="1"/>
                <c:pt idx="0">
                  <c:v>2040 advice scenarios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A2C0B6"/>
              </a:solidFill>
              <a:ln w="9525">
                <a:noFill/>
              </a:ln>
              <a:effectLst/>
            </c:spPr>
          </c:marker>
          <c:cat>
            <c:strRef>
              <c:f>'L8. bioenergy'!$E$2:$AX$2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'L8. bioenergy'!$E$10:$AX$10</c:f>
              <c:numCache>
                <c:formatCode>0</c:formatCode>
                <c:ptCount val="46"/>
                <c:pt idx="35" formatCode="General">
                  <c:v>1963.0972222379269</c:v>
                </c:pt>
                <c:pt idx="45" formatCode="General">
                  <c:v>2077.3379629795818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0DB-4C01-BF09-94CD937E24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6921519"/>
        <c:axId val="1133947551"/>
      </c:lineChart>
      <c:catAx>
        <c:axId val="1156921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133947551"/>
        <c:crosses val="autoZero"/>
        <c:auto val="1"/>
        <c:lblAlgn val="ctr"/>
        <c:lblOffset val="100"/>
        <c:noMultiLvlLbl val="0"/>
      </c:catAx>
      <c:valAx>
        <c:axId val="11339475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DK" b="1"/>
                  <a:t>TWh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156921519"/>
        <c:crosses val="autoZero"/>
        <c:crossBetween val="between"/>
        <c:majorUnit val="100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'L8. bioenergy'!$A$14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'L8. bioenergy'!$B$13:$E$13</c:f>
              <c:strCache>
                <c:ptCount val="4"/>
                <c:pt idx="0">
                  <c:v>Power and heat</c:v>
                </c:pt>
                <c:pt idx="1">
                  <c:v>Transport</c:v>
                </c:pt>
                <c:pt idx="2">
                  <c:v>Industry</c:v>
                </c:pt>
                <c:pt idx="3">
                  <c:v>Other sectors</c:v>
                </c:pt>
              </c:strCache>
            </c:strRef>
          </c:cat>
          <c:val>
            <c:numRef>
              <c:f>'L8. bioenergy'!$B$14:$E$14</c:f>
              <c:numCache>
                <c:formatCode>#,##0</c:formatCode>
                <c:ptCount val="4"/>
                <c:pt idx="0">
                  <c:v>729.17528500000014</c:v>
                </c:pt>
                <c:pt idx="1">
                  <c:v>194.75991599999998</c:v>
                </c:pt>
                <c:pt idx="2">
                  <c:v>256.79752500000001</c:v>
                </c:pt>
                <c:pt idx="3">
                  <c:v>614.96350400000017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BB-4090-A1B1-8B82B753A5FB}"/>
            </c:ext>
          </c:extLst>
        </c:ser>
        <c:ser>
          <c:idx val="1"/>
          <c:order val="1"/>
          <c:tx>
            <c:strRef>
              <c:f>'L8. bioenergy'!$A$15</c:f>
              <c:strCache>
                <c:ptCount val="1"/>
                <c:pt idx="0">
                  <c:v>2030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'L8. bioenergy'!$B$13:$E$13</c:f>
              <c:strCache>
                <c:ptCount val="4"/>
                <c:pt idx="0">
                  <c:v>Power and heat</c:v>
                </c:pt>
                <c:pt idx="1">
                  <c:v>Transport</c:v>
                </c:pt>
                <c:pt idx="2">
                  <c:v>Industry</c:v>
                </c:pt>
                <c:pt idx="3">
                  <c:v>Other sectors</c:v>
                </c:pt>
              </c:strCache>
            </c:strRef>
          </c:cat>
          <c:val>
            <c:numRef>
              <c:f>'L8. bioenergy'!$B$15:$E$15</c:f>
              <c:numCache>
                <c:formatCode>0</c:formatCode>
                <c:ptCount val="4"/>
                <c:pt idx="0">
                  <c:v>613.44428329089749</c:v>
                </c:pt>
                <c:pt idx="1">
                  <c:v>236.52449332546149</c:v>
                </c:pt>
                <c:pt idx="2">
                  <c:v>308.13943510248959</c:v>
                </c:pt>
                <c:pt idx="3">
                  <c:v>624.93066288347859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BB-4090-A1B1-8B82B753A5FB}"/>
            </c:ext>
          </c:extLst>
        </c:ser>
        <c:ser>
          <c:idx val="2"/>
          <c:order val="2"/>
          <c:tx>
            <c:strRef>
              <c:f>'L8. bioenergy'!$A$16</c:f>
              <c:strCache>
                <c:ptCount val="1"/>
                <c:pt idx="0">
                  <c:v>2050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'L8. bioenergy'!$B$13:$E$13</c:f>
              <c:strCache>
                <c:ptCount val="4"/>
                <c:pt idx="0">
                  <c:v>Power and heat</c:v>
                </c:pt>
                <c:pt idx="1">
                  <c:v>Transport</c:v>
                </c:pt>
                <c:pt idx="2">
                  <c:v>Industry</c:v>
                </c:pt>
                <c:pt idx="3">
                  <c:v>Other sectors</c:v>
                </c:pt>
              </c:strCache>
            </c:strRef>
          </c:cat>
          <c:val>
            <c:numRef>
              <c:f>'L8. bioenergy'!$B$16:$E$16</c:f>
              <c:numCache>
                <c:formatCode>0</c:formatCode>
                <c:ptCount val="4"/>
                <c:pt idx="0">
                  <c:v>1229.9911553615107</c:v>
                </c:pt>
                <c:pt idx="1">
                  <c:v>519.91366705098494</c:v>
                </c:pt>
                <c:pt idx="2">
                  <c:v>339.72021357580252</c:v>
                </c:pt>
                <c:pt idx="3">
                  <c:v>725.46518042532159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BB-4090-A1B1-8B82B753A5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6113791"/>
        <c:axId val="1131201663"/>
      </c:barChart>
      <c:catAx>
        <c:axId val="1436113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131201663"/>
        <c:crosses val="autoZero"/>
        <c:auto val="1"/>
        <c:lblAlgn val="ctr"/>
        <c:lblOffset val="100"/>
        <c:noMultiLvlLbl val="0"/>
      </c:catAx>
      <c:valAx>
        <c:axId val="1131201663"/>
        <c:scaling>
          <c:orientation val="minMax"/>
          <c:max val="15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DK"/>
                  <a:t>TWh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436113791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4"/>
          <c:order val="0"/>
          <c:tx>
            <c:strRef>
              <c:f>'Fig. 74 woody biomass S&amp;D'!$A$7</c:f>
              <c:strCache>
                <c:ptCount val="1"/>
                <c:pt idx="0">
                  <c:v>Demand - material use</c:v>
                </c:pt>
              </c:strCache>
            </c:strRef>
          </c:tx>
          <c:spPr>
            <a:solidFill>
              <a:srgbClr val="3D5584"/>
            </a:solidFill>
            <a:ln>
              <a:noFill/>
            </a:ln>
            <a:effectLst/>
          </c:spPr>
          <c:invertIfNegative val="0"/>
          <c:cat>
            <c:numRef>
              <c:f>'Fig. 74 woody biomass S&amp;D'!$D$2:$L$2</c:f>
              <c:numCache>
                <c:formatCode>General</c:formatCode>
                <c:ptCount val="9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</c:numCache>
            </c:numRef>
          </c:cat>
          <c:val>
            <c:numRef>
              <c:f>'Fig. 74 woody biomass S&amp;D'!$D$7:$L$7</c:f>
              <c:numCache>
                <c:formatCode>#,##0</c:formatCode>
                <c:ptCount val="9"/>
                <c:pt idx="0">
                  <c:v>-378.50700000000001</c:v>
                </c:pt>
                <c:pt idx="1">
                  <c:v>-407.79500000000002</c:v>
                </c:pt>
                <c:pt idx="2">
                  <c:v>-412.416</c:v>
                </c:pt>
                <c:pt idx="3">
                  <c:v>-407.15</c:v>
                </c:pt>
                <c:pt idx="4">
                  <c:v>-412.065</c:v>
                </c:pt>
                <c:pt idx="5">
                  <c:v>-419.79899999999998</c:v>
                </c:pt>
                <c:pt idx="6">
                  <c:v>-425.14600000000002</c:v>
                </c:pt>
                <c:pt idx="7">
                  <c:v>-439.279</c:v>
                </c:pt>
                <c:pt idx="8">
                  <c:v>-451.209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BB6-4894-BA3A-51981E88890B}"/>
            </c:ext>
          </c:extLst>
        </c:ser>
        <c:ser>
          <c:idx val="5"/>
          <c:order val="1"/>
          <c:tx>
            <c:strRef>
              <c:f>'Fig. 74 woody biomass S&amp;D'!$A$8</c:f>
              <c:strCache>
                <c:ptCount val="1"/>
                <c:pt idx="0">
                  <c:v>Demand - energy use</c:v>
                </c:pt>
              </c:strCache>
            </c:strRef>
          </c:tx>
          <c:spPr>
            <a:solidFill>
              <a:srgbClr val="648ECA"/>
            </a:solidFill>
            <a:ln>
              <a:noFill/>
            </a:ln>
            <a:effectLst/>
          </c:spPr>
          <c:invertIfNegative val="0"/>
          <c:cat>
            <c:numRef>
              <c:f>'Fig. 74 woody biomass S&amp;D'!$D$2:$L$2</c:f>
              <c:numCache>
                <c:formatCode>General</c:formatCode>
                <c:ptCount val="9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</c:numCache>
            </c:numRef>
          </c:cat>
          <c:val>
            <c:numRef>
              <c:f>'Fig. 74 woody biomass S&amp;D'!$D$8:$L$8</c:f>
              <c:numCache>
                <c:formatCode>#,##0</c:formatCode>
                <c:ptCount val="9"/>
                <c:pt idx="0">
                  <c:v>-342.505</c:v>
                </c:pt>
                <c:pt idx="1">
                  <c:v>-378.82</c:v>
                </c:pt>
                <c:pt idx="2">
                  <c:v>-374.596</c:v>
                </c:pt>
                <c:pt idx="3">
                  <c:v>-402.608</c:v>
                </c:pt>
                <c:pt idx="4">
                  <c:v>-431.88900000000001</c:v>
                </c:pt>
                <c:pt idx="5">
                  <c:v>-432.596</c:v>
                </c:pt>
                <c:pt idx="6">
                  <c:v>-445.61500000000001</c:v>
                </c:pt>
                <c:pt idx="7">
                  <c:v>-458.72300000000001</c:v>
                </c:pt>
                <c:pt idx="8">
                  <c:v>-463.178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BB6-4894-BA3A-51981E88890B}"/>
            </c:ext>
          </c:extLst>
        </c:ser>
        <c:ser>
          <c:idx val="3"/>
          <c:order val="2"/>
          <c:tx>
            <c:strRef>
              <c:f>'Fig. 74 woody biomass S&amp;D'!$A$6</c:f>
              <c:strCache>
                <c:ptCount val="1"/>
                <c:pt idx="0">
                  <c:v>Supply - primary (harvest)</c:v>
                </c:pt>
              </c:strCache>
            </c:strRef>
          </c:tx>
          <c:spPr>
            <a:solidFill>
              <a:srgbClr val="F26119"/>
            </a:solidFill>
            <a:ln>
              <a:noFill/>
            </a:ln>
            <a:effectLst/>
          </c:spPr>
          <c:invertIfNegative val="0"/>
          <c:cat>
            <c:numRef>
              <c:f>'Fig. 74 woody biomass S&amp;D'!$D$2:$L$2</c:f>
              <c:numCache>
                <c:formatCode>General</c:formatCode>
                <c:ptCount val="9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</c:numCache>
            </c:numRef>
          </c:cat>
          <c:val>
            <c:numRef>
              <c:f>'Fig. 74 woody biomass S&amp;D'!$D$6:$L$6</c:f>
              <c:numCache>
                <c:formatCode>#,##0</c:formatCode>
                <c:ptCount val="9"/>
                <c:pt idx="0">
                  <c:v>454.63900000000001</c:v>
                </c:pt>
                <c:pt idx="1">
                  <c:v>510.24400000000003</c:v>
                </c:pt>
                <c:pt idx="2">
                  <c:v>510.10199999999998</c:v>
                </c:pt>
                <c:pt idx="3">
                  <c:v>506.77300000000002</c:v>
                </c:pt>
                <c:pt idx="4">
                  <c:v>515.23500000000001</c:v>
                </c:pt>
                <c:pt idx="5">
                  <c:v>518.08699999999999</c:v>
                </c:pt>
                <c:pt idx="6">
                  <c:v>527.90800000000002</c:v>
                </c:pt>
                <c:pt idx="7">
                  <c:v>535.17700000000002</c:v>
                </c:pt>
                <c:pt idx="8">
                  <c:v>540.71799999999996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BB6-4894-BA3A-51981E88890B}"/>
            </c:ext>
          </c:extLst>
        </c:ser>
        <c:ser>
          <c:idx val="2"/>
          <c:order val="3"/>
          <c:tx>
            <c:strRef>
              <c:f>'Fig. 74 woody biomass S&amp;D'!$A$5</c:f>
              <c:strCache>
                <c:ptCount val="1"/>
                <c:pt idx="0">
                  <c:v>Supply - secondary sources</c:v>
                </c:pt>
              </c:strCache>
            </c:strRef>
          </c:tx>
          <c:spPr>
            <a:solidFill>
              <a:srgbClr val="F59E2D"/>
            </a:solidFill>
            <a:ln>
              <a:noFill/>
            </a:ln>
            <a:effectLst/>
          </c:spPr>
          <c:invertIfNegative val="0"/>
          <c:cat>
            <c:numRef>
              <c:f>'Fig. 74 woody biomass S&amp;D'!$D$2:$L$2</c:f>
              <c:numCache>
                <c:formatCode>General</c:formatCode>
                <c:ptCount val="9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</c:numCache>
            </c:numRef>
          </c:cat>
          <c:val>
            <c:numRef>
              <c:f>'Fig. 74 woody biomass S&amp;D'!$D$5:$L$5</c:f>
              <c:numCache>
                <c:formatCode>#,##0</c:formatCode>
                <c:ptCount val="9"/>
                <c:pt idx="0">
                  <c:v>186.54900000000001</c:v>
                </c:pt>
                <c:pt idx="1">
                  <c:v>203.88900000000001</c:v>
                </c:pt>
                <c:pt idx="2">
                  <c:v>211.905</c:v>
                </c:pt>
                <c:pt idx="3">
                  <c:v>216.81200000000001</c:v>
                </c:pt>
                <c:pt idx="4">
                  <c:v>225.44300000000001</c:v>
                </c:pt>
                <c:pt idx="5">
                  <c:v>230.81399999999999</c:v>
                </c:pt>
                <c:pt idx="6">
                  <c:v>233.5</c:v>
                </c:pt>
                <c:pt idx="7">
                  <c:v>241.184</c:v>
                </c:pt>
                <c:pt idx="8">
                  <c:v>249.85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B6-4894-BA3A-51981E88890B}"/>
            </c:ext>
          </c:extLst>
        </c:ser>
        <c:ser>
          <c:idx val="1"/>
          <c:order val="4"/>
          <c:tx>
            <c:strRef>
              <c:f>'Fig. 74 woody biomass S&amp;D'!$A$4</c:f>
              <c:strCache>
                <c:ptCount val="1"/>
                <c:pt idx="0">
                  <c:v>Supply - imports</c:v>
                </c:pt>
              </c:strCache>
            </c:strRef>
          </c:tx>
          <c:spPr>
            <a:solidFill>
              <a:srgbClr val="EFE973"/>
            </a:solidFill>
            <a:ln>
              <a:noFill/>
            </a:ln>
            <a:effectLst/>
          </c:spPr>
          <c:invertIfNegative val="0"/>
          <c:cat>
            <c:numRef>
              <c:f>'Fig. 74 woody biomass S&amp;D'!$D$2:$L$2</c:f>
              <c:numCache>
                <c:formatCode>General</c:formatCode>
                <c:ptCount val="9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</c:numCache>
            </c:numRef>
          </c:cat>
          <c:val>
            <c:numRef>
              <c:f>'Fig. 74 woody biomass S&amp;D'!$D$4:$L$4</c:f>
              <c:numCache>
                <c:formatCode>#,##0</c:formatCode>
                <c:ptCount val="9"/>
                <c:pt idx="0">
                  <c:v>18.545999999999999</c:v>
                </c:pt>
                <c:pt idx="1">
                  <c:v>27.763000000000002</c:v>
                </c:pt>
                <c:pt idx="2">
                  <c:v>20.108000000000001</c:v>
                </c:pt>
                <c:pt idx="3">
                  <c:v>29.917999999999999</c:v>
                </c:pt>
                <c:pt idx="4">
                  <c:v>27.728000000000002</c:v>
                </c:pt>
                <c:pt idx="5">
                  <c:v>26.312999999999999</c:v>
                </c:pt>
                <c:pt idx="6">
                  <c:v>23.952999999999999</c:v>
                </c:pt>
                <c:pt idx="7">
                  <c:v>24.440999999999999</c:v>
                </c:pt>
                <c:pt idx="8">
                  <c:v>20.12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B6-4894-BA3A-51981E88890B}"/>
            </c:ext>
          </c:extLst>
        </c:ser>
        <c:ser>
          <c:idx val="0"/>
          <c:order val="5"/>
          <c:tx>
            <c:strRef>
              <c:f>'Fig. 74 woody biomass S&amp;D'!$A$3</c:f>
              <c:strCache>
                <c:ptCount val="1"/>
                <c:pt idx="0">
                  <c:v>Supply - unknown</c:v>
                </c:pt>
              </c:strCache>
            </c:strRef>
          </c:tx>
          <c:spPr>
            <a:solidFill>
              <a:srgbClr val="2E422F"/>
            </a:solidFill>
            <a:ln>
              <a:noFill/>
            </a:ln>
            <a:effectLst/>
          </c:spPr>
          <c:invertIfNegative val="0"/>
          <c:cat>
            <c:numRef>
              <c:f>'Fig. 74 woody biomass S&amp;D'!$D$2:$L$2</c:f>
              <c:numCache>
                <c:formatCode>General</c:formatCode>
                <c:ptCount val="9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</c:numCache>
            </c:numRef>
          </c:cat>
          <c:val>
            <c:numRef>
              <c:f>'Fig. 74 woody biomass S&amp;D'!$D$3:$L$3</c:f>
              <c:numCache>
                <c:formatCode>#,##0</c:formatCode>
                <c:ptCount val="9"/>
                <c:pt idx="0">
                  <c:v>61.277000000000001</c:v>
                </c:pt>
                <c:pt idx="1">
                  <c:v>44.722000000000001</c:v>
                </c:pt>
                <c:pt idx="2">
                  <c:v>44.898000000000003</c:v>
                </c:pt>
                <c:pt idx="3">
                  <c:v>56.253999999999998</c:v>
                </c:pt>
                <c:pt idx="4">
                  <c:v>75.546999999999997</c:v>
                </c:pt>
                <c:pt idx="5">
                  <c:v>77.180000000000007</c:v>
                </c:pt>
                <c:pt idx="6">
                  <c:v>85.397999999999996</c:v>
                </c:pt>
                <c:pt idx="7">
                  <c:v>97.198999999999998</c:v>
                </c:pt>
                <c:pt idx="8">
                  <c:v>103.699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B6-4894-BA3A-51981E8889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27225135"/>
        <c:axId val="934454719"/>
      </c:barChart>
      <c:catAx>
        <c:axId val="1027225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934454719"/>
        <c:crosses val="autoZero"/>
        <c:auto val="1"/>
        <c:lblAlgn val="ctr"/>
        <c:lblOffset val="100"/>
        <c:noMultiLvlLbl val="0"/>
      </c:catAx>
      <c:valAx>
        <c:axId val="9344547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DK"/>
                  <a:t>Million m3 Solid</a:t>
                </a:r>
                <a:r>
                  <a:rPr lang="en-DK" baseline="0"/>
                  <a:t> Wood Equivalent, over bark</a:t>
                </a:r>
                <a:endParaRPr lang="en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027225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'LULUCF sink baseline'!$D$2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3D5584"/>
            </a:solidFill>
            <a:ln>
              <a:noFill/>
            </a:ln>
            <a:effectLst/>
          </c:spPr>
          <c:invertIfNegative val="0"/>
          <c:cat>
            <c:strRef>
              <c:f>'LULUCF sink baseline'!$A$3:$A$6</c:f>
              <c:strCache>
                <c:ptCount val="4"/>
                <c:pt idx="0">
                  <c:v>CTP IA</c:v>
                </c:pt>
                <c:pt idx="1">
                  <c:v>LULUCF Regulation IA</c:v>
                </c:pt>
                <c:pt idx="2">
                  <c:v>2023 GHG inventory</c:v>
                </c:pt>
                <c:pt idx="3">
                  <c:v>2023 GHG inventory</c:v>
                </c:pt>
              </c:strCache>
            </c:strRef>
          </c:cat>
          <c:val>
            <c:numRef>
              <c:f>'LULUCF sink baseline'!$D$3:$D$6</c:f>
              <c:numCache>
                <c:formatCode>#,##0</c:formatCode>
                <c:ptCount val="4"/>
                <c:pt idx="0">
                  <c:v>264</c:v>
                </c:pt>
                <c:pt idx="1">
                  <c:v>268</c:v>
                </c:pt>
                <c:pt idx="2" formatCode="General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29-44AE-A7B4-9E5266D9046F}"/>
            </c:ext>
          </c:extLst>
        </c:ser>
        <c:ser>
          <c:idx val="1"/>
          <c:order val="1"/>
          <c:tx>
            <c:strRef>
              <c:f>'LULUCF sink baseline'!$E$2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648ECA"/>
            </a:solidFill>
            <a:ln>
              <a:noFill/>
            </a:ln>
            <a:effectLst/>
          </c:spPr>
          <c:invertIfNegative val="0"/>
          <c:cat>
            <c:strRef>
              <c:f>'LULUCF sink baseline'!$A$3:$A$6</c:f>
              <c:strCache>
                <c:ptCount val="4"/>
                <c:pt idx="0">
                  <c:v>CTP IA</c:v>
                </c:pt>
                <c:pt idx="1">
                  <c:v>LULUCF Regulation IA</c:v>
                </c:pt>
                <c:pt idx="2">
                  <c:v>2023 GHG inventory</c:v>
                </c:pt>
                <c:pt idx="3">
                  <c:v>2023 GHG inventory</c:v>
                </c:pt>
              </c:strCache>
            </c:strRef>
          </c:cat>
          <c:val>
            <c:numRef>
              <c:f>'LULUCF sink baseline'!$E$3:$E$6</c:f>
              <c:numCache>
                <c:formatCode>#,##0</c:formatCode>
                <c:ptCount val="4"/>
                <c:pt idx="3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29-44AE-A7B4-9E5266D9046F}"/>
            </c:ext>
          </c:extLst>
        </c:ser>
        <c:ser>
          <c:idx val="2"/>
          <c:order val="2"/>
          <c:tx>
            <c:strRef>
              <c:f>'LULUCF sink baseline'!$F$2</c:f>
              <c:strCache>
                <c:ptCount val="1"/>
                <c:pt idx="0">
                  <c:v>additional effort to 2030</c:v>
                </c:pt>
              </c:strCache>
            </c:strRef>
          </c:tx>
          <c:spPr>
            <a:solidFill>
              <a:srgbClr val="F2611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'LULUCF sink baseline'!$A$3:$A$6</c:f>
              <c:strCache>
                <c:ptCount val="4"/>
                <c:pt idx="0">
                  <c:v>CTP IA</c:v>
                </c:pt>
                <c:pt idx="1">
                  <c:v>LULUCF Regulation IA</c:v>
                </c:pt>
                <c:pt idx="2">
                  <c:v>2023 GHG inventory</c:v>
                </c:pt>
                <c:pt idx="3">
                  <c:v>2023 GHG inventory</c:v>
                </c:pt>
              </c:strCache>
            </c:strRef>
          </c:cat>
          <c:val>
            <c:numRef>
              <c:f>'LULUCF sink baseline'!$F$3:$F$6</c:f>
              <c:numCache>
                <c:formatCode>#,##0</c:formatCode>
                <c:ptCount val="4"/>
                <c:pt idx="0">
                  <c:v>31</c:v>
                </c:pt>
                <c:pt idx="1">
                  <c:v>42</c:v>
                </c:pt>
                <c:pt idx="2">
                  <c:v>52</c:v>
                </c:pt>
                <c:pt idx="3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29-44AE-A7B4-9E5266D90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29681520"/>
        <c:axId val="1174512832"/>
      </c:barChart>
      <c:catAx>
        <c:axId val="1029681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174512832"/>
        <c:crosses val="autoZero"/>
        <c:auto val="1"/>
        <c:lblAlgn val="ctr"/>
        <c:lblOffset val="100"/>
        <c:noMultiLvlLbl val="0"/>
      </c:catAx>
      <c:valAx>
        <c:axId val="1174512832"/>
        <c:scaling>
          <c:orientation val="minMax"/>
          <c:max val="350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029681520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plotArea>
      <cx:plotAreaRegion>
        <cx:series layoutId="waterfall" uniqueId="{8EDA141E-8534-4D6E-A842-124633BBC576}">
          <cx:tx>
            <cx:txData>
              <cx:f>_xlchart.v1.4</cx:f>
              <cx:v>2005-2021 change</cx:v>
            </cx:txData>
          </cx:tx>
          <cx:dataPt idx="0">
            <cx:spPr>
              <a:solidFill>
                <a:srgbClr val="EFE973"/>
              </a:solidFill>
            </cx:spPr>
          </cx:dataPt>
          <cx:dataPt idx="1">
            <cx:spPr>
              <a:solidFill>
                <a:srgbClr val="2E422F"/>
              </a:solidFill>
            </cx:spPr>
          </cx:dataPt>
          <cx:dataPt idx="2">
            <cx:spPr>
              <a:solidFill>
                <a:srgbClr val="A2C0B6"/>
              </a:solidFill>
            </cx:spPr>
          </cx:dataPt>
          <cx:dataPt idx="4">
            <cx:spPr>
              <a:solidFill>
                <a:srgbClr val="A2C0B6"/>
              </a:solidFill>
            </cx:spPr>
          </cx:dataPt>
          <cx:dataPt idx="5">
            <cx:spPr>
              <a:solidFill>
                <a:srgbClr val="3D5584"/>
              </a:solidFill>
            </cx:spPr>
          </cx:dataPt>
          <cx:dataId val="0"/>
          <cx:layoutPr>
            <cx:subtotals/>
          </cx:layoutPr>
        </cx:series>
      </cx:plotAreaRegion>
      <cx:axis id="0">
        <cx:catScaling gapWidth="0.5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DK" sz="900"/>
          </a:p>
        </cx:txPr>
      </cx:axis>
      <cx:axis id="1">
        <cx:valScaling/>
        <cx:title>
          <cx:tx>
            <cx:txData>
              <cx:v>million ha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million ha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DK" sz="900"/>
          </a:p>
        </cx:txPr>
      </cx:axis>
    </cx:plotArea>
  </cx:chart>
  <cx:spPr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plotArea>
      <cx:plotAreaRegion>
        <cx:series layoutId="waterfall" uniqueId="{774A96EC-B2DA-41DA-AE05-B8B2E1ABDAA6}">
          <cx:tx>
            <cx:txData>
              <cx:f>_xlchart.v1.1</cx:f>
              <cx:v>2005-2021 change</cx:v>
            </cx:txData>
          </cx:tx>
          <cx:dataPt idx="0">
            <cx:spPr>
              <a:solidFill>
                <a:srgbClr val="EFE973"/>
              </a:solidFill>
            </cx:spPr>
          </cx:dataPt>
          <cx:dataPt idx="1">
            <cx:spPr>
              <a:solidFill>
                <a:srgbClr val="608C95"/>
              </a:solidFill>
            </cx:spPr>
          </cx:dataPt>
          <cx:dataPt idx="3">
            <cx:spPr>
              <a:solidFill>
                <a:srgbClr val="648ECA"/>
              </a:solidFill>
            </cx:spPr>
          </cx:dataPt>
          <cx:dataPt idx="4">
            <cx:spPr>
              <a:solidFill>
                <a:srgbClr val="A2C0B6"/>
              </a:solidFill>
            </cx:spPr>
          </cx:dataPt>
          <cx:dataPt idx="5">
            <cx:spPr>
              <a:solidFill>
                <a:srgbClr val="2E422F"/>
              </a:solidFill>
            </cx:spPr>
          </cx:dataPt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BE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 panose="020F0502020204030204"/>
                  </a:rPr>
                  <a:t>Mha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rich>
          </cx:tx>
        </cx:title>
        <cx:tickLabels/>
      </cx:axis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1338261</xdr:colOff>
      <xdr:row>9</xdr:row>
      <xdr:rowOff>90487</xdr:rowOff>
    </xdr:from>
    <xdr:to>
      <xdr:col>10</xdr:col>
      <xdr:colOff>104774</xdr:colOff>
      <xdr:row>20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97E62FC-DD40-C6B1-E51E-4FAF39F938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8675</xdr:colOff>
      <xdr:row>13</xdr:row>
      <xdr:rowOff>103745</xdr:rowOff>
    </xdr:from>
    <xdr:to>
      <xdr:col>16</xdr:col>
      <xdr:colOff>502139</xdr:colOff>
      <xdr:row>28</xdr:row>
      <xdr:rowOff>18370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1505E695-519F-AB2B-5045-8A22258FAE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329025</xdr:colOff>
      <xdr:row>13</xdr:row>
      <xdr:rowOff>135213</xdr:rowOff>
    </xdr:from>
    <xdr:to>
      <xdr:col>36</xdr:col>
      <xdr:colOff>602144</xdr:colOff>
      <xdr:row>23</xdr:row>
      <xdr:rowOff>82826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FFD07A3A-FC02-995E-0F56-C938540F28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403915" y="2484078"/>
              <a:ext cx="5761424" cy="176307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D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422413</xdr:colOff>
      <xdr:row>15</xdr:row>
      <xdr:rowOff>61291</xdr:rowOff>
    </xdr:from>
    <xdr:to>
      <xdr:col>14</xdr:col>
      <xdr:colOff>66261</xdr:colOff>
      <xdr:row>26</xdr:row>
      <xdr:rowOff>8283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D5F85D59-4467-92D9-7E76-07611376246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23213" y="2772106"/>
              <a:ext cx="4709243" cy="194343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D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310546</xdr:colOff>
      <xdr:row>8</xdr:row>
      <xdr:rowOff>87202</xdr:rowOff>
    </xdr:from>
    <xdr:to>
      <xdr:col>17</xdr:col>
      <xdr:colOff>601059</xdr:colOff>
      <xdr:row>20</xdr:row>
      <xdr:rowOff>170792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AC77F2-DB52-9F16-E5AE-5A05A5AAB0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528636</xdr:colOff>
      <xdr:row>9</xdr:row>
      <xdr:rowOff>52387</xdr:rowOff>
    </xdr:from>
    <xdr:to>
      <xdr:col>21</xdr:col>
      <xdr:colOff>95249</xdr:colOff>
      <xdr:row>21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049D25-DD1E-8E4D-B81E-E77553283B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650970</xdr:colOff>
      <xdr:row>9</xdr:row>
      <xdr:rowOff>152399</xdr:rowOff>
    </xdr:from>
    <xdr:to>
      <xdr:col>15</xdr:col>
      <xdr:colOff>189009</xdr:colOff>
      <xdr:row>23</xdr:row>
      <xdr:rowOff>146537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AA43B2-EAFC-30DA-44C2-E7D593BEBA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73603</xdr:colOff>
      <xdr:row>15</xdr:row>
      <xdr:rowOff>52821</xdr:rowOff>
    </xdr:from>
    <xdr:to>
      <xdr:col>16</xdr:col>
      <xdr:colOff>426027</xdr:colOff>
      <xdr:row>26</xdr:row>
      <xdr:rowOff>163394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6FBFF7-83CA-AE09-60D7-DE381AB5E2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452437</xdr:colOff>
      <xdr:row>14</xdr:row>
      <xdr:rowOff>19050</xdr:rowOff>
    </xdr:from>
    <xdr:to>
      <xdr:col>17</xdr:col>
      <xdr:colOff>161925</xdr:colOff>
      <xdr:row>26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33A4908-6EEC-C2C6-2217-4D9FAF8C3B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788742</xdr:colOff>
      <xdr:row>17</xdr:row>
      <xdr:rowOff>93417</xdr:rowOff>
    </xdr:from>
    <xdr:to>
      <xdr:col>5</xdr:col>
      <xdr:colOff>63743</xdr:colOff>
      <xdr:row>34</xdr:row>
      <xdr:rowOff>50556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E776B80-AF1E-38F1-E937-2EF8AD379C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106455</xdr:colOff>
      <xdr:row>3</xdr:row>
      <xdr:rowOff>23531</xdr:rowOff>
    </xdr:from>
    <xdr:to>
      <xdr:col>27</xdr:col>
      <xdr:colOff>358587</xdr:colOff>
      <xdr:row>19</xdr:row>
      <xdr:rowOff>100853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AFDD6D-F9FA-C625-5064-E7957A8A02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16</xdr:row>
      <xdr:rowOff>38100</xdr:rowOff>
    </xdr:from>
    <xdr:to>
      <xdr:col>13</xdr:col>
      <xdr:colOff>471487</xdr:colOff>
      <xdr:row>34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BDA6FE-741C-865E-461B-51973D1EEB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27</xdr:row>
      <xdr:rowOff>0</xdr:rowOff>
    </xdr:from>
    <xdr:to>
      <xdr:col>13</xdr:col>
      <xdr:colOff>323850</xdr:colOff>
      <xdr:row>43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BB8414-4833-46C0-9E3B-4F978DFA8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153025"/>
          <a:ext cx="5810250" cy="3143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8</xdr:col>
      <xdr:colOff>504825</xdr:colOff>
      <xdr:row>21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F81732-4233-4C38-B9BB-D7BCC9F9F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52500"/>
          <a:ext cx="2943225" cy="316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eea1.sharepoint.com/teams/EuropeanScientificAdvisoryBoardonClimateChange2/Shared%20Documents/General/Subgroups/1b.%20Consistency%20EU%20measures/Drafts/underlying%20excels%20and%20flowcharts/background%20data/ESABCC_Energy_Snapshots.xlsx" TargetMode="External"/><Relationship Id="rId2" Type="http://schemas.microsoft.com/office/2019/04/relationships/externalLinkLongPath" Target="/teams/EuropeanScientificAdvisoryBoardonClimateChange2/Shared%20Documents/General/Subgroups/1b.%20Consistency%20EU%20measures/Drafts/underlying%20excels%20and%20flowcharts/background%20data/ESABCC_Energy_Snapshots.xlsx?AC963AB7" TargetMode="External"/><Relationship Id="rId1" Type="http://schemas.openxmlformats.org/officeDocument/2006/relationships/externalLinkPath" Target="file:///\\AC963AB7\ESABCC_Energy_Snapshots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eea1.sharepoint.com/teams/EuropeanScientificAdvisoryBoardonClimateChange2/Shared%20Documents/General/Subgroups/1b.%20Consistency%20EU%20measures/Drafts/underlying%20excels%20and%20flowcharts/Final%20Figures%20and%20Graphs/2023CRFs/EUA_2023_2005.xlsx" TargetMode="External"/><Relationship Id="rId2" Type="http://schemas.microsoft.com/office/2019/04/relationships/externalLinkLongPath" Target="2023CRFs/EUA_2023_2005.xlsx?9CC8C099" TargetMode="External"/><Relationship Id="rId1" Type="http://schemas.openxmlformats.org/officeDocument/2006/relationships/externalLinkPath" Target="file:///\\9CC8C099\EUA_2023_2005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Lemmens\European%20Environment%20Agency\European%20Scientific%20Advisory%20Board%20on%20Climate%20Change%20-%20Documents\General\Subgroups\1b.%20Consistency%20EU%20measures\Drafts\underlying%20excels%20and%20flowcharts\2023CRFs\EUA_2023_2006.xlsx" TargetMode="External"/><Relationship Id="rId2" Type="http://schemas.microsoft.com/office/2019/04/relationships/externalLinkLongPath" Target="file:///C:\Users\Lemmens\European%20Environment%20Agency\European%20Scientific%20Advisory%20Board%20on%20Climate%20Change%20-%20Documents\General\Subgroups\1b.%20Consistency%20EU%20measures\Drafts\underlying%20excels%20and%20flowcharts\2023CRFs\EUA_2023_2006.xlsx?88426F35" TargetMode="External"/><Relationship Id="rId1" Type="http://schemas.openxmlformats.org/officeDocument/2006/relationships/externalLinkPath" Target="file:///\\88426F35\EUA_2023_2006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Lemmens\European%20Environment%20Agency\European%20Scientific%20Advisory%20Board%20on%20Climate%20Change%20-%20Documents\General\Subgroups\1b.%20Consistency%20EU%20measures\Drafts\underlying%20excels%20and%20flowcharts\2023CRFs\EUA_2023_2007.xlsx" TargetMode="External"/><Relationship Id="rId2" Type="http://schemas.microsoft.com/office/2019/04/relationships/externalLinkLongPath" Target="file:///C:\Users\Lemmens\European%20Environment%20Agency\European%20Scientific%20Advisory%20Board%20on%20Climate%20Change%20-%20Documents\General\Subgroups\1b.%20Consistency%20EU%20measures\Drafts\underlying%20excels%20and%20flowcharts\2023CRFs\EUA_2023_2007.xlsx?88426F35" TargetMode="External"/><Relationship Id="rId1" Type="http://schemas.openxmlformats.org/officeDocument/2006/relationships/externalLinkPath" Target="file:///\\88426F35\EUA_2023_2007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Lemmens\European%20Environment%20Agency\European%20Scientific%20Advisory%20Board%20on%20Climate%20Change%20-%20Documents\General\Subgroups\1b.%20Consistency%20EU%20measures\Drafts\underlying%20excels%20and%20flowcharts\2023CRFs\EUA_2023_2008.xlsx" TargetMode="External"/><Relationship Id="rId2" Type="http://schemas.microsoft.com/office/2019/04/relationships/externalLinkLongPath" Target="file:///C:\Users\Lemmens\European%20Environment%20Agency\European%20Scientific%20Advisory%20Board%20on%20Climate%20Change%20-%20Documents\General\Subgroups\1b.%20Consistency%20EU%20measures\Drafts\underlying%20excels%20and%20flowcharts\2023CRFs\EUA_2023_2008.xlsx?88426F35" TargetMode="External"/><Relationship Id="rId1" Type="http://schemas.openxmlformats.org/officeDocument/2006/relationships/externalLinkPath" Target="file:///\\88426F35\EUA_2023_2008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Lemmens\European%20Environment%20Agency\European%20Scientific%20Advisory%20Board%20on%20Climate%20Change%20-%20Documents\General\Subgroups\1b.%20Consistency%20EU%20measures\Drafts\underlying%20excels%20and%20flowcharts\2023CRFs\EUA_2023_2009.xlsx" TargetMode="External"/><Relationship Id="rId2" Type="http://schemas.microsoft.com/office/2019/04/relationships/externalLinkLongPath" Target="file:///C:\Users\Lemmens\European%20Environment%20Agency\European%20Scientific%20Advisory%20Board%20on%20Climate%20Change%20-%20Documents\General\Subgroups\1b.%20Consistency%20EU%20measures\Drafts\underlying%20excels%20and%20flowcharts\2023CRFs\EUA_2023_2009.xlsx?88426F35" TargetMode="External"/><Relationship Id="rId1" Type="http://schemas.openxmlformats.org/officeDocument/2006/relationships/externalLinkPath" Target="file:///\\88426F35\EUA_2023_2009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Lemmens\European%20Environment%20Agency\European%20Scientific%20Advisory%20Board%20on%20Climate%20Change%20-%20Documents\General\Subgroups\1b.%20Consistency%20EU%20measures\Drafts\underlying%20excels%20and%20flowcharts\2023CRFs\EUA_2023_2010.xlsx" TargetMode="External"/><Relationship Id="rId2" Type="http://schemas.microsoft.com/office/2019/04/relationships/externalLinkLongPath" Target="file:///C:\Users\Lemmens\European%20Environment%20Agency\European%20Scientific%20Advisory%20Board%20on%20Climate%20Change%20-%20Documents\General\Subgroups\1b.%20Consistency%20EU%20measures\Drafts\underlying%20excels%20and%20flowcharts\2023CRFs\EUA_2023_2010.xlsx?88426F35" TargetMode="External"/><Relationship Id="rId1" Type="http://schemas.openxmlformats.org/officeDocument/2006/relationships/externalLinkPath" Target="file:///\\88426F35\EUA_2023_2010.xlsx" TargetMode="External"/></Relationships>
</file>

<file path=xl/externalLinks/_rels/externalLink8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Lemmens\European%20Environment%20Agency\European%20Scientific%20Advisory%20Board%20on%20Climate%20Change%20-%20Documents\General\Subgroups\1b.%20Consistency%20EU%20measures\Drafts\underlying%20excels%20and%20flowcharts\2023CRFs\EUA_2023_2011.xlsx" TargetMode="External"/><Relationship Id="rId2" Type="http://schemas.microsoft.com/office/2019/04/relationships/externalLinkLongPath" Target="file:///C:\Users\Lemmens\European%20Environment%20Agency\European%20Scientific%20Advisory%20Board%20on%20Climate%20Change%20-%20Documents\General\Subgroups\1b.%20Consistency%20EU%20measures\Drafts\underlying%20excels%20and%20flowcharts\2023CRFs\EUA_2023_2011.xlsx?88426F35" TargetMode="External"/><Relationship Id="rId1" Type="http://schemas.openxmlformats.org/officeDocument/2006/relationships/externalLinkPath" Target="file:///\\88426F35\EUA_2023_2011.xlsx" TargetMode="External"/></Relationships>
</file>

<file path=xl/externalLinks/_rels/externalLink9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Lemmens\European%20Environment%20Agency\European%20Scientific%20Advisory%20Board%20on%20Climate%20Change%20-%20Documents\General\Subgroups\1b.%20Consistency%20EU%20measures\Drafts\underlying%20excels%20and%20flowcharts\2023CRFs\EUA_2023_2012.xlsx" TargetMode="External"/><Relationship Id="rId2" Type="http://schemas.microsoft.com/office/2019/04/relationships/externalLinkLongPath" Target="file:///C:\Users\Lemmens\European%20Environment%20Agency\European%20Scientific%20Advisory%20Board%20on%20Climate%20Change%20-%20Documents\General\Subgroups\1b.%20Consistency%20EU%20measures\Drafts\underlying%20excels%20and%20flowcharts\2023CRFs\EUA_2023_2012.xlsx?88426F35" TargetMode="External"/><Relationship Id="rId1" Type="http://schemas.openxmlformats.org/officeDocument/2006/relationships/externalLinkPath" Target="file:///\\88426F35\EUA_2023_2012.xlsx" TargetMode="External"/></Relationships>
</file>

<file path=xl/externalLinks/_rels/externalLink10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Lemmens\European%20Environment%20Agency\European%20Scientific%20Advisory%20Board%20on%20Climate%20Change%20-%20Documents\General\Subgroups\1b.%20Consistency%20EU%20measures\Drafts\underlying%20excels%20and%20flowcharts\2023CRFs\EUA_2023_2013.xlsx" TargetMode="External"/><Relationship Id="rId2" Type="http://schemas.microsoft.com/office/2019/04/relationships/externalLinkLongPath" Target="file:///C:\Users\Lemmens\European%20Environment%20Agency\European%20Scientific%20Advisory%20Board%20on%20Climate%20Change%20-%20Documents\General\Subgroups\1b.%20Consistency%20EU%20measures\Drafts\underlying%20excels%20and%20flowcharts\2023CRFs\EUA_2023_2013.xlsx?88426F35" TargetMode="External"/><Relationship Id="rId1" Type="http://schemas.openxmlformats.org/officeDocument/2006/relationships/externalLinkPath" Target="file:///\\88426F35\EUA_2023_2013.xlsx" TargetMode="External"/></Relationships>
</file>

<file path=xl/externalLinks/_rels/externalLink1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Lemmens\European%20Environment%20Agency\European%20Scientific%20Advisory%20Board%20on%20Climate%20Change%20-%20Documents\General\Subgroups\1b.%20Consistency%20EU%20measures\Drafts\underlying%20excels%20and%20flowcharts\2023CRFs\EUA_2023_2014.xlsx" TargetMode="External"/><Relationship Id="rId2" Type="http://schemas.microsoft.com/office/2019/04/relationships/externalLinkLongPath" Target="file:///C:\Users\Lemmens\European%20Environment%20Agency\European%20Scientific%20Advisory%20Board%20on%20Climate%20Change%20-%20Documents\General\Subgroups\1b.%20Consistency%20EU%20measures\Drafts\underlying%20excels%20and%20flowcharts\2023CRFs\EUA_2023_2014.xlsx?88426F35" TargetMode="External"/><Relationship Id="rId1" Type="http://schemas.openxmlformats.org/officeDocument/2006/relationships/externalLinkPath" Target="file:///\\88426F35\EUA_2023_2014.xlsx" TargetMode="External"/></Relationships>
</file>

<file path=xl/externalLinks/_rels/externalLink12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Lemmens\European%20Environment%20Agency\European%20Scientific%20Advisory%20Board%20on%20Climate%20Change%20-%20Documents\General\Subgroups\1b.%20Consistency%20EU%20measures\Drafts\underlying%20excels%20and%20flowcharts\2023CRFs\EUA_2023_2015.xlsx" TargetMode="External"/><Relationship Id="rId2" Type="http://schemas.microsoft.com/office/2019/04/relationships/externalLinkLongPath" Target="file:///C:\Users\Lemmens\European%20Environment%20Agency\European%20Scientific%20Advisory%20Board%20on%20Climate%20Change%20-%20Documents\General\Subgroups\1b.%20Consistency%20EU%20measures\Drafts\underlying%20excels%20and%20flowcharts\2023CRFs\EUA_2023_2015.xlsx?88426F35" TargetMode="External"/><Relationship Id="rId1" Type="http://schemas.openxmlformats.org/officeDocument/2006/relationships/externalLinkPath" Target="file:///\\88426F35\EUA_2023_2015.xlsx" TargetMode="External"/></Relationships>
</file>

<file path=xl/externalLinks/_rels/externalLink13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Lemmens\European%20Environment%20Agency\European%20Scientific%20Advisory%20Board%20on%20Climate%20Change%20-%20Documents\General\Subgroups\1b.%20Consistency%20EU%20measures\Drafts\underlying%20excels%20and%20flowcharts\2023CRFs\EUA_2023_2016.xlsx" TargetMode="External"/><Relationship Id="rId2" Type="http://schemas.microsoft.com/office/2019/04/relationships/externalLinkLongPath" Target="file:///C:\Users\Lemmens\European%20Environment%20Agency\European%20Scientific%20Advisory%20Board%20on%20Climate%20Change%20-%20Documents\General\Subgroups\1b.%20Consistency%20EU%20measures\Drafts\underlying%20excels%20and%20flowcharts\2023CRFs\EUA_2023_2016.xlsx?88426F35" TargetMode="External"/><Relationship Id="rId1" Type="http://schemas.openxmlformats.org/officeDocument/2006/relationships/externalLinkPath" Target="file:///\\88426F35\EUA_2023_2016.xlsx" TargetMode="External"/></Relationships>
</file>

<file path=xl/externalLinks/_rels/externalLink14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Lemmens\European%20Environment%20Agency\European%20Scientific%20Advisory%20Board%20on%20Climate%20Change%20-%20Documents\General\Subgroups\1b.%20Consistency%20EU%20measures\Drafts\underlying%20excels%20and%20flowcharts\2023CRFs\EUA_2023_2017.xlsx" TargetMode="External"/><Relationship Id="rId2" Type="http://schemas.microsoft.com/office/2019/04/relationships/externalLinkLongPath" Target="file:///C:\Users\Lemmens\European%20Environment%20Agency\European%20Scientific%20Advisory%20Board%20on%20Climate%20Change%20-%20Documents\General\Subgroups\1b.%20Consistency%20EU%20measures\Drafts\underlying%20excels%20and%20flowcharts\2023CRFs\EUA_2023_2017.xlsx?88426F35" TargetMode="External"/><Relationship Id="rId1" Type="http://schemas.openxmlformats.org/officeDocument/2006/relationships/externalLinkPath" Target="file:///\\88426F35\EUA_2023_2017.xlsx" TargetMode="External"/></Relationships>
</file>

<file path=xl/externalLinks/_rels/externalLink15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Lemmens\European%20Environment%20Agency\European%20Scientific%20Advisory%20Board%20on%20Climate%20Change%20-%20Documents\General\Subgroups\1b.%20Consistency%20EU%20measures\Drafts\underlying%20excels%20and%20flowcharts\2023CRFs\EUA_2023_2018.xlsx" TargetMode="External"/><Relationship Id="rId2" Type="http://schemas.microsoft.com/office/2019/04/relationships/externalLinkLongPath" Target="file:///C:\Users\Lemmens\European%20Environment%20Agency\European%20Scientific%20Advisory%20Board%20on%20Climate%20Change%20-%20Documents\General\Subgroups\1b.%20Consistency%20EU%20measures\Drafts\underlying%20excels%20and%20flowcharts\2023CRFs\EUA_2023_2018.xlsx?88426F35" TargetMode="External"/><Relationship Id="rId1" Type="http://schemas.openxmlformats.org/officeDocument/2006/relationships/externalLinkPath" Target="file:///\\88426F35\EUA_2023_2018.xlsx" TargetMode="External"/></Relationships>
</file>

<file path=xl/externalLinks/_rels/externalLink16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Lemmens\European%20Environment%20Agency\European%20Scientific%20Advisory%20Board%20on%20Climate%20Change%20-%20Documents\General\Subgroups\1b.%20Consistency%20EU%20measures\Drafts\underlying%20excels%20and%20flowcharts\2023CRFs\EUA_2023_2019.xlsx" TargetMode="External"/><Relationship Id="rId2" Type="http://schemas.microsoft.com/office/2019/04/relationships/externalLinkLongPath" Target="file:///C:\Users\Lemmens\European%20Environment%20Agency\European%20Scientific%20Advisory%20Board%20on%20Climate%20Change%20-%20Documents\General\Subgroups\1b.%20Consistency%20EU%20measures\Drafts\underlying%20excels%20and%20flowcharts\2023CRFs\EUA_2023_2019.xlsx?88426F35" TargetMode="External"/><Relationship Id="rId1" Type="http://schemas.openxmlformats.org/officeDocument/2006/relationships/externalLinkPath" Target="file:///\\88426F35\EUA_2023_2019.xlsx" TargetMode="External"/></Relationships>
</file>

<file path=xl/externalLinks/_rels/externalLink17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Lemmens\European%20Environment%20Agency\European%20Scientific%20Advisory%20Board%20on%20Climate%20Change%20-%20Documents\General\Subgroups\1b.%20Consistency%20EU%20measures\Drafts\underlying%20excels%20and%20flowcharts\2023CRFs\EUA_2023_2020.xlsx" TargetMode="External"/><Relationship Id="rId2" Type="http://schemas.microsoft.com/office/2019/04/relationships/externalLinkLongPath" Target="file:///C:\Users\Lemmens\European%20Environment%20Agency\European%20Scientific%20Advisory%20Board%20on%20Climate%20Change%20-%20Documents\General\Subgroups\1b.%20Consistency%20EU%20measures\Drafts\underlying%20excels%20and%20flowcharts\2023CRFs\EUA_2023_2020.xlsx?88426F35" TargetMode="External"/><Relationship Id="rId1" Type="http://schemas.openxmlformats.org/officeDocument/2006/relationships/externalLinkPath" Target="file:///\\88426F35\EUA_2023_2020.xlsx" TargetMode="External"/></Relationships>
</file>

<file path=xl/externalLinks/_rels/externalLink18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eea1.sharepoint.com/teams/EuropeanScientificAdvisoryBoardonClimateChange2/Shared%20Documents/General/Subgroups/1b.%20Consistency%20EU%20measures/Drafts/underlying%20excels%20and%20flowcharts/Final%20Figures%20and%20Graphs/2023CRFs/EUA_2023_2021.xlsx" TargetMode="External"/><Relationship Id="rId2" Type="http://schemas.microsoft.com/office/2019/04/relationships/externalLinkLongPath" Target="2023CRFs/EUA_2023_2021.xlsx?9CC8C099" TargetMode="External"/><Relationship Id="rId1" Type="http://schemas.openxmlformats.org/officeDocument/2006/relationships/externalLinkPath" Target="file:///\\9CC8C099\EUA_2023_2021.xlsx" TargetMode="External"/></Relationships>
</file>

<file path=xl/externalLinks/_rels/externalLink19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eea1.sharepoint.com/teams/EuropeanScientificAdvisoryBoardonClimateChange2/Shared%20Documents/General/Subgroups/1b.%20Consistency%20EU%20measures/Drafts/underlying%20excels%20and%20flowcharts/Final%20Figures%20and%20Graphs/2023CRFs/EUA_2023_2006.xlsx" TargetMode="External"/><Relationship Id="rId2" Type="http://schemas.microsoft.com/office/2019/04/relationships/externalLinkLongPath" Target="2023CRFs/EUA_2023_2006.xlsx?9CC8C099" TargetMode="External"/><Relationship Id="rId1" Type="http://schemas.openxmlformats.org/officeDocument/2006/relationships/externalLinkPath" Target="file:///\\9CC8C099\EUA_2023_2006.xlsx" TargetMode="External"/></Relationships>
</file>

<file path=xl/externalLinks/_rels/externalLink20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eea1.sharepoint.com/teams/EuropeanScientificAdvisoryBoardonClimateChange2/Shared%20Documents/General/Subgroups/1b.%20Consistency%20EU%20measures/Drafts/underlying%20excels%20and%20flowcharts/Final%20Figures%20and%20Graphs/2023CRFs/EUA_2023_2007.xlsx" TargetMode="External"/><Relationship Id="rId2" Type="http://schemas.microsoft.com/office/2019/04/relationships/externalLinkLongPath" Target="2023CRFs/EUA_2023_2007.xlsx?9CC8C099" TargetMode="External"/><Relationship Id="rId1" Type="http://schemas.openxmlformats.org/officeDocument/2006/relationships/externalLinkPath" Target="file:///\\9CC8C099\EUA_2023_2007.xlsx" TargetMode="External"/></Relationships>
</file>

<file path=xl/externalLinks/_rels/externalLink2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eea1.sharepoint.com/teams/EuropeanScientificAdvisoryBoardonClimateChange2/Shared%20Documents/General/Subgroups/1b.%20Consistency%20EU%20measures/Drafts/underlying%20excels%20and%20flowcharts/Final%20Figures%20and%20Graphs/2023CRFs/EUA_2023_2008.xlsx" TargetMode="External"/><Relationship Id="rId2" Type="http://schemas.microsoft.com/office/2019/04/relationships/externalLinkLongPath" Target="2023CRFs/EUA_2023_2008.xlsx?9CC8C099" TargetMode="External"/><Relationship Id="rId1" Type="http://schemas.openxmlformats.org/officeDocument/2006/relationships/externalLinkPath" Target="file:///\\9CC8C099\EUA_2023_2008.xlsx" TargetMode="External"/></Relationships>
</file>

<file path=xl/externalLinks/_rels/externalLink22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eea1.sharepoint.com/teams/EuropeanScientificAdvisoryBoardonClimateChange2/Shared%20Documents/General/Subgroups/1b.%20Consistency%20EU%20measures/Drafts/underlying%20excels%20and%20flowcharts/Final%20Figures%20and%20Graphs/2023CRFs/EUA_2023_2009.xlsx" TargetMode="External"/><Relationship Id="rId2" Type="http://schemas.microsoft.com/office/2019/04/relationships/externalLinkLongPath" Target="2023CRFs/EUA_2023_2009.xlsx?9CC8C099" TargetMode="External"/><Relationship Id="rId1" Type="http://schemas.openxmlformats.org/officeDocument/2006/relationships/externalLinkPath" Target="file:///\\9CC8C099\EUA_2023_2009.xlsx" TargetMode="External"/></Relationships>
</file>

<file path=xl/externalLinks/_rels/externalLink23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eea1.sharepoint.com/teams/EuropeanScientificAdvisoryBoardonClimateChange2/Shared%20Documents/General/Subgroups/1b.%20Consistency%20EU%20measures/Drafts/underlying%20excels%20and%20flowcharts/Final%20Figures%20and%20Graphs/2023CRFs/EUA_2023_2010.xlsx" TargetMode="External"/><Relationship Id="rId2" Type="http://schemas.microsoft.com/office/2019/04/relationships/externalLinkLongPath" Target="2023CRFs/EUA_2023_2010.xlsx?9CC8C099" TargetMode="External"/><Relationship Id="rId1" Type="http://schemas.openxmlformats.org/officeDocument/2006/relationships/externalLinkPath" Target="file:///\\9CC8C099\EUA_2023_2010.xlsx" TargetMode="External"/></Relationships>
</file>

<file path=xl/externalLinks/_rels/externalLink24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eea1.sharepoint.com/teams/EuropeanScientificAdvisoryBoardonClimateChange2/Shared%20Documents/General/Subgroups/1b.%20Consistency%20EU%20measures/Drafts/underlying%20excels%20and%20flowcharts/Final%20Figures%20and%20Graphs/2023CRFs/EUA_2023_2011.xlsx" TargetMode="External"/><Relationship Id="rId2" Type="http://schemas.microsoft.com/office/2019/04/relationships/externalLinkLongPath" Target="2023CRFs/EUA_2023_2011.xlsx?9CC8C099" TargetMode="External"/><Relationship Id="rId1" Type="http://schemas.openxmlformats.org/officeDocument/2006/relationships/externalLinkPath" Target="file:///\\9CC8C099\EUA_2023_2011.xlsx" TargetMode="External"/></Relationships>
</file>

<file path=xl/externalLinks/_rels/externalLink25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eea1.sharepoint.com/teams/EuropeanScientificAdvisoryBoardonClimateChange2/Shared%20Documents/General/Subgroups/1b.%20Consistency%20EU%20measures/Drafts/underlying%20excels%20and%20flowcharts/Final%20Figures%20and%20Graphs/2023CRFs/EUA_2023_2012.xlsx" TargetMode="External"/><Relationship Id="rId2" Type="http://schemas.microsoft.com/office/2019/04/relationships/externalLinkLongPath" Target="2023CRFs/EUA_2023_2012.xlsx?9CC8C099" TargetMode="External"/><Relationship Id="rId1" Type="http://schemas.openxmlformats.org/officeDocument/2006/relationships/externalLinkPath" Target="file:///\\9CC8C099\EUA_2023_2012.xlsx" TargetMode="External"/></Relationships>
</file>

<file path=xl/externalLinks/_rels/externalLink26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eea1.sharepoint.com/teams/EuropeanScientificAdvisoryBoardonClimateChange2/Shared%20Documents/General/Subgroups/1b.%20Consistency%20EU%20measures/Drafts/underlying%20excels%20and%20flowcharts/Final%20Figures%20and%20Graphs/2023CRFs/EUA_2023_2013.xlsx" TargetMode="External"/><Relationship Id="rId2" Type="http://schemas.microsoft.com/office/2019/04/relationships/externalLinkLongPath" Target="2023CRFs/EUA_2023_2013.xlsx?9CC8C099" TargetMode="External"/><Relationship Id="rId1" Type="http://schemas.openxmlformats.org/officeDocument/2006/relationships/externalLinkPath" Target="file:///\\9CC8C099\EUA_2023_2013.xlsx" TargetMode="External"/></Relationships>
</file>

<file path=xl/externalLinks/_rels/externalLink27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eea1.sharepoint.com/teams/EuropeanScientificAdvisoryBoardonClimateChange2/Shared%20Documents/General/Subgroups/1b.%20Consistency%20EU%20measures/Drafts/underlying%20excels%20and%20flowcharts/Final%20Figures%20and%20Graphs/2023CRFs/EUA_2023_2014.xlsx" TargetMode="External"/><Relationship Id="rId2" Type="http://schemas.microsoft.com/office/2019/04/relationships/externalLinkLongPath" Target="2023CRFs/EUA_2023_2014.xlsx?9CC8C099" TargetMode="External"/><Relationship Id="rId1" Type="http://schemas.openxmlformats.org/officeDocument/2006/relationships/externalLinkPath" Target="file:///\\9CC8C099\EUA_2023_2014.xlsx" TargetMode="External"/></Relationships>
</file>

<file path=xl/externalLinks/_rels/externalLink28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eea1.sharepoint.com/teams/EuropeanScientificAdvisoryBoardonClimateChange2/Shared%20Documents/General/Subgroups/1b.%20Consistency%20EU%20measures/Drafts/underlying%20excels%20and%20flowcharts/Final%20Figures%20and%20Graphs/2023CRFs/EUA_2023_2015.xlsx" TargetMode="External"/><Relationship Id="rId2" Type="http://schemas.microsoft.com/office/2019/04/relationships/externalLinkLongPath" Target="2023CRFs/EUA_2023_2015.xlsx?9CC8C099" TargetMode="External"/><Relationship Id="rId1" Type="http://schemas.openxmlformats.org/officeDocument/2006/relationships/externalLinkPath" Target="file:///\\9CC8C099\EUA_2023_2015.xlsx" TargetMode="External"/></Relationships>
</file>

<file path=xl/externalLinks/_rels/externalLink29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eea1.sharepoint.com/teams/EuropeanScientificAdvisoryBoardonClimateChange2/Shared%20Documents/General/Subgroups/1b.%20Consistency%20EU%20measures/Drafts/underlying%20excels%20and%20flowcharts/Final%20Figures%20and%20Graphs/2023CRFs/EUA_2023_2016.xlsx" TargetMode="External"/><Relationship Id="rId2" Type="http://schemas.microsoft.com/office/2019/04/relationships/externalLinkLongPath" Target="2023CRFs/EUA_2023_2016.xlsx?9CC8C099" TargetMode="External"/><Relationship Id="rId1" Type="http://schemas.openxmlformats.org/officeDocument/2006/relationships/externalLinkPath" Target="file:///\\9CC8C099\EUA_2023_2016.xlsx" TargetMode="External"/></Relationships>
</file>

<file path=xl/externalLinks/_rels/externalLink30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eea1.sharepoint.com/teams/EuropeanScientificAdvisoryBoardonClimateChange2/Shared%20Documents/General/Subgroups/1b.%20Consistency%20EU%20measures/Drafts/underlying%20excels%20and%20flowcharts/Final%20Figures%20and%20Graphs/2023CRFs/EUA_2023_2017.xlsx" TargetMode="External"/><Relationship Id="rId2" Type="http://schemas.microsoft.com/office/2019/04/relationships/externalLinkLongPath" Target="2023CRFs/EUA_2023_2017.xlsx?9CC8C099" TargetMode="External"/><Relationship Id="rId1" Type="http://schemas.openxmlformats.org/officeDocument/2006/relationships/externalLinkPath" Target="file:///\\9CC8C099\EUA_2023_2017.xlsx" TargetMode="External"/></Relationships>
</file>

<file path=xl/externalLinks/_rels/externalLink3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eea1.sharepoint.com/teams/EuropeanScientificAdvisoryBoardonClimateChange2/Shared%20Documents/General/Subgroups/1b.%20Consistency%20EU%20measures/Drafts/underlying%20excels%20and%20flowcharts/Final%20Figures%20and%20Graphs/2023CRFs/EUA_2023_2018.xlsx" TargetMode="External"/><Relationship Id="rId2" Type="http://schemas.microsoft.com/office/2019/04/relationships/externalLinkLongPath" Target="2023CRFs/EUA_2023_2018.xlsx?9CC8C099" TargetMode="External"/><Relationship Id="rId1" Type="http://schemas.openxmlformats.org/officeDocument/2006/relationships/externalLinkPath" Target="file:///\\9CC8C099\EUA_2023_2018.xlsx" TargetMode="External"/></Relationships>
</file>

<file path=xl/externalLinks/_rels/externalLink32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eea1.sharepoint.com/teams/EuropeanScientificAdvisoryBoardonClimateChange2/Shared%20Documents/General/Subgroups/1b.%20Consistency%20EU%20measures/Drafts/underlying%20excels%20and%20flowcharts/Final%20Figures%20and%20Graphs/2023CRFs/EUA_2023_2019.xlsx" TargetMode="External"/><Relationship Id="rId2" Type="http://schemas.microsoft.com/office/2019/04/relationships/externalLinkLongPath" Target="2023CRFs/EUA_2023_2019.xlsx?9CC8C099" TargetMode="External"/><Relationship Id="rId1" Type="http://schemas.openxmlformats.org/officeDocument/2006/relationships/externalLinkPath" Target="file:///\\9CC8C099\EUA_2023_2019.xlsx" TargetMode="External"/></Relationships>
</file>

<file path=xl/externalLinks/_rels/externalLink33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eea1.sharepoint.com/teams/EuropeanScientificAdvisoryBoardonClimateChange2/Shared%20Documents/General/Subgroups/1b.%20Consistency%20EU%20measures/Drafts/underlying%20excels%20and%20flowcharts/Final%20Figures%20and%20Graphs/2023CRFs/EUA_2023_2020.xlsx" TargetMode="External"/><Relationship Id="rId2" Type="http://schemas.microsoft.com/office/2019/04/relationships/externalLinkLongPath" Target="2023CRFs/EUA_2023_2020.xlsx?9CC8C099" TargetMode="External"/><Relationship Id="rId1" Type="http://schemas.openxmlformats.org/officeDocument/2006/relationships/externalLinkPath" Target="file:///\\9CC8C099\EUA_2023_2020.xlsx" TargetMode="External"/></Relationships>
</file>

<file path=xl/externalLinks/_rels/externalLink34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Lemmens\European%20Environment%20Agency\European%20Scientific%20Advisory%20Board%20on%20Climate%20Change%20-%20Documents\General\Subgroups\1b.%20Consistency%20EU%20measures\Drafts\underlying%20excels%20and%20flowcharts\2023CRFs\EUA_2023_2005.xlsx" TargetMode="External"/><Relationship Id="rId2" Type="http://schemas.microsoft.com/office/2019/04/relationships/externalLinkLongPath" Target="file:///C:\Users\Lemmens\European%20Environment%20Agency\European%20Scientific%20Advisory%20Board%20on%20Climate%20Change%20-%20Documents\General\Subgroups\1b.%20Consistency%20EU%20measures\Drafts\underlying%20excels%20and%20flowcharts\2023CRFs\EUA_2023_2005.xlsx?88426F35" TargetMode="External"/><Relationship Id="rId1" Type="http://schemas.openxmlformats.org/officeDocument/2006/relationships/externalLinkPath" Target="file:///\\88426F35\EUA_2023_2005.xlsx" TargetMode="External"/></Relationships>
</file>

<file path=xl/externalLinks/_rels/externalLink35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Lemmens\European%20Environment%20Agency\European%20Scientific%20Advisory%20Board%20on%20Climate%20Change%20-%20Documents\General\Subgroups\1b.%20Consistency%20EU%20measures\Drafts\underlying%20excels%20and%20flowcharts\2023CRFs\EUA_2023_2021.xlsx" TargetMode="External"/><Relationship Id="rId2" Type="http://schemas.microsoft.com/office/2019/04/relationships/externalLinkLongPath" Target="file:///C:\Users\Lemmens\European%20Environment%20Agency\European%20Scientific%20Advisory%20Board%20on%20Climate%20Change%20-%20Documents\General\Subgroups\1b.%20Consistency%20EU%20measures\Drafts\underlying%20excels%20and%20flowcharts\2023CRFs\EUA_2023_2021.xlsx?88426F35" TargetMode="External"/><Relationship Id="rId1" Type="http://schemas.openxmlformats.org/officeDocument/2006/relationships/externalLinkPath" Target="file:///\\88426F35\EUA_2023_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ElecMix"/>
      <sheetName val="EnerSupplyEmissions"/>
      <sheetName val="Final&amp;Elec"/>
      <sheetName val="Primary"/>
      <sheetName val="PrimaryComposition"/>
      <sheetName val="GridIntensity"/>
      <sheetName val="CDR &amp; Electricity"/>
      <sheetName val="CH4Ener"/>
      <sheetName val="RES%2030"/>
      <sheetName val="RES%2035"/>
      <sheetName val="RES%IP2only"/>
      <sheetName val="FinalEnerShares"/>
      <sheetName val="Hydrogen"/>
      <sheetName val="RES_FF55vs2040"/>
      <sheetName val="CapacityWindSolar"/>
      <sheetName val="WindCapacityFactor"/>
      <sheetName val="ResComm&amp;Agri"/>
      <sheetName val="HeatPumps"/>
      <sheetName val="Industry"/>
      <sheetName val="Agriculture"/>
      <sheetName val="LULUCF"/>
      <sheetName val="Sheet2"/>
      <sheetName val="Trans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24">
          <cell r="AA24">
            <v>760.88289999999995</v>
          </cell>
        </row>
      </sheetData>
      <sheetData sheetId="19" refreshError="1"/>
      <sheetData sheetId="20" refreshError="1">
        <row r="2">
          <cell r="AO2">
            <v>-293.89269999999999</v>
          </cell>
          <cell r="AY2">
            <v>-322.87400000000002</v>
          </cell>
          <cell r="BI2">
            <v>-312.07569999999998</v>
          </cell>
        </row>
      </sheetData>
      <sheetData sheetId="21" refreshError="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Index sheet"/>
      <sheetName val="Table1s1"/>
      <sheetName val="Table1s2"/>
      <sheetName val="Table1.A(a)s1"/>
      <sheetName val="Table1.A(a)s2"/>
      <sheetName val="Table1.A(a)s3"/>
      <sheetName val="Table1.A(a)s4"/>
      <sheetName val="Table1.A(b)"/>
      <sheetName val="Table1.A(c)"/>
      <sheetName val="Table1.A(d)"/>
      <sheetName val="Table1.B.1"/>
      <sheetName val="Table1.B.2"/>
      <sheetName val="Table1.C"/>
      <sheetName val="Table1.D"/>
      <sheetName val="Table2(I)s1"/>
      <sheetName val="Table2(I)s2"/>
      <sheetName val="Table2(I).A-Hs1"/>
      <sheetName val="Table2(I).A-Hs2"/>
      <sheetName val="Table2(II)"/>
      <sheetName val="Table2(II)B-Hs1"/>
      <sheetName val="Table2(II)B-Hs2"/>
      <sheetName val="Table3s1"/>
      <sheetName val="Table3s2"/>
      <sheetName val="Table3.As1"/>
      <sheetName val="Table3.As2"/>
      <sheetName val="Table3.B(a)s1"/>
      <sheetName val="Table3.B(a)s2"/>
      <sheetName val="Table3.B(b)"/>
      <sheetName val="Table3.C"/>
      <sheetName val="Table3.D"/>
      <sheetName val="Table3.E"/>
      <sheetName val="Table3.F"/>
      <sheetName val="Table3.G-I"/>
      <sheetName val="Table4"/>
      <sheetName val="Table4.1"/>
      <sheetName val="Table4.A"/>
      <sheetName val="Table4.B"/>
      <sheetName val="Table4.C"/>
      <sheetName val="Table4.D"/>
      <sheetName val="Table4.E"/>
      <sheetName val="Table4.F"/>
      <sheetName val="Table4(I)"/>
      <sheetName val="Table4(II)"/>
      <sheetName val="Table4(III)"/>
      <sheetName val="Table4(IV)"/>
      <sheetName val="Table4(V)"/>
      <sheetName val="Table4.Gs1"/>
      <sheetName val="Table4.Gs2"/>
      <sheetName val="Table5"/>
      <sheetName val="Table5.A"/>
      <sheetName val="Table5.B"/>
      <sheetName val="Table5.C"/>
      <sheetName val="Table5.D"/>
      <sheetName val="Summary1.As1"/>
      <sheetName val="Summary1.As2"/>
      <sheetName val="Summary1.As3"/>
      <sheetName val="Summary2"/>
      <sheetName val="Summary3s1"/>
      <sheetName val="Summary3s2"/>
      <sheetName val="Table6"/>
      <sheetName val="Table7"/>
      <sheetName val="Table8s1"/>
      <sheetName val="Table8s2"/>
      <sheetName val="Table8s3"/>
      <sheetName val="Table8s4"/>
      <sheetName val="Table9"/>
      <sheetName val="Table10s1"/>
      <sheetName val="Table10s2"/>
      <sheetName val="Table10s3"/>
      <sheetName val="Table10s4"/>
      <sheetName val="Table10s5"/>
      <sheetName val="Table10s6"/>
    </sheetNames>
    <sheetDataSet>
      <sheetData sheetId="0" refreshError="1"/>
      <sheetData sheetId="1">
        <row r="8">
          <cell r="C8">
            <v>917.82611493890727</v>
          </cell>
        </row>
      </sheetData>
      <sheetData sheetId="2">
        <row r="15">
          <cell r="C15">
            <v>1886.842336361575</v>
          </cell>
        </row>
      </sheetData>
      <sheetData sheetId="3">
        <row r="24">
          <cell r="G24">
            <v>1188922.4815743798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>
        <row r="7">
          <cell r="D7">
            <v>33.318239360375649</v>
          </cell>
          <cell r="E7">
            <v>40.91458494570012</v>
          </cell>
          <cell r="G7">
            <v>5.8321121872924797</v>
          </cell>
          <cell r="I7">
            <v>43.803354730135048</v>
          </cell>
          <cell r="J7">
            <v>1.9684773952296299</v>
          </cell>
          <cell r="L7">
            <v>162122.33592762062</v>
          </cell>
        </row>
        <row r="8">
          <cell r="I8">
            <v>6.2010495999999998E-2</v>
          </cell>
          <cell r="J8">
            <v>4.1538327999999999E-2</v>
          </cell>
          <cell r="L8">
            <v>2139.4789698181821</v>
          </cell>
        </row>
        <row r="9">
          <cell r="B9">
            <v>124.84573991381494</v>
          </cell>
          <cell r="L9">
            <v>127461.56061620408</v>
          </cell>
        </row>
        <row r="10">
          <cell r="B10">
            <v>332.87734092365758</v>
          </cell>
          <cell r="C10">
            <v>2.15381427854541</v>
          </cell>
          <cell r="L10">
            <v>73233.905019025522</v>
          </cell>
        </row>
        <row r="11">
          <cell r="L11">
            <v>292.17687323333325</v>
          </cell>
        </row>
        <row r="12">
          <cell r="B12">
            <v>4.5623198557859697</v>
          </cell>
          <cell r="L12">
            <v>6610.830902899691</v>
          </cell>
        </row>
        <row r="13">
          <cell r="B13">
            <v>5.84477008271105</v>
          </cell>
          <cell r="L13">
            <v>17006.179917978745</v>
          </cell>
        </row>
        <row r="14">
          <cell r="B14">
            <v>12.515059030331839</v>
          </cell>
          <cell r="L14">
            <v>24878.754272992497</v>
          </cell>
        </row>
        <row r="15">
          <cell r="B15">
            <v>5.1985894894061504</v>
          </cell>
          <cell r="L15">
            <v>9473.0509132797233</v>
          </cell>
        </row>
        <row r="16">
          <cell r="L16">
            <v>322.3481980087879</v>
          </cell>
        </row>
      </sheetData>
      <sheetData sheetId="35" refreshError="1"/>
      <sheetData sheetId="36" refreshError="1">
        <row r="13">
          <cell r="R13">
            <v>9347.7352834933663</v>
          </cell>
        </row>
      </sheetData>
      <sheetData sheetId="37" refreshError="1">
        <row r="13">
          <cell r="R13">
            <v>10290.663917477903</v>
          </cell>
        </row>
      </sheetData>
      <sheetData sheetId="38" refreshError="1"/>
      <sheetData sheetId="39" refreshError="1">
        <row r="13">
          <cell r="R13">
            <v>12769.715669034327</v>
          </cell>
        </row>
      </sheetData>
      <sheetData sheetId="40" refreshError="1">
        <row r="13">
          <cell r="R13">
            <v>771.83927251125579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Index sheet"/>
      <sheetName val="Table1s1"/>
      <sheetName val="Table1s2"/>
      <sheetName val="Table1.A(a)s1"/>
      <sheetName val="Table1.A(a)s2"/>
      <sheetName val="Table1.A(a)s3"/>
      <sheetName val="Table1.A(a)s4"/>
      <sheetName val="Table1.A(b)"/>
      <sheetName val="Table1.A(c)"/>
      <sheetName val="Table1.A(d)"/>
      <sheetName val="Table1.B.1"/>
      <sheetName val="Table1.B.2"/>
      <sheetName val="Table1.C"/>
      <sheetName val="Table1.D"/>
      <sheetName val="Table2(I)s1"/>
      <sheetName val="Table2(I)s2"/>
      <sheetName val="Table2(I).A-Hs1"/>
      <sheetName val="Table2(I).A-Hs2"/>
      <sheetName val="Table2(II)"/>
      <sheetName val="Table2(II)B-Hs1"/>
      <sheetName val="Table2(II)B-Hs2"/>
      <sheetName val="Table3s1"/>
      <sheetName val="Table3s2"/>
      <sheetName val="Table3.As1"/>
      <sheetName val="Table3.As2"/>
      <sheetName val="Table3.B(a)s1"/>
      <sheetName val="Table3.B(a)s2"/>
      <sheetName val="Table3.B(b)"/>
      <sheetName val="Table3.C"/>
      <sheetName val="Table3.D"/>
      <sheetName val="Table3.E"/>
      <sheetName val="Table3.F"/>
      <sheetName val="Table3.G-I"/>
      <sheetName val="Table4"/>
      <sheetName val="Table4.1"/>
      <sheetName val="Table4.A"/>
      <sheetName val="Table4.B"/>
      <sheetName val="Table4.C"/>
      <sheetName val="Table4.D"/>
      <sheetName val="Table4.E"/>
      <sheetName val="Table4.F"/>
      <sheetName val="Table4(I)"/>
      <sheetName val="Table4(II)"/>
      <sheetName val="Table4(III)"/>
      <sheetName val="Table4(IV)"/>
      <sheetName val="Table4(V)"/>
      <sheetName val="Table4.Gs1"/>
      <sheetName val="Table4.Gs2"/>
      <sheetName val="Table5"/>
      <sheetName val="Table5.A"/>
      <sheetName val="Table5.B"/>
      <sheetName val="Table5.C"/>
      <sheetName val="Table5.D"/>
      <sheetName val="Summary1.As1"/>
      <sheetName val="Summary1.As2"/>
      <sheetName val="Summary1.As3"/>
      <sheetName val="Summary2"/>
      <sheetName val="Summary3s1"/>
      <sheetName val="Summary3s2"/>
      <sheetName val="Table6"/>
      <sheetName val="Table7"/>
      <sheetName val="Table8s1"/>
      <sheetName val="Table8s2"/>
      <sheetName val="Table8s3"/>
      <sheetName val="Table8s4"/>
      <sheetName val="Table9"/>
      <sheetName val="Table10s1"/>
      <sheetName val="Table10s2"/>
      <sheetName val="Table10s3"/>
      <sheetName val="Table10s4"/>
      <sheetName val="Table10s5"/>
      <sheetName val="Table10s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>
        <row r="7">
          <cell r="D7">
            <v>31.68132636037565</v>
          </cell>
          <cell r="E7">
            <v>41.683318945700123</v>
          </cell>
          <cell r="G7">
            <v>5.2475021872924801</v>
          </cell>
          <cell r="H7">
            <v>1.577609</v>
          </cell>
          <cell r="I7">
            <v>45.693871230135052</v>
          </cell>
          <cell r="J7">
            <v>3.7505403952296299</v>
          </cell>
        </row>
        <row r="8">
          <cell r="E8">
            <v>1.348681E-3</v>
          </cell>
          <cell r="G8">
            <v>1.3427700000000001E-2</v>
          </cell>
          <cell r="I8">
            <v>5.8191499000000001E-2</v>
          </cell>
          <cell r="J8">
            <v>8.1238000000000005E-2</v>
          </cell>
        </row>
        <row r="9">
          <cell r="B9">
            <v>104.22352788484035</v>
          </cell>
        </row>
        <row r="10">
          <cell r="B10">
            <v>296.44798518748036</v>
          </cell>
          <cell r="C10">
            <v>2.7878313345454102</v>
          </cell>
        </row>
        <row r="12">
          <cell r="B12">
            <v>4.30538985578597</v>
          </cell>
        </row>
        <row r="13">
          <cell r="B13">
            <v>10.19221933929</v>
          </cell>
        </row>
        <row r="14">
          <cell r="B14">
            <v>12.42378028033184</v>
          </cell>
        </row>
        <row r="15">
          <cell r="B15">
            <v>5.2730054815736302</v>
          </cell>
        </row>
        <row r="17">
          <cell r="B17">
            <v>162781.60465608712</v>
          </cell>
          <cell r="C17">
            <v>2144.1628607272733</v>
          </cell>
          <cell r="D17">
            <v>126487.98657998494</v>
          </cell>
          <cell r="E17">
            <v>73064.111045964572</v>
          </cell>
          <cell r="F17">
            <v>342.28611441999993</v>
          </cell>
          <cell r="G17">
            <v>6623.7312214842723</v>
          </cell>
          <cell r="H17">
            <v>17020.191498404551</v>
          </cell>
          <cell r="I17">
            <v>25279.947485437573</v>
          </cell>
          <cell r="J17">
            <v>9473.5592106863387</v>
          </cell>
          <cell r="K17">
            <v>322.3481980087879</v>
          </cell>
        </row>
      </sheetData>
      <sheetData sheetId="35" refreshError="1">
        <row r="10">
          <cell r="M10">
            <v>206916.63427266973</v>
          </cell>
          <cell r="N10">
            <v>-109615.28324670522</v>
          </cell>
          <cell r="O10">
            <v>97301.351025964497</v>
          </cell>
        </row>
      </sheetData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Index sheet"/>
      <sheetName val="Table1s1"/>
      <sheetName val="Table1s2"/>
      <sheetName val="Table1.A(a)s1"/>
      <sheetName val="Table1.A(a)s2"/>
      <sheetName val="Table1.A(a)s3"/>
      <sheetName val="Table1.A(a)s4"/>
      <sheetName val="Table1.A(b)"/>
      <sheetName val="Table1.A(c)"/>
      <sheetName val="Table1.A(d)"/>
      <sheetName val="Table1.B.1"/>
      <sheetName val="Table1.B.2"/>
      <sheetName val="Table1.C"/>
      <sheetName val="Table1.D"/>
      <sheetName val="Table2(I)s1"/>
      <sheetName val="Table2(I)s2"/>
      <sheetName val="Table2(I).A-Hs1"/>
      <sheetName val="Table2(I).A-Hs2"/>
      <sheetName val="Table2(II)"/>
      <sheetName val="Table2(II)B-Hs1"/>
      <sheetName val="Table2(II)B-Hs2"/>
      <sheetName val="Table3s1"/>
      <sheetName val="Table3s2"/>
      <sheetName val="Table3.As1"/>
      <sheetName val="Table3.As2"/>
      <sheetName val="Table3.B(a)s1"/>
      <sheetName val="Table3.B(a)s2"/>
      <sheetName val="Table3.B(b)"/>
      <sheetName val="Table3.C"/>
      <sheetName val="Table3.D"/>
      <sheetName val="Table3.E"/>
      <sheetName val="Table3.F"/>
      <sheetName val="Table3.G-I"/>
      <sheetName val="Table4"/>
      <sheetName val="Table4.1"/>
      <sheetName val="Table4.A"/>
      <sheetName val="Table4.B"/>
      <sheetName val="Table4.C"/>
      <sheetName val="Table4.D"/>
      <sheetName val="Table4.E"/>
      <sheetName val="Table4.F"/>
      <sheetName val="Table4(I)"/>
      <sheetName val="Table4(II)"/>
      <sheetName val="Table4(III)"/>
      <sheetName val="Table4(IV)"/>
      <sheetName val="Table4(V)"/>
      <sheetName val="Table4.Gs1"/>
      <sheetName val="Table4.Gs2"/>
      <sheetName val="Table5"/>
      <sheetName val="Table5.A"/>
      <sheetName val="Table5.B"/>
      <sheetName val="Table5.C"/>
      <sheetName val="Table5.D"/>
      <sheetName val="Summary1.As1"/>
      <sheetName val="Summary1.As2"/>
      <sheetName val="Summary1.As3"/>
      <sheetName val="Summary2"/>
      <sheetName val="Summary3s1"/>
      <sheetName val="Summary3s2"/>
      <sheetName val="Table6"/>
      <sheetName val="Table7"/>
      <sheetName val="Table8s1"/>
      <sheetName val="Table8s2"/>
      <sheetName val="Table8s3"/>
      <sheetName val="Table8s4"/>
      <sheetName val="Table9"/>
      <sheetName val="Table10s1"/>
      <sheetName val="Table10s2"/>
      <sheetName val="Table10s3"/>
      <sheetName val="Table10s4"/>
      <sheetName val="Table10s5"/>
      <sheetName val="Table10s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>
        <row r="7">
          <cell r="D7">
            <v>23.241786549038078</v>
          </cell>
          <cell r="E7">
            <v>49.066004665015917</v>
          </cell>
          <cell r="G7">
            <v>7.11318772434793</v>
          </cell>
          <cell r="H7">
            <v>2.9816060000000002</v>
          </cell>
          <cell r="I7">
            <v>52.50114087035481</v>
          </cell>
          <cell r="J7">
            <v>3.1537061452296302</v>
          </cell>
        </row>
        <row r="8">
          <cell r="E8">
            <v>2.14E-3</v>
          </cell>
          <cell r="G8">
            <v>3.5544000000000001E-3</v>
          </cell>
          <cell r="I8">
            <v>8.1483014000000006E-2</v>
          </cell>
          <cell r="J8">
            <v>0.39719604400000003</v>
          </cell>
        </row>
        <row r="9">
          <cell r="B9">
            <v>175.51472883292871</v>
          </cell>
        </row>
        <row r="10">
          <cell r="B10">
            <v>192.96442754817934</v>
          </cell>
          <cell r="C10">
            <v>4.3629189125454104</v>
          </cell>
        </row>
        <row r="11">
          <cell r="B11">
            <v>0.96420812215120999</v>
          </cell>
        </row>
        <row r="12">
          <cell r="B12">
            <v>4.8282802126758497</v>
          </cell>
        </row>
        <row r="13">
          <cell r="B13">
            <v>8.1585266334076501</v>
          </cell>
        </row>
        <row r="14">
          <cell r="B14">
            <v>16.265940014137971</v>
          </cell>
        </row>
        <row r="15">
          <cell r="B15">
            <v>4.3744143041784698</v>
          </cell>
        </row>
        <row r="17">
          <cell r="B17">
            <v>163046.59957866973</v>
          </cell>
          <cell r="C17">
            <v>2148.0414061818183</v>
          </cell>
          <cell r="D17">
            <v>126049.20620619343</v>
          </cell>
          <cell r="E17">
            <v>73014.187167569355</v>
          </cell>
          <cell r="F17">
            <v>363.21691092040783</v>
          </cell>
          <cell r="G17">
            <v>6642.9447448924966</v>
          </cell>
          <cell r="H17">
            <v>17007.142733687353</v>
          </cell>
          <cell r="I17">
            <v>25511.878209079903</v>
          </cell>
          <cell r="J17">
            <v>9434.8632985672011</v>
          </cell>
          <cell r="K17">
            <v>322.3481980087879</v>
          </cell>
        </row>
      </sheetData>
      <sheetData sheetId="35" refreshError="1">
        <row r="10">
          <cell r="M10">
            <v>206146.02553512066</v>
          </cell>
          <cell r="N10">
            <v>-118877.23280074631</v>
          </cell>
          <cell r="O10">
            <v>87268.79273437435</v>
          </cell>
        </row>
      </sheetData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Index sheet"/>
      <sheetName val="Table1s1"/>
      <sheetName val="Table1s2"/>
      <sheetName val="Table1.A(a)s1"/>
      <sheetName val="Table1.A(a)s2"/>
      <sheetName val="Table1.A(a)s3"/>
      <sheetName val="Table1.A(a)s4"/>
      <sheetName val="Table1.A(b)"/>
      <sheetName val="Table1.A(c)"/>
      <sheetName val="Table1.A(d)"/>
      <sheetName val="Table1.B.1"/>
      <sheetName val="Table1.B.2"/>
      <sheetName val="Table1.C"/>
      <sheetName val="Table1.D"/>
      <sheetName val="Table2(I)s1"/>
      <sheetName val="Table2(I)s2"/>
      <sheetName val="Table2(I).A-Hs1"/>
      <sheetName val="Table2(I).A-Hs2"/>
      <sheetName val="Table2(II)"/>
      <sheetName val="Table2(II)B-Hs1"/>
      <sheetName val="Table2(II)B-Hs2"/>
      <sheetName val="Table3s1"/>
      <sheetName val="Table3s2"/>
      <sheetName val="Table3.As1"/>
      <sheetName val="Table3.As2"/>
      <sheetName val="Table3.B(a)s1"/>
      <sheetName val="Table3.B(a)s2"/>
      <sheetName val="Table3.B(b)"/>
      <sheetName val="Table3.C"/>
      <sheetName val="Table3.D"/>
      <sheetName val="Table3.E"/>
      <sheetName val="Table3.F"/>
      <sheetName val="Table3.G-I"/>
      <sheetName val="Table4"/>
      <sheetName val="Table4.1"/>
      <sheetName val="Table4.A"/>
      <sheetName val="Table4.B"/>
      <sheetName val="Table4.C"/>
      <sheetName val="Table4.D"/>
      <sheetName val="Table4.E"/>
      <sheetName val="Table4.F"/>
      <sheetName val="Table4(I)"/>
      <sheetName val="Table4(II)"/>
      <sheetName val="Table4(III)"/>
      <sheetName val="Table4(IV)"/>
      <sheetName val="Table4(V)"/>
      <sheetName val="Table4.Gs1"/>
      <sheetName val="Table4.Gs2"/>
      <sheetName val="Table5"/>
      <sheetName val="Table5.A"/>
      <sheetName val="Table5.B"/>
      <sheetName val="Table5.C"/>
      <sheetName val="Table5.D"/>
      <sheetName val="Summary1.As1"/>
      <sheetName val="Summary1.As2"/>
      <sheetName val="Summary1.As3"/>
      <sheetName val="Summary2"/>
      <sheetName val="Summary3s1"/>
      <sheetName val="Summary3s2"/>
      <sheetName val="Table6"/>
      <sheetName val="Table7"/>
      <sheetName val="Table8s1"/>
      <sheetName val="Table8s2"/>
      <sheetName val="Table8s3"/>
      <sheetName val="Table8s4"/>
      <sheetName val="Table9"/>
      <sheetName val="Table10s1"/>
      <sheetName val="Table10s2"/>
      <sheetName val="Table10s3"/>
      <sheetName val="Table10s4"/>
      <sheetName val="Table10s5"/>
      <sheetName val="Table10s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>
        <row r="7">
          <cell r="D7">
            <v>22.341293899274891</v>
          </cell>
          <cell r="E7">
            <v>39.054498426643363</v>
          </cell>
          <cell r="G7">
            <v>5.6404197777545102</v>
          </cell>
          <cell r="H7">
            <v>6.0314889999999997</v>
          </cell>
          <cell r="I7">
            <v>47.160455692737933</v>
          </cell>
          <cell r="J7">
            <v>2.35574614522963</v>
          </cell>
        </row>
        <row r="8">
          <cell r="E8">
            <v>2.4365039999999999E-3</v>
          </cell>
          <cell r="I8">
            <v>7.5168566000000006E-2</v>
          </cell>
          <cell r="J8">
            <v>8.0378479000000003E-2</v>
          </cell>
        </row>
        <row r="9">
          <cell r="B9">
            <v>134.7487974368951</v>
          </cell>
        </row>
        <row r="10">
          <cell r="B10">
            <v>170.8102469269968</v>
          </cell>
          <cell r="C10">
            <v>3.7924390035454101</v>
          </cell>
        </row>
        <row r="11">
          <cell r="B11">
            <v>0.68919219088575001</v>
          </cell>
        </row>
        <row r="12">
          <cell r="B12">
            <v>3.2643138271449099</v>
          </cell>
        </row>
        <row r="13">
          <cell r="B13">
            <v>5.98113733929</v>
          </cell>
        </row>
        <row r="14">
          <cell r="B14">
            <v>14.172172756219259</v>
          </cell>
        </row>
        <row r="15">
          <cell r="B15">
            <v>4.4946564404810303</v>
          </cell>
        </row>
        <row r="17">
          <cell r="B17">
            <v>163258.16975818161</v>
          </cell>
          <cell r="C17">
            <v>2151.6758616363636</v>
          </cell>
          <cell r="D17">
            <v>125700.2370235897</v>
          </cell>
          <cell r="E17">
            <v>72892.204067324579</v>
          </cell>
          <cell r="F17">
            <v>394.65833581716288</v>
          </cell>
          <cell r="G17">
            <v>6658.7118147325482</v>
          </cell>
          <cell r="H17">
            <v>17000.466124334747</v>
          </cell>
          <cell r="I17">
            <v>25737.734548649656</v>
          </cell>
          <cell r="J17">
            <v>9423.5270148920663</v>
          </cell>
          <cell r="K17">
            <v>322.3481980087879</v>
          </cell>
        </row>
      </sheetData>
      <sheetData sheetId="35" refreshError="1">
        <row r="10">
          <cell r="M10">
            <v>218343.43247596361</v>
          </cell>
          <cell r="N10">
            <v>-111331.89080570942</v>
          </cell>
          <cell r="O10">
            <v>107011.5416702542</v>
          </cell>
        </row>
      </sheetData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Index sheet"/>
      <sheetName val="Table1s1"/>
      <sheetName val="Table1s2"/>
      <sheetName val="Table1.A(a)s1"/>
      <sheetName val="Table1.A(a)s2"/>
      <sheetName val="Table1.A(a)s3"/>
      <sheetName val="Table1.A(a)s4"/>
      <sheetName val="Table1.A(b)"/>
      <sheetName val="Table1.A(c)"/>
      <sheetName val="Table1.A(d)"/>
      <sheetName val="Table1.B.1"/>
      <sheetName val="Table1.B.2"/>
      <sheetName val="Table1.C"/>
      <sheetName val="Table1.D"/>
      <sheetName val="Table2(I)s1"/>
      <sheetName val="Table2(I)s2"/>
      <sheetName val="Table2(I).A-Hs1"/>
      <sheetName val="Table2(I).A-Hs2"/>
      <sheetName val="Table2(II)"/>
      <sheetName val="Table2(II)B-Hs1"/>
      <sheetName val="Table2(II)B-Hs2"/>
      <sheetName val="Table3s1"/>
      <sheetName val="Table3s2"/>
      <sheetName val="Table3.As1"/>
      <sheetName val="Table3.As2"/>
      <sheetName val="Table3.B(a)s1"/>
      <sheetName val="Table3.B(a)s2"/>
      <sheetName val="Table3.B(b)"/>
      <sheetName val="Table3.C"/>
      <sheetName val="Table3.D"/>
      <sheetName val="Table3.E"/>
      <sheetName val="Table3.F"/>
      <sheetName val="Table3.G-I"/>
      <sheetName val="Table4"/>
      <sheetName val="Table4.1"/>
      <sheetName val="Table4.A"/>
      <sheetName val="Table4.B"/>
      <sheetName val="Table4.C"/>
      <sheetName val="Table4.D"/>
      <sheetName val="Table4.E"/>
      <sheetName val="Table4.F"/>
      <sheetName val="Table4(I)"/>
      <sheetName val="Table4(II)"/>
      <sheetName val="Table4(III)"/>
      <sheetName val="Table4(IV)"/>
      <sheetName val="Table4(V)"/>
      <sheetName val="Table4.Gs1"/>
      <sheetName val="Table4.Gs2"/>
      <sheetName val="Table5"/>
      <sheetName val="Table5.A"/>
      <sheetName val="Table5.B"/>
      <sheetName val="Table5.C"/>
      <sheetName val="Table5.D"/>
      <sheetName val="Summary1.As1"/>
      <sheetName val="Summary1.As2"/>
      <sheetName val="Summary1.As3"/>
      <sheetName val="Summary2"/>
      <sheetName val="Summary3s1"/>
      <sheetName val="Summary3s2"/>
      <sheetName val="Table6"/>
      <sheetName val="Table7"/>
      <sheetName val="Table8s1"/>
      <sheetName val="Table8s2"/>
      <sheetName val="Table8s3"/>
      <sheetName val="Table8s4"/>
      <sheetName val="Table9"/>
      <sheetName val="Table10s1"/>
      <sheetName val="Table10s2"/>
      <sheetName val="Table10s3"/>
      <sheetName val="Table10s4"/>
      <sheetName val="Table10s5"/>
      <sheetName val="Table10s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>
        <row r="7">
          <cell r="D7">
            <v>23.881650420818531</v>
          </cell>
          <cell r="E7">
            <v>37.716070083269301</v>
          </cell>
          <cell r="G7">
            <v>6.70046843903053</v>
          </cell>
          <cell r="H7">
            <v>3.7089349999999999</v>
          </cell>
          <cell r="I7">
            <v>50.769416501983272</v>
          </cell>
          <cell r="J7">
            <v>4.6245520884728801</v>
          </cell>
        </row>
        <row r="8">
          <cell r="E8">
            <v>3.9370507999999999E-2</v>
          </cell>
          <cell r="I8">
            <v>1.3241340000000001E-2</v>
          </cell>
          <cell r="J8">
            <v>2.6892300000000001E-2</v>
          </cell>
        </row>
        <row r="9">
          <cell r="B9">
            <v>127.75937722063628</v>
          </cell>
        </row>
        <row r="10">
          <cell r="B10">
            <v>173.88922885362891</v>
          </cell>
          <cell r="C10">
            <v>3.7595496025454098</v>
          </cell>
        </row>
        <row r="11">
          <cell r="B11">
            <v>0.77589804184791999</v>
          </cell>
        </row>
        <row r="12">
          <cell r="B12">
            <v>2.9423805760802599</v>
          </cell>
        </row>
        <row r="13">
          <cell r="B13">
            <v>5.6449132440519003</v>
          </cell>
        </row>
        <row r="14">
          <cell r="B14">
            <v>11.442457438235261</v>
          </cell>
        </row>
        <row r="15">
          <cell r="B15">
            <v>7.8126477071005196</v>
          </cell>
        </row>
        <row r="17">
          <cell r="B17">
            <v>163460.65814477831</v>
          </cell>
          <cell r="C17">
            <v>2155.3559070909091</v>
          </cell>
          <cell r="D17">
            <v>125231.58928210956</v>
          </cell>
          <cell r="E17">
            <v>72804.312193362537</v>
          </cell>
          <cell r="F17">
            <v>417.82967059787416</v>
          </cell>
          <cell r="G17">
            <v>6676.6662196924835</v>
          </cell>
          <cell r="H17">
            <v>17071.866018345318</v>
          </cell>
          <cell r="I17">
            <v>25974.29288834941</v>
          </cell>
          <cell r="J17">
            <v>9424.3870912649181</v>
          </cell>
          <cell r="K17">
            <v>322.3481980087879</v>
          </cell>
        </row>
      </sheetData>
      <sheetData sheetId="35" refreshError="1">
        <row r="10">
          <cell r="M10">
            <v>220287.80260727013</v>
          </cell>
          <cell r="N10">
            <v>-111815.43059601674</v>
          </cell>
          <cell r="O10">
            <v>108472.37201125339</v>
          </cell>
        </row>
      </sheetData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Index sheet"/>
      <sheetName val="Table1s1"/>
      <sheetName val="Table1s2"/>
      <sheetName val="Table1.A(a)s1"/>
      <sheetName val="Table1.A(a)s2"/>
      <sheetName val="Table1.A(a)s3"/>
      <sheetName val="Table1.A(a)s4"/>
      <sheetName val="Table1.A(b)"/>
      <sheetName val="Table1.A(c)"/>
      <sheetName val="Table1.A(d)"/>
      <sheetName val="Table1.B.1"/>
      <sheetName val="Table1.B.2"/>
      <sheetName val="Table1.C"/>
      <sheetName val="Table1.D"/>
      <sheetName val="Table2(I)s1"/>
      <sheetName val="Table2(I)s2"/>
      <sheetName val="Table2(I).A-Hs1"/>
      <sheetName val="Table2(I).A-Hs2"/>
      <sheetName val="Table2(II)"/>
      <sheetName val="Table2(II)B-Hs1"/>
      <sheetName val="Table2(II)B-Hs2"/>
      <sheetName val="Table3s1"/>
      <sheetName val="Table3s2"/>
      <sheetName val="Table3.As1"/>
      <sheetName val="Table3.As2"/>
      <sheetName val="Table3.B(a)s1"/>
      <sheetName val="Table3.B(a)s2"/>
      <sheetName val="Table3.B(b)"/>
      <sheetName val="Table3.C"/>
      <sheetName val="Table3.D"/>
      <sheetName val="Table3.E"/>
      <sheetName val="Table3.F"/>
      <sheetName val="Table3.G-I"/>
      <sheetName val="Table4"/>
      <sheetName val="Table4.1"/>
      <sheetName val="Table4.A"/>
      <sheetName val="Table4.B"/>
      <sheetName val="Table4.C"/>
      <sheetName val="Table4.D"/>
      <sheetName val="Table4.E"/>
      <sheetName val="Table4.F"/>
      <sheetName val="Table4(I)"/>
      <sheetName val="Table4(II)"/>
      <sheetName val="Table4(III)"/>
      <sheetName val="Table4(IV)"/>
      <sheetName val="Table4(V)"/>
      <sheetName val="Table4.Gs1"/>
      <sheetName val="Table4.Gs2"/>
      <sheetName val="Table5"/>
      <sheetName val="Table5.A"/>
      <sheetName val="Table5.B"/>
      <sheetName val="Table5.C"/>
      <sheetName val="Table5.D"/>
      <sheetName val="Summary1.As1"/>
      <sheetName val="Summary1.As2"/>
      <sheetName val="Summary1.As3"/>
      <sheetName val="Summary2"/>
      <sheetName val="Summary3s1"/>
      <sheetName val="Summary3s2"/>
      <sheetName val="Table6"/>
      <sheetName val="Table7"/>
      <sheetName val="Table8s1"/>
      <sheetName val="Table8s2"/>
      <sheetName val="Table8s3"/>
      <sheetName val="Table8s4"/>
      <sheetName val="Table9"/>
      <sheetName val="Table10s1"/>
      <sheetName val="Table10s2"/>
      <sheetName val="Table10s3"/>
      <sheetName val="Table10s4"/>
      <sheetName val="Table10s5"/>
      <sheetName val="Table10s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>
        <row r="7">
          <cell r="D7">
            <v>21.481125094793569</v>
          </cell>
          <cell r="E7">
            <v>43.56215312984407</v>
          </cell>
          <cell r="G7">
            <v>5.7030842222316904</v>
          </cell>
          <cell r="H7">
            <v>9.4338660000000001</v>
          </cell>
          <cell r="I7">
            <v>46.926818986120317</v>
          </cell>
          <cell r="J7">
            <v>5.5540252551395497</v>
          </cell>
        </row>
        <row r="8">
          <cell r="D8">
            <v>4.0000000000000002E-4</v>
          </cell>
          <cell r="E8">
            <v>4.6504559999999999E-3</v>
          </cell>
          <cell r="I8">
            <v>1.8948179999999999E-3</v>
          </cell>
          <cell r="J8">
            <v>2.8526762000000001E-2</v>
          </cell>
        </row>
        <row r="9">
          <cell r="B9">
            <v>100.36457548152705</v>
          </cell>
        </row>
        <row r="10">
          <cell r="B10">
            <v>165.16374152785636</v>
          </cell>
          <cell r="C10">
            <v>3.9140174905454099</v>
          </cell>
        </row>
        <row r="11">
          <cell r="B11">
            <v>0.48262351491998001</v>
          </cell>
        </row>
        <row r="12">
          <cell r="B12">
            <v>2.9615211289356602</v>
          </cell>
        </row>
        <row r="13">
          <cell r="B13">
            <v>7.2587478630995204</v>
          </cell>
        </row>
        <row r="14">
          <cell r="B14">
            <v>15.25009196744076</v>
          </cell>
        </row>
        <row r="15">
          <cell r="B15">
            <v>5.5611166040736197</v>
          </cell>
        </row>
        <row r="17">
          <cell r="B17">
            <v>163624.89834489959</v>
          </cell>
          <cell r="C17">
            <v>2159.2344525454546</v>
          </cell>
          <cell r="D17">
            <v>124578.2291946466</v>
          </cell>
          <cell r="E17">
            <v>72994.615451455727</v>
          </cell>
          <cell r="F17">
            <v>444.85467661545664</v>
          </cell>
          <cell r="G17">
            <v>6698.8205755023155</v>
          </cell>
          <cell r="H17">
            <v>17089.32890566302</v>
          </cell>
          <cell r="I17">
            <v>26206.305898386738</v>
          </cell>
          <cell r="J17">
            <v>9421.1158337795423</v>
          </cell>
          <cell r="K17">
            <v>322.3481980087879</v>
          </cell>
        </row>
      </sheetData>
      <sheetData sheetId="35" refreshError="1">
        <row r="10">
          <cell r="M10">
            <v>219703.98307324256</v>
          </cell>
          <cell r="N10">
            <v>-113516.94166504659</v>
          </cell>
          <cell r="O10">
            <v>106187.04140819598</v>
          </cell>
        </row>
      </sheetData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Index sheet"/>
      <sheetName val="Table1s1"/>
      <sheetName val="Table1s2"/>
      <sheetName val="Table1.A(a)s1"/>
      <sheetName val="Table1.A(a)s2"/>
      <sheetName val="Table1.A(a)s3"/>
      <sheetName val="Table1.A(a)s4"/>
      <sheetName val="Table1.A(b)"/>
      <sheetName val="Table1.A(c)"/>
      <sheetName val="Table1.A(d)"/>
      <sheetName val="Table1.B.1"/>
      <sheetName val="Table1.B.2"/>
      <sheetName val="Table1.C"/>
      <sheetName val="Table1.D"/>
      <sheetName val="Table2(I)s1"/>
      <sheetName val="Table2(I)s2"/>
      <sheetName val="Table2(I).A-Hs1"/>
      <sheetName val="Table2(I).A-Hs2"/>
      <sheetName val="Table2(II)"/>
      <sheetName val="Table2(II)B-Hs1"/>
      <sheetName val="Table2(II)B-Hs2"/>
      <sheetName val="Table3s1"/>
      <sheetName val="Table3s2"/>
      <sheetName val="Table3.As1"/>
      <sheetName val="Table3.As2"/>
      <sheetName val="Table3.B(a)s1"/>
      <sheetName val="Table3.B(a)s2"/>
      <sheetName val="Table3.B(b)"/>
      <sheetName val="Table3.C"/>
      <sheetName val="Table3.D"/>
      <sheetName val="Table3.E"/>
      <sheetName val="Table3.F"/>
      <sheetName val="Table3.G-I"/>
      <sheetName val="Table4"/>
      <sheetName val="Table4.1"/>
      <sheetName val="Table4.A"/>
      <sheetName val="Table4.B"/>
      <sheetName val="Table4.C"/>
      <sheetName val="Table4.D"/>
      <sheetName val="Table4.E"/>
      <sheetName val="Table4.F"/>
      <sheetName val="Table4(I)"/>
      <sheetName val="Table4(II)"/>
      <sheetName val="Table4(III)"/>
      <sheetName val="Table4(IV)"/>
      <sheetName val="Table4(V)"/>
      <sheetName val="Table4.Gs1"/>
      <sheetName val="Table4.Gs2"/>
      <sheetName val="Table5"/>
      <sheetName val="Table5.A"/>
      <sheetName val="Table5.B"/>
      <sheetName val="Table5.C"/>
      <sheetName val="Table5.D"/>
      <sheetName val="Summary1.As1"/>
      <sheetName val="Summary1.As2"/>
      <sheetName val="Summary1.As3"/>
      <sheetName val="Summary2"/>
      <sheetName val="Summary3s1"/>
      <sheetName val="Summary3s2"/>
      <sheetName val="Table6"/>
      <sheetName val="Table7"/>
      <sheetName val="Table8s1"/>
      <sheetName val="Table8s2"/>
      <sheetName val="Table8s3"/>
      <sheetName val="Table8s4"/>
      <sheetName val="Table9"/>
      <sheetName val="Table10s1"/>
      <sheetName val="Table10s2"/>
      <sheetName val="Table10s3"/>
      <sheetName val="Table10s4"/>
      <sheetName val="Table10s5"/>
      <sheetName val="Table10s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>
        <row r="7">
          <cell r="D7">
            <v>23.159099175480371</v>
          </cell>
          <cell r="E7">
            <v>36.56550300679497</v>
          </cell>
          <cell r="G7">
            <v>5.6202211325719302</v>
          </cell>
          <cell r="H7">
            <v>1.8593850000000001</v>
          </cell>
          <cell r="I7">
            <v>43.177986680803564</v>
          </cell>
          <cell r="J7">
            <v>2.3025332551395499</v>
          </cell>
        </row>
        <row r="8">
          <cell r="I8">
            <v>8.3827539999999992E-3</v>
          </cell>
          <cell r="J8">
            <v>4.1610822999999998E-2</v>
          </cell>
        </row>
        <row r="9">
          <cell r="B9">
            <v>92.34977357224362</v>
          </cell>
        </row>
        <row r="10">
          <cell r="B10">
            <v>158.70156147891038</v>
          </cell>
          <cell r="C10">
            <v>3.3973390315454202</v>
          </cell>
        </row>
        <row r="11">
          <cell r="B11">
            <v>0.75127426067812997</v>
          </cell>
        </row>
        <row r="12">
          <cell r="B12">
            <v>2.52893112893566</v>
          </cell>
        </row>
        <row r="13">
          <cell r="B13">
            <v>8.2305049107185706</v>
          </cell>
        </row>
        <row r="14">
          <cell r="B14">
            <v>14.837648602030511</v>
          </cell>
        </row>
        <row r="15">
          <cell r="B15">
            <v>7.5101553100941203</v>
          </cell>
        </row>
        <row r="17">
          <cell r="B17">
            <v>163797.40517263394</v>
          </cell>
          <cell r="C17">
            <v>2162.5817979999997</v>
          </cell>
          <cell r="D17">
            <v>124213.29826126735</v>
          </cell>
          <cell r="E17">
            <v>72936.467793378673</v>
          </cell>
          <cell r="F17">
            <v>446.1201916594178</v>
          </cell>
          <cell r="G17">
            <v>6718.8638765499363</v>
          </cell>
          <cell r="H17">
            <v>17093.665378854454</v>
          </cell>
          <cell r="I17">
            <v>26434.756458749773</v>
          </cell>
          <cell r="J17">
            <v>9414.7228008095008</v>
          </cell>
          <cell r="K17">
            <v>322.3481980087879</v>
          </cell>
        </row>
      </sheetData>
      <sheetData sheetId="35" refreshError="1">
        <row r="10">
          <cell r="M10">
            <v>219467.88460490768</v>
          </cell>
          <cell r="N10">
            <v>-115631.17854429412</v>
          </cell>
          <cell r="O10">
            <v>103836.70606061355</v>
          </cell>
        </row>
      </sheetData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Index sheet"/>
      <sheetName val="Table1s1"/>
      <sheetName val="Table1s2"/>
      <sheetName val="Table1.A(a)s1"/>
      <sheetName val="Table1.A(a)s2"/>
      <sheetName val="Table1.A(a)s3"/>
      <sheetName val="Table1.A(a)s4"/>
      <sheetName val="Table1.A(b)"/>
      <sheetName val="Table1.A(c)"/>
      <sheetName val="Table1.A(d)"/>
      <sheetName val="Table1.B.1"/>
      <sheetName val="Table1.B.2"/>
      <sheetName val="Table1.C"/>
      <sheetName val="Table1.D"/>
      <sheetName val="Table2(I)s1"/>
      <sheetName val="Table2(I)s2"/>
      <sheetName val="Table2(I).A-Hs1"/>
      <sheetName val="Table2(I).A-Hs2"/>
      <sheetName val="Table2(II)"/>
      <sheetName val="Table2(II)B-Hs1"/>
      <sheetName val="Table2(II)B-Hs2"/>
      <sheetName val="Table3s1"/>
      <sheetName val="Table3s2"/>
      <sheetName val="Table3.As1"/>
      <sheetName val="Table3.As2"/>
      <sheetName val="Table3.B(a)s1"/>
      <sheetName val="Table3.B(a)s2"/>
      <sheetName val="Table3.B(b)"/>
      <sheetName val="Table3.C"/>
      <sheetName val="Table3.D"/>
      <sheetName val="Table3.E"/>
      <sheetName val="Table3.F"/>
      <sheetName val="Table3.G-I"/>
      <sheetName val="Table4"/>
      <sheetName val="Table4.1"/>
      <sheetName val="Table4.A"/>
      <sheetName val="Table4.B"/>
      <sheetName val="Table4.C"/>
      <sheetName val="Table4.D"/>
      <sheetName val="Table4.E"/>
      <sheetName val="Table4.F"/>
      <sheetName val="Table4(I)"/>
      <sheetName val="Table4(II)"/>
      <sheetName val="Table4(III)"/>
      <sheetName val="Table4(IV)"/>
      <sheetName val="Table4(V)"/>
      <sheetName val="Table4.Gs1"/>
      <sheetName val="Table4.Gs2"/>
      <sheetName val="Table5"/>
      <sheetName val="Table5.A"/>
      <sheetName val="Table5.B"/>
      <sheetName val="Table5.C"/>
      <sheetName val="Table5.D"/>
      <sheetName val="Summary1.As1"/>
      <sheetName val="Summary1.As2"/>
      <sheetName val="Summary1.As3"/>
      <sheetName val="Summary2"/>
      <sheetName val="Summary3s1"/>
      <sheetName val="Summary3s2"/>
      <sheetName val="Table6"/>
      <sheetName val="Table7"/>
      <sheetName val="Table8s1"/>
      <sheetName val="Table8s2"/>
      <sheetName val="Table8s3"/>
      <sheetName val="Table8s4"/>
      <sheetName val="Table9"/>
      <sheetName val="Table10s1"/>
      <sheetName val="Table10s2"/>
      <sheetName val="Table10s3"/>
      <sheetName val="Table10s4"/>
      <sheetName val="Table10s5"/>
      <sheetName val="Table10s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>
        <row r="7">
          <cell r="D7">
            <v>20.78182851112642</v>
          </cell>
          <cell r="E7">
            <v>33.479051029595652</v>
          </cell>
          <cell r="G7">
            <v>4.63122720400193</v>
          </cell>
          <cell r="H7">
            <v>4.9983589999999998</v>
          </cell>
          <cell r="I7">
            <v>43.98364706521383</v>
          </cell>
          <cell r="J7">
            <v>1.8396862551395501</v>
          </cell>
        </row>
        <row r="8">
          <cell r="E8">
            <v>1.8910000000000001E-3</v>
          </cell>
          <cell r="G8">
            <v>6.1469849999999998E-3</v>
          </cell>
          <cell r="I8">
            <v>0.11541292659999999</v>
          </cell>
          <cell r="J8">
            <v>0.4528118814</v>
          </cell>
        </row>
        <row r="9">
          <cell r="B9">
            <v>87.280746784743656</v>
          </cell>
        </row>
        <row r="10">
          <cell r="B10">
            <v>162.25712115636841</v>
          </cell>
          <cell r="C10">
            <v>4.4548082475454098</v>
          </cell>
        </row>
        <row r="11">
          <cell r="B11">
            <v>0.28035251649557003</v>
          </cell>
        </row>
        <row r="12">
          <cell r="B12">
            <v>4.2561997790363</v>
          </cell>
        </row>
        <row r="13">
          <cell r="B13">
            <v>4.1844653076923102</v>
          </cell>
        </row>
        <row r="14">
          <cell r="B14">
            <v>14.857304125042649</v>
          </cell>
        </row>
        <row r="15">
          <cell r="B15">
            <v>5.2712145095620597</v>
          </cell>
        </row>
        <row r="17">
          <cell r="B17">
            <v>163966.02088437363</v>
          </cell>
          <cell r="C17">
            <v>2166.4603434545447</v>
          </cell>
          <cell r="D17">
            <v>123913.56998676018</v>
          </cell>
          <cell r="E17">
            <v>72818.313752041446</v>
          </cell>
          <cell r="F17">
            <v>444.83659144548142</v>
          </cell>
          <cell r="G17">
            <v>6738.2181772382191</v>
          </cell>
          <cell r="H17">
            <v>17092.488418858018</v>
          </cell>
          <cell r="I17">
            <v>26666.697413163962</v>
          </cell>
          <cell r="J17">
            <v>9410.8802516698615</v>
          </cell>
          <cell r="K17">
            <v>322.3481980087879</v>
          </cell>
        </row>
      </sheetData>
      <sheetData sheetId="35" refreshError="1">
        <row r="10">
          <cell r="M10">
            <v>219573.06023293623</v>
          </cell>
          <cell r="N10">
            <v>-115119.91421671459</v>
          </cell>
          <cell r="O10">
            <v>104453.14601622164</v>
          </cell>
        </row>
      </sheetData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Index sheet"/>
      <sheetName val="Table1s1"/>
      <sheetName val="Table1s2"/>
      <sheetName val="Table1.A(a)s1"/>
      <sheetName val="Table1.A(a)s2"/>
      <sheetName val="Table1.A(a)s3"/>
      <sheetName val="Table1.A(a)s4"/>
      <sheetName val="Table1.A(b)"/>
      <sheetName val="Table1.A(c)"/>
      <sheetName val="Table1.A(d)"/>
      <sheetName val="Table1.B.1"/>
      <sheetName val="Table1.B.2"/>
      <sheetName val="Table1.C"/>
      <sheetName val="Table1.D"/>
      <sheetName val="Table2(I)s1"/>
      <sheetName val="Table2(I)s2"/>
      <sheetName val="Table2(I).A-Hs1"/>
      <sheetName val="Table2(I).A-Hs2"/>
      <sheetName val="Table2(II)"/>
      <sheetName val="Table2(II)B-Hs1"/>
      <sheetName val="Table2(II)B-Hs2"/>
      <sheetName val="Table3s1"/>
      <sheetName val="Table3s2"/>
      <sheetName val="Table3.As1"/>
      <sheetName val="Table3.As2"/>
      <sheetName val="Table3.B(a)s1"/>
      <sheetName val="Table3.B(a)s2"/>
      <sheetName val="Table3.B(b)"/>
      <sheetName val="Table3.C"/>
      <sheetName val="Table3.D"/>
      <sheetName val="Table3.E"/>
      <sheetName val="Table3.F"/>
      <sheetName val="Table3.G-I"/>
      <sheetName val="Table4"/>
      <sheetName val="Table4.1"/>
      <sheetName val="Table4.A"/>
      <sheetName val="Table4.B"/>
      <sheetName val="Table4.C"/>
      <sheetName val="Table4.D"/>
      <sheetName val="Table4.E"/>
      <sheetName val="Table4.F"/>
      <sheetName val="Table4(I)"/>
      <sheetName val="Table4(II)"/>
      <sheetName val="Table4(III)"/>
      <sheetName val="Table4(IV)"/>
      <sheetName val="Table4(V)"/>
      <sheetName val="Table4.Gs1"/>
      <sheetName val="Table4.Gs2"/>
      <sheetName val="Table5"/>
      <sheetName val="Table5.A"/>
      <sheetName val="Table5.B"/>
      <sheetName val="Table5.C"/>
      <sheetName val="Table5.D"/>
      <sheetName val="Summary1.As1"/>
      <sheetName val="Summary1.As2"/>
      <sheetName val="Summary1.As3"/>
      <sheetName val="Summary2"/>
      <sheetName val="Summary3s1"/>
      <sheetName val="Summary3s2"/>
      <sheetName val="Table6"/>
      <sheetName val="Table7"/>
      <sheetName val="Table8s1"/>
      <sheetName val="Table8s2"/>
      <sheetName val="Table8s3"/>
      <sheetName val="Table8s4"/>
      <sheetName val="Table9"/>
      <sheetName val="Table10s1"/>
      <sheetName val="Table10s2"/>
      <sheetName val="Table10s3"/>
      <sheetName val="Table10s4"/>
      <sheetName val="Table10s5"/>
      <sheetName val="Table10s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>
        <row r="7">
          <cell r="D7">
            <v>28.133102370890139</v>
          </cell>
          <cell r="E7">
            <v>60.175512532660591</v>
          </cell>
          <cell r="G7">
            <v>5.6652661073341397</v>
          </cell>
          <cell r="H7">
            <v>1.769085</v>
          </cell>
          <cell r="I7">
            <v>43.735309748766738</v>
          </cell>
          <cell r="J7">
            <v>2.1926807551395502</v>
          </cell>
        </row>
        <row r="8">
          <cell r="I8">
            <v>1.9638487E-2</v>
          </cell>
          <cell r="J8">
            <v>1.6885232E-2</v>
          </cell>
        </row>
        <row r="9">
          <cell r="B9">
            <v>80.82068098233016</v>
          </cell>
        </row>
        <row r="10">
          <cell r="B10">
            <v>174.80084616691357</v>
          </cell>
          <cell r="C10">
            <v>3.91506917354541</v>
          </cell>
        </row>
        <row r="11">
          <cell r="B11">
            <v>0.26970920331303999</v>
          </cell>
        </row>
        <row r="12">
          <cell r="B12">
            <v>2.8514020689773698</v>
          </cell>
        </row>
        <row r="13">
          <cell r="B13">
            <v>6.4814150000000001</v>
          </cell>
        </row>
        <row r="14">
          <cell r="B14">
            <v>20.42961041154442</v>
          </cell>
        </row>
        <row r="15">
          <cell r="B15">
            <v>4.9151427494955602</v>
          </cell>
        </row>
        <row r="17">
          <cell r="B17">
            <v>164114.87300116441</v>
          </cell>
          <cell r="C17">
            <v>2170.3388889090902</v>
          </cell>
          <cell r="D17">
            <v>123715.72950982854</v>
          </cell>
          <cell r="E17">
            <v>72738.132821765932</v>
          </cell>
          <cell r="F17">
            <v>425.56245624880387</v>
          </cell>
          <cell r="G17">
            <v>6773.2805409253733</v>
          </cell>
          <cell r="H17">
            <v>17044.261141986426</v>
          </cell>
          <cell r="I17">
            <v>26822.587515027422</v>
          </cell>
          <cell r="J17">
            <v>9412.8076405696374</v>
          </cell>
          <cell r="K17">
            <v>322.3481980087879</v>
          </cell>
        </row>
      </sheetData>
      <sheetData sheetId="35" refreshError="1">
        <row r="10">
          <cell r="M10">
            <v>219562.61292857517</v>
          </cell>
          <cell r="N10">
            <v>-112829.12626259636</v>
          </cell>
          <cell r="O10">
            <v>106733.48666597882</v>
          </cell>
        </row>
      </sheetData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Index sheet"/>
      <sheetName val="Table1s1"/>
      <sheetName val="Table1s2"/>
      <sheetName val="Table1.A(a)s1"/>
      <sheetName val="Table1.A(a)s2"/>
      <sheetName val="Table1.A(a)s3"/>
      <sheetName val="Table1.A(a)s4"/>
      <sheetName val="Table1.A(b)"/>
      <sheetName val="Table1.A(c)"/>
      <sheetName val="Table1.A(d)"/>
      <sheetName val="Table1.B.1"/>
      <sheetName val="Table1.B.2"/>
      <sheetName val="Table1.C"/>
      <sheetName val="Table1.D"/>
      <sheetName val="Table2(I)s1"/>
      <sheetName val="Table2(I)s2"/>
      <sheetName val="Table2(I).A-Hs1"/>
      <sheetName val="Table2(I).A-Hs2"/>
      <sheetName val="Table2(II)"/>
      <sheetName val="Table2(II)B-Hs1"/>
      <sheetName val="Table2(II)B-Hs2"/>
      <sheetName val="Table3s1"/>
      <sheetName val="Table3s2"/>
      <sheetName val="Table3.As1"/>
      <sheetName val="Table3.As2"/>
      <sheetName val="Table3.B(a)s1"/>
      <sheetName val="Table3.B(a)s2"/>
      <sheetName val="Table3.B(b)"/>
      <sheetName val="Table3.C"/>
      <sheetName val="Table3.D"/>
      <sheetName val="Table3.E"/>
      <sheetName val="Table3.F"/>
      <sheetName val="Table3.G-I"/>
      <sheetName val="Table4"/>
      <sheetName val="Table4.1"/>
      <sheetName val="Table4.A"/>
      <sheetName val="Table4.B"/>
      <sheetName val="Table4.C"/>
      <sheetName val="Table4.D"/>
      <sheetName val="Table4.E"/>
      <sheetName val="Table4.F"/>
      <sheetName val="Table4(I)"/>
      <sheetName val="Table4(II)"/>
      <sheetName val="Table4(III)"/>
      <sheetName val="Table4(IV)"/>
      <sheetName val="Table4(V)"/>
      <sheetName val="Table4.Gs1"/>
      <sheetName val="Table4.Gs2"/>
      <sheetName val="Table5"/>
      <sheetName val="Table5.A"/>
      <sheetName val="Table5.B"/>
      <sheetName val="Table5.C"/>
      <sheetName val="Table5.D"/>
      <sheetName val="Summary1.As1"/>
      <sheetName val="Summary1.As2"/>
      <sheetName val="Summary1.As3"/>
      <sheetName val="Summary2"/>
      <sheetName val="Summary3s1"/>
      <sheetName val="Summary3s2"/>
      <sheetName val="Table6"/>
      <sheetName val="Table7"/>
      <sheetName val="Table8s1"/>
      <sheetName val="Table8s2"/>
      <sheetName val="Table8s3"/>
      <sheetName val="Table8s4"/>
      <sheetName val="Table9"/>
      <sheetName val="Table10s1"/>
      <sheetName val="Table10s2"/>
      <sheetName val="Table10s3"/>
      <sheetName val="Table10s4"/>
      <sheetName val="Table10s5"/>
      <sheetName val="Table10s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>
        <row r="7">
          <cell r="D7">
            <v>24.841271758132802</v>
          </cell>
          <cell r="E7">
            <v>42.643010426642881</v>
          </cell>
          <cell r="G7">
            <v>4.8356236073541403</v>
          </cell>
          <cell r="H7">
            <v>3.728113</v>
          </cell>
          <cell r="I7">
            <v>46.775743516541709</v>
          </cell>
          <cell r="J7">
            <v>2.28482175513955</v>
          </cell>
        </row>
        <row r="8">
          <cell r="I8">
            <v>3.486786E-3</v>
          </cell>
          <cell r="J8">
            <v>2.761446E-2</v>
          </cell>
        </row>
        <row r="9">
          <cell r="B9">
            <v>67.863173898921687</v>
          </cell>
        </row>
        <row r="10">
          <cell r="B10">
            <v>167.16977701919515</v>
          </cell>
          <cell r="C10">
            <v>3.9096467005454101</v>
          </cell>
        </row>
        <row r="11">
          <cell r="B11">
            <v>0.27233594501976</v>
          </cell>
        </row>
        <row r="12">
          <cell r="B12">
            <v>5.4229708660852998</v>
          </cell>
        </row>
        <row r="13">
          <cell r="B13">
            <v>7.2990770555555597</v>
          </cell>
        </row>
        <row r="14">
          <cell r="B14">
            <v>11.414546636409421</v>
          </cell>
        </row>
        <row r="15">
          <cell r="B15">
            <v>3.3918464127851302</v>
          </cell>
        </row>
        <row r="17">
          <cell r="B17">
            <v>164252.54622593991</v>
          </cell>
          <cell r="C17">
            <v>2174.2174343636361</v>
          </cell>
          <cell r="D17">
            <v>123274.82106948363</v>
          </cell>
          <cell r="E17">
            <v>72765.106078333833</v>
          </cell>
          <cell r="F17">
            <v>407.09792161430062</v>
          </cell>
          <cell r="G17">
            <v>6780.2204637341802</v>
          </cell>
          <cell r="H17">
            <v>17057.626141149754</v>
          </cell>
          <cell r="I17">
            <v>27087.878634464556</v>
          </cell>
          <cell r="J17">
            <v>9418.1316166253</v>
          </cell>
          <cell r="K17">
            <v>322.3481980087879</v>
          </cell>
        </row>
      </sheetData>
      <sheetData sheetId="35" refreshError="1">
        <row r="10">
          <cell r="M10">
            <v>216997.78918216712</v>
          </cell>
          <cell r="N10">
            <v>-118203.65200737282</v>
          </cell>
          <cell r="O10">
            <v>98794.13717479429</v>
          </cell>
        </row>
      </sheetData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Index sheet"/>
      <sheetName val="Table1s1"/>
      <sheetName val="Table1s2"/>
      <sheetName val="Table1.A(a)s1"/>
      <sheetName val="Table1.A(a)s2"/>
      <sheetName val="Table1.A(a)s3"/>
      <sheetName val="Table1.A(a)s4"/>
      <sheetName val="Table1.A(b)"/>
      <sheetName val="Table1.A(c)"/>
      <sheetName val="Table1.A(d)"/>
      <sheetName val="Table1.B.1"/>
      <sheetName val="Table1.B.2"/>
      <sheetName val="Table1.C"/>
      <sheetName val="Table1.D"/>
      <sheetName val="Table2(I)s1"/>
      <sheetName val="Table2(I)s2"/>
      <sheetName val="Table2(I).A-Hs1"/>
      <sheetName val="Table2(I).A-Hs2"/>
      <sheetName val="Table2(II)"/>
      <sheetName val="Table2(II)B-Hs1"/>
      <sheetName val="Table2(II)B-Hs2"/>
      <sheetName val="Table3s1"/>
      <sheetName val="Table3s2"/>
      <sheetName val="Table3.As1"/>
      <sheetName val="Table3.As2"/>
      <sheetName val="Table3.B(a)s1"/>
      <sheetName val="Table3.B(a)s2"/>
      <sheetName val="Table3.B(b)"/>
      <sheetName val="Table3.C"/>
      <sheetName val="Table3.D"/>
      <sheetName val="Table3.E"/>
      <sheetName val="Table3.F"/>
      <sheetName val="Table3.G-I"/>
      <sheetName val="Table4"/>
      <sheetName val="Table4.1"/>
      <sheetName val="Table4.A"/>
      <sheetName val="Table4.B"/>
      <sheetName val="Table4.C"/>
      <sheetName val="Table4.D"/>
      <sheetName val="Table4.E"/>
      <sheetName val="Table4.F"/>
      <sheetName val="Table4(I)"/>
      <sheetName val="Table4(II)"/>
      <sheetName val="Table4(III)"/>
      <sheetName val="Table4(IV)"/>
      <sheetName val="Table4(V)"/>
      <sheetName val="Table4.Gs1"/>
      <sheetName val="Table4.Gs2"/>
      <sheetName val="Table5"/>
      <sheetName val="Table5.A"/>
      <sheetName val="Table5.B"/>
      <sheetName val="Table5.C"/>
      <sheetName val="Table5.D"/>
      <sheetName val="Summary1.As1"/>
      <sheetName val="Summary1.As2"/>
      <sheetName val="Summary1.As3"/>
      <sheetName val="Summary2"/>
      <sheetName val="Summary3s1"/>
      <sheetName val="Summary3s2"/>
      <sheetName val="Table6"/>
      <sheetName val="Table7"/>
      <sheetName val="Table8s1"/>
      <sheetName val="Table8s2"/>
      <sheetName val="Table8s3"/>
      <sheetName val="Table8s4"/>
      <sheetName val="Table9"/>
      <sheetName val="Table10s1"/>
      <sheetName val="Table10s2"/>
      <sheetName val="Table10s3"/>
      <sheetName val="Table10s4"/>
      <sheetName val="Table10s5"/>
      <sheetName val="Table10s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>
        <row r="7">
          <cell r="D7">
            <v>27.792473608922229</v>
          </cell>
          <cell r="E7">
            <v>39.76131971047198</v>
          </cell>
          <cell r="G7">
            <v>4.8163286073541398</v>
          </cell>
          <cell r="H7">
            <v>3.0375040000000002</v>
          </cell>
          <cell r="I7">
            <v>44.400276265923253</v>
          </cell>
          <cell r="J7">
            <v>1.93010275513955</v>
          </cell>
        </row>
        <row r="8">
          <cell r="I8">
            <v>5.1886850000000002E-3</v>
          </cell>
          <cell r="J8">
            <v>2.1133625999999999E-2</v>
          </cell>
        </row>
        <row r="9">
          <cell r="B9">
            <v>66.051100733498686</v>
          </cell>
        </row>
        <row r="10">
          <cell r="B10">
            <v>166.74889149331128</v>
          </cell>
          <cell r="C10">
            <v>3.90486776554541</v>
          </cell>
        </row>
        <row r="11">
          <cell r="B11">
            <v>7.0699824780959999E-2</v>
          </cell>
        </row>
        <row r="12">
          <cell r="B12">
            <v>3.9131723295373702</v>
          </cell>
        </row>
        <row r="13">
          <cell r="B13">
            <v>12.05270435714286</v>
          </cell>
        </row>
        <row r="14">
          <cell r="B14">
            <v>13.658465249791711</v>
          </cell>
        </row>
        <row r="15">
          <cell r="B15">
            <v>6.4474639957489703</v>
          </cell>
        </row>
        <row r="17">
          <cell r="B17">
            <v>164399.66624836528</v>
          </cell>
          <cell r="C17">
            <v>2178.0959798181811</v>
          </cell>
          <cell r="D17">
            <v>123050.76552138235</v>
          </cell>
          <cell r="E17">
            <v>72719.232685988987</v>
          </cell>
          <cell r="F17">
            <v>403.94628226812978</v>
          </cell>
          <cell r="G17">
            <v>6810.1128885233529</v>
          </cell>
          <cell r="H17">
            <v>17037.652666137383</v>
          </cell>
          <cell r="I17">
            <v>27213.455328574135</v>
          </cell>
          <cell r="J17">
            <v>9404.9119793555656</v>
          </cell>
          <cell r="K17">
            <v>322.3481980087879</v>
          </cell>
        </row>
      </sheetData>
      <sheetData sheetId="35" refreshError="1">
        <row r="10">
          <cell r="M10">
            <v>213886.8459289117</v>
          </cell>
          <cell r="N10">
            <v>-120294.11726337658</v>
          </cell>
          <cell r="O10">
            <v>93592.72866553512</v>
          </cell>
        </row>
      </sheetData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Index sheet"/>
      <sheetName val="Table1s1"/>
      <sheetName val="Table1s2"/>
      <sheetName val="Table1.A(a)s1"/>
      <sheetName val="Table1.A(a)s2"/>
      <sheetName val="Table1.A(a)s3"/>
      <sheetName val="Table1.A(a)s4"/>
      <sheetName val="Table1.A(b)"/>
      <sheetName val="Table1.A(c)"/>
      <sheetName val="Table1.A(d)"/>
      <sheetName val="Table1.B.1"/>
      <sheetName val="Table1.B.2"/>
      <sheetName val="Table1.C"/>
      <sheetName val="Table1.D"/>
      <sheetName val="Table2(I)s1"/>
      <sheetName val="Table2(I)s2"/>
      <sheetName val="Table2(I).A-Hs1"/>
      <sheetName val="Table2(I).A-Hs2"/>
      <sheetName val="Table2(II)"/>
      <sheetName val="Table2(II)B-Hs1"/>
      <sheetName val="Table2(II)B-Hs2"/>
      <sheetName val="Table3s1"/>
      <sheetName val="Table3s2"/>
      <sheetName val="Table3.As1"/>
      <sheetName val="Table3.As2"/>
      <sheetName val="Table3.B(a)s1"/>
      <sheetName val="Table3.B(a)s2"/>
      <sheetName val="Table3.B(b)"/>
      <sheetName val="Table3.C"/>
      <sheetName val="Table3.D"/>
      <sheetName val="Table3.E"/>
      <sheetName val="Table3.F"/>
      <sheetName val="Table3.G-I"/>
      <sheetName val="Table4"/>
      <sheetName val="Table4.1"/>
      <sheetName val="Table4.A"/>
      <sheetName val="Table4.B"/>
      <sheetName val="Table4.C"/>
      <sheetName val="Table4.D"/>
      <sheetName val="Table4.E"/>
      <sheetName val="Table4.F"/>
      <sheetName val="Table4(I)"/>
      <sheetName val="Table4(II)"/>
      <sheetName val="Table4(III)"/>
      <sheetName val="Table4(IV)"/>
      <sheetName val="Table4(V)"/>
      <sheetName val="Table4.Gs1"/>
      <sheetName val="Table4.Gs2"/>
      <sheetName val="Table5"/>
      <sheetName val="Table5.A"/>
      <sheetName val="Table5.B"/>
      <sheetName val="Table5.C"/>
      <sheetName val="Table5.D"/>
      <sheetName val="Summary1.As1"/>
      <sheetName val="Summary1.As2"/>
      <sheetName val="Summary1.As3"/>
      <sheetName val="Summary2"/>
      <sheetName val="Summary3s1"/>
      <sheetName val="Summary3s2"/>
      <sheetName val="Table6"/>
      <sheetName val="Table7"/>
      <sheetName val="Table8s1"/>
      <sheetName val="Table8s2"/>
      <sheetName val="Table8s3"/>
      <sheetName val="Table8s4"/>
      <sheetName val="Table9"/>
      <sheetName val="Table10s1"/>
      <sheetName val="Table10s2"/>
      <sheetName val="Table10s3"/>
      <sheetName val="Table10s4"/>
      <sheetName val="Table10s5"/>
      <sheetName val="Table10s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>
        <row r="7">
          <cell r="D7">
            <v>27.518625777927831</v>
          </cell>
          <cell r="E7">
            <v>41.39766554265352</v>
          </cell>
          <cell r="G7">
            <v>4.5402557835716699</v>
          </cell>
          <cell r="H7">
            <v>9.6539870000000008</v>
          </cell>
          <cell r="I7">
            <v>57.794272800350079</v>
          </cell>
          <cell r="J7">
            <v>2.3316758668862199</v>
          </cell>
        </row>
        <row r="8">
          <cell r="E8">
            <v>3.4282399999999999E-3</v>
          </cell>
          <cell r="I8">
            <v>0.1394509203</v>
          </cell>
          <cell r="J8">
            <v>6.3906648999999996E-2</v>
          </cell>
        </row>
        <row r="9">
          <cell r="B9">
            <v>75.006317268909257</v>
          </cell>
        </row>
        <row r="10">
          <cell r="B10">
            <v>184.65452333684763</v>
          </cell>
          <cell r="C10">
            <v>4.0853312638454096</v>
          </cell>
        </row>
        <row r="11">
          <cell r="B11">
            <v>9.3418987341799993E-3</v>
          </cell>
        </row>
        <row r="12">
          <cell r="B12">
            <v>4.6451957931507</v>
          </cell>
        </row>
        <row r="13">
          <cell r="B13">
            <v>12.05523085714286</v>
          </cell>
        </row>
        <row r="14">
          <cell r="B14">
            <v>12.97049482968327</v>
          </cell>
        </row>
        <row r="15">
          <cell r="B15">
            <v>4.7151847473053596</v>
          </cell>
        </row>
        <row r="17">
          <cell r="B17">
            <v>164550.40537678849</v>
          </cell>
          <cell r="C17">
            <v>2181.9745252727266</v>
          </cell>
          <cell r="D17">
            <v>122747.9479630236</v>
          </cell>
          <cell r="E17">
            <v>72720.537301556906</v>
          </cell>
          <cell r="F17">
            <v>382.16145559688601</v>
          </cell>
          <cell r="G17">
            <v>6823.1440688366965</v>
          </cell>
          <cell r="H17">
            <v>17032.965473784065</v>
          </cell>
          <cell r="I17">
            <v>27392.641753293374</v>
          </cell>
          <cell r="J17">
            <v>9386.1299477718385</v>
          </cell>
          <cell r="K17">
            <v>322.3481980087879</v>
          </cell>
        </row>
      </sheetData>
      <sheetData sheetId="35" refreshError="1">
        <row r="10">
          <cell r="M10">
            <v>216230.89092571574</v>
          </cell>
          <cell r="N10">
            <v>-124158.3386760134</v>
          </cell>
          <cell r="O10">
            <v>92072.552249702334</v>
          </cell>
        </row>
      </sheetData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Index sheet"/>
      <sheetName val="Table1s1"/>
      <sheetName val="Table1s2"/>
      <sheetName val="Table1.A(a)s1"/>
      <sheetName val="Table1.A(a)s2"/>
      <sheetName val="Table1.A(a)s3"/>
      <sheetName val="Table1.A(a)s4"/>
      <sheetName val="Table1.A(b)"/>
      <sheetName val="Table1.A(c)"/>
      <sheetName val="Table1.A(d)"/>
      <sheetName val="Table1.B.1"/>
      <sheetName val="Table1.B.2"/>
      <sheetName val="Table1.C"/>
      <sheetName val="Table1.D"/>
      <sheetName val="Table2(I)s1"/>
      <sheetName val="Table2(I)s2"/>
      <sheetName val="Table2(I).A-Hs1"/>
      <sheetName val="Table2(I).A-Hs2"/>
      <sheetName val="Table2(II)"/>
      <sheetName val="Table2(II)B-Hs1"/>
      <sheetName val="Table2(II)B-Hs2"/>
      <sheetName val="Table3s1"/>
      <sheetName val="Table3s2"/>
      <sheetName val="Table3.As1"/>
      <sheetName val="Table3.As2"/>
      <sheetName val="Table3.B(a)s1"/>
      <sheetName val="Table3.B(a)s2"/>
      <sheetName val="Table3.B(b)"/>
      <sheetName val="Table3.C"/>
      <sheetName val="Table3.D"/>
      <sheetName val="Table3.E"/>
      <sheetName val="Table3.F"/>
      <sheetName val="Table3.G-I"/>
      <sheetName val="Table4"/>
      <sheetName val="Table4.1"/>
      <sheetName val="Table4.A"/>
      <sheetName val="Table4.B"/>
      <sheetName val="Table4.C"/>
      <sheetName val="Table4.D"/>
      <sheetName val="Table4.E"/>
      <sheetName val="Table4.F"/>
      <sheetName val="Table4(I)"/>
      <sheetName val="Table4(II)"/>
      <sheetName val="Table4(III)"/>
      <sheetName val="Table4(IV)"/>
      <sheetName val="Table4(V)"/>
      <sheetName val="Table4.Gs1"/>
      <sheetName val="Table4.Gs2"/>
      <sheetName val="Table5"/>
      <sheetName val="Table5.A"/>
      <sheetName val="Table5.B"/>
      <sheetName val="Table5.C"/>
      <sheetName val="Table5.D"/>
      <sheetName val="Summary1.As1"/>
      <sheetName val="Summary1.As2"/>
      <sheetName val="Summary1.As3"/>
      <sheetName val="Summary2"/>
      <sheetName val="Summary3s1"/>
      <sheetName val="Summary3s2"/>
      <sheetName val="Table6"/>
      <sheetName val="Table7"/>
      <sheetName val="Table8s1"/>
      <sheetName val="Table8s2"/>
      <sheetName val="Table8s3"/>
      <sheetName val="Table8s4"/>
      <sheetName val="Table9"/>
      <sheetName val="Table10s1"/>
      <sheetName val="Table10s2"/>
      <sheetName val="Table10s3"/>
      <sheetName val="Table10s4"/>
      <sheetName val="Table10s5"/>
      <sheetName val="Table10s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>
        <row r="7">
          <cell r="D7">
            <v>26.33320216172984</v>
          </cell>
          <cell r="E7">
            <v>35.718860107895431</v>
          </cell>
          <cell r="G7">
            <v>4.3349870441316698</v>
          </cell>
          <cell r="H7">
            <v>7.7278209999999996</v>
          </cell>
          <cell r="I7">
            <v>41.796537834026168</v>
          </cell>
          <cell r="J7">
            <v>3.07217386688622</v>
          </cell>
        </row>
        <row r="8">
          <cell r="D8">
            <v>1.09E-3</v>
          </cell>
          <cell r="E8">
            <v>6.5914620000000002E-3</v>
          </cell>
          <cell r="I8">
            <v>7.3898903000000002E-2</v>
          </cell>
          <cell r="J8">
            <v>6.0500863699999997E-2</v>
          </cell>
        </row>
        <row r="9">
          <cell r="B9">
            <v>112.26120997651522</v>
          </cell>
        </row>
        <row r="10">
          <cell r="B10">
            <v>195.2117801434872</v>
          </cell>
          <cell r="C10">
            <v>4.0206266832454096</v>
          </cell>
        </row>
        <row r="11">
          <cell r="B11">
            <v>7.4635885111369996E-2</v>
          </cell>
        </row>
        <row r="12">
          <cell r="B12">
            <v>5.6846891664057004</v>
          </cell>
        </row>
        <row r="13">
          <cell r="B13">
            <v>9.7946639230769197</v>
          </cell>
        </row>
        <row r="14">
          <cell r="B14">
            <v>7.93320182968327</v>
          </cell>
        </row>
        <row r="15">
          <cell r="B15">
            <v>8.2546061497337408</v>
          </cell>
        </row>
        <row r="17">
          <cell r="B17">
            <v>164770.55730412365</v>
          </cell>
          <cell r="C17">
            <v>2185.8530707272721</v>
          </cell>
          <cell r="D17">
            <v>122455.46390497478</v>
          </cell>
          <cell r="E17">
            <v>72665.824373651587</v>
          </cell>
          <cell r="F17">
            <v>359.39566683168908</v>
          </cell>
          <cell r="G17">
            <v>6826.0968860607363</v>
          </cell>
          <cell r="H17">
            <v>17043.515163747124</v>
          </cell>
          <cell r="I17">
            <v>27534.106644876978</v>
          </cell>
          <cell r="J17">
            <v>9377.0806693955237</v>
          </cell>
          <cell r="K17">
            <v>322.34819800878802</v>
          </cell>
        </row>
      </sheetData>
      <sheetData sheetId="35" refreshError="1">
        <row r="10">
          <cell r="M10">
            <v>212622.7923346734</v>
          </cell>
          <cell r="N10">
            <v>-134132.31249793171</v>
          </cell>
          <cell r="O10">
            <v>78490.479836741695</v>
          </cell>
        </row>
      </sheetData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Index sheet"/>
      <sheetName val="Table1s1"/>
      <sheetName val="Table1s2"/>
      <sheetName val="Table1.A(a)s1"/>
      <sheetName val="Table1.A(a)s2"/>
      <sheetName val="Table1.A(a)s3"/>
      <sheetName val="Table1.A(a)s4"/>
      <sheetName val="Table1.A(b)"/>
      <sheetName val="Table1.A(c)"/>
      <sheetName val="Table1.A(d)"/>
      <sheetName val="Table1.B.1"/>
      <sheetName val="Table1.B.2"/>
      <sheetName val="Table1.C"/>
      <sheetName val="Table1.D"/>
      <sheetName val="Table2(I)s1"/>
      <sheetName val="Table2(I)s2"/>
      <sheetName val="Table2(I).A-Hs1"/>
      <sheetName val="Table2(I).A-Hs2"/>
      <sheetName val="Table2(II)"/>
      <sheetName val="Table2(II)B-Hs1"/>
      <sheetName val="Table2(II)B-Hs2"/>
      <sheetName val="Table3s1"/>
      <sheetName val="Table3s2"/>
      <sheetName val="Table3.As1"/>
      <sheetName val="Table3.As2"/>
      <sheetName val="Table3.B(a)s1"/>
      <sheetName val="Table3.B(a)s2"/>
      <sheetName val="Table3.B(b)"/>
      <sheetName val="Table3.C"/>
      <sheetName val="Table3.D"/>
      <sheetName val="Table3.E"/>
      <sheetName val="Table3.F"/>
      <sheetName val="Table3.G-I"/>
      <sheetName val="Table4"/>
      <sheetName val="Table4.1"/>
      <sheetName val="Table4.A"/>
      <sheetName val="Table4.B"/>
      <sheetName val="Table4.C"/>
      <sheetName val="Table4.D"/>
      <sheetName val="Table4.E"/>
      <sheetName val="Table4.F"/>
      <sheetName val="Table4(I)"/>
      <sheetName val="Table4(II)"/>
      <sheetName val="Table4(III)"/>
      <sheetName val="Table4(IV)"/>
      <sheetName val="Table4(V)"/>
      <sheetName val="Table4.Gs1"/>
      <sheetName val="Table4.Gs2"/>
      <sheetName val="Table5"/>
      <sheetName val="Table5.A"/>
      <sheetName val="Table5.B"/>
      <sheetName val="Table5.C"/>
      <sheetName val="Table5.D"/>
      <sheetName val="Summary1.As1"/>
      <sheetName val="Summary1.As2"/>
      <sheetName val="Summary1.As3"/>
      <sheetName val="Summary2"/>
      <sheetName val="Summary3s1"/>
      <sheetName val="Summary3s2"/>
      <sheetName val="Table6"/>
      <sheetName val="Table7"/>
      <sheetName val="Table8s1"/>
      <sheetName val="Table8s2"/>
      <sheetName val="Table8s3"/>
      <sheetName val="Table8s4"/>
      <sheetName val="Table9"/>
      <sheetName val="Table10s1"/>
      <sheetName val="Table10s2"/>
      <sheetName val="Table10s3"/>
      <sheetName val="Table10s4"/>
      <sheetName val="Table10s5"/>
      <sheetName val="Table10s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>
        <row r="7">
          <cell r="D7">
            <v>26.457000110164611</v>
          </cell>
          <cell r="E7">
            <v>35.399215552901289</v>
          </cell>
          <cell r="G7">
            <v>2.62407178357167</v>
          </cell>
          <cell r="H7">
            <v>0.36261100000000002</v>
          </cell>
          <cell r="I7">
            <v>44.593782091985467</v>
          </cell>
          <cell r="J7">
            <v>5.6124972577262202</v>
          </cell>
        </row>
        <row r="8">
          <cell r="D8">
            <v>9.5500000000000001E-4</v>
          </cell>
          <cell r="E8">
            <v>6.5914629999999997E-3</v>
          </cell>
          <cell r="G8">
            <v>1.8356012499999999E-3</v>
          </cell>
          <cell r="I8">
            <v>7.0000000000000007E-2</v>
          </cell>
          <cell r="J8">
            <v>6.1500863699999998E-2</v>
          </cell>
        </row>
        <row r="9">
          <cell r="B9">
            <v>83.034497912449524</v>
          </cell>
        </row>
        <row r="10">
          <cell r="B10">
            <v>172.42185027780945</v>
          </cell>
          <cell r="C10">
            <v>3.9559875642</v>
          </cell>
        </row>
        <row r="11">
          <cell r="B11">
            <v>6.3548327115589998E-2</v>
          </cell>
        </row>
        <row r="12">
          <cell r="B12">
            <v>3.7154935325906999</v>
          </cell>
        </row>
        <row r="13">
          <cell r="B13">
            <v>17.384138857142862</v>
          </cell>
        </row>
        <row r="14">
          <cell r="B14">
            <v>12.177691829683271</v>
          </cell>
        </row>
        <row r="15">
          <cell r="B15">
            <v>7.0683499231307403</v>
          </cell>
        </row>
        <row r="17">
          <cell r="B17">
            <v>164951.33830526305</v>
          </cell>
          <cell r="C17">
            <v>2189.6681753635198</v>
          </cell>
          <cell r="D17">
            <v>121714.11545932203</v>
          </cell>
          <cell r="E17">
            <v>73063.539362293013</v>
          </cell>
          <cell r="F17">
            <v>357.14833738566949</v>
          </cell>
          <cell r="G17">
            <v>6823.1510306544005</v>
          </cell>
          <cell r="H17">
            <v>17050.575757254825</v>
          </cell>
          <cell r="I17">
            <v>27698.437586596436</v>
          </cell>
          <cell r="J17">
            <v>9369.9707040246576</v>
          </cell>
          <cell r="K17">
            <v>322.34819800878802</v>
          </cell>
        </row>
      </sheetData>
      <sheetData sheetId="35" refreshError="1">
        <row r="10">
          <cell r="M10">
            <v>210749.78581342337</v>
          </cell>
          <cell r="N10">
            <v>-137835.99014110607</v>
          </cell>
          <cell r="O10">
            <v>72913.795672317283</v>
          </cell>
        </row>
      </sheetData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Index sheet"/>
      <sheetName val="Table1s1"/>
      <sheetName val="Table1s2"/>
      <sheetName val="Table1.A(a)s1"/>
      <sheetName val="Table1.A(a)s2"/>
      <sheetName val="Table1.A(a)s3"/>
      <sheetName val="Table1.A(a)s4"/>
      <sheetName val="Table1.A(b)"/>
      <sheetName val="Table1.A(c)"/>
      <sheetName val="Table1.A(d)"/>
      <sheetName val="Table1.B.1"/>
      <sheetName val="Table1.B.2"/>
      <sheetName val="Table1.C"/>
      <sheetName val="Table1.D"/>
      <sheetName val="Table2(I)s1"/>
      <sheetName val="Table2(I)s2"/>
      <sheetName val="Table2(I).A-Hs1"/>
      <sheetName val="Table2(I).A-Hs2"/>
      <sheetName val="Table2(II)"/>
      <sheetName val="Table2(II)B-Hs1"/>
      <sheetName val="Table2(II)B-Hs2"/>
      <sheetName val="Table3s1"/>
      <sheetName val="Table3s2"/>
      <sheetName val="Table3.As1"/>
      <sheetName val="Table3.As2"/>
      <sheetName val="Table3.B(a)s1"/>
      <sheetName val="Table3.B(a)s2"/>
      <sheetName val="Table3.B(b)"/>
      <sheetName val="Table3.C"/>
      <sheetName val="Table3.D"/>
      <sheetName val="Table3.E"/>
      <sheetName val="Table3.F"/>
      <sheetName val="Table3.G-I"/>
      <sheetName val="Table4"/>
      <sheetName val="Table4.1"/>
      <sheetName val="Table4.A"/>
      <sheetName val="Table4.B"/>
      <sheetName val="Table4.C"/>
      <sheetName val="Table4.D"/>
      <sheetName val="Table4.E"/>
      <sheetName val="Table4.F"/>
      <sheetName val="Table4(I)"/>
      <sheetName val="Table4(II)"/>
      <sheetName val="Table4(III)"/>
      <sheetName val="Table4(IV)"/>
      <sheetName val="Table4(V)"/>
      <sheetName val="Table4.Gs1"/>
      <sheetName val="Table4.Gs2"/>
      <sheetName val="Table5"/>
      <sheetName val="Table5.A"/>
      <sheetName val="Table5.B"/>
      <sheetName val="Table5.C"/>
      <sheetName val="Table5.D"/>
      <sheetName val="Summary1.As1"/>
      <sheetName val="Summary1.As2"/>
      <sheetName val="Summary1.As3"/>
      <sheetName val="Summary2"/>
      <sheetName val="Summary3s1"/>
      <sheetName val="Summary3s2"/>
      <sheetName val="Table6"/>
      <sheetName val="Table7"/>
      <sheetName val="Table8s1"/>
      <sheetName val="Table8s2"/>
      <sheetName val="Table8s3"/>
      <sheetName val="Table8s4"/>
      <sheetName val="Table9"/>
      <sheetName val="Table10s1"/>
      <sheetName val="Table10s2"/>
      <sheetName val="Table10s3"/>
      <sheetName val="Table10s4"/>
      <sheetName val="Table10s5"/>
      <sheetName val="Table10s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>
        <row r="7">
          <cell r="D7">
            <v>26.448931153304731</v>
          </cell>
          <cell r="E7">
            <v>34.614969459820337</v>
          </cell>
          <cell r="G7">
            <v>2.1260367835716698</v>
          </cell>
          <cell r="H7">
            <v>1.973573</v>
          </cell>
          <cell r="I7">
            <v>44.454988431062908</v>
          </cell>
          <cell r="J7">
            <v>4.29667151688622</v>
          </cell>
        </row>
        <row r="8">
          <cell r="D8">
            <v>7.75E-5</v>
          </cell>
          <cell r="E8">
            <v>2.3379698000000001E-2</v>
          </cell>
          <cell r="G8">
            <v>7.615686E-3</v>
          </cell>
          <cell r="I8">
            <v>3.0237676000000002E-2</v>
          </cell>
          <cell r="J8">
            <v>7.2219939999999998E-3</v>
          </cell>
        </row>
        <row r="9">
          <cell r="B9">
            <v>81.842832078060539</v>
          </cell>
        </row>
        <row r="10">
          <cell r="B10">
            <v>180.57755387192302</v>
          </cell>
          <cell r="C10">
            <v>4.0350999999999999</v>
          </cell>
        </row>
        <row r="11">
          <cell r="B11">
            <v>0.10523267758712999</v>
          </cell>
        </row>
        <row r="12">
          <cell r="B12">
            <v>3.8852916114062799</v>
          </cell>
        </row>
        <row r="13">
          <cell r="B13">
            <v>18.911294000000002</v>
          </cell>
        </row>
        <row r="14">
          <cell r="B14">
            <v>14.312671310231449</v>
          </cell>
        </row>
        <row r="15">
          <cell r="B15">
            <v>6.5046606043040001</v>
          </cell>
        </row>
        <row r="17">
          <cell r="B17">
            <v>165143.46652834775</v>
          </cell>
          <cell r="C17">
            <v>2193.6347428100003</v>
          </cell>
          <cell r="D17">
            <v>121340.88989287877</v>
          </cell>
          <cell r="E17">
            <v>73113.612766154722</v>
          </cell>
          <cell r="F17">
            <v>348.91009071890608</v>
          </cell>
          <cell r="G17">
            <v>6827.2174610618422</v>
          </cell>
          <cell r="H17">
            <v>17047.545303861501</v>
          </cell>
          <cell r="I17">
            <v>27847.688466914107</v>
          </cell>
          <cell r="J17">
            <v>9354.9054842602836</v>
          </cell>
          <cell r="K17">
            <v>322.34819800878802</v>
          </cell>
        </row>
      </sheetData>
      <sheetData sheetId="35" refreshError="1">
        <row r="10">
          <cell r="M10">
            <v>205781.42621340053</v>
          </cell>
          <cell r="N10">
            <v>-138888.32658311239</v>
          </cell>
          <cell r="O10">
            <v>66893.099630288139</v>
          </cell>
        </row>
      </sheetData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Index sheet"/>
      <sheetName val="Table1s1"/>
      <sheetName val="Table1s2"/>
      <sheetName val="Table1.A(a)s1"/>
      <sheetName val="Table1.A(a)s2"/>
      <sheetName val="Table1.A(a)s3"/>
      <sheetName val="Table1.A(a)s4"/>
      <sheetName val="Table1.A(b)"/>
      <sheetName val="Table1.A(c)"/>
      <sheetName val="Table1.A(d)"/>
      <sheetName val="Table1.B.1"/>
      <sheetName val="Table1.B.2"/>
      <sheetName val="Table1.C"/>
      <sheetName val="Table1.D"/>
      <sheetName val="Table2(I)s1"/>
      <sheetName val="Table2(I)s2"/>
      <sheetName val="Table2(I).A-Hs1"/>
      <sheetName val="Table2(I).A-Hs2"/>
      <sheetName val="Table2(II)"/>
      <sheetName val="Table2(II)B-Hs1"/>
      <sheetName val="Table2(II)B-Hs2"/>
      <sheetName val="Table3s1"/>
      <sheetName val="Table3s2"/>
      <sheetName val="Table3.As1"/>
      <sheetName val="Table3.As2"/>
      <sheetName val="Table3.B(a)s1"/>
      <sheetName val="Table3.B(a)s2"/>
      <sheetName val="Table3.B(b)"/>
      <sheetName val="Table3.C"/>
      <sheetName val="Table3.D"/>
      <sheetName val="Table3.E"/>
      <sheetName val="Table3.F"/>
      <sheetName val="Table3.G-I"/>
      <sheetName val="Table4"/>
      <sheetName val="Table4.1"/>
      <sheetName val="Table4.A"/>
      <sheetName val="Table4.B"/>
      <sheetName val="Table4.C"/>
      <sheetName val="Table4.D"/>
      <sheetName val="Table4.E"/>
      <sheetName val="Table4.F"/>
      <sheetName val="Table4(I)"/>
      <sheetName val="Table4(II)"/>
      <sheetName val="Table4(III)"/>
      <sheetName val="Table4(IV)"/>
      <sheetName val="Table4(V)"/>
      <sheetName val="Table4.Gs1"/>
      <sheetName val="Table4.Gs2"/>
      <sheetName val="Table5"/>
      <sheetName val="Table5.A"/>
      <sheetName val="Table5.B"/>
      <sheetName val="Table5.C"/>
      <sheetName val="Table5.D"/>
      <sheetName val="Summary1.As1"/>
      <sheetName val="Summary1.As2"/>
      <sheetName val="Summary1.As3"/>
      <sheetName val="Summary2"/>
      <sheetName val="Summary3s1"/>
      <sheetName val="Summary3s2"/>
      <sheetName val="Table6"/>
      <sheetName val="Table7"/>
      <sheetName val="Table8s1"/>
      <sheetName val="Table8s2"/>
      <sheetName val="Table8s3"/>
      <sheetName val="Table8s4"/>
      <sheetName val="Table9"/>
      <sheetName val="Table10s1"/>
      <sheetName val="Table10s2"/>
      <sheetName val="Table10s3"/>
      <sheetName val="Table10s4"/>
      <sheetName val="Table10s5"/>
      <sheetName val="Table10s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>
        <row r="7">
          <cell r="D7">
            <v>26.554614764342251</v>
          </cell>
          <cell r="E7">
            <v>34.50891438548453</v>
          </cell>
          <cell r="G7">
            <v>2.5289719138516702</v>
          </cell>
          <cell r="H7">
            <v>1.973573</v>
          </cell>
          <cell r="I7">
            <v>42.82180602464107</v>
          </cell>
          <cell r="J7">
            <v>4.33376151688622</v>
          </cell>
        </row>
        <row r="8">
          <cell r="D8">
            <v>1.348868E-3</v>
          </cell>
          <cell r="E8">
            <v>2.7561608000000001E-2</v>
          </cell>
          <cell r="I8">
            <v>4.8843065028569999E-2</v>
          </cell>
          <cell r="J8">
            <v>0.118727912</v>
          </cell>
        </row>
        <row r="9">
          <cell r="B9">
            <v>81.226276276066514</v>
          </cell>
        </row>
        <row r="10">
          <cell r="B10">
            <v>179.78434360436239</v>
          </cell>
          <cell r="C10">
            <v>3.9752512997503202</v>
          </cell>
        </row>
        <row r="11">
          <cell r="B11">
            <v>0.30492959892451998</v>
          </cell>
        </row>
        <row r="12">
          <cell r="B12">
            <v>5.5577340537106998</v>
          </cell>
        </row>
        <row r="13">
          <cell r="B13">
            <v>10.304534037028629</v>
          </cell>
        </row>
        <row r="14">
          <cell r="B14">
            <v>10.90525054489726</v>
          </cell>
        </row>
        <row r="15">
          <cell r="B15">
            <v>5.6569088287412397</v>
          </cell>
        </row>
        <row r="17">
          <cell r="B17">
            <v>165324.48323296211</v>
          </cell>
          <cell r="C17">
            <v>2197.4135126561778</v>
          </cell>
          <cell r="D17">
            <v>121299.76178154684</v>
          </cell>
          <cell r="E17">
            <v>72824.950720467663</v>
          </cell>
          <cell r="F17">
            <v>341.76243339901851</v>
          </cell>
          <cell r="G17">
            <v>6831.6723455042484</v>
          </cell>
          <cell r="H17">
            <v>17051.068907004905</v>
          </cell>
          <cell r="I17">
            <v>28005.230830958739</v>
          </cell>
          <cell r="J17">
            <v>9341.6244024089774</v>
          </cell>
          <cell r="K17">
            <v>322.34819800878802</v>
          </cell>
        </row>
      </sheetData>
      <sheetData sheetId="35" refreshError="1">
        <row r="10">
          <cell r="M10">
            <v>205587.36575222082</v>
          </cell>
          <cell r="N10">
            <v>-138253.04791729743</v>
          </cell>
          <cell r="O10">
            <v>67334.317834923393</v>
          </cell>
        </row>
      </sheetData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Index sheet"/>
      <sheetName val="Table1s1"/>
      <sheetName val="Table1s2"/>
      <sheetName val="Table1.A(a)s1"/>
      <sheetName val="Table1.A(a)s2"/>
      <sheetName val="Table1.A(a)s3"/>
      <sheetName val="Table1.A(a)s4"/>
      <sheetName val="Table1.A(b)"/>
      <sheetName val="Table1.A(c)"/>
      <sheetName val="Table1.A(d)"/>
      <sheetName val="Table1.B.1"/>
      <sheetName val="Table1.B.2"/>
      <sheetName val="Table1.C"/>
      <sheetName val="Table1.D"/>
      <sheetName val="Table2(I)s1"/>
      <sheetName val="Table2(I)s2"/>
      <sheetName val="Table2(I).A-Hs1"/>
      <sheetName val="Table2(I).A-Hs2"/>
      <sheetName val="Table2(II)"/>
      <sheetName val="Table2(II)B-Hs1"/>
      <sheetName val="Table2(II)B-Hs2"/>
      <sheetName val="Table3s1"/>
      <sheetName val="Table3s2"/>
      <sheetName val="Table3.As1"/>
      <sheetName val="Table3.As2"/>
      <sheetName val="Table3.B(a)s1"/>
      <sheetName val="Table3.B(a)s2"/>
      <sheetName val="Table3.B(b)"/>
      <sheetName val="Table3.C"/>
      <sheetName val="Table3.D"/>
      <sheetName val="Table3.E"/>
      <sheetName val="Table3.F"/>
      <sheetName val="Table3.G-I"/>
      <sheetName val="Table4"/>
      <sheetName val="Table4.1"/>
      <sheetName val="Table4.A"/>
      <sheetName val="Table4.B"/>
      <sheetName val="Table4.C"/>
      <sheetName val="Table4.D"/>
      <sheetName val="Table4.E"/>
      <sheetName val="Table4.F"/>
      <sheetName val="Table4(I)"/>
      <sheetName val="Table4(II)"/>
      <sheetName val="Table4(III)"/>
      <sheetName val="Table4(IV)"/>
      <sheetName val="Table4(V)"/>
      <sheetName val="Table4.Gs1"/>
      <sheetName val="Table4.Gs2"/>
      <sheetName val="Table5"/>
      <sheetName val="Table5.A"/>
      <sheetName val="Table5.B"/>
      <sheetName val="Table5.C"/>
      <sheetName val="Table5.D"/>
      <sheetName val="Summary1.As1"/>
      <sheetName val="Summary1.As2"/>
      <sheetName val="Summary1.As3"/>
      <sheetName val="Summary2"/>
      <sheetName val="Summary3s1"/>
      <sheetName val="Summary3s2"/>
      <sheetName val="Table6"/>
      <sheetName val="Table7"/>
      <sheetName val="Table8s1"/>
      <sheetName val="Table8s2"/>
      <sheetName val="Table8s3"/>
      <sheetName val="Table8s4"/>
      <sheetName val="Table9"/>
      <sheetName val="Table10s1"/>
      <sheetName val="Table10s2"/>
      <sheetName val="Table10s3"/>
      <sheetName val="Table10s4"/>
      <sheetName val="Table10s5"/>
      <sheetName val="Table10s6"/>
      <sheetName val="EUA_2023_20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>
        <row r="7">
          <cell r="D7">
            <v>26.373281220622761</v>
          </cell>
          <cell r="E7">
            <v>35.355296548271582</v>
          </cell>
          <cell r="G7">
            <v>2.3415597835716699</v>
          </cell>
          <cell r="H7">
            <v>1.973573</v>
          </cell>
          <cell r="I7">
            <v>44.118258315573513</v>
          </cell>
          <cell r="J7">
            <v>4.1109448668862196</v>
          </cell>
        </row>
        <row r="8">
          <cell r="D8">
            <v>5.5747810224299997E-3</v>
          </cell>
          <cell r="E8">
            <v>1.2775702206E-2</v>
          </cell>
          <cell r="G8">
            <v>4.2933944690000002E-4</v>
          </cell>
          <cell r="I8">
            <v>4.0754163744369999E-2</v>
          </cell>
          <cell r="J8">
            <v>0.19750088656864001</v>
          </cell>
        </row>
        <row r="9">
          <cell r="B9">
            <v>93.600395789998089</v>
          </cell>
        </row>
        <row r="10">
          <cell r="B10">
            <v>185.52360821763946</v>
          </cell>
          <cell r="C10">
            <v>5.1731556801274303</v>
          </cell>
        </row>
        <row r="11">
          <cell r="B11">
            <v>0.28097719414894001</v>
          </cell>
        </row>
        <row r="12">
          <cell r="B12">
            <v>3.9998585325907001</v>
          </cell>
        </row>
        <row r="13">
          <cell r="B13">
            <v>16.988030776189539</v>
          </cell>
        </row>
        <row r="14">
          <cell r="B14">
            <v>14.466898114218591</v>
          </cell>
        </row>
        <row r="15">
          <cell r="B15">
            <v>6.7260658476591599</v>
          </cell>
        </row>
        <row r="17">
          <cell r="B17">
            <v>165531.78638028546</v>
          </cell>
          <cell r="C17">
            <v>2202.3296334633169</v>
          </cell>
          <cell r="D17">
            <v>120933.48280864146</v>
          </cell>
          <cell r="E17">
            <v>72868.978297447466</v>
          </cell>
          <cell r="F17">
            <v>331.90077143236005</v>
          </cell>
          <cell r="G17">
            <v>6828.0886898059516</v>
          </cell>
          <cell r="H17">
            <v>17037.762675280952</v>
          </cell>
          <cell r="I17">
            <v>28147.400529279206</v>
          </cell>
          <cell r="J17">
            <v>9335.8392386377818</v>
          </cell>
          <cell r="K17">
            <v>322.34819800878802</v>
          </cell>
        </row>
      </sheetData>
      <sheetData sheetId="35"/>
      <sheetData sheetId="36">
        <row r="13">
          <cell r="R13">
            <v>8110.8853940357858</v>
          </cell>
        </row>
      </sheetData>
      <sheetData sheetId="37">
        <row r="13">
          <cell r="R13">
            <v>7181.5953552176725</v>
          </cell>
        </row>
      </sheetData>
      <sheetData sheetId="38" refreshError="1"/>
      <sheetData sheetId="39">
        <row r="13">
          <cell r="R13">
            <v>12370.23558845727</v>
          </cell>
        </row>
      </sheetData>
      <sheetData sheetId="40">
        <row r="13">
          <cell r="R13">
            <v>833.30210496186521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Index sheet"/>
      <sheetName val="Table1s1"/>
      <sheetName val="Table1s2"/>
      <sheetName val="Table1.A(a)s1"/>
      <sheetName val="Table1.A(a)s2"/>
      <sheetName val="Table1.A(a)s3"/>
      <sheetName val="Table1.A(a)s4"/>
      <sheetName val="Table1.A(b)"/>
      <sheetName val="Table1.A(c)"/>
      <sheetName val="Table1.A(d)"/>
      <sheetName val="Table1.B.1"/>
      <sheetName val="Table1.B.2"/>
      <sheetName val="Table1.C"/>
      <sheetName val="Table1.D"/>
      <sheetName val="Table2(I)s1"/>
      <sheetName val="Table2(I)s2"/>
      <sheetName val="Table2(I).A-Hs1"/>
      <sheetName val="Table2(I).A-Hs2"/>
      <sheetName val="Table2(II)"/>
      <sheetName val="Table2(II)B-Hs1"/>
      <sheetName val="Table2(II)B-Hs2"/>
      <sheetName val="Table3s1"/>
      <sheetName val="Table3s2"/>
      <sheetName val="Table3.As1"/>
      <sheetName val="Table3.As2"/>
      <sheetName val="Table3.B(a)s1"/>
      <sheetName val="Table3.B(a)s2"/>
      <sheetName val="Table3.B(b)"/>
      <sheetName val="Table3.C"/>
      <sheetName val="Table3.D"/>
      <sheetName val="Table3.E"/>
      <sheetName val="Table3.F"/>
      <sheetName val="Table3.G-I"/>
      <sheetName val="Table4"/>
      <sheetName val="Table4.1"/>
      <sheetName val="Table4.A"/>
      <sheetName val="Table4.B"/>
      <sheetName val="Table4.C"/>
      <sheetName val="Table4.D"/>
      <sheetName val="Table4.E"/>
      <sheetName val="Table4.F"/>
      <sheetName val="Table4(I)"/>
      <sheetName val="Table4(II)"/>
      <sheetName val="Table4(III)"/>
      <sheetName val="Table4(IV)"/>
      <sheetName val="Table4(V)"/>
      <sheetName val="Table4.Gs1"/>
      <sheetName val="Table4.Gs2"/>
      <sheetName val="Table5"/>
      <sheetName val="Table5.A"/>
      <sheetName val="Table5.B"/>
      <sheetName val="Table5.C"/>
      <sheetName val="Table5.D"/>
      <sheetName val="Summary1.As1"/>
      <sheetName val="Summary1.As2"/>
      <sheetName val="Summary1.As3"/>
      <sheetName val="Summary2"/>
      <sheetName val="Summary3s1"/>
      <sheetName val="Summary3s2"/>
      <sheetName val="Table6"/>
      <sheetName val="Table7"/>
      <sheetName val="Table8s1"/>
      <sheetName val="Table8s2"/>
      <sheetName val="Table8s3"/>
      <sheetName val="Table8s4"/>
      <sheetName val="Table9"/>
      <sheetName val="Table10s1"/>
      <sheetName val="Table10s2"/>
      <sheetName val="Table10s3"/>
      <sheetName val="Table10s4"/>
      <sheetName val="Table10s5"/>
      <sheetName val="Table10s6"/>
      <sheetName val="EUA_2023_200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13">
          <cell r="R13">
            <v>9144.2416577700878</v>
          </cell>
        </row>
      </sheetData>
      <sheetData sheetId="37">
        <row r="13">
          <cell r="R13">
            <v>10260.783145763067</v>
          </cell>
        </row>
      </sheetData>
      <sheetData sheetId="38" refreshError="1"/>
      <sheetData sheetId="39">
        <row r="13">
          <cell r="R13">
            <v>12227.448514783595</v>
          </cell>
        </row>
      </sheetData>
      <sheetData sheetId="40">
        <row r="13">
          <cell r="R13">
            <v>2156.2495787006087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Index sheet"/>
      <sheetName val="Table1s1"/>
      <sheetName val="Table1s2"/>
      <sheetName val="Table1.A(a)s1"/>
      <sheetName val="Table1.A(a)s2"/>
      <sheetName val="Table1.A(a)s3"/>
      <sheetName val="Table1.A(a)s4"/>
      <sheetName val="Table1.A(b)"/>
      <sheetName val="Table1.A(c)"/>
      <sheetName val="Table1.A(d)"/>
      <sheetName val="Table1.B.1"/>
      <sheetName val="Table1.B.2"/>
      <sheetName val="Table1.C"/>
      <sheetName val="Table1.D"/>
      <sheetName val="Table2(I)s1"/>
      <sheetName val="Table2(I)s2"/>
      <sheetName val="Table2(I).A-Hs1"/>
      <sheetName val="Table2(I).A-Hs2"/>
      <sheetName val="Table2(II)"/>
      <sheetName val="Table2(II)B-Hs1"/>
      <sheetName val="Table2(II)B-Hs2"/>
      <sheetName val="Table3s1"/>
      <sheetName val="Table3s2"/>
      <sheetName val="Table3.As1"/>
      <sheetName val="Table3.As2"/>
      <sheetName val="Table3.B(a)s1"/>
      <sheetName val="Table3.B(a)s2"/>
      <sheetName val="Table3.B(b)"/>
      <sheetName val="Table3.C"/>
      <sheetName val="Table3.D"/>
      <sheetName val="Table3.E"/>
      <sheetName val="Table3.F"/>
      <sheetName val="Table3.G-I"/>
      <sheetName val="Table4"/>
      <sheetName val="Table4.1"/>
      <sheetName val="Table4.A"/>
      <sheetName val="Table4.B"/>
      <sheetName val="Table4.C"/>
      <sheetName val="Table4.D"/>
      <sheetName val="Table4.E"/>
      <sheetName val="Table4.F"/>
      <sheetName val="Table4(I)"/>
      <sheetName val="Table4(II)"/>
      <sheetName val="Table4(III)"/>
      <sheetName val="Table4(IV)"/>
      <sheetName val="Table4(V)"/>
      <sheetName val="Table4.Gs1"/>
      <sheetName val="Table4.Gs2"/>
      <sheetName val="Table5"/>
      <sheetName val="Table5.A"/>
      <sheetName val="Table5.B"/>
      <sheetName val="Table5.C"/>
      <sheetName val="Table5.D"/>
      <sheetName val="Summary1.As1"/>
      <sheetName val="Summary1.As2"/>
      <sheetName val="Summary1.As3"/>
      <sheetName val="Summary2"/>
      <sheetName val="Summary3s1"/>
      <sheetName val="Summary3s2"/>
      <sheetName val="Table6"/>
      <sheetName val="Table7"/>
      <sheetName val="Table8s1"/>
      <sheetName val="Table8s2"/>
      <sheetName val="Table8s3"/>
      <sheetName val="Table8s4"/>
      <sheetName val="Table9"/>
      <sheetName val="Table10s1"/>
      <sheetName val="Table10s2"/>
      <sheetName val="Table10s3"/>
      <sheetName val="Table10s4"/>
      <sheetName val="Table10s5"/>
      <sheetName val="Table10s6"/>
      <sheetName val="EUA_2023_200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13">
          <cell r="R13">
            <v>8370.0781253014611</v>
          </cell>
        </row>
      </sheetData>
      <sheetData sheetId="37">
        <row r="13">
          <cell r="R13">
            <v>12347.63890453863</v>
          </cell>
        </row>
      </sheetData>
      <sheetData sheetId="38" refreshError="1"/>
      <sheetData sheetId="39">
        <row r="13">
          <cell r="R13">
            <v>14143.32579357734</v>
          </cell>
        </row>
      </sheetData>
      <sheetData sheetId="40">
        <row r="13">
          <cell r="R13">
            <v>780.5164688189202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Index sheet"/>
      <sheetName val="Table1s1"/>
      <sheetName val="Table1s2"/>
      <sheetName val="Table1.A(a)s1"/>
      <sheetName val="Table1.A(a)s2"/>
      <sheetName val="Table1.A(a)s3"/>
      <sheetName val="Table1.A(a)s4"/>
      <sheetName val="Table1.A(b)"/>
      <sheetName val="Table1.A(c)"/>
      <sheetName val="Table1.A(d)"/>
      <sheetName val="Table1.B.1"/>
      <sheetName val="Table1.B.2"/>
      <sheetName val="Table1.C"/>
      <sheetName val="Table1.D"/>
      <sheetName val="Table2(I)s1"/>
      <sheetName val="Table2(I)s2"/>
      <sheetName val="Table2(I).A-Hs1"/>
      <sheetName val="Table2(I).A-Hs2"/>
      <sheetName val="Table2(II)"/>
      <sheetName val="Table2(II)B-Hs1"/>
      <sheetName val="Table2(II)B-Hs2"/>
      <sheetName val="Table3s1"/>
      <sheetName val="Table3s2"/>
      <sheetName val="Table3.As1"/>
      <sheetName val="Table3.As2"/>
      <sheetName val="Table3.B(a)s1"/>
      <sheetName val="Table3.B(a)s2"/>
      <sheetName val="Table3.B(b)"/>
      <sheetName val="Table3.C"/>
      <sheetName val="Table3.D"/>
      <sheetName val="Table3.E"/>
      <sheetName val="Table3.F"/>
      <sheetName val="Table3.G-I"/>
      <sheetName val="Table4"/>
      <sheetName val="Table4.1"/>
      <sheetName val="Table4.A"/>
      <sheetName val="Table4.B"/>
      <sheetName val="Table4.C"/>
      <sheetName val="Table4.D"/>
      <sheetName val="Table4.E"/>
      <sheetName val="Table4.F"/>
      <sheetName val="Table4(I)"/>
      <sheetName val="Table4(II)"/>
      <sheetName val="Table4(III)"/>
      <sheetName val="Table4(IV)"/>
      <sheetName val="Table4(V)"/>
      <sheetName val="Table4.Gs1"/>
      <sheetName val="Table4.Gs2"/>
      <sheetName val="Table5"/>
      <sheetName val="Table5.A"/>
      <sheetName val="Table5.B"/>
      <sheetName val="Table5.C"/>
      <sheetName val="Table5.D"/>
      <sheetName val="Summary1.As1"/>
      <sheetName val="Summary1.As2"/>
      <sheetName val="Summary1.As3"/>
      <sheetName val="Summary2"/>
      <sheetName val="Summary3s1"/>
      <sheetName val="Summary3s2"/>
      <sheetName val="Table6"/>
      <sheetName val="Table7"/>
      <sheetName val="Table8s1"/>
      <sheetName val="Table8s2"/>
      <sheetName val="Table8s3"/>
      <sheetName val="Table8s4"/>
      <sheetName val="Table9"/>
      <sheetName val="Table10s1"/>
      <sheetName val="Table10s2"/>
      <sheetName val="Table10s3"/>
      <sheetName val="Table10s4"/>
      <sheetName val="Table10s5"/>
      <sheetName val="Table10s6"/>
      <sheetName val="EUA_2023_200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13">
          <cell r="R13">
            <v>8217.8588962125796</v>
          </cell>
        </row>
      </sheetData>
      <sheetData sheetId="37">
        <row r="13">
          <cell r="R13">
            <v>10267.156032259065</v>
          </cell>
        </row>
      </sheetData>
      <sheetData sheetId="38" refreshError="1"/>
      <sheetData sheetId="39">
        <row r="13">
          <cell r="R13">
            <v>13998.932933583323</v>
          </cell>
        </row>
      </sheetData>
      <sheetData sheetId="40">
        <row r="13">
          <cell r="R13">
            <v>755.08622865158429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Index sheet"/>
      <sheetName val="Table1s1"/>
      <sheetName val="Table1s2"/>
      <sheetName val="Table1.A(a)s1"/>
      <sheetName val="Table1.A(a)s2"/>
      <sheetName val="Table1.A(a)s3"/>
      <sheetName val="Table1.A(a)s4"/>
      <sheetName val="Table1.A(b)"/>
      <sheetName val="Table1.A(c)"/>
      <sheetName val="Table1.A(d)"/>
      <sheetName val="Table1.B.1"/>
      <sheetName val="Table1.B.2"/>
      <sheetName val="Table1.C"/>
      <sheetName val="Table1.D"/>
      <sheetName val="Table2(I)s1"/>
      <sheetName val="Table2(I)s2"/>
      <sheetName val="Table2(I).A-Hs1"/>
      <sheetName val="Table2(I).A-Hs2"/>
      <sheetName val="Table2(II)"/>
      <sheetName val="Table2(II)B-Hs1"/>
      <sheetName val="Table2(II)B-Hs2"/>
      <sheetName val="Table3s1"/>
      <sheetName val="Table3s2"/>
      <sheetName val="Table3.As1"/>
      <sheetName val="Table3.As2"/>
      <sheetName val="Table3.B(a)s1"/>
      <sheetName val="Table3.B(a)s2"/>
      <sheetName val="Table3.B(b)"/>
      <sheetName val="Table3.C"/>
      <sheetName val="Table3.D"/>
      <sheetName val="Table3.E"/>
      <sheetName val="Table3.F"/>
      <sheetName val="Table3.G-I"/>
      <sheetName val="Table4"/>
      <sheetName val="Table4.1"/>
      <sheetName val="Table4.A"/>
      <sheetName val="Table4.B"/>
      <sheetName val="Table4.C"/>
      <sheetName val="Table4.D"/>
      <sheetName val="Table4.E"/>
      <sheetName val="Table4.F"/>
      <sheetName val="Table4(I)"/>
      <sheetName val="Table4(II)"/>
      <sheetName val="Table4(III)"/>
      <sheetName val="Table4(IV)"/>
      <sheetName val="Table4(V)"/>
      <sheetName val="Table4.Gs1"/>
      <sheetName val="Table4.Gs2"/>
      <sheetName val="Table5"/>
      <sheetName val="Table5.A"/>
      <sheetName val="Table5.B"/>
      <sheetName val="Table5.C"/>
      <sheetName val="Table5.D"/>
      <sheetName val="Summary1.As1"/>
      <sheetName val="Summary1.As2"/>
      <sheetName val="Summary1.As3"/>
      <sheetName val="Summary2"/>
      <sheetName val="Summary3s1"/>
      <sheetName val="Summary3s2"/>
      <sheetName val="Table6"/>
      <sheetName val="Table7"/>
      <sheetName val="Table8s1"/>
      <sheetName val="Table8s2"/>
      <sheetName val="Table8s3"/>
      <sheetName val="Table8s4"/>
      <sheetName val="Table9"/>
      <sheetName val="Table10s1"/>
      <sheetName val="Table10s2"/>
      <sheetName val="Table10s3"/>
      <sheetName val="Table10s4"/>
      <sheetName val="Table10s5"/>
      <sheetName val="Table10s6"/>
      <sheetName val="EUA_2023_200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13">
          <cell r="R13">
            <v>8614.6591313965928</v>
          </cell>
        </row>
      </sheetData>
      <sheetData sheetId="37">
        <row r="13">
          <cell r="R13">
            <v>10599.110575198609</v>
          </cell>
        </row>
      </sheetData>
      <sheetData sheetId="38" refreshError="1"/>
      <sheetData sheetId="39">
        <row r="13">
          <cell r="R13">
            <v>14209.884237683955</v>
          </cell>
        </row>
      </sheetData>
      <sheetData sheetId="40">
        <row r="13">
          <cell r="R13">
            <v>979.58898625735878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Index sheet"/>
      <sheetName val="Table1s1"/>
      <sheetName val="Table1s2"/>
      <sheetName val="Table1.A(a)s1"/>
      <sheetName val="Table1.A(a)s2"/>
      <sheetName val="Table1.A(a)s3"/>
      <sheetName val="Table1.A(a)s4"/>
      <sheetName val="Table1.A(b)"/>
      <sheetName val="Table1.A(c)"/>
      <sheetName val="Table1.A(d)"/>
      <sheetName val="Table1.B.1"/>
      <sheetName val="Table1.B.2"/>
      <sheetName val="Table1.C"/>
      <sheetName val="Table1.D"/>
      <sheetName val="Table2(I)s1"/>
      <sheetName val="Table2(I)s2"/>
      <sheetName val="Table2(I).A-Hs1"/>
      <sheetName val="Table2(I).A-Hs2"/>
      <sheetName val="Table2(II)"/>
      <sheetName val="Table2(II)B-Hs1"/>
      <sheetName val="Table2(II)B-Hs2"/>
      <sheetName val="Table3s1"/>
      <sheetName val="Table3s2"/>
      <sheetName val="Table3.As1"/>
      <sheetName val="Table3.As2"/>
      <sheetName val="Table3.B(a)s1"/>
      <sheetName val="Table3.B(a)s2"/>
      <sheetName val="Table3.B(b)"/>
      <sheetName val="Table3.C"/>
      <sheetName val="Table3.D"/>
      <sheetName val="Table3.E"/>
      <sheetName val="Table3.F"/>
      <sheetName val="Table3.G-I"/>
      <sheetName val="Table4"/>
      <sheetName val="Table4.1"/>
      <sheetName val="Table4.A"/>
      <sheetName val="Table4.B"/>
      <sheetName val="Table4.C"/>
      <sheetName val="Table4.D"/>
      <sheetName val="Table4.E"/>
      <sheetName val="Table4.F"/>
      <sheetName val="Table4(I)"/>
      <sheetName val="Table4(II)"/>
      <sheetName val="Table4(III)"/>
      <sheetName val="Table4(IV)"/>
      <sheetName val="Table4(V)"/>
      <sheetName val="Table4.Gs1"/>
      <sheetName val="Table4.Gs2"/>
      <sheetName val="Table5"/>
      <sheetName val="Table5.A"/>
      <sheetName val="Table5.B"/>
      <sheetName val="Table5.C"/>
      <sheetName val="Table5.D"/>
      <sheetName val="Summary1.As1"/>
      <sheetName val="Summary1.As2"/>
      <sheetName val="Summary1.As3"/>
      <sheetName val="Summary2"/>
      <sheetName val="Summary3s1"/>
      <sheetName val="Summary3s2"/>
      <sheetName val="Table6"/>
      <sheetName val="Table7"/>
      <sheetName val="Table8s1"/>
      <sheetName val="Table8s2"/>
      <sheetName val="Table8s3"/>
      <sheetName val="Table8s4"/>
      <sheetName val="Table9"/>
      <sheetName val="Table10s1"/>
      <sheetName val="Table10s2"/>
      <sheetName val="Table10s3"/>
      <sheetName val="Table10s4"/>
      <sheetName val="Table10s5"/>
      <sheetName val="Table10s6"/>
      <sheetName val="EUA_2023_20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13">
          <cell r="R13">
            <v>8534.2281766174747</v>
          </cell>
        </row>
      </sheetData>
      <sheetData sheetId="37">
        <row r="13">
          <cell r="R13">
            <v>11272.991597282158</v>
          </cell>
        </row>
      </sheetData>
      <sheetData sheetId="38" refreshError="1"/>
      <sheetData sheetId="39">
        <row r="13">
          <cell r="R13">
            <v>13648.031767117793</v>
          </cell>
        </row>
      </sheetData>
      <sheetData sheetId="40">
        <row r="13">
          <cell r="R13">
            <v>877.80968179668662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Index sheet"/>
      <sheetName val="Table1s1"/>
      <sheetName val="Table1s2"/>
      <sheetName val="Table1.A(a)s1"/>
      <sheetName val="Table1.A(a)s2"/>
      <sheetName val="Table1.A(a)s3"/>
      <sheetName val="Table1.A(a)s4"/>
      <sheetName val="Table1.A(b)"/>
      <sheetName val="Table1.A(c)"/>
      <sheetName val="Table1.A(d)"/>
      <sheetName val="Table1.B.1"/>
      <sheetName val="Table1.B.2"/>
      <sheetName val="Table1.C"/>
      <sheetName val="Table1.D"/>
      <sheetName val="Table2(I)s1"/>
      <sheetName val="Table2(I)s2"/>
      <sheetName val="Table2(I).A-Hs1"/>
      <sheetName val="Table2(I).A-Hs2"/>
      <sheetName val="Table2(II)"/>
      <sheetName val="Table2(II)B-Hs1"/>
      <sheetName val="Table2(II)B-Hs2"/>
      <sheetName val="Table3s1"/>
      <sheetName val="Table3s2"/>
      <sheetName val="Table3.As1"/>
      <sheetName val="Table3.As2"/>
      <sheetName val="Table3.B(a)s1"/>
      <sheetName val="Table3.B(a)s2"/>
      <sheetName val="Table3.B(b)"/>
      <sheetName val="Table3.C"/>
      <sheetName val="Table3.D"/>
      <sheetName val="Table3.E"/>
      <sheetName val="Table3.F"/>
      <sheetName val="Table3.G-I"/>
      <sheetName val="Table4"/>
      <sheetName val="Table4.1"/>
      <sheetName val="Table4.A"/>
      <sheetName val="Table4.B"/>
      <sheetName val="Table4.C"/>
      <sheetName val="Table4.D"/>
      <sheetName val="Table4.E"/>
      <sheetName val="Table4.F"/>
      <sheetName val="Table4(I)"/>
      <sheetName val="Table4(II)"/>
      <sheetName val="Table4(III)"/>
      <sheetName val="Table4(IV)"/>
      <sheetName val="Table4(V)"/>
      <sheetName val="Table4.Gs1"/>
      <sheetName val="Table4.Gs2"/>
      <sheetName val="Table5"/>
      <sheetName val="Table5.A"/>
      <sheetName val="Table5.B"/>
      <sheetName val="Table5.C"/>
      <sheetName val="Table5.D"/>
      <sheetName val="Summary1.As1"/>
      <sheetName val="Summary1.As2"/>
      <sheetName val="Summary1.As3"/>
      <sheetName val="Summary2"/>
      <sheetName val="Summary3s1"/>
      <sheetName val="Summary3s2"/>
      <sheetName val="Table6"/>
      <sheetName val="Table7"/>
      <sheetName val="Table8s1"/>
      <sheetName val="Table8s2"/>
      <sheetName val="Table8s3"/>
      <sheetName val="Table8s4"/>
      <sheetName val="Table9"/>
      <sheetName val="Table10s1"/>
      <sheetName val="Table10s2"/>
      <sheetName val="Table10s3"/>
      <sheetName val="Table10s4"/>
      <sheetName val="Table10s5"/>
      <sheetName val="Table10s6"/>
      <sheetName val="EUA_2023_20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13">
          <cell r="R13">
            <v>8864.5075899733529</v>
          </cell>
        </row>
      </sheetData>
      <sheetData sheetId="37">
        <row r="13">
          <cell r="R13">
            <v>10370.428557807581</v>
          </cell>
        </row>
      </sheetData>
      <sheetData sheetId="38" refreshError="1"/>
      <sheetData sheetId="39">
        <row r="13">
          <cell r="R13">
            <v>12793.83981916952</v>
          </cell>
        </row>
      </sheetData>
      <sheetData sheetId="40">
        <row r="13">
          <cell r="R13">
            <v>796.29745694355199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Index sheet"/>
      <sheetName val="Table1s1"/>
      <sheetName val="Table1s2"/>
      <sheetName val="Table1.A(a)s1"/>
      <sheetName val="Table1.A(a)s2"/>
      <sheetName val="Table1.A(a)s3"/>
      <sheetName val="Table1.A(a)s4"/>
      <sheetName val="Table1.A(b)"/>
      <sheetName val="Table1.A(c)"/>
      <sheetName val="Table1.A(d)"/>
      <sheetName val="Table1.B.1"/>
      <sheetName val="Table1.B.2"/>
      <sheetName val="Table1.C"/>
      <sheetName val="Table1.D"/>
      <sheetName val="Table2(I)s1"/>
      <sheetName val="Table2(I)s2"/>
      <sheetName val="Table2(I).A-Hs1"/>
      <sheetName val="Table2(I).A-Hs2"/>
      <sheetName val="Table2(II)"/>
      <sheetName val="Table2(II)B-Hs1"/>
      <sheetName val="Table2(II)B-Hs2"/>
      <sheetName val="Table3s1"/>
      <sheetName val="Table3s2"/>
      <sheetName val="Table3.As1"/>
      <sheetName val="Table3.As2"/>
      <sheetName val="Table3.B(a)s1"/>
      <sheetName val="Table3.B(a)s2"/>
      <sheetName val="Table3.B(b)"/>
      <sheetName val="Table3.C"/>
      <sheetName val="Table3.D"/>
      <sheetName val="Table3.E"/>
      <sheetName val="Table3.F"/>
      <sheetName val="Table3.G-I"/>
      <sheetName val="Table4"/>
      <sheetName val="Table4.1"/>
      <sheetName val="Table4.A"/>
      <sheetName val="Table4.B"/>
      <sheetName val="Table4.C"/>
      <sheetName val="Table4.D"/>
      <sheetName val="Table4.E"/>
      <sheetName val="Table4.F"/>
      <sheetName val="Table4(I)"/>
      <sheetName val="Table4(II)"/>
      <sheetName val="Table4(III)"/>
      <sheetName val="Table4(IV)"/>
      <sheetName val="Table4(V)"/>
      <sheetName val="Table4.Gs1"/>
      <sheetName val="Table4.Gs2"/>
      <sheetName val="Table5"/>
      <sheetName val="Table5.A"/>
      <sheetName val="Table5.B"/>
      <sheetName val="Table5.C"/>
      <sheetName val="Table5.D"/>
      <sheetName val="Summary1.As1"/>
      <sheetName val="Summary1.As2"/>
      <sheetName val="Summary1.As3"/>
      <sheetName val="Summary2"/>
      <sheetName val="Summary3s1"/>
      <sheetName val="Summary3s2"/>
      <sheetName val="Table6"/>
      <sheetName val="Table7"/>
      <sheetName val="Table8s1"/>
      <sheetName val="Table8s2"/>
      <sheetName val="Table8s3"/>
      <sheetName val="Table8s4"/>
      <sheetName val="Table9"/>
      <sheetName val="Table10s1"/>
      <sheetName val="Table10s2"/>
      <sheetName val="Table10s3"/>
      <sheetName val="Table10s4"/>
      <sheetName val="Table10s5"/>
      <sheetName val="Table10s6"/>
      <sheetName val="EUA_2023_20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13">
          <cell r="R13">
            <v>8368.9978378187989</v>
          </cell>
        </row>
      </sheetData>
      <sheetData sheetId="37">
        <row r="13">
          <cell r="R13">
            <v>9141.9368497588548</v>
          </cell>
        </row>
      </sheetData>
      <sheetData sheetId="38" refreshError="1"/>
      <sheetData sheetId="39">
        <row r="13">
          <cell r="R13">
            <v>12949.644269461307</v>
          </cell>
        </row>
      </sheetData>
      <sheetData sheetId="40">
        <row r="13">
          <cell r="R13">
            <v>849.60631936949108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Index sheet"/>
      <sheetName val="Table1s1"/>
      <sheetName val="Table1s2"/>
      <sheetName val="Table1.A(a)s1"/>
      <sheetName val="Table1.A(a)s2"/>
      <sheetName val="Table1.A(a)s3"/>
      <sheetName val="Table1.A(a)s4"/>
      <sheetName val="Table1.A(b)"/>
      <sheetName val="Table1.A(c)"/>
      <sheetName val="Table1.A(d)"/>
      <sheetName val="Table1.B.1"/>
      <sheetName val="Table1.B.2"/>
      <sheetName val="Table1.C"/>
      <sheetName val="Table1.D"/>
      <sheetName val="Table2(I)s1"/>
      <sheetName val="Table2(I)s2"/>
      <sheetName val="Table2(I).A-Hs1"/>
      <sheetName val="Table2(I).A-Hs2"/>
      <sheetName val="Table2(II)"/>
      <sheetName val="Table2(II)B-Hs1"/>
      <sheetName val="Table2(II)B-Hs2"/>
      <sheetName val="Table3s1"/>
      <sheetName val="Table3s2"/>
      <sheetName val="Table3.As1"/>
      <sheetName val="Table3.As2"/>
      <sheetName val="Table3.B(a)s1"/>
      <sheetName val="Table3.B(a)s2"/>
      <sheetName val="Table3.B(b)"/>
      <sheetName val="Table3.C"/>
      <sheetName val="Table3.D"/>
      <sheetName val="Table3.E"/>
      <sheetName val="Table3.F"/>
      <sheetName val="Table3.G-I"/>
      <sheetName val="Table4"/>
      <sheetName val="Table4.1"/>
      <sheetName val="Table4.A"/>
      <sheetName val="Table4.B"/>
      <sheetName val="Table4.C"/>
      <sheetName val="Table4.D"/>
      <sheetName val="Table4.E"/>
      <sheetName val="Table4.F"/>
      <sheetName val="Table4(I)"/>
      <sheetName val="Table4(II)"/>
      <sheetName val="Table4(III)"/>
      <sheetName val="Table4(IV)"/>
      <sheetName val="Table4(V)"/>
      <sheetName val="Table4.Gs1"/>
      <sheetName val="Table4.Gs2"/>
      <sheetName val="Table5"/>
      <sheetName val="Table5.A"/>
      <sheetName val="Table5.B"/>
      <sheetName val="Table5.C"/>
      <sheetName val="Table5.D"/>
      <sheetName val="Summary1.As1"/>
      <sheetName val="Summary1.As2"/>
      <sheetName val="Summary1.As3"/>
      <sheetName val="Summary2"/>
      <sheetName val="Summary3s1"/>
      <sheetName val="Summary3s2"/>
      <sheetName val="Table6"/>
      <sheetName val="Table7"/>
      <sheetName val="Table8s1"/>
      <sheetName val="Table8s2"/>
      <sheetName val="Table8s3"/>
      <sheetName val="Table8s4"/>
      <sheetName val="Table9"/>
      <sheetName val="Table10s1"/>
      <sheetName val="Table10s2"/>
      <sheetName val="Table10s3"/>
      <sheetName val="Table10s4"/>
      <sheetName val="Table10s5"/>
      <sheetName val="Table10s6"/>
      <sheetName val="EUA_2023_201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13">
          <cell r="R13">
            <v>10325.668217039816</v>
          </cell>
        </row>
      </sheetData>
      <sheetData sheetId="37">
        <row r="13">
          <cell r="R13">
            <v>15914.115158987241</v>
          </cell>
        </row>
      </sheetData>
      <sheetData sheetId="38" refreshError="1"/>
      <sheetData sheetId="39">
        <row r="13">
          <cell r="R13">
            <v>13394.986644876431</v>
          </cell>
        </row>
      </sheetData>
      <sheetData sheetId="40">
        <row r="13">
          <cell r="R13">
            <v>795.59329186891114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Index sheet"/>
      <sheetName val="Table1s1"/>
      <sheetName val="Table1s2"/>
      <sheetName val="Table1.A(a)s1"/>
      <sheetName val="Table1.A(a)s2"/>
      <sheetName val="Table1.A(a)s3"/>
      <sheetName val="Table1.A(a)s4"/>
      <sheetName val="Table1.A(b)"/>
      <sheetName val="Table1.A(c)"/>
      <sheetName val="Table1.A(d)"/>
      <sheetName val="Table1.B.1"/>
      <sheetName val="Table1.B.2"/>
      <sheetName val="Table1.C"/>
      <sheetName val="Table1.D"/>
      <sheetName val="Table2(I)s1"/>
      <sheetName val="Table2(I)s2"/>
      <sheetName val="Table2(I).A-Hs1"/>
      <sheetName val="Table2(I).A-Hs2"/>
      <sheetName val="Table2(II)"/>
      <sheetName val="Table2(II)B-Hs1"/>
      <sheetName val="Table2(II)B-Hs2"/>
      <sheetName val="Table3s1"/>
      <sheetName val="Table3s2"/>
      <sheetName val="Table3.As1"/>
      <sheetName val="Table3.As2"/>
      <sheetName val="Table3.B(a)s1"/>
      <sheetName val="Table3.B(a)s2"/>
      <sheetName val="Table3.B(b)"/>
      <sheetName val="Table3.C"/>
      <sheetName val="Table3.D"/>
      <sheetName val="Table3.E"/>
      <sheetName val="Table3.F"/>
      <sheetName val="Table3.G-I"/>
      <sheetName val="Table4"/>
      <sheetName val="Table4.1"/>
      <sheetName val="Table4.A"/>
      <sheetName val="Table4.B"/>
      <sheetName val="Table4.C"/>
      <sheetName val="Table4.D"/>
      <sheetName val="Table4.E"/>
      <sheetName val="Table4.F"/>
      <sheetName val="Table4(I)"/>
      <sheetName val="Table4(II)"/>
      <sheetName val="Table4(III)"/>
      <sheetName val="Table4(IV)"/>
      <sheetName val="Table4(V)"/>
      <sheetName val="Table4.Gs1"/>
      <sheetName val="Table4.Gs2"/>
      <sheetName val="Table5"/>
      <sheetName val="Table5.A"/>
      <sheetName val="Table5.B"/>
      <sheetName val="Table5.C"/>
      <sheetName val="Table5.D"/>
      <sheetName val="Summary1.As1"/>
      <sheetName val="Summary1.As2"/>
      <sheetName val="Summary1.As3"/>
      <sheetName val="Summary2"/>
      <sheetName val="Summary3s1"/>
      <sheetName val="Summary3s2"/>
      <sheetName val="Table6"/>
      <sheetName val="Table7"/>
      <sheetName val="Table8s1"/>
      <sheetName val="Table8s2"/>
      <sheetName val="Table8s3"/>
      <sheetName val="Table8s4"/>
      <sheetName val="Table9"/>
      <sheetName val="Table10s1"/>
      <sheetName val="Table10s2"/>
      <sheetName val="Table10s3"/>
      <sheetName val="Table10s4"/>
      <sheetName val="Table10s5"/>
      <sheetName val="Table10s6"/>
      <sheetName val="EUA_2023_20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13">
          <cell r="R13">
            <v>9250.1171159480036</v>
          </cell>
        </row>
      </sheetData>
      <sheetData sheetId="37">
        <row r="13">
          <cell r="R13">
            <v>10417.005835164304</v>
          </cell>
        </row>
      </sheetData>
      <sheetData sheetId="38" refreshError="1"/>
      <sheetData sheetId="39">
        <row r="13">
          <cell r="R13">
            <v>13547.058778768011</v>
          </cell>
        </row>
      </sheetData>
      <sheetData sheetId="40">
        <row r="13">
          <cell r="R13">
            <v>818.02726231028885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Index sheet"/>
      <sheetName val="Table1s1"/>
      <sheetName val="Table1s2"/>
      <sheetName val="Table1.A(a)s1"/>
      <sheetName val="Table1.A(a)s2"/>
      <sheetName val="Table1.A(a)s3"/>
      <sheetName val="Table1.A(a)s4"/>
      <sheetName val="Table1.A(b)"/>
      <sheetName val="Table1.A(c)"/>
      <sheetName val="Table1.A(d)"/>
      <sheetName val="Table1.B.1"/>
      <sheetName val="Table1.B.2"/>
      <sheetName val="Table1.C"/>
      <sheetName val="Table1.D"/>
      <sheetName val="Table2(I)s1"/>
      <sheetName val="Table2(I)s2"/>
      <sheetName val="Table2(I).A-Hs1"/>
      <sheetName val="Table2(I).A-Hs2"/>
      <sheetName val="Table2(II)"/>
      <sheetName val="Table2(II)B-Hs1"/>
      <sheetName val="Table2(II)B-Hs2"/>
      <sheetName val="Table3s1"/>
      <sheetName val="Table3s2"/>
      <sheetName val="Table3.As1"/>
      <sheetName val="Table3.As2"/>
      <sheetName val="Table3.B(a)s1"/>
      <sheetName val="Table3.B(a)s2"/>
      <sheetName val="Table3.B(b)"/>
      <sheetName val="Table3.C"/>
      <sheetName val="Table3.D"/>
      <sheetName val="Table3.E"/>
      <sheetName val="Table3.F"/>
      <sheetName val="Table3.G-I"/>
      <sheetName val="Table4"/>
      <sheetName val="Table4.1"/>
      <sheetName val="Table4.A"/>
      <sheetName val="Table4.B"/>
      <sheetName val="Table4.C"/>
      <sheetName val="Table4.D"/>
      <sheetName val="Table4.E"/>
      <sheetName val="Table4.F"/>
      <sheetName val="Table4(I)"/>
      <sheetName val="Table4(II)"/>
      <sheetName val="Table4(III)"/>
      <sheetName val="Table4(IV)"/>
      <sheetName val="Table4(V)"/>
      <sheetName val="Table4.Gs1"/>
      <sheetName val="Table4.Gs2"/>
      <sheetName val="Table5"/>
      <sheetName val="Table5.A"/>
      <sheetName val="Table5.B"/>
      <sheetName val="Table5.C"/>
      <sheetName val="Table5.D"/>
      <sheetName val="Summary1.As1"/>
      <sheetName val="Summary1.As2"/>
      <sheetName val="Summary1.As3"/>
      <sheetName val="Summary2"/>
      <sheetName val="Summary3s1"/>
      <sheetName val="Summary3s2"/>
      <sheetName val="Table6"/>
      <sheetName val="Table7"/>
      <sheetName val="Table8s1"/>
      <sheetName val="Table8s2"/>
      <sheetName val="Table8s3"/>
      <sheetName val="Table8s4"/>
      <sheetName val="Table9"/>
      <sheetName val="Table10s1"/>
      <sheetName val="Table10s2"/>
      <sheetName val="Table10s3"/>
      <sheetName val="Table10s4"/>
      <sheetName val="Table10s5"/>
      <sheetName val="Table10s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13">
          <cell r="R13">
            <v>9770.2220320965589</v>
          </cell>
        </row>
      </sheetData>
      <sheetData sheetId="37">
        <row r="13">
          <cell r="R13">
            <v>10144.876840142313</v>
          </cell>
        </row>
      </sheetData>
      <sheetData sheetId="38" refreshError="1"/>
      <sheetData sheetId="39">
        <row r="13">
          <cell r="R13">
            <v>14124.550457911761</v>
          </cell>
        </row>
      </sheetData>
      <sheetData sheetId="40">
        <row r="13">
          <cell r="R13">
            <v>821.14191211625416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Index sheet"/>
      <sheetName val="Table1s1"/>
      <sheetName val="Table1s2"/>
      <sheetName val="Table1.A(a)s1"/>
      <sheetName val="Table1.A(a)s2"/>
      <sheetName val="Table1.A(a)s3"/>
      <sheetName val="Table1.A(a)s4"/>
      <sheetName val="Table1.A(b)"/>
      <sheetName val="Table1.A(c)"/>
      <sheetName val="Table1.A(d)"/>
      <sheetName val="Table1.B.1"/>
      <sheetName val="Table1.B.2"/>
      <sheetName val="Table1.C"/>
      <sheetName val="Table1.D"/>
      <sheetName val="Table2(I)s1"/>
      <sheetName val="Table2(I)s2"/>
      <sheetName val="Table2(I).A-Hs1"/>
      <sheetName val="Table2(I).A-Hs2"/>
      <sheetName val="Table2(II)"/>
      <sheetName val="Table2(II)B-Hs1"/>
      <sheetName val="Table2(II)B-Hs2"/>
      <sheetName val="Table3s1"/>
      <sheetName val="Table3s2"/>
      <sheetName val="Table3.As1"/>
      <sheetName val="Table3.As2"/>
      <sheetName val="Table3.B(a)s1"/>
      <sheetName val="Table3.B(a)s2"/>
      <sheetName val="Table3.B(b)"/>
      <sheetName val="Table3.C"/>
      <sheetName val="Table3.D"/>
      <sheetName val="Table3.E"/>
      <sheetName val="Table3.F"/>
      <sheetName val="Table3.G-I"/>
      <sheetName val="Table4"/>
      <sheetName val="Table4.1"/>
      <sheetName val="Table4.A"/>
      <sheetName val="Table4.B"/>
      <sheetName val="Table4.C"/>
      <sheetName val="Table4.D"/>
      <sheetName val="Table4.E"/>
      <sheetName val="Table4.F"/>
      <sheetName val="Table4(I)"/>
      <sheetName val="Table4(II)"/>
      <sheetName val="Table4(III)"/>
      <sheetName val="Table4(IV)"/>
      <sheetName val="Table4(V)"/>
      <sheetName val="Table4.Gs1"/>
      <sheetName val="Table4.Gs2"/>
      <sheetName val="Table5"/>
      <sheetName val="Table5.A"/>
      <sheetName val="Table5.B"/>
      <sheetName val="Table5.C"/>
      <sheetName val="Table5.D"/>
      <sheetName val="Summary1.As1"/>
      <sheetName val="Summary1.As2"/>
      <sheetName val="Summary1.As3"/>
      <sheetName val="Summary2"/>
      <sheetName val="Summary3s1"/>
      <sheetName val="Summary3s2"/>
      <sheetName val="Table6"/>
      <sheetName val="Table7"/>
      <sheetName val="Table8s1"/>
      <sheetName val="Table8s2"/>
      <sheetName val="Table8s3"/>
      <sheetName val="Table8s4"/>
      <sheetName val="Table9"/>
      <sheetName val="Table10s1"/>
      <sheetName val="Table10s2"/>
      <sheetName val="Table10s3"/>
      <sheetName val="Table10s4"/>
      <sheetName val="Table10s5"/>
      <sheetName val="Table10s6"/>
      <sheetName val="EUA_2023_20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13">
          <cell r="R13">
            <v>9168.769007008179</v>
          </cell>
        </row>
      </sheetData>
      <sheetData sheetId="37">
        <row r="13">
          <cell r="R13">
            <v>9964.1096254624481</v>
          </cell>
        </row>
      </sheetData>
      <sheetData sheetId="38" refreshError="1"/>
      <sheetData sheetId="39">
        <row r="13">
          <cell r="R13">
            <v>17481.475269892235</v>
          </cell>
        </row>
      </sheetData>
      <sheetData sheetId="40">
        <row r="13">
          <cell r="R13">
            <v>852.31456579632095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Index sheet"/>
      <sheetName val="Table1s1"/>
      <sheetName val="Table1s2"/>
      <sheetName val="Table1.A(a)s1"/>
      <sheetName val="Table1.A(a)s2"/>
      <sheetName val="Table1.A(a)s3"/>
      <sheetName val="Table1.A(a)s4"/>
      <sheetName val="Table1.A(b)"/>
      <sheetName val="Table1.A(c)"/>
      <sheetName val="Table1.A(d)"/>
      <sheetName val="Table1.B.1"/>
      <sheetName val="Table1.B.2"/>
      <sheetName val="Table1.C"/>
      <sheetName val="Table1.D"/>
      <sheetName val="Table2(I)s1"/>
      <sheetName val="Table2(I)s2"/>
      <sheetName val="Table2(I).A-Hs1"/>
      <sheetName val="Table2(I).A-Hs2"/>
      <sheetName val="Table2(II)"/>
      <sheetName val="Table2(II)B-Hs1"/>
      <sheetName val="Table2(II)B-Hs2"/>
      <sheetName val="Table3s1"/>
      <sheetName val="Table3s2"/>
      <sheetName val="Table3.As1"/>
      <sheetName val="Table3.As2"/>
      <sheetName val="Table3.B(a)s1"/>
      <sheetName val="Table3.B(a)s2"/>
      <sheetName val="Table3.B(b)"/>
      <sheetName val="Table3.C"/>
      <sheetName val="Table3.D"/>
      <sheetName val="Table3.E"/>
      <sheetName val="Table3.F"/>
      <sheetName val="Table3.G-I"/>
      <sheetName val="Table4"/>
      <sheetName val="Table4.1"/>
      <sheetName val="Table4.A"/>
      <sheetName val="Table4.B"/>
      <sheetName val="Table4.C"/>
      <sheetName val="Table4.D"/>
      <sheetName val="Table4.E"/>
      <sheetName val="Table4.F"/>
      <sheetName val="Table4(I)"/>
      <sheetName val="Table4(II)"/>
      <sheetName val="Table4(III)"/>
      <sheetName val="Table4(IV)"/>
      <sheetName val="Table4(V)"/>
      <sheetName val="Table4.Gs1"/>
      <sheetName val="Table4.Gs2"/>
      <sheetName val="Table5"/>
      <sheetName val="Table5.A"/>
      <sheetName val="Table5.B"/>
      <sheetName val="Table5.C"/>
      <sheetName val="Table5.D"/>
      <sheetName val="Summary1.As1"/>
      <sheetName val="Summary1.As2"/>
      <sheetName val="Summary1.As3"/>
      <sheetName val="Summary2"/>
      <sheetName val="Summary3s1"/>
      <sheetName val="Summary3s2"/>
      <sheetName val="Table6"/>
      <sheetName val="Table7"/>
      <sheetName val="Table8s1"/>
      <sheetName val="Table8s2"/>
      <sheetName val="Table8s3"/>
      <sheetName val="Table8s4"/>
      <sheetName val="Table9"/>
      <sheetName val="Table10s1"/>
      <sheetName val="Table10s2"/>
      <sheetName val="Table10s3"/>
      <sheetName val="Table10s4"/>
      <sheetName val="Table10s5"/>
      <sheetName val="Table10s6"/>
      <sheetName val="EUA_2023_201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13">
          <cell r="R13">
            <v>8692.2912845364554</v>
          </cell>
        </row>
      </sheetData>
      <sheetData sheetId="37">
        <row r="13">
          <cell r="R13">
            <v>9040.1052176293924</v>
          </cell>
        </row>
      </sheetData>
      <sheetData sheetId="38" refreshError="1"/>
      <sheetData sheetId="39">
        <row r="13">
          <cell r="R13">
            <v>13087.102261078277</v>
          </cell>
        </row>
      </sheetData>
      <sheetData sheetId="40">
        <row r="13">
          <cell r="R13">
            <v>861.31308465170127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Index sheet"/>
      <sheetName val="Table1s1"/>
      <sheetName val="Table1s2"/>
      <sheetName val="Table1.A(a)s1"/>
      <sheetName val="Table1.A(a)s2"/>
      <sheetName val="Table1.A(a)s3"/>
      <sheetName val="Table1.A(a)s4"/>
      <sheetName val="Table1.A(b)"/>
      <sheetName val="Table1.A(c)"/>
      <sheetName val="Table1.A(d)"/>
      <sheetName val="Table1.B.1"/>
      <sheetName val="Table1.B.2"/>
      <sheetName val="Table1.C"/>
      <sheetName val="Table1.D"/>
      <sheetName val="Table2(I)s1"/>
      <sheetName val="Table2(I)s2"/>
      <sheetName val="Table2(I).A-Hs1"/>
      <sheetName val="Table2(I).A-Hs2"/>
      <sheetName val="Table2(II)"/>
      <sheetName val="Table2(II)B-Hs1"/>
      <sheetName val="Table2(II)B-Hs2"/>
      <sheetName val="Table3s1"/>
      <sheetName val="Table3s2"/>
      <sheetName val="Table3.As1"/>
      <sheetName val="Table3.As2"/>
      <sheetName val="Table3.B(a)s1"/>
      <sheetName val="Table3.B(a)s2"/>
      <sheetName val="Table3.B(b)"/>
      <sheetName val="Table3.C"/>
      <sheetName val="Table3.D"/>
      <sheetName val="Table3.E"/>
      <sheetName val="Table3.F"/>
      <sheetName val="Table3.G-I"/>
      <sheetName val="Table4"/>
      <sheetName val="Table4.1"/>
      <sheetName val="Table4.A"/>
      <sheetName val="Table4.B"/>
      <sheetName val="Table4.C"/>
      <sheetName val="Table4.D"/>
      <sheetName val="Table4.E"/>
      <sheetName val="Table4.F"/>
      <sheetName val="Table4(I)"/>
      <sheetName val="Table4(II)"/>
      <sheetName val="Table4(III)"/>
      <sheetName val="Table4(IV)"/>
      <sheetName val="Table4(V)"/>
      <sheetName val="Table4.Gs1"/>
      <sheetName val="Table4.Gs2"/>
      <sheetName val="Table5"/>
      <sheetName val="Table5.A"/>
      <sheetName val="Table5.B"/>
      <sheetName val="Table5.C"/>
      <sheetName val="Table5.D"/>
      <sheetName val="Summary1.As1"/>
      <sheetName val="Summary1.As2"/>
      <sheetName val="Summary1.As3"/>
      <sheetName val="Summary2"/>
      <sheetName val="Summary3s1"/>
      <sheetName val="Summary3s2"/>
      <sheetName val="Table6"/>
      <sheetName val="Table7"/>
      <sheetName val="Table8s1"/>
      <sheetName val="Table8s2"/>
      <sheetName val="Table8s3"/>
      <sheetName val="Table8s4"/>
      <sheetName val="Table9"/>
      <sheetName val="Table10s1"/>
      <sheetName val="Table10s2"/>
      <sheetName val="Table10s3"/>
      <sheetName val="Table10s4"/>
      <sheetName val="Table10s5"/>
      <sheetName val="Table10s6"/>
      <sheetName val="EUA_2023_201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13">
          <cell r="R13">
            <v>8144.3454012508864</v>
          </cell>
        </row>
      </sheetData>
      <sheetData sheetId="37">
        <row r="13">
          <cell r="R13">
            <v>7857.9095971837223</v>
          </cell>
        </row>
      </sheetData>
      <sheetData sheetId="38" refreshError="1"/>
      <sheetData sheetId="39">
        <row r="13">
          <cell r="R13">
            <v>13222.873679024899</v>
          </cell>
        </row>
      </sheetData>
      <sheetData sheetId="40">
        <row r="13">
          <cell r="R13">
            <v>1388.6383622283261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Index sheet"/>
      <sheetName val="Table1s1"/>
      <sheetName val="Table1s2"/>
      <sheetName val="Table1.A(a)s1"/>
      <sheetName val="Table1.A(a)s2"/>
      <sheetName val="Table1.A(a)s3"/>
      <sheetName val="Table1.A(a)s4"/>
      <sheetName val="Table1.A(b)"/>
      <sheetName val="Table1.A(c)"/>
      <sheetName val="Table1.A(d)"/>
      <sheetName val="Table1.B.1"/>
      <sheetName val="Table1.B.2"/>
      <sheetName val="Table1.C"/>
      <sheetName val="Table1.D"/>
      <sheetName val="Table2(I)s1"/>
      <sheetName val="Table2(I)s2"/>
      <sheetName val="Table2(I).A-Hs1"/>
      <sheetName val="Table2(I).A-Hs2"/>
      <sheetName val="Table2(II)"/>
      <sheetName val="Table2(II)B-Hs1"/>
      <sheetName val="Table2(II)B-Hs2"/>
      <sheetName val="Table3s1"/>
      <sheetName val="Table3s2"/>
      <sheetName val="Table3.As1"/>
      <sheetName val="Table3.As2"/>
      <sheetName val="Table3.B(a)s1"/>
      <sheetName val="Table3.B(a)s2"/>
      <sheetName val="Table3.B(b)"/>
      <sheetName val="Table3.C"/>
      <sheetName val="Table3.D"/>
      <sheetName val="Table3.E"/>
      <sheetName val="Table3.F"/>
      <sheetName val="Table3.G-I"/>
      <sheetName val="Table4"/>
      <sheetName val="Table4.1"/>
      <sheetName val="Table4.A"/>
      <sheetName val="Table4.B"/>
      <sheetName val="Table4.C"/>
      <sheetName val="Table4.D"/>
      <sheetName val="Table4.E"/>
      <sheetName val="Table4.F"/>
      <sheetName val="Table4(I)"/>
      <sheetName val="Table4(II)"/>
      <sheetName val="Table4(III)"/>
      <sheetName val="Table4(IV)"/>
      <sheetName val="Table4(V)"/>
      <sheetName val="Table4.Gs1"/>
      <sheetName val="Table4.Gs2"/>
      <sheetName val="Table5"/>
      <sheetName val="Table5.A"/>
      <sheetName val="Table5.B"/>
      <sheetName val="Table5.C"/>
      <sheetName val="Table5.D"/>
      <sheetName val="Summary1.As1"/>
      <sheetName val="Summary1.As2"/>
      <sheetName val="Summary1.As3"/>
      <sheetName val="Summary2"/>
      <sheetName val="Summary3s1"/>
      <sheetName val="Summary3s2"/>
      <sheetName val="Table6"/>
      <sheetName val="Table7"/>
      <sheetName val="Table8s1"/>
      <sheetName val="Table8s2"/>
      <sheetName val="Table8s3"/>
      <sheetName val="Table8s4"/>
      <sheetName val="Table9"/>
      <sheetName val="Table10s1"/>
      <sheetName val="Table10s2"/>
      <sheetName val="Table10s3"/>
      <sheetName val="Table10s4"/>
      <sheetName val="Table10s5"/>
      <sheetName val="Table10s6"/>
      <sheetName val="EUA_2023_2019"/>
    </sheetNames>
    <sheetDataSet>
      <sheetData sheetId="0"/>
      <sheetData sheetId="1">
        <row r="8">
          <cell r="C8">
            <v>926.56366616948492</v>
          </cell>
        </row>
      </sheetData>
      <sheetData sheetId="2">
        <row r="15">
          <cell r="C15">
            <v>1000.6552538857817</v>
          </cell>
        </row>
      </sheetData>
      <sheetData sheetId="3">
        <row r="24">
          <cell r="G24">
            <v>757239.04523108038</v>
          </cell>
        </row>
      </sheetData>
      <sheetData sheetId="4"/>
      <sheetData sheetId="5"/>
      <sheetData sheetId="6">
        <row r="16">
          <cell r="G16">
            <v>123795.96477254963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9">
          <cell r="B9">
            <v>-258635.32657184513</v>
          </cell>
        </row>
      </sheetData>
      <sheetData sheetId="34"/>
      <sheetData sheetId="35"/>
      <sheetData sheetId="36">
        <row r="13">
          <cell r="R13">
            <v>8106.2914886679309</v>
          </cell>
        </row>
      </sheetData>
      <sheetData sheetId="37">
        <row r="13">
          <cell r="R13">
            <v>7985.2195288189496</v>
          </cell>
        </row>
      </sheetData>
      <sheetData sheetId="38"/>
      <sheetData sheetId="39">
        <row r="13">
          <cell r="R13">
            <v>12667.466205970139</v>
          </cell>
        </row>
      </sheetData>
      <sheetData sheetId="40">
        <row r="13">
          <cell r="R13">
            <v>851.17280670369553</v>
          </cell>
        </row>
      </sheetData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Index sheet"/>
      <sheetName val="Table1s1"/>
      <sheetName val="Table1s2"/>
      <sheetName val="Table1.A(a)s1"/>
      <sheetName val="Table1.A(a)s2"/>
      <sheetName val="Table1.A(a)s3"/>
      <sheetName val="Table1.A(a)s4"/>
      <sheetName val="Table1.A(b)"/>
      <sheetName val="Table1.A(c)"/>
      <sheetName val="Table1.A(d)"/>
      <sheetName val="Table1.B.1"/>
      <sheetName val="Table1.B.2"/>
      <sheetName val="Table1.C"/>
      <sheetName val="Table1.D"/>
      <sheetName val="Table2(I)s1"/>
      <sheetName val="Table2(I)s2"/>
      <sheetName val="Table2(I).A-Hs1"/>
      <sheetName val="Table2(I).A-Hs2"/>
      <sheetName val="Table2(II)"/>
      <sheetName val="Table2(II)B-Hs1"/>
      <sheetName val="Table2(II)B-Hs2"/>
      <sheetName val="Table3s1"/>
      <sheetName val="Table3s2"/>
      <sheetName val="Table3.As1"/>
      <sheetName val="Table3.As2"/>
      <sheetName val="Table3.B(a)s1"/>
      <sheetName val="Table3.B(a)s2"/>
      <sheetName val="Table3.B(b)"/>
      <sheetName val="Table3.C"/>
      <sheetName val="Table3.D"/>
      <sheetName val="Table3.E"/>
      <sheetName val="Table3.F"/>
      <sheetName val="Table3.G-I"/>
      <sheetName val="Table4"/>
      <sheetName val="Table4.1"/>
      <sheetName val="Table4.A"/>
      <sheetName val="Table4.B"/>
      <sheetName val="Table4.C"/>
      <sheetName val="Table4.D"/>
      <sheetName val="Table4.E"/>
      <sheetName val="Table4.F"/>
      <sheetName val="Table4(I)"/>
      <sheetName val="Table4(II)"/>
      <sheetName val="Table4(III)"/>
      <sheetName val="Table4(IV)"/>
      <sheetName val="Table4(V)"/>
      <sheetName val="Table4.Gs1"/>
      <sheetName val="Table4.Gs2"/>
      <sheetName val="Table5"/>
      <sheetName val="Table5.A"/>
      <sheetName val="Table5.B"/>
      <sheetName val="Table5.C"/>
      <sheetName val="Table5.D"/>
      <sheetName val="Summary1.As1"/>
      <sheetName val="Summary1.As2"/>
      <sheetName val="Summary1.As3"/>
      <sheetName val="Summary2"/>
      <sheetName val="Summary3s1"/>
      <sheetName val="Summary3s2"/>
      <sheetName val="Table6"/>
      <sheetName val="Table7"/>
      <sheetName val="Table8s1"/>
      <sheetName val="Table8s2"/>
      <sheetName val="Table8s3"/>
      <sheetName val="Table8s4"/>
      <sheetName val="Table9"/>
      <sheetName val="Table10s1"/>
      <sheetName val="Table10s2"/>
      <sheetName val="Table10s3"/>
      <sheetName val="Table10s4"/>
      <sheetName val="Table10s5"/>
      <sheetName val="Table10s6"/>
      <sheetName val="EUA_2023_20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13">
          <cell r="R13">
            <v>7864.6216295835511</v>
          </cell>
        </row>
      </sheetData>
      <sheetData sheetId="37">
        <row r="13">
          <cell r="R13">
            <v>6821.0216035557196</v>
          </cell>
        </row>
      </sheetData>
      <sheetData sheetId="38" refreshError="1"/>
      <sheetData sheetId="39">
        <row r="13">
          <cell r="R13">
            <v>12684.518139508848</v>
          </cell>
        </row>
      </sheetData>
      <sheetData sheetId="40">
        <row r="13">
          <cell r="R13">
            <v>882.30681622479926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Index sheet"/>
      <sheetName val="Table1s1"/>
      <sheetName val="Table1s2"/>
      <sheetName val="Table1.A(a)s1"/>
      <sheetName val="Table1.A(a)s2"/>
      <sheetName val="Table1.A(a)s3"/>
      <sheetName val="Table1.A(a)s4"/>
      <sheetName val="Table1.A(b)"/>
      <sheetName val="Table1.A(c)"/>
      <sheetName val="Table1.A(d)"/>
      <sheetName val="Table1.B.1"/>
      <sheetName val="Table1.B.2"/>
      <sheetName val="Table1.C"/>
      <sheetName val="Table1.D"/>
      <sheetName val="Table2(I)s1"/>
      <sheetName val="Table2(I)s2"/>
      <sheetName val="Table2(I).A-Hs1"/>
      <sheetName val="Table2(I).A-Hs2"/>
      <sheetName val="Table2(II)"/>
      <sheetName val="Table2(II)B-Hs1"/>
      <sheetName val="Table2(II)B-Hs2"/>
      <sheetName val="Table3s1"/>
      <sheetName val="Table3s2"/>
      <sheetName val="Table3.As1"/>
      <sheetName val="Table3.As2"/>
      <sheetName val="Table3.B(a)s1"/>
      <sheetName val="Table3.B(a)s2"/>
      <sheetName val="Table3.B(b)"/>
      <sheetName val="Table3.C"/>
      <sheetName val="Table3.D"/>
      <sheetName val="Table3.E"/>
      <sheetName val="Table3.F"/>
      <sheetName val="Table3.G-I"/>
      <sheetName val="Table4"/>
      <sheetName val="Table4.1"/>
      <sheetName val="Table4.A"/>
      <sheetName val="Table4.B"/>
      <sheetName val="Table4.C"/>
      <sheetName val="Table4.D"/>
      <sheetName val="Table4.E"/>
      <sheetName val="Table4.F"/>
      <sheetName val="Table4(I)"/>
      <sheetName val="Table4(II)"/>
      <sheetName val="Table4(III)"/>
      <sheetName val="Table4(IV)"/>
      <sheetName val="Table4(V)"/>
      <sheetName val="Table4.Gs1"/>
      <sheetName val="Table4.Gs2"/>
      <sheetName val="Table5"/>
      <sheetName val="Table5.A"/>
      <sheetName val="Table5.B"/>
      <sheetName val="Table5.C"/>
      <sheetName val="Table5.D"/>
      <sheetName val="Summary1.As1"/>
      <sheetName val="Summary1.As2"/>
      <sheetName val="Summary1.As3"/>
      <sheetName val="Summary2"/>
      <sheetName val="Summary3s1"/>
      <sheetName val="Summary3s2"/>
      <sheetName val="Table6"/>
      <sheetName val="Table7"/>
      <sheetName val="Table8s1"/>
      <sheetName val="Table8s2"/>
      <sheetName val="Table8s3"/>
      <sheetName val="Table8s4"/>
      <sheetName val="Table9"/>
      <sheetName val="Table10s1"/>
      <sheetName val="Table10s2"/>
      <sheetName val="Table10s3"/>
      <sheetName val="Table10s4"/>
      <sheetName val="Table10s5"/>
      <sheetName val="Table10s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>
        <row r="10">
          <cell r="M10">
            <v>207379.81327731995</v>
          </cell>
          <cell r="N10">
            <v>-108647.46725175958</v>
          </cell>
          <cell r="O10">
            <v>98732.346025560386</v>
          </cell>
        </row>
      </sheetData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Index sheet"/>
      <sheetName val="Table1s1"/>
      <sheetName val="Table1s2"/>
      <sheetName val="Table1.A(a)s1"/>
      <sheetName val="Table1.A(a)s2"/>
      <sheetName val="Table1.A(a)s3"/>
      <sheetName val="Table1.A(a)s4"/>
      <sheetName val="Table1.A(b)"/>
      <sheetName val="Table1.A(c)"/>
      <sheetName val="Table1.A(d)"/>
      <sheetName val="Table1.B.1"/>
      <sheetName val="Table1.B.2"/>
      <sheetName val="Table1.C"/>
      <sheetName val="Table1.D"/>
      <sheetName val="Table2(I)s1"/>
      <sheetName val="Table2(I)s2"/>
      <sheetName val="Table2(I).A-Hs1"/>
      <sheetName val="Table2(I).A-Hs2"/>
      <sheetName val="Table2(II)"/>
      <sheetName val="Table2(II)B-Hs1"/>
      <sheetName val="Table2(II)B-Hs2"/>
      <sheetName val="Table3s1"/>
      <sheetName val="Table3s2"/>
      <sheetName val="Table3.As1"/>
      <sheetName val="Table3.As2"/>
      <sheetName val="Table3.B(a)s1"/>
      <sheetName val="Table3.B(a)s2"/>
      <sheetName val="Table3.B(b)"/>
      <sheetName val="Table3.C"/>
      <sheetName val="Table3.D"/>
      <sheetName val="Table3.E"/>
      <sheetName val="Table3.F"/>
      <sheetName val="Table3.G-I"/>
      <sheetName val="Table4"/>
      <sheetName val="Table4.1"/>
      <sheetName val="Table4.A"/>
      <sheetName val="Table4.B"/>
      <sheetName val="Table4.C"/>
      <sheetName val="Table4.D"/>
      <sheetName val="Table4.E"/>
      <sheetName val="Table4.F"/>
      <sheetName val="Table4(I)"/>
      <sheetName val="Table4(II)"/>
      <sheetName val="Table4(III)"/>
      <sheetName val="Table4(IV)"/>
      <sheetName val="Table4(V)"/>
      <sheetName val="Table4.Gs1"/>
      <sheetName val="Table4.Gs2"/>
      <sheetName val="Table5"/>
      <sheetName val="Table5.A"/>
      <sheetName val="Table5.B"/>
      <sheetName val="Table5.C"/>
      <sheetName val="Table5.D"/>
      <sheetName val="Summary1.As1"/>
      <sheetName val="Summary1.As2"/>
      <sheetName val="Summary1.As3"/>
      <sheetName val="Summary2"/>
      <sheetName val="Summary3s1"/>
      <sheetName val="Summary3s2"/>
      <sheetName val="Table6"/>
      <sheetName val="Table7"/>
      <sheetName val="Table8s1"/>
      <sheetName val="Table8s2"/>
      <sheetName val="Table8s3"/>
      <sheetName val="Table8s4"/>
      <sheetName val="Table9"/>
      <sheetName val="Table10s1"/>
      <sheetName val="Table10s2"/>
      <sheetName val="Table10s3"/>
      <sheetName val="Table10s4"/>
      <sheetName val="Table10s5"/>
      <sheetName val="Table10s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>
        <row r="10">
          <cell r="M10">
            <v>204988.07275204523</v>
          </cell>
          <cell r="N10">
            <v>-141734.85385958251</v>
          </cell>
          <cell r="O10">
            <v>63253.218892462733</v>
          </cell>
        </row>
      </sheetData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655C3-FF64-4C78-8197-1736547E12EC}">
  <dimension ref="A1:B7"/>
  <sheetViews>
    <sheetView showGridLines="0" workbookViewId="0">
      <selection activeCell="X59" sqref="X59"/>
    </sheetView>
  </sheetViews>
  <sheetFormatPr defaultRowHeight="14.4"/>
  <cols>
    <col min="1" max="1" width="23.21875" bestFit="1" customWidth="1"/>
  </cols>
  <sheetData>
    <row r="1" spans="1:2">
      <c r="B1">
        <v>2050</v>
      </c>
    </row>
    <row r="2" spans="1:2">
      <c r="A2" t="s">
        <v>107</v>
      </c>
      <c r="B2">
        <v>-273</v>
      </c>
    </row>
    <row r="3" spans="1:2">
      <c r="A3" t="s">
        <v>105</v>
      </c>
      <c r="B3">
        <v>-317</v>
      </c>
    </row>
    <row r="4" spans="1:2">
      <c r="A4" t="s">
        <v>108</v>
      </c>
      <c r="B4">
        <v>-400</v>
      </c>
    </row>
    <row r="5" spans="1:2">
      <c r="A5" t="s">
        <v>231</v>
      </c>
      <c r="B5">
        <v>-400</v>
      </c>
    </row>
    <row r="6" spans="1:2">
      <c r="A6" t="s">
        <v>104</v>
      </c>
      <c r="B6">
        <v>-425</v>
      </c>
    </row>
    <row r="7" spans="1:2">
      <c r="A7" t="s">
        <v>106</v>
      </c>
      <c r="B7">
        <v>-464</v>
      </c>
    </row>
  </sheetData>
  <autoFilter ref="A1:B1" xr:uid="{829655C3-FF64-4C78-8197-1736547E12EC}">
    <sortState xmlns:xlrd2="http://schemas.microsoft.com/office/spreadsheetml/2017/richdata2" ref="A2:B8">
      <sortCondition descending="1" ref="B1"/>
    </sortState>
  </autoFilter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4A2BA-CC43-4D0B-A532-24EECDC35A91}">
  <sheetPr>
    <tabColor rgb="FFFFFF00"/>
    <outlinePr summaryBelow="0"/>
  </sheetPr>
  <dimension ref="A1:AZ98"/>
  <sheetViews>
    <sheetView showGridLines="0" tabSelected="1" zoomScale="91" zoomScaleNormal="91" workbookViewId="0">
      <pane xSplit="3" ySplit="2" topLeftCell="D57" activePane="bottomRight" state="frozen"/>
      <selection activeCell="AB20" sqref="AB20"/>
      <selection pane="topRight" activeCell="AB20" sqref="AB20"/>
      <selection pane="bottomLeft" activeCell="AB20" sqref="AB20"/>
      <selection pane="bottomRight" activeCell="S31" sqref="S31"/>
    </sheetView>
  </sheetViews>
  <sheetFormatPr defaultRowHeight="14.4" outlineLevelRow="2"/>
  <cols>
    <col min="1" max="1" width="25.77734375" bestFit="1" customWidth="1"/>
    <col min="2" max="2" width="20.44140625" style="7" customWidth="1"/>
    <col min="3" max="3" width="8.5546875" style="7" customWidth="1"/>
    <col min="4" max="4" width="11.44140625" bestFit="1" customWidth="1"/>
    <col min="5" max="5" width="10" bestFit="1" customWidth="1"/>
    <col min="9" max="9" width="11.44140625" bestFit="1" customWidth="1"/>
    <col min="14" max="14" width="11.44140625" bestFit="1" customWidth="1"/>
    <col min="19" max="19" width="11.44140625" bestFit="1" customWidth="1"/>
    <col min="24" max="24" width="11.44140625" bestFit="1" customWidth="1"/>
    <col min="29" max="29" width="11.44140625" bestFit="1" customWidth="1"/>
  </cols>
  <sheetData>
    <row r="1" spans="1:52">
      <c r="A1" s="4" t="s">
        <v>14</v>
      </c>
      <c r="B1" s="6"/>
      <c r="C1" s="6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52">
      <c r="B2" s="7" t="s">
        <v>8</v>
      </c>
      <c r="C2" s="7" t="s">
        <v>12</v>
      </c>
      <c r="D2" t="s">
        <v>0</v>
      </c>
      <c r="I2" t="s">
        <v>1</v>
      </c>
      <c r="N2" t="s">
        <v>2</v>
      </c>
      <c r="S2" t="s">
        <v>3</v>
      </c>
      <c r="X2">
        <v>2025</v>
      </c>
      <c r="AC2">
        <v>2030</v>
      </c>
      <c r="AH2">
        <v>2035</v>
      </c>
      <c r="AM2">
        <v>2040</v>
      </c>
      <c r="AR2">
        <v>2045</v>
      </c>
      <c r="AW2">
        <v>2050</v>
      </c>
    </row>
    <row r="3" spans="1:52">
      <c r="A3" t="s">
        <v>4</v>
      </c>
      <c r="B3" s="7" t="s">
        <v>9</v>
      </c>
      <c r="C3" s="7" t="s">
        <v>13</v>
      </c>
      <c r="D3" s="3">
        <f>D33/1000</f>
        <v>-342.10947613129105</v>
      </c>
      <c r="E3" s="3">
        <f>E33/1000</f>
        <v>-351.29638360007004</v>
      </c>
      <c r="F3" s="3">
        <f t="shared" ref="F3:T3" si="0">F33/1000</f>
        <v>-300.61728649736148</v>
      </c>
      <c r="G3" s="3">
        <f t="shared" si="0"/>
        <v>-344.26277168343694</v>
      </c>
      <c r="H3" s="3">
        <f t="shared" si="0"/>
        <v>-347.02232862364394</v>
      </c>
      <c r="I3" s="3">
        <f t="shared" si="0"/>
        <v>-352.59019094981733</v>
      </c>
      <c r="J3" s="3">
        <f t="shared" si="0"/>
        <v>-347.27380043837763</v>
      </c>
      <c r="K3" s="3">
        <f t="shared" si="0"/>
        <v>-342.63359898826837</v>
      </c>
      <c r="L3" s="3">
        <f t="shared" si="0"/>
        <v>-342.60490517123242</v>
      </c>
      <c r="M3" s="3">
        <f t="shared" si="0"/>
        <v>-327.80272088059951</v>
      </c>
      <c r="N3" s="3">
        <f t="shared" si="0"/>
        <v>-322.42383901204818</v>
      </c>
      <c r="O3" s="3">
        <f t="shared" si="0"/>
        <v>-318.48652483153614</v>
      </c>
      <c r="P3" s="3">
        <f t="shared" si="0"/>
        <v>-249.79589118034281</v>
      </c>
      <c r="Q3" s="3">
        <f t="shared" si="0"/>
        <v>-257.78904072107576</v>
      </c>
      <c r="R3" s="3">
        <f t="shared" si="0"/>
        <v>-247.3176236412184</v>
      </c>
      <c r="S3" s="3">
        <f t="shared" si="0"/>
        <v>-241.03805792704637</v>
      </c>
      <c r="T3" s="3">
        <f t="shared" si="0"/>
        <v>-229.98466641727219</v>
      </c>
      <c r="U3" s="3">
        <v>-243.76728937000001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Y3" s="3"/>
      <c r="AZ3" s="2"/>
    </row>
    <row r="4" spans="1:52">
      <c r="A4" t="s">
        <v>67</v>
      </c>
      <c r="B4" s="7" t="s">
        <v>9</v>
      </c>
      <c r="C4" s="7" t="s">
        <v>13</v>
      </c>
      <c r="D4" s="3">
        <f>D34/1000</f>
        <v>-414.79155674527755</v>
      </c>
      <c r="E4" s="3">
        <f t="shared" ref="E4:T4" si="1">E34/1000</f>
        <v>-410.56394899450521</v>
      </c>
      <c r="F4" s="3">
        <f t="shared" si="1"/>
        <v>-366.51828751765754</v>
      </c>
      <c r="G4" s="3">
        <f t="shared" si="1"/>
        <v>-431.22540492435542</v>
      </c>
      <c r="H4" s="3">
        <f t="shared" si="1"/>
        <v>-449.76761713029344</v>
      </c>
      <c r="I4" s="3">
        <f t="shared" si="1"/>
        <v>-433.19132210959242</v>
      </c>
      <c r="J4" s="3">
        <f t="shared" si="1"/>
        <v>-426.4436534128273</v>
      </c>
      <c r="K4" s="3">
        <f t="shared" si="1"/>
        <v>-424.19423490970377</v>
      </c>
      <c r="L4" s="3">
        <f t="shared" si="1"/>
        <v>-440.71983176360561</v>
      </c>
      <c r="M4" s="3">
        <f t="shared" si="1"/>
        <v>-401.75284013655579</v>
      </c>
      <c r="N4" s="3">
        <f t="shared" si="1"/>
        <v>-390.72811714475574</v>
      </c>
      <c r="O4" s="3">
        <f t="shared" si="1"/>
        <v>-382.31947922881983</v>
      </c>
      <c r="P4" s="3">
        <f t="shared" si="1"/>
        <v>-312.61227163275072</v>
      </c>
      <c r="Q4" s="3">
        <f t="shared" si="1"/>
        <v>-306.9835659788622</v>
      </c>
      <c r="R4" s="3">
        <f t="shared" si="1"/>
        <v>-293.83965788429595</v>
      </c>
      <c r="S4" s="3">
        <f t="shared" si="1"/>
        <v>-291.70824839557855</v>
      </c>
      <c r="T4" s="3">
        <f t="shared" si="1"/>
        <v>-280.8293823636958</v>
      </c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Y4" s="3"/>
      <c r="AZ4" s="2"/>
    </row>
    <row r="5" spans="1:52">
      <c r="A5" t="s">
        <v>68</v>
      </c>
      <c r="B5" s="7" t="s">
        <v>9</v>
      </c>
      <c r="C5" s="7" t="s">
        <v>13</v>
      </c>
      <c r="D5" s="3">
        <f>D38/1000</f>
        <v>41.88553425752837</v>
      </c>
      <c r="E5" s="3">
        <f t="shared" ref="E5:T5" si="2">E38/1000</f>
        <v>42.292718476518083</v>
      </c>
      <c r="F5" s="3">
        <f t="shared" si="2"/>
        <v>46.32595223374323</v>
      </c>
      <c r="G5" s="3">
        <f t="shared" si="2"/>
        <v>47.762401038868859</v>
      </c>
      <c r="H5" s="3">
        <f t="shared" si="2"/>
        <v>46.350099702714964</v>
      </c>
      <c r="I5" s="3">
        <f t="shared" si="2"/>
        <v>36.721831502557045</v>
      </c>
      <c r="J5" s="3">
        <f t="shared" si="2"/>
        <v>36.216021077214357</v>
      </c>
      <c r="K5" s="3">
        <f t="shared" si="2"/>
        <v>36.317395487500129</v>
      </c>
      <c r="L5" s="3">
        <f t="shared" si="2"/>
        <v>38.971129448076482</v>
      </c>
      <c r="M5" s="3">
        <f t="shared" si="2"/>
        <v>36.049323325525144</v>
      </c>
      <c r="N5" s="3">
        <f t="shared" si="2"/>
        <v>30.257074080196023</v>
      </c>
      <c r="O5" s="3">
        <f t="shared" si="2"/>
        <v>25.855203989966096</v>
      </c>
      <c r="P5" s="3">
        <f t="shared" si="2"/>
        <v>27.354586303049683</v>
      </c>
      <c r="Q5" s="3">
        <f t="shared" si="2"/>
        <v>25.495219947681715</v>
      </c>
      <c r="R5" s="3">
        <f t="shared" si="2"/>
        <v>21.646503136414118</v>
      </c>
      <c r="S5" s="3">
        <f t="shared" si="2"/>
        <v>22.368511518801125</v>
      </c>
      <c r="T5" s="3">
        <f t="shared" si="2"/>
        <v>22.646397835763921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Y5" s="3"/>
      <c r="AZ5" s="2"/>
    </row>
    <row r="6" spans="1:52">
      <c r="A6" t="s">
        <v>69</v>
      </c>
      <c r="B6" s="7" t="s">
        <v>9</v>
      </c>
      <c r="C6" s="7" t="s">
        <v>13</v>
      </c>
      <c r="D6" s="3">
        <f>D42/1000</f>
        <v>32.510711081314497</v>
      </c>
      <c r="E6" s="3">
        <f t="shared" ref="E6:T6" si="3">E42/1000</f>
        <v>27.3373261531531</v>
      </c>
      <c r="F6" s="3">
        <f t="shared" si="3"/>
        <v>33.798482800358343</v>
      </c>
      <c r="G6" s="3">
        <f t="shared" si="3"/>
        <v>31.158825769213845</v>
      </c>
      <c r="H6" s="3">
        <f t="shared" si="3"/>
        <v>32.804094809503759</v>
      </c>
      <c r="I6" s="3">
        <f t="shared" si="3"/>
        <v>31.258860638103982</v>
      </c>
      <c r="J6" s="3">
        <f t="shared" si="3"/>
        <v>32.793280383787092</v>
      </c>
      <c r="K6" s="3">
        <f t="shared" si="3"/>
        <v>33.714568394643415</v>
      </c>
      <c r="L6" s="3">
        <f t="shared" si="3"/>
        <v>40.699159635874572</v>
      </c>
      <c r="M6" s="3">
        <f t="shared" si="3"/>
        <v>23.6948825455224</v>
      </c>
      <c r="N6" s="3">
        <f t="shared" si="3"/>
        <v>21.547002939445893</v>
      </c>
      <c r="O6" s="3">
        <f t="shared" si="3"/>
        <v>21.169805021232566</v>
      </c>
      <c r="P6" s="3">
        <f t="shared" si="3"/>
        <v>25.072843377392957</v>
      </c>
      <c r="Q6" s="3">
        <f t="shared" si="3"/>
        <v>16.449560015010768</v>
      </c>
      <c r="R6" s="3">
        <f t="shared" si="3"/>
        <v>18.244112195613358</v>
      </c>
      <c r="S6" s="3">
        <f t="shared" si="3"/>
        <v>18.543529602015916</v>
      </c>
      <c r="T6" s="3">
        <f t="shared" si="3"/>
        <v>24.955053501122915</v>
      </c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Y6" s="3"/>
      <c r="AZ6" s="2"/>
    </row>
    <row r="7" spans="1:52">
      <c r="A7" t="s">
        <v>70</v>
      </c>
      <c r="B7" s="7" t="s">
        <v>9</v>
      </c>
      <c r="C7" s="7" t="s">
        <v>13</v>
      </c>
      <c r="D7" s="3">
        <f t="shared" ref="D7:S7" si="4">D46/1000</f>
        <v>20.342633478671015</v>
      </c>
      <c r="E7" s="3">
        <f t="shared" si="4"/>
        <v>19.996684255048407</v>
      </c>
      <c r="F7" s="3">
        <f t="shared" si="4"/>
        <v>18.814035616085214</v>
      </c>
      <c r="G7" s="3">
        <f t="shared" si="4"/>
        <v>19.020275657201509</v>
      </c>
      <c r="H7" s="3">
        <f t="shared" si="4"/>
        <v>18.775734370687793</v>
      </c>
      <c r="I7" s="3">
        <f t="shared" si="4"/>
        <v>20.203806078134242</v>
      </c>
      <c r="J7" s="3">
        <f t="shared" si="4"/>
        <v>19.884201192290881</v>
      </c>
      <c r="K7" s="3">
        <f t="shared" si="4"/>
        <v>18.65685199674396</v>
      </c>
      <c r="L7" s="3">
        <f t="shared" si="4"/>
        <v>21.154751048074466</v>
      </c>
      <c r="M7" s="3">
        <f t="shared" si="4"/>
        <v>20.163324336491801</v>
      </c>
      <c r="N7" s="3">
        <f t="shared" si="4"/>
        <v>22.092726797231361</v>
      </c>
      <c r="O7" s="3">
        <f t="shared" si="4"/>
        <v>20.224480182398143</v>
      </c>
      <c r="P7" s="3">
        <f t="shared" si="4"/>
        <v>21.688376968527802</v>
      </c>
      <c r="Q7" s="3">
        <f t="shared" si="4"/>
        <v>21.436102788851176</v>
      </c>
      <c r="R7" s="3">
        <f t="shared" si="4"/>
        <v>20.796377300090132</v>
      </c>
      <c r="S7" s="3">
        <f t="shared" si="4"/>
        <v>21.449868926657988</v>
      </c>
      <c r="T7" s="3">
        <f>T46/1000</f>
        <v>21.269811792639</v>
      </c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Y7" s="3"/>
      <c r="AZ7" s="2"/>
    </row>
    <row r="8" spans="1:52">
      <c r="A8" t="s">
        <v>111</v>
      </c>
      <c r="B8" s="7" t="s">
        <v>9</v>
      </c>
      <c r="C8" s="7" t="s">
        <v>13</v>
      </c>
      <c r="D8" s="3">
        <f>(D50+D54+D59)/1000</f>
        <v>33.109972218041314</v>
      </c>
      <c r="E8" s="3">
        <f t="shared" ref="E8:T8" si="5">(E50+E54+E59)/1000</f>
        <v>32.212374070467909</v>
      </c>
      <c r="F8" s="3">
        <f t="shared" si="5"/>
        <v>32.992411150895968</v>
      </c>
      <c r="G8" s="3">
        <f t="shared" si="5"/>
        <v>32.78434190794615</v>
      </c>
      <c r="H8" s="3">
        <f t="shared" si="5"/>
        <v>33.007915373243584</v>
      </c>
      <c r="I8" s="3">
        <f t="shared" si="5"/>
        <v>29.589636536777842</v>
      </c>
      <c r="J8" s="3">
        <f t="shared" si="5"/>
        <v>26.990698984333982</v>
      </c>
      <c r="K8" s="3">
        <f t="shared" si="5"/>
        <v>25.943854446788606</v>
      </c>
      <c r="L8" s="3">
        <f t="shared" si="5"/>
        <v>27.199830475603658</v>
      </c>
      <c r="M8" s="3">
        <f t="shared" si="5"/>
        <v>28.34063819573171</v>
      </c>
      <c r="N8" s="3">
        <f t="shared" si="5"/>
        <v>29.182521966706076</v>
      </c>
      <c r="O8" s="3">
        <f t="shared" si="5"/>
        <v>33.107437231689609</v>
      </c>
      <c r="P8" s="3">
        <f t="shared" si="5"/>
        <v>29.177322867486975</v>
      </c>
      <c r="Q8" s="3">
        <f t="shared" si="5"/>
        <v>30.620808792356708</v>
      </c>
      <c r="R8" s="3">
        <f t="shared" si="5"/>
        <v>28.751614899110571</v>
      </c>
      <c r="S8" s="3">
        <f t="shared" si="5"/>
        <v>28.852847227459577</v>
      </c>
      <c r="T8" s="3">
        <f t="shared" si="5"/>
        <v>28.569496485855588</v>
      </c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Y8" s="3"/>
      <c r="AZ8" s="2"/>
    </row>
    <row r="9" spans="1:52">
      <c r="A9" t="s">
        <v>97</v>
      </c>
      <c r="B9" s="7" t="s">
        <v>9</v>
      </c>
      <c r="C9" s="7" t="s">
        <v>13</v>
      </c>
      <c r="D9" s="3">
        <f>D58/1000</f>
        <v>-56.082216015799972</v>
      </c>
      <c r="E9" s="3">
        <f t="shared" ref="E9:T9" si="6">E58/1000</f>
        <v>-63.462510299974412</v>
      </c>
      <c r="F9" s="3">
        <f t="shared" si="6"/>
        <v>-66.939588688701804</v>
      </c>
      <c r="G9" s="3">
        <f t="shared" si="6"/>
        <v>-44.678084003251442</v>
      </c>
      <c r="H9" s="3">
        <f t="shared" si="6"/>
        <v>-29.13136299960054</v>
      </c>
      <c r="I9" s="3">
        <f t="shared" si="6"/>
        <v>-38.111944843108319</v>
      </c>
      <c r="J9" s="3">
        <f t="shared" si="6"/>
        <v>-37.63463003817072</v>
      </c>
      <c r="K9" s="3">
        <f t="shared" si="6"/>
        <v>-33.982435433909771</v>
      </c>
      <c r="L9" s="3">
        <f t="shared" si="6"/>
        <v>-30.831109424066266</v>
      </c>
      <c r="M9" s="3">
        <f t="shared" si="6"/>
        <v>-35.207475832357282</v>
      </c>
      <c r="N9" s="3">
        <f t="shared" si="6"/>
        <v>-35.686187116030148</v>
      </c>
      <c r="O9" s="3">
        <f t="shared" si="6"/>
        <v>-37.417026497957011</v>
      </c>
      <c r="P9" s="3">
        <f t="shared" si="6"/>
        <v>-41.385805594152558</v>
      </c>
      <c r="Q9" s="3">
        <f t="shared" si="6"/>
        <v>-45.644940731314648</v>
      </c>
      <c r="R9" s="3">
        <f t="shared" si="6"/>
        <v>-43.729649525066449</v>
      </c>
      <c r="S9" s="3">
        <f t="shared" si="6"/>
        <v>-41.337241962761262</v>
      </c>
      <c r="T9" s="3">
        <f t="shared" si="6"/>
        <v>-47.390090019634279</v>
      </c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Y9" s="3"/>
      <c r="AZ9" s="2"/>
    </row>
    <row r="10" spans="1:52">
      <c r="A10" t="s">
        <v>6</v>
      </c>
      <c r="B10" s="7" t="s">
        <v>109</v>
      </c>
      <c r="C10" s="7" t="s">
        <v>13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>
        <v>-310</v>
      </c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</row>
    <row r="11" spans="1:52">
      <c r="A11" t="s">
        <v>7</v>
      </c>
      <c r="B11" s="47" t="s">
        <v>105</v>
      </c>
      <c r="C11" s="7" t="s">
        <v>13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W11" s="3">
        <v>-400</v>
      </c>
      <c r="AZ11" s="2"/>
    </row>
    <row r="12" spans="1:52">
      <c r="A12" t="s">
        <v>10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>
        <v>-229.98466641727217</v>
      </c>
      <c r="U12" s="3">
        <v>-238.87525903757526</v>
      </c>
      <c r="V12" s="3">
        <v>-247.76585165787836</v>
      </c>
      <c r="W12" s="3">
        <v>-256.65644427818143</v>
      </c>
      <c r="X12" s="3">
        <v>-265.54703689848452</v>
      </c>
      <c r="Y12" s="3">
        <v>-274.43762951878762</v>
      </c>
      <c r="Z12" s="3">
        <v>-283.32822213909071</v>
      </c>
      <c r="AA12" s="3">
        <v>-292.21881475939381</v>
      </c>
      <c r="AB12" s="3">
        <v>-301.1094073796969</v>
      </c>
      <c r="AC12" s="3">
        <v>-310</v>
      </c>
      <c r="AD12" s="3">
        <v>-314.5</v>
      </c>
      <c r="AE12" s="3">
        <v>-319</v>
      </c>
      <c r="AF12" s="3">
        <v>-323.5</v>
      </c>
      <c r="AG12" s="3">
        <v>-328</v>
      </c>
      <c r="AH12" s="3">
        <v>-332.5</v>
      </c>
      <c r="AI12" s="3">
        <v>-337</v>
      </c>
      <c r="AJ12" s="3">
        <v>-341.5</v>
      </c>
      <c r="AK12" s="3">
        <v>-346</v>
      </c>
      <c r="AL12" s="3">
        <v>-350.5</v>
      </c>
      <c r="AM12" s="3">
        <v>-355</v>
      </c>
      <c r="AN12" s="3">
        <v>-359.5</v>
      </c>
      <c r="AO12" s="3">
        <v>-364</v>
      </c>
      <c r="AP12" s="3">
        <v>-368.5</v>
      </c>
      <c r="AQ12" s="3">
        <v>-373</v>
      </c>
      <c r="AR12" s="3">
        <v>-377.5</v>
      </c>
      <c r="AS12" s="3">
        <v>-382</v>
      </c>
      <c r="AT12" s="3">
        <v>-386.5</v>
      </c>
      <c r="AU12" s="3">
        <v>-391</v>
      </c>
      <c r="AV12" s="3">
        <v>-395.5</v>
      </c>
      <c r="AW12" s="3">
        <v>-400</v>
      </c>
      <c r="AZ12" s="2"/>
    </row>
    <row r="13" spans="1:52">
      <c r="A13" t="s">
        <v>307</v>
      </c>
      <c r="D13" s="3"/>
      <c r="E13" s="3"/>
      <c r="F13" s="3"/>
      <c r="G13" s="3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3"/>
      <c r="T13" s="3"/>
      <c r="U13" s="3"/>
      <c r="V13" s="3"/>
      <c r="W13" s="3"/>
      <c r="X13" s="3"/>
      <c r="Y13" s="3"/>
      <c r="Z13" s="3"/>
      <c r="AA13" s="3"/>
      <c r="AB13" s="3"/>
      <c r="AC13" s="3">
        <f>[1]LULUCF!AO$2</f>
        <v>-293.89269999999999</v>
      </c>
      <c r="AD13" s="3"/>
      <c r="AE13" s="3"/>
      <c r="AF13" s="3"/>
      <c r="AG13" s="3"/>
      <c r="AH13" s="3"/>
      <c r="AI13" s="3"/>
      <c r="AJ13" s="3"/>
      <c r="AK13" s="3"/>
      <c r="AL13" s="3"/>
      <c r="AM13" s="3">
        <f>[1]LULUCF!AY$2</f>
        <v>-322.87400000000002</v>
      </c>
      <c r="AN13" s="3"/>
      <c r="AO13" s="3"/>
      <c r="AP13" s="3"/>
      <c r="AQ13" s="3"/>
      <c r="AR13" s="3"/>
      <c r="AS13" s="3"/>
      <c r="AT13" s="3"/>
      <c r="AU13" s="3"/>
      <c r="AV13" s="3"/>
      <c r="AW13" s="3">
        <f>[1]LULUCF!BI$2</f>
        <v>-312.07569999999998</v>
      </c>
      <c r="AZ13" s="2"/>
    </row>
    <row r="14" spans="1:52">
      <c r="D14" s="3" t="s">
        <v>258</v>
      </c>
      <c r="E14" s="3" t="s">
        <v>259</v>
      </c>
      <c r="F14" s="3"/>
      <c r="G14" s="3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Z14" s="2"/>
    </row>
    <row r="15" spans="1:52">
      <c r="A15" t="s">
        <v>237</v>
      </c>
      <c r="D15" s="3">
        <f>(U3-D3)/17</f>
        <v>5.7848345153700604</v>
      </c>
      <c r="E15" s="3">
        <f>(T4-D4)/15</f>
        <v>8.9308116254387837</v>
      </c>
      <c r="F15" s="3"/>
      <c r="G15" s="3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Z15" s="2"/>
    </row>
    <row r="16" spans="1:52">
      <c r="A16" t="s">
        <v>110</v>
      </c>
      <c r="B16" s="7" t="s">
        <v>11</v>
      </c>
      <c r="C16" s="7" t="s">
        <v>13</v>
      </c>
      <c r="D16" s="3">
        <f>(T3-P3)/4</f>
        <v>4.952806190767653</v>
      </c>
      <c r="E16" s="1">
        <f>(T4-P4)/4</f>
        <v>7.9457223172637299</v>
      </c>
      <c r="H16" s="49"/>
      <c r="I16" s="49"/>
      <c r="J16" s="49"/>
      <c r="K16" s="49"/>
      <c r="L16" s="49"/>
      <c r="M16" s="49"/>
      <c r="N16" s="49"/>
      <c r="O16" s="48"/>
      <c r="P16" s="48"/>
      <c r="Q16" s="48"/>
      <c r="R16" s="48"/>
    </row>
    <row r="17" spans="1:49">
      <c r="A17" t="s">
        <v>238</v>
      </c>
      <c r="D17" s="3">
        <f>(U3-Q3)/4</f>
        <v>3.5054378377689375</v>
      </c>
      <c r="H17" s="49"/>
      <c r="I17" s="49"/>
      <c r="J17" s="49"/>
      <c r="K17" s="49"/>
      <c r="L17" s="49"/>
      <c r="M17" s="49"/>
      <c r="N17" s="49"/>
      <c r="O17" s="48"/>
      <c r="P17" s="48"/>
      <c r="Q17" s="48"/>
      <c r="R17" s="48"/>
    </row>
    <row r="18" spans="1:49">
      <c r="A18" t="s">
        <v>5</v>
      </c>
      <c r="B18" s="7" t="s">
        <v>11</v>
      </c>
      <c r="C18" s="7" t="s">
        <v>13</v>
      </c>
      <c r="D18" s="1">
        <f>(AC10-T3)/9</f>
        <v>-8.8905926203030887</v>
      </c>
      <c r="H18" s="49"/>
      <c r="I18" s="49"/>
      <c r="J18" s="49"/>
      <c r="K18" s="49"/>
      <c r="L18" s="49"/>
      <c r="M18" s="49"/>
      <c r="N18" s="49"/>
      <c r="O18" s="48"/>
      <c r="P18" s="48"/>
      <c r="Q18" s="48"/>
      <c r="R18" s="48"/>
    </row>
    <row r="19" spans="1:49">
      <c r="A19" t="s">
        <v>239</v>
      </c>
      <c r="D19" s="1">
        <f>(AC10-U3)/8</f>
        <v>-8.2790888287499982</v>
      </c>
      <c r="H19" s="49"/>
      <c r="I19" s="49"/>
      <c r="J19" s="49"/>
      <c r="K19" s="49"/>
      <c r="L19" s="49"/>
      <c r="M19" s="49"/>
      <c r="N19" s="49"/>
      <c r="O19" s="48"/>
      <c r="P19" s="48"/>
      <c r="Q19" s="48"/>
      <c r="R19" s="48"/>
    </row>
    <row r="20" spans="1:49">
      <c r="A20" t="s">
        <v>232</v>
      </c>
      <c r="B20" s="7" t="s">
        <v>11</v>
      </c>
      <c r="C20" s="7" t="s">
        <v>13</v>
      </c>
      <c r="D20" s="39">
        <f>AE12-AD12</f>
        <v>-4.5</v>
      </c>
      <c r="H20" s="49"/>
      <c r="I20" s="49"/>
      <c r="J20" s="49"/>
      <c r="K20" s="49"/>
      <c r="L20" s="49"/>
      <c r="M20" s="49"/>
      <c r="N20" s="49"/>
      <c r="O20" s="48"/>
      <c r="P20" s="48"/>
      <c r="Q20" s="48"/>
      <c r="R20" s="48"/>
      <c r="AV20" s="3"/>
    </row>
    <row r="21" spans="1:49">
      <c r="D21" s="1"/>
      <c r="H21" s="49"/>
      <c r="I21" s="49"/>
      <c r="J21" s="49"/>
      <c r="K21" s="49"/>
      <c r="L21" s="49"/>
      <c r="M21" s="49"/>
      <c r="N21" s="49"/>
      <c r="O21" s="48"/>
      <c r="P21" s="48"/>
      <c r="Q21" s="48"/>
      <c r="R21" s="48"/>
      <c r="AV21" s="3"/>
    </row>
    <row r="22" spans="1:49">
      <c r="D22" s="1"/>
      <c r="H22" s="49"/>
      <c r="I22" s="49"/>
      <c r="J22" s="49"/>
      <c r="K22" s="49"/>
      <c r="L22" s="49"/>
      <c r="M22" s="49"/>
      <c r="N22" s="49"/>
      <c r="O22" s="48"/>
      <c r="P22" s="48"/>
      <c r="Q22" s="48"/>
      <c r="R22" s="48"/>
      <c r="AV22" s="3"/>
    </row>
    <row r="23" spans="1:49">
      <c r="D23" s="1"/>
      <c r="H23" s="49"/>
      <c r="I23" s="49"/>
      <c r="J23" s="49"/>
      <c r="K23" s="49"/>
      <c r="L23" s="49"/>
      <c r="M23" s="49"/>
      <c r="N23" s="49"/>
      <c r="O23" s="48"/>
      <c r="P23" s="48"/>
      <c r="Q23" s="48"/>
      <c r="R23" s="48"/>
      <c r="AV23" s="3"/>
    </row>
    <row r="24" spans="1:49">
      <c r="D24" s="1"/>
      <c r="H24" s="49"/>
      <c r="I24" s="49"/>
      <c r="J24" s="49"/>
      <c r="K24" s="49"/>
      <c r="L24" s="49"/>
      <c r="M24" s="49"/>
      <c r="N24" s="49"/>
      <c r="O24" s="48"/>
      <c r="P24" s="48"/>
      <c r="Q24" s="48"/>
      <c r="R24" s="48"/>
      <c r="AV24" s="3"/>
    </row>
    <row r="25" spans="1:49">
      <c r="D25" s="1"/>
      <c r="H25" s="49"/>
      <c r="I25" s="49"/>
      <c r="J25" s="49"/>
      <c r="K25" s="49"/>
      <c r="L25" s="49"/>
      <c r="M25" s="49"/>
      <c r="N25" s="49"/>
      <c r="O25" s="48"/>
      <c r="P25" s="48"/>
      <c r="Q25" s="48"/>
      <c r="R25" s="48"/>
      <c r="V25" s="3"/>
      <c r="AV25" s="3"/>
    </row>
    <row r="26" spans="1:49">
      <c r="D26" s="1"/>
      <c r="H26" s="49"/>
      <c r="I26" s="49"/>
      <c r="J26" s="49"/>
      <c r="K26" s="49"/>
      <c r="L26" s="49"/>
      <c r="M26" s="49"/>
      <c r="N26" s="49"/>
      <c r="O26" s="48"/>
      <c r="P26" s="48"/>
      <c r="Q26" s="48"/>
      <c r="R26" s="48"/>
      <c r="S26" s="3"/>
      <c r="AV26" s="3"/>
    </row>
    <row r="27" spans="1:49">
      <c r="D27" s="1"/>
      <c r="H27" s="49"/>
      <c r="I27" s="49"/>
      <c r="J27" s="49"/>
      <c r="K27" s="49"/>
      <c r="L27" s="49"/>
      <c r="M27" s="49"/>
      <c r="N27" s="49"/>
      <c r="O27" s="48"/>
      <c r="P27" s="48"/>
      <c r="Q27" s="48"/>
      <c r="R27" s="48"/>
      <c r="AV27" s="3"/>
    </row>
    <row r="28" spans="1:49">
      <c r="D28" s="1"/>
      <c r="E28" s="1"/>
      <c r="F28" s="1"/>
      <c r="G28" s="1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1"/>
      <c r="T28" s="1"/>
      <c r="AV28" s="3"/>
    </row>
    <row r="29" spans="1:49">
      <c r="D29" s="1"/>
      <c r="H29" s="49"/>
      <c r="I29" s="49"/>
      <c r="J29" s="49"/>
      <c r="K29" s="49"/>
      <c r="L29" s="49"/>
      <c r="M29" s="49"/>
      <c r="N29" s="49"/>
      <c r="O29" s="48"/>
      <c r="P29" s="48"/>
      <c r="Q29" s="48"/>
      <c r="R29" s="48"/>
      <c r="AV29" s="3"/>
    </row>
    <row r="30" spans="1:49"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</row>
    <row r="31" spans="1:49">
      <c r="A31" s="4" t="s">
        <v>72</v>
      </c>
      <c r="B31" s="6"/>
      <c r="C31" s="6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</row>
    <row r="32" spans="1:49">
      <c r="B32" s="7" t="s">
        <v>8</v>
      </c>
      <c r="C32" s="7" t="s">
        <v>12</v>
      </c>
      <c r="D32" t="s">
        <v>0</v>
      </c>
      <c r="I32" t="s">
        <v>1</v>
      </c>
      <c r="N32" t="s">
        <v>2</v>
      </c>
      <c r="S32" t="s">
        <v>3</v>
      </c>
      <c r="X32">
        <v>2025</v>
      </c>
      <c r="AC32">
        <v>2030</v>
      </c>
      <c r="AH32">
        <v>2035</v>
      </c>
      <c r="AM32">
        <v>2040</v>
      </c>
      <c r="AR32">
        <v>2045</v>
      </c>
      <c r="AW32">
        <v>2050</v>
      </c>
    </row>
    <row r="33" spans="1:34">
      <c r="A33" s="28" t="s">
        <v>37</v>
      </c>
      <c r="B33" s="29" t="s">
        <v>9</v>
      </c>
      <c r="C33" s="29" t="s">
        <v>64</v>
      </c>
      <c r="D33" s="34">
        <v>-342109.47613129107</v>
      </c>
      <c r="E33" s="34">
        <v>-351296.38360007002</v>
      </c>
      <c r="F33" s="34">
        <v>-300617.28649736149</v>
      </c>
      <c r="G33" s="34">
        <v>-344262.77168343693</v>
      </c>
      <c r="H33" s="34">
        <v>-347022.32862364396</v>
      </c>
      <c r="I33" s="34">
        <v>-352590.1909498173</v>
      </c>
      <c r="J33" s="34">
        <v>-347273.80043837766</v>
      </c>
      <c r="K33" s="34">
        <v>-342633.59898826835</v>
      </c>
      <c r="L33" s="34">
        <v>-342604.90517123241</v>
      </c>
      <c r="M33" s="34">
        <v>-327802.72088059952</v>
      </c>
      <c r="N33" s="34">
        <v>-322423.83901204815</v>
      </c>
      <c r="O33" s="34">
        <v>-318486.52483153617</v>
      </c>
      <c r="P33" s="34">
        <v>-249795.89118034282</v>
      </c>
      <c r="Q33" s="34">
        <v>-257789.04072107578</v>
      </c>
      <c r="R33" s="34">
        <v>-247317.62364121841</v>
      </c>
      <c r="S33" s="34">
        <v>-241038.05792704638</v>
      </c>
      <c r="T33" s="34">
        <v>-229984.66641727221</v>
      </c>
    </row>
    <row r="34" spans="1:34" outlineLevel="1">
      <c r="A34" s="28" t="s">
        <v>38</v>
      </c>
      <c r="B34" s="29" t="s">
        <v>9</v>
      </c>
      <c r="C34" s="29" t="s">
        <v>64</v>
      </c>
      <c r="D34" s="34">
        <v>-414791.55674527754</v>
      </c>
      <c r="E34" s="34">
        <v>-410563.94899450522</v>
      </c>
      <c r="F34" s="34">
        <v>-366518.28751765756</v>
      </c>
      <c r="G34" s="34">
        <v>-431225.40492435539</v>
      </c>
      <c r="H34" s="34">
        <v>-449767.61713029345</v>
      </c>
      <c r="I34" s="34">
        <v>-433191.32210959244</v>
      </c>
      <c r="J34" s="34">
        <v>-426443.65341282729</v>
      </c>
      <c r="K34" s="34">
        <v>-424194.23490970378</v>
      </c>
      <c r="L34" s="34">
        <v>-440719.83176360559</v>
      </c>
      <c r="M34" s="34">
        <v>-401752.84013655578</v>
      </c>
      <c r="N34" s="34">
        <v>-390728.11714475573</v>
      </c>
      <c r="O34" s="34">
        <v>-382319.47922881984</v>
      </c>
      <c r="P34" s="34">
        <v>-312612.27163275069</v>
      </c>
      <c r="Q34" s="34">
        <v>-306983.56597886223</v>
      </c>
      <c r="R34" s="34">
        <v>-293839.65788429597</v>
      </c>
      <c r="S34" s="34">
        <v>-291708.24839557853</v>
      </c>
      <c r="T34" s="34">
        <v>-280829.38236369583</v>
      </c>
      <c r="AH34">
        <v>0</v>
      </c>
    </row>
    <row r="35" spans="1:34" outlineLevel="2">
      <c r="A35" s="28" t="s">
        <v>39</v>
      </c>
      <c r="B35" s="29" t="s">
        <v>9</v>
      </c>
      <c r="C35" s="29" t="s">
        <v>64</v>
      </c>
      <c r="D35" s="34">
        <v>6164.5345703394014</v>
      </c>
      <c r="E35" s="34">
        <v>6134.6956294982137</v>
      </c>
      <c r="F35" s="34">
        <v>6093.778749273275</v>
      </c>
      <c r="G35" s="34">
        <v>5995.661286702285</v>
      </c>
      <c r="H35" s="34">
        <v>5923.1604405946164</v>
      </c>
      <c r="I35" s="34">
        <v>5876.0253310441112</v>
      </c>
      <c r="J35" s="34">
        <v>5774.7116437485656</v>
      </c>
      <c r="K35" s="34">
        <v>5697.0937377850505</v>
      </c>
      <c r="L35" s="34">
        <v>5674.6291426326607</v>
      </c>
      <c r="M35" s="34">
        <v>5682.7151748260694</v>
      </c>
      <c r="N35" s="34">
        <v>5711.3328387754418</v>
      </c>
      <c r="O35" s="34">
        <v>5731.5820490997658</v>
      </c>
      <c r="P35" s="34">
        <v>5822.2114993106106</v>
      </c>
      <c r="Q35" s="34">
        <v>5942.1407901549419</v>
      </c>
      <c r="R35" s="34">
        <v>5986.9322928029633</v>
      </c>
      <c r="S35" s="34">
        <v>5974.1735785106721</v>
      </c>
      <c r="T35" s="34">
        <v>5998.4521590321456</v>
      </c>
    </row>
    <row r="36" spans="1:34" outlineLevel="2">
      <c r="A36" s="28" t="s">
        <v>40</v>
      </c>
      <c r="B36" s="29" t="s">
        <v>9</v>
      </c>
      <c r="C36" s="29" t="s">
        <v>64</v>
      </c>
      <c r="D36" s="34">
        <v>-367661.56640892243</v>
      </c>
      <c r="E36" s="34">
        <v>-361722.7594501393</v>
      </c>
      <c r="F36" s="34">
        <v>-320959.78944412892</v>
      </c>
      <c r="G36" s="34">
        <v>-380485.5054282723</v>
      </c>
      <c r="H36" s="34">
        <v>-398817.46272800351</v>
      </c>
      <c r="I36" s="34">
        <v>-382951.34208545467</v>
      </c>
      <c r="J36" s="34">
        <v>-378357.97998890426</v>
      </c>
      <c r="K36" s="34">
        <v>-379233.63787123223</v>
      </c>
      <c r="L36" s="34">
        <v>-395006.85321123659</v>
      </c>
      <c r="M36" s="34">
        <v>-357531.23044592177</v>
      </c>
      <c r="N36" s="34">
        <v>-346994.36358215718</v>
      </c>
      <c r="O36" s="34">
        <v>-340275.66336927383</v>
      </c>
      <c r="P36" s="34">
        <v>-275499.83372500777</v>
      </c>
      <c r="Q36" s="34">
        <v>-268577.79229651758</v>
      </c>
      <c r="R36" s="34">
        <v>-257172.33973849518</v>
      </c>
      <c r="S36" s="34">
        <v>-254999.57710778943</v>
      </c>
      <c r="T36" s="34">
        <v>-245522.85702029805</v>
      </c>
    </row>
    <row r="37" spans="1:34" outlineLevel="2">
      <c r="A37" s="28" t="s">
        <v>41</v>
      </c>
      <c r="B37" s="29" t="s">
        <v>9</v>
      </c>
      <c r="C37" s="29" t="s">
        <v>64</v>
      </c>
      <c r="D37" s="34">
        <v>-53294.524906694518</v>
      </c>
      <c r="E37" s="34">
        <v>-54975.885173864233</v>
      </c>
      <c r="F37" s="34">
        <v>-51652.276822801963</v>
      </c>
      <c r="G37" s="34">
        <v>-56735.560782785324</v>
      </c>
      <c r="H37" s="34">
        <v>-56873.314842884538</v>
      </c>
      <c r="I37" s="34">
        <v>-56116.005355181733</v>
      </c>
      <c r="J37" s="34">
        <v>-53860.385067671596</v>
      </c>
      <c r="K37" s="34">
        <v>-50657.690776256677</v>
      </c>
      <c r="L37" s="34">
        <v>-51387.607695001701</v>
      </c>
      <c r="M37" s="34">
        <v>-49904.32486546009</v>
      </c>
      <c r="N37" s="34">
        <v>-49445.086401373985</v>
      </c>
      <c r="O37" s="34">
        <v>-47775.397908645726</v>
      </c>
      <c r="P37" s="34">
        <v>-42934.649407053563</v>
      </c>
      <c r="Q37" s="34">
        <v>-44347.914472499571</v>
      </c>
      <c r="R37" s="34">
        <v>-42654.250438603805</v>
      </c>
      <c r="S37" s="34">
        <v>-42682.844866299791</v>
      </c>
      <c r="T37" s="34">
        <v>-41304.977502429967</v>
      </c>
    </row>
    <row r="38" spans="1:34" outlineLevel="1">
      <c r="A38" s="28" t="s">
        <v>42</v>
      </c>
      <c r="B38" s="29" t="s">
        <v>9</v>
      </c>
      <c r="C38" s="29" t="s">
        <v>64</v>
      </c>
      <c r="D38" s="34">
        <v>41885.534257528372</v>
      </c>
      <c r="E38" s="34">
        <v>42292.718476518079</v>
      </c>
      <c r="F38" s="34">
        <v>46325.952233743228</v>
      </c>
      <c r="G38" s="34">
        <v>47762.401038868862</v>
      </c>
      <c r="H38" s="34">
        <v>46350.099702714964</v>
      </c>
      <c r="I38" s="34">
        <v>36721.831502557048</v>
      </c>
      <c r="J38" s="34">
        <v>36216.021077214355</v>
      </c>
      <c r="K38" s="34">
        <v>36317.395487500129</v>
      </c>
      <c r="L38" s="34">
        <v>38971.129448076485</v>
      </c>
      <c r="M38" s="34">
        <v>36049.323325525147</v>
      </c>
      <c r="N38" s="34">
        <v>30257.074080196024</v>
      </c>
      <c r="O38" s="34">
        <v>25855.203989966096</v>
      </c>
      <c r="P38" s="34">
        <v>27354.586303049684</v>
      </c>
      <c r="Q38" s="34">
        <v>25495.219947681715</v>
      </c>
      <c r="R38" s="34">
        <v>21646.503136414118</v>
      </c>
      <c r="S38" s="34">
        <v>22368.511518801126</v>
      </c>
      <c r="T38" s="34">
        <v>22646.397835763921</v>
      </c>
    </row>
    <row r="39" spans="1:34" outlineLevel="2">
      <c r="A39" s="28" t="s">
        <v>43</v>
      </c>
      <c r="B39" s="29" t="s">
        <v>9</v>
      </c>
      <c r="C39" s="29" t="s">
        <v>64</v>
      </c>
      <c r="D39" s="34">
        <v>1651.8694219111619</v>
      </c>
      <c r="E39" s="34">
        <v>1694.8860942238591</v>
      </c>
      <c r="F39" s="34">
        <v>1744.0836267663769</v>
      </c>
      <c r="G39" s="34">
        <v>1789.2600693820818</v>
      </c>
      <c r="H39" s="34">
        <v>1818.8711048899363</v>
      </c>
      <c r="I39" s="34">
        <v>1765.6166365411204</v>
      </c>
      <c r="J39" s="34">
        <v>1813.604715562393</v>
      </c>
      <c r="K39" s="34">
        <v>1763.0616494467295</v>
      </c>
      <c r="L39" s="34">
        <v>1750.7772697542591</v>
      </c>
      <c r="M39" s="34">
        <v>1769.088110587521</v>
      </c>
      <c r="N39" s="34">
        <v>1751.1560374972576</v>
      </c>
      <c r="O39" s="34">
        <v>1752.7805493746639</v>
      </c>
      <c r="P39" s="34">
        <v>1768.5360401853513</v>
      </c>
      <c r="Q39" s="34">
        <v>1763.6206260616452</v>
      </c>
      <c r="R39" s="34">
        <v>1758.0616424752184</v>
      </c>
      <c r="S39" s="34">
        <v>1754.9709336004946</v>
      </c>
      <c r="T39" s="34">
        <v>1773.9593397358506</v>
      </c>
    </row>
    <row r="40" spans="1:34" outlineLevel="2">
      <c r="A40" s="28" t="s">
        <v>44</v>
      </c>
      <c r="B40" s="29" t="s">
        <v>9</v>
      </c>
      <c r="C40" s="29" t="s">
        <v>64</v>
      </c>
      <c r="D40" s="34">
        <v>12655.326703583994</v>
      </c>
      <c r="E40" s="34">
        <v>13196.99565251664</v>
      </c>
      <c r="F40" s="34">
        <v>17513.82657890693</v>
      </c>
      <c r="G40" s="34">
        <v>18553.757192474834</v>
      </c>
      <c r="H40" s="34">
        <v>18278.440154418691</v>
      </c>
      <c r="I40" s="34">
        <v>10101.064921339776</v>
      </c>
      <c r="J40" s="34">
        <v>10615.391835411872</v>
      </c>
      <c r="K40" s="34">
        <v>11426.705983545129</v>
      </c>
      <c r="L40" s="34">
        <v>13475.571736285327</v>
      </c>
      <c r="M40" s="34">
        <v>13976.749254110946</v>
      </c>
      <c r="N40" s="34">
        <v>7172.1111942624229</v>
      </c>
      <c r="O40" s="34">
        <v>4741.9901896440515</v>
      </c>
      <c r="P40" s="34">
        <v>6168.3837793795192</v>
      </c>
      <c r="Q40" s="34">
        <v>5440.6095412855557</v>
      </c>
      <c r="R40" s="34">
        <v>3091.2412273772138</v>
      </c>
      <c r="S40" s="34">
        <v>5303.8135678460276</v>
      </c>
      <c r="T40" s="34">
        <v>5160.828391335689</v>
      </c>
    </row>
    <row r="41" spans="1:34" outlineLevel="2">
      <c r="A41" s="28" t="s">
        <v>45</v>
      </c>
      <c r="B41" s="29" t="s">
        <v>9</v>
      </c>
      <c r="C41" s="29" t="s">
        <v>64</v>
      </c>
      <c r="D41" s="34">
        <v>27578.338132033212</v>
      </c>
      <c r="E41" s="34">
        <v>27400.83672977758</v>
      </c>
      <c r="F41" s="34">
        <v>27068.042028069925</v>
      </c>
      <c r="G41" s="34">
        <v>27419.383777011953</v>
      </c>
      <c r="H41" s="34">
        <v>26252.788443406331</v>
      </c>
      <c r="I41" s="34">
        <v>24855.149944676148</v>
      </c>
      <c r="J41" s="34">
        <v>23787.024526240089</v>
      </c>
      <c r="K41" s="34">
        <v>23127.627854508275</v>
      </c>
      <c r="L41" s="34">
        <v>23744.780442036899</v>
      </c>
      <c r="M41" s="34">
        <v>20303.485960826685</v>
      </c>
      <c r="N41" s="34">
        <v>21333.806848436339</v>
      </c>
      <c r="O41" s="34">
        <v>19360.433250947375</v>
      </c>
      <c r="P41" s="34">
        <v>19417.666483484816</v>
      </c>
      <c r="Q41" s="34">
        <v>18290.989780334516</v>
      </c>
      <c r="R41" s="34">
        <v>16797.200266561682</v>
      </c>
      <c r="S41" s="34">
        <v>15309.727017354602</v>
      </c>
      <c r="T41" s="34">
        <v>15711.610104692383</v>
      </c>
    </row>
    <row r="42" spans="1:34" outlineLevel="1">
      <c r="A42" s="28" t="s">
        <v>46</v>
      </c>
      <c r="B42" s="29" t="s">
        <v>9</v>
      </c>
      <c r="C42" s="29" t="s">
        <v>64</v>
      </c>
      <c r="D42" s="34">
        <v>32510.711081314494</v>
      </c>
      <c r="E42" s="34">
        <v>27337.326153153099</v>
      </c>
      <c r="F42" s="34">
        <v>33798.482800358346</v>
      </c>
      <c r="G42" s="34">
        <v>31158.825769213843</v>
      </c>
      <c r="H42" s="34">
        <v>32804.09480950376</v>
      </c>
      <c r="I42" s="34">
        <v>31258.860638103983</v>
      </c>
      <c r="J42" s="34">
        <v>32793.280383787089</v>
      </c>
      <c r="K42" s="34">
        <v>33714.568394643415</v>
      </c>
      <c r="L42" s="34">
        <v>40699.159635874574</v>
      </c>
      <c r="M42" s="34">
        <v>23694.8825455224</v>
      </c>
      <c r="N42" s="34">
        <v>21547.002939445894</v>
      </c>
      <c r="O42" s="34">
        <v>21169.805021232565</v>
      </c>
      <c r="P42" s="34">
        <v>25072.843377392957</v>
      </c>
      <c r="Q42" s="34">
        <v>16449.560015010768</v>
      </c>
      <c r="R42" s="34">
        <v>18244.112195613357</v>
      </c>
      <c r="S42" s="34">
        <v>18543.529602015915</v>
      </c>
      <c r="T42" s="34">
        <v>24955.053501122915</v>
      </c>
    </row>
    <row r="43" spans="1:34" outlineLevel="2">
      <c r="A43" s="28" t="s">
        <v>47</v>
      </c>
      <c r="B43" s="29" t="s">
        <v>9</v>
      </c>
      <c r="C43" s="29" t="s">
        <v>64</v>
      </c>
      <c r="D43" s="34">
        <v>2451.1525787797391</v>
      </c>
      <c r="E43" s="34">
        <v>2459.2735929903697</v>
      </c>
      <c r="F43" s="34">
        <v>2471.879519400808</v>
      </c>
      <c r="G43" s="34">
        <v>2483.3086952829376</v>
      </c>
      <c r="H43" s="34">
        <v>2488.7692973894409</v>
      </c>
      <c r="I43" s="34">
        <v>2560.1236582900951</v>
      </c>
      <c r="J43" s="34">
        <v>2513.133354962119</v>
      </c>
      <c r="K43" s="34">
        <v>2514.4881456992071</v>
      </c>
      <c r="L43" s="34">
        <v>2516.0063503756037</v>
      </c>
      <c r="M43" s="34">
        <v>2514.5550755180284</v>
      </c>
      <c r="N43" s="34">
        <v>2534.1426387249444</v>
      </c>
      <c r="O43" s="34">
        <v>2539.9282913925977</v>
      </c>
      <c r="P43" s="34">
        <v>2556.3403762254425</v>
      </c>
      <c r="Q43" s="34">
        <v>2582.0535708435077</v>
      </c>
      <c r="R43" s="34">
        <v>2571.9701662429802</v>
      </c>
      <c r="S43" s="34">
        <v>2604.8195870911718</v>
      </c>
      <c r="T43" s="34">
        <v>2558.8338601921414</v>
      </c>
    </row>
    <row r="44" spans="1:34" outlineLevel="2">
      <c r="A44" s="28" t="s">
        <v>48</v>
      </c>
      <c r="B44" s="29" t="s">
        <v>9</v>
      </c>
      <c r="C44" s="29" t="s">
        <v>64</v>
      </c>
      <c r="D44" s="34">
        <v>36858.535311553955</v>
      </c>
      <c r="E44" s="34">
        <v>32135.396699100835</v>
      </c>
      <c r="F44" s="34">
        <v>38101.620101617715</v>
      </c>
      <c r="G44" s="34">
        <v>38126.852857787067</v>
      </c>
      <c r="H44" s="34">
        <v>38781.632431838429</v>
      </c>
      <c r="I44" s="34">
        <v>36320.436983794527</v>
      </c>
      <c r="J44" s="34">
        <v>37049.80653976302</v>
      </c>
      <c r="K44" s="34">
        <v>39519.464558774802</v>
      </c>
      <c r="L44" s="34">
        <v>35689.767311650641</v>
      </c>
      <c r="M44" s="34">
        <v>29354.730364976807</v>
      </c>
      <c r="N44" s="34">
        <v>28964.728086157957</v>
      </c>
      <c r="O44" s="34">
        <v>29609.632747761334</v>
      </c>
      <c r="P44" s="34">
        <v>33929.288309903262</v>
      </c>
      <c r="Q44" s="34">
        <v>26908.439176876916</v>
      </c>
      <c r="R44" s="34">
        <v>27076.727570529147</v>
      </c>
      <c r="S44" s="34">
        <v>30502.276816215242</v>
      </c>
      <c r="T44" s="34">
        <v>35626.800880561466</v>
      </c>
    </row>
    <row r="45" spans="1:34" outlineLevel="2">
      <c r="A45" s="28" t="s">
        <v>49</v>
      </c>
      <c r="B45" s="29" t="s">
        <v>9</v>
      </c>
      <c r="C45" s="29" t="s">
        <v>64</v>
      </c>
      <c r="D45" s="34">
        <v>-6798.9768090192047</v>
      </c>
      <c r="E45" s="34">
        <v>-7257.344138938106</v>
      </c>
      <c r="F45" s="34">
        <v>-6775.0168206601766</v>
      </c>
      <c r="G45" s="34">
        <v>-9451.3357838561569</v>
      </c>
      <c r="H45" s="34">
        <v>-8466.3069197241093</v>
      </c>
      <c r="I45" s="34">
        <v>-7621.7000039806444</v>
      </c>
      <c r="J45" s="34">
        <v>-6769.6595109380523</v>
      </c>
      <c r="K45" s="34">
        <v>-8319.3843098305952</v>
      </c>
      <c r="L45" s="34">
        <v>2493.3859738483388</v>
      </c>
      <c r="M45" s="34">
        <v>-8174.4028949724388</v>
      </c>
      <c r="N45" s="34">
        <v>-9951.8677854370035</v>
      </c>
      <c r="O45" s="34">
        <v>-10979.756017921372</v>
      </c>
      <c r="P45" s="34">
        <v>-11412.785308735745</v>
      </c>
      <c r="Q45" s="34">
        <v>-13040.93273270966</v>
      </c>
      <c r="R45" s="34">
        <v>-11404.585541158776</v>
      </c>
      <c r="S45" s="34">
        <v>-14563.566801290501</v>
      </c>
      <c r="T45" s="34">
        <v>-13230.58123963069</v>
      </c>
    </row>
    <row r="46" spans="1:34" outlineLevel="1">
      <c r="A46" s="28" t="s">
        <v>50</v>
      </c>
      <c r="B46" s="29" t="s">
        <v>9</v>
      </c>
      <c r="C46" s="29" t="s">
        <v>64</v>
      </c>
      <c r="D46" s="34">
        <v>20342.633478671014</v>
      </c>
      <c r="E46" s="34">
        <v>19996.684255048407</v>
      </c>
      <c r="F46" s="34">
        <v>18814.035616085213</v>
      </c>
      <c r="G46" s="34">
        <v>19020.27565720151</v>
      </c>
      <c r="H46" s="34">
        <v>18775.734370687795</v>
      </c>
      <c r="I46" s="34">
        <v>20203.806078134243</v>
      </c>
      <c r="J46" s="34">
        <v>19884.201192290882</v>
      </c>
      <c r="K46" s="34">
        <v>18656.851996743961</v>
      </c>
      <c r="L46" s="34">
        <v>21154.751048074468</v>
      </c>
      <c r="M46" s="34">
        <v>20163.324336491802</v>
      </c>
      <c r="N46" s="34">
        <v>22092.72679723136</v>
      </c>
      <c r="O46" s="34">
        <v>20224.480182398143</v>
      </c>
      <c r="P46" s="34">
        <v>21688.376968527802</v>
      </c>
      <c r="Q46" s="34">
        <v>21436.102788851178</v>
      </c>
      <c r="R46" s="34">
        <v>20796.377300090131</v>
      </c>
      <c r="S46" s="34">
        <v>21449.86892665799</v>
      </c>
      <c r="T46" s="34">
        <v>21269.811792639</v>
      </c>
    </row>
    <row r="47" spans="1:34" outlineLevel="2">
      <c r="A47" s="28" t="s">
        <v>51</v>
      </c>
      <c r="B47" s="29" t="s">
        <v>9</v>
      </c>
      <c r="C47" s="29" t="s">
        <v>64</v>
      </c>
      <c r="D47" s="34">
        <v>6715.6781979468369</v>
      </c>
      <c r="E47" s="34">
        <v>6923.7446485000737</v>
      </c>
      <c r="F47" s="34">
        <v>6468.5130503562168</v>
      </c>
      <c r="G47" s="34">
        <v>6793.1013209808334</v>
      </c>
      <c r="H47" s="34">
        <v>6840.3261624422203</v>
      </c>
      <c r="I47" s="34">
        <v>6698.6190387957395</v>
      </c>
      <c r="J47" s="34">
        <v>7007.923317590562</v>
      </c>
      <c r="K47" s="34">
        <v>6788.513574802605</v>
      </c>
      <c r="L47" s="34">
        <v>7352.8368017027797</v>
      </c>
      <c r="M47" s="34">
        <v>7006.8469134138431</v>
      </c>
      <c r="N47" s="34">
        <v>7404.2486008360993</v>
      </c>
      <c r="O47" s="34">
        <v>6998.1251020708214</v>
      </c>
      <c r="P47" s="34">
        <v>7195.4916837143628</v>
      </c>
      <c r="Q47" s="34">
        <v>7637.6831313928787</v>
      </c>
      <c r="R47" s="34">
        <v>7369.5485779988676</v>
      </c>
      <c r="S47" s="34">
        <v>7399.8452169699322</v>
      </c>
      <c r="T47" s="34">
        <v>7533.3951282555536</v>
      </c>
    </row>
    <row r="48" spans="1:34" outlineLevel="2">
      <c r="A48" s="28" t="s">
        <v>52</v>
      </c>
      <c r="B48" s="29" t="s">
        <v>9</v>
      </c>
      <c r="C48" s="29" t="s">
        <v>64</v>
      </c>
      <c r="D48" s="34">
        <v>10960.727549873389</v>
      </c>
      <c r="E48" s="34">
        <v>10521.086860188705</v>
      </c>
      <c r="F48" s="34">
        <v>9242.0928733455912</v>
      </c>
      <c r="G48" s="34">
        <v>9480.1356733962712</v>
      </c>
      <c r="H48" s="34">
        <v>9430.8400872984384</v>
      </c>
      <c r="I48" s="34">
        <v>10643.268320023595</v>
      </c>
      <c r="J48" s="34">
        <v>9881.3125322440064</v>
      </c>
      <c r="K48" s="34">
        <v>9184.8334147725036</v>
      </c>
      <c r="L48" s="34">
        <v>10537.347116927212</v>
      </c>
      <c r="M48" s="34">
        <v>10199.255417824903</v>
      </c>
      <c r="N48" s="34">
        <v>10349.678046484372</v>
      </c>
      <c r="O48" s="34">
        <v>9809.6712633293064</v>
      </c>
      <c r="P48" s="34">
        <v>11016.480092634312</v>
      </c>
      <c r="Q48" s="34">
        <v>10648.491563700492</v>
      </c>
      <c r="R48" s="34">
        <v>10206.868194013958</v>
      </c>
      <c r="S48" s="34">
        <v>10425.594735646058</v>
      </c>
      <c r="T48" s="34">
        <v>10228.739213393445</v>
      </c>
    </row>
    <row r="49" spans="1:49" outlineLevel="2">
      <c r="A49" s="28" t="s">
        <v>53</v>
      </c>
      <c r="B49" s="29" t="s">
        <v>9</v>
      </c>
      <c r="C49" s="29" t="s">
        <v>64</v>
      </c>
      <c r="D49" s="34">
        <v>2666.2277308507873</v>
      </c>
      <c r="E49" s="34">
        <v>2551.8527463596265</v>
      </c>
      <c r="F49" s="34">
        <v>3103.4296923834072</v>
      </c>
      <c r="G49" s="34">
        <v>2747.0386628244064</v>
      </c>
      <c r="H49" s="34">
        <v>2504.5681209471359</v>
      </c>
      <c r="I49" s="34">
        <v>2861.9187193149091</v>
      </c>
      <c r="J49" s="34">
        <v>2994.9653424563135</v>
      </c>
      <c r="K49" s="34">
        <v>2683.5050071688574</v>
      </c>
      <c r="L49" s="34">
        <v>3264.567129444476</v>
      </c>
      <c r="M49" s="34">
        <v>2957.2220052530524</v>
      </c>
      <c r="N49" s="34">
        <v>4338.8001499108905</v>
      </c>
      <c r="O49" s="34">
        <v>3416.6838169980128</v>
      </c>
      <c r="P49" s="34">
        <v>3476.4051921791292</v>
      </c>
      <c r="Q49" s="34">
        <v>3149.9280937578105</v>
      </c>
      <c r="R49" s="34">
        <v>3219.9605280773062</v>
      </c>
      <c r="S49" s="34">
        <v>3624.4289740419995</v>
      </c>
      <c r="T49" s="34">
        <v>3507.677450990006</v>
      </c>
    </row>
    <row r="50" spans="1:49" outlineLevel="1">
      <c r="A50" s="28" t="s">
        <v>54</v>
      </c>
      <c r="B50" s="29" t="s">
        <v>9</v>
      </c>
      <c r="C50" s="29" t="s">
        <v>64</v>
      </c>
      <c r="D50" s="34">
        <v>31372.475316327531</v>
      </c>
      <c r="E50" s="34">
        <v>29132.045071322733</v>
      </c>
      <c r="F50" s="34">
        <v>31382.477634862524</v>
      </c>
      <c r="G50" s="34">
        <v>31168.626718128216</v>
      </c>
      <c r="H50" s="34">
        <v>31187.659990446187</v>
      </c>
      <c r="I50" s="34">
        <v>27887.391763832155</v>
      </c>
      <c r="J50" s="34">
        <v>25402.424176706292</v>
      </c>
      <c r="K50" s="34">
        <v>24349.698525816864</v>
      </c>
      <c r="L50" s="34">
        <v>25666.818358516295</v>
      </c>
      <c r="M50" s="34">
        <v>26768.591693427355</v>
      </c>
      <c r="N50" s="34">
        <v>27576.620736813271</v>
      </c>
      <c r="O50" s="34">
        <v>31537.096950792027</v>
      </c>
      <c r="P50" s="34">
        <v>27604.46441605618</v>
      </c>
      <c r="Q50" s="34">
        <v>28513.481781041803</v>
      </c>
      <c r="R50" s="34">
        <v>27175.251617226462</v>
      </c>
      <c r="S50" s="34">
        <v>27265.665641400919</v>
      </c>
      <c r="T50" s="34">
        <v>26988.93925864455</v>
      </c>
    </row>
    <row r="51" spans="1:49" outlineLevel="2">
      <c r="A51" s="28" t="s">
        <v>55</v>
      </c>
      <c r="B51" s="29" t="s">
        <v>9</v>
      </c>
      <c r="C51" s="29" t="s">
        <v>64</v>
      </c>
      <c r="D51" s="34">
        <v>54.911610121359999</v>
      </c>
      <c r="E51" s="34">
        <v>48.96376359736</v>
      </c>
      <c r="F51" s="34">
        <v>57.395633935359996</v>
      </c>
      <c r="G51" s="34">
        <v>52.992293332359999</v>
      </c>
      <c r="H51" s="34">
        <v>48.609418372865001</v>
      </c>
      <c r="I51" s="34">
        <v>48.709562614865</v>
      </c>
      <c r="J51" s="34">
        <v>48.205577698865007</v>
      </c>
      <c r="K51" s="34">
        <v>44.327521987865005</v>
      </c>
      <c r="L51" s="34">
        <v>64.129285159865006</v>
      </c>
      <c r="M51" s="34">
        <v>52.095571702865001</v>
      </c>
      <c r="N51" s="34">
        <v>51.775900288864996</v>
      </c>
      <c r="O51" s="34">
        <v>48.701682220315</v>
      </c>
      <c r="P51" s="34">
        <v>47.711834545315</v>
      </c>
      <c r="Q51" s="34">
        <v>691.84651925831497</v>
      </c>
      <c r="R51" s="34">
        <v>43.590460963315003</v>
      </c>
      <c r="S51" s="34">
        <v>43.584019438315003</v>
      </c>
      <c r="T51" s="34">
        <v>43.321376992208997</v>
      </c>
    </row>
    <row r="52" spans="1:49" outlineLevel="2">
      <c r="A52" s="28" t="s">
        <v>56</v>
      </c>
      <c r="B52" s="29" t="s">
        <v>9</v>
      </c>
      <c r="C52" s="29" t="s">
        <v>64</v>
      </c>
      <c r="D52" s="34">
        <v>1268.7508211358033</v>
      </c>
      <c r="E52" s="34">
        <v>1227.3948868369894</v>
      </c>
      <c r="F52" s="34">
        <v>1133.1303927419513</v>
      </c>
      <c r="G52" s="34">
        <v>1077.6522585872694</v>
      </c>
      <c r="H52" s="34">
        <v>1048.2378291195257</v>
      </c>
      <c r="I52" s="34">
        <v>1081.5595367913027</v>
      </c>
      <c r="J52" s="34">
        <v>1117.4514770210315</v>
      </c>
      <c r="K52" s="34">
        <v>433.32185347645293</v>
      </c>
      <c r="L52" s="34">
        <v>697.62830392986518</v>
      </c>
      <c r="M52" s="34">
        <v>666.21562652791499</v>
      </c>
      <c r="N52" s="34">
        <v>574.65062322720087</v>
      </c>
      <c r="O52" s="34">
        <v>658.57414925024557</v>
      </c>
      <c r="P52" s="34">
        <v>1110.3495090322574</v>
      </c>
      <c r="Q52" s="34">
        <v>1210.3175487092603</v>
      </c>
      <c r="R52" s="34">
        <v>991.15575522031315</v>
      </c>
      <c r="S52" s="34">
        <v>1027.8940068825561</v>
      </c>
      <c r="T52" s="34">
        <v>1098.127630750565</v>
      </c>
    </row>
    <row r="53" spans="1:49" outlineLevel="2">
      <c r="A53" s="28" t="s">
        <v>57</v>
      </c>
      <c r="B53" s="29" t="s">
        <v>9</v>
      </c>
      <c r="C53" s="29" t="s">
        <v>64</v>
      </c>
      <c r="D53" s="34">
        <v>30048.812885070369</v>
      </c>
      <c r="E53" s="34">
        <v>27855.686420888385</v>
      </c>
      <c r="F53" s="34">
        <v>30191.951608185216</v>
      </c>
      <c r="G53" s="34">
        <v>30037.982166208592</v>
      </c>
      <c r="H53" s="34">
        <v>30090.8127429538</v>
      </c>
      <c r="I53" s="34">
        <v>26757.122664425988</v>
      </c>
      <c r="J53" s="34">
        <v>24236.767121986388</v>
      </c>
      <c r="K53" s="34">
        <v>23872.049150352548</v>
      </c>
      <c r="L53" s="34">
        <v>24905.060769426567</v>
      </c>
      <c r="M53" s="34">
        <v>26050.280495196581</v>
      </c>
      <c r="N53" s="34">
        <v>26950.194213297204</v>
      </c>
      <c r="O53" s="34">
        <v>30829.821119321463</v>
      </c>
      <c r="P53" s="34">
        <v>26446.403072478606</v>
      </c>
      <c r="Q53" s="34">
        <v>26611.317713074222</v>
      </c>
      <c r="R53" s="34">
        <v>26140.505401042828</v>
      </c>
      <c r="S53" s="34">
        <v>26194.187615080049</v>
      </c>
      <c r="T53" s="34">
        <v>25847.490250901777</v>
      </c>
    </row>
    <row r="54" spans="1:49" outlineLevel="1">
      <c r="A54" s="28" t="s">
        <v>58</v>
      </c>
      <c r="B54" s="29" t="s">
        <v>9</v>
      </c>
      <c r="C54" s="29" t="s">
        <v>64</v>
      </c>
      <c r="D54" s="34">
        <v>996.04823012478562</v>
      </c>
      <c r="E54" s="34">
        <v>2406.7587321251772</v>
      </c>
      <c r="F54" s="34">
        <v>991.20440147244403</v>
      </c>
      <c r="G54" s="34">
        <v>1041.6689199469322</v>
      </c>
      <c r="H54" s="34">
        <v>1282.9889069523952</v>
      </c>
      <c r="I54" s="34">
        <v>1195.4509248080851</v>
      </c>
      <c r="J54" s="34">
        <v>1104.5820204376878</v>
      </c>
      <c r="K54" s="34">
        <v>1129.4697728067404</v>
      </c>
      <c r="L54" s="34">
        <v>1084.0397304747635</v>
      </c>
      <c r="M54" s="34">
        <v>1136.1194428113572</v>
      </c>
      <c r="N54" s="34">
        <v>1180.7630640354055</v>
      </c>
      <c r="O54" s="34">
        <v>1154.7278924921804</v>
      </c>
      <c r="P54" s="34">
        <v>1165.2085961277951</v>
      </c>
      <c r="Q54" s="34">
        <v>1706.3472664195046</v>
      </c>
      <c r="R54" s="34">
        <v>1180.9147479921089</v>
      </c>
      <c r="S54" s="34">
        <v>1196.2999588040593</v>
      </c>
      <c r="T54" s="34">
        <v>1192.6245825610356</v>
      </c>
    </row>
    <row r="55" spans="1:49" outlineLevel="2">
      <c r="A55" s="28" t="s">
        <v>59</v>
      </c>
      <c r="B55" s="29" t="s">
        <v>9</v>
      </c>
      <c r="C55" s="29" t="s">
        <v>64</v>
      </c>
      <c r="D55" s="34">
        <v>940.83739781966437</v>
      </c>
      <c r="E55" s="34">
        <v>2338.7586521263229</v>
      </c>
      <c r="F55" s="34">
        <v>922.40682097981437</v>
      </c>
      <c r="G55" s="34">
        <v>959.32958058630459</v>
      </c>
      <c r="H55" s="34">
        <v>1199.2396665391968</v>
      </c>
      <c r="I55" s="34">
        <v>1111.8988968985479</v>
      </c>
      <c r="J55" s="34">
        <v>1021.1755018029442</v>
      </c>
      <c r="K55" s="34">
        <v>1046.2711753552962</v>
      </c>
      <c r="L55" s="34">
        <v>1000.7744073161296</v>
      </c>
      <c r="M55" s="34">
        <v>1051.9320331259739</v>
      </c>
      <c r="N55" s="34">
        <v>1097.6580801474531</v>
      </c>
      <c r="O55" s="34">
        <v>1072.8366674752717</v>
      </c>
      <c r="P55" s="34">
        <v>1084.6930389647732</v>
      </c>
      <c r="Q55" s="34">
        <v>1627.0179923550984</v>
      </c>
      <c r="R55" s="34">
        <v>1086.951147723061</v>
      </c>
      <c r="S55" s="34">
        <v>1119.4801784630795</v>
      </c>
      <c r="T55" s="34">
        <v>1106.3555571516022</v>
      </c>
    </row>
    <row r="56" spans="1:49" outlineLevel="2">
      <c r="A56" s="28" t="s">
        <v>60</v>
      </c>
      <c r="B56" s="29" t="s">
        <v>9</v>
      </c>
      <c r="C56" s="29" t="s">
        <v>64</v>
      </c>
      <c r="D56" s="34">
        <v>54.323791369121395</v>
      </c>
      <c r="E56" s="34">
        <v>67.123517276854045</v>
      </c>
      <c r="F56" s="34">
        <v>67.894736348629692</v>
      </c>
      <c r="G56" s="34">
        <v>81.466212118627709</v>
      </c>
      <c r="H56" s="34">
        <v>82.888824447198203</v>
      </c>
      <c r="I56" s="34">
        <v>82.661551493537203</v>
      </c>
      <c r="J56" s="34">
        <v>82.523686161743655</v>
      </c>
      <c r="K56" s="34">
        <v>82.329249237444046</v>
      </c>
      <c r="L56" s="34">
        <v>82.224372718633958</v>
      </c>
      <c r="M56" s="34">
        <v>83.068903284383154</v>
      </c>
      <c r="N56" s="34">
        <v>82.133430143952452</v>
      </c>
      <c r="O56" s="34">
        <v>81.059924743908709</v>
      </c>
      <c r="P56" s="34">
        <v>79.795652329021806</v>
      </c>
      <c r="Q56" s="34">
        <v>78.631957511406057</v>
      </c>
      <c r="R56" s="34">
        <v>93.340060649047544</v>
      </c>
      <c r="S56" s="34">
        <v>76.218056018980008</v>
      </c>
      <c r="T56" s="34">
        <v>85.668675279433344</v>
      </c>
    </row>
    <row r="57" spans="1:49" outlineLevel="2">
      <c r="A57" s="28" t="s">
        <v>61</v>
      </c>
      <c r="B57" s="29" t="s">
        <v>9</v>
      </c>
      <c r="C57" s="29" t="s">
        <v>64</v>
      </c>
      <c r="D57" s="34">
        <v>0.887040936</v>
      </c>
      <c r="E57" s="34">
        <v>0.87656272199999996</v>
      </c>
      <c r="F57" s="34">
        <v>0.90284414400000002</v>
      </c>
      <c r="G57" s="34">
        <v>0.87312724200000003</v>
      </c>
      <c r="H57" s="34">
        <v>0.86041596600000003</v>
      </c>
      <c r="I57" s="34">
        <v>0.89047641599999994</v>
      </c>
      <c r="J57" s="34">
        <v>0.88283247300000001</v>
      </c>
      <c r="K57" s="34">
        <v>0.86934821399999995</v>
      </c>
      <c r="L57" s="34">
        <v>1.04095044</v>
      </c>
      <c r="M57" s="34">
        <v>1.1185064010000001</v>
      </c>
      <c r="N57" s="34">
        <v>0.97155374400000005</v>
      </c>
      <c r="O57" s="34">
        <v>0.83130027299999998</v>
      </c>
      <c r="P57" s="34">
        <v>0.71990483400000005</v>
      </c>
      <c r="Q57" s="34">
        <v>0.69731655299999995</v>
      </c>
      <c r="R57" s="34">
        <v>0.62353961999999996</v>
      </c>
      <c r="S57" s="34">
        <v>0.60172432200000003</v>
      </c>
      <c r="T57" s="34">
        <v>0.60035013000000004</v>
      </c>
    </row>
    <row r="58" spans="1:49" outlineLevel="1">
      <c r="A58" s="28" t="s">
        <v>62</v>
      </c>
      <c r="B58" s="29" t="s">
        <v>9</v>
      </c>
      <c r="C58" s="29" t="s">
        <v>64</v>
      </c>
      <c r="D58" s="34">
        <v>-56082.216015799975</v>
      </c>
      <c r="E58" s="34">
        <v>-63462.510299974412</v>
      </c>
      <c r="F58" s="34">
        <v>-66939.588688701799</v>
      </c>
      <c r="G58" s="34">
        <v>-44678.084003251439</v>
      </c>
      <c r="H58" s="34">
        <v>-29131.36299960054</v>
      </c>
      <c r="I58" s="34">
        <v>-38111.944843108322</v>
      </c>
      <c r="J58" s="34">
        <v>-37634.630038170719</v>
      </c>
      <c r="K58" s="34">
        <v>-33982.43543390977</v>
      </c>
      <c r="L58" s="34">
        <v>-30831.109424066268</v>
      </c>
      <c r="M58" s="34">
        <v>-35207.475832357282</v>
      </c>
      <c r="N58" s="34">
        <v>-35686.187116030145</v>
      </c>
      <c r="O58" s="34">
        <v>-37417.026497957013</v>
      </c>
      <c r="P58" s="34">
        <v>-41385.80559415256</v>
      </c>
      <c r="Q58" s="34">
        <v>-45644.940731314651</v>
      </c>
      <c r="R58" s="34">
        <v>-43729.649525066452</v>
      </c>
      <c r="S58" s="34">
        <v>-41337.241962761262</v>
      </c>
      <c r="T58" s="34">
        <v>-47390.090019634277</v>
      </c>
    </row>
    <row r="59" spans="1:49" outlineLevel="1">
      <c r="A59" s="28" t="s">
        <v>63</v>
      </c>
      <c r="B59" s="29" t="s">
        <v>9</v>
      </c>
      <c r="C59" s="29" t="s">
        <v>64</v>
      </c>
      <c r="D59" s="34">
        <v>741.44867158900001</v>
      </c>
      <c r="E59" s="34">
        <v>673.57026702000007</v>
      </c>
      <c r="F59" s="34">
        <v>618.72911456100007</v>
      </c>
      <c r="G59" s="34">
        <v>574.04626987099994</v>
      </c>
      <c r="H59" s="34">
        <v>537.26647584500006</v>
      </c>
      <c r="I59" s="34">
        <v>506.79384813759998</v>
      </c>
      <c r="J59" s="34">
        <v>483.69278719000005</v>
      </c>
      <c r="K59" s="34">
        <v>464.68614816499996</v>
      </c>
      <c r="L59" s="34">
        <v>448.97238661260002</v>
      </c>
      <c r="M59" s="34">
        <v>435.927059493</v>
      </c>
      <c r="N59" s="34">
        <v>425.1381658574</v>
      </c>
      <c r="O59" s="34">
        <v>415.61238840539994</v>
      </c>
      <c r="P59" s="34">
        <v>407.64985530300004</v>
      </c>
      <c r="Q59" s="34">
        <v>400.97974489540002</v>
      </c>
      <c r="R59" s="34">
        <v>395.448533892</v>
      </c>
      <c r="S59" s="34">
        <v>390.88162725460001</v>
      </c>
      <c r="T59" s="34">
        <v>387.93264464999999</v>
      </c>
    </row>
    <row r="63" spans="1:49" ht="15.75" customHeight="1">
      <c r="A63" s="4" t="s">
        <v>73</v>
      </c>
      <c r="B63" s="6"/>
      <c r="C63" s="6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</row>
    <row r="64" spans="1:49">
      <c r="B64" s="7" t="s">
        <v>8</v>
      </c>
      <c r="C64" s="7" t="s">
        <v>12</v>
      </c>
      <c r="D64" t="s">
        <v>0</v>
      </c>
      <c r="I64" t="s">
        <v>1</v>
      </c>
      <c r="N64" t="s">
        <v>2</v>
      </c>
      <c r="S64" t="s">
        <v>3</v>
      </c>
      <c r="X64">
        <v>2025</v>
      </c>
      <c r="AC64">
        <v>2030</v>
      </c>
      <c r="AH64">
        <v>2035</v>
      </c>
      <c r="AM64">
        <v>2040</v>
      </c>
      <c r="AR64">
        <v>2045</v>
      </c>
      <c r="AW64">
        <v>2050</v>
      </c>
    </row>
    <row r="65" spans="1:49">
      <c r="A65" s="33" t="s">
        <v>74</v>
      </c>
      <c r="B65" s="35" t="s">
        <v>76</v>
      </c>
      <c r="C65" s="35" t="s">
        <v>13</v>
      </c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AW65">
        <v>-316.89999999999998</v>
      </c>
    </row>
    <row r="66" spans="1:49">
      <c r="A66" t="s">
        <v>75</v>
      </c>
      <c r="B66" s="35" t="s">
        <v>76</v>
      </c>
      <c r="C66" s="35" t="s">
        <v>13</v>
      </c>
      <c r="AW66">
        <v>-464.1</v>
      </c>
    </row>
    <row r="67" spans="1:49">
      <c r="A67" t="s">
        <v>81</v>
      </c>
      <c r="B67" s="35"/>
      <c r="C67" s="35"/>
      <c r="N67" s="3">
        <f>N33/1000+N68</f>
        <v>-321.33432144982953</v>
      </c>
    </row>
    <row r="68" spans="1:49">
      <c r="A68" t="s">
        <v>77</v>
      </c>
      <c r="B68" s="35" t="s">
        <v>80</v>
      </c>
      <c r="C68" s="35" t="s">
        <v>13</v>
      </c>
      <c r="N68" s="3">
        <f>1089.51756221865/1000</f>
        <v>1.0895175622186499</v>
      </c>
    </row>
    <row r="69" spans="1:49">
      <c r="A69" s="33" t="s">
        <v>78</v>
      </c>
      <c r="AW69">
        <f>(1-N68/N67)*AW65</f>
        <v>-317.97448253242692</v>
      </c>
    </row>
    <row r="70" spans="1:49">
      <c r="A70" s="33" t="s">
        <v>79</v>
      </c>
      <c r="AW70">
        <f>(1-N68/N67)*AW66</f>
        <v>-465.67357949920904</v>
      </c>
    </row>
    <row r="73" spans="1:49" ht="15.75" customHeight="1">
      <c r="A73" s="4" t="s">
        <v>82</v>
      </c>
      <c r="B73" s="6"/>
      <c r="C73" s="6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</row>
    <row r="74" spans="1:49" s="36" customFormat="1">
      <c r="A74" s="36" t="s">
        <v>83</v>
      </c>
      <c r="B74" s="37"/>
      <c r="C74" s="37"/>
    </row>
    <row r="75" spans="1:49">
      <c r="B75" s="7" t="s">
        <v>8</v>
      </c>
      <c r="C75" s="7" t="s">
        <v>12</v>
      </c>
      <c r="D75" t="s">
        <v>0</v>
      </c>
      <c r="I75" t="s">
        <v>1</v>
      </c>
      <c r="N75" t="s">
        <v>2</v>
      </c>
      <c r="S75" t="s">
        <v>3</v>
      </c>
      <c r="X75">
        <v>2025</v>
      </c>
      <c r="AC75">
        <v>2030</v>
      </c>
      <c r="AH75">
        <v>2035</v>
      </c>
      <c r="AM75">
        <v>2040</v>
      </c>
      <c r="AR75">
        <v>2045</v>
      </c>
      <c r="AW75">
        <v>2050</v>
      </c>
    </row>
    <row r="76" spans="1:49" hidden="1">
      <c r="A76" t="s">
        <v>84</v>
      </c>
      <c r="B76" s="7" t="s">
        <v>98</v>
      </c>
      <c r="C76" s="7" t="s">
        <v>13</v>
      </c>
      <c r="D76" s="1">
        <v>-348.71197576380126</v>
      </c>
      <c r="E76" s="1"/>
      <c r="F76" s="1"/>
      <c r="G76" s="1"/>
      <c r="H76" s="1"/>
      <c r="I76" s="1">
        <v>-370.54276399345883</v>
      </c>
      <c r="J76" s="1"/>
      <c r="K76" s="1"/>
      <c r="L76" s="1"/>
      <c r="M76" s="1"/>
      <c r="N76" s="1">
        <v>-343.25267789215553</v>
      </c>
      <c r="O76" s="1"/>
      <c r="P76" s="1"/>
      <c r="Q76" s="1"/>
      <c r="R76" s="1"/>
      <c r="S76" s="1">
        <v>-299.57998624087946</v>
      </c>
      <c r="T76" s="1"/>
      <c r="U76" s="1"/>
      <c r="V76" s="1"/>
      <c r="W76" s="1"/>
      <c r="X76" s="1">
        <v>-297.75560036736914</v>
      </c>
      <c r="Y76" s="1"/>
      <c r="Z76" s="1"/>
      <c r="AA76" s="1"/>
      <c r="AB76" s="1"/>
      <c r="AC76" s="1">
        <v>-284.94793323860529</v>
      </c>
    </row>
    <row r="77" spans="1:49" hidden="1">
      <c r="A77" t="s">
        <v>85</v>
      </c>
      <c r="B77" s="7" t="s">
        <v>98</v>
      </c>
      <c r="C77" s="7" t="s">
        <v>13</v>
      </c>
      <c r="D77" s="1">
        <v>-334.32878961797502</v>
      </c>
      <c r="E77" s="1"/>
      <c r="F77" s="1"/>
      <c r="G77" s="1"/>
      <c r="H77" s="1"/>
      <c r="I77" s="1">
        <v>-347.42505135397499</v>
      </c>
      <c r="J77" s="1"/>
      <c r="K77" s="1"/>
      <c r="L77" s="1"/>
      <c r="M77" s="1"/>
      <c r="N77" s="1">
        <v>-319.75360474997501</v>
      </c>
      <c r="O77" s="1"/>
      <c r="P77" s="1"/>
      <c r="Q77" s="1"/>
      <c r="R77" s="1"/>
      <c r="S77" s="1">
        <v>-275.111845467975</v>
      </c>
      <c r="T77" s="1"/>
      <c r="U77" s="1"/>
      <c r="V77" s="1"/>
      <c r="W77" s="1"/>
      <c r="X77" s="1">
        <v>-272.15030989797498</v>
      </c>
      <c r="Y77" s="1"/>
      <c r="Z77" s="1"/>
      <c r="AA77" s="1"/>
      <c r="AB77" s="1"/>
      <c r="AC77" s="1">
        <v>-260.00419848797497</v>
      </c>
    </row>
    <row r="78" spans="1:49" hidden="1">
      <c r="A78" t="s">
        <v>86</v>
      </c>
      <c r="B78" s="7" t="s">
        <v>98</v>
      </c>
      <c r="C78" s="7" t="s">
        <v>13</v>
      </c>
      <c r="D78" s="1">
        <v>-48.701565936426199</v>
      </c>
      <c r="E78" s="1"/>
      <c r="F78" s="1"/>
      <c r="G78" s="1"/>
      <c r="H78" s="1"/>
      <c r="I78" s="1">
        <v>-60.297159696663797</v>
      </c>
      <c r="J78" s="1"/>
      <c r="K78" s="1"/>
      <c r="L78" s="1"/>
      <c r="M78" s="1"/>
      <c r="N78" s="1">
        <v>-59.667552838036499</v>
      </c>
      <c r="O78" s="1"/>
      <c r="P78" s="1"/>
      <c r="Q78" s="1"/>
      <c r="R78" s="1"/>
      <c r="S78" s="1">
        <v>-55.481456770585702</v>
      </c>
      <c r="T78" s="1"/>
      <c r="U78" s="1"/>
      <c r="V78" s="1"/>
      <c r="W78" s="1"/>
      <c r="X78" s="1">
        <v>-50.787175170194203</v>
      </c>
      <c r="Y78" s="1"/>
      <c r="Z78" s="1"/>
      <c r="AA78" s="1"/>
      <c r="AB78" s="1"/>
      <c r="AC78" s="1">
        <v>-47.034012099230303</v>
      </c>
    </row>
    <row r="79" spans="1:49" hidden="1">
      <c r="A79" t="s">
        <v>87</v>
      </c>
      <c r="B79" s="7" t="s">
        <v>98</v>
      </c>
      <c r="C79" s="7" t="s">
        <v>13</v>
      </c>
      <c r="D79" s="1">
        <v>34.318379790599998</v>
      </c>
      <c r="E79" s="1"/>
      <c r="F79" s="1"/>
      <c r="G79" s="1"/>
      <c r="H79" s="1"/>
      <c r="I79" s="1">
        <v>37.179447057179999</v>
      </c>
      <c r="J79" s="1"/>
      <c r="K79" s="1"/>
      <c r="L79" s="1"/>
      <c r="M79" s="1"/>
      <c r="N79" s="1">
        <v>36.168479695856</v>
      </c>
      <c r="O79" s="1"/>
      <c r="P79" s="1"/>
      <c r="Q79" s="1"/>
      <c r="R79" s="1"/>
      <c r="S79" s="1">
        <v>31.0133159976812</v>
      </c>
      <c r="T79" s="1"/>
      <c r="U79" s="1"/>
      <c r="V79" s="1"/>
      <c r="W79" s="1"/>
      <c r="X79" s="1">
        <v>25.181884700800001</v>
      </c>
      <c r="Y79" s="1"/>
      <c r="Z79" s="1"/>
      <c r="AA79" s="1"/>
      <c r="AB79" s="1"/>
      <c r="AC79" s="1">
        <v>22.090277348600001</v>
      </c>
    </row>
    <row r="80" spans="1:49" hidden="1">
      <c r="A80" t="s">
        <v>88</v>
      </c>
      <c r="B80" s="7" t="s">
        <v>98</v>
      </c>
      <c r="C80" s="7" t="s">
        <v>13</v>
      </c>
      <c r="D80" s="1">
        <v>47.180747934425398</v>
      </c>
      <c r="E80" s="1"/>
      <c r="F80" s="1"/>
      <c r="G80" s="1"/>
      <c r="H80" s="1"/>
      <c r="I80" s="1">
        <v>43.5778787461294</v>
      </c>
      <c r="J80" s="1"/>
      <c r="K80" s="1"/>
      <c r="L80" s="1"/>
      <c r="M80" s="1"/>
      <c r="N80" s="1">
        <v>41.428843424817899</v>
      </c>
      <c r="O80" s="1"/>
      <c r="P80" s="1"/>
      <c r="Q80" s="1"/>
      <c r="R80" s="1"/>
      <c r="S80" s="1">
        <v>39.282142033601701</v>
      </c>
      <c r="T80" s="1"/>
      <c r="U80" s="1"/>
      <c r="V80" s="1"/>
      <c r="W80" s="1"/>
      <c r="X80" s="1">
        <v>38.796055996564199</v>
      </c>
      <c r="Y80" s="1"/>
      <c r="Z80" s="1"/>
      <c r="AA80" s="1"/>
      <c r="AB80" s="1"/>
      <c r="AC80" s="1">
        <v>38.309969959526697</v>
      </c>
    </row>
    <row r="81" spans="1:49" hidden="1">
      <c r="A81" t="s">
        <v>89</v>
      </c>
      <c r="B81" s="7" t="s">
        <v>98</v>
      </c>
      <c r="C81" s="7" t="s">
        <v>13</v>
      </c>
      <c r="D81" s="1">
        <v>45.366519570710999</v>
      </c>
      <c r="E81" s="1"/>
      <c r="F81" s="1"/>
      <c r="G81" s="1"/>
      <c r="H81" s="1"/>
      <c r="I81" s="1">
        <v>42.297007397947297</v>
      </c>
      <c r="J81" s="1"/>
      <c r="K81" s="1"/>
      <c r="L81" s="1"/>
      <c r="M81" s="1"/>
      <c r="N81" s="1">
        <v>39.064908554001398</v>
      </c>
      <c r="O81" s="1"/>
      <c r="P81" s="1"/>
      <c r="Q81" s="1"/>
      <c r="R81" s="1"/>
      <c r="S81" s="1">
        <v>35.839018349345501</v>
      </c>
      <c r="T81" s="1"/>
      <c r="U81" s="1"/>
      <c r="V81" s="1"/>
      <c r="W81" s="1"/>
      <c r="X81" s="1">
        <v>35.151515174252403</v>
      </c>
      <c r="Y81" s="1"/>
      <c r="Z81" s="1"/>
      <c r="AA81" s="1"/>
      <c r="AB81" s="1"/>
      <c r="AC81" s="1">
        <v>34.451560077558</v>
      </c>
    </row>
    <row r="82" spans="1:49" hidden="1">
      <c r="A82" t="s">
        <v>90</v>
      </c>
      <c r="B82" s="7" t="s">
        <v>98</v>
      </c>
      <c r="C82" s="7" t="s">
        <v>13</v>
      </c>
      <c r="D82" s="1">
        <v>1.8142283637143699</v>
      </c>
      <c r="E82" s="1"/>
      <c r="F82" s="1"/>
      <c r="G82" s="1"/>
      <c r="H82" s="1"/>
      <c r="I82" s="1">
        <v>1.2808713481821701</v>
      </c>
      <c r="J82" s="1"/>
      <c r="K82" s="1"/>
      <c r="L82" s="1"/>
      <c r="M82" s="1"/>
      <c r="N82" s="1">
        <v>2.36393487081655</v>
      </c>
      <c r="O82" s="1"/>
      <c r="P82" s="1"/>
      <c r="Q82" s="1"/>
      <c r="R82" s="1"/>
      <c r="S82" s="1">
        <v>3.4431236842562001</v>
      </c>
      <c r="T82" s="1"/>
      <c r="U82" s="1"/>
      <c r="V82" s="1"/>
      <c r="W82" s="1"/>
      <c r="X82" s="1">
        <v>3.6445408223117601</v>
      </c>
      <c r="Y82" s="1"/>
      <c r="Z82" s="1"/>
      <c r="AA82" s="1"/>
      <c r="AB82" s="1"/>
      <c r="AC82" s="1">
        <v>3.85840988196871</v>
      </c>
    </row>
    <row r="83" spans="1:49" hidden="1">
      <c r="A83" t="s">
        <v>91</v>
      </c>
      <c r="B83" s="7" t="s">
        <v>98</v>
      </c>
      <c r="C83" s="7" t="s">
        <v>13</v>
      </c>
      <c r="D83" s="1">
        <v>5.1366830799721299</v>
      </c>
      <c r="E83" s="1"/>
      <c r="F83" s="1"/>
      <c r="G83" s="1"/>
      <c r="H83" s="1"/>
      <c r="I83" s="1">
        <v>5.2751267393776899</v>
      </c>
      <c r="J83" s="1"/>
      <c r="K83" s="1"/>
      <c r="L83" s="1"/>
      <c r="M83" s="1"/>
      <c r="N83" s="1">
        <v>5.5915514195781899</v>
      </c>
      <c r="O83" s="1"/>
      <c r="P83" s="1"/>
      <c r="Q83" s="1"/>
      <c r="R83" s="1"/>
      <c r="S83" s="1">
        <v>5.9079760997786899</v>
      </c>
      <c r="T83" s="1"/>
      <c r="U83" s="1"/>
      <c r="V83" s="1"/>
      <c r="W83" s="1"/>
      <c r="X83" s="1">
        <v>6.1339136696747296</v>
      </c>
      <c r="Y83" s="1"/>
      <c r="Z83" s="1"/>
      <c r="AA83" s="1"/>
      <c r="AB83" s="1"/>
      <c r="AC83" s="1">
        <v>6.3598512395707596</v>
      </c>
    </row>
    <row r="84" spans="1:49" hidden="1">
      <c r="A84" t="s">
        <v>92</v>
      </c>
      <c r="B84" s="7" t="s">
        <v>98</v>
      </c>
      <c r="C84" s="7" t="s">
        <v>13</v>
      </c>
      <c r="D84" s="1">
        <v>4.7775834795033596</v>
      </c>
      <c r="E84" s="1"/>
      <c r="F84" s="1"/>
      <c r="G84" s="1"/>
      <c r="H84" s="1"/>
      <c r="I84" s="1">
        <v>4.7068171366608</v>
      </c>
      <c r="J84" s="1"/>
      <c r="K84" s="1"/>
      <c r="L84" s="1"/>
      <c r="M84" s="1"/>
      <c r="N84" s="1">
        <v>4.9690753863392603</v>
      </c>
      <c r="O84" s="1"/>
      <c r="P84" s="1"/>
      <c r="Q84" s="1"/>
      <c r="R84" s="1"/>
      <c r="S84" s="1">
        <v>5.2313336360177098</v>
      </c>
      <c r="T84" s="1"/>
      <c r="U84" s="1"/>
      <c r="V84" s="1"/>
      <c r="W84" s="1"/>
      <c r="X84" s="1">
        <v>5.6205352743598898</v>
      </c>
      <c r="Y84" s="1"/>
      <c r="Z84" s="1"/>
      <c r="AA84" s="1"/>
      <c r="AB84" s="1"/>
      <c r="AC84" s="1">
        <v>6.0097369127020803</v>
      </c>
    </row>
    <row r="85" spans="1:49" hidden="1">
      <c r="A85" t="s">
        <v>93</v>
      </c>
      <c r="B85" s="7" t="s">
        <v>98</v>
      </c>
      <c r="C85" s="7" t="s">
        <v>13</v>
      </c>
      <c r="D85" s="1">
        <v>0.35909960046877099</v>
      </c>
      <c r="E85" s="1"/>
      <c r="F85" s="1"/>
      <c r="G85" s="1"/>
      <c r="H85" s="1"/>
      <c r="I85" s="1">
        <v>0.56830960271688602</v>
      </c>
      <c r="J85" s="1"/>
      <c r="K85" s="1"/>
      <c r="L85" s="1"/>
      <c r="M85" s="1"/>
      <c r="N85" s="1">
        <v>0.62247603323893297</v>
      </c>
      <c r="O85" s="1"/>
      <c r="P85" s="1"/>
      <c r="Q85" s="1"/>
      <c r="R85" s="1"/>
      <c r="S85" s="1">
        <v>0.67664246376097903</v>
      </c>
      <c r="T85" s="1"/>
      <c r="U85" s="1"/>
      <c r="V85" s="1"/>
      <c r="W85" s="1"/>
      <c r="X85" s="1">
        <v>0.51337839531483498</v>
      </c>
      <c r="Y85" s="1"/>
      <c r="Z85" s="1"/>
      <c r="AA85" s="1"/>
      <c r="AB85" s="1"/>
      <c r="AC85" s="1">
        <v>0.35011432686868998</v>
      </c>
    </row>
    <row r="86" spans="1:49" hidden="1">
      <c r="A86" t="s">
        <v>94</v>
      </c>
      <c r="B86" s="7" t="s">
        <v>98</v>
      </c>
      <c r="C86" s="7" t="s">
        <v>13</v>
      </c>
      <c r="D86" s="1">
        <v>17.311742376047501</v>
      </c>
      <c r="E86" s="1"/>
      <c r="F86" s="1"/>
      <c r="G86" s="1"/>
      <c r="H86" s="1"/>
      <c r="I86" s="1">
        <v>17.055347905498898</v>
      </c>
      <c r="J86" s="1"/>
      <c r="K86" s="1"/>
      <c r="L86" s="1"/>
      <c r="M86" s="1"/>
      <c r="N86" s="1">
        <v>17.055347905498898</v>
      </c>
      <c r="O86" s="1"/>
      <c r="P86" s="1"/>
      <c r="Q86" s="1"/>
      <c r="R86" s="1"/>
      <c r="S86" s="1">
        <v>17.055347905498898</v>
      </c>
      <c r="T86" s="1"/>
      <c r="U86" s="1"/>
      <c r="V86" s="1"/>
      <c r="W86" s="1"/>
      <c r="X86" s="1">
        <v>17.055347905498898</v>
      </c>
      <c r="Y86" s="1"/>
      <c r="Z86" s="1"/>
      <c r="AA86" s="1"/>
      <c r="AB86" s="1"/>
      <c r="AC86" s="1">
        <v>17.055347905498898</v>
      </c>
    </row>
    <row r="87" spans="1:49" hidden="1">
      <c r="A87" t="s">
        <v>95</v>
      </c>
      <c r="B87" s="7" t="s">
        <v>98</v>
      </c>
      <c r="C87" s="7" t="s">
        <v>13</v>
      </c>
      <c r="D87" s="1">
        <v>24.820132276950002</v>
      </c>
      <c r="E87" s="1"/>
      <c r="F87" s="1"/>
      <c r="G87" s="1"/>
      <c r="H87" s="1"/>
      <c r="I87" s="1">
        <v>25.351763279504102</v>
      </c>
      <c r="J87" s="1"/>
      <c r="K87" s="1"/>
      <c r="L87" s="1"/>
      <c r="M87" s="1"/>
      <c r="N87" s="1">
        <v>25.3658809514437</v>
      </c>
      <c r="O87" s="1"/>
      <c r="P87" s="1"/>
      <c r="Q87" s="1"/>
      <c r="R87" s="1"/>
      <c r="S87" s="1">
        <v>24.1622693675954</v>
      </c>
      <c r="T87" s="1"/>
      <c r="U87" s="1"/>
      <c r="V87" s="1"/>
      <c r="W87" s="1"/>
      <c r="X87" s="1">
        <v>22.6325798686551</v>
      </c>
      <c r="Y87" s="1"/>
      <c r="Z87" s="1"/>
      <c r="AA87" s="1"/>
      <c r="AB87" s="1"/>
      <c r="AC87" s="1">
        <v>19.699881279914202</v>
      </c>
    </row>
    <row r="88" spans="1:49" hidden="1">
      <c r="A88" t="s">
        <v>96</v>
      </c>
      <c r="B88" s="7" t="s">
        <v>98</v>
      </c>
      <c r="C88" s="7" t="s">
        <v>13</v>
      </c>
      <c r="D88" s="1">
        <v>0.108370360523201</v>
      </c>
      <c r="E88" s="1"/>
      <c r="F88" s="1"/>
      <c r="G88" s="1"/>
      <c r="H88" s="1"/>
      <c r="I88" s="1">
        <v>0.22341247227466701</v>
      </c>
      <c r="J88" s="1"/>
      <c r="K88" s="1"/>
      <c r="L88" s="1"/>
      <c r="M88" s="1"/>
      <c r="N88" s="1">
        <v>0.291862582290915</v>
      </c>
      <c r="O88" s="1"/>
      <c r="P88" s="1"/>
      <c r="Q88" s="1"/>
      <c r="R88" s="1"/>
      <c r="S88" s="1">
        <v>0.31770772323963598</v>
      </c>
      <c r="T88" s="1"/>
      <c r="U88" s="1"/>
      <c r="V88" s="1"/>
      <c r="W88" s="1"/>
      <c r="X88" s="1">
        <v>0.31770772323963598</v>
      </c>
      <c r="Y88" s="1"/>
      <c r="Z88" s="1"/>
      <c r="AA88" s="1"/>
      <c r="AB88" s="1"/>
      <c r="AC88" s="1">
        <v>0.31770772323963598</v>
      </c>
    </row>
    <row r="89" spans="1:49" hidden="1">
      <c r="A89" t="s">
        <v>97</v>
      </c>
      <c r="B89" s="7" t="s">
        <v>98</v>
      </c>
      <c r="C89" s="7" t="s">
        <v>13</v>
      </c>
      <c r="D89" s="1">
        <v>-54.1748611854877</v>
      </c>
      <c r="E89" s="1"/>
      <c r="F89" s="1"/>
      <c r="G89" s="1"/>
      <c r="H89" s="1"/>
      <c r="I89" s="1">
        <v>-34.404234600732899</v>
      </c>
      <c r="J89" s="1"/>
      <c r="K89" s="1"/>
      <c r="L89" s="1"/>
      <c r="M89" s="1"/>
      <c r="N89" s="1">
        <v>-38.214801791487098</v>
      </c>
      <c r="O89" s="1"/>
      <c r="P89" s="1"/>
      <c r="Q89" s="1"/>
      <c r="R89" s="1"/>
      <c r="S89" s="1">
        <v>-46.622326219010802</v>
      </c>
      <c r="T89" s="1"/>
      <c r="U89" s="1"/>
      <c r="V89" s="1"/>
      <c r="W89" s="1"/>
      <c r="X89" s="1">
        <v>-49.5824757620151</v>
      </c>
      <c r="Y89" s="1"/>
      <c r="Z89" s="1"/>
      <c r="AA89" s="1"/>
      <c r="AB89" s="1"/>
      <c r="AC89" s="1">
        <v>-53.070648994468499</v>
      </c>
    </row>
    <row r="90" spans="1:49">
      <c r="A90" s="38" t="s">
        <v>4</v>
      </c>
      <c r="B90" s="7" t="s">
        <v>98</v>
      </c>
      <c r="C90" s="7" t="s">
        <v>13</v>
      </c>
      <c r="D90" s="1">
        <v>-308.32916092137071</v>
      </c>
      <c r="E90" s="1"/>
      <c r="F90" s="1"/>
      <c r="G90" s="1"/>
      <c r="H90" s="1"/>
      <c r="I90" s="1">
        <v>-313.46346945140698</v>
      </c>
      <c r="J90" s="1"/>
      <c r="K90" s="1"/>
      <c r="L90" s="1"/>
      <c r="M90" s="1"/>
      <c r="N90" s="1">
        <v>-291.73399340001305</v>
      </c>
      <c r="O90" s="1"/>
      <c r="P90" s="1"/>
      <c r="Q90" s="1"/>
      <c r="R90" s="1"/>
      <c r="S90" s="1">
        <v>-259.47686933017593</v>
      </c>
      <c r="T90" s="1"/>
      <c r="U90" s="1"/>
      <c r="V90" s="1"/>
      <c r="W90" s="1"/>
      <c r="X90" s="1">
        <v>-262.40247096575166</v>
      </c>
      <c r="Y90" s="1"/>
      <c r="Z90" s="1"/>
      <c r="AA90" s="1"/>
      <c r="AB90" s="1"/>
      <c r="AC90" s="1">
        <v>-256.2758241253236</v>
      </c>
    </row>
    <row r="92" spans="1:49" s="36" customFormat="1">
      <c r="A92" s="36" t="s">
        <v>99</v>
      </c>
      <c r="B92" s="37"/>
      <c r="C92" s="37"/>
    </row>
    <row r="93" spans="1:49">
      <c r="B93" s="7" t="s">
        <v>8</v>
      </c>
      <c r="C93" s="7" t="s">
        <v>12</v>
      </c>
      <c r="D93" t="s">
        <v>0</v>
      </c>
      <c r="I93" t="s">
        <v>1</v>
      </c>
      <c r="N93" t="s">
        <v>2</v>
      </c>
      <c r="S93" t="s">
        <v>3</v>
      </c>
      <c r="X93">
        <v>2025</v>
      </c>
      <c r="AC93">
        <v>2030</v>
      </c>
      <c r="AH93">
        <v>2035</v>
      </c>
      <c r="AM93">
        <v>2040</v>
      </c>
      <c r="AR93">
        <v>2045</v>
      </c>
      <c r="AW93">
        <v>2050</v>
      </c>
    </row>
    <row r="94" spans="1:49">
      <c r="A94" t="s">
        <v>101</v>
      </c>
      <c r="B94" s="7" t="s">
        <v>100</v>
      </c>
      <c r="C94" s="7" t="s">
        <v>13</v>
      </c>
      <c r="D94">
        <v>-312.60000000000002</v>
      </c>
      <c r="N94">
        <v>-293.2</v>
      </c>
      <c r="AC94">
        <v>-224.5</v>
      </c>
    </row>
    <row r="97" spans="1:29">
      <c r="A97" t="s">
        <v>102</v>
      </c>
      <c r="B97" s="7" t="s">
        <v>100</v>
      </c>
      <c r="C97" s="7" t="s">
        <v>13</v>
      </c>
      <c r="D97">
        <v>-312.60000000000002</v>
      </c>
      <c r="N97">
        <v>-293.2</v>
      </c>
      <c r="AC97">
        <v>-224.5</v>
      </c>
    </row>
    <row r="98" spans="1:29">
      <c r="A98" t="s">
        <v>103</v>
      </c>
      <c r="B98" s="7" t="s">
        <v>100</v>
      </c>
      <c r="C98" s="7" t="s">
        <v>13</v>
      </c>
      <c r="D98">
        <v>-312.60000000000002</v>
      </c>
      <c r="N98">
        <v>-293.2</v>
      </c>
      <c r="AC98">
        <v>-224.5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3A024-7965-4B99-ADC1-3C79EC577D33}">
  <sheetPr>
    <tabColor rgb="FFFFFF00"/>
  </sheetPr>
  <dimension ref="A1:AW53"/>
  <sheetViews>
    <sheetView showGridLines="0" zoomScale="85" zoomScaleNormal="85" workbookViewId="0">
      <selection activeCell="D25" sqref="D25"/>
    </sheetView>
  </sheetViews>
  <sheetFormatPr defaultRowHeight="14.4"/>
  <cols>
    <col min="1" max="1" width="30.5546875" bestFit="1" customWidth="1"/>
    <col min="2" max="3" width="9.21875" customWidth="1"/>
    <col min="4" max="4" width="12.77734375" bestFit="1" customWidth="1"/>
    <col min="5" max="20" width="10.5546875" bestFit="1" customWidth="1"/>
  </cols>
  <sheetData>
    <row r="1" spans="1:49">
      <c r="A1" s="4"/>
      <c r="B1" s="6"/>
      <c r="C1" s="6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49">
      <c r="B2" s="7" t="s">
        <v>8</v>
      </c>
      <c r="C2" s="7" t="s">
        <v>12</v>
      </c>
      <c r="D2" t="s">
        <v>0</v>
      </c>
      <c r="I2" t="s">
        <v>1</v>
      </c>
      <c r="N2" t="s">
        <v>2</v>
      </c>
      <c r="S2" t="s">
        <v>3</v>
      </c>
      <c r="X2">
        <v>2025</v>
      </c>
      <c r="AC2">
        <v>2030</v>
      </c>
      <c r="AH2">
        <v>2035</v>
      </c>
      <c r="AM2">
        <v>2040</v>
      </c>
      <c r="AR2">
        <v>2045</v>
      </c>
      <c r="AW2">
        <v>2050</v>
      </c>
    </row>
    <row r="3" spans="1:49">
      <c r="A3" t="s">
        <v>123</v>
      </c>
      <c r="B3" t="s">
        <v>122</v>
      </c>
      <c r="C3" t="s">
        <v>125</v>
      </c>
      <c r="D3" s="1">
        <f>(D45+D46)/1000</f>
        <v>9.7953991112885106</v>
      </c>
      <c r="E3" s="1">
        <f t="shared" ref="E3:T3" si="0">(E45+E46)/1000</f>
        <v>9.7959074086951254</v>
      </c>
      <c r="F3" s="1">
        <f t="shared" si="0"/>
        <v>9.7572114965759891</v>
      </c>
      <c r="G3" s="1">
        <f t="shared" si="0"/>
        <v>9.7458752129008541</v>
      </c>
      <c r="H3" s="1">
        <f t="shared" si="0"/>
        <v>9.7467352892737047</v>
      </c>
      <c r="I3" s="1">
        <f t="shared" si="0"/>
        <v>9.7434640317883296</v>
      </c>
      <c r="J3" s="1">
        <f t="shared" si="0"/>
        <v>9.7370709988182877</v>
      </c>
      <c r="K3" s="1">
        <f t="shared" si="0"/>
        <v>9.7332284496786485</v>
      </c>
      <c r="L3" s="1">
        <f t="shared" si="0"/>
        <v>9.7351558385784251</v>
      </c>
      <c r="M3" s="1">
        <f t="shared" si="0"/>
        <v>9.740479814634087</v>
      </c>
      <c r="N3" s="1">
        <f t="shared" si="0"/>
        <v>9.7272601773643537</v>
      </c>
      <c r="O3" s="1">
        <f t="shared" si="0"/>
        <v>9.7084781457806262</v>
      </c>
      <c r="P3" s="1">
        <f t="shared" si="0"/>
        <v>9.6994288674043112</v>
      </c>
      <c r="Q3" s="1">
        <f t="shared" si="0"/>
        <v>9.6923189020334455</v>
      </c>
      <c r="R3" s="1">
        <f t="shared" si="0"/>
        <v>9.67725368226907</v>
      </c>
      <c r="S3" s="1">
        <f t="shared" si="0"/>
        <v>9.6639726004177646</v>
      </c>
      <c r="T3" s="1">
        <f t="shared" si="0"/>
        <v>9.6581874366465694</v>
      </c>
    </row>
    <row r="4" spans="1:49">
      <c r="A4" t="s">
        <v>124</v>
      </c>
      <c r="B4" t="s">
        <v>122</v>
      </c>
      <c r="C4" t="s">
        <v>125</v>
      </c>
      <c r="D4" s="1">
        <f>(D42+D43)/1000</f>
        <v>23.617010820878438</v>
      </c>
      <c r="E4" s="1">
        <f t="shared" ref="E4:T4" si="1">(E42+E43)/1000</f>
        <v>23.64392271988882</v>
      </c>
      <c r="F4" s="1">
        <f t="shared" si="1"/>
        <v>23.650087478579852</v>
      </c>
      <c r="G4" s="1">
        <f t="shared" si="1"/>
        <v>23.659177939067295</v>
      </c>
      <c r="H4" s="1">
        <f t="shared" si="1"/>
        <v>23.748532238037804</v>
      </c>
      <c r="I4" s="1">
        <f t="shared" si="1"/>
        <v>23.788149481165334</v>
      </c>
      <c r="J4" s="1">
        <f t="shared" si="1"/>
        <v>23.812529255404392</v>
      </c>
      <c r="K4" s="1">
        <f t="shared" si="1"/>
        <v>23.830706596096235</v>
      </c>
      <c r="L4" s="1">
        <f t="shared" si="1"/>
        <v>23.817541682911802</v>
      </c>
      <c r="M4" s="1">
        <f t="shared" si="1"/>
        <v>23.837846604883932</v>
      </c>
      <c r="N4" s="1">
        <f t="shared" si="1"/>
        <v>23.847765554660736</v>
      </c>
      <c r="O4" s="1">
        <f t="shared" si="1"/>
        <v>23.856109542620761</v>
      </c>
      <c r="P4" s="1">
        <f t="shared" si="1"/>
        <v>23.869612049807859</v>
      </c>
      <c r="Q4" s="1">
        <f t="shared" si="1"/>
        <v>23.873726787909224</v>
      </c>
      <c r="R4" s="1">
        <f t="shared" si="1"/>
        <v>23.874762764923343</v>
      </c>
      <c r="S4" s="1">
        <f t="shared" si="1"/>
        <v>23.882741252509152</v>
      </c>
      <c r="T4" s="1">
        <f t="shared" si="1"/>
        <v>23.865851365086904</v>
      </c>
    </row>
    <row r="5" spans="1:49">
      <c r="A5" t="s">
        <v>71</v>
      </c>
      <c r="B5" t="s">
        <v>122</v>
      </c>
      <c r="C5" t="s">
        <v>125</v>
      </c>
      <c r="D5" s="1">
        <f>D44/1000</f>
        <v>24.878754272992499</v>
      </c>
      <c r="E5" s="1">
        <f t="shared" ref="E5:T5" si="2">E44/1000</f>
        <v>25.279947485437575</v>
      </c>
      <c r="F5" s="1">
        <f t="shared" si="2"/>
        <v>25.511878209079903</v>
      </c>
      <c r="G5" s="1">
        <f t="shared" si="2"/>
        <v>25.737734548649655</v>
      </c>
      <c r="H5" s="1">
        <f t="shared" si="2"/>
        <v>25.97429288834941</v>
      </c>
      <c r="I5" s="1">
        <f t="shared" si="2"/>
        <v>26.206305898386738</v>
      </c>
      <c r="J5" s="1">
        <f t="shared" si="2"/>
        <v>26.434756458749774</v>
      </c>
      <c r="K5" s="1">
        <f t="shared" si="2"/>
        <v>26.666697413163963</v>
      </c>
      <c r="L5" s="1">
        <f t="shared" si="2"/>
        <v>26.822587515027422</v>
      </c>
      <c r="M5" s="1">
        <f t="shared" si="2"/>
        <v>27.087878634464555</v>
      </c>
      <c r="N5" s="1">
        <f t="shared" si="2"/>
        <v>27.213455328574135</v>
      </c>
      <c r="O5" s="1">
        <f t="shared" si="2"/>
        <v>27.392641753293375</v>
      </c>
      <c r="P5" s="1">
        <f t="shared" si="2"/>
        <v>27.534106644876978</v>
      </c>
      <c r="Q5" s="1">
        <f t="shared" si="2"/>
        <v>27.698437586596437</v>
      </c>
      <c r="R5" s="1">
        <f t="shared" si="2"/>
        <v>27.847688466914107</v>
      </c>
      <c r="S5" s="1">
        <f t="shared" si="2"/>
        <v>28.005230830958737</v>
      </c>
      <c r="T5" s="1">
        <f t="shared" si="2"/>
        <v>28.147400529279206</v>
      </c>
    </row>
    <row r="6" spans="1:49">
      <c r="A6" t="s">
        <v>69</v>
      </c>
      <c r="B6" t="s">
        <v>122</v>
      </c>
      <c r="C6" t="s">
        <v>125</v>
      </c>
      <c r="D6" s="1">
        <f>(D40+D41)/1000</f>
        <v>73.526081892258858</v>
      </c>
      <c r="E6" s="1">
        <f t="shared" ref="E6:T6" si="3">(E40+E41)/1000</f>
        <v>73.406397160384572</v>
      </c>
      <c r="F6" s="1">
        <f t="shared" si="3"/>
        <v>73.377404078489761</v>
      </c>
      <c r="G6" s="1">
        <f t="shared" si="3"/>
        <v>73.28686240314174</v>
      </c>
      <c r="H6" s="1">
        <f t="shared" si="3"/>
        <v>73.222141863960402</v>
      </c>
      <c r="I6" s="1">
        <f t="shared" si="3"/>
        <v>73.439470128071193</v>
      </c>
      <c r="J6" s="1">
        <f t="shared" si="3"/>
        <v>73.382587985038086</v>
      </c>
      <c r="K6" s="1">
        <f t="shared" si="3"/>
        <v>73.263150343486927</v>
      </c>
      <c r="L6" s="1">
        <f t="shared" si="3"/>
        <v>73.163695278014742</v>
      </c>
      <c r="M6" s="1">
        <f t="shared" si="3"/>
        <v>73.172203999948138</v>
      </c>
      <c r="N6" s="1">
        <f t="shared" si="3"/>
        <v>73.123178968257108</v>
      </c>
      <c r="O6" s="1">
        <f t="shared" si="3"/>
        <v>73.102698757153789</v>
      </c>
      <c r="P6" s="1">
        <f t="shared" si="3"/>
        <v>73.025220040483276</v>
      </c>
      <c r="Q6" s="1">
        <f t="shared" si="3"/>
        <v>73.420687699678695</v>
      </c>
      <c r="R6" s="1">
        <f t="shared" si="3"/>
        <v>73.462522856873633</v>
      </c>
      <c r="S6" s="1">
        <f t="shared" si="3"/>
        <v>73.166713153866681</v>
      </c>
      <c r="T6" s="1">
        <f t="shared" si="3"/>
        <v>73.200879068879829</v>
      </c>
    </row>
    <row r="7" spans="1:49">
      <c r="A7" t="s">
        <v>68</v>
      </c>
      <c r="B7" t="s">
        <v>122</v>
      </c>
      <c r="C7" t="s">
        <v>125</v>
      </c>
      <c r="D7" s="1">
        <f>D39/1000</f>
        <v>127.46156061620408</v>
      </c>
      <c r="E7" s="1">
        <f t="shared" ref="E7:T7" si="4">E39/1000</f>
        <v>126.48798657998493</v>
      </c>
      <c r="F7" s="1">
        <f t="shared" si="4"/>
        <v>126.04920620619343</v>
      </c>
      <c r="G7" s="1">
        <f t="shared" si="4"/>
        <v>125.70023702358969</v>
      </c>
      <c r="H7" s="1">
        <f t="shared" si="4"/>
        <v>125.23158928210957</v>
      </c>
      <c r="I7" s="1">
        <f t="shared" si="4"/>
        <v>124.5782291946466</v>
      </c>
      <c r="J7" s="1">
        <f t="shared" si="4"/>
        <v>124.21329826126735</v>
      </c>
      <c r="K7" s="1">
        <f t="shared" si="4"/>
        <v>123.91356998676018</v>
      </c>
      <c r="L7" s="1">
        <f t="shared" si="4"/>
        <v>123.71572950982853</v>
      </c>
      <c r="M7" s="1">
        <f t="shared" si="4"/>
        <v>123.27482106948364</v>
      </c>
      <c r="N7" s="1">
        <f t="shared" si="4"/>
        <v>123.05076552138235</v>
      </c>
      <c r="O7" s="1">
        <f t="shared" si="4"/>
        <v>122.74794796302361</v>
      </c>
      <c r="P7" s="1">
        <f t="shared" si="4"/>
        <v>122.45546390497478</v>
      </c>
      <c r="Q7" s="1">
        <f t="shared" si="4"/>
        <v>121.71411545932203</v>
      </c>
      <c r="R7" s="1">
        <f t="shared" si="4"/>
        <v>121.34088989287876</v>
      </c>
      <c r="S7" s="1">
        <f t="shared" si="4"/>
        <v>121.29976178154683</v>
      </c>
      <c r="T7" s="1">
        <f t="shared" si="4"/>
        <v>120.93348280864146</v>
      </c>
    </row>
    <row r="8" spans="1:49">
      <c r="A8" t="s">
        <v>67</v>
      </c>
      <c r="B8" t="s">
        <v>122</v>
      </c>
      <c r="C8" t="s">
        <v>125</v>
      </c>
      <c r="D8" s="1">
        <f>(D37+D38)/1000</f>
        <v>164.2618148974388</v>
      </c>
      <c r="E8" s="1">
        <f t="shared" ref="E8:T8" si="5">(E37+E38)/1000</f>
        <v>164.9257675168144</v>
      </c>
      <c r="F8" s="1">
        <f t="shared" si="5"/>
        <v>165.19464098485156</v>
      </c>
      <c r="G8" s="1">
        <f t="shared" si="5"/>
        <v>165.40984561981796</v>
      </c>
      <c r="H8" s="1">
        <f t="shared" si="5"/>
        <v>165.61601405186923</v>
      </c>
      <c r="I8" s="1">
        <f t="shared" si="5"/>
        <v>165.78413279744507</v>
      </c>
      <c r="J8" s="1">
        <f t="shared" si="5"/>
        <v>165.95998697063393</v>
      </c>
      <c r="K8" s="1">
        <f t="shared" si="5"/>
        <v>166.13248122782818</v>
      </c>
      <c r="L8" s="1">
        <f t="shared" si="5"/>
        <v>166.2852118900735</v>
      </c>
      <c r="M8" s="1">
        <f t="shared" si="5"/>
        <v>166.42676366030355</v>
      </c>
      <c r="N8" s="1">
        <f t="shared" si="5"/>
        <v>166.57776222818345</v>
      </c>
      <c r="O8" s="1">
        <f t="shared" si="5"/>
        <v>166.73237990206121</v>
      </c>
      <c r="P8" s="1">
        <f t="shared" si="5"/>
        <v>166.95641037485092</v>
      </c>
      <c r="Q8" s="1">
        <f t="shared" si="5"/>
        <v>167.14100648062657</v>
      </c>
      <c r="R8" s="1">
        <f t="shared" si="5"/>
        <v>167.33710127115776</v>
      </c>
      <c r="S8" s="1">
        <f t="shared" si="5"/>
        <v>167.52189674561828</v>
      </c>
      <c r="T8" s="1">
        <f t="shared" si="5"/>
        <v>167.73411601374877</v>
      </c>
    </row>
    <row r="10" spans="1:49">
      <c r="D10" t="s">
        <v>126</v>
      </c>
      <c r="E10" t="s">
        <v>126</v>
      </c>
    </row>
    <row r="11" spans="1:49">
      <c r="A11" t="s">
        <v>68</v>
      </c>
      <c r="D11" s="1">
        <v>-5.9291396319702017</v>
      </c>
      <c r="E11" s="2">
        <v>-5.1216051145169472E-2</v>
      </c>
    </row>
    <row r="12" spans="1:49">
      <c r="A12" t="s">
        <v>69</v>
      </c>
      <c r="D12" s="1">
        <v>-0.35801939772245817</v>
      </c>
      <c r="E12" s="2">
        <v>-4.422958697235635E-3</v>
      </c>
    </row>
    <row r="13" spans="1:49">
      <c r="A13" t="s">
        <v>123</v>
      </c>
      <c r="D13" s="1">
        <v>-0.1202996221017969</v>
      </c>
      <c r="E13" s="2">
        <v>-1.4007767634890422E-2</v>
      </c>
    </row>
    <row r="14" spans="1:49">
      <c r="A14" t="s">
        <v>124</v>
      </c>
      <c r="D14" s="1">
        <v>0.23065255911040339</v>
      </c>
      <c r="E14" s="2">
        <v>1.0536496176242638E-2</v>
      </c>
    </row>
    <row r="15" spans="1:49">
      <c r="A15" t="s">
        <v>71</v>
      </c>
      <c r="D15" s="1">
        <v>3.0618893237271543</v>
      </c>
      <c r="E15" s="2">
        <v>0.13138303551778052</v>
      </c>
      <c r="H15" s="49"/>
      <c r="I15" s="49"/>
      <c r="J15" s="49"/>
      <c r="K15" s="49"/>
      <c r="L15" s="49"/>
      <c r="M15" s="49"/>
      <c r="N15" s="49"/>
      <c r="O15" s="49"/>
    </row>
    <row r="16" spans="1:49">
      <c r="A16" t="s">
        <v>67</v>
      </c>
      <c r="D16" s="1">
        <v>3.1142123801784862</v>
      </c>
      <c r="E16" s="2">
        <v>2.1138821085582293E-2</v>
      </c>
      <c r="H16" s="49"/>
      <c r="I16" s="49"/>
      <c r="J16" s="49"/>
      <c r="K16" s="49"/>
      <c r="L16" s="49"/>
      <c r="M16" s="49"/>
      <c r="N16" s="49"/>
      <c r="O16" s="49"/>
    </row>
    <row r="17" spans="1:15">
      <c r="H17" s="49"/>
      <c r="I17" s="49"/>
      <c r="J17" s="49"/>
      <c r="K17" s="49"/>
      <c r="L17" s="49"/>
      <c r="M17" s="49"/>
      <c r="N17" s="49"/>
      <c r="O17" s="49"/>
    </row>
    <row r="18" spans="1:15">
      <c r="A18" t="s">
        <v>110</v>
      </c>
      <c r="H18" s="49"/>
      <c r="I18" s="49"/>
      <c r="J18" s="49"/>
      <c r="K18" s="49"/>
      <c r="L18" s="49"/>
      <c r="M18" s="49"/>
      <c r="N18" s="49"/>
      <c r="O18" s="49"/>
    </row>
    <row r="19" spans="1:15">
      <c r="A19" t="s">
        <v>229</v>
      </c>
      <c r="D19" s="39">
        <f>AVERAGE(T8-S8,S8-R8,R8-Q8,Q8-P8)*1000</f>
        <v>194.42640972446412</v>
      </c>
      <c r="H19" s="49"/>
      <c r="I19" s="49"/>
      <c r="J19" s="49"/>
      <c r="K19" s="49"/>
      <c r="L19" s="49"/>
      <c r="M19" s="49"/>
      <c r="N19" s="49"/>
      <c r="O19" s="49"/>
    </row>
    <row r="20" spans="1:15">
      <c r="A20" t="s">
        <v>230</v>
      </c>
      <c r="D20" s="39">
        <f>AVERAGE(T6-S6,S6-R6,R6-Q6,Q6-P6)*1000</f>
        <v>43.914757099138058</v>
      </c>
      <c r="H20" s="49"/>
      <c r="I20" s="49"/>
      <c r="J20" s="49"/>
      <c r="K20" s="49"/>
      <c r="L20" s="49"/>
      <c r="M20" s="49"/>
      <c r="N20" s="49"/>
      <c r="O20" s="49"/>
    </row>
    <row r="21" spans="1:15">
      <c r="A21" t="s">
        <v>70</v>
      </c>
      <c r="D21" s="39">
        <f>AVERAGE(T4-S4,S4-R4,R4-Q4,Q4-P4)*400</f>
        <v>-0.37606847209552541</v>
      </c>
      <c r="H21" s="49"/>
      <c r="I21" s="49"/>
      <c r="J21" s="49"/>
      <c r="K21" s="49"/>
      <c r="L21" s="49"/>
      <c r="M21" s="49"/>
      <c r="N21" s="49"/>
      <c r="O21" s="49"/>
    </row>
    <row r="22" spans="1:15">
      <c r="H22" s="49"/>
      <c r="I22" s="49"/>
      <c r="J22" s="49"/>
      <c r="K22" s="49"/>
      <c r="L22" s="49"/>
      <c r="M22" s="49"/>
      <c r="N22" s="49"/>
      <c r="O22" s="49"/>
    </row>
    <row r="23" spans="1:15">
      <c r="H23" s="49"/>
      <c r="I23" s="49"/>
      <c r="J23" s="49"/>
      <c r="K23" s="49"/>
      <c r="L23" s="49"/>
      <c r="M23" s="49"/>
      <c r="N23" s="49"/>
      <c r="O23" s="49"/>
    </row>
    <row r="24" spans="1:15">
      <c r="H24" s="49"/>
      <c r="I24" s="49"/>
      <c r="J24" s="49"/>
      <c r="K24" s="49"/>
      <c r="L24" s="49"/>
      <c r="M24" s="49"/>
      <c r="N24" s="49"/>
      <c r="O24" s="49"/>
    </row>
    <row r="25" spans="1:15">
      <c r="H25" s="49"/>
      <c r="I25" s="49"/>
      <c r="J25" s="49"/>
      <c r="K25" s="49"/>
      <c r="L25" s="49"/>
      <c r="M25" s="49"/>
      <c r="N25" s="49"/>
      <c r="O25" s="49"/>
    </row>
    <row r="26" spans="1:15">
      <c r="H26" s="49"/>
      <c r="I26" s="49"/>
      <c r="J26" s="49"/>
      <c r="K26" s="49"/>
      <c r="L26" s="49"/>
      <c r="M26" s="49"/>
      <c r="N26" s="49"/>
      <c r="O26" s="49"/>
    </row>
    <row r="27" spans="1:15">
      <c r="H27" s="49"/>
      <c r="I27" s="49"/>
      <c r="J27" s="49"/>
      <c r="K27" s="49"/>
      <c r="L27" s="49"/>
      <c r="M27" s="49"/>
      <c r="N27" s="49"/>
      <c r="O27" s="49"/>
    </row>
    <row r="35" spans="1:49">
      <c r="A35" s="4" t="s">
        <v>112</v>
      </c>
      <c r="B35" s="6"/>
      <c r="C35" s="6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</row>
    <row r="36" spans="1:49">
      <c r="B36" s="7" t="s">
        <v>8</v>
      </c>
      <c r="C36" s="7" t="s">
        <v>12</v>
      </c>
      <c r="D36" t="s">
        <v>0</v>
      </c>
      <c r="I36" t="s">
        <v>1</v>
      </c>
      <c r="N36" t="s">
        <v>2</v>
      </c>
      <c r="S36" t="s">
        <v>3</v>
      </c>
      <c r="X36">
        <v>2025</v>
      </c>
      <c r="AC36">
        <v>2030</v>
      </c>
      <c r="AH36">
        <v>2035</v>
      </c>
      <c r="AM36">
        <v>2040</v>
      </c>
      <c r="AR36">
        <v>2045</v>
      </c>
      <c r="AW36">
        <v>2050</v>
      </c>
    </row>
    <row r="37" spans="1:49">
      <c r="A37" t="s">
        <v>113</v>
      </c>
      <c r="B37" t="s">
        <v>122</v>
      </c>
      <c r="C37" t="s">
        <v>66</v>
      </c>
      <c r="D37" s="32">
        <f>[2]Table4.1!$L7</f>
        <v>162122.33592762062</v>
      </c>
      <c r="E37" s="32">
        <f>[3]Table4.1!$B$17</f>
        <v>162781.60465608712</v>
      </c>
      <c r="F37" s="32">
        <f>[4]Table4.1!$B$17</f>
        <v>163046.59957866973</v>
      </c>
      <c r="G37" s="32">
        <f>[5]Table4.1!$B$17</f>
        <v>163258.16975818161</v>
      </c>
      <c r="H37" s="32">
        <f>[6]Table4.1!$B$17</f>
        <v>163460.65814477831</v>
      </c>
      <c r="I37" s="32">
        <f>[7]Table4.1!$B$17</f>
        <v>163624.89834489959</v>
      </c>
      <c r="J37" s="32">
        <f>[8]Table4.1!$B$17</f>
        <v>163797.40517263394</v>
      </c>
      <c r="K37" s="32">
        <f>[9]Table4.1!$B$17</f>
        <v>163966.02088437363</v>
      </c>
      <c r="L37" s="32">
        <f>[10]Table4.1!$B$17</f>
        <v>164114.87300116441</v>
      </c>
      <c r="M37" s="32">
        <f>[11]Table4.1!$B$17</f>
        <v>164252.54622593991</v>
      </c>
      <c r="N37" s="32">
        <f>[12]Table4.1!$B$17</f>
        <v>164399.66624836528</v>
      </c>
      <c r="O37" s="32">
        <f>[13]Table4.1!$B$17</f>
        <v>164550.40537678849</v>
      </c>
      <c r="P37" s="32">
        <f>[14]Table4.1!$B$17</f>
        <v>164770.55730412365</v>
      </c>
      <c r="Q37" s="32">
        <f>[15]Table4.1!$B$17</f>
        <v>164951.33830526305</v>
      </c>
      <c r="R37" s="32">
        <f>[16]Table4.1!$B$17</f>
        <v>165143.46652834775</v>
      </c>
      <c r="S37" s="32">
        <f>[17]Table4.1!$B$17</f>
        <v>165324.48323296211</v>
      </c>
      <c r="T37" s="32">
        <f>[18]Table4.1!$B$17</f>
        <v>165531.78638028546</v>
      </c>
    </row>
    <row r="38" spans="1:49">
      <c r="A38" t="s">
        <v>114</v>
      </c>
      <c r="B38" t="s">
        <v>122</v>
      </c>
      <c r="C38" t="s">
        <v>66</v>
      </c>
      <c r="D38" s="32">
        <f>[2]Table4.1!$L8</f>
        <v>2139.4789698181821</v>
      </c>
      <c r="E38" s="32">
        <f>[3]Table4.1!$C$17</f>
        <v>2144.1628607272733</v>
      </c>
      <c r="F38" s="32">
        <f>[4]Table4.1!$C$17</f>
        <v>2148.0414061818183</v>
      </c>
      <c r="G38" s="32">
        <f>[5]Table4.1!$C$17</f>
        <v>2151.6758616363636</v>
      </c>
      <c r="H38" s="32">
        <f>[6]Table4.1!$C$17</f>
        <v>2155.3559070909091</v>
      </c>
      <c r="I38" s="32">
        <f>[7]Table4.1!$C$17</f>
        <v>2159.2344525454546</v>
      </c>
      <c r="J38" s="32">
        <f>[8]Table4.1!$C$17</f>
        <v>2162.5817979999997</v>
      </c>
      <c r="K38" s="32">
        <f>[9]Table4.1!$C$17</f>
        <v>2166.4603434545447</v>
      </c>
      <c r="L38" s="32">
        <f>[10]Table4.1!$C$17</f>
        <v>2170.3388889090902</v>
      </c>
      <c r="M38" s="32">
        <f>[11]Table4.1!$C$17</f>
        <v>2174.2174343636361</v>
      </c>
      <c r="N38" s="32">
        <f>[12]Table4.1!$C$17</f>
        <v>2178.0959798181811</v>
      </c>
      <c r="O38" s="32">
        <f>[13]Table4.1!$C$17</f>
        <v>2181.9745252727266</v>
      </c>
      <c r="P38" s="32">
        <f>[14]Table4.1!$C$17</f>
        <v>2185.8530707272721</v>
      </c>
      <c r="Q38" s="32">
        <f>[15]Table4.1!$C$17</f>
        <v>2189.6681753635198</v>
      </c>
      <c r="R38" s="32">
        <f>[16]Table4.1!$C$17</f>
        <v>2193.6347428100003</v>
      </c>
      <c r="S38" s="32">
        <f>[17]Table4.1!$C$17</f>
        <v>2197.4135126561778</v>
      </c>
      <c r="T38" s="32">
        <f>[18]Table4.1!$C$17</f>
        <v>2202.3296334633169</v>
      </c>
    </row>
    <row r="39" spans="1:49">
      <c r="A39" t="s">
        <v>115</v>
      </c>
      <c r="B39" t="s">
        <v>122</v>
      </c>
      <c r="C39" t="s">
        <v>66</v>
      </c>
      <c r="D39" s="32">
        <f>[2]Table4.1!$L9</f>
        <v>127461.56061620408</v>
      </c>
      <c r="E39" s="32">
        <f>[3]Table4.1!$D$17</f>
        <v>126487.98657998494</v>
      </c>
      <c r="F39" s="32">
        <f>[4]Table4.1!$D$17</f>
        <v>126049.20620619343</v>
      </c>
      <c r="G39" s="32">
        <f>[5]Table4.1!$D$17</f>
        <v>125700.2370235897</v>
      </c>
      <c r="H39" s="32">
        <f>[6]Table4.1!$D$17</f>
        <v>125231.58928210956</v>
      </c>
      <c r="I39" s="32">
        <f>[7]Table4.1!$D$17</f>
        <v>124578.2291946466</v>
      </c>
      <c r="J39" s="32">
        <f>[8]Table4.1!$D$17</f>
        <v>124213.29826126735</v>
      </c>
      <c r="K39" s="32">
        <f>[9]Table4.1!$D$17</f>
        <v>123913.56998676018</v>
      </c>
      <c r="L39" s="32">
        <f>[10]Table4.1!$D$17</f>
        <v>123715.72950982854</v>
      </c>
      <c r="M39" s="32">
        <f>[11]Table4.1!$D$17</f>
        <v>123274.82106948363</v>
      </c>
      <c r="N39" s="32">
        <f>[12]Table4.1!$D$17</f>
        <v>123050.76552138235</v>
      </c>
      <c r="O39" s="32">
        <f>[13]Table4.1!$D$17</f>
        <v>122747.9479630236</v>
      </c>
      <c r="P39" s="32">
        <f>[14]Table4.1!$D$17</f>
        <v>122455.46390497478</v>
      </c>
      <c r="Q39" s="32">
        <f>[15]Table4.1!$D$17</f>
        <v>121714.11545932203</v>
      </c>
      <c r="R39" s="32">
        <f>[16]Table4.1!$D$17</f>
        <v>121340.88989287877</v>
      </c>
      <c r="S39" s="32">
        <f>[17]Table4.1!$D$17</f>
        <v>121299.76178154684</v>
      </c>
      <c r="T39" s="32">
        <f>[18]Table4.1!$D$17</f>
        <v>120933.48280864146</v>
      </c>
    </row>
    <row r="40" spans="1:49">
      <c r="A40" t="s">
        <v>116</v>
      </c>
      <c r="B40" t="s">
        <v>122</v>
      </c>
      <c r="C40" t="s">
        <v>66</v>
      </c>
      <c r="D40" s="32">
        <f>[2]Table4.1!$L10</f>
        <v>73233.905019025522</v>
      </c>
      <c r="E40" s="32">
        <f>[3]Table4.1!$E$17</f>
        <v>73064.111045964572</v>
      </c>
      <c r="F40" s="32">
        <f>[4]Table4.1!$E$17</f>
        <v>73014.187167569355</v>
      </c>
      <c r="G40" s="32">
        <f>[5]Table4.1!$E$17</f>
        <v>72892.204067324579</v>
      </c>
      <c r="H40" s="32">
        <f>[6]Table4.1!$E$17</f>
        <v>72804.312193362537</v>
      </c>
      <c r="I40" s="32">
        <f>[7]Table4.1!$E$17</f>
        <v>72994.615451455727</v>
      </c>
      <c r="J40" s="32">
        <f>[8]Table4.1!$E$17</f>
        <v>72936.467793378673</v>
      </c>
      <c r="K40" s="32">
        <f>[9]Table4.1!$E$17</f>
        <v>72818.313752041446</v>
      </c>
      <c r="L40" s="32">
        <f>[10]Table4.1!$E$17</f>
        <v>72738.132821765932</v>
      </c>
      <c r="M40" s="32">
        <f>[11]Table4.1!$E$17</f>
        <v>72765.106078333833</v>
      </c>
      <c r="N40" s="32">
        <f>[12]Table4.1!$E$17</f>
        <v>72719.232685988987</v>
      </c>
      <c r="O40" s="32">
        <f>[13]Table4.1!$E$17</f>
        <v>72720.537301556906</v>
      </c>
      <c r="P40" s="32">
        <f>[14]Table4.1!$E$17</f>
        <v>72665.824373651587</v>
      </c>
      <c r="Q40" s="32">
        <f>[15]Table4.1!$E$17</f>
        <v>73063.539362293013</v>
      </c>
      <c r="R40" s="32">
        <f>[16]Table4.1!$E$17</f>
        <v>73113.612766154722</v>
      </c>
      <c r="S40" s="32">
        <f>[17]Table4.1!$E$17</f>
        <v>72824.950720467663</v>
      </c>
      <c r="T40" s="32">
        <f>[18]Table4.1!$E$17</f>
        <v>72868.978297447466</v>
      </c>
    </row>
    <row r="41" spans="1:49">
      <c r="A41" t="s">
        <v>117</v>
      </c>
      <c r="B41" t="s">
        <v>122</v>
      </c>
      <c r="C41" t="s">
        <v>66</v>
      </c>
      <c r="D41" s="32">
        <f>[2]Table4.1!$L11</f>
        <v>292.17687323333325</v>
      </c>
      <c r="E41" s="32">
        <f>[3]Table4.1!$F$17</f>
        <v>342.28611441999993</v>
      </c>
      <c r="F41" s="32">
        <f>[4]Table4.1!$F$17</f>
        <v>363.21691092040783</v>
      </c>
      <c r="G41" s="32">
        <f>[5]Table4.1!$F$17</f>
        <v>394.65833581716288</v>
      </c>
      <c r="H41" s="32">
        <f>[6]Table4.1!$F$17</f>
        <v>417.82967059787416</v>
      </c>
      <c r="I41" s="32">
        <f>[7]Table4.1!$F$17</f>
        <v>444.85467661545664</v>
      </c>
      <c r="J41" s="32">
        <f>[8]Table4.1!$F$17</f>
        <v>446.1201916594178</v>
      </c>
      <c r="K41" s="32">
        <f>[9]Table4.1!$F$17</f>
        <v>444.83659144548142</v>
      </c>
      <c r="L41" s="32">
        <f>[10]Table4.1!$F$17</f>
        <v>425.56245624880387</v>
      </c>
      <c r="M41" s="32">
        <f>[11]Table4.1!$F$17</f>
        <v>407.09792161430062</v>
      </c>
      <c r="N41" s="32">
        <f>[12]Table4.1!$F$17</f>
        <v>403.94628226812978</v>
      </c>
      <c r="O41" s="32">
        <f>[13]Table4.1!$F$17</f>
        <v>382.16145559688601</v>
      </c>
      <c r="P41" s="32">
        <f>[14]Table4.1!$F$17</f>
        <v>359.39566683168908</v>
      </c>
      <c r="Q41" s="32">
        <f>[15]Table4.1!$F$17</f>
        <v>357.14833738566949</v>
      </c>
      <c r="R41" s="32">
        <f>[16]Table4.1!$F$17</f>
        <v>348.91009071890608</v>
      </c>
      <c r="S41" s="32">
        <f>[17]Table4.1!$F$17</f>
        <v>341.76243339901851</v>
      </c>
      <c r="T41" s="32">
        <f>[18]Table4.1!$F$17</f>
        <v>331.90077143236005</v>
      </c>
    </row>
    <row r="42" spans="1:49">
      <c r="A42" t="s">
        <v>118</v>
      </c>
      <c r="B42" t="s">
        <v>122</v>
      </c>
      <c r="C42" t="s">
        <v>66</v>
      </c>
      <c r="D42" s="32">
        <f>[2]Table4.1!$L12</f>
        <v>6610.830902899691</v>
      </c>
      <c r="E42" s="32">
        <f>[3]Table4.1!$G$17</f>
        <v>6623.7312214842723</v>
      </c>
      <c r="F42" s="32">
        <f>[4]Table4.1!$G$17</f>
        <v>6642.9447448924966</v>
      </c>
      <c r="G42" s="32">
        <f>[5]Table4.1!$G$17</f>
        <v>6658.7118147325482</v>
      </c>
      <c r="H42" s="32">
        <f>[6]Table4.1!$G$17</f>
        <v>6676.6662196924835</v>
      </c>
      <c r="I42" s="32">
        <f>[7]Table4.1!$G$17</f>
        <v>6698.8205755023155</v>
      </c>
      <c r="J42" s="32">
        <f>[8]Table4.1!$G$17</f>
        <v>6718.8638765499363</v>
      </c>
      <c r="K42" s="32">
        <f>[9]Table4.1!$G$17</f>
        <v>6738.2181772382191</v>
      </c>
      <c r="L42" s="32">
        <f>[10]Table4.1!$G$17</f>
        <v>6773.2805409253733</v>
      </c>
      <c r="M42" s="32">
        <f>[11]Table4.1!$G$17</f>
        <v>6780.2204637341802</v>
      </c>
      <c r="N42" s="32">
        <f>[12]Table4.1!$G$17</f>
        <v>6810.1128885233529</v>
      </c>
      <c r="O42" s="32">
        <f>[13]Table4.1!$G$17</f>
        <v>6823.1440688366965</v>
      </c>
      <c r="P42" s="32">
        <f>[14]Table4.1!$G$17</f>
        <v>6826.0968860607363</v>
      </c>
      <c r="Q42" s="32">
        <f>[15]Table4.1!$G$17</f>
        <v>6823.1510306544005</v>
      </c>
      <c r="R42" s="32">
        <f>[16]Table4.1!$G$17</f>
        <v>6827.2174610618422</v>
      </c>
      <c r="S42" s="32">
        <f>[17]Table4.1!$G$17</f>
        <v>6831.6723455042484</v>
      </c>
      <c r="T42" s="32">
        <f>[18]Table4.1!$G$17</f>
        <v>6828.0886898059516</v>
      </c>
    </row>
    <row r="43" spans="1:49">
      <c r="A43" t="s">
        <v>119</v>
      </c>
      <c r="B43" t="s">
        <v>122</v>
      </c>
      <c r="C43" t="s">
        <v>66</v>
      </c>
      <c r="D43" s="32">
        <f>[2]Table4.1!$L13</f>
        <v>17006.179917978745</v>
      </c>
      <c r="E43" s="32">
        <f>[3]Table4.1!$H$17</f>
        <v>17020.191498404551</v>
      </c>
      <c r="F43" s="32">
        <f>[4]Table4.1!$H$17</f>
        <v>17007.142733687353</v>
      </c>
      <c r="G43" s="32">
        <f>[5]Table4.1!$H$17</f>
        <v>17000.466124334747</v>
      </c>
      <c r="H43" s="32">
        <f>[6]Table4.1!$H$17</f>
        <v>17071.866018345318</v>
      </c>
      <c r="I43" s="32">
        <f>[7]Table4.1!$H$17</f>
        <v>17089.32890566302</v>
      </c>
      <c r="J43" s="32">
        <f>[8]Table4.1!$H$17</f>
        <v>17093.665378854454</v>
      </c>
      <c r="K43" s="32">
        <f>[9]Table4.1!$H$17</f>
        <v>17092.488418858018</v>
      </c>
      <c r="L43" s="32">
        <f>[10]Table4.1!$H$17</f>
        <v>17044.261141986426</v>
      </c>
      <c r="M43" s="32">
        <f>[11]Table4.1!$H$17</f>
        <v>17057.626141149754</v>
      </c>
      <c r="N43" s="32">
        <f>[12]Table4.1!$H$17</f>
        <v>17037.652666137383</v>
      </c>
      <c r="O43" s="32">
        <f>[13]Table4.1!$H$17</f>
        <v>17032.965473784065</v>
      </c>
      <c r="P43" s="32">
        <f>[14]Table4.1!$H$17</f>
        <v>17043.515163747124</v>
      </c>
      <c r="Q43" s="32">
        <f>[15]Table4.1!$H$17</f>
        <v>17050.575757254825</v>
      </c>
      <c r="R43" s="32">
        <f>[16]Table4.1!$H$17</f>
        <v>17047.545303861501</v>
      </c>
      <c r="S43" s="32">
        <f>[17]Table4.1!$H$17</f>
        <v>17051.068907004905</v>
      </c>
      <c r="T43" s="32">
        <f>[18]Table4.1!$H$17</f>
        <v>17037.762675280952</v>
      </c>
    </row>
    <row r="44" spans="1:49">
      <c r="A44" t="s">
        <v>71</v>
      </c>
      <c r="B44" t="s">
        <v>122</v>
      </c>
      <c r="C44" t="s">
        <v>66</v>
      </c>
      <c r="D44" s="32">
        <f>[2]Table4.1!$L14</f>
        <v>24878.754272992497</v>
      </c>
      <c r="E44" s="32">
        <f>[3]Table4.1!$I$17</f>
        <v>25279.947485437573</v>
      </c>
      <c r="F44" s="32">
        <f>[4]Table4.1!$I$17</f>
        <v>25511.878209079903</v>
      </c>
      <c r="G44" s="32">
        <f>[5]Table4.1!$I$17</f>
        <v>25737.734548649656</v>
      </c>
      <c r="H44" s="32">
        <f>[6]Table4.1!$I$17</f>
        <v>25974.29288834941</v>
      </c>
      <c r="I44" s="32">
        <f>[7]Table4.1!$I$17</f>
        <v>26206.305898386738</v>
      </c>
      <c r="J44" s="32">
        <f>[8]Table4.1!$I$17</f>
        <v>26434.756458749773</v>
      </c>
      <c r="K44" s="32">
        <f>[9]Table4.1!$I$17</f>
        <v>26666.697413163962</v>
      </c>
      <c r="L44" s="32">
        <f>[10]Table4.1!$I$17</f>
        <v>26822.587515027422</v>
      </c>
      <c r="M44" s="32">
        <f>[11]Table4.1!$I$17</f>
        <v>27087.878634464556</v>
      </c>
      <c r="N44" s="32">
        <f>[12]Table4.1!$I$17</f>
        <v>27213.455328574135</v>
      </c>
      <c r="O44" s="32">
        <f>[13]Table4.1!$I$17</f>
        <v>27392.641753293374</v>
      </c>
      <c r="P44" s="32">
        <f>[14]Table4.1!$I$17</f>
        <v>27534.106644876978</v>
      </c>
      <c r="Q44" s="32">
        <f>[15]Table4.1!$I$17</f>
        <v>27698.437586596436</v>
      </c>
      <c r="R44" s="32">
        <f>[16]Table4.1!$I$17</f>
        <v>27847.688466914107</v>
      </c>
      <c r="S44" s="32">
        <f>[17]Table4.1!$I$17</f>
        <v>28005.230830958739</v>
      </c>
      <c r="T44" s="32">
        <f>[18]Table4.1!$I$17</f>
        <v>28147.400529279206</v>
      </c>
    </row>
    <row r="45" spans="1:49">
      <c r="A45" t="s">
        <v>120</v>
      </c>
      <c r="B45" t="s">
        <v>122</v>
      </c>
      <c r="C45" t="s">
        <v>66</v>
      </c>
      <c r="D45" s="32">
        <f>[2]Table4.1!$L15</f>
        <v>9473.0509132797233</v>
      </c>
      <c r="E45" s="32">
        <f>[3]Table4.1!$J$17</f>
        <v>9473.5592106863387</v>
      </c>
      <c r="F45" s="32">
        <f>[4]Table4.1!$J$17</f>
        <v>9434.8632985672011</v>
      </c>
      <c r="G45" s="32">
        <f>[5]Table4.1!$J$17</f>
        <v>9423.5270148920663</v>
      </c>
      <c r="H45" s="32">
        <f>[6]Table4.1!$J$17</f>
        <v>9424.3870912649181</v>
      </c>
      <c r="I45" s="32">
        <f>[7]Table4.1!$J$17</f>
        <v>9421.1158337795423</v>
      </c>
      <c r="J45" s="32">
        <f>[8]Table4.1!$J$17</f>
        <v>9414.7228008095008</v>
      </c>
      <c r="K45" s="32">
        <f>[9]Table4.1!$J$17</f>
        <v>9410.8802516698615</v>
      </c>
      <c r="L45" s="32">
        <f>[10]Table4.1!$J$17</f>
        <v>9412.8076405696374</v>
      </c>
      <c r="M45" s="32">
        <f>[11]Table4.1!$J$17</f>
        <v>9418.1316166253</v>
      </c>
      <c r="N45" s="32">
        <f>[12]Table4.1!$J$17</f>
        <v>9404.9119793555656</v>
      </c>
      <c r="O45" s="32">
        <f>[13]Table4.1!$J$17</f>
        <v>9386.1299477718385</v>
      </c>
      <c r="P45" s="32">
        <f>[14]Table4.1!$J$17</f>
        <v>9377.0806693955237</v>
      </c>
      <c r="Q45" s="32">
        <f>[15]Table4.1!$J$17</f>
        <v>9369.9707040246576</v>
      </c>
      <c r="R45" s="32">
        <f>[16]Table4.1!$J$17</f>
        <v>9354.9054842602836</v>
      </c>
      <c r="S45" s="32">
        <f>[17]Table4.1!$J$17</f>
        <v>9341.6244024089774</v>
      </c>
      <c r="T45" s="32">
        <f>[18]Table4.1!$J$17</f>
        <v>9335.8392386377818</v>
      </c>
    </row>
    <row r="46" spans="1:49">
      <c r="A46" t="s">
        <v>121</v>
      </c>
      <c r="B46" t="s">
        <v>122</v>
      </c>
      <c r="C46" t="s">
        <v>66</v>
      </c>
      <c r="D46" s="32">
        <f>[2]Table4.1!$L16</f>
        <v>322.3481980087879</v>
      </c>
      <c r="E46" s="32">
        <f>[3]Table4.1!$K$17</f>
        <v>322.3481980087879</v>
      </c>
      <c r="F46" s="32">
        <f>[4]Table4.1!$K$17</f>
        <v>322.3481980087879</v>
      </c>
      <c r="G46" s="32">
        <f>[5]Table4.1!$K$17</f>
        <v>322.3481980087879</v>
      </c>
      <c r="H46" s="32">
        <f>[6]Table4.1!$K$17</f>
        <v>322.3481980087879</v>
      </c>
      <c r="I46" s="32">
        <f>[7]Table4.1!$K$17</f>
        <v>322.3481980087879</v>
      </c>
      <c r="J46" s="32">
        <f>[8]Table4.1!$K$17</f>
        <v>322.3481980087879</v>
      </c>
      <c r="K46" s="32">
        <f>[9]Table4.1!$K$17</f>
        <v>322.3481980087879</v>
      </c>
      <c r="L46" s="32">
        <f>[10]Table4.1!$K$17</f>
        <v>322.3481980087879</v>
      </c>
      <c r="M46" s="32">
        <f>[11]Table4.1!$K$17</f>
        <v>322.3481980087879</v>
      </c>
      <c r="N46" s="32">
        <f>[12]Table4.1!$K$17</f>
        <v>322.3481980087879</v>
      </c>
      <c r="O46" s="32">
        <f>[13]Table4.1!$K$17</f>
        <v>322.3481980087879</v>
      </c>
      <c r="P46" s="32">
        <f>[14]Table4.1!$K$17</f>
        <v>322.34819800878802</v>
      </c>
      <c r="Q46" s="32">
        <f>[15]Table4.1!$K$17</f>
        <v>322.34819800878802</v>
      </c>
      <c r="R46" s="32">
        <f>[16]Table4.1!$K$17</f>
        <v>322.34819800878802</v>
      </c>
      <c r="S46" s="32">
        <f>[17]Table4.1!$K$17</f>
        <v>322.34819800878802</v>
      </c>
      <c r="T46" s="32">
        <f>[18]Table4.1!$K$17</f>
        <v>322.34819800878802</v>
      </c>
    </row>
    <row r="51" spans="16:20">
      <c r="P51" s="32"/>
      <c r="T51" s="32"/>
    </row>
    <row r="53" spans="16:20">
      <c r="T53" s="32"/>
    </row>
  </sheetData>
  <autoFilter ref="A10:D10" xr:uid="{AB63A024-7965-4B99-ADC1-3C79EC577D33}">
    <sortState xmlns:xlrd2="http://schemas.microsoft.com/office/spreadsheetml/2017/richdata2" ref="A11:D16">
      <sortCondition ref="D10"/>
    </sortState>
  </autoFilter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64C6D-7B9A-4F75-8583-D3C031AF4D99}">
  <sheetPr>
    <tabColor rgb="FFFFFF00"/>
  </sheetPr>
  <dimension ref="A1:AW49"/>
  <sheetViews>
    <sheetView showGridLines="0" zoomScale="70" zoomScaleNormal="70" workbookViewId="0">
      <selection activeCell="D10" sqref="D10"/>
    </sheetView>
  </sheetViews>
  <sheetFormatPr defaultRowHeight="14.4"/>
  <cols>
    <col min="1" max="1" width="43.5546875" bestFit="1" customWidth="1"/>
    <col min="2" max="3" width="9.21875" customWidth="1"/>
    <col min="4" max="4" width="10.5546875" bestFit="1" customWidth="1"/>
  </cols>
  <sheetData>
    <row r="1" spans="1:49" s="30" customFormat="1">
      <c r="A1" s="31" t="s">
        <v>144</v>
      </c>
    </row>
    <row r="2" spans="1:49">
      <c r="B2" s="7" t="s">
        <v>8</v>
      </c>
      <c r="C2" s="7" t="s">
        <v>12</v>
      </c>
      <c r="D2" t="s">
        <v>0</v>
      </c>
      <c r="I2" t="s">
        <v>1</v>
      </c>
      <c r="N2" t="s">
        <v>2</v>
      </c>
      <c r="S2" t="s">
        <v>3</v>
      </c>
      <c r="X2">
        <v>2025</v>
      </c>
      <c r="AC2">
        <v>2030</v>
      </c>
      <c r="AH2">
        <v>2035</v>
      </c>
      <c r="AM2">
        <v>2040</v>
      </c>
      <c r="AR2">
        <v>2045</v>
      </c>
      <c r="AW2">
        <v>2050</v>
      </c>
    </row>
    <row r="3" spans="1:49">
      <c r="A3" t="s">
        <v>136</v>
      </c>
      <c r="B3" t="s">
        <v>65</v>
      </c>
      <c r="C3" t="s">
        <v>66</v>
      </c>
      <c r="D3" s="32">
        <f>-SUM(D29:D33)</f>
        <v>-125.94031744273292</v>
      </c>
      <c r="E3" s="32">
        <f t="shared" ref="E3:T3" si="0">-SUM(E29:E33)</f>
        <v>-129.78837399873294</v>
      </c>
      <c r="F3" s="32">
        <f t="shared" si="0"/>
        <v>-138.54180541198636</v>
      </c>
      <c r="G3" s="32">
        <f t="shared" si="0"/>
        <v>-122.74188649064034</v>
      </c>
      <c r="H3" s="32">
        <f t="shared" si="0"/>
        <v>-127.48059668157451</v>
      </c>
      <c r="I3" s="32">
        <f t="shared" si="0"/>
        <v>-132.69654472412921</v>
      </c>
      <c r="J3" s="32">
        <f t="shared" si="0"/>
        <v>-112.73472182779039</v>
      </c>
      <c r="K3" s="32">
        <f t="shared" si="0"/>
        <v>-110.29006185807738</v>
      </c>
      <c r="L3" s="32">
        <f t="shared" si="0"/>
        <v>-141.70748023379116</v>
      </c>
      <c r="M3" s="32">
        <f t="shared" si="0"/>
        <v>-125.1396853098111</v>
      </c>
      <c r="N3" s="32">
        <f t="shared" si="0"/>
        <v>-121.76432725881114</v>
      </c>
      <c r="O3" s="32">
        <f t="shared" si="0"/>
        <v>-143.44326858068931</v>
      </c>
      <c r="P3" s="32">
        <f t="shared" si="0"/>
        <v>-119.12566324336933</v>
      </c>
      <c r="Q3" s="32">
        <f t="shared" si="0"/>
        <v>-115.19006072429926</v>
      </c>
      <c r="R3" s="32">
        <f t="shared" si="0"/>
        <v>-113.98370289864586</v>
      </c>
      <c r="S3" s="32">
        <f t="shared" si="0"/>
        <v>-112.91812305823431</v>
      </c>
      <c r="T3" s="32">
        <f t="shared" si="0"/>
        <v>-114.52994860791408</v>
      </c>
    </row>
    <row r="4" spans="1:49">
      <c r="A4" t="s">
        <v>240</v>
      </c>
      <c r="B4" t="s">
        <v>65</v>
      </c>
      <c r="C4" t="s">
        <v>66</v>
      </c>
      <c r="D4" s="32">
        <f>SUM(D45:D49)</f>
        <v>487.99763357425292</v>
      </c>
      <c r="E4" s="32">
        <f t="shared" ref="E4:T4" si="1">SUM(E45:E49)</f>
        <v>435.65373936384759</v>
      </c>
      <c r="F4" s="32">
        <f t="shared" si="1"/>
        <v>407.43344458020459</v>
      </c>
      <c r="G4" s="32">
        <f t="shared" si="1"/>
        <v>337.95295592145828</v>
      </c>
      <c r="H4" s="32">
        <f t="shared" si="1"/>
        <v>334.02645268412641</v>
      </c>
      <c r="I4" s="32">
        <f t="shared" si="1"/>
        <v>300.95643557839838</v>
      </c>
      <c r="J4" s="32">
        <f t="shared" si="1"/>
        <v>288.30718829515638</v>
      </c>
      <c r="K4" s="32">
        <f t="shared" si="1"/>
        <v>282.84221242648641</v>
      </c>
      <c r="L4" s="32">
        <f t="shared" si="1"/>
        <v>294.48387575611952</v>
      </c>
      <c r="M4" s="32">
        <f t="shared" si="1"/>
        <v>266.74337453451739</v>
      </c>
      <c r="N4" s="32">
        <f t="shared" si="1"/>
        <v>272.84736574935727</v>
      </c>
      <c r="O4" s="32">
        <f t="shared" si="1"/>
        <v>298.14161999561867</v>
      </c>
      <c r="P4" s="32">
        <f t="shared" si="1"/>
        <v>343.23541375725881</v>
      </c>
      <c r="Q4" s="32">
        <f t="shared" si="1"/>
        <v>299.82155822412221</v>
      </c>
      <c r="R4" s="32">
        <f t="shared" si="1"/>
        <v>310.17463615351238</v>
      </c>
      <c r="S4" s="32">
        <f t="shared" si="1"/>
        <v>297.71522824348159</v>
      </c>
      <c r="T4" s="32">
        <f t="shared" si="1"/>
        <v>326.75899015257193</v>
      </c>
      <c r="V4" s="32"/>
    </row>
    <row r="5" spans="1:49">
      <c r="A5" t="s">
        <v>241</v>
      </c>
      <c r="B5" t="s">
        <v>65</v>
      </c>
      <c r="C5" t="s">
        <v>66</v>
      </c>
      <c r="D5" s="32">
        <f>D4+D3</f>
        <v>362.05731613152</v>
      </c>
      <c r="E5" s="32">
        <f t="shared" ref="E5:T5" si="2">E4+E3</f>
        <v>305.86536536511466</v>
      </c>
      <c r="F5" s="32">
        <f t="shared" si="2"/>
        <v>268.89163916821826</v>
      </c>
      <c r="G5" s="32">
        <f t="shared" si="2"/>
        <v>215.21106943081793</v>
      </c>
      <c r="H5" s="32">
        <f t="shared" si="2"/>
        <v>206.54585600255189</v>
      </c>
      <c r="I5" s="32">
        <f t="shared" si="2"/>
        <v>168.25989085426917</v>
      </c>
      <c r="J5" s="32">
        <f t="shared" si="2"/>
        <v>175.57246646736598</v>
      </c>
      <c r="K5" s="32">
        <f t="shared" si="2"/>
        <v>172.55215056840905</v>
      </c>
      <c r="L5" s="32">
        <f t="shared" si="2"/>
        <v>152.77639552232836</v>
      </c>
      <c r="M5" s="32">
        <f t="shared" si="2"/>
        <v>141.60368922470627</v>
      </c>
      <c r="N5" s="32">
        <f t="shared" si="2"/>
        <v>151.08303849054613</v>
      </c>
      <c r="O5" s="32">
        <f t="shared" si="2"/>
        <v>154.69835141492936</v>
      </c>
      <c r="P5" s="32">
        <f t="shared" si="2"/>
        <v>224.10975051388948</v>
      </c>
      <c r="Q5" s="32">
        <f t="shared" si="2"/>
        <v>184.63149749982296</v>
      </c>
      <c r="R5" s="32">
        <f t="shared" si="2"/>
        <v>196.19093325486654</v>
      </c>
      <c r="S5" s="32">
        <f t="shared" si="2"/>
        <v>184.79710518524729</v>
      </c>
      <c r="T5" s="32">
        <f t="shared" si="2"/>
        <v>212.22904154465783</v>
      </c>
    </row>
    <row r="8" spans="1:49">
      <c r="A8" t="s">
        <v>110</v>
      </c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</row>
    <row r="9" spans="1:49">
      <c r="A9" t="s">
        <v>234</v>
      </c>
      <c r="D9" s="32">
        <f>AVERAGE(T3-S3,S3-R3,R3-Q3,Q3-P3)*-1</f>
        <v>-1.148928658863813</v>
      </c>
      <c r="I9" s="49"/>
      <c r="J9" s="49"/>
      <c r="K9" s="49"/>
      <c r="L9" s="49"/>
      <c r="M9" s="49"/>
      <c r="N9" s="49"/>
      <c r="O9" s="49"/>
      <c r="P9" s="51"/>
      <c r="Q9" s="49"/>
      <c r="R9" s="49"/>
      <c r="S9" s="49"/>
    </row>
    <row r="10" spans="1:49">
      <c r="A10" t="s">
        <v>233</v>
      </c>
      <c r="D10" s="32">
        <f>AVERAGE(T4-S4,S4-R4,R4-Q4,Q4-P4)</f>
        <v>-4.1191059011717215</v>
      </c>
      <c r="I10" s="49"/>
      <c r="J10" s="49"/>
      <c r="K10" s="49"/>
      <c r="L10" s="49"/>
      <c r="M10" s="49"/>
      <c r="N10" s="49"/>
      <c r="O10" s="49"/>
      <c r="P10" s="51"/>
      <c r="Q10" s="49"/>
      <c r="R10" s="49"/>
      <c r="S10" s="49"/>
    </row>
    <row r="11" spans="1:49">
      <c r="I11" s="49"/>
      <c r="J11" s="49"/>
      <c r="K11" s="49"/>
      <c r="L11" s="49"/>
      <c r="M11" s="49"/>
      <c r="N11" s="49"/>
      <c r="O11" s="49"/>
      <c r="P11" s="51"/>
      <c r="Q11" s="49"/>
      <c r="R11" s="49"/>
      <c r="S11" s="49"/>
    </row>
    <row r="12" spans="1:49">
      <c r="I12" s="49"/>
      <c r="J12" s="49"/>
      <c r="K12" s="49"/>
      <c r="L12" s="49"/>
      <c r="M12" s="49"/>
      <c r="N12" s="49"/>
      <c r="O12" s="49"/>
      <c r="P12" s="51"/>
      <c r="Q12" s="49"/>
      <c r="R12" s="49"/>
      <c r="S12" s="49"/>
    </row>
    <row r="13" spans="1:49"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</row>
    <row r="14" spans="1:49"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</row>
    <row r="15" spans="1:49"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</row>
    <row r="16" spans="1:49"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</row>
    <row r="17" spans="1:49"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</row>
    <row r="18" spans="1:49"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</row>
    <row r="19" spans="1:49"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</row>
    <row r="20" spans="1:49"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</row>
    <row r="21" spans="1:49"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</row>
    <row r="22" spans="1:49"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</row>
    <row r="23" spans="1:49"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</row>
    <row r="26" spans="1:49" s="30" customFormat="1">
      <c r="A26" s="31" t="s">
        <v>131</v>
      </c>
    </row>
    <row r="27" spans="1:49" s="41" customFormat="1">
      <c r="A27" s="40" t="s">
        <v>136</v>
      </c>
    </row>
    <row r="28" spans="1:49">
      <c r="B28" s="7" t="s">
        <v>8</v>
      </c>
      <c r="C28" s="7" t="s">
        <v>12</v>
      </c>
      <c r="D28" t="s">
        <v>0</v>
      </c>
      <c r="I28" t="s">
        <v>1</v>
      </c>
      <c r="N28" t="s">
        <v>2</v>
      </c>
      <c r="S28" t="s">
        <v>3</v>
      </c>
      <c r="X28">
        <v>2025</v>
      </c>
      <c r="AC28">
        <v>2030</v>
      </c>
      <c r="AH28">
        <v>2035</v>
      </c>
      <c r="AM28">
        <v>2040</v>
      </c>
      <c r="AR28">
        <v>2045</v>
      </c>
      <c r="AW28">
        <v>2050</v>
      </c>
    </row>
    <row r="29" spans="1:49">
      <c r="A29" t="s">
        <v>132</v>
      </c>
      <c r="B29" t="s">
        <v>65</v>
      </c>
      <c r="C29" t="s">
        <v>66</v>
      </c>
      <c r="D29" s="32">
        <f>[2]Table4.1!$D$7</f>
        <v>33.318239360375649</v>
      </c>
      <c r="E29" s="32">
        <f>[3]Table4.1!$D$7</f>
        <v>31.68132636037565</v>
      </c>
      <c r="F29" s="32">
        <f>[4]Table4.1!$D$7</f>
        <v>23.241786549038078</v>
      </c>
      <c r="G29" s="32">
        <f>[5]Table4.1!$D$7</f>
        <v>22.341293899274891</v>
      </c>
      <c r="H29" s="32">
        <f>[6]Table4.1!$D$7</f>
        <v>23.881650420818531</v>
      </c>
      <c r="I29" s="32">
        <f>[7]Table4.1!$D$7+[7]Table4.1!$D$8</f>
        <v>21.481525094793568</v>
      </c>
      <c r="J29" s="32">
        <f>[8]Table4.1!$D$7</f>
        <v>23.159099175480371</v>
      </c>
      <c r="K29" s="32">
        <f>[9]Table4.1!$D$7</f>
        <v>20.78182851112642</v>
      </c>
      <c r="L29" s="32">
        <f>[10]Table4.1!$D$7</f>
        <v>28.133102370890139</v>
      </c>
      <c r="M29" s="32">
        <f>[11]Table4.1!$D$7</f>
        <v>24.841271758132802</v>
      </c>
      <c r="N29" s="32">
        <f>[12]Table4.1!$D$7</f>
        <v>27.792473608922229</v>
      </c>
      <c r="O29" s="32">
        <f>[13]Table4.1!$D$7</f>
        <v>27.518625777927831</v>
      </c>
      <c r="P29" s="32">
        <f>[14]Table4.1!$D$7+[14]Table4.1!$D$8</f>
        <v>26.334292161729842</v>
      </c>
      <c r="Q29" s="32">
        <f>[15]Table4.1!$D$7+[15]Table4.1!$D$8</f>
        <v>26.457955110164612</v>
      </c>
      <c r="R29" s="32">
        <f>[16]Table4.1!$D$7+[16]Table4.1!$D$8</f>
        <v>26.44900865330473</v>
      </c>
      <c r="S29" s="32">
        <f>[17]Table4.1!$D$7+[17]Table4.1!$D$8</f>
        <v>26.555963632342252</v>
      </c>
      <c r="T29" s="32">
        <f>[18]Table4.1!$D$7+[18]Table4.1!$D$8</f>
        <v>26.37885600164519</v>
      </c>
      <c r="U29" s="32"/>
    </row>
    <row r="30" spans="1:49">
      <c r="A30" t="s">
        <v>133</v>
      </c>
      <c r="B30" t="s">
        <v>65</v>
      </c>
      <c r="C30" t="s">
        <v>66</v>
      </c>
      <c r="D30" s="32">
        <f>[2]Table4.1!$E$7</f>
        <v>40.91458494570012</v>
      </c>
      <c r="E30" s="32">
        <f>[3]Table4.1!$E$7+[3]Table4.1!$E$8</f>
        <v>41.684667626700126</v>
      </c>
      <c r="F30" s="32">
        <f>[4]Table4.1!$E$7+[4]Table4.1!$E$8</f>
        <v>49.068144665015915</v>
      </c>
      <c r="G30" s="32">
        <f>[5]Table4.1!$E$7+[5]Table4.1!$E$8</f>
        <v>39.056934930643365</v>
      </c>
      <c r="H30" s="32">
        <f>[6]Table4.1!$E$7+[6]Table4.1!$E$8</f>
        <v>37.755440591269299</v>
      </c>
      <c r="I30" s="32">
        <f>[7]Table4.1!$E$7+[7]Table4.1!$E$8</f>
        <v>43.56680358584407</v>
      </c>
      <c r="J30" s="32">
        <f>[8]Table4.1!$E$7</f>
        <v>36.56550300679497</v>
      </c>
      <c r="K30" s="32">
        <f>[9]Table4.1!$E$7+[9]Table4.1!$E$8</f>
        <v>33.480942029595653</v>
      </c>
      <c r="L30" s="32">
        <f>[10]Table4.1!$E$7</f>
        <v>60.175512532660591</v>
      </c>
      <c r="M30" s="32">
        <f>[11]Table4.1!$E$7</f>
        <v>42.643010426642881</v>
      </c>
      <c r="N30" s="32">
        <f>[12]Table4.1!$E$7</f>
        <v>39.76131971047198</v>
      </c>
      <c r="O30" s="32">
        <f>[13]Table4.1!$E$7+[13]Table4.1!$E$8</f>
        <v>41.401093782653518</v>
      </c>
      <c r="P30" s="32">
        <f>[14]Table4.1!$E$7+[14]Table4.1!$E$8</f>
        <v>35.725451569895434</v>
      </c>
      <c r="Q30" s="32">
        <f>[15]Table4.1!$E$7+[15]Table4.1!$E$8</f>
        <v>35.405807015901289</v>
      </c>
      <c r="R30" s="32">
        <f>[16]Table4.1!$E$7+[16]Table4.1!$E$8</f>
        <v>34.638349157820336</v>
      </c>
      <c r="S30" s="32">
        <f>[17]Table4.1!$E$7+[17]Table4.1!$E$8</f>
        <v>34.53647599348453</v>
      </c>
      <c r="T30" s="32">
        <f>[18]Table4.1!$E$7+[18]Table4.1!$E$8</f>
        <v>35.368072250477582</v>
      </c>
    </row>
    <row r="31" spans="1:49">
      <c r="A31" t="s">
        <v>143</v>
      </c>
      <c r="B31" t="s">
        <v>65</v>
      </c>
      <c r="C31" t="s">
        <v>66</v>
      </c>
      <c r="D31" s="32">
        <f>[2]Table4.1!$G$7</f>
        <v>5.8321121872924797</v>
      </c>
      <c r="E31" s="32">
        <f>[3]Table4.1!$G$7+[3]Table4.1!$H$7+[3]Table4.1!$G$8</f>
        <v>6.8385388872924802</v>
      </c>
      <c r="F31" s="32">
        <f>[4]Table4.1!$G$7+[4]Table4.1!$H$7+[4]Table4.1!$G$8</f>
        <v>10.098348124347931</v>
      </c>
      <c r="G31" s="32">
        <f>[5]Table4.1!$G$7+[5]Table4.1!$H$7</f>
        <v>11.67190877775451</v>
      </c>
      <c r="H31" s="32">
        <f>[6]Table4.1!$G$7+[6]Table4.1!$H$7</f>
        <v>10.40940343903053</v>
      </c>
      <c r="I31" s="32">
        <f>[7]Table4.1!$G$7+[7]Table4.1!$H$7</f>
        <v>15.13695022223169</v>
      </c>
      <c r="J31" s="32">
        <f>[8]Table4.1!$G$7+[8]Table4.1!$H$7</f>
        <v>7.4796061325719307</v>
      </c>
      <c r="K31" s="32">
        <f>[9]Table4.1!$G$7+[9]Table4.1!$H$7+[9]Table4.1!$G$8</f>
        <v>9.6357331890019307</v>
      </c>
      <c r="L31" s="32">
        <f>[10]Table4.1!$G$7+[10]Table4.1!$H$7</f>
        <v>7.4343511073341393</v>
      </c>
      <c r="M31" s="32">
        <f>[11]Table4.1!$G$7+[11]Table4.1!$H$7</f>
        <v>8.5637366073541408</v>
      </c>
      <c r="N31" s="32">
        <f>[12]Table4.1!$G$7+[12]Table4.1!$H$7</f>
        <v>7.85383260735414</v>
      </c>
      <c r="O31" s="32">
        <f>[13]Table4.1!$G$7+[13]Table4.1!$H$7</f>
        <v>14.194242783571671</v>
      </c>
      <c r="P31" s="32">
        <f>[14]Table4.1!$G$7+[14]Table4.1!$H$7</f>
        <v>12.062808044131669</v>
      </c>
      <c r="Q31" s="32">
        <f>[15]Table4.1!$G$7+[15]Table4.1!$H$7+[15]Table4.1!$G$8</f>
        <v>2.9885183848216696</v>
      </c>
      <c r="R31" s="32">
        <f>[16]Table4.1!$G$7+[16]Table4.1!$H$7+[16]Table4.1!$G$8</f>
        <v>4.1072254695716701</v>
      </c>
      <c r="S31" s="32">
        <f>[17]Table4.1!$G$7+[17]Table4.1!$H$7</f>
        <v>4.5025449138516702</v>
      </c>
      <c r="T31" s="32">
        <f>[18]Table4.1!$G$7+[18]Table4.1!$H$7+[18]Table4.1!$G$8</f>
        <v>4.3155621230185703</v>
      </c>
    </row>
    <row r="32" spans="1:49">
      <c r="A32" t="s">
        <v>134</v>
      </c>
      <c r="B32" t="s">
        <v>65</v>
      </c>
      <c r="C32" t="s">
        <v>66</v>
      </c>
      <c r="D32" s="32">
        <f>[2]Table4.1!$I$7+[2]Table4.1!$I$8</f>
        <v>43.865365226135047</v>
      </c>
      <c r="E32" s="32">
        <f>[3]Table4.1!$I$7+[3]Table4.1!$I$8</f>
        <v>45.752062729135055</v>
      </c>
      <c r="F32" s="32">
        <f>[4]Table4.1!$I$7+[4]Table4.1!$I$8</f>
        <v>52.58262388435481</v>
      </c>
      <c r="G32" s="32">
        <f>[5]Table4.1!$I$7+[5]Table4.1!$I$8</f>
        <v>47.235624258737936</v>
      </c>
      <c r="H32" s="32">
        <f>[6]Table4.1!$I$7+[6]Table4.1!$I$8</f>
        <v>50.782657841983273</v>
      </c>
      <c r="I32" s="32">
        <f>[7]Table4.1!$I$7+[7]Table4.1!$I$8</f>
        <v>46.928713804120314</v>
      </c>
      <c r="J32" s="32">
        <f>[8]Table4.1!$I$7+[8]Table4.1!$I$8</f>
        <v>43.186369434803566</v>
      </c>
      <c r="K32" s="32">
        <f>[9]Table4.1!$I$7+[9]Table4.1!$I$8</f>
        <v>44.099059991813832</v>
      </c>
      <c r="L32" s="32">
        <f>[10]Table4.1!$I$7+[10]Table4.1!$I$8</f>
        <v>43.75494823576674</v>
      </c>
      <c r="M32" s="32">
        <f>[11]Table4.1!$I$7+[11]Table4.1!$I$8</f>
        <v>46.779230302541713</v>
      </c>
      <c r="N32" s="32">
        <f>[12]Table4.1!$I$7+[12]Table4.1!$I$8</f>
        <v>44.405464950923253</v>
      </c>
      <c r="O32" s="32">
        <f>[13]Table4.1!$I$7+[13]Table4.1!$I$8</f>
        <v>57.933723720650079</v>
      </c>
      <c r="P32" s="32">
        <f>[14]Table4.1!$I$7+[14]Table4.1!$I$8</f>
        <v>41.870436737026168</v>
      </c>
      <c r="Q32" s="32">
        <f>[15]Table4.1!$I$7+[15]Table4.1!$I$8</f>
        <v>44.663782091985468</v>
      </c>
      <c r="R32" s="32">
        <f>[16]Table4.1!$I$7+[16]Table4.1!$I$8</f>
        <v>44.485226107062907</v>
      </c>
      <c r="S32" s="32">
        <f>[17]Table4.1!$I$7+[17]Table4.1!$I$8</f>
        <v>42.870649089669641</v>
      </c>
      <c r="T32" s="32">
        <f>[18]Table4.1!$I$7+[18]Table4.1!$I$8</f>
        <v>44.15901247931788</v>
      </c>
    </row>
    <row r="33" spans="1:49">
      <c r="A33" t="s">
        <v>135</v>
      </c>
      <c r="B33" t="s">
        <v>65</v>
      </c>
      <c r="C33" t="s">
        <v>66</v>
      </c>
      <c r="D33" s="32">
        <f>[2]Table4.1!$J$7+[2]Table4.1!$J$8</f>
        <v>2.0100157232296301</v>
      </c>
      <c r="E33" s="32">
        <f>[3]Table4.1!$J$7+[3]Table4.1!$J$8</f>
        <v>3.8317783952296298</v>
      </c>
      <c r="F33" s="32">
        <f>[4]Table4.1!$J$7+[4]Table4.1!$J$8</f>
        <v>3.5509021892296304</v>
      </c>
      <c r="G33" s="32">
        <f>[5]Table4.1!$J$7+[5]Table4.1!$J$8</f>
        <v>2.4361246242296302</v>
      </c>
      <c r="H33" s="32">
        <f>[6]Table4.1!$J$7+[6]Table4.1!$J$8</f>
        <v>4.6514443884728802</v>
      </c>
      <c r="I33" s="32">
        <f>[7]Table4.1!$J$7+[7]Table4.1!$J$8</f>
        <v>5.58255201713955</v>
      </c>
      <c r="J33" s="32">
        <f>[8]Table4.1!$J$7+[8]Table4.1!$J$8</f>
        <v>2.3441440781395499</v>
      </c>
      <c r="K33" s="32">
        <f>[9]Table4.1!$J$7+[9]Table4.1!$J$8</f>
        <v>2.29249813653955</v>
      </c>
      <c r="L33" s="32">
        <f>[10]Table4.1!$J$7+[10]Table4.1!$J$8</f>
        <v>2.2095659871395501</v>
      </c>
      <c r="M33" s="32">
        <f>[11]Table4.1!$J$7+[11]Table4.1!$J$8</f>
        <v>2.3124362151395501</v>
      </c>
      <c r="N33" s="32">
        <f>[12]Table4.1!$J$7+[12]Table4.1!$J$8</f>
        <v>1.9512363811395499</v>
      </c>
      <c r="O33" s="32">
        <f>[13]Table4.1!$J$7+[13]Table4.1!$J$8</f>
        <v>2.3955825158862201</v>
      </c>
      <c r="P33" s="32">
        <f>[14]Table4.1!$J$7+[14]Table4.1!$J$8</f>
        <v>3.1326747305862201</v>
      </c>
      <c r="Q33" s="32">
        <f>[15]Table4.1!$J$7+[15]Table4.1!$J$8</f>
        <v>5.6739981214262203</v>
      </c>
      <c r="R33" s="32">
        <f>[16]Table4.1!$J$7+[16]Table4.1!$J$8</f>
        <v>4.30389351088622</v>
      </c>
      <c r="S33" s="32">
        <f>[17]Table4.1!$J$7+[17]Table4.1!$J$8</f>
        <v>4.4524894288862198</v>
      </c>
      <c r="T33" s="32">
        <f>[18]Table4.1!$J$7+[18]Table4.1!$J$8</f>
        <v>4.3084457534548593</v>
      </c>
    </row>
    <row r="34" spans="1:49"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</row>
    <row r="35" spans="1:49">
      <c r="A35" t="s">
        <v>132</v>
      </c>
      <c r="B35" t="s">
        <v>65</v>
      </c>
      <c r="C35" t="s">
        <v>64</v>
      </c>
      <c r="D35" s="32">
        <f>[2]Table4.B!$R$13</f>
        <v>9347.7352834933663</v>
      </c>
      <c r="E35" s="32">
        <f>[19]Table4.B!$R$13</f>
        <v>9144.2416577700878</v>
      </c>
      <c r="F35" s="32">
        <f>[20]Table4.B!$R$13</f>
        <v>8370.0781253014611</v>
      </c>
      <c r="G35" s="32">
        <f>[21]Table4.B!$R$13</f>
        <v>8217.8588962125796</v>
      </c>
      <c r="H35" s="32">
        <f>[22]Table4.B!$R$13</f>
        <v>8614.6591313965928</v>
      </c>
      <c r="I35" s="32">
        <f>[23]Table4.B!$R$13</f>
        <v>8534.2281766174747</v>
      </c>
      <c r="J35" s="32">
        <f>[24]Table4.B!$R$13</f>
        <v>8864.5075899733529</v>
      </c>
      <c r="K35" s="32">
        <f>[25]Table4.B!$R$13</f>
        <v>8368.9978378187989</v>
      </c>
      <c r="L35" s="32">
        <f>[26]Table4.B!$R$13</f>
        <v>10325.668217039816</v>
      </c>
      <c r="M35" s="32">
        <f>[27]Table4.B!$R$13</f>
        <v>9250.1171159480036</v>
      </c>
      <c r="N35" s="32">
        <f>[28]Table4.B!$R$13</f>
        <v>9770.2220320965589</v>
      </c>
      <c r="O35" s="32">
        <f>[29]Table4.B!$R$13</f>
        <v>9168.769007008179</v>
      </c>
      <c r="P35" s="32">
        <f>[30]Table4.B!$R$13</f>
        <v>8692.2912845364554</v>
      </c>
      <c r="Q35" s="32">
        <f>[31]Table4.B!$R$13</f>
        <v>8144.3454012508864</v>
      </c>
      <c r="R35" s="32">
        <f>[32]Table4.B!$R$13</f>
        <v>8106.2914886679309</v>
      </c>
      <c r="S35" s="32">
        <f>[33]Table4.B!$R$13</f>
        <v>7864.6216295835511</v>
      </c>
      <c r="T35" s="32">
        <f>[18]Table4.B!$R$13</f>
        <v>8110.8853940357858</v>
      </c>
    </row>
    <row r="36" spans="1:49">
      <c r="A36" t="s">
        <v>133</v>
      </c>
      <c r="B36" t="s">
        <v>65</v>
      </c>
      <c r="C36" t="s">
        <v>64</v>
      </c>
      <c r="D36" s="32">
        <f>[2]Table4.C!$R$13</f>
        <v>10290.663917477903</v>
      </c>
      <c r="E36" s="32">
        <f>[19]Table4.C!$R$13</f>
        <v>10260.783145763067</v>
      </c>
      <c r="F36" s="32">
        <f>[20]Table4.C!$R$13</f>
        <v>12347.63890453863</v>
      </c>
      <c r="G36" s="32">
        <f>[21]Table4.C!$R$13</f>
        <v>10267.156032259065</v>
      </c>
      <c r="H36" s="32">
        <f>[22]Table4.C!$R$13</f>
        <v>10599.110575198609</v>
      </c>
      <c r="I36" s="32">
        <f>[23]Table4.C!$R$13</f>
        <v>11272.991597282158</v>
      </c>
      <c r="J36" s="32">
        <f>[24]Table4.C!$R$13</f>
        <v>10370.428557807581</v>
      </c>
      <c r="K36" s="32">
        <f>[25]Table4.C!$R$13</f>
        <v>9141.9368497588548</v>
      </c>
      <c r="L36" s="32">
        <f>[26]Table4.C!$R$13</f>
        <v>15914.115158987241</v>
      </c>
      <c r="M36" s="32">
        <f>[27]Table4.C!$R$13</f>
        <v>10417.005835164304</v>
      </c>
      <c r="N36" s="32">
        <f>[28]Table4.C!$R$13</f>
        <v>10144.876840142313</v>
      </c>
      <c r="O36" s="32">
        <f>[29]Table4.C!$R$13</f>
        <v>9964.1096254624481</v>
      </c>
      <c r="P36" s="32">
        <f>[30]Table4.C!$R$13</f>
        <v>9040.1052176293924</v>
      </c>
      <c r="Q36" s="32">
        <f>[31]Table4.C!$R$13</f>
        <v>7857.9095971837223</v>
      </c>
      <c r="R36" s="32">
        <f>[32]Table4.C!$R$13</f>
        <v>7985.2195288189496</v>
      </c>
      <c r="S36" s="32">
        <f>[33]Table4.C!$R$13</f>
        <v>6821.0216035557196</v>
      </c>
      <c r="T36" s="32">
        <f>[18]Table4.C!$R$13</f>
        <v>7181.5953552176725</v>
      </c>
    </row>
    <row r="37" spans="1:49">
      <c r="A37" t="s">
        <v>143</v>
      </c>
      <c r="B37" t="s">
        <v>65</v>
      </c>
      <c r="C37" t="s">
        <v>64</v>
      </c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</row>
    <row r="38" spans="1:49">
      <c r="A38" t="s">
        <v>134</v>
      </c>
      <c r="B38" t="s">
        <v>65</v>
      </c>
      <c r="C38" t="s">
        <v>64</v>
      </c>
      <c r="D38" s="32">
        <f>[2]Table4.E!$R$13</f>
        <v>12769.715669034327</v>
      </c>
      <c r="E38" s="32">
        <f>[19]Table4.E!$R$13</f>
        <v>12227.448514783595</v>
      </c>
      <c r="F38" s="32">
        <f>[20]Table4.E!$R$13</f>
        <v>14143.32579357734</v>
      </c>
      <c r="G38" s="32">
        <f>[21]Table4.E!$R$13</f>
        <v>13998.932933583323</v>
      </c>
      <c r="H38" s="32">
        <f>[22]Table4.E!$R$13</f>
        <v>14209.884237683955</v>
      </c>
      <c r="I38" s="32">
        <f>[23]Table4.E!$R$13</f>
        <v>13648.031767117793</v>
      </c>
      <c r="J38" s="32">
        <f>[24]Table4.E!$R$13</f>
        <v>12793.83981916952</v>
      </c>
      <c r="K38" s="32">
        <f>[25]Table4.E!$R$13</f>
        <v>12949.644269461307</v>
      </c>
      <c r="L38" s="32">
        <f>[26]Table4.E!$R$13</f>
        <v>13394.986644876431</v>
      </c>
      <c r="M38" s="32">
        <f>[27]Table4.E!$R$13</f>
        <v>13547.058778768011</v>
      </c>
      <c r="N38" s="32">
        <f>[28]Table4.E!$R$13</f>
        <v>14124.550457911761</v>
      </c>
      <c r="O38" s="32">
        <f>[29]Table4.E!$R$13</f>
        <v>17481.475269892235</v>
      </c>
      <c r="P38" s="32">
        <f>[30]Table4.E!$R$13</f>
        <v>13087.102261078277</v>
      </c>
      <c r="Q38" s="32">
        <f>[31]Table4.E!$R$13</f>
        <v>13222.873679024899</v>
      </c>
      <c r="R38" s="32">
        <f>[32]Table4.E!$R$13</f>
        <v>12667.466205970139</v>
      </c>
      <c r="S38" s="32">
        <f>[33]Table4.E!$R$13</f>
        <v>12684.518139508848</v>
      </c>
      <c r="T38" s="32">
        <f>[18]Table4.E!$R$13</f>
        <v>12370.23558845727</v>
      </c>
    </row>
    <row r="39" spans="1:49">
      <c r="A39" t="s">
        <v>135</v>
      </c>
      <c r="B39" t="s">
        <v>65</v>
      </c>
      <c r="C39" t="s">
        <v>64</v>
      </c>
      <c r="D39" s="32">
        <f>[2]Table4.F!$R$13</f>
        <v>771.83927251125579</v>
      </c>
      <c r="E39" s="32">
        <f>[19]Table4.F!$R$13</f>
        <v>2156.2495787006087</v>
      </c>
      <c r="F39" s="32">
        <f>[20]Table4.F!$R$13</f>
        <v>780.5164688189202</v>
      </c>
      <c r="G39" s="32">
        <f>[21]Table4.F!$R$13</f>
        <v>755.08622865158429</v>
      </c>
      <c r="H39" s="32">
        <f>[22]Table4.F!$R$13</f>
        <v>979.58898625735878</v>
      </c>
      <c r="I39" s="32">
        <f>[23]Table4.F!$R$13</f>
        <v>877.80968179668662</v>
      </c>
      <c r="J39" s="32">
        <f>[24]Table4.F!$R$13</f>
        <v>796.29745694355199</v>
      </c>
      <c r="K39" s="32">
        <f>[25]Table4.F!$R$13</f>
        <v>849.60631936949108</v>
      </c>
      <c r="L39" s="32">
        <f>[26]Table4.F!$R$13</f>
        <v>795.59329186891114</v>
      </c>
      <c r="M39" s="32">
        <f>[27]Table4.F!$R$13</f>
        <v>818.02726231028885</v>
      </c>
      <c r="N39" s="32">
        <f>[28]Table4.F!$R$13</f>
        <v>821.14191211625416</v>
      </c>
      <c r="O39" s="32">
        <f>[29]Table4.F!$R$13</f>
        <v>852.31456579632095</v>
      </c>
      <c r="P39" s="32">
        <f>[30]Table4.F!$R$13</f>
        <v>861.31308465170127</v>
      </c>
      <c r="Q39" s="32">
        <f>[31]Table4.F!$R$13</f>
        <v>1388.6383622283261</v>
      </c>
      <c r="R39" s="32">
        <f>[32]Table4.F!$R$13</f>
        <v>851.17280670369553</v>
      </c>
      <c r="S39" s="32">
        <f>[33]Table4.F!$R$13</f>
        <v>882.30681622479926</v>
      </c>
      <c r="T39" s="32">
        <f>[18]Table4.F!$R$13</f>
        <v>833.30210496186521</v>
      </c>
    </row>
    <row r="40" spans="1:49">
      <c r="A40" t="s">
        <v>235</v>
      </c>
      <c r="B40" t="s">
        <v>11</v>
      </c>
      <c r="C40" t="s">
        <v>13</v>
      </c>
      <c r="D40" s="32">
        <f t="shared" ref="D40:T40" si="3">SUM(D35:D39)/1000</f>
        <v>33.179954142516848</v>
      </c>
      <c r="E40" s="32">
        <f t="shared" si="3"/>
        <v>33.788722897017358</v>
      </c>
      <c r="F40" s="32">
        <f t="shared" si="3"/>
        <v>35.641559292236352</v>
      </c>
      <c r="G40" s="32">
        <f t="shared" si="3"/>
        <v>33.239034090706554</v>
      </c>
      <c r="H40" s="32">
        <f t="shared" si="3"/>
        <v>34.403242930536514</v>
      </c>
      <c r="I40" s="32">
        <f t="shared" si="3"/>
        <v>34.333061222814109</v>
      </c>
      <c r="J40" s="32">
        <f t="shared" si="3"/>
        <v>32.825073423894004</v>
      </c>
      <c r="K40" s="32">
        <f t="shared" si="3"/>
        <v>31.310185276408451</v>
      </c>
      <c r="L40" s="32">
        <f t="shared" si="3"/>
        <v>40.4303633127724</v>
      </c>
      <c r="M40" s="32">
        <f t="shared" si="3"/>
        <v>34.032208992190611</v>
      </c>
      <c r="N40" s="32">
        <f t="shared" si="3"/>
        <v>34.860791242266892</v>
      </c>
      <c r="O40" s="32">
        <f t="shared" si="3"/>
        <v>37.466668468159178</v>
      </c>
      <c r="P40" s="32">
        <f t="shared" si="3"/>
        <v>31.680811847895828</v>
      </c>
      <c r="Q40" s="32">
        <f t="shared" si="3"/>
        <v>30.613767039687833</v>
      </c>
      <c r="R40" s="32">
        <f t="shared" si="3"/>
        <v>29.610150030160717</v>
      </c>
      <c r="S40" s="32">
        <f t="shared" si="3"/>
        <v>28.252468188872918</v>
      </c>
      <c r="T40" s="32">
        <f t="shared" si="3"/>
        <v>28.496018442672593</v>
      </c>
    </row>
    <row r="41" spans="1:49"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</row>
    <row r="43" spans="1:49" s="41" customFormat="1">
      <c r="A43" s="40" t="s">
        <v>137</v>
      </c>
    </row>
    <row r="44" spans="1:49">
      <c r="B44" s="7" t="s">
        <v>8</v>
      </c>
      <c r="C44" s="7" t="s">
        <v>12</v>
      </c>
      <c r="D44" t="s">
        <v>0</v>
      </c>
      <c r="I44" t="s">
        <v>1</v>
      </c>
      <c r="N44" t="s">
        <v>2</v>
      </c>
      <c r="S44" t="s">
        <v>3</v>
      </c>
      <c r="X44">
        <v>2025</v>
      </c>
      <c r="AC44">
        <v>2030</v>
      </c>
      <c r="AH44">
        <v>2035</v>
      </c>
      <c r="AM44">
        <v>2040</v>
      </c>
      <c r="AR44">
        <v>2045</v>
      </c>
      <c r="AW44">
        <v>2050</v>
      </c>
    </row>
    <row r="45" spans="1:49">
      <c r="A45" t="s">
        <v>138</v>
      </c>
      <c r="B45" t="s">
        <v>65</v>
      </c>
      <c r="C45" t="s">
        <v>66</v>
      </c>
      <c r="D45" s="32">
        <f>[2]Table4.1!$B$9</f>
        <v>124.84573991381494</v>
      </c>
      <c r="E45" s="32">
        <f>[3]Table4.1!$B$9</f>
        <v>104.22352788484035</v>
      </c>
      <c r="F45" s="32">
        <f>[4]Table4.1!$B$9</f>
        <v>175.51472883292871</v>
      </c>
      <c r="G45" s="32">
        <f>[5]Table4.1!$B$9</f>
        <v>134.7487974368951</v>
      </c>
      <c r="H45" s="32">
        <f>[6]Table4.1!$B$9</f>
        <v>127.75937722063628</v>
      </c>
      <c r="I45" s="32">
        <f>[7]Table4.1!$B$9</f>
        <v>100.36457548152705</v>
      </c>
      <c r="J45" s="32">
        <f>[8]Table4.1!$B$9</f>
        <v>92.34977357224362</v>
      </c>
      <c r="K45" s="32">
        <f>[9]Table4.1!$B$9</f>
        <v>87.280746784743656</v>
      </c>
      <c r="L45" s="32">
        <f>[10]Table4.1!$B$9</f>
        <v>80.82068098233016</v>
      </c>
      <c r="M45" s="32">
        <f>[11]Table4.1!$B$9</f>
        <v>67.863173898921687</v>
      </c>
      <c r="N45" s="32">
        <f>[12]Table4.1!$B$9</f>
        <v>66.051100733498686</v>
      </c>
      <c r="O45" s="32">
        <f>[13]Table4.1!$B$9</f>
        <v>75.006317268909257</v>
      </c>
      <c r="P45" s="32">
        <f>[14]Table4.1!$B$9</f>
        <v>112.26120997651522</v>
      </c>
      <c r="Q45" s="32">
        <f>[15]Table4.1!$B$9</f>
        <v>83.034497912449524</v>
      </c>
      <c r="R45" s="32">
        <f>[16]Table4.1!$B$9</f>
        <v>81.842832078060539</v>
      </c>
      <c r="S45" s="32">
        <f>[17]Table4.1!$B$9</f>
        <v>81.226276276066514</v>
      </c>
      <c r="T45" s="32">
        <f>[18]Table4.1!$B$9</f>
        <v>93.600395789998089</v>
      </c>
    </row>
    <row r="46" spans="1:49">
      <c r="A46" t="s">
        <v>139</v>
      </c>
      <c r="B46" t="s">
        <v>65</v>
      </c>
      <c r="C46" t="s">
        <v>66</v>
      </c>
      <c r="D46" s="32">
        <f>[2]Table4.1!$B$10+[2]Table4.1!$C$10</f>
        <v>335.03115520220297</v>
      </c>
      <c r="E46" s="32">
        <f>[3]Table4.1!$B$10+[3]Table4.1!$C$10</f>
        <v>299.23581652202574</v>
      </c>
      <c r="F46" s="32">
        <f>[4]Table4.1!$B$10+[4]Table4.1!$C$10+[4]Table4.1!$B$11</f>
        <v>198.29155458287596</v>
      </c>
      <c r="G46" s="32">
        <f>[5]Table4.1!$B$10+[5]Table4.1!$C$10+[5]Table4.1!$B$11</f>
        <v>175.29187812142797</v>
      </c>
      <c r="H46" s="32">
        <f>[6]Table4.1!$B$10+[6]Table4.1!$C$10+[6]Table4.1!$B$11</f>
        <v>178.42467649802222</v>
      </c>
      <c r="I46" s="32">
        <f>[7]Table4.1!$B$10+[7]Table4.1!$C$10+[7]Table4.1!$B$11</f>
        <v>169.56038253332176</v>
      </c>
      <c r="J46" s="32">
        <f>[8]Table4.1!$B$10+[8]Table4.1!$C$10+[8]Table4.1!$B$11</f>
        <v>162.85017477113391</v>
      </c>
      <c r="K46" s="32">
        <f>[9]Table4.1!$B$10+[9]Table4.1!$C$10+[9]Table4.1!$B$11</f>
        <v>166.9922819204094</v>
      </c>
      <c r="L46" s="32">
        <f>[10]Table4.1!$B$10+[10]Table4.1!$C$10+[10]Table4.1!$B$11</f>
        <v>178.98562454377202</v>
      </c>
      <c r="M46" s="32">
        <f>[11]Table4.1!$B$10+[11]Table4.1!$C$10+[11]Table4.1!$B$11</f>
        <v>171.35175966476032</v>
      </c>
      <c r="N46" s="32">
        <f>[12]Table4.1!$B$10+[12]Table4.1!$C$10+[12]Table4.1!$B$11</f>
        <v>170.72445908363767</v>
      </c>
      <c r="O46" s="32">
        <f>[13]Table4.1!$B$10+[13]Table4.1!$C$10+[13]Table4.1!$B$11</f>
        <v>188.74919649942723</v>
      </c>
      <c r="P46" s="32">
        <f>[14]Table4.1!$B$10+[14]Table4.1!$C$10+[14]Table4.1!$B$11</f>
        <v>199.30704271184399</v>
      </c>
      <c r="Q46" s="32">
        <f>[15]Table4.1!$B$10+[15]Table4.1!$C$10+[15]Table4.1!$B$11</f>
        <v>176.44138616912505</v>
      </c>
      <c r="R46" s="32">
        <f>[16]Table4.1!$B$10+[16]Table4.1!$C$10+[16]Table4.1!$B$11</f>
        <v>184.71788654951015</v>
      </c>
      <c r="S46" s="32">
        <f>[17]Table4.1!$B$10+[17]Table4.1!$C$10+[17]Table4.1!$B$11</f>
        <v>184.06452450303723</v>
      </c>
      <c r="T46" s="32">
        <f>[18]Table4.1!$B$10+[18]Table4.1!$C$10+[18]Table4.1!$B$11</f>
        <v>190.97774109191582</v>
      </c>
    </row>
    <row r="47" spans="1:49">
      <c r="A47" t="s">
        <v>140</v>
      </c>
      <c r="B47" t="s">
        <v>65</v>
      </c>
      <c r="C47" t="s">
        <v>66</v>
      </c>
      <c r="D47" s="32">
        <f>[2]Table4.1!$B$12+[2]Table4.1!$B$13</f>
        <v>10.40708993849702</v>
      </c>
      <c r="E47" s="32">
        <f>[3]Table4.1!$B$12+[3]Table4.1!$B$13</f>
        <v>14.49760919507597</v>
      </c>
      <c r="F47" s="32">
        <f>[4]Table4.1!$B$12+[4]Table4.1!$B$13</f>
        <v>12.9868068460835</v>
      </c>
      <c r="G47" s="32">
        <f>[5]Table4.1!$B$12+[5]Table4.1!$B$13</f>
        <v>9.2454511664349095</v>
      </c>
      <c r="H47" s="32">
        <f>[6]Table4.1!$B$12+[6]Table4.1!$B$13</f>
        <v>8.5872938201321602</v>
      </c>
      <c r="I47" s="32">
        <f>[7]Table4.1!$B$12+[7]Table4.1!$B$13</f>
        <v>10.22026899203518</v>
      </c>
      <c r="J47" s="32">
        <f>[8]Table4.1!$B$12+[8]Table4.1!$B$13</f>
        <v>10.759436039654231</v>
      </c>
      <c r="K47" s="32">
        <f>[9]Table4.1!$B$12+[9]Table4.1!$B$13</f>
        <v>8.440665086728611</v>
      </c>
      <c r="L47" s="32">
        <f>[10]Table4.1!$B$12+[10]Table4.1!$B$13</f>
        <v>9.33281706897737</v>
      </c>
      <c r="M47" s="32">
        <f>[11]Table4.1!$B$12+[11]Table4.1!$B$13</f>
        <v>12.72204792164086</v>
      </c>
      <c r="N47" s="32">
        <f>[12]Table4.1!$B$12+[12]Table4.1!$B$13</f>
        <v>15.965876686680229</v>
      </c>
      <c r="O47" s="32">
        <f>[13]Table4.1!$B$12+[13]Table4.1!$B$13</f>
        <v>16.700426650293558</v>
      </c>
      <c r="P47" s="32">
        <f>[14]Table4.1!$B$12+[14]Table4.1!$B$13</f>
        <v>15.47935308948262</v>
      </c>
      <c r="Q47" s="32">
        <f>[15]Table4.1!$B$12+[15]Table4.1!$B$13</f>
        <v>21.099632389733561</v>
      </c>
      <c r="R47" s="32">
        <f>[16]Table4.1!$B$12+[16]Table4.1!$B$13</f>
        <v>22.796585611406282</v>
      </c>
      <c r="S47" s="32">
        <f>[17]Table4.1!$B$12+[17]Table4.1!$B$13</f>
        <v>15.862268090739329</v>
      </c>
      <c r="T47" s="32">
        <f>[18]Table4.1!$B$12+[18]Table4.1!$B$13</f>
        <v>20.98788930878024</v>
      </c>
    </row>
    <row r="48" spans="1:49">
      <c r="A48" t="s">
        <v>141</v>
      </c>
      <c r="B48" t="s">
        <v>65</v>
      </c>
      <c r="C48" t="s">
        <v>66</v>
      </c>
      <c r="D48" s="32">
        <f>[2]Table4.1!$B$14</f>
        <v>12.515059030331839</v>
      </c>
      <c r="E48" s="32">
        <f>[3]Table4.1!$B$14</f>
        <v>12.42378028033184</v>
      </c>
      <c r="F48" s="32">
        <f>[4]Table4.1!$B$14</f>
        <v>16.265940014137971</v>
      </c>
      <c r="G48" s="32">
        <f>[5]Table4.1!$B$14</f>
        <v>14.172172756219259</v>
      </c>
      <c r="H48" s="32">
        <f>[6]Table4.1!$B$14</f>
        <v>11.442457438235261</v>
      </c>
      <c r="I48" s="32">
        <f>[7]Table4.1!$B$14</f>
        <v>15.25009196744076</v>
      </c>
      <c r="J48" s="32">
        <f>[8]Table4.1!$B$14</f>
        <v>14.837648602030511</v>
      </c>
      <c r="K48" s="32">
        <f>[9]Table4.1!$B$14</f>
        <v>14.857304125042649</v>
      </c>
      <c r="L48" s="32">
        <f>[10]Table4.1!$B$14</f>
        <v>20.42961041154442</v>
      </c>
      <c r="M48" s="32">
        <f>[11]Table4.1!$B$14</f>
        <v>11.414546636409421</v>
      </c>
      <c r="N48" s="32">
        <f>[12]Table4.1!$B$14</f>
        <v>13.658465249791711</v>
      </c>
      <c r="O48" s="32">
        <f>[13]Table4.1!$B$14</f>
        <v>12.97049482968327</v>
      </c>
      <c r="P48" s="32">
        <f>[14]Table4.1!$B$14</f>
        <v>7.93320182968327</v>
      </c>
      <c r="Q48" s="32">
        <f>[15]Table4.1!$B$14</f>
        <v>12.177691829683271</v>
      </c>
      <c r="R48" s="32">
        <f>[16]Table4.1!$B$14</f>
        <v>14.312671310231449</v>
      </c>
      <c r="S48" s="32">
        <f>[17]Table4.1!$B$14</f>
        <v>10.90525054489726</v>
      </c>
      <c r="T48" s="32">
        <f>[18]Table4.1!$B$14</f>
        <v>14.466898114218591</v>
      </c>
    </row>
    <row r="49" spans="1:20">
      <c r="A49" t="s">
        <v>142</v>
      </c>
      <c r="B49" t="s">
        <v>65</v>
      </c>
      <c r="C49" t="s">
        <v>66</v>
      </c>
      <c r="D49" s="32">
        <f>[2]Table4.1!$B$15</f>
        <v>5.1985894894061504</v>
      </c>
      <c r="E49" s="32">
        <f>[3]Table4.1!$B$15</f>
        <v>5.2730054815736302</v>
      </c>
      <c r="F49" s="32">
        <f>[4]Table4.1!$B$15</f>
        <v>4.3744143041784698</v>
      </c>
      <c r="G49" s="32">
        <f>[5]Table4.1!$B$15</f>
        <v>4.4946564404810303</v>
      </c>
      <c r="H49" s="32">
        <f>[6]Table4.1!$B$15</f>
        <v>7.8126477071005196</v>
      </c>
      <c r="I49" s="32">
        <f>[7]Table4.1!$B$15</f>
        <v>5.5611166040736197</v>
      </c>
      <c r="J49" s="32">
        <f>[8]Table4.1!$B$15</f>
        <v>7.5101553100941203</v>
      </c>
      <c r="K49" s="32">
        <f>[9]Table4.1!$B$15</f>
        <v>5.2712145095620597</v>
      </c>
      <c r="L49" s="32">
        <f>[10]Table4.1!$B$15</f>
        <v>4.9151427494955602</v>
      </c>
      <c r="M49" s="32">
        <f>[11]Table4.1!$B$15</f>
        <v>3.3918464127851302</v>
      </c>
      <c r="N49" s="32">
        <f>[12]Table4.1!$B$15</f>
        <v>6.4474639957489703</v>
      </c>
      <c r="O49" s="32">
        <f>[13]Table4.1!$B$15</f>
        <v>4.7151847473053596</v>
      </c>
      <c r="P49" s="32">
        <f>[14]Table4.1!$B$15</f>
        <v>8.2546061497337408</v>
      </c>
      <c r="Q49" s="32">
        <f>[15]Table4.1!$B$15</f>
        <v>7.0683499231307403</v>
      </c>
      <c r="R49" s="32">
        <f>[16]Table4.1!$B$15</f>
        <v>6.5046606043040001</v>
      </c>
      <c r="S49" s="32">
        <f>[17]Table4.1!$B$15</f>
        <v>5.6569088287412397</v>
      </c>
      <c r="T49" s="32">
        <f>[18]Table4.1!$B$15</f>
        <v>6.7260658476591599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9FA54-E2A3-4FC3-8C7F-84BF60F82EDE}">
  <sheetPr>
    <tabColor rgb="FFFFFF00"/>
  </sheetPr>
  <dimension ref="A1:AW32"/>
  <sheetViews>
    <sheetView showGridLines="0" zoomScale="48" zoomScaleNormal="48" workbookViewId="0">
      <selection activeCell="E30" sqref="E30"/>
    </sheetView>
  </sheetViews>
  <sheetFormatPr defaultRowHeight="14.4"/>
  <cols>
    <col min="2" max="3" width="0" hidden="1" customWidth="1"/>
  </cols>
  <sheetData>
    <row r="1" spans="1:49">
      <c r="A1" s="4" t="s">
        <v>127</v>
      </c>
      <c r="B1" s="6"/>
      <c r="C1" s="6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49">
      <c r="B2" s="7" t="s">
        <v>8</v>
      </c>
      <c r="C2" s="7" t="s">
        <v>12</v>
      </c>
      <c r="D2">
        <v>2005</v>
      </c>
      <c r="I2" t="s">
        <v>1</v>
      </c>
      <c r="N2" t="s">
        <v>2</v>
      </c>
      <c r="S2" t="s">
        <v>3</v>
      </c>
      <c r="X2">
        <v>2025</v>
      </c>
      <c r="AC2">
        <v>2030</v>
      </c>
      <c r="AH2">
        <v>2035</v>
      </c>
      <c r="AM2">
        <v>2040</v>
      </c>
      <c r="AR2">
        <v>2045</v>
      </c>
      <c r="AW2">
        <v>2050</v>
      </c>
    </row>
    <row r="3" spans="1:49">
      <c r="A3" t="s">
        <v>130</v>
      </c>
      <c r="B3" t="s">
        <v>122</v>
      </c>
      <c r="C3" t="s">
        <v>66</v>
      </c>
      <c r="E3" s="32">
        <f>'L2. Areas per land-use category'!E44-'L2. Areas per land-use category'!D44</f>
        <v>401.19321244507591</v>
      </c>
      <c r="F3" s="32">
        <f>'L2. Areas per land-use category'!F44-'L2. Areas per land-use category'!E44</f>
        <v>231.93072364233012</v>
      </c>
      <c r="G3" s="32">
        <f>'L2. Areas per land-use category'!G44-'L2. Areas per land-use category'!F44</f>
        <v>225.85633956975289</v>
      </c>
      <c r="H3" s="32">
        <f>'L2. Areas per land-use category'!H44-'L2. Areas per land-use category'!G44</f>
        <v>236.55833969975356</v>
      </c>
      <c r="I3" s="32">
        <f>'L2. Areas per land-use category'!I44-'L2. Areas per land-use category'!H44</f>
        <v>232.01301003732806</v>
      </c>
      <c r="J3" s="32">
        <f>'L2. Areas per land-use category'!J44-'L2. Areas per land-use category'!I44</f>
        <v>228.45056036303504</v>
      </c>
      <c r="K3" s="32">
        <f>'L2. Areas per land-use category'!K44-'L2. Areas per land-use category'!J44</f>
        <v>231.94095441418904</v>
      </c>
      <c r="L3" s="32">
        <f>'L2. Areas per land-use category'!L44-'L2. Areas per land-use category'!K44</f>
        <v>155.89010186346059</v>
      </c>
      <c r="M3" s="32">
        <f>'L2. Areas per land-use category'!M44-'L2. Areas per land-use category'!L44</f>
        <v>265.2911194371336</v>
      </c>
      <c r="N3" s="32">
        <f>'L2. Areas per land-use category'!N44-'L2. Areas per land-use category'!M44</f>
        <v>125.57669410957897</v>
      </c>
      <c r="O3" s="32">
        <f>'L2. Areas per land-use category'!O44-'L2. Areas per land-use category'!N44</f>
        <v>179.18642471923886</v>
      </c>
      <c r="P3" s="32">
        <f>'L2. Areas per land-use category'!P44-'L2. Areas per land-use category'!O44</f>
        <v>141.46489158360419</v>
      </c>
      <c r="Q3" s="32">
        <f>'L2. Areas per land-use category'!Q44-'L2. Areas per land-use category'!P44</f>
        <v>164.33094171945777</v>
      </c>
      <c r="R3" s="32">
        <f>'L2. Areas per land-use category'!R44-'L2. Areas per land-use category'!Q44</f>
        <v>149.25088031767154</v>
      </c>
      <c r="S3" s="32">
        <f>'L2. Areas per land-use category'!S44-'L2. Areas per land-use category'!R44</f>
        <v>157.54236404463154</v>
      </c>
      <c r="T3" s="32">
        <f>'L2. Areas per land-use category'!T44-'L2. Areas per land-use category'!S44</f>
        <v>142.16969832046743</v>
      </c>
    </row>
    <row r="4" spans="1:49">
      <c r="A4" t="s">
        <v>7</v>
      </c>
      <c r="B4" t="s">
        <v>128</v>
      </c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AW4">
        <v>0</v>
      </c>
    </row>
    <row r="5" spans="1:49">
      <c r="A5" t="s">
        <v>242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>
        <v>142.16969832046746</v>
      </c>
      <c r="U5" s="32">
        <v>137.26729493010652</v>
      </c>
      <c r="V5" s="32">
        <v>132.36489153974557</v>
      </c>
      <c r="W5" s="32">
        <v>127.46248814938461</v>
      </c>
      <c r="X5" s="32">
        <v>122.56008475902367</v>
      </c>
      <c r="Y5" s="32">
        <v>117.65768136866272</v>
      </c>
      <c r="Z5" s="32">
        <v>112.75527797830176</v>
      </c>
      <c r="AA5" s="32">
        <v>107.85287458794082</v>
      </c>
      <c r="AB5" s="32">
        <v>102.95047119757987</v>
      </c>
      <c r="AC5" s="32">
        <v>98.048067807218928</v>
      </c>
      <c r="AD5" s="32">
        <v>93.145664416857983</v>
      </c>
      <c r="AE5" s="32">
        <v>88.243261026497038</v>
      </c>
      <c r="AF5" s="32">
        <v>83.340857636136093</v>
      </c>
      <c r="AG5" s="32">
        <v>78.438454245775134</v>
      </c>
      <c r="AH5" s="32">
        <v>73.536050855414189</v>
      </c>
      <c r="AI5" s="32">
        <v>68.633647465053244</v>
      </c>
      <c r="AJ5" s="32">
        <v>63.731244074692299</v>
      </c>
      <c r="AK5" s="32">
        <v>58.828840684331354</v>
      </c>
      <c r="AL5" s="32">
        <v>53.926437293970395</v>
      </c>
      <c r="AM5" s="32">
        <v>49.02403390360945</v>
      </c>
      <c r="AN5" s="32">
        <v>44.121630513248505</v>
      </c>
      <c r="AO5" s="32">
        <v>39.21922712288756</v>
      </c>
      <c r="AP5" s="32">
        <v>34.316823732526615</v>
      </c>
      <c r="AQ5" s="32">
        <v>29.41442034216567</v>
      </c>
      <c r="AR5" s="32">
        <v>24.512016951804711</v>
      </c>
      <c r="AS5" s="32">
        <v>19.609613561443766</v>
      </c>
      <c r="AT5" s="32">
        <v>14.707210171082806</v>
      </c>
      <c r="AU5" s="32">
        <v>9.8048067807218615</v>
      </c>
      <c r="AV5" s="32">
        <v>4.9024033903609165</v>
      </c>
      <c r="AW5" s="32">
        <v>-2.8421709430404007E-14</v>
      </c>
    </row>
    <row r="6" spans="1:49"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</row>
    <row r="7" spans="1:49">
      <c r="A7" t="s">
        <v>110</v>
      </c>
      <c r="D7" s="32">
        <f>(T3-P3)/5</f>
        <v>0.14096134737264948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</row>
    <row r="8" spans="1:49">
      <c r="A8" t="s">
        <v>129</v>
      </c>
      <c r="D8" s="32">
        <f>U5-T5</f>
        <v>-4.902403390360945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</row>
    <row r="30" spans="6:20">
      <c r="K30" s="32"/>
      <c r="L30" s="32"/>
      <c r="M30" s="32"/>
      <c r="N30" s="32"/>
      <c r="O30" s="32"/>
      <c r="P30" s="32"/>
      <c r="Q30" s="32"/>
      <c r="R30" s="32"/>
      <c r="S30" s="32"/>
      <c r="T30" s="32"/>
    </row>
    <row r="31" spans="6:20"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</row>
    <row r="32" spans="6:20"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C5309-BC79-4C31-BDE6-F2935649CA8C}">
  <sheetPr>
    <tabColor rgb="FFFFFF00"/>
    <outlinePr summaryBelow="0"/>
  </sheetPr>
  <dimension ref="A1:AW61"/>
  <sheetViews>
    <sheetView showGridLines="0" topLeftCell="A28" zoomScale="130" zoomScaleNormal="130" workbookViewId="0">
      <selection activeCell="F61" sqref="F61"/>
    </sheetView>
  </sheetViews>
  <sheetFormatPr defaultRowHeight="14.4" outlineLevelRow="1"/>
  <cols>
    <col min="1" max="1" width="34" bestFit="1" customWidth="1"/>
    <col min="2" max="3" width="9.21875" customWidth="1"/>
    <col min="4" max="4" width="12.21875" bestFit="1" customWidth="1"/>
    <col min="5" max="20" width="11.21875" bestFit="1" customWidth="1"/>
    <col min="22" max="22" width="10.77734375" bestFit="1" customWidth="1"/>
  </cols>
  <sheetData>
    <row r="1" spans="1:49" s="30" customFormat="1">
      <c r="A1" s="31" t="s">
        <v>4</v>
      </c>
    </row>
    <row r="2" spans="1:49">
      <c r="B2" s="7" t="s">
        <v>8</v>
      </c>
      <c r="C2" s="42" t="s">
        <v>12</v>
      </c>
      <c r="D2" t="s">
        <v>0</v>
      </c>
      <c r="I2" t="s">
        <v>1</v>
      </c>
      <c r="N2" t="s">
        <v>2</v>
      </c>
      <c r="S2" t="s">
        <v>3</v>
      </c>
      <c r="X2">
        <v>2025</v>
      </c>
      <c r="AC2">
        <v>2030</v>
      </c>
      <c r="AH2">
        <v>2035</v>
      </c>
      <c r="AM2">
        <v>2040</v>
      </c>
      <c r="AR2">
        <v>2045</v>
      </c>
      <c r="AW2">
        <v>2050</v>
      </c>
    </row>
    <row r="3" spans="1:49">
      <c r="A3" t="s">
        <v>236</v>
      </c>
      <c r="B3" t="s">
        <v>11</v>
      </c>
      <c r="C3" t="s">
        <v>13</v>
      </c>
      <c r="D3" s="1">
        <f>D5+D4</f>
        <v>797.38002090107079</v>
      </c>
      <c r="E3" s="1">
        <f t="shared" ref="E3:T3" si="0">E5+E4</f>
        <v>770.36258587312955</v>
      </c>
      <c r="F3" s="1">
        <f t="shared" si="0"/>
        <v>762.03285897832029</v>
      </c>
      <c r="G3" s="1">
        <f t="shared" si="0"/>
        <v>805.35226209018413</v>
      </c>
      <c r="H3" s="1">
        <f t="shared" si="0"/>
        <v>778.47124941255959</v>
      </c>
      <c r="I3" s="1">
        <f t="shared" si="0"/>
        <v>817.2699877405887</v>
      </c>
      <c r="J3" s="1">
        <f t="shared" si="0"/>
        <v>808.82172618816662</v>
      </c>
      <c r="K3" s="1">
        <f t="shared" si="0"/>
        <v>811.41270865721879</v>
      </c>
      <c r="L3" s="1">
        <f t="shared" si="0"/>
        <v>826.36987063986783</v>
      </c>
      <c r="M3" s="1">
        <f t="shared" si="0"/>
        <v>797.42547444164029</v>
      </c>
      <c r="N3" s="1">
        <f t="shared" si="0"/>
        <v>786.33914375191375</v>
      </c>
      <c r="O3" s="1">
        <f t="shared" si="0"/>
        <v>787.28235029379789</v>
      </c>
      <c r="P3" s="1">
        <f t="shared" si="0"/>
        <v>743.16623935982307</v>
      </c>
      <c r="Q3" s="1">
        <f t="shared" si="0"/>
        <v>746.86406423139545</v>
      </c>
      <c r="R3" s="1">
        <f t="shared" si="0"/>
        <v>727.86626254413227</v>
      </c>
      <c r="S3" s="1">
        <f t="shared" si="0"/>
        <v>714.08754557139173</v>
      </c>
      <c r="T3" s="1">
        <f t="shared" si="0"/>
        <v>718.4807233416484</v>
      </c>
    </row>
    <row r="4" spans="1:49">
      <c r="A4" t="s">
        <v>244</v>
      </c>
      <c r="B4" t="s">
        <v>159</v>
      </c>
      <c r="C4" t="s">
        <v>13</v>
      </c>
      <c r="D4" s="1">
        <f>D46</f>
        <v>435.62470506341748</v>
      </c>
      <c r="E4" s="1">
        <f t="shared" ref="E4:T4" si="1">E46</f>
        <v>413.85043571399552</v>
      </c>
      <c r="F4" s="1">
        <f t="shared" si="1"/>
        <v>442.2800023995726</v>
      </c>
      <c r="G4" s="1">
        <f t="shared" si="1"/>
        <v>413.26197341037272</v>
      </c>
      <c r="H4" s="1">
        <f t="shared" si="1"/>
        <v>381.02847836332711</v>
      </c>
      <c r="I4" s="1">
        <f t="shared" si="1"/>
        <v>428.20066802095863</v>
      </c>
      <c r="J4" s="1">
        <f t="shared" si="1"/>
        <v>428.36403518207851</v>
      </c>
      <c r="K4" s="1">
        <f t="shared" si="1"/>
        <v>428.69638165378268</v>
      </c>
      <c r="L4" s="1">
        <f t="shared" si="1"/>
        <v>435.29837549572142</v>
      </c>
      <c r="M4" s="1">
        <f t="shared" si="1"/>
        <v>435.44375583319402</v>
      </c>
      <c r="N4" s="1">
        <f t="shared" si="1"/>
        <v>443.41538592139307</v>
      </c>
      <c r="O4" s="1">
        <f t="shared" si="1"/>
        <v>449.92851885088851</v>
      </c>
      <c r="P4" s="1">
        <f t="shared" si="1"/>
        <v>455.57712123800138</v>
      </c>
      <c r="Q4" s="1">
        <f t="shared" si="1"/>
        <v>479.7079168880249</v>
      </c>
      <c r="R4" s="1">
        <f t="shared" si="1"/>
        <v>482.76994549875656</v>
      </c>
      <c r="S4" s="1">
        <f t="shared" si="1"/>
        <v>467.37460502423244</v>
      </c>
      <c r="T4" s="1">
        <f t="shared" si="1"/>
        <v>486.720929319665</v>
      </c>
    </row>
    <row r="5" spans="1:49">
      <c r="A5" t="s">
        <v>249</v>
      </c>
      <c r="B5" t="s">
        <v>160</v>
      </c>
      <c r="C5" t="s">
        <v>13</v>
      </c>
      <c r="D5" s="1">
        <v>361.75531583765331</v>
      </c>
      <c r="E5" s="1">
        <v>356.51215015913397</v>
      </c>
      <c r="F5" s="1">
        <v>319.75285657874764</v>
      </c>
      <c r="G5" s="1">
        <v>392.09028867981141</v>
      </c>
      <c r="H5" s="1">
        <v>397.44277104923248</v>
      </c>
      <c r="I5" s="1">
        <v>389.06931971963007</v>
      </c>
      <c r="J5" s="1">
        <v>380.45769100608806</v>
      </c>
      <c r="K5" s="1">
        <v>382.71632700343611</v>
      </c>
      <c r="L5" s="1">
        <v>391.07149514414641</v>
      </c>
      <c r="M5" s="1">
        <v>361.98171860844633</v>
      </c>
      <c r="N5" s="1">
        <v>342.92375783052069</v>
      </c>
      <c r="O5" s="1">
        <v>337.35383144290938</v>
      </c>
      <c r="P5" s="1">
        <v>287.58911812182163</v>
      </c>
      <c r="Q5" s="1">
        <v>267.15614734337055</v>
      </c>
      <c r="R5" s="1">
        <v>245.09631704537577</v>
      </c>
      <c r="S5" s="1">
        <v>246.71294054715932</v>
      </c>
      <c r="T5" s="1">
        <v>231.75979402198345</v>
      </c>
    </row>
    <row r="6" spans="1:49">
      <c r="A6" t="s">
        <v>251</v>
      </c>
      <c r="B6" t="s">
        <v>160</v>
      </c>
      <c r="C6" t="s">
        <v>13</v>
      </c>
      <c r="D6" s="1">
        <f t="shared" ref="D6:T6" si="2">D35/1000-D5</f>
        <v>53.03668416234666</v>
      </c>
      <c r="E6" s="1">
        <f t="shared" si="2"/>
        <v>54.051849840866055</v>
      </c>
      <c r="F6" s="1">
        <f t="shared" si="2"/>
        <v>46.765143421252333</v>
      </c>
      <c r="G6" s="1">
        <f t="shared" si="2"/>
        <v>39.134711320188615</v>
      </c>
      <c r="H6" s="1">
        <f t="shared" si="2"/>
        <v>52.325228950767496</v>
      </c>
      <c r="I6" s="1">
        <f t="shared" si="2"/>
        <v>44.121680280369901</v>
      </c>
      <c r="J6" s="1">
        <f t="shared" si="2"/>
        <v>45.986308993911962</v>
      </c>
      <c r="K6" s="1">
        <f t="shared" si="2"/>
        <v>41.477672996563911</v>
      </c>
      <c r="L6" s="1">
        <f t="shared" si="2"/>
        <v>49.648504855853616</v>
      </c>
      <c r="M6" s="1">
        <f t="shared" si="2"/>
        <v>39.771281391553657</v>
      </c>
      <c r="N6" s="1">
        <f t="shared" si="2"/>
        <v>47.804242169479323</v>
      </c>
      <c r="O6" s="1">
        <f t="shared" si="2"/>
        <v>44.965168557090635</v>
      </c>
      <c r="P6" s="1">
        <f t="shared" si="2"/>
        <v>25.022881878178396</v>
      </c>
      <c r="Q6" s="1">
        <f t="shared" si="2"/>
        <v>39.827852656629432</v>
      </c>
      <c r="R6" s="1">
        <f t="shared" si="2"/>
        <v>48.743682954624205</v>
      </c>
      <c r="S6" s="1">
        <f t="shared" si="2"/>
        <v>44.995059452840707</v>
      </c>
      <c r="T6" s="1">
        <f t="shared" si="2"/>
        <v>49.069205978016555</v>
      </c>
    </row>
    <row r="7" spans="1:49">
      <c r="A7" t="s">
        <v>6</v>
      </c>
      <c r="B7" t="s">
        <v>252</v>
      </c>
      <c r="C7" t="s">
        <v>13</v>
      </c>
      <c r="T7" s="1"/>
      <c r="AC7" s="1">
        <v>380</v>
      </c>
    </row>
    <row r="8" spans="1:49">
      <c r="A8" t="s">
        <v>7</v>
      </c>
      <c r="B8" t="s">
        <v>252</v>
      </c>
      <c r="AC8" s="1"/>
      <c r="AW8">
        <v>450</v>
      </c>
    </row>
    <row r="9" spans="1:49">
      <c r="A9" t="s">
        <v>10</v>
      </c>
      <c r="T9" s="1">
        <v>280.82900000000001</v>
      </c>
      <c r="U9" s="1">
        <v>291.84800000000001</v>
      </c>
      <c r="V9" s="1">
        <v>302.86699999999996</v>
      </c>
      <c r="W9" s="1">
        <v>313.88599999999997</v>
      </c>
      <c r="X9" s="1">
        <v>324.90499999999997</v>
      </c>
      <c r="Y9" s="1">
        <v>335.92399999999998</v>
      </c>
      <c r="Z9" s="1">
        <v>346.94299999999998</v>
      </c>
      <c r="AA9" s="1">
        <v>357.96199999999993</v>
      </c>
      <c r="AB9" s="1">
        <v>368.98099999999994</v>
      </c>
      <c r="AC9" s="1">
        <v>379.99999999999994</v>
      </c>
      <c r="AD9" s="1">
        <v>383.49999999999994</v>
      </c>
      <c r="AE9" s="1">
        <v>386.99999999999994</v>
      </c>
      <c r="AF9" s="1">
        <v>390.49999999999994</v>
      </c>
      <c r="AG9" s="1">
        <v>393.99999999999994</v>
      </c>
      <c r="AH9" s="1">
        <v>397.49999999999994</v>
      </c>
      <c r="AI9" s="1">
        <v>400.99999999999994</v>
      </c>
      <c r="AJ9" s="1">
        <v>404.49999999999994</v>
      </c>
      <c r="AK9" s="1">
        <v>407.99999999999994</v>
      </c>
      <c r="AL9" s="1">
        <v>411.49999999999994</v>
      </c>
      <c r="AM9" s="1">
        <v>414.99999999999994</v>
      </c>
      <c r="AN9" s="1">
        <v>418.49999999999994</v>
      </c>
      <c r="AO9" s="1">
        <v>421.99999999999994</v>
      </c>
      <c r="AP9" s="1">
        <v>425.49999999999994</v>
      </c>
      <c r="AQ9" s="1">
        <v>428.99999999999994</v>
      </c>
      <c r="AR9" s="1">
        <v>432.49999999999994</v>
      </c>
      <c r="AS9" s="1">
        <v>435.99999999999994</v>
      </c>
      <c r="AT9" s="1">
        <v>439.49999999999994</v>
      </c>
      <c r="AU9" s="1">
        <v>442.99999999999994</v>
      </c>
      <c r="AV9" s="1">
        <v>446.49999999999994</v>
      </c>
      <c r="AW9" s="1">
        <v>449.99999999999994</v>
      </c>
    </row>
    <row r="10" spans="1:49"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</row>
    <row r="11" spans="1:49"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</row>
    <row r="12" spans="1:49"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</row>
    <row r="13" spans="1:49">
      <c r="A13" t="s">
        <v>176</v>
      </c>
      <c r="D13" s="1">
        <f>T6-D6</f>
        <v>-3.9674781843301048</v>
      </c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</row>
    <row r="14" spans="1:49">
      <c r="A14" t="s">
        <v>177</v>
      </c>
      <c r="D14" s="1">
        <f>D4-T4</f>
        <v>-51.096224256247524</v>
      </c>
      <c r="E14" s="2">
        <f>D14/D13</f>
        <v>12.878766279813822</v>
      </c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</row>
    <row r="15" spans="1:49">
      <c r="A15" t="s">
        <v>178</v>
      </c>
      <c r="D15" s="1">
        <f>T3-D3</f>
        <v>-78.899297559422394</v>
      </c>
      <c r="E15" s="2">
        <f>D15/D13</f>
        <v>19.886510749080344</v>
      </c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</row>
    <row r="16" spans="1:49"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</row>
    <row r="17" spans="1:49">
      <c r="A17" t="s">
        <v>110</v>
      </c>
      <c r="D17" s="1">
        <f>(T5+T6-P5-P6)/4</f>
        <v>-7.9457500000000039</v>
      </c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</row>
    <row r="18" spans="1:49">
      <c r="A18" t="s">
        <v>5</v>
      </c>
      <c r="D18" s="1">
        <f>X9-W9</f>
        <v>11.019000000000005</v>
      </c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</row>
    <row r="19" spans="1:49">
      <c r="A19" t="s">
        <v>232</v>
      </c>
      <c r="D19" s="1">
        <f>(AH9-AG9)</f>
        <v>3.5</v>
      </c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</row>
    <row r="20" spans="1:49"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</row>
    <row r="21" spans="1:49"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</row>
    <row r="22" spans="1:49"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</row>
    <row r="23" spans="1:49">
      <c r="F23" s="49"/>
      <c r="G23" s="49"/>
      <c r="H23" s="49"/>
      <c r="I23" s="49"/>
      <c r="J23" s="49"/>
      <c r="K23" s="49"/>
      <c r="L23" s="50"/>
      <c r="M23" s="50"/>
      <c r="N23" s="50"/>
      <c r="O23" s="50"/>
      <c r="P23" s="50"/>
      <c r="Q23" s="1"/>
      <c r="R23" s="1"/>
      <c r="S23" s="1"/>
      <c r="T23" s="1"/>
    </row>
    <row r="24" spans="1:49"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1"/>
      <c r="R24" s="1"/>
      <c r="S24" s="1"/>
      <c r="T24" s="1"/>
    </row>
    <row r="25" spans="1:49"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</row>
    <row r="27" spans="1:49" s="30" customFormat="1">
      <c r="A27" s="31" t="s">
        <v>150</v>
      </c>
    </row>
    <row r="28" spans="1:49" s="36" customFormat="1">
      <c r="A28" s="43" t="s">
        <v>151</v>
      </c>
    </row>
    <row r="29" spans="1:49" ht="15.75" customHeight="1">
      <c r="B29" s="7" t="s">
        <v>8</v>
      </c>
      <c r="C29" s="42" t="s">
        <v>12</v>
      </c>
      <c r="D29" t="s">
        <v>0</v>
      </c>
      <c r="I29" t="s">
        <v>1</v>
      </c>
      <c r="N29" t="s">
        <v>2</v>
      </c>
      <c r="S29" t="s">
        <v>3</v>
      </c>
      <c r="X29">
        <v>2025</v>
      </c>
      <c r="AC29">
        <v>2030</v>
      </c>
      <c r="AH29">
        <v>2035</v>
      </c>
      <c r="AM29">
        <v>2040</v>
      </c>
      <c r="AR29">
        <v>2045</v>
      </c>
      <c r="AW29">
        <v>2050</v>
      </c>
    </row>
    <row r="30" spans="1:49">
      <c r="A30" t="s">
        <v>146</v>
      </c>
      <c r="B30" t="s">
        <v>149</v>
      </c>
      <c r="C30" s="42" t="s">
        <v>148</v>
      </c>
      <c r="D30" s="3">
        <f>[34]Table4.A!$M$10</f>
        <v>207379.81327731995</v>
      </c>
      <c r="E30" s="3">
        <f>[3]Table4.A!$M$10</f>
        <v>206916.63427266973</v>
      </c>
      <c r="F30" s="3">
        <f>[4]Table4.A!$M$10</f>
        <v>206146.02553512066</v>
      </c>
      <c r="G30" s="3">
        <f>[5]Table4.A!$M$10</f>
        <v>218343.43247596361</v>
      </c>
      <c r="H30" s="3">
        <f>[6]Table4.A!$M$10</f>
        <v>220287.80260727013</v>
      </c>
      <c r="I30" s="3">
        <f>[7]Table4.A!$M$10</f>
        <v>219703.98307324256</v>
      </c>
      <c r="J30" s="3">
        <f>[8]Table4.A!$M$10</f>
        <v>219467.88460490768</v>
      </c>
      <c r="K30" s="3">
        <f>[9]Table4.A!$M$10</f>
        <v>219573.06023293623</v>
      </c>
      <c r="L30" s="3">
        <f>[10]Table4.A!$M$10</f>
        <v>219562.61292857517</v>
      </c>
      <c r="M30" s="3">
        <f>[11]Table4.A!$M$10</f>
        <v>216997.78918216712</v>
      </c>
      <c r="N30" s="3">
        <f>[12]Table4.A!$M$10</f>
        <v>213886.8459289117</v>
      </c>
      <c r="O30" s="3">
        <f>[13]Table4.A!$M$10</f>
        <v>216230.89092571574</v>
      </c>
      <c r="P30" s="3">
        <f>[14]Table4.A!$M$10</f>
        <v>212622.7923346734</v>
      </c>
      <c r="Q30" s="3">
        <f>[15]Table4.A!$M$10</f>
        <v>210749.78581342337</v>
      </c>
      <c r="R30" s="3">
        <f>[16]Table4.A!$M$10</f>
        <v>205781.42621340053</v>
      </c>
      <c r="S30" s="3">
        <f>[17]Table4.A!$M$10</f>
        <v>205587.36575222082</v>
      </c>
      <c r="T30" s="3">
        <f>[35]Table4.A!$M$10</f>
        <v>204988.07275204523</v>
      </c>
    </row>
    <row r="31" spans="1:49">
      <c r="A31" t="s">
        <v>147</v>
      </c>
      <c r="B31" t="s">
        <v>149</v>
      </c>
      <c r="C31" s="42" t="s">
        <v>148</v>
      </c>
      <c r="D31" s="3">
        <f>[34]Table4.A!$N$10</f>
        <v>-108647.46725175958</v>
      </c>
      <c r="E31" s="3">
        <f>[3]Table4.A!$N$10</f>
        <v>-109615.28324670522</v>
      </c>
      <c r="F31" s="3">
        <f>[4]Table4.A!$N$10</f>
        <v>-118877.23280074631</v>
      </c>
      <c r="G31" s="3">
        <f>[5]Table4.A!$N$10</f>
        <v>-111331.89080570942</v>
      </c>
      <c r="H31" s="3">
        <f>[6]Table4.A!$N$10</f>
        <v>-111815.43059601674</v>
      </c>
      <c r="I31" s="3">
        <f>[7]Table4.A!$N$10</f>
        <v>-113516.94166504659</v>
      </c>
      <c r="J31" s="3">
        <f>[8]Table4.A!$N$10</f>
        <v>-115631.17854429412</v>
      </c>
      <c r="K31" s="3">
        <f>[9]Table4.A!$N$10</f>
        <v>-115119.91421671459</v>
      </c>
      <c r="L31" s="3">
        <f>[10]Table4.A!$N$10</f>
        <v>-112829.12626259636</v>
      </c>
      <c r="M31" s="3">
        <f>[11]Table4.A!$N$10</f>
        <v>-118203.65200737282</v>
      </c>
      <c r="N31" s="3">
        <f>[12]Table4.A!$N$10</f>
        <v>-120294.11726337658</v>
      </c>
      <c r="O31" s="3">
        <f>[13]Table4.A!$N$10</f>
        <v>-124158.3386760134</v>
      </c>
      <c r="P31" s="3">
        <f>[14]Table4.A!$N$10</f>
        <v>-134132.31249793171</v>
      </c>
      <c r="Q31" s="3">
        <f>[15]Table4.A!$N$10</f>
        <v>-137835.99014110607</v>
      </c>
      <c r="R31" s="3">
        <f>[16]Table4.A!$N$10</f>
        <v>-138888.32658311239</v>
      </c>
      <c r="S31" s="3">
        <f>[17]Table4.A!$N$10</f>
        <v>-138253.04791729743</v>
      </c>
      <c r="T31" s="3">
        <f>[35]Table4.A!$N$10</f>
        <v>-141734.85385958251</v>
      </c>
    </row>
    <row r="32" spans="1:49">
      <c r="A32" t="s">
        <v>145</v>
      </c>
      <c r="B32" t="s">
        <v>149</v>
      </c>
      <c r="C32" s="42" t="s">
        <v>148</v>
      </c>
      <c r="D32" s="3">
        <f>[34]Table4.A!$O$10</f>
        <v>98732.346025560386</v>
      </c>
      <c r="E32" s="3">
        <f>[3]Table4.A!$O$10</f>
        <v>97301.351025964497</v>
      </c>
      <c r="F32" s="3">
        <f>[4]Table4.A!$O$10</f>
        <v>87268.79273437435</v>
      </c>
      <c r="G32" s="3">
        <f>[5]Table4.A!$O$10</f>
        <v>107011.5416702542</v>
      </c>
      <c r="H32" s="3">
        <f>[6]Table4.A!$O$10</f>
        <v>108472.37201125339</v>
      </c>
      <c r="I32" s="3">
        <f>[7]Table4.A!$O$10</f>
        <v>106187.04140819598</v>
      </c>
      <c r="J32" s="3">
        <f>[8]Table4.A!$O$10</f>
        <v>103836.70606061355</v>
      </c>
      <c r="K32" s="3">
        <f>[9]Table4.A!$O$10</f>
        <v>104453.14601622164</v>
      </c>
      <c r="L32" s="3">
        <f>[10]Table4.A!$O$10</f>
        <v>106733.48666597882</v>
      </c>
      <c r="M32" s="3">
        <f>[11]Table4.A!$O$10</f>
        <v>98794.13717479429</v>
      </c>
      <c r="N32" s="3">
        <f>[12]Table4.A!$O$10</f>
        <v>93592.72866553512</v>
      </c>
      <c r="O32" s="3">
        <f>[13]Table4.A!$O$10</f>
        <v>92072.552249702334</v>
      </c>
      <c r="P32" s="3">
        <f>[14]Table4.A!$O$10</f>
        <v>78490.479836741695</v>
      </c>
      <c r="Q32" s="3">
        <f>[15]Table4.A!$O$10</f>
        <v>72913.795672317283</v>
      </c>
      <c r="R32" s="3">
        <f>[16]Table4.A!$O$10</f>
        <v>66893.099630288139</v>
      </c>
      <c r="S32" s="3">
        <f>[17]Table4.A!$O$10</f>
        <v>67334.317834923393</v>
      </c>
      <c r="T32" s="3">
        <f>[35]Table4.A!$O$10</f>
        <v>63253.218892462733</v>
      </c>
    </row>
    <row r="33" spans="1:49">
      <c r="A33" t="s">
        <v>249</v>
      </c>
      <c r="B33" t="s">
        <v>11</v>
      </c>
      <c r="C33" s="42" t="s">
        <v>64</v>
      </c>
      <c r="D33" s="3">
        <f>D32*3.664</f>
        <v>361755.3158376533</v>
      </c>
      <c r="E33" s="3">
        <f t="shared" ref="E33:T33" si="3">E32*3.664</f>
        <v>356512.15015913395</v>
      </c>
      <c r="F33" s="3">
        <f t="shared" si="3"/>
        <v>319752.85657874763</v>
      </c>
      <c r="G33" s="3">
        <f t="shared" si="3"/>
        <v>392090.28867981141</v>
      </c>
      <c r="H33" s="3">
        <f t="shared" si="3"/>
        <v>397442.77104923245</v>
      </c>
      <c r="I33" s="3">
        <f t="shared" si="3"/>
        <v>389069.31971963006</v>
      </c>
      <c r="J33" s="3">
        <f t="shared" si="3"/>
        <v>380457.69100608805</v>
      </c>
      <c r="K33" s="3">
        <f t="shared" si="3"/>
        <v>382716.3270034361</v>
      </c>
      <c r="L33" s="3">
        <f t="shared" si="3"/>
        <v>391071.49514414644</v>
      </c>
      <c r="M33" s="3">
        <f t="shared" si="3"/>
        <v>361981.7186084463</v>
      </c>
      <c r="N33" s="3">
        <f t="shared" si="3"/>
        <v>342923.75783052068</v>
      </c>
      <c r="O33" s="3">
        <f t="shared" si="3"/>
        <v>337353.83144290937</v>
      </c>
      <c r="P33" s="3">
        <f t="shared" si="3"/>
        <v>287589.11812182161</v>
      </c>
      <c r="Q33" s="3">
        <f t="shared" si="3"/>
        <v>267156.14734337054</v>
      </c>
      <c r="R33" s="3">
        <f t="shared" si="3"/>
        <v>245096.31704537576</v>
      </c>
      <c r="S33" s="3">
        <f t="shared" si="3"/>
        <v>246712.94054715932</v>
      </c>
      <c r="T33" s="3">
        <f t="shared" si="3"/>
        <v>231759.79402198346</v>
      </c>
    </row>
    <row r="34" spans="1:49">
      <c r="A34" t="s">
        <v>250</v>
      </c>
      <c r="B34" t="s">
        <v>11</v>
      </c>
      <c r="C34" s="42" t="s">
        <v>64</v>
      </c>
      <c r="D34" s="3">
        <f>D35-D33</f>
        <v>53036.684162346704</v>
      </c>
      <c r="E34" s="3">
        <f t="shared" ref="E34:T34" si="4">E35-E33</f>
        <v>54051.849840866053</v>
      </c>
      <c r="F34" s="3">
        <f t="shared" si="4"/>
        <v>46765.143421252375</v>
      </c>
      <c r="G34" s="3">
        <f t="shared" si="4"/>
        <v>39134.711320188595</v>
      </c>
      <c r="H34" s="3">
        <f t="shared" si="4"/>
        <v>52325.228950767545</v>
      </c>
      <c r="I34" s="3">
        <f t="shared" si="4"/>
        <v>44121.680280369939</v>
      </c>
      <c r="J34" s="3">
        <f t="shared" si="4"/>
        <v>45986.308993911953</v>
      </c>
      <c r="K34" s="3">
        <f t="shared" si="4"/>
        <v>41477.672996563895</v>
      </c>
      <c r="L34" s="3">
        <f t="shared" si="4"/>
        <v>49648.504855853564</v>
      </c>
      <c r="M34" s="3">
        <f t="shared" si="4"/>
        <v>39771.281391553697</v>
      </c>
      <c r="N34" s="3">
        <f t="shared" si="4"/>
        <v>47804.242169479316</v>
      </c>
      <c r="O34" s="3">
        <f t="shared" si="4"/>
        <v>44965.168557090627</v>
      </c>
      <c r="P34" s="3">
        <f t="shared" si="4"/>
        <v>25022.881878178392</v>
      </c>
      <c r="Q34" s="3">
        <f t="shared" si="4"/>
        <v>39827.85265662946</v>
      </c>
      <c r="R34" s="3">
        <f t="shared" si="4"/>
        <v>48743.682954624237</v>
      </c>
      <c r="S34" s="3">
        <f t="shared" si="4"/>
        <v>44995.05945284068</v>
      </c>
      <c r="T34" s="3">
        <f t="shared" si="4"/>
        <v>49069.205978016544</v>
      </c>
    </row>
    <row r="35" spans="1:49">
      <c r="A35" t="s">
        <v>243</v>
      </c>
      <c r="B35" t="s">
        <v>149</v>
      </c>
      <c r="C35" s="42" t="s">
        <v>64</v>
      </c>
      <c r="D35" s="3">
        <v>414792</v>
      </c>
      <c r="E35" s="3">
        <v>410564</v>
      </c>
      <c r="F35" s="3">
        <v>366518</v>
      </c>
      <c r="G35" s="3">
        <v>431225</v>
      </c>
      <c r="H35" s="3">
        <v>449768</v>
      </c>
      <c r="I35" s="3">
        <v>433191</v>
      </c>
      <c r="J35" s="3">
        <v>426444</v>
      </c>
      <c r="K35" s="3">
        <v>424194</v>
      </c>
      <c r="L35" s="3">
        <v>440720</v>
      </c>
      <c r="M35" s="3">
        <v>401753</v>
      </c>
      <c r="N35" s="3">
        <v>390728</v>
      </c>
      <c r="O35" s="3">
        <v>382319</v>
      </c>
      <c r="P35" s="3">
        <v>312612</v>
      </c>
      <c r="Q35" s="3">
        <v>306984</v>
      </c>
      <c r="R35" s="3">
        <v>293840</v>
      </c>
      <c r="S35" s="3">
        <v>291708</v>
      </c>
      <c r="T35" s="3">
        <v>280829</v>
      </c>
    </row>
    <row r="36" spans="1:49"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49" s="36" customFormat="1">
      <c r="A37" s="43" t="s">
        <v>158</v>
      </c>
    </row>
    <row r="38" spans="1:49">
      <c r="B38" s="7" t="s">
        <v>8</v>
      </c>
      <c r="C38" s="42" t="s">
        <v>12</v>
      </c>
      <c r="D38" t="s">
        <v>0</v>
      </c>
      <c r="I38" t="s">
        <v>1</v>
      </c>
      <c r="N38" t="s">
        <v>2</v>
      </c>
      <c r="S38" t="s">
        <v>3</v>
      </c>
      <c r="X38">
        <v>2025</v>
      </c>
      <c r="AC38">
        <v>2030</v>
      </c>
      <c r="AH38">
        <v>2035</v>
      </c>
      <c r="AM38">
        <v>2040</v>
      </c>
      <c r="AR38">
        <v>2045</v>
      </c>
      <c r="AW38">
        <v>2050</v>
      </c>
    </row>
    <row r="39" spans="1:49">
      <c r="A39" s="44" t="s">
        <v>154</v>
      </c>
      <c r="B39" t="s">
        <v>152</v>
      </c>
      <c r="C39" s="42" t="s">
        <v>153</v>
      </c>
      <c r="D39" s="3">
        <v>460574145</v>
      </c>
      <c r="E39" s="3">
        <v>433530614</v>
      </c>
      <c r="F39" s="3">
        <v>468797364</v>
      </c>
      <c r="G39" s="3">
        <v>432739074</v>
      </c>
      <c r="H39" s="3">
        <v>398124538</v>
      </c>
      <c r="I39" s="3">
        <v>446468578</v>
      </c>
      <c r="J39" s="3">
        <v>446615838</v>
      </c>
      <c r="K39" s="3">
        <v>443430262</v>
      </c>
      <c r="L39" s="3">
        <v>450606123</v>
      </c>
      <c r="M39" s="3">
        <v>453214196</v>
      </c>
      <c r="N39" s="3">
        <v>461695344</v>
      </c>
      <c r="O39" s="3">
        <v>468061982</v>
      </c>
      <c r="P39" s="3">
        <v>474392337</v>
      </c>
      <c r="Q39" s="3">
        <v>501933432</v>
      </c>
      <c r="R39" s="3">
        <v>506039930</v>
      </c>
      <c r="S39" s="3">
        <v>491417002</v>
      </c>
      <c r="T39" s="3">
        <v>511594835</v>
      </c>
      <c r="V39" s="3"/>
    </row>
    <row r="40" spans="1:49" outlineLevel="1">
      <c r="A40" s="44" t="s">
        <v>166</v>
      </c>
      <c r="B40" t="s">
        <v>152</v>
      </c>
      <c r="C40" s="42" t="s">
        <v>153</v>
      </c>
      <c r="D40" s="3">
        <v>294097435</v>
      </c>
      <c r="E40" s="3">
        <v>262622588</v>
      </c>
      <c r="F40" s="3">
        <v>301493661</v>
      </c>
      <c r="G40" s="3">
        <v>260166548</v>
      </c>
      <c r="H40" s="3">
        <v>234305455</v>
      </c>
      <c r="I40" s="3">
        <v>260519141</v>
      </c>
      <c r="J40" s="3">
        <v>261493683</v>
      </c>
      <c r="K40" s="3">
        <v>247737638</v>
      </c>
      <c r="L40" s="3">
        <v>252296108</v>
      </c>
      <c r="M40" s="3">
        <v>263378906</v>
      </c>
      <c r="N40" s="3">
        <v>266015239</v>
      </c>
      <c r="O40" s="3">
        <v>271688584</v>
      </c>
      <c r="P40" s="3">
        <v>276969329</v>
      </c>
      <c r="Q40" s="3">
        <v>298192704</v>
      </c>
      <c r="R40" s="3">
        <v>302398403</v>
      </c>
      <c r="S40" s="3">
        <v>296463359</v>
      </c>
      <c r="T40" s="3">
        <v>309452345</v>
      </c>
      <c r="V40" s="2"/>
      <c r="W40" s="2"/>
    </row>
    <row r="41" spans="1:49" outlineLevel="1">
      <c r="A41" s="44" t="s">
        <v>167</v>
      </c>
      <c r="B41" t="s">
        <v>152</v>
      </c>
      <c r="C41" s="42" t="s">
        <v>153</v>
      </c>
      <c r="D41" s="3">
        <v>74886069</v>
      </c>
      <c r="E41" s="3">
        <v>74800741</v>
      </c>
      <c r="F41" s="3">
        <v>75257447</v>
      </c>
      <c r="G41" s="3">
        <v>72992611</v>
      </c>
      <c r="H41" s="3">
        <v>63207478</v>
      </c>
      <c r="I41" s="3">
        <v>70501691</v>
      </c>
      <c r="J41" s="3">
        <v>74968028</v>
      </c>
      <c r="K41" s="3">
        <v>77498724</v>
      </c>
      <c r="L41" s="3">
        <v>75663291</v>
      </c>
      <c r="M41" s="3">
        <v>76637396</v>
      </c>
      <c r="N41" s="3">
        <v>76702244</v>
      </c>
      <c r="O41" s="3">
        <v>78047433</v>
      </c>
      <c r="P41" s="3">
        <v>78880573</v>
      </c>
      <c r="Q41" s="3">
        <v>83096962</v>
      </c>
      <c r="R41" s="3">
        <v>81937463</v>
      </c>
      <c r="S41" s="3">
        <v>75102628</v>
      </c>
      <c r="T41" s="3">
        <v>77854019</v>
      </c>
      <c r="V41" s="2"/>
      <c r="W41" s="2"/>
    </row>
    <row r="42" spans="1:49" outlineLevel="1">
      <c r="A42" s="44" t="s">
        <v>168</v>
      </c>
      <c r="B42" t="s">
        <v>152</v>
      </c>
      <c r="C42" s="42" t="s">
        <v>153</v>
      </c>
      <c r="D42" s="3">
        <v>27152686</v>
      </c>
      <c r="E42" s="3">
        <v>28952978</v>
      </c>
      <c r="F42" s="3">
        <v>28682165</v>
      </c>
      <c r="G42" s="3">
        <v>30401637</v>
      </c>
      <c r="H42" s="3">
        <v>30681192</v>
      </c>
      <c r="I42" s="3">
        <v>34075222</v>
      </c>
      <c r="J42" s="3">
        <v>33134947</v>
      </c>
      <c r="K42" s="3">
        <v>35161654</v>
      </c>
      <c r="L42" s="3">
        <v>36134528</v>
      </c>
      <c r="M42" s="3">
        <v>33468238</v>
      </c>
      <c r="N42" s="3">
        <v>36889858</v>
      </c>
      <c r="O42" s="3">
        <v>34260759</v>
      </c>
      <c r="P42" s="3">
        <v>34358391</v>
      </c>
      <c r="Q42" s="3">
        <v>37796911</v>
      </c>
      <c r="R42" s="3">
        <v>38791643</v>
      </c>
      <c r="S42" s="3">
        <v>38973580</v>
      </c>
      <c r="T42" s="3">
        <v>39315356</v>
      </c>
      <c r="V42" s="2"/>
      <c r="W42" s="2"/>
    </row>
    <row r="43" spans="1:49" outlineLevel="1">
      <c r="A43" s="44" t="s">
        <v>169</v>
      </c>
      <c r="B43" t="s">
        <v>152</v>
      </c>
      <c r="C43" s="42" t="s">
        <v>153</v>
      </c>
      <c r="D43" s="3">
        <v>64437955</v>
      </c>
      <c r="E43" s="3">
        <v>67154307</v>
      </c>
      <c r="F43" s="3">
        <v>63364091</v>
      </c>
      <c r="G43" s="3">
        <v>69178278</v>
      </c>
      <c r="H43" s="3">
        <v>69930413</v>
      </c>
      <c r="I43" s="3">
        <v>81372524</v>
      </c>
      <c r="J43" s="3">
        <v>77019180</v>
      </c>
      <c r="K43" s="3">
        <v>83032246</v>
      </c>
      <c r="L43" s="3">
        <v>86512196</v>
      </c>
      <c r="M43" s="3">
        <v>79729656</v>
      </c>
      <c r="N43" s="3">
        <v>82088003</v>
      </c>
      <c r="O43" s="3">
        <v>84065206</v>
      </c>
      <c r="P43" s="3">
        <v>84184044</v>
      </c>
      <c r="Q43" s="3">
        <v>82846855</v>
      </c>
      <c r="R43" s="3">
        <v>82912421</v>
      </c>
      <c r="S43" s="3">
        <v>80877435</v>
      </c>
      <c r="T43" s="3">
        <v>84973115</v>
      </c>
      <c r="V43" s="2"/>
      <c r="W43" s="2"/>
    </row>
    <row r="45" spans="1:49">
      <c r="B45" s="7" t="s">
        <v>8</v>
      </c>
      <c r="C45" s="42" t="s">
        <v>12</v>
      </c>
      <c r="D45" t="s">
        <v>0</v>
      </c>
      <c r="I45" t="s">
        <v>1</v>
      </c>
      <c r="N45" t="s">
        <v>2</v>
      </c>
      <c r="S45" t="s">
        <v>3</v>
      </c>
      <c r="X45">
        <v>2025</v>
      </c>
      <c r="AC45">
        <v>2030</v>
      </c>
      <c r="AH45">
        <v>2035</v>
      </c>
      <c r="AM45">
        <v>2040</v>
      </c>
      <c r="AR45">
        <v>2045</v>
      </c>
      <c r="AW45">
        <v>2050</v>
      </c>
    </row>
    <row r="46" spans="1:49">
      <c r="A46" s="44" t="s">
        <v>154</v>
      </c>
      <c r="B46" t="s">
        <v>11</v>
      </c>
      <c r="C46" s="42" t="s">
        <v>13</v>
      </c>
      <c r="D46" s="1">
        <f>SUM(D47:D50)</f>
        <v>435.62470506341748</v>
      </c>
      <c r="E46" s="1">
        <f t="shared" ref="E46:T46" si="5">SUM(E47:E50)</f>
        <v>413.85043571399552</v>
      </c>
      <c r="F46" s="1">
        <f t="shared" si="5"/>
        <v>442.2800023995726</v>
      </c>
      <c r="G46" s="1">
        <f t="shared" si="5"/>
        <v>413.26197341037272</v>
      </c>
      <c r="H46" s="1">
        <f t="shared" si="5"/>
        <v>381.02847836332711</v>
      </c>
      <c r="I46" s="1">
        <f t="shared" si="5"/>
        <v>428.20066802095863</v>
      </c>
      <c r="J46" s="1">
        <f t="shared" si="5"/>
        <v>428.36403518207851</v>
      </c>
      <c r="K46" s="1">
        <f t="shared" si="5"/>
        <v>428.69638165378268</v>
      </c>
      <c r="L46" s="1">
        <f t="shared" si="5"/>
        <v>435.29837549572142</v>
      </c>
      <c r="M46" s="1">
        <f t="shared" si="5"/>
        <v>435.44375583319402</v>
      </c>
      <c r="N46" s="1">
        <f t="shared" si="5"/>
        <v>443.41538592139307</v>
      </c>
      <c r="O46" s="1">
        <f t="shared" si="5"/>
        <v>449.92851885088851</v>
      </c>
      <c r="P46" s="1">
        <f t="shared" si="5"/>
        <v>455.57712123800138</v>
      </c>
      <c r="Q46" s="1">
        <f t="shared" si="5"/>
        <v>479.7079168880249</v>
      </c>
      <c r="R46" s="1">
        <f t="shared" si="5"/>
        <v>482.76994549875656</v>
      </c>
      <c r="S46" s="1">
        <f t="shared" si="5"/>
        <v>467.37460502423244</v>
      </c>
      <c r="T46" s="1">
        <f t="shared" si="5"/>
        <v>486.720929319665</v>
      </c>
    </row>
    <row r="47" spans="1:49" outlineLevel="1">
      <c r="A47" s="44" t="s">
        <v>166</v>
      </c>
      <c r="B47" t="s">
        <v>11</v>
      </c>
      <c r="C47" s="42" t="s">
        <v>13</v>
      </c>
      <c r="D47" s="1">
        <f>D40*$D$54*$D$55*$D$57*$D$59/1000000</f>
        <v>246.86217852434953</v>
      </c>
      <c r="E47" s="1">
        <f t="shared" ref="E47:T47" si="6">E40*$D$54*$D$55*$D$57*$D$59/1000000</f>
        <v>220.44253532297111</v>
      </c>
      <c r="F47" s="1">
        <f t="shared" si="6"/>
        <v>253.07048994066108</v>
      </c>
      <c r="G47" s="1">
        <f t="shared" si="6"/>
        <v>218.38096214079445</v>
      </c>
      <c r="H47" s="1">
        <f t="shared" si="6"/>
        <v>196.67344280455541</v>
      </c>
      <c r="I47" s="1">
        <f t="shared" si="6"/>
        <v>218.67692485843068</v>
      </c>
      <c r="J47" s="1">
        <f t="shared" si="6"/>
        <v>219.49494478160165</v>
      </c>
      <c r="K47" s="1">
        <f t="shared" si="6"/>
        <v>207.94827067824201</v>
      </c>
      <c r="L47" s="1">
        <f t="shared" si="6"/>
        <v>211.77460066625392</v>
      </c>
      <c r="M47" s="1">
        <f t="shared" si="6"/>
        <v>221.07738040122612</v>
      </c>
      <c r="N47" s="1">
        <f t="shared" si="6"/>
        <v>223.29028956072165</v>
      </c>
      <c r="O47" s="1">
        <f t="shared" si="6"/>
        <v>228.05243346116137</v>
      </c>
      <c r="P47" s="1">
        <f t="shared" si="6"/>
        <v>232.48503320461572</v>
      </c>
      <c r="Q47" s="1">
        <f t="shared" si="6"/>
        <v>250.29970264618774</v>
      </c>
      <c r="R47" s="1">
        <f t="shared" si="6"/>
        <v>253.82992050530535</v>
      </c>
      <c r="S47" s="1">
        <f t="shared" si="6"/>
        <v>248.84810931923411</v>
      </c>
      <c r="T47" s="1">
        <f t="shared" si="6"/>
        <v>259.75092246611609</v>
      </c>
    </row>
    <row r="48" spans="1:49" outlineLevel="1">
      <c r="A48" s="44" t="s">
        <v>167</v>
      </c>
      <c r="B48" t="s">
        <v>11</v>
      </c>
      <c r="C48" s="42" t="s">
        <v>13</v>
      </c>
      <c r="D48" s="1">
        <f>D41*$D$54*$D$56*$D$58*$D$59/1000000</f>
        <v>89.208628756255251</v>
      </c>
      <c r="E48" s="1">
        <f t="shared" ref="E48:T48" si="7">E41*$D$54*$D$56*$D$58*$D$59/1000000</f>
        <v>89.106981093663777</v>
      </c>
      <c r="F48" s="1">
        <f t="shared" si="7"/>
        <v>89.651035769637673</v>
      </c>
      <c r="G48" s="1">
        <f t="shared" si="7"/>
        <v>86.953031766813041</v>
      </c>
      <c r="H48" s="1">
        <f t="shared" si="7"/>
        <v>75.296413803229171</v>
      </c>
      <c r="I48" s="1">
        <f t="shared" si="7"/>
        <v>83.985703390402605</v>
      </c>
      <c r="J48" s="1">
        <f t="shared" si="7"/>
        <v>89.306263070646011</v>
      </c>
      <c r="K48" s="1">
        <f t="shared" si="7"/>
        <v>92.320974925249303</v>
      </c>
      <c r="L48" s="1">
        <f t="shared" si="7"/>
        <v>90.134500681234982</v>
      </c>
      <c r="M48" s="1">
        <f t="shared" si="7"/>
        <v>91.294911054953644</v>
      </c>
      <c r="N48" s="1">
        <f t="shared" si="7"/>
        <v>91.372161753712902</v>
      </c>
      <c r="O48" s="1">
        <f t="shared" si="7"/>
        <v>92.974628910962153</v>
      </c>
      <c r="P48" s="1">
        <f t="shared" si="7"/>
        <v>93.967113600764534</v>
      </c>
      <c r="Q48" s="1">
        <f t="shared" si="7"/>
        <v>98.989920726519244</v>
      </c>
      <c r="R48" s="1">
        <f t="shared" si="7"/>
        <v>97.608658267219241</v>
      </c>
      <c r="S48" s="1">
        <f t="shared" si="7"/>
        <v>89.466606397394685</v>
      </c>
      <c r="T48" s="1">
        <f t="shared" si="7"/>
        <v>92.744222936223863</v>
      </c>
    </row>
    <row r="49" spans="1:20" outlineLevel="1">
      <c r="A49" s="44" t="s">
        <v>168</v>
      </c>
      <c r="B49" t="s">
        <v>11</v>
      </c>
      <c r="C49" s="42" t="s">
        <v>13</v>
      </c>
      <c r="D49" s="1">
        <f>D42*$D$54*$D$55*$D$57*$D$59/1000000</f>
        <v>22.791668409986663</v>
      </c>
      <c r="E49" s="1">
        <f t="shared" ref="E49:T49" si="8">E42*$D$54*$D$55*$D$57*$D$59/1000000</f>
        <v>24.302813874754008</v>
      </c>
      <c r="F49" s="1">
        <f t="shared" si="8"/>
        <v>24.075496396950381</v>
      </c>
      <c r="G49" s="1">
        <f t="shared" si="8"/>
        <v>25.518802435412162</v>
      </c>
      <c r="H49" s="1">
        <f t="shared" si="8"/>
        <v>25.753457852646164</v>
      </c>
      <c r="I49" s="1">
        <f t="shared" si="8"/>
        <v>28.602369607952696</v>
      </c>
      <c r="J49" s="1">
        <f t="shared" si="8"/>
        <v>27.813113030750714</v>
      </c>
      <c r="K49" s="1">
        <f t="shared" si="8"/>
        <v>29.514308776475417</v>
      </c>
      <c r="L49" s="1">
        <f t="shared" si="8"/>
        <v>30.330928598643194</v>
      </c>
      <c r="M49" s="1">
        <f t="shared" si="8"/>
        <v>28.092873860159372</v>
      </c>
      <c r="N49" s="1">
        <f t="shared" si="8"/>
        <v>30.964944360476668</v>
      </c>
      <c r="O49" s="1">
        <f t="shared" si="8"/>
        <v>28.758107341662857</v>
      </c>
      <c r="P49" s="1">
        <f t="shared" si="8"/>
        <v>28.840058577360271</v>
      </c>
      <c r="Q49" s="1">
        <f t="shared" si="8"/>
        <v>31.726314753309399</v>
      </c>
      <c r="R49" s="1">
        <f t="shared" si="8"/>
        <v>32.56128194222039</v>
      </c>
      <c r="S49" s="1">
        <f t="shared" si="8"/>
        <v>32.71399787520425</v>
      </c>
      <c r="T49" s="1">
        <f t="shared" si="8"/>
        <v>33.000880921046992</v>
      </c>
    </row>
    <row r="50" spans="1:20" outlineLevel="1">
      <c r="A50" s="44" t="s">
        <v>169</v>
      </c>
      <c r="B50" t="s">
        <v>11</v>
      </c>
      <c r="C50" s="42" t="s">
        <v>13</v>
      </c>
      <c r="D50" s="1">
        <f>D43*$D$54*$D$56*$D$58*$D$59/1000000</f>
        <v>76.762229372826098</v>
      </c>
      <c r="E50" s="1">
        <f t="shared" ref="E50:T50" si="9">E43*$D$54*$D$56*$D$58*$D$59/1000000</f>
        <v>79.998105422606614</v>
      </c>
      <c r="F50" s="1">
        <f t="shared" si="9"/>
        <v>75.482980292323461</v>
      </c>
      <c r="G50" s="1">
        <f t="shared" si="9"/>
        <v>82.40917706735307</v>
      </c>
      <c r="H50" s="1">
        <f t="shared" si="9"/>
        <v>83.305163902896368</v>
      </c>
      <c r="I50" s="1">
        <f t="shared" si="9"/>
        <v>96.93567016417262</v>
      </c>
      <c r="J50" s="1">
        <f t="shared" si="9"/>
        <v>91.749714299080125</v>
      </c>
      <c r="K50" s="1">
        <f t="shared" si="9"/>
        <v>98.912827273815921</v>
      </c>
      <c r="L50" s="1">
        <f t="shared" si="9"/>
        <v>103.05834554958935</v>
      </c>
      <c r="M50" s="1">
        <f t="shared" si="9"/>
        <v>94.978590516854865</v>
      </c>
      <c r="N50" s="1">
        <f t="shared" si="9"/>
        <v>97.787990246481868</v>
      </c>
      <c r="O50" s="1">
        <f t="shared" si="9"/>
        <v>100.14334913710215</v>
      </c>
      <c r="P50" s="1">
        <f t="shared" si="9"/>
        <v>100.28491585526085</v>
      </c>
      <c r="Q50" s="1">
        <f t="shared" si="9"/>
        <v>98.691978762008574</v>
      </c>
      <c r="R50" s="1">
        <f t="shared" si="9"/>
        <v>98.770084784011573</v>
      </c>
      <c r="S50" s="1">
        <f t="shared" si="9"/>
        <v>96.345891432399327</v>
      </c>
      <c r="T50" s="1">
        <f t="shared" si="9"/>
        <v>101.22490299627805</v>
      </c>
    </row>
    <row r="52" spans="1:20" s="36" customFormat="1">
      <c r="A52" s="43" t="s">
        <v>155</v>
      </c>
    </row>
    <row r="53" spans="1:20">
      <c r="B53" s="7" t="s">
        <v>8</v>
      </c>
      <c r="C53" s="42" t="s">
        <v>12</v>
      </c>
      <c r="D53" t="s">
        <v>157</v>
      </c>
    </row>
    <row r="54" spans="1:20">
      <c r="A54" s="44" t="s">
        <v>161</v>
      </c>
      <c r="C54" s="42" t="s">
        <v>170</v>
      </c>
      <c r="D54">
        <v>1.136363636</v>
      </c>
    </row>
    <row r="55" spans="1:20">
      <c r="A55" s="44" t="s">
        <v>162</v>
      </c>
      <c r="C55" s="42" t="s">
        <v>171</v>
      </c>
      <c r="D55">
        <v>0.42</v>
      </c>
    </row>
    <row r="56" spans="1:20">
      <c r="A56" s="44" t="s">
        <v>163</v>
      </c>
      <c r="C56" s="42" t="s">
        <v>171</v>
      </c>
      <c r="D56">
        <v>0.56100000000000005</v>
      </c>
    </row>
    <row r="57" spans="1:20">
      <c r="A57" s="44" t="s">
        <v>164</v>
      </c>
      <c r="B57" t="s">
        <v>156</v>
      </c>
      <c r="C57" s="42" t="s">
        <v>172</v>
      </c>
      <c r="D57">
        <v>0.48</v>
      </c>
    </row>
    <row r="58" spans="1:20">
      <c r="A58" s="44" t="s">
        <v>165</v>
      </c>
      <c r="B58" t="s">
        <v>156</v>
      </c>
      <c r="C58" s="42" t="s">
        <v>172</v>
      </c>
      <c r="D58">
        <v>0.51</v>
      </c>
    </row>
    <row r="59" spans="1:20">
      <c r="A59" s="44" t="s">
        <v>173</v>
      </c>
      <c r="B59" t="s">
        <v>174</v>
      </c>
      <c r="C59" s="42" t="s">
        <v>175</v>
      </c>
      <c r="D59">
        <v>3.6640000000000001</v>
      </c>
    </row>
    <row r="60" spans="1:20">
      <c r="A60" s="44" t="s">
        <v>265</v>
      </c>
      <c r="B60" t="s">
        <v>266</v>
      </c>
      <c r="C60" s="42" t="s">
        <v>267</v>
      </c>
      <c r="D60">
        <v>6.91</v>
      </c>
    </row>
    <row r="61" spans="1:20">
      <c r="A61" s="44" t="s">
        <v>265</v>
      </c>
      <c r="B61" t="s">
        <v>11</v>
      </c>
      <c r="C61" s="42" t="s">
        <v>268</v>
      </c>
      <c r="D61">
        <f>D60/41.868</f>
        <v>0.1650425145695997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166F4-5B0B-4D36-8C65-DD46511EBF6F}">
  <sheetPr>
    <tabColor rgb="FFFFFF00"/>
  </sheetPr>
  <dimension ref="A1:AW29"/>
  <sheetViews>
    <sheetView showGridLines="0" zoomScale="55" zoomScaleNormal="55" workbookViewId="0">
      <selection activeCell="E30" sqref="E30"/>
    </sheetView>
  </sheetViews>
  <sheetFormatPr defaultRowHeight="14.4"/>
  <cols>
    <col min="2" max="3" width="9.21875" customWidth="1"/>
  </cols>
  <sheetData>
    <row r="1" spans="1:49">
      <c r="A1" s="4" t="s">
        <v>14</v>
      </c>
      <c r="B1" s="6"/>
      <c r="C1" s="6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49">
      <c r="B2" s="7" t="s">
        <v>8</v>
      </c>
      <c r="C2" s="7" t="s">
        <v>12</v>
      </c>
      <c r="D2" t="s">
        <v>0</v>
      </c>
      <c r="I2" t="s">
        <v>1</v>
      </c>
      <c r="N2" t="s">
        <v>2</v>
      </c>
      <c r="S2" t="s">
        <v>3</v>
      </c>
      <c r="X2">
        <v>2025</v>
      </c>
      <c r="AC2">
        <v>2030</v>
      </c>
      <c r="AH2">
        <v>2035</v>
      </c>
      <c r="AM2">
        <v>2040</v>
      </c>
      <c r="AR2">
        <v>2045</v>
      </c>
      <c r="AW2">
        <v>2050</v>
      </c>
    </row>
    <row r="3" spans="1:49">
      <c r="A3" t="s">
        <v>4</v>
      </c>
      <c r="B3" t="s">
        <v>11</v>
      </c>
      <c r="C3" t="s">
        <v>13</v>
      </c>
      <c r="D3" s="3">
        <f>D4+D5+D6+D7</f>
        <v>127.84885103555521</v>
      </c>
      <c r="E3" s="3">
        <f t="shared" ref="E3:T3" si="0">E4+E5+E6+E7</f>
        <v>121.83910295518749</v>
      </c>
      <c r="F3" s="3">
        <f t="shared" si="0"/>
        <v>131.93088180108276</v>
      </c>
      <c r="G3" s="3">
        <f t="shared" si="0"/>
        <v>130.72584437323036</v>
      </c>
      <c r="H3" s="3">
        <f t="shared" si="0"/>
        <v>130.9378442561501</v>
      </c>
      <c r="I3" s="3">
        <f t="shared" si="0"/>
        <v>117.77413475557313</v>
      </c>
      <c r="J3" s="3">
        <f t="shared" si="0"/>
        <v>115.88420163762632</v>
      </c>
      <c r="K3" s="3">
        <f t="shared" si="0"/>
        <v>114.63267032567612</v>
      </c>
      <c r="L3" s="3">
        <f t="shared" si="0"/>
        <v>128.02487060762917</v>
      </c>
      <c r="M3" s="3">
        <f t="shared" si="0"/>
        <v>108.24816840327105</v>
      </c>
      <c r="N3" s="3">
        <f t="shared" si="0"/>
        <v>103.07932578357935</v>
      </c>
      <c r="O3" s="3">
        <f t="shared" si="0"/>
        <v>100.35692642528642</v>
      </c>
      <c r="P3" s="3">
        <f t="shared" si="0"/>
        <v>103.29312951645743</v>
      </c>
      <c r="Q3" s="3">
        <f t="shared" si="0"/>
        <v>94.001691543900364</v>
      </c>
      <c r="R3" s="3">
        <f t="shared" si="0"/>
        <v>89.438607531228172</v>
      </c>
      <c r="S3" s="3">
        <f t="shared" si="0"/>
        <v>91.214757274934598</v>
      </c>
      <c r="T3" s="3">
        <f t="shared" si="0"/>
        <v>97.440759615381438</v>
      </c>
    </row>
    <row r="4" spans="1:49">
      <c r="A4" t="s">
        <v>68</v>
      </c>
      <c r="B4" t="s">
        <v>9</v>
      </c>
      <c r="C4" t="s">
        <v>13</v>
      </c>
      <c r="D4" s="3">
        <f>'L1. GHG emissions and removals'!D5</f>
        <v>41.88553425752837</v>
      </c>
      <c r="E4" s="3">
        <f>'L1. GHG emissions and removals'!E5</f>
        <v>42.292718476518083</v>
      </c>
      <c r="F4" s="3">
        <f>'L1. GHG emissions and removals'!F5</f>
        <v>46.32595223374323</v>
      </c>
      <c r="G4" s="3">
        <f>'L1. GHG emissions and removals'!G5</f>
        <v>47.762401038868859</v>
      </c>
      <c r="H4" s="3">
        <f>'L1. GHG emissions and removals'!H5</f>
        <v>46.350099702714964</v>
      </c>
      <c r="I4" s="3">
        <f>'L1. GHG emissions and removals'!I5</f>
        <v>36.721831502557045</v>
      </c>
      <c r="J4" s="3">
        <f>'L1. GHG emissions and removals'!J5</f>
        <v>36.216021077214357</v>
      </c>
      <c r="K4" s="3">
        <f>'L1. GHG emissions and removals'!K5</f>
        <v>36.317395487500129</v>
      </c>
      <c r="L4" s="3">
        <f>'L1. GHG emissions and removals'!L5</f>
        <v>38.971129448076482</v>
      </c>
      <c r="M4" s="3">
        <f>'L1. GHG emissions and removals'!M5</f>
        <v>36.049323325525144</v>
      </c>
      <c r="N4" s="3">
        <f>'L1. GHG emissions and removals'!N5</f>
        <v>30.257074080196023</v>
      </c>
      <c r="O4" s="3">
        <f>'L1. GHG emissions and removals'!O5</f>
        <v>25.855203989966096</v>
      </c>
      <c r="P4" s="3">
        <f>'L1. GHG emissions and removals'!P5</f>
        <v>27.354586303049683</v>
      </c>
      <c r="Q4" s="3">
        <f>'L1. GHG emissions and removals'!Q5</f>
        <v>25.495219947681715</v>
      </c>
      <c r="R4" s="3">
        <f>'L1. GHG emissions and removals'!R5</f>
        <v>21.646503136414118</v>
      </c>
      <c r="S4" s="3">
        <f>'L1. GHG emissions and removals'!S5</f>
        <v>22.368511518801125</v>
      </c>
      <c r="T4" s="3">
        <f>'L1. GHG emissions and removals'!T5</f>
        <v>22.646397835763921</v>
      </c>
    </row>
    <row r="5" spans="1:49">
      <c r="A5" t="s">
        <v>69</v>
      </c>
      <c r="B5" t="s">
        <v>9</v>
      </c>
      <c r="C5" t="s">
        <v>13</v>
      </c>
      <c r="D5" s="3">
        <f>'L1. GHG emissions and removals'!D6</f>
        <v>32.510711081314497</v>
      </c>
      <c r="E5" s="3">
        <f>'L1. GHG emissions and removals'!E6</f>
        <v>27.3373261531531</v>
      </c>
      <c r="F5" s="3">
        <f>'L1. GHG emissions and removals'!F6</f>
        <v>33.798482800358343</v>
      </c>
      <c r="G5" s="3">
        <f>'L1. GHG emissions and removals'!G6</f>
        <v>31.158825769213845</v>
      </c>
      <c r="H5" s="3">
        <f>'L1. GHG emissions and removals'!H6</f>
        <v>32.804094809503759</v>
      </c>
      <c r="I5" s="3">
        <f>'L1. GHG emissions and removals'!I6</f>
        <v>31.258860638103982</v>
      </c>
      <c r="J5" s="3">
        <f>'L1. GHG emissions and removals'!J6</f>
        <v>32.793280383787092</v>
      </c>
      <c r="K5" s="3">
        <f>'L1. GHG emissions and removals'!K6</f>
        <v>33.714568394643415</v>
      </c>
      <c r="L5" s="3">
        <f>'L1. GHG emissions and removals'!L6</f>
        <v>40.699159635874572</v>
      </c>
      <c r="M5" s="3">
        <f>'L1. GHG emissions and removals'!M6</f>
        <v>23.6948825455224</v>
      </c>
      <c r="N5" s="3">
        <f>'L1. GHG emissions and removals'!N6</f>
        <v>21.547002939445893</v>
      </c>
      <c r="O5" s="3">
        <f>'L1. GHG emissions and removals'!O6</f>
        <v>21.169805021232566</v>
      </c>
      <c r="P5" s="3">
        <f>'L1. GHG emissions and removals'!P6</f>
        <v>25.072843377392957</v>
      </c>
      <c r="Q5" s="3">
        <f>'L1. GHG emissions and removals'!Q6</f>
        <v>16.449560015010768</v>
      </c>
      <c r="R5" s="3">
        <f>'L1. GHG emissions and removals'!R6</f>
        <v>18.244112195613358</v>
      </c>
      <c r="S5" s="3">
        <f>'L1. GHG emissions and removals'!S6</f>
        <v>18.543529602015916</v>
      </c>
      <c r="T5" s="3">
        <f>'L1. GHG emissions and removals'!T6</f>
        <v>24.955053501122915</v>
      </c>
    </row>
    <row r="6" spans="1:49">
      <c r="A6" t="s">
        <v>70</v>
      </c>
      <c r="B6" t="s">
        <v>9</v>
      </c>
      <c r="C6" t="s">
        <v>13</v>
      </c>
      <c r="D6" s="3">
        <f>'L1. GHG emissions and removals'!D7</f>
        <v>20.342633478671015</v>
      </c>
      <c r="E6" s="3">
        <f>'L1. GHG emissions and removals'!E7</f>
        <v>19.996684255048407</v>
      </c>
      <c r="F6" s="3">
        <f>'L1. GHG emissions and removals'!F7</f>
        <v>18.814035616085214</v>
      </c>
      <c r="G6" s="3">
        <f>'L1. GHG emissions and removals'!G7</f>
        <v>19.020275657201509</v>
      </c>
      <c r="H6" s="3">
        <f>'L1. GHG emissions and removals'!H7</f>
        <v>18.775734370687793</v>
      </c>
      <c r="I6" s="3">
        <f>'L1. GHG emissions and removals'!I7</f>
        <v>20.203806078134242</v>
      </c>
      <c r="J6" s="3">
        <f>'L1. GHG emissions and removals'!J7</f>
        <v>19.884201192290881</v>
      </c>
      <c r="K6" s="3">
        <f>'L1. GHG emissions and removals'!K7</f>
        <v>18.65685199674396</v>
      </c>
      <c r="L6" s="3">
        <f>'L1. GHG emissions and removals'!L7</f>
        <v>21.154751048074466</v>
      </c>
      <c r="M6" s="3">
        <f>'L1. GHG emissions and removals'!M7</f>
        <v>20.163324336491801</v>
      </c>
      <c r="N6" s="3">
        <f>'L1. GHG emissions and removals'!N7</f>
        <v>22.092726797231361</v>
      </c>
      <c r="O6" s="3">
        <f>'L1. GHG emissions and removals'!O7</f>
        <v>20.224480182398143</v>
      </c>
      <c r="P6" s="3">
        <f>'L1. GHG emissions and removals'!P7</f>
        <v>21.688376968527802</v>
      </c>
      <c r="Q6" s="3">
        <f>'L1. GHG emissions and removals'!Q7</f>
        <v>21.436102788851176</v>
      </c>
      <c r="R6" s="3">
        <f>'L1. GHG emissions and removals'!R7</f>
        <v>20.796377300090132</v>
      </c>
      <c r="S6" s="3">
        <f>'L1. GHG emissions and removals'!S7</f>
        <v>21.449868926657988</v>
      </c>
      <c r="T6" s="3">
        <f>'L1. GHG emissions and removals'!T7</f>
        <v>21.269811792639</v>
      </c>
    </row>
    <row r="7" spans="1:49">
      <c r="A7" t="s">
        <v>111</v>
      </c>
      <c r="B7" t="s">
        <v>9</v>
      </c>
      <c r="C7" t="s">
        <v>13</v>
      </c>
      <c r="D7" s="3">
        <f>'L1. GHG emissions and removals'!D8</f>
        <v>33.109972218041314</v>
      </c>
      <c r="E7" s="3">
        <f>'L1. GHG emissions and removals'!E8</f>
        <v>32.212374070467909</v>
      </c>
      <c r="F7" s="3">
        <f>'L1. GHG emissions and removals'!F8</f>
        <v>32.992411150895968</v>
      </c>
      <c r="G7" s="3">
        <f>'L1. GHG emissions and removals'!G8</f>
        <v>32.78434190794615</v>
      </c>
      <c r="H7" s="3">
        <f>'L1. GHG emissions and removals'!H8</f>
        <v>33.007915373243584</v>
      </c>
      <c r="I7" s="3">
        <f>'L1. GHG emissions and removals'!I8</f>
        <v>29.589636536777842</v>
      </c>
      <c r="J7" s="3">
        <f>'L1. GHG emissions and removals'!J8</f>
        <v>26.990698984333982</v>
      </c>
      <c r="K7" s="3">
        <f>'L1. GHG emissions and removals'!K8</f>
        <v>25.943854446788606</v>
      </c>
      <c r="L7" s="3">
        <f>'L1. GHG emissions and removals'!L8</f>
        <v>27.199830475603658</v>
      </c>
      <c r="M7" s="3">
        <f>'L1. GHG emissions and removals'!M8</f>
        <v>28.34063819573171</v>
      </c>
      <c r="N7" s="3">
        <f>'L1. GHG emissions and removals'!N8</f>
        <v>29.182521966706076</v>
      </c>
      <c r="O7" s="3">
        <f>'L1. GHG emissions and removals'!O8</f>
        <v>33.107437231689609</v>
      </c>
      <c r="P7" s="3">
        <f>'L1. GHG emissions and removals'!P8</f>
        <v>29.177322867486975</v>
      </c>
      <c r="Q7" s="3">
        <f>'L1. GHG emissions and removals'!Q8</f>
        <v>30.620808792356708</v>
      </c>
      <c r="R7" s="3">
        <f>'L1. GHG emissions and removals'!R8</f>
        <v>28.751614899110571</v>
      </c>
      <c r="S7" s="3">
        <f>'L1. GHG emissions and removals'!S8</f>
        <v>28.852847227459577</v>
      </c>
      <c r="T7" s="3">
        <f>'L1. GHG emissions and removals'!T8</f>
        <v>28.569496485855588</v>
      </c>
    </row>
    <row r="8" spans="1:49">
      <c r="A8" t="s">
        <v>6</v>
      </c>
      <c r="B8" t="s">
        <v>245</v>
      </c>
      <c r="C8" t="s">
        <v>13</v>
      </c>
      <c r="AC8">
        <v>86</v>
      </c>
    </row>
    <row r="9" spans="1:49">
      <c r="A9" t="s">
        <v>7</v>
      </c>
      <c r="B9" t="s">
        <v>245</v>
      </c>
      <c r="C9" t="s">
        <v>13</v>
      </c>
      <c r="AW9">
        <v>25</v>
      </c>
    </row>
    <row r="10" spans="1:49">
      <c r="A10" t="s">
        <v>10</v>
      </c>
      <c r="C10" t="s">
        <v>13</v>
      </c>
      <c r="T10" s="3">
        <v>97.440759615381438</v>
      </c>
      <c r="U10" s="3">
        <v>96.169564102561282</v>
      </c>
      <c r="V10" s="3">
        <v>94.898368589741111</v>
      </c>
      <c r="W10" s="3">
        <v>93.627173076920954</v>
      </c>
      <c r="X10" s="3">
        <v>92.355977564100797</v>
      </c>
      <c r="Y10" s="3">
        <v>91.084782051280641</v>
      </c>
      <c r="Z10" s="3">
        <v>89.81358653846047</v>
      </c>
      <c r="AA10" s="3">
        <v>88.542391025640313</v>
      </c>
      <c r="AB10" s="3">
        <v>87.271195512820157</v>
      </c>
      <c r="AC10" s="3">
        <v>85.999999999999986</v>
      </c>
      <c r="AD10" s="3">
        <v>82.949999999999989</v>
      </c>
      <c r="AE10" s="3">
        <v>79.899999999999991</v>
      </c>
      <c r="AF10" s="3">
        <v>76.849999999999994</v>
      </c>
      <c r="AG10" s="3">
        <v>73.799999999999983</v>
      </c>
      <c r="AH10" s="3">
        <v>70.749999999999986</v>
      </c>
      <c r="AI10" s="3">
        <v>67.699999999999989</v>
      </c>
      <c r="AJ10" s="3">
        <v>64.649999999999991</v>
      </c>
      <c r="AK10" s="3">
        <v>61.599999999999994</v>
      </c>
      <c r="AL10" s="3">
        <v>58.55</v>
      </c>
      <c r="AM10" s="3">
        <v>55.499999999999993</v>
      </c>
      <c r="AN10" s="3">
        <v>52.449999999999996</v>
      </c>
      <c r="AO10" s="3">
        <v>49.4</v>
      </c>
      <c r="AP10" s="3">
        <v>46.349999999999994</v>
      </c>
      <c r="AQ10" s="3">
        <v>43.3</v>
      </c>
      <c r="AR10" s="3">
        <v>40.25</v>
      </c>
      <c r="AS10" s="3">
        <v>37.200000000000003</v>
      </c>
      <c r="AT10" s="3">
        <v>34.150000000000006</v>
      </c>
      <c r="AU10" s="3">
        <v>31.1</v>
      </c>
      <c r="AV10" s="3">
        <v>28.050000000000004</v>
      </c>
      <c r="AW10" s="3">
        <v>25</v>
      </c>
    </row>
    <row r="12" spans="1:49">
      <c r="A12" t="s">
        <v>247</v>
      </c>
      <c r="D12" s="39">
        <f>(T3-D3)/16</f>
        <v>-1.900505713760861</v>
      </c>
      <c r="E12">
        <f>T3/D3-1</f>
        <v>-0.23784407269891839</v>
      </c>
    </row>
    <row r="13" spans="1:49">
      <c r="A13" t="s">
        <v>110</v>
      </c>
      <c r="D13" s="46">
        <f>(T3-P3)/4</f>
        <v>-1.4630924752689971</v>
      </c>
    </row>
    <row r="14" spans="1:49">
      <c r="A14" t="s">
        <v>5</v>
      </c>
      <c r="D14" s="46">
        <f>U10-T10</f>
        <v>-1.2711955128201566</v>
      </c>
    </row>
    <row r="15" spans="1:49">
      <c r="A15" t="s">
        <v>232</v>
      </c>
      <c r="D15" s="46">
        <f>AF10-AE10</f>
        <v>-3.0499999999999972</v>
      </c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</row>
    <row r="16" spans="1:49"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</row>
    <row r="17" spans="1:18"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</row>
    <row r="18" spans="1:18"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</row>
    <row r="19" spans="1:18">
      <c r="D19" t="s">
        <v>246</v>
      </c>
      <c r="E19" t="s">
        <v>246</v>
      </c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</row>
    <row r="20" spans="1:18">
      <c r="A20" t="s">
        <v>248</v>
      </c>
      <c r="D20" s="3">
        <f>T3-D3</f>
        <v>-30.408091420173776</v>
      </c>
      <c r="E20" s="2">
        <f>T3/D3-1</f>
        <v>-0.23784407269891839</v>
      </c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</row>
    <row r="21" spans="1:18">
      <c r="A21" t="s">
        <v>68</v>
      </c>
      <c r="D21" s="3">
        <f>T4-D4</f>
        <v>-19.239136421764449</v>
      </c>
      <c r="E21" s="2">
        <f>T4/D4-1</f>
        <v>-0.45932651362341093</v>
      </c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</row>
    <row r="22" spans="1:18">
      <c r="A22" t="s">
        <v>69</v>
      </c>
      <c r="D22" s="3">
        <f>T5-D5</f>
        <v>-7.555657580191582</v>
      </c>
      <c r="E22" s="2">
        <f>T5/D5-1</f>
        <v>-0.23240517752114598</v>
      </c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</row>
    <row r="23" spans="1:18">
      <c r="A23" t="s">
        <v>70</v>
      </c>
      <c r="D23" s="3">
        <f>T6-D6</f>
        <v>0.92717831396798545</v>
      </c>
      <c r="E23" s="2">
        <f>T6/D6-1</f>
        <v>4.5578086777216864E-2</v>
      </c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</row>
    <row r="24" spans="1:18">
      <c r="A24" t="s">
        <v>111</v>
      </c>
      <c r="D24" s="3">
        <f>T7-D7</f>
        <v>-4.5404757321857261</v>
      </c>
      <c r="E24" s="2">
        <f>T7/D7-1</f>
        <v>-0.137133178556751</v>
      </c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</row>
    <row r="25" spans="1:18"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</row>
    <row r="26" spans="1:18"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</row>
    <row r="27" spans="1:18"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</row>
    <row r="28" spans="1:18"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</row>
    <row r="29" spans="1:18"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F9D60-06CF-4F95-99A9-D669E507CB7F}">
  <sheetPr>
    <tabColor rgb="FFFFFF00"/>
  </sheetPr>
  <dimension ref="A1:CV126"/>
  <sheetViews>
    <sheetView showGridLines="0" zoomScale="89" zoomScaleNormal="89" workbookViewId="0">
      <pane xSplit="4" ySplit="2" topLeftCell="I3" activePane="bottomRight" state="frozen"/>
      <selection pane="topRight" activeCell="E1" sqref="E1"/>
      <selection pane="bottomLeft" activeCell="A3" sqref="A3"/>
      <selection pane="bottomRight" activeCell="K5" sqref="K5"/>
    </sheetView>
  </sheetViews>
  <sheetFormatPr defaultRowHeight="14.4"/>
  <cols>
    <col min="1" max="1" width="41.77734375" bestFit="1" customWidth="1"/>
    <col min="2" max="2" width="24.21875" bestFit="1" customWidth="1"/>
    <col min="4" max="4" width="11.5546875" bestFit="1" customWidth="1"/>
    <col min="5" max="34" width="9.21875" customWidth="1"/>
    <col min="35" max="35" width="12.5546875" bestFit="1" customWidth="1"/>
  </cols>
  <sheetData>
    <row r="1" spans="1:50">
      <c r="A1" s="54" t="s">
        <v>279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</row>
    <row r="2" spans="1:50">
      <c r="C2" s="7" t="s">
        <v>8</v>
      </c>
      <c r="D2" s="42" t="s">
        <v>12</v>
      </c>
      <c r="E2" t="s">
        <v>0</v>
      </c>
      <c r="J2" t="s">
        <v>1</v>
      </c>
      <c r="O2" t="s">
        <v>2</v>
      </c>
      <c r="T2" t="s">
        <v>3</v>
      </c>
      <c r="Y2">
        <v>2025</v>
      </c>
      <c r="AD2">
        <v>2030</v>
      </c>
      <c r="AI2">
        <v>2035</v>
      </c>
      <c r="AN2">
        <v>2040</v>
      </c>
      <c r="AS2">
        <v>2045</v>
      </c>
      <c r="AX2">
        <v>2050</v>
      </c>
    </row>
    <row r="3" spans="1:50">
      <c r="A3" t="s">
        <v>4</v>
      </c>
      <c r="D3" t="s">
        <v>280</v>
      </c>
      <c r="E3" s="3">
        <f t="shared" ref="E3:U3" si="0">SUM(E4:E7)</f>
        <v>896.3854429999999</v>
      </c>
      <c r="F3" s="3">
        <f t="shared" si="0"/>
        <v>972.06546000000003</v>
      </c>
      <c r="G3" s="3">
        <f t="shared" si="0"/>
        <v>1075.9482030000001</v>
      </c>
      <c r="H3" s="3">
        <f t="shared" si="0"/>
        <v>1192.621662</v>
      </c>
      <c r="I3" s="3">
        <f t="shared" si="0"/>
        <v>1270.2560410000001</v>
      </c>
      <c r="J3" s="3">
        <f t="shared" si="0"/>
        <v>1406.1823869999998</v>
      </c>
      <c r="K3" s="3">
        <f t="shared" si="0"/>
        <v>1373.96253</v>
      </c>
      <c r="L3" s="3">
        <f t="shared" si="0"/>
        <v>1504.2288880000001</v>
      </c>
      <c r="M3" s="3">
        <f t="shared" si="0"/>
        <v>1505.7149619999998</v>
      </c>
      <c r="N3" s="3">
        <f t="shared" si="0"/>
        <v>1474.3263689999999</v>
      </c>
      <c r="O3" s="3">
        <f t="shared" si="0"/>
        <v>1515.4360879999999</v>
      </c>
      <c r="P3" s="3">
        <f t="shared" si="0"/>
        <v>1524.401703</v>
      </c>
      <c r="Q3" s="3">
        <f t="shared" si="0"/>
        <v>1570.70551</v>
      </c>
      <c r="R3" s="3">
        <f t="shared" si="0"/>
        <v>1642.1005990000001</v>
      </c>
      <c r="S3" s="3">
        <f t="shared" si="0"/>
        <v>1678.9740790000001</v>
      </c>
      <c r="T3" s="3">
        <f t="shared" si="0"/>
        <v>1684.09564</v>
      </c>
      <c r="U3" s="3">
        <f t="shared" si="0"/>
        <v>1795.6962300000005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50">
      <c r="A4" t="s">
        <v>289</v>
      </c>
      <c r="D4" t="s">
        <v>280</v>
      </c>
      <c r="E4" s="3">
        <f t="shared" ref="E4:U4" si="1">SUM(E42:E51)/1000</f>
        <v>216.83460200000002</v>
      </c>
      <c r="F4" s="3">
        <f t="shared" si="1"/>
        <v>243.42545500000003</v>
      </c>
      <c r="G4" s="3">
        <f t="shared" si="1"/>
        <v>281.75916699999999</v>
      </c>
      <c r="H4" s="3">
        <f t="shared" si="1"/>
        <v>343.72267199999999</v>
      </c>
      <c r="I4" s="3">
        <f t="shared" si="1"/>
        <v>397.94205800000003</v>
      </c>
      <c r="J4" s="3">
        <f t="shared" si="1"/>
        <v>463.51747599999999</v>
      </c>
      <c r="K4" s="3">
        <f t="shared" si="1"/>
        <v>481.50767099999996</v>
      </c>
      <c r="L4" s="3">
        <f t="shared" si="1"/>
        <v>544.17819900000006</v>
      </c>
      <c r="M4" s="3">
        <f t="shared" si="1"/>
        <v>547.72582599999998</v>
      </c>
      <c r="N4" s="3">
        <f t="shared" si="1"/>
        <v>567.06578499999989</v>
      </c>
      <c r="O4" s="3">
        <f t="shared" si="1"/>
        <v>577.36451099999999</v>
      </c>
      <c r="P4" s="3">
        <f t="shared" si="1"/>
        <v>583.04395000000011</v>
      </c>
      <c r="Q4" s="3">
        <f t="shared" si="1"/>
        <v>605.79835000000003</v>
      </c>
      <c r="R4" s="3">
        <f t="shared" si="1"/>
        <v>631.17781500000001</v>
      </c>
      <c r="S4" s="3">
        <f t="shared" si="1"/>
        <v>654.93196499999999</v>
      </c>
      <c r="T4" s="3">
        <f t="shared" si="1"/>
        <v>674.97423300000003</v>
      </c>
      <c r="U4" s="3">
        <f t="shared" si="1"/>
        <v>729.17528500000014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50">
      <c r="A5" t="s">
        <v>290</v>
      </c>
      <c r="D5" t="s">
        <v>280</v>
      </c>
      <c r="E5" s="3">
        <f>SUM(E52:E61)/1000</f>
        <v>201.32204899999999</v>
      </c>
      <c r="F5" s="3">
        <f t="shared" ref="F5:U5" si="2">SUM(F52:F61)/1000</f>
        <v>209.756362</v>
      </c>
      <c r="G5" s="3">
        <f t="shared" si="2"/>
        <v>218.36647900000003</v>
      </c>
      <c r="H5" s="3">
        <f t="shared" si="2"/>
        <v>210.71204999999998</v>
      </c>
      <c r="I5" s="3">
        <f t="shared" si="2"/>
        <v>207.776625</v>
      </c>
      <c r="J5" s="3">
        <f t="shared" si="2"/>
        <v>224.939404</v>
      </c>
      <c r="K5" s="3">
        <f t="shared" si="2"/>
        <v>224.67066200000002</v>
      </c>
      <c r="L5" s="3">
        <f t="shared" si="2"/>
        <v>216.96218000000002</v>
      </c>
      <c r="M5" s="3">
        <f t="shared" si="2"/>
        <v>221.10511100000002</v>
      </c>
      <c r="N5" s="3">
        <f t="shared" si="2"/>
        <v>224.30174299999999</v>
      </c>
      <c r="O5" s="3">
        <f t="shared" si="2"/>
        <v>233.025668</v>
      </c>
      <c r="P5" s="3">
        <f t="shared" si="2"/>
        <v>243.03760700000001</v>
      </c>
      <c r="Q5" s="3">
        <f t="shared" si="2"/>
        <v>245.42054499999998</v>
      </c>
      <c r="R5" s="3">
        <f t="shared" si="2"/>
        <v>249.78806700000004</v>
      </c>
      <c r="S5" s="3">
        <f t="shared" si="2"/>
        <v>255.07633999999999</v>
      </c>
      <c r="T5" s="3">
        <f t="shared" si="2"/>
        <v>255.27680699999999</v>
      </c>
      <c r="U5" s="3">
        <f t="shared" si="2"/>
        <v>256.79752500000001</v>
      </c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50">
      <c r="A6" t="s">
        <v>291</v>
      </c>
      <c r="D6" t="s">
        <v>280</v>
      </c>
      <c r="E6" s="3">
        <f>SUM(E62:E71)/1000</f>
        <v>36.520967000000006</v>
      </c>
      <c r="F6" s="3">
        <f t="shared" ref="F6:U6" si="3">SUM(F62:F71)/1000</f>
        <v>60.421133999999995</v>
      </c>
      <c r="G6" s="3">
        <f t="shared" si="3"/>
        <v>84.486592999999999</v>
      </c>
      <c r="H6" s="3">
        <f t="shared" si="3"/>
        <v>104.159728</v>
      </c>
      <c r="I6" s="3">
        <f t="shared" si="3"/>
        <v>123.11382800000001</v>
      </c>
      <c r="J6" s="3">
        <f t="shared" si="3"/>
        <v>139.67660800000002</v>
      </c>
      <c r="K6" s="3">
        <f t="shared" si="3"/>
        <v>147.56041099999999</v>
      </c>
      <c r="L6" s="3">
        <f t="shared" si="3"/>
        <v>157.28238100000002</v>
      </c>
      <c r="M6" s="3">
        <f t="shared" si="3"/>
        <v>140.10696199999998</v>
      </c>
      <c r="N6" s="3">
        <f t="shared" si="3"/>
        <v>151.144057</v>
      </c>
      <c r="O6" s="3">
        <f t="shared" si="3"/>
        <v>151.26266699999999</v>
      </c>
      <c r="P6" s="3">
        <f t="shared" si="3"/>
        <v>147.52683100000002</v>
      </c>
      <c r="Q6" s="3">
        <f t="shared" si="3"/>
        <v>160.875496</v>
      </c>
      <c r="R6" s="3">
        <f t="shared" si="3"/>
        <v>177.529417</v>
      </c>
      <c r="S6" s="3">
        <f t="shared" si="3"/>
        <v>184.03662199999997</v>
      </c>
      <c r="T6" s="3">
        <f t="shared" si="3"/>
        <v>186.04972699999999</v>
      </c>
      <c r="U6" s="3">
        <f t="shared" si="3"/>
        <v>194.75991599999998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50">
      <c r="A7" t="s">
        <v>306</v>
      </c>
      <c r="D7" t="s">
        <v>280</v>
      </c>
      <c r="E7" s="3">
        <f>SUM(E72:E81)/1000</f>
        <v>441.70782499999996</v>
      </c>
      <c r="F7" s="3">
        <f t="shared" ref="F7:U7" si="4">SUM(F72:F81)/1000</f>
        <v>458.46250899999995</v>
      </c>
      <c r="G7" s="3">
        <f t="shared" si="4"/>
        <v>491.33596400000005</v>
      </c>
      <c r="H7" s="3">
        <f t="shared" si="4"/>
        <v>534.02721199999996</v>
      </c>
      <c r="I7" s="3">
        <f t="shared" si="4"/>
        <v>541.42352999999991</v>
      </c>
      <c r="J7" s="3">
        <f t="shared" si="4"/>
        <v>578.04889900000001</v>
      </c>
      <c r="K7" s="3">
        <f t="shared" si="4"/>
        <v>520.22378600000002</v>
      </c>
      <c r="L7" s="3">
        <f t="shared" si="4"/>
        <v>585.80612800000006</v>
      </c>
      <c r="M7" s="3">
        <f t="shared" si="4"/>
        <v>596.77706299999988</v>
      </c>
      <c r="N7" s="3">
        <f t="shared" si="4"/>
        <v>531.81478400000003</v>
      </c>
      <c r="O7" s="3">
        <f t="shared" si="4"/>
        <v>553.78324199999997</v>
      </c>
      <c r="P7" s="3">
        <f t="shared" si="4"/>
        <v>550.79331499999989</v>
      </c>
      <c r="Q7" s="3">
        <f t="shared" si="4"/>
        <v>558.61111900000003</v>
      </c>
      <c r="R7" s="3">
        <f t="shared" si="4"/>
        <v>583.60529999999994</v>
      </c>
      <c r="S7" s="3">
        <f t="shared" si="4"/>
        <v>584.92915200000004</v>
      </c>
      <c r="T7" s="3">
        <f t="shared" si="4"/>
        <v>567.79487300000017</v>
      </c>
      <c r="U7" s="3">
        <f t="shared" si="4"/>
        <v>614.96350400000017</v>
      </c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50">
      <c r="A8" t="s">
        <v>6</v>
      </c>
      <c r="D8" t="s">
        <v>280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>
        <f>SUM(B15:E15)</f>
        <v>1783.0388746023273</v>
      </c>
      <c r="AE8" s="1"/>
      <c r="AF8" s="1"/>
      <c r="AG8" s="1"/>
      <c r="AH8" s="1"/>
      <c r="AI8" s="1"/>
    </row>
    <row r="9" spans="1:50">
      <c r="A9" t="s">
        <v>7</v>
      </c>
      <c r="D9" t="s">
        <v>280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X9" s="1">
        <f>SUM(B16:E16)</f>
        <v>2815.0902164136196</v>
      </c>
    </row>
    <row r="10" spans="1:50">
      <c r="A10" t="s">
        <v>307</v>
      </c>
      <c r="D10" t="s">
        <v>280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N10">
        <f>AVERAGE(AN121:AN126)*EJ2TWh</f>
        <v>1963.0972222379269</v>
      </c>
      <c r="AX10">
        <f>AVERAGE(AX121:AX126)*EJ2TWh</f>
        <v>2077.3379629795818</v>
      </c>
    </row>
    <row r="13" spans="1:50">
      <c r="B13" t="s">
        <v>289</v>
      </c>
      <c r="C13" t="s">
        <v>291</v>
      </c>
      <c r="D13" t="s">
        <v>290</v>
      </c>
      <c r="E13" t="s">
        <v>306</v>
      </c>
    </row>
    <row r="14" spans="1:50">
      <c r="A14">
        <v>2021</v>
      </c>
      <c r="B14" s="3">
        <f>U4</f>
        <v>729.17528500000014</v>
      </c>
      <c r="C14" s="3">
        <f>U6</f>
        <v>194.75991599999998</v>
      </c>
      <c r="D14" s="3">
        <f>U5</f>
        <v>256.79752500000001</v>
      </c>
      <c r="E14" s="3">
        <f>U7</f>
        <v>614.96350400000017</v>
      </c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</row>
    <row r="15" spans="1:50">
      <c r="A15">
        <v>2030</v>
      </c>
      <c r="B15" s="1">
        <f>F108*$B$117</f>
        <v>613.44428329089749</v>
      </c>
      <c r="C15" s="1">
        <f>(F110+F111+F114)*$B$117</f>
        <v>236.52449332546149</v>
      </c>
      <c r="D15" s="1">
        <f>F109*$B$117</f>
        <v>308.13943510248959</v>
      </c>
      <c r="E15" s="1">
        <f>(F112+F113+F115)*$B$117</f>
        <v>624.93066288347859</v>
      </c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</row>
    <row r="16" spans="1:50">
      <c r="A16">
        <v>2050</v>
      </c>
      <c r="B16" s="1">
        <f>K108*$B$117</f>
        <v>1229.9911553615107</v>
      </c>
      <c r="C16" s="1">
        <f>(K110+K111+K114)*$B$117</f>
        <v>519.91366705098494</v>
      </c>
      <c r="D16" s="1">
        <f>K109*$B$117</f>
        <v>339.72021357580252</v>
      </c>
      <c r="E16" s="1">
        <f>(K112+K113+K115)*$B$117</f>
        <v>725.46518042532159</v>
      </c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</row>
    <row r="17" spans="2:21">
      <c r="B17" s="1"/>
      <c r="C17" s="1"/>
      <c r="D17" s="1"/>
      <c r="E17" s="1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</row>
    <row r="18" spans="2:21"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U18">
        <f>U4/$U$3</f>
        <v>0.4060682830525294</v>
      </c>
    </row>
    <row r="19" spans="2:21"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U19">
        <f>U5/$U$3</f>
        <v>0.14300721954514542</v>
      </c>
    </row>
    <row r="20" spans="2:21"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U20">
        <f>U6/$U$3</f>
        <v>0.10845927765856028</v>
      </c>
    </row>
    <row r="21" spans="2:21"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U21">
        <f>U7/$U$3</f>
        <v>0.34246521974376481</v>
      </c>
    </row>
    <row r="22" spans="2:21"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U22" s="3"/>
    </row>
    <row r="23" spans="2:21"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</row>
    <row r="24" spans="2:21"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</row>
    <row r="25" spans="2:21"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</row>
    <row r="26" spans="2:21"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</row>
    <row r="27" spans="2:21"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</row>
    <row r="28" spans="2:21"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</row>
    <row r="30" spans="2:21">
      <c r="H30" t="s">
        <v>110</v>
      </c>
      <c r="I30">
        <f>(U3-Q3)/4</f>
        <v>56.247680000000116</v>
      </c>
    </row>
    <row r="31" spans="2:21">
      <c r="H31" t="s">
        <v>5</v>
      </c>
      <c r="I31" s="1">
        <f>(AD8-U3)/9</f>
        <v>-1.4063728219636888</v>
      </c>
    </row>
    <row r="32" spans="2:21">
      <c r="H32" t="s">
        <v>232</v>
      </c>
      <c r="I32">
        <f>(AX9-AD8)/20</f>
        <v>51.602567090564619</v>
      </c>
    </row>
    <row r="39" spans="1:75">
      <c r="A39" s="54" t="s">
        <v>150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54"/>
      <c r="AZ39" s="54"/>
      <c r="BA39" s="54"/>
      <c r="BB39" s="54"/>
      <c r="BC39" s="54"/>
      <c r="BD39" s="54"/>
      <c r="BE39" s="54"/>
      <c r="BF39" s="54"/>
      <c r="BG39" s="54"/>
      <c r="BH39" s="54"/>
      <c r="BI39" s="54"/>
      <c r="BJ39" s="54"/>
      <c r="BK39" s="54"/>
      <c r="BL39" s="54"/>
      <c r="BM39" s="54"/>
      <c r="BN39" s="54"/>
      <c r="BO39" s="54"/>
      <c r="BP39" s="54"/>
      <c r="BQ39" s="54"/>
      <c r="BR39" s="54"/>
      <c r="BS39" s="54"/>
      <c r="BT39" s="54"/>
      <c r="BU39" s="54"/>
      <c r="BV39" s="54"/>
      <c r="BW39" s="54"/>
    </row>
    <row r="40" spans="1:75" s="36" customFormat="1">
      <c r="A40" s="66" t="s">
        <v>293</v>
      </c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3"/>
      <c r="BK40" s="43"/>
      <c r="BL40" s="43"/>
      <c r="BM40" s="43"/>
      <c r="BN40" s="43"/>
      <c r="BO40" s="43"/>
      <c r="BP40" s="43"/>
      <c r="BQ40" s="43"/>
      <c r="BR40" s="43"/>
      <c r="BS40" s="43"/>
      <c r="BT40" s="43"/>
      <c r="BU40" s="43"/>
      <c r="BV40" s="43"/>
      <c r="BW40" s="43"/>
    </row>
    <row r="41" spans="1:75">
      <c r="C41" s="7" t="s">
        <v>8</v>
      </c>
      <c r="D41" s="42" t="s">
        <v>12</v>
      </c>
      <c r="E41" t="s">
        <v>0</v>
      </c>
      <c r="J41" t="s">
        <v>1</v>
      </c>
      <c r="O41" t="s">
        <v>2</v>
      </c>
      <c r="T41" t="s">
        <v>3</v>
      </c>
      <c r="Y41">
        <v>2025</v>
      </c>
      <c r="AD41">
        <v>2030</v>
      </c>
      <c r="AI41">
        <v>2035</v>
      </c>
      <c r="AN41">
        <v>2040</v>
      </c>
      <c r="AS41">
        <v>2045</v>
      </c>
      <c r="AX41">
        <v>2050</v>
      </c>
    </row>
    <row r="42" spans="1:75">
      <c r="A42" s="61" t="s">
        <v>284</v>
      </c>
      <c r="B42" s="61" t="s">
        <v>269</v>
      </c>
      <c r="C42" t="s">
        <v>288</v>
      </c>
      <c r="D42" t="s">
        <v>287</v>
      </c>
      <c r="E42" s="62">
        <v>164104.33199999999</v>
      </c>
      <c r="F42" s="62">
        <v>174969.609</v>
      </c>
      <c r="G42" s="62">
        <v>183274.44399999999</v>
      </c>
      <c r="H42" s="62">
        <v>202074.777</v>
      </c>
      <c r="I42" s="62">
        <v>217786.84299999999</v>
      </c>
      <c r="J42" s="62">
        <v>257534.26500000001</v>
      </c>
      <c r="K42" s="62">
        <v>255453.04199999999</v>
      </c>
      <c r="L42" s="62">
        <v>287713.12800000003</v>
      </c>
      <c r="M42" s="62">
        <v>291684.30499999999</v>
      </c>
      <c r="N42" s="62">
        <v>293392.06699999998</v>
      </c>
      <c r="O42" s="62">
        <v>298222.05699999997</v>
      </c>
      <c r="P42" s="62">
        <v>304271.55800000002</v>
      </c>
      <c r="Q42" s="62">
        <v>312410.14199999999</v>
      </c>
      <c r="R42" s="64">
        <v>317735.01</v>
      </c>
      <c r="S42" s="64">
        <v>332665.14</v>
      </c>
      <c r="T42" s="62">
        <v>341979.283</v>
      </c>
      <c r="U42" s="62">
        <v>384161.47600000002</v>
      </c>
      <c r="V42" s="59"/>
      <c r="W42" s="58"/>
      <c r="X42" s="59"/>
      <c r="Y42" s="58"/>
      <c r="Z42" s="59"/>
      <c r="AA42" s="58"/>
      <c r="AB42" s="59"/>
      <c r="AC42" s="58"/>
      <c r="AD42" s="59"/>
      <c r="AE42" s="58"/>
      <c r="AF42" s="59"/>
      <c r="AG42" s="58"/>
      <c r="AH42" s="59"/>
      <c r="AI42" s="58"/>
      <c r="AJ42" s="59"/>
    </row>
    <row r="43" spans="1:75">
      <c r="A43" s="61" t="s">
        <v>284</v>
      </c>
      <c r="B43" s="61" t="s">
        <v>270</v>
      </c>
      <c r="C43" t="s">
        <v>288</v>
      </c>
      <c r="D43" t="s">
        <v>287</v>
      </c>
      <c r="E43" s="65">
        <v>0</v>
      </c>
      <c r="F43" s="65">
        <v>0</v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  <c r="O43" s="65">
        <v>0</v>
      </c>
      <c r="P43" s="65">
        <v>0</v>
      </c>
      <c r="Q43" s="65">
        <v>0</v>
      </c>
      <c r="R43" s="63">
        <v>0.16700000000000001</v>
      </c>
      <c r="S43" s="63">
        <v>6.8330000000000002</v>
      </c>
      <c r="T43" s="65">
        <v>0</v>
      </c>
      <c r="U43" s="65">
        <v>0</v>
      </c>
      <c r="V43" s="56"/>
      <c r="W43" s="55"/>
      <c r="X43" s="56"/>
      <c r="Y43" s="57"/>
      <c r="Z43" s="56"/>
      <c r="AA43" s="55"/>
      <c r="AB43" s="56"/>
      <c r="AC43" s="55"/>
      <c r="AD43" s="56"/>
      <c r="AE43" s="55"/>
      <c r="AF43" s="56"/>
      <c r="AG43" s="55"/>
      <c r="AH43" s="56"/>
      <c r="AI43" s="55"/>
      <c r="AJ43" s="56"/>
    </row>
    <row r="44" spans="1:75">
      <c r="A44" s="61" t="s">
        <v>284</v>
      </c>
      <c r="B44" s="61" t="s">
        <v>271</v>
      </c>
      <c r="C44" t="s">
        <v>288</v>
      </c>
      <c r="D44" t="s">
        <v>287</v>
      </c>
      <c r="E44" s="62">
        <v>6454.6149999999998</v>
      </c>
      <c r="F44" s="62">
        <v>9707.1650000000009</v>
      </c>
      <c r="G44" s="64">
        <v>12366.48</v>
      </c>
      <c r="H44" s="62">
        <v>19619.537</v>
      </c>
      <c r="I44" s="62">
        <v>24059.307000000001</v>
      </c>
      <c r="J44" s="62">
        <v>28028.452000000001</v>
      </c>
      <c r="K44" s="62">
        <v>28089.302</v>
      </c>
      <c r="L44" s="62">
        <v>28373.948</v>
      </c>
      <c r="M44" s="62">
        <v>26724.414000000001</v>
      </c>
      <c r="N44" s="62">
        <v>26432.066999999999</v>
      </c>
      <c r="O44" s="64">
        <v>27441.63</v>
      </c>
      <c r="P44" s="62">
        <v>27263.683000000001</v>
      </c>
      <c r="Q44" s="62">
        <v>29042.607</v>
      </c>
      <c r="R44" s="64">
        <v>31362.43</v>
      </c>
      <c r="S44" s="62">
        <v>32815.067000000003</v>
      </c>
      <c r="T44" s="62">
        <v>32710.338</v>
      </c>
      <c r="U44" s="62">
        <v>36531.809000000001</v>
      </c>
      <c r="V44" s="59"/>
      <c r="W44" s="58"/>
      <c r="X44" s="59"/>
      <c r="Y44" s="58"/>
      <c r="Z44" s="59"/>
      <c r="AA44" s="58"/>
      <c r="AB44" s="59"/>
      <c r="AC44" s="58"/>
      <c r="AD44" s="59"/>
      <c r="AE44" s="58"/>
      <c r="AF44" s="59"/>
      <c r="AG44" s="60"/>
      <c r="AH44" s="59"/>
      <c r="AI44" s="58"/>
      <c r="AJ44" s="59"/>
    </row>
    <row r="45" spans="1:75">
      <c r="A45" s="61" t="s">
        <v>284</v>
      </c>
      <c r="B45" s="61" t="s">
        <v>272</v>
      </c>
      <c r="C45" t="s">
        <v>288</v>
      </c>
      <c r="D45" t="s">
        <v>287</v>
      </c>
      <c r="E45" s="65">
        <v>0</v>
      </c>
      <c r="F45" s="65">
        <v>0</v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  <c r="O45" s="65">
        <v>0</v>
      </c>
      <c r="P45" s="65">
        <v>0</v>
      </c>
      <c r="Q45" s="65">
        <v>0</v>
      </c>
      <c r="R45" s="65">
        <v>0</v>
      </c>
      <c r="S45" s="65">
        <v>0</v>
      </c>
      <c r="T45" s="65">
        <v>0</v>
      </c>
      <c r="U45" s="65">
        <v>0</v>
      </c>
      <c r="V45" s="56"/>
      <c r="W45" s="55"/>
      <c r="X45" s="56"/>
      <c r="Y45" s="55"/>
      <c r="Z45" s="56"/>
      <c r="AA45" s="55"/>
      <c r="AB45" s="56"/>
      <c r="AC45" s="55"/>
      <c r="AD45" s="56"/>
      <c r="AE45" s="55"/>
      <c r="AF45" s="56"/>
      <c r="AG45" s="55"/>
      <c r="AH45" s="56"/>
      <c r="AI45" s="55"/>
      <c r="AJ45" s="56"/>
    </row>
    <row r="46" spans="1:75">
      <c r="A46" s="61" t="s">
        <v>284</v>
      </c>
      <c r="B46" s="61" t="s">
        <v>273</v>
      </c>
      <c r="C46" t="s">
        <v>288</v>
      </c>
      <c r="D46" t="s">
        <v>287</v>
      </c>
      <c r="E46" s="64">
        <v>17620.64</v>
      </c>
      <c r="F46" s="62">
        <v>24534.078000000001</v>
      </c>
      <c r="G46" s="64">
        <v>43572.87</v>
      </c>
      <c r="H46" s="62">
        <v>70563.714999999997</v>
      </c>
      <c r="I46" s="62">
        <v>93601.752999999997</v>
      </c>
      <c r="J46" s="62">
        <v>104794.637</v>
      </c>
      <c r="K46" s="62">
        <v>112777.52800000001</v>
      </c>
      <c r="L46" s="62">
        <v>125982.65700000001</v>
      </c>
      <c r="M46" s="62">
        <v>111173.898</v>
      </c>
      <c r="N46" s="62">
        <v>120701.75199999999</v>
      </c>
      <c r="O46" s="62">
        <v>119256.327</v>
      </c>
      <c r="P46" s="62">
        <v>117261.488</v>
      </c>
      <c r="Q46" s="62">
        <v>128558.103</v>
      </c>
      <c r="R46" s="64">
        <v>145347.20000000001</v>
      </c>
      <c r="S46" s="62">
        <v>149101.33900000001</v>
      </c>
      <c r="T46" s="62">
        <v>155275.68700000001</v>
      </c>
      <c r="U46" s="64">
        <v>158092.28</v>
      </c>
      <c r="V46" s="59"/>
      <c r="W46" s="58"/>
      <c r="X46" s="59"/>
      <c r="Y46" s="58"/>
      <c r="Z46" s="59"/>
      <c r="AA46" s="58"/>
      <c r="AB46" s="59"/>
      <c r="AC46" s="58"/>
      <c r="AD46" s="59"/>
      <c r="AE46" s="58"/>
      <c r="AF46" s="59"/>
      <c r="AG46" s="58"/>
      <c r="AH46" s="59"/>
      <c r="AI46" s="58"/>
      <c r="AJ46" s="59"/>
    </row>
    <row r="47" spans="1:75">
      <c r="A47" s="61" t="s">
        <v>284</v>
      </c>
      <c r="B47" s="61" t="s">
        <v>274</v>
      </c>
      <c r="C47" t="s">
        <v>288</v>
      </c>
      <c r="D47" t="s">
        <v>287</v>
      </c>
      <c r="E47" s="65">
        <v>0</v>
      </c>
      <c r="F47" s="65">
        <v>0</v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3">
        <v>10.278</v>
      </c>
      <c r="N47" s="63">
        <v>10.278</v>
      </c>
      <c r="O47" s="63">
        <v>20.556000000000001</v>
      </c>
      <c r="P47" s="63">
        <v>10.278</v>
      </c>
      <c r="Q47" s="63">
        <v>13.587</v>
      </c>
      <c r="R47" s="63">
        <v>11.906000000000001</v>
      </c>
      <c r="S47" s="63">
        <v>11.478</v>
      </c>
      <c r="T47" s="63">
        <v>11.929</v>
      </c>
      <c r="U47" s="63">
        <v>54.975999999999999</v>
      </c>
      <c r="V47" s="56"/>
      <c r="W47" s="57"/>
      <c r="X47" s="56"/>
      <c r="Y47" s="57"/>
      <c r="Z47" s="56"/>
      <c r="AA47" s="57"/>
      <c r="AB47" s="56"/>
      <c r="AC47" s="57"/>
      <c r="AD47" s="56"/>
      <c r="AE47" s="57"/>
      <c r="AF47" s="56"/>
      <c r="AG47" s="57"/>
      <c r="AH47" s="56"/>
      <c r="AI47" s="57"/>
      <c r="AJ47" s="56"/>
    </row>
    <row r="48" spans="1:75">
      <c r="A48" s="61" t="s">
        <v>284</v>
      </c>
      <c r="B48" s="61" t="s">
        <v>275</v>
      </c>
      <c r="C48" t="s">
        <v>288</v>
      </c>
      <c r="D48" t="s">
        <v>287</v>
      </c>
      <c r="E48" s="64">
        <v>0</v>
      </c>
      <c r="F48" s="64">
        <v>0</v>
      </c>
      <c r="G48" s="64">
        <v>0</v>
      </c>
      <c r="H48" s="64">
        <v>0</v>
      </c>
      <c r="I48" s="64">
        <v>0</v>
      </c>
      <c r="J48" s="64">
        <v>0</v>
      </c>
      <c r="K48" s="64">
        <v>0</v>
      </c>
      <c r="L48" s="64">
        <v>0</v>
      </c>
      <c r="M48" s="64">
        <v>0</v>
      </c>
      <c r="N48" s="64">
        <v>0</v>
      </c>
      <c r="O48" s="64">
        <v>0</v>
      </c>
      <c r="P48" s="64">
        <v>0</v>
      </c>
      <c r="Q48" s="64">
        <v>0</v>
      </c>
      <c r="R48" s="64">
        <v>0</v>
      </c>
      <c r="S48" s="64">
        <v>0</v>
      </c>
      <c r="T48" s="64">
        <v>0</v>
      </c>
      <c r="U48" s="64">
        <v>0</v>
      </c>
      <c r="V48" s="59"/>
      <c r="W48" s="60"/>
      <c r="X48" s="59"/>
      <c r="Y48" s="60"/>
      <c r="Z48" s="59"/>
      <c r="AA48" s="60"/>
      <c r="AB48" s="59"/>
      <c r="AC48" s="60"/>
      <c r="AD48" s="59"/>
      <c r="AE48" s="60"/>
      <c r="AF48" s="59"/>
      <c r="AG48" s="60"/>
      <c r="AH48" s="59"/>
      <c r="AI48" s="60"/>
      <c r="AJ48" s="59"/>
    </row>
    <row r="49" spans="1:36">
      <c r="A49" s="61" t="s">
        <v>284</v>
      </c>
      <c r="B49" s="61" t="s">
        <v>276</v>
      </c>
      <c r="C49" t="s">
        <v>288</v>
      </c>
      <c r="D49" t="s">
        <v>287</v>
      </c>
      <c r="E49" s="65">
        <v>0</v>
      </c>
      <c r="F49" s="65">
        <v>0</v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0</v>
      </c>
      <c r="O49" s="65">
        <v>0</v>
      </c>
      <c r="P49" s="65">
        <v>0</v>
      </c>
      <c r="Q49" s="65">
        <v>0</v>
      </c>
      <c r="R49" s="65">
        <v>0</v>
      </c>
      <c r="S49" s="65">
        <v>0</v>
      </c>
      <c r="T49" s="65">
        <v>0</v>
      </c>
      <c r="U49" s="65">
        <v>0</v>
      </c>
      <c r="V49" s="56"/>
      <c r="W49" s="55"/>
      <c r="X49" s="56"/>
      <c r="Y49" s="57"/>
      <c r="Z49" s="56"/>
      <c r="AA49" s="55"/>
      <c r="AB49" s="56"/>
      <c r="AC49" s="55"/>
      <c r="AD49" s="56"/>
      <c r="AE49" s="55"/>
      <c r="AF49" s="56"/>
      <c r="AG49" s="55"/>
      <c r="AH49" s="56"/>
      <c r="AI49" s="55"/>
      <c r="AJ49" s="56"/>
    </row>
    <row r="50" spans="1:36">
      <c r="A50" s="61" t="s">
        <v>284</v>
      </c>
      <c r="B50" s="61" t="s">
        <v>277</v>
      </c>
      <c r="C50" t="s">
        <v>288</v>
      </c>
      <c r="D50" t="s">
        <v>287</v>
      </c>
      <c r="E50" s="62">
        <v>5673.8819999999996</v>
      </c>
      <c r="F50" s="64">
        <v>8271.9699999999993</v>
      </c>
      <c r="G50" s="62">
        <v>4926.7359999999999</v>
      </c>
      <c r="H50" s="62">
        <v>5506.9139999999998</v>
      </c>
      <c r="I50" s="62">
        <v>10314.912</v>
      </c>
      <c r="J50" s="62">
        <v>12830.382</v>
      </c>
      <c r="K50" s="64">
        <v>8366.4500000000007</v>
      </c>
      <c r="L50" s="62">
        <v>9238.4210000000003</v>
      </c>
      <c r="M50" s="64">
        <v>10973.93</v>
      </c>
      <c r="N50" s="62">
        <v>11663.528</v>
      </c>
      <c r="O50" s="62">
        <v>12864.803</v>
      </c>
      <c r="P50" s="62">
        <v>12402.727999999999</v>
      </c>
      <c r="Q50" s="62">
        <v>11680.657999999999</v>
      </c>
      <c r="R50" s="64">
        <v>11944.37</v>
      </c>
      <c r="S50" s="62">
        <v>12882.295</v>
      </c>
      <c r="T50" s="62">
        <v>12275.861000000001</v>
      </c>
      <c r="U50" s="62">
        <v>11634.687</v>
      </c>
      <c r="V50" s="59"/>
      <c r="W50" s="58"/>
      <c r="X50" s="59"/>
      <c r="Y50" s="58"/>
      <c r="Z50" s="59"/>
      <c r="AA50" s="58"/>
      <c r="AB50" s="59"/>
      <c r="AC50" s="58"/>
      <c r="AD50" s="59"/>
      <c r="AE50" s="60"/>
      <c r="AF50" s="59"/>
      <c r="AG50" s="58"/>
      <c r="AH50" s="59"/>
      <c r="AI50" s="58"/>
      <c r="AJ50" s="59"/>
    </row>
    <row r="51" spans="1:36">
      <c r="A51" s="61" t="s">
        <v>284</v>
      </c>
      <c r="B51" s="61" t="s">
        <v>278</v>
      </c>
      <c r="C51" t="s">
        <v>288</v>
      </c>
      <c r="D51" t="s">
        <v>287</v>
      </c>
      <c r="E51" s="63">
        <v>22981.133000000002</v>
      </c>
      <c r="F51" s="63">
        <v>25942.633000000002</v>
      </c>
      <c r="G51" s="63">
        <v>37618.637000000002</v>
      </c>
      <c r="H51" s="63">
        <v>45957.728999999999</v>
      </c>
      <c r="I51" s="63">
        <v>52179.243000000002</v>
      </c>
      <c r="J51" s="65">
        <v>60329.74</v>
      </c>
      <c r="K51" s="63">
        <v>76821.349000000002</v>
      </c>
      <c r="L51" s="63">
        <v>92870.044999999998</v>
      </c>
      <c r="M51" s="63">
        <v>107159.001</v>
      </c>
      <c r="N51" s="63">
        <v>114866.09299999999</v>
      </c>
      <c r="O51" s="63">
        <v>119559.13800000001</v>
      </c>
      <c r="P51" s="63">
        <v>121834.215</v>
      </c>
      <c r="Q51" s="63">
        <v>124093.253</v>
      </c>
      <c r="R51" s="63">
        <v>124776.732</v>
      </c>
      <c r="S51" s="63">
        <v>127449.81299999999</v>
      </c>
      <c r="T51" s="63">
        <v>132721.13500000001</v>
      </c>
      <c r="U51" s="63">
        <v>138700.057</v>
      </c>
      <c r="V51" s="56"/>
      <c r="W51" s="57"/>
      <c r="X51" s="56"/>
      <c r="Y51" s="55"/>
      <c r="Z51" s="56"/>
      <c r="AA51" s="55"/>
      <c r="AB51" s="56"/>
      <c r="AC51" s="55"/>
      <c r="AD51" s="56"/>
      <c r="AE51" s="55"/>
      <c r="AF51" s="56"/>
      <c r="AG51" s="55"/>
      <c r="AH51" s="56"/>
      <c r="AI51" s="55"/>
      <c r="AJ51" s="56"/>
    </row>
    <row r="52" spans="1:36">
      <c r="A52" s="61" t="s">
        <v>281</v>
      </c>
      <c r="B52" s="61" t="s">
        <v>269</v>
      </c>
      <c r="C52" t="s">
        <v>288</v>
      </c>
      <c r="D52" t="s">
        <v>287</v>
      </c>
      <c r="E52" s="62">
        <v>199345.48199999999</v>
      </c>
      <c r="F52" s="62">
        <v>207534.15700000001</v>
      </c>
      <c r="G52" s="62">
        <v>215460.94500000001</v>
      </c>
      <c r="H52" s="62">
        <v>207137.57399999999</v>
      </c>
      <c r="I52" s="62">
        <v>204216.18799999999</v>
      </c>
      <c r="J52" s="62">
        <v>219870.82399999999</v>
      </c>
      <c r="K52" s="62">
        <v>219628.87299999999</v>
      </c>
      <c r="L52" s="62">
        <v>213283.065</v>
      </c>
      <c r="M52" s="62">
        <v>216596.685</v>
      </c>
      <c r="N52" s="62">
        <v>219163.446</v>
      </c>
      <c r="O52" s="62">
        <v>227848.516</v>
      </c>
      <c r="P52" s="62">
        <v>236864.389</v>
      </c>
      <c r="Q52" s="62">
        <v>238161.75200000001</v>
      </c>
      <c r="R52" s="62">
        <v>240546.693</v>
      </c>
      <c r="S52" s="64">
        <v>245080.04</v>
      </c>
      <c r="T52" s="62">
        <v>244203.96299999999</v>
      </c>
      <c r="U52" s="62">
        <v>245631.234</v>
      </c>
      <c r="V52" s="59"/>
      <c r="W52" s="58"/>
      <c r="X52" s="59"/>
      <c r="Y52" s="58"/>
      <c r="Z52" s="59"/>
      <c r="AA52" s="58"/>
      <c r="AB52" s="59"/>
      <c r="AC52" s="58"/>
      <c r="AD52" s="59"/>
      <c r="AE52" s="58"/>
      <c r="AF52" s="59"/>
      <c r="AG52" s="58"/>
      <c r="AH52" s="59"/>
      <c r="AI52" s="58"/>
      <c r="AJ52" s="59"/>
    </row>
    <row r="53" spans="1:36">
      <c r="A53" s="61" t="s">
        <v>281</v>
      </c>
      <c r="B53" s="61" t="s">
        <v>270</v>
      </c>
      <c r="C53" t="s">
        <v>288</v>
      </c>
      <c r="D53" t="s">
        <v>287</v>
      </c>
      <c r="E53" s="63">
        <v>171.11099999999999</v>
      </c>
      <c r="F53" s="63">
        <v>179.667</v>
      </c>
      <c r="G53" s="63">
        <v>171.11099999999999</v>
      </c>
      <c r="H53" s="63">
        <v>436.33300000000003</v>
      </c>
      <c r="I53" s="63">
        <v>222.44399999999999</v>
      </c>
      <c r="J53" s="63">
        <v>85.555999999999997</v>
      </c>
      <c r="K53" s="63">
        <v>85.555999999999997</v>
      </c>
      <c r="L53" s="63">
        <v>85.555999999999997</v>
      </c>
      <c r="M53" s="63">
        <v>96.807000000000002</v>
      </c>
      <c r="N53" s="65">
        <v>96.65</v>
      </c>
      <c r="O53" s="63">
        <v>96.492000000000004</v>
      </c>
      <c r="P53" s="63">
        <v>96.382999999999996</v>
      </c>
      <c r="Q53" s="63">
        <v>99.201999999999998</v>
      </c>
      <c r="R53" s="63">
        <v>89.540999999999997</v>
      </c>
      <c r="S53" s="63">
        <v>86.269000000000005</v>
      </c>
      <c r="T53" s="63">
        <v>86.260999999999996</v>
      </c>
      <c r="U53" s="63">
        <v>86.260999999999996</v>
      </c>
      <c r="V53" s="56"/>
      <c r="W53" s="55"/>
      <c r="X53" s="56"/>
      <c r="Y53" s="55"/>
      <c r="Z53" s="56"/>
      <c r="AA53" s="55"/>
      <c r="AB53" s="56"/>
      <c r="AC53" s="57"/>
      <c r="AD53" s="56"/>
      <c r="AE53" s="57"/>
      <c r="AF53" s="56"/>
      <c r="AG53" s="55"/>
      <c r="AH53" s="56"/>
      <c r="AI53" s="55"/>
      <c r="AJ53" s="56"/>
    </row>
    <row r="54" spans="1:36">
      <c r="A54" s="61" t="s">
        <v>281</v>
      </c>
      <c r="B54" s="61" t="s">
        <v>271</v>
      </c>
      <c r="C54" t="s">
        <v>288</v>
      </c>
      <c r="D54" t="s">
        <v>287</v>
      </c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0.03</v>
      </c>
      <c r="K54" s="64">
        <v>0</v>
      </c>
      <c r="L54" s="62">
        <v>10.471</v>
      </c>
      <c r="M54" s="62">
        <v>12.837999999999999</v>
      </c>
      <c r="N54" s="62">
        <v>14.496</v>
      </c>
      <c r="O54" s="62">
        <v>17.565999999999999</v>
      </c>
      <c r="P54" s="64">
        <v>0</v>
      </c>
      <c r="Q54" s="64">
        <v>0</v>
      </c>
      <c r="R54" s="64">
        <v>0</v>
      </c>
      <c r="S54" s="64">
        <v>0</v>
      </c>
      <c r="T54" s="64">
        <v>0</v>
      </c>
      <c r="U54" s="64">
        <v>0</v>
      </c>
      <c r="V54" s="59"/>
      <c r="W54" s="60"/>
      <c r="X54" s="59"/>
      <c r="Y54" s="60"/>
      <c r="Z54" s="59"/>
      <c r="AA54" s="60"/>
      <c r="AB54" s="59"/>
      <c r="AC54" s="58"/>
      <c r="AD54" s="59"/>
      <c r="AE54" s="58"/>
      <c r="AF54" s="59"/>
      <c r="AG54" s="60"/>
      <c r="AH54" s="59"/>
      <c r="AI54" s="60"/>
      <c r="AJ54" s="59"/>
    </row>
    <row r="55" spans="1:36">
      <c r="A55" s="61" t="s">
        <v>281</v>
      </c>
      <c r="B55" s="61" t="s">
        <v>272</v>
      </c>
      <c r="C55" t="s">
        <v>288</v>
      </c>
      <c r="D55" t="s">
        <v>287</v>
      </c>
      <c r="E55" s="63">
        <v>1.7330000000000001</v>
      </c>
      <c r="F55" s="65">
        <v>2.0699999999999998</v>
      </c>
      <c r="G55" s="65">
        <v>2.46</v>
      </c>
      <c r="H55" s="63">
        <v>3.2029999999999998</v>
      </c>
      <c r="I55" s="63">
        <v>2.7080000000000002</v>
      </c>
      <c r="J55" s="63">
        <v>2.9279999999999999</v>
      </c>
      <c r="K55" s="65">
        <v>3.42</v>
      </c>
      <c r="L55" s="63">
        <v>3.2410000000000001</v>
      </c>
      <c r="M55" s="65">
        <v>3.04</v>
      </c>
      <c r="N55" s="65">
        <v>2.86</v>
      </c>
      <c r="O55" s="63">
        <v>2.7109999999999999</v>
      </c>
      <c r="P55" s="63">
        <v>2.3530000000000002</v>
      </c>
      <c r="Q55" s="63">
        <v>1.756</v>
      </c>
      <c r="R55" s="63">
        <v>41.276000000000003</v>
      </c>
      <c r="S55" s="63">
        <v>40.494</v>
      </c>
      <c r="T55" s="63">
        <v>39.756999999999998</v>
      </c>
      <c r="U55" s="63">
        <v>40.481999999999999</v>
      </c>
      <c r="V55" s="56"/>
      <c r="W55" s="57"/>
      <c r="X55" s="56"/>
      <c r="Y55" s="55"/>
      <c r="Z55" s="56"/>
      <c r="AA55" s="55"/>
      <c r="AB55" s="56"/>
      <c r="AC55" s="57"/>
      <c r="AD55" s="56"/>
      <c r="AE55" s="55"/>
      <c r="AF55" s="56"/>
      <c r="AG55" s="55"/>
      <c r="AH55" s="56"/>
      <c r="AI55" s="55"/>
      <c r="AJ55" s="56"/>
    </row>
    <row r="56" spans="1:36">
      <c r="A56" s="61" t="s">
        <v>281</v>
      </c>
      <c r="B56" s="61" t="s">
        <v>273</v>
      </c>
      <c r="C56" t="s">
        <v>288</v>
      </c>
      <c r="D56" t="s">
        <v>287</v>
      </c>
      <c r="E56" s="62">
        <v>0.67700000000000005</v>
      </c>
      <c r="F56" s="62">
        <v>4.5039999999999996</v>
      </c>
      <c r="G56" s="62">
        <v>2.4039999999999999</v>
      </c>
      <c r="H56" s="62">
        <v>2.4660000000000002</v>
      </c>
      <c r="I56" s="62">
        <v>7.3070000000000004</v>
      </c>
      <c r="J56" s="62">
        <v>15.952999999999999</v>
      </c>
      <c r="K56" s="62">
        <v>34.155999999999999</v>
      </c>
      <c r="L56" s="62">
        <v>22.954000000000001</v>
      </c>
      <c r="M56" s="62">
        <v>23.710999999999999</v>
      </c>
      <c r="N56" s="64">
        <v>74.319999999999993</v>
      </c>
      <c r="O56" s="62">
        <v>89.054000000000002</v>
      </c>
      <c r="P56" s="62">
        <v>166.46799999999999</v>
      </c>
      <c r="Q56" s="62">
        <v>390.90499999999997</v>
      </c>
      <c r="R56" s="62">
        <v>435.76100000000002</v>
      </c>
      <c r="S56" s="62">
        <v>335.27300000000002</v>
      </c>
      <c r="T56" s="62">
        <v>332.25200000000001</v>
      </c>
      <c r="U56" s="62">
        <v>262.26900000000001</v>
      </c>
      <c r="V56" s="59"/>
      <c r="W56" s="60"/>
      <c r="X56" s="59"/>
      <c r="Y56" s="60"/>
      <c r="Z56" s="59"/>
      <c r="AA56" s="60"/>
      <c r="AB56" s="59"/>
      <c r="AC56" s="60"/>
      <c r="AD56" s="59"/>
      <c r="AE56" s="60"/>
      <c r="AF56" s="59"/>
      <c r="AG56" s="60"/>
      <c r="AH56" s="59"/>
      <c r="AI56" s="60"/>
      <c r="AJ56" s="59"/>
    </row>
    <row r="57" spans="1:36">
      <c r="A57" s="61" t="s">
        <v>281</v>
      </c>
      <c r="B57" s="61" t="s">
        <v>274</v>
      </c>
      <c r="C57" t="s">
        <v>288</v>
      </c>
      <c r="D57" t="s">
        <v>287</v>
      </c>
      <c r="E57" s="63">
        <v>42.045999999999999</v>
      </c>
      <c r="F57" s="63">
        <v>178.02799999999999</v>
      </c>
      <c r="G57" s="63">
        <v>298.43200000000002</v>
      </c>
      <c r="H57" s="63">
        <v>329.435</v>
      </c>
      <c r="I57" s="63">
        <v>428.916</v>
      </c>
      <c r="J57" s="65">
        <v>449.05</v>
      </c>
      <c r="K57" s="63">
        <v>465.226</v>
      </c>
      <c r="L57" s="63">
        <v>756.16700000000003</v>
      </c>
      <c r="M57" s="63">
        <v>759.173</v>
      </c>
      <c r="N57" s="63">
        <v>877.91300000000001</v>
      </c>
      <c r="O57" s="63">
        <v>1058.1559999999999</v>
      </c>
      <c r="P57" s="63">
        <v>1609.307</v>
      </c>
      <c r="Q57" s="63">
        <v>1902.9359999999999</v>
      </c>
      <c r="R57" s="63">
        <v>3116.328</v>
      </c>
      <c r="S57" s="63">
        <v>3237.223</v>
      </c>
      <c r="T57" s="63">
        <v>3124.5520000000001</v>
      </c>
      <c r="U57" s="63">
        <v>3560.056</v>
      </c>
      <c r="V57" s="56"/>
      <c r="W57" s="55"/>
      <c r="X57" s="56"/>
      <c r="Y57" s="55"/>
      <c r="Z57" s="56"/>
      <c r="AA57" s="55"/>
      <c r="AB57" s="56"/>
      <c r="AC57" s="57"/>
      <c r="AD57" s="56"/>
      <c r="AE57" s="55"/>
      <c r="AF57" s="56"/>
      <c r="AG57" s="55"/>
      <c r="AH57" s="56"/>
      <c r="AI57" s="57"/>
      <c r="AJ57" s="56"/>
    </row>
    <row r="58" spans="1:36">
      <c r="A58" s="61" t="s">
        <v>281</v>
      </c>
      <c r="B58" s="61" t="s">
        <v>275</v>
      </c>
      <c r="C58" t="s">
        <v>288</v>
      </c>
      <c r="D58" t="s">
        <v>287</v>
      </c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v>0</v>
      </c>
      <c r="L58" s="64">
        <v>0</v>
      </c>
      <c r="M58" s="64">
        <v>0</v>
      </c>
      <c r="N58" s="64">
        <v>0</v>
      </c>
      <c r="O58" s="64">
        <v>0</v>
      </c>
      <c r="P58" s="64">
        <v>0</v>
      </c>
      <c r="Q58" s="64">
        <v>0</v>
      </c>
      <c r="R58" s="64">
        <v>0</v>
      </c>
      <c r="S58" s="64">
        <v>0</v>
      </c>
      <c r="T58" s="64">
        <v>0</v>
      </c>
      <c r="U58" s="64">
        <v>0</v>
      </c>
      <c r="V58" s="59"/>
      <c r="W58" s="58"/>
      <c r="X58" s="59"/>
      <c r="Y58" s="58"/>
      <c r="Z58" s="59"/>
      <c r="AA58" s="58"/>
      <c r="AB58" s="59"/>
      <c r="AC58" s="58"/>
      <c r="AD58" s="59"/>
      <c r="AE58" s="58"/>
      <c r="AF58" s="59"/>
      <c r="AG58" s="58"/>
      <c r="AH58" s="59"/>
      <c r="AI58" s="58"/>
      <c r="AJ58" s="59"/>
    </row>
    <row r="59" spans="1:36">
      <c r="A59" s="61" t="s">
        <v>281</v>
      </c>
      <c r="B59" s="61" t="s">
        <v>276</v>
      </c>
      <c r="C59" t="s">
        <v>288</v>
      </c>
      <c r="D59" t="s">
        <v>287</v>
      </c>
      <c r="E59" s="65">
        <v>0</v>
      </c>
      <c r="F59" s="65">
        <v>0</v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0</v>
      </c>
      <c r="O59" s="65">
        <v>0</v>
      </c>
      <c r="P59" s="65">
        <v>0</v>
      </c>
      <c r="Q59" s="65">
        <v>0</v>
      </c>
      <c r="R59" s="65">
        <v>0</v>
      </c>
      <c r="S59" s="65">
        <v>0</v>
      </c>
      <c r="T59" s="65">
        <v>0</v>
      </c>
      <c r="U59" s="65">
        <v>0</v>
      </c>
      <c r="V59" s="56"/>
      <c r="W59" s="57"/>
      <c r="X59" s="56"/>
      <c r="Y59" s="57"/>
      <c r="Z59" s="56"/>
      <c r="AA59" s="57"/>
      <c r="AB59" s="56"/>
      <c r="AC59" s="57"/>
      <c r="AD59" s="56"/>
      <c r="AE59" s="57"/>
      <c r="AF59" s="56"/>
      <c r="AG59" s="57"/>
      <c r="AH59" s="56"/>
      <c r="AI59" s="57"/>
      <c r="AJ59" s="56"/>
    </row>
    <row r="60" spans="1:36">
      <c r="A60" s="61" t="s">
        <v>281</v>
      </c>
      <c r="B60" s="61" t="s">
        <v>277</v>
      </c>
      <c r="C60" t="s">
        <v>288</v>
      </c>
      <c r="D60" t="s">
        <v>287</v>
      </c>
      <c r="E60" s="62">
        <v>230.95099999999999</v>
      </c>
      <c r="F60" s="62">
        <v>506.87400000000002</v>
      </c>
      <c r="G60" s="62">
        <v>640.78499999999997</v>
      </c>
      <c r="H60" s="62">
        <v>1250.876</v>
      </c>
      <c r="I60" s="62">
        <v>995.09199999999998</v>
      </c>
      <c r="J60" s="62">
        <v>940.64700000000005</v>
      </c>
      <c r="K60" s="62">
        <v>503.49599999999998</v>
      </c>
      <c r="L60" s="62">
        <v>165.803</v>
      </c>
      <c r="M60" s="62">
        <v>254.38800000000001</v>
      </c>
      <c r="N60" s="62">
        <v>442.74200000000002</v>
      </c>
      <c r="O60" s="62">
        <v>319.51600000000002</v>
      </c>
      <c r="P60" s="62">
        <v>439.39299999999997</v>
      </c>
      <c r="Q60" s="64">
        <v>378.78</v>
      </c>
      <c r="R60" s="62">
        <v>820.62699999999995</v>
      </c>
      <c r="S60" s="62">
        <v>844.42100000000005</v>
      </c>
      <c r="T60" s="62">
        <v>1420.0719999999999</v>
      </c>
      <c r="U60" s="62">
        <v>1304.164</v>
      </c>
      <c r="V60" s="59"/>
      <c r="W60" s="60"/>
      <c r="X60" s="59"/>
      <c r="Y60" s="60"/>
      <c r="Z60" s="59"/>
      <c r="AA60" s="60"/>
      <c r="AB60" s="59"/>
      <c r="AC60" s="60"/>
      <c r="AD60" s="59"/>
      <c r="AE60" s="60"/>
      <c r="AF60" s="59"/>
      <c r="AG60" s="60"/>
      <c r="AH60" s="59"/>
      <c r="AI60" s="60"/>
      <c r="AJ60" s="59"/>
    </row>
    <row r="61" spans="1:36">
      <c r="A61" s="61" t="s">
        <v>281</v>
      </c>
      <c r="B61" s="61" t="s">
        <v>278</v>
      </c>
      <c r="C61" t="s">
        <v>288</v>
      </c>
      <c r="D61" t="s">
        <v>287</v>
      </c>
      <c r="E61" s="63">
        <v>1530.049</v>
      </c>
      <c r="F61" s="63">
        <v>1351.0619999999999</v>
      </c>
      <c r="G61" s="63">
        <v>1790.3420000000001</v>
      </c>
      <c r="H61" s="63">
        <v>1552.163</v>
      </c>
      <c r="I61" s="65">
        <v>1903.97</v>
      </c>
      <c r="J61" s="63">
        <v>3574.4160000000002</v>
      </c>
      <c r="K61" s="63">
        <v>3949.9349999999999</v>
      </c>
      <c r="L61" s="63">
        <v>2634.9229999999998</v>
      </c>
      <c r="M61" s="63">
        <v>3358.4690000000001</v>
      </c>
      <c r="N61" s="63">
        <v>3629.3159999999998</v>
      </c>
      <c r="O61" s="63">
        <v>3593.6570000000002</v>
      </c>
      <c r="P61" s="63">
        <v>3859.3139999999999</v>
      </c>
      <c r="Q61" s="63">
        <v>4485.2139999999999</v>
      </c>
      <c r="R61" s="63">
        <v>4737.8410000000003</v>
      </c>
      <c r="S61" s="65">
        <v>5452.62</v>
      </c>
      <c r="T61" s="65">
        <v>6069.95</v>
      </c>
      <c r="U61" s="63">
        <v>5913.0590000000002</v>
      </c>
      <c r="V61" s="56"/>
      <c r="W61" s="55"/>
      <c r="X61" s="56"/>
      <c r="Y61" s="55"/>
      <c r="Z61" s="56"/>
      <c r="AA61" s="55"/>
      <c r="AB61" s="56"/>
      <c r="AC61" s="57"/>
      <c r="AD61" s="56"/>
      <c r="AE61" s="55"/>
      <c r="AF61" s="56"/>
      <c r="AG61" s="55"/>
      <c r="AH61" s="56"/>
      <c r="AI61" s="55"/>
      <c r="AJ61" s="56"/>
    </row>
    <row r="62" spans="1:36">
      <c r="A62" s="61" t="s">
        <v>282</v>
      </c>
      <c r="B62" s="61" t="s">
        <v>269</v>
      </c>
      <c r="C62" t="s">
        <v>288</v>
      </c>
      <c r="D62" t="s">
        <v>287</v>
      </c>
      <c r="E62" s="62">
        <v>7.8639999999999999</v>
      </c>
      <c r="F62" s="64">
        <v>7.03</v>
      </c>
      <c r="G62" s="62">
        <v>16.196999999999999</v>
      </c>
      <c r="H62" s="62">
        <v>1.7529999999999999</v>
      </c>
      <c r="I62" s="62">
        <v>0.91900000000000004</v>
      </c>
      <c r="J62" s="62">
        <v>8.5999999999999993E-2</v>
      </c>
      <c r="K62" s="62">
        <v>0.36399999999999999</v>
      </c>
      <c r="L62" s="62">
        <v>0.36499999999999999</v>
      </c>
      <c r="M62" s="62">
        <v>3.6920000000000002</v>
      </c>
      <c r="N62" s="62">
        <v>3.6920000000000002</v>
      </c>
      <c r="O62" s="62">
        <v>0.63700000000000001</v>
      </c>
      <c r="P62" s="62">
        <v>1.748</v>
      </c>
      <c r="Q62" s="62">
        <v>1.4890000000000001</v>
      </c>
      <c r="R62" s="62">
        <v>0.48799999999999999</v>
      </c>
      <c r="S62" s="62">
        <v>0.40699999999999997</v>
      </c>
      <c r="T62" s="62">
        <v>0.42299999999999999</v>
      </c>
      <c r="U62" s="62">
        <v>0.33400000000000002</v>
      </c>
      <c r="V62" s="59"/>
      <c r="W62" s="58"/>
      <c r="X62" s="59"/>
      <c r="Y62" s="58"/>
      <c r="Z62" s="59"/>
      <c r="AA62" s="58"/>
      <c r="AB62" s="59"/>
      <c r="AC62" s="58"/>
      <c r="AD62" s="59"/>
      <c r="AE62" s="58"/>
      <c r="AF62" s="59"/>
      <c r="AG62" s="58"/>
      <c r="AH62" s="59"/>
      <c r="AI62" s="58"/>
      <c r="AJ62" s="59"/>
    </row>
    <row r="63" spans="1:36">
      <c r="A63" s="61" t="s">
        <v>282</v>
      </c>
      <c r="B63" s="61" t="s">
        <v>270</v>
      </c>
      <c r="C63" t="s">
        <v>288</v>
      </c>
      <c r="D63" t="s">
        <v>287</v>
      </c>
      <c r="E63" s="65">
        <v>0</v>
      </c>
      <c r="F63" s="65">
        <v>0</v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  <c r="O63" s="65">
        <v>0</v>
      </c>
      <c r="P63" s="65">
        <v>0</v>
      </c>
      <c r="Q63" s="65">
        <v>0</v>
      </c>
      <c r="R63" s="65">
        <v>0</v>
      </c>
      <c r="S63" s="65">
        <v>0</v>
      </c>
      <c r="T63" s="65">
        <v>0</v>
      </c>
      <c r="U63" s="65">
        <v>0</v>
      </c>
      <c r="V63" s="56"/>
      <c r="W63" s="55"/>
      <c r="X63" s="56"/>
      <c r="Y63" s="55"/>
      <c r="Z63" s="56"/>
      <c r="AA63" s="55"/>
      <c r="AB63" s="56"/>
      <c r="AC63" s="55"/>
      <c r="AD63" s="56"/>
      <c r="AE63" s="55"/>
      <c r="AF63" s="56"/>
      <c r="AG63" s="55"/>
      <c r="AH63" s="56"/>
      <c r="AI63" s="55"/>
      <c r="AJ63" s="56"/>
    </row>
    <row r="64" spans="1:36">
      <c r="A64" s="61" t="s">
        <v>282</v>
      </c>
      <c r="B64" s="61" t="s">
        <v>271</v>
      </c>
      <c r="C64" t="s">
        <v>288</v>
      </c>
      <c r="D64" t="s">
        <v>287</v>
      </c>
      <c r="E64" s="62">
        <v>92.159000000000006</v>
      </c>
      <c r="F64" s="64">
        <v>106.67</v>
      </c>
      <c r="G64" s="62">
        <v>166.78899999999999</v>
      </c>
      <c r="H64" s="62">
        <v>188.995</v>
      </c>
      <c r="I64" s="62">
        <v>188.33699999999999</v>
      </c>
      <c r="J64" s="62">
        <v>266.15100000000001</v>
      </c>
      <c r="K64" s="62">
        <v>323.48899999999998</v>
      </c>
      <c r="L64" s="64">
        <v>338.24</v>
      </c>
      <c r="M64" s="62">
        <v>292.13099999999997</v>
      </c>
      <c r="N64" s="64">
        <v>252.36</v>
      </c>
      <c r="O64" s="62">
        <v>243.84899999999999</v>
      </c>
      <c r="P64" s="62">
        <v>123.65300000000001</v>
      </c>
      <c r="Q64" s="62">
        <v>88.557000000000002</v>
      </c>
      <c r="R64" s="62">
        <v>69.613</v>
      </c>
      <c r="S64" s="62">
        <v>43.402000000000001</v>
      </c>
      <c r="T64" s="62">
        <v>40.207000000000001</v>
      </c>
      <c r="U64" s="62">
        <v>29.638999999999999</v>
      </c>
      <c r="V64" s="59"/>
      <c r="W64" s="58"/>
      <c r="X64" s="59"/>
      <c r="Y64" s="58"/>
      <c r="Z64" s="59"/>
      <c r="AA64" s="60"/>
      <c r="AB64" s="59"/>
      <c r="AC64" s="58"/>
      <c r="AD64" s="59"/>
      <c r="AE64" s="58"/>
      <c r="AF64" s="59"/>
      <c r="AG64" s="58"/>
      <c r="AH64" s="59"/>
      <c r="AI64" s="58"/>
      <c r="AJ64" s="59"/>
    </row>
    <row r="65" spans="1:36">
      <c r="A65" s="61" t="s">
        <v>282</v>
      </c>
      <c r="B65" s="61" t="s">
        <v>272</v>
      </c>
      <c r="C65" t="s">
        <v>288</v>
      </c>
      <c r="D65" t="s">
        <v>287</v>
      </c>
      <c r="E65" s="63">
        <v>6228.402</v>
      </c>
      <c r="F65" s="63">
        <v>9677.3320000000003</v>
      </c>
      <c r="G65" s="63">
        <v>12521.523999999999</v>
      </c>
      <c r="H65" s="63">
        <v>19497.558000000001</v>
      </c>
      <c r="I65" s="63">
        <v>23885.804</v>
      </c>
      <c r="J65" s="63">
        <v>28575.893</v>
      </c>
      <c r="K65" s="63">
        <v>29158.612000000001</v>
      </c>
      <c r="L65" s="63">
        <v>28391.595000000001</v>
      </c>
      <c r="M65" s="63">
        <v>26387.954000000002</v>
      </c>
      <c r="N65" s="63">
        <v>26312.494999999999</v>
      </c>
      <c r="O65" s="65">
        <v>26819.71</v>
      </c>
      <c r="P65" s="63">
        <v>26532.308000000001</v>
      </c>
      <c r="Q65" s="65">
        <v>28067.39</v>
      </c>
      <c r="R65" s="63">
        <v>30166.822</v>
      </c>
      <c r="S65" s="65">
        <v>31413.82</v>
      </c>
      <c r="T65" s="63">
        <v>30844.576000000001</v>
      </c>
      <c r="U65" s="63">
        <v>35123.004999999997</v>
      </c>
      <c r="V65" s="56"/>
      <c r="W65" s="55"/>
      <c r="X65" s="56"/>
      <c r="Y65" s="55"/>
      <c r="Z65" s="56"/>
      <c r="AA65" s="55"/>
      <c r="AB65" s="56"/>
      <c r="AC65" s="55"/>
      <c r="AD65" s="56"/>
      <c r="AE65" s="57"/>
      <c r="AF65" s="56"/>
      <c r="AG65" s="55"/>
      <c r="AH65" s="56"/>
      <c r="AI65" s="55"/>
      <c r="AJ65" s="56"/>
    </row>
    <row r="66" spans="1:36">
      <c r="A66" s="61" t="s">
        <v>282</v>
      </c>
      <c r="B66" s="61" t="s">
        <v>273</v>
      </c>
      <c r="C66" t="s">
        <v>288</v>
      </c>
      <c r="D66" t="s">
        <v>287</v>
      </c>
      <c r="E66" s="62">
        <v>11283.492</v>
      </c>
      <c r="F66" s="64">
        <v>19615.939999999999</v>
      </c>
      <c r="G66" s="62">
        <v>19535.293000000001</v>
      </c>
      <c r="H66" s="62">
        <v>12420.581</v>
      </c>
      <c r="I66" s="62">
        <v>5941.2120000000004</v>
      </c>
      <c r="J66" s="62">
        <v>6419.3419999999996</v>
      </c>
      <c r="K66" s="62">
        <v>4834.1559999999999</v>
      </c>
      <c r="L66" s="62">
        <v>3500.4949999999999</v>
      </c>
      <c r="M66" s="62">
        <v>2296.8069999999998</v>
      </c>
      <c r="N66" s="62">
        <v>4171.5050000000001</v>
      </c>
      <c r="O66" s="62">
        <v>4843.3040000000001</v>
      </c>
      <c r="P66" s="62">
        <v>3794.6729999999998</v>
      </c>
      <c r="Q66" s="62">
        <v>5831.7849999999999</v>
      </c>
      <c r="R66" s="62">
        <v>5682.0910000000003</v>
      </c>
      <c r="S66" s="62">
        <v>5383.1570000000002</v>
      </c>
      <c r="T66" s="62">
        <v>5037.2709999999997</v>
      </c>
      <c r="U66" s="62">
        <v>5441.5280000000002</v>
      </c>
      <c r="V66" s="59"/>
      <c r="W66" s="60"/>
      <c r="X66" s="59"/>
      <c r="Y66" s="60"/>
      <c r="Z66" s="59"/>
      <c r="AA66" s="60"/>
      <c r="AB66" s="59"/>
      <c r="AC66" s="60"/>
      <c r="AD66" s="59"/>
      <c r="AE66" s="60"/>
      <c r="AF66" s="59"/>
      <c r="AG66" s="60"/>
      <c r="AH66" s="59"/>
      <c r="AI66" s="60"/>
      <c r="AJ66" s="59"/>
    </row>
    <row r="67" spans="1:36">
      <c r="A67" s="61" t="s">
        <v>282</v>
      </c>
      <c r="B67" s="61" t="s">
        <v>274</v>
      </c>
      <c r="C67" t="s">
        <v>288</v>
      </c>
      <c r="D67" t="s">
        <v>287</v>
      </c>
      <c r="E67" s="65">
        <v>17212.740000000002</v>
      </c>
      <c r="F67" s="63">
        <v>23963.741999999998</v>
      </c>
      <c r="G67" s="63">
        <v>43990.074999999997</v>
      </c>
      <c r="H67" s="63">
        <v>68471.725999999995</v>
      </c>
      <c r="I67" s="63">
        <v>91954.921000000002</v>
      </c>
      <c r="J67" s="63">
        <v>103490.79300000001</v>
      </c>
      <c r="K67" s="63">
        <v>112229.807</v>
      </c>
      <c r="L67" s="63">
        <v>123723.405</v>
      </c>
      <c r="M67" s="63">
        <v>109722.477</v>
      </c>
      <c r="N67" s="63">
        <v>118883.897</v>
      </c>
      <c r="O67" s="63">
        <v>117829.29300000001</v>
      </c>
      <c r="P67" s="63">
        <v>115492.31299999999</v>
      </c>
      <c r="Q67" s="63">
        <v>125118.071</v>
      </c>
      <c r="R67" s="63">
        <v>139813.52600000001</v>
      </c>
      <c r="S67" s="63">
        <v>145302.75899999999</v>
      </c>
      <c r="T67" s="63">
        <v>148039.89300000001</v>
      </c>
      <c r="U67" s="63">
        <v>152780.42199999999</v>
      </c>
      <c r="V67" s="56"/>
      <c r="W67" s="57"/>
      <c r="X67" s="56"/>
      <c r="Y67" s="57"/>
      <c r="Z67" s="56"/>
      <c r="AA67" s="57"/>
      <c r="AB67" s="56"/>
      <c r="AC67" s="57"/>
      <c r="AD67" s="56"/>
      <c r="AE67" s="57"/>
      <c r="AF67" s="56"/>
      <c r="AG67" s="57"/>
      <c r="AH67" s="56"/>
      <c r="AI67" s="57"/>
      <c r="AJ67" s="56"/>
    </row>
    <row r="68" spans="1:36">
      <c r="A68" s="61" t="s">
        <v>282</v>
      </c>
      <c r="B68" s="61" t="s">
        <v>275</v>
      </c>
      <c r="C68" t="s">
        <v>288</v>
      </c>
      <c r="D68" t="s">
        <v>287</v>
      </c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4">
        <v>0</v>
      </c>
      <c r="M68" s="64">
        <v>0</v>
      </c>
      <c r="N68" s="64">
        <v>0</v>
      </c>
      <c r="O68" s="64">
        <v>0</v>
      </c>
      <c r="P68" s="64">
        <v>0</v>
      </c>
      <c r="Q68" s="64">
        <v>0</v>
      </c>
      <c r="R68" s="64">
        <v>0</v>
      </c>
      <c r="S68" s="64">
        <v>0</v>
      </c>
      <c r="T68" s="64">
        <v>0</v>
      </c>
      <c r="U68" s="64">
        <v>0</v>
      </c>
      <c r="V68" s="59"/>
      <c r="W68" s="60"/>
      <c r="X68" s="59"/>
      <c r="Y68" s="60"/>
      <c r="Z68" s="59"/>
      <c r="AA68" s="60"/>
      <c r="AB68" s="59"/>
      <c r="AC68" s="60"/>
      <c r="AD68" s="59"/>
      <c r="AE68" s="60"/>
      <c r="AF68" s="59"/>
      <c r="AG68" s="60"/>
      <c r="AH68" s="59"/>
      <c r="AI68" s="60"/>
      <c r="AJ68" s="59"/>
    </row>
    <row r="69" spans="1:36">
      <c r="A69" s="61" t="s">
        <v>282</v>
      </c>
      <c r="B69" s="61" t="s">
        <v>276</v>
      </c>
      <c r="C69" t="s">
        <v>288</v>
      </c>
      <c r="D69" t="s">
        <v>287</v>
      </c>
      <c r="E69" s="65">
        <v>0</v>
      </c>
      <c r="F69" s="65">
        <v>0</v>
      </c>
      <c r="G69" s="65">
        <v>0</v>
      </c>
      <c r="H69" s="65">
        <v>0</v>
      </c>
      <c r="I69" s="65">
        <v>0</v>
      </c>
      <c r="J69" s="65">
        <v>0</v>
      </c>
      <c r="K69" s="65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56"/>
      <c r="W69" s="57"/>
      <c r="X69" s="56"/>
      <c r="Y69" s="57"/>
      <c r="Z69" s="56"/>
      <c r="AA69" s="57"/>
      <c r="AB69" s="56"/>
      <c r="AC69" s="57"/>
      <c r="AD69" s="56"/>
      <c r="AE69" s="57"/>
      <c r="AF69" s="56"/>
      <c r="AG69" s="57"/>
      <c r="AH69" s="56"/>
      <c r="AI69" s="57"/>
      <c r="AJ69" s="56"/>
    </row>
    <row r="70" spans="1:36">
      <c r="A70" s="61" t="s">
        <v>282</v>
      </c>
      <c r="B70" s="61" t="s">
        <v>277</v>
      </c>
      <c r="C70" t="s">
        <v>288</v>
      </c>
      <c r="D70" t="s">
        <v>287</v>
      </c>
      <c r="E70" s="64">
        <v>1696.31</v>
      </c>
      <c r="F70" s="64">
        <v>7050.42</v>
      </c>
      <c r="G70" s="62">
        <v>8256.7150000000001</v>
      </c>
      <c r="H70" s="62">
        <v>3357.4450000000002</v>
      </c>
      <c r="I70" s="62">
        <v>883.452</v>
      </c>
      <c r="J70" s="62">
        <v>602.65200000000004</v>
      </c>
      <c r="K70" s="62">
        <v>191.67500000000001</v>
      </c>
      <c r="L70" s="62">
        <v>185.374</v>
      </c>
      <c r="M70" s="62">
        <v>48.134</v>
      </c>
      <c r="N70" s="62">
        <v>90.676000000000002</v>
      </c>
      <c r="O70" s="62">
        <v>45.262</v>
      </c>
      <c r="P70" s="62">
        <v>45.122999999999998</v>
      </c>
      <c r="Q70" s="62">
        <v>19.648</v>
      </c>
      <c r="R70" s="62">
        <v>7.9740000000000002</v>
      </c>
      <c r="S70" s="64">
        <v>15.18</v>
      </c>
      <c r="T70" s="62">
        <v>8.5739999999999998</v>
      </c>
      <c r="U70" s="64">
        <v>18.399999999999999</v>
      </c>
      <c r="V70" s="59"/>
      <c r="W70" s="60"/>
      <c r="X70" s="59"/>
      <c r="Y70" s="60"/>
      <c r="Z70" s="59"/>
      <c r="AA70" s="60"/>
      <c r="AB70" s="59"/>
      <c r="AC70" s="58"/>
      <c r="AD70" s="59"/>
      <c r="AE70" s="58"/>
      <c r="AF70" s="59"/>
      <c r="AG70" s="60"/>
      <c r="AH70" s="59"/>
      <c r="AI70" s="60"/>
      <c r="AJ70" s="59"/>
    </row>
    <row r="71" spans="1:36">
      <c r="A71" s="61" t="s">
        <v>282</v>
      </c>
      <c r="B71" s="61" t="s">
        <v>278</v>
      </c>
      <c r="C71" t="s">
        <v>288</v>
      </c>
      <c r="D71" t="s">
        <v>287</v>
      </c>
      <c r="E71" s="65">
        <v>0</v>
      </c>
      <c r="F71" s="65">
        <v>0</v>
      </c>
      <c r="G71" s="65">
        <v>0</v>
      </c>
      <c r="H71" s="65">
        <v>221.67</v>
      </c>
      <c r="I71" s="63">
        <v>259.18299999999999</v>
      </c>
      <c r="J71" s="63">
        <v>321.69099999999997</v>
      </c>
      <c r="K71" s="63">
        <v>822.30799999999999</v>
      </c>
      <c r="L71" s="63">
        <v>1142.9069999999999</v>
      </c>
      <c r="M71" s="63">
        <v>1355.7670000000001</v>
      </c>
      <c r="N71" s="63">
        <v>1429.432</v>
      </c>
      <c r="O71" s="63">
        <v>1480.6120000000001</v>
      </c>
      <c r="P71" s="63">
        <v>1537.0129999999999</v>
      </c>
      <c r="Q71" s="63">
        <v>1748.556</v>
      </c>
      <c r="R71" s="63">
        <v>1788.903</v>
      </c>
      <c r="S71" s="63">
        <v>1877.8969999999999</v>
      </c>
      <c r="T71" s="63">
        <v>2078.7829999999999</v>
      </c>
      <c r="U71" s="63">
        <v>1366.588</v>
      </c>
      <c r="V71" s="56"/>
      <c r="W71" s="57"/>
      <c r="X71" s="56"/>
      <c r="Y71" s="57"/>
      <c r="Z71" s="56"/>
      <c r="AA71" s="57"/>
      <c r="AB71" s="56"/>
      <c r="AC71" s="57"/>
      <c r="AD71" s="56"/>
      <c r="AE71" s="57"/>
      <c r="AF71" s="56"/>
      <c r="AG71" s="57"/>
      <c r="AH71" s="56"/>
      <c r="AI71" s="57"/>
      <c r="AJ71" s="56"/>
    </row>
    <row r="72" spans="1:36">
      <c r="A72" s="61" t="s">
        <v>283</v>
      </c>
      <c r="B72" s="61" t="s">
        <v>269</v>
      </c>
      <c r="C72" t="s">
        <v>288</v>
      </c>
      <c r="D72" t="s">
        <v>287</v>
      </c>
      <c r="E72" s="62">
        <v>433247.50199999998</v>
      </c>
      <c r="F72" s="62">
        <v>447735.163</v>
      </c>
      <c r="G72" s="62">
        <v>476947.05800000002</v>
      </c>
      <c r="H72" s="62">
        <v>519431.005</v>
      </c>
      <c r="I72" s="62">
        <v>522911.20799999998</v>
      </c>
      <c r="J72" s="62">
        <v>557961.40399999998</v>
      </c>
      <c r="K72" s="62">
        <v>499386.40899999999</v>
      </c>
      <c r="L72" s="62">
        <v>561599.93799999997</v>
      </c>
      <c r="M72" s="62">
        <v>570560.179</v>
      </c>
      <c r="N72" s="62">
        <v>503708.30300000001</v>
      </c>
      <c r="O72" s="64">
        <v>524177.56</v>
      </c>
      <c r="P72" s="62">
        <v>517953.79499999998</v>
      </c>
      <c r="Q72" s="62">
        <v>524108.114</v>
      </c>
      <c r="R72" s="62">
        <v>549148.71600000001</v>
      </c>
      <c r="S72" s="62">
        <v>550665.40800000005</v>
      </c>
      <c r="T72" s="62">
        <v>533390.70900000003</v>
      </c>
      <c r="U72" s="62">
        <v>582656.72400000005</v>
      </c>
      <c r="V72" s="59"/>
      <c r="W72" s="60"/>
      <c r="X72" s="59"/>
      <c r="Y72" s="60"/>
      <c r="Z72" s="59"/>
      <c r="AA72" s="60"/>
      <c r="AB72" s="59"/>
      <c r="AC72" s="60"/>
      <c r="AD72" s="59"/>
      <c r="AE72" s="60"/>
      <c r="AF72" s="59"/>
      <c r="AG72" s="60"/>
      <c r="AH72" s="59"/>
      <c r="AI72" s="60"/>
      <c r="AJ72" s="59"/>
    </row>
    <row r="73" spans="1:36">
      <c r="A73" s="61" t="s">
        <v>283</v>
      </c>
      <c r="B73" s="61" t="s">
        <v>270</v>
      </c>
      <c r="C73" t="s">
        <v>288</v>
      </c>
      <c r="D73" t="s">
        <v>287</v>
      </c>
      <c r="E73" s="63">
        <v>2489.0390000000002</v>
      </c>
      <c r="F73" s="65">
        <v>2486.0500000000002</v>
      </c>
      <c r="G73" s="63">
        <v>3179.4569999999999</v>
      </c>
      <c r="H73" s="63">
        <v>3013.4839999999999</v>
      </c>
      <c r="I73" s="63">
        <v>4050.9540000000002</v>
      </c>
      <c r="J73" s="63">
        <v>4017.172</v>
      </c>
      <c r="K73" s="63">
        <v>4193.4229999999998</v>
      </c>
      <c r="L73" s="63">
        <v>4621.6239999999998</v>
      </c>
      <c r="M73" s="63">
        <v>4483.0240000000003</v>
      </c>
      <c r="N73" s="63">
        <v>4369.424</v>
      </c>
      <c r="O73" s="63">
        <v>4495.2240000000002</v>
      </c>
      <c r="P73" s="63">
        <v>4137.8180000000002</v>
      </c>
      <c r="Q73" s="63">
        <v>4341.3130000000001</v>
      </c>
      <c r="R73" s="63">
        <v>4462.9669999999996</v>
      </c>
      <c r="S73" s="63">
        <v>4208.4960000000001</v>
      </c>
      <c r="T73" s="63">
        <v>3723.2829999999999</v>
      </c>
      <c r="U73" s="63">
        <v>3648.893</v>
      </c>
      <c r="V73" s="56"/>
      <c r="W73" s="57"/>
      <c r="X73" s="56"/>
      <c r="Y73" s="55"/>
      <c r="Z73" s="56"/>
      <c r="AA73" s="55"/>
      <c r="AB73" s="56"/>
      <c r="AC73" s="57"/>
      <c r="AD73" s="56"/>
      <c r="AE73" s="55"/>
      <c r="AF73" s="56"/>
      <c r="AG73" s="55"/>
      <c r="AH73" s="56"/>
      <c r="AI73" s="55"/>
      <c r="AJ73" s="56"/>
    </row>
    <row r="74" spans="1:36">
      <c r="A74" s="61" t="s">
        <v>283</v>
      </c>
      <c r="B74" s="61" t="s">
        <v>271</v>
      </c>
      <c r="C74" t="s">
        <v>288</v>
      </c>
      <c r="D74" t="s">
        <v>287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>
        <v>0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59"/>
      <c r="W74" s="58"/>
      <c r="X74" s="59"/>
      <c r="Y74" s="58"/>
      <c r="Z74" s="59"/>
      <c r="AA74" s="58"/>
      <c r="AB74" s="59"/>
      <c r="AC74" s="58"/>
      <c r="AD74" s="59"/>
      <c r="AE74" s="58"/>
      <c r="AF74" s="59"/>
      <c r="AG74" s="58"/>
      <c r="AH74" s="59"/>
      <c r="AI74" s="58"/>
      <c r="AJ74" s="59"/>
    </row>
    <row r="75" spans="1:36">
      <c r="A75" s="61" t="s">
        <v>283</v>
      </c>
      <c r="B75" s="61" t="s">
        <v>272</v>
      </c>
      <c r="C75" t="s">
        <v>288</v>
      </c>
      <c r="D75" t="s">
        <v>287</v>
      </c>
      <c r="E75" s="63">
        <v>72.533000000000001</v>
      </c>
      <c r="F75" s="63">
        <v>87.203000000000003</v>
      </c>
      <c r="G75" s="63">
        <v>104.80500000000001</v>
      </c>
      <c r="H75" s="63">
        <v>164.078</v>
      </c>
      <c r="I75" s="65">
        <v>160.97999999999999</v>
      </c>
      <c r="J75" s="63">
        <v>177.809</v>
      </c>
      <c r="K75" s="63">
        <v>199.52500000000001</v>
      </c>
      <c r="L75" s="63">
        <v>227.02699999999999</v>
      </c>
      <c r="M75" s="63">
        <v>214.227</v>
      </c>
      <c r="N75" s="63">
        <v>204.88300000000001</v>
      </c>
      <c r="O75" s="63">
        <v>183.447</v>
      </c>
      <c r="P75" s="63">
        <v>162.536</v>
      </c>
      <c r="Q75" s="63">
        <v>180.578</v>
      </c>
      <c r="R75" s="63">
        <v>223.75200000000001</v>
      </c>
      <c r="S75" s="63">
        <v>191.899</v>
      </c>
      <c r="T75" s="63">
        <v>223.696</v>
      </c>
      <c r="U75" s="63">
        <v>244.06200000000001</v>
      </c>
      <c r="V75" s="56"/>
      <c r="W75" s="55"/>
      <c r="X75" s="56"/>
      <c r="Y75" s="55"/>
      <c r="Z75" s="56"/>
      <c r="AA75" s="55"/>
      <c r="AB75" s="56"/>
      <c r="AC75" s="55"/>
      <c r="AD75" s="56"/>
      <c r="AE75" s="55"/>
      <c r="AF75" s="56"/>
      <c r="AG75" s="55"/>
      <c r="AH75" s="56"/>
      <c r="AI75" s="55"/>
      <c r="AJ75" s="56"/>
    </row>
    <row r="76" spans="1:36">
      <c r="A76" s="61" t="s">
        <v>283</v>
      </c>
      <c r="B76" s="61" t="s">
        <v>273</v>
      </c>
      <c r="C76" t="s">
        <v>288</v>
      </c>
      <c r="D76" t="s">
        <v>287</v>
      </c>
      <c r="E76" s="62">
        <v>339.46199999999999</v>
      </c>
      <c r="F76" s="62">
        <v>349.49799999999999</v>
      </c>
      <c r="G76" s="62">
        <v>798.31899999999996</v>
      </c>
      <c r="H76" s="62">
        <v>692.45100000000002</v>
      </c>
      <c r="I76" s="62">
        <v>396.16300000000001</v>
      </c>
      <c r="J76" s="62">
        <v>295.85599999999999</v>
      </c>
      <c r="K76" s="62">
        <v>139.566</v>
      </c>
      <c r="L76" s="62">
        <v>188.285</v>
      </c>
      <c r="M76" s="62">
        <v>173.91800000000001</v>
      </c>
      <c r="N76" s="62">
        <v>271.85399999999998</v>
      </c>
      <c r="O76" s="62">
        <v>274.19400000000002</v>
      </c>
      <c r="P76" s="62">
        <v>357.673</v>
      </c>
      <c r="Q76" s="62">
        <v>640.35299999999995</v>
      </c>
      <c r="R76" s="62">
        <v>591.255</v>
      </c>
      <c r="S76" s="62">
        <v>427.06799999999998</v>
      </c>
      <c r="T76" s="62">
        <v>464.23399999999998</v>
      </c>
      <c r="U76" s="62">
        <v>457.35300000000001</v>
      </c>
      <c r="V76" s="59"/>
      <c r="W76" s="58"/>
      <c r="X76" s="59"/>
      <c r="Y76" s="58"/>
      <c r="Z76" s="59"/>
      <c r="AA76" s="58"/>
      <c r="AB76" s="59"/>
      <c r="AC76" s="58"/>
      <c r="AD76" s="59"/>
      <c r="AE76" s="58"/>
      <c r="AF76" s="59"/>
      <c r="AG76" s="60"/>
      <c r="AH76" s="59"/>
      <c r="AI76" s="58"/>
      <c r="AJ76" s="59"/>
    </row>
    <row r="77" spans="1:36">
      <c r="A77" s="61" t="s">
        <v>283</v>
      </c>
      <c r="B77" s="61" t="s">
        <v>274</v>
      </c>
      <c r="C77" t="s">
        <v>288</v>
      </c>
      <c r="D77" t="s">
        <v>287</v>
      </c>
      <c r="E77" s="63">
        <v>571.21299999999997</v>
      </c>
      <c r="F77" s="63">
        <v>1346.269</v>
      </c>
      <c r="G77" s="65">
        <v>1903.77</v>
      </c>
      <c r="H77" s="63">
        <v>1616.2349999999999</v>
      </c>
      <c r="I77" s="63">
        <v>2236.8380000000002</v>
      </c>
      <c r="J77" s="63">
        <v>2147.7370000000001</v>
      </c>
      <c r="K77" s="63">
        <v>2218.1550000000002</v>
      </c>
      <c r="L77" s="63">
        <v>2693.4270000000001</v>
      </c>
      <c r="M77" s="63">
        <v>2729.4110000000001</v>
      </c>
      <c r="N77" s="63">
        <v>2902.607</v>
      </c>
      <c r="O77" s="63">
        <v>2992.058</v>
      </c>
      <c r="P77" s="63">
        <v>4268.5479999999998</v>
      </c>
      <c r="Q77" s="63">
        <v>4983.1589999999997</v>
      </c>
      <c r="R77" s="63">
        <v>5413.652</v>
      </c>
      <c r="S77" s="63">
        <v>5629.701</v>
      </c>
      <c r="T77" s="65">
        <v>6169.91</v>
      </c>
      <c r="U77" s="65">
        <v>6359.96</v>
      </c>
      <c r="V77" s="56"/>
      <c r="W77" s="55"/>
      <c r="X77" s="56"/>
      <c r="Y77" s="55"/>
      <c r="Z77" s="56"/>
      <c r="AA77" s="55"/>
      <c r="AB77" s="56"/>
      <c r="AC77" s="55"/>
      <c r="AD77" s="56"/>
      <c r="AE77" s="55"/>
      <c r="AF77" s="56"/>
      <c r="AG77" s="55"/>
      <c r="AH77" s="56"/>
      <c r="AI77" s="55"/>
      <c r="AJ77" s="56"/>
    </row>
    <row r="78" spans="1:36">
      <c r="A78" s="61" t="s">
        <v>283</v>
      </c>
      <c r="B78" s="61" t="s">
        <v>275</v>
      </c>
      <c r="C78" t="s">
        <v>288</v>
      </c>
      <c r="D78" t="s">
        <v>287</v>
      </c>
      <c r="E78" s="64">
        <v>0</v>
      </c>
      <c r="F78" s="64">
        <v>0</v>
      </c>
      <c r="G78" s="64">
        <v>0</v>
      </c>
      <c r="H78" s="64">
        <v>0</v>
      </c>
      <c r="I78" s="64">
        <v>0</v>
      </c>
      <c r="J78" s="64">
        <v>0</v>
      </c>
      <c r="K78" s="64">
        <v>0</v>
      </c>
      <c r="L78" s="64">
        <v>0</v>
      </c>
      <c r="M78" s="64">
        <v>0</v>
      </c>
      <c r="N78" s="64">
        <v>0</v>
      </c>
      <c r="O78" s="64">
        <v>0</v>
      </c>
      <c r="P78" s="64">
        <v>0</v>
      </c>
      <c r="Q78" s="64">
        <v>0</v>
      </c>
      <c r="R78" s="64">
        <v>0</v>
      </c>
      <c r="S78" s="64">
        <v>0</v>
      </c>
      <c r="T78" s="64">
        <v>0</v>
      </c>
      <c r="U78" s="64">
        <v>0</v>
      </c>
      <c r="V78" s="59"/>
      <c r="W78" s="58"/>
      <c r="X78" s="59"/>
      <c r="Y78" s="58"/>
      <c r="Z78" s="59"/>
      <c r="AA78" s="58"/>
      <c r="AB78" s="59"/>
      <c r="AC78" s="58"/>
      <c r="AD78" s="59"/>
      <c r="AE78" s="58"/>
      <c r="AF78" s="59"/>
      <c r="AG78" s="58"/>
      <c r="AH78" s="59"/>
      <c r="AI78" s="58"/>
      <c r="AJ78" s="59"/>
    </row>
    <row r="79" spans="1:36">
      <c r="A79" s="61" t="s">
        <v>283</v>
      </c>
      <c r="B79" s="61" t="s">
        <v>276</v>
      </c>
      <c r="C79" t="s">
        <v>288</v>
      </c>
      <c r="D79" t="s">
        <v>287</v>
      </c>
      <c r="E79" s="65">
        <v>0</v>
      </c>
      <c r="F79" s="65">
        <v>0</v>
      </c>
      <c r="G79" s="65">
        <v>0</v>
      </c>
      <c r="H79" s="65">
        <v>0</v>
      </c>
      <c r="I79" s="65">
        <v>0</v>
      </c>
      <c r="J79" s="65">
        <v>0</v>
      </c>
      <c r="K79" s="65">
        <v>0</v>
      </c>
      <c r="L79" s="65">
        <v>0</v>
      </c>
      <c r="M79" s="65">
        <v>0</v>
      </c>
      <c r="N79" s="65">
        <v>0</v>
      </c>
      <c r="O79" s="65">
        <v>0</v>
      </c>
      <c r="P79" s="65">
        <v>0</v>
      </c>
      <c r="Q79" s="65">
        <v>0</v>
      </c>
      <c r="R79" s="65">
        <v>0</v>
      </c>
      <c r="S79" s="65">
        <v>0</v>
      </c>
      <c r="T79" s="65">
        <v>0</v>
      </c>
      <c r="U79" s="65">
        <v>0</v>
      </c>
      <c r="V79" s="56"/>
      <c r="W79" s="55"/>
      <c r="X79" s="56"/>
      <c r="Y79" s="55"/>
      <c r="Z79" s="56"/>
      <c r="AA79" s="55"/>
      <c r="AB79" s="56"/>
      <c r="AC79" s="55"/>
      <c r="AD79" s="56"/>
      <c r="AE79" s="55"/>
      <c r="AF79" s="56"/>
      <c r="AG79" s="55"/>
      <c r="AH79" s="56"/>
      <c r="AI79" s="55"/>
      <c r="AJ79" s="56"/>
    </row>
    <row r="80" spans="1:36">
      <c r="A80" s="61" t="s">
        <v>283</v>
      </c>
      <c r="B80" s="61" t="s">
        <v>277</v>
      </c>
      <c r="C80" t="s">
        <v>288</v>
      </c>
      <c r="D80" t="s">
        <v>287</v>
      </c>
      <c r="E80" s="64">
        <v>261.3</v>
      </c>
      <c r="F80" s="62">
        <v>675.18499999999995</v>
      </c>
      <c r="G80" s="62">
        <v>824.01499999999999</v>
      </c>
      <c r="H80" s="62">
        <v>808.68299999999999</v>
      </c>
      <c r="I80" s="62">
        <v>1414.662</v>
      </c>
      <c r="J80" s="62">
        <v>1317.5509999999999</v>
      </c>
      <c r="K80" s="62">
        <v>598.83399999999995</v>
      </c>
      <c r="L80" s="62">
        <v>229.52799999999999</v>
      </c>
      <c r="M80" s="62">
        <v>246.21700000000001</v>
      </c>
      <c r="N80" s="62">
        <v>260.65800000000002</v>
      </c>
      <c r="O80" s="64">
        <v>304.23</v>
      </c>
      <c r="P80" s="62">
        <v>321.03199999999998</v>
      </c>
      <c r="Q80" s="62">
        <v>347.80700000000002</v>
      </c>
      <c r="R80" s="62">
        <v>534.48500000000001</v>
      </c>
      <c r="S80" s="62">
        <v>612.44799999999998</v>
      </c>
      <c r="T80" s="62">
        <v>644.428</v>
      </c>
      <c r="U80" s="62">
        <v>476.59899999999999</v>
      </c>
      <c r="V80" s="59"/>
      <c r="W80" s="58"/>
      <c r="X80" s="59"/>
      <c r="Y80" s="58"/>
      <c r="Z80" s="59"/>
      <c r="AA80" s="58"/>
      <c r="AB80" s="59"/>
      <c r="AC80" s="60"/>
      <c r="AD80" s="59"/>
      <c r="AE80" s="60"/>
      <c r="AF80" s="59"/>
      <c r="AG80" s="58"/>
      <c r="AH80" s="59"/>
      <c r="AI80" s="60"/>
      <c r="AJ80" s="59"/>
    </row>
    <row r="81" spans="1:36">
      <c r="A81" s="61" t="s">
        <v>283</v>
      </c>
      <c r="B81" s="61" t="s">
        <v>278</v>
      </c>
      <c r="C81" t="s">
        <v>288</v>
      </c>
      <c r="D81" t="s">
        <v>287</v>
      </c>
      <c r="E81" s="63">
        <v>4726.7759999999998</v>
      </c>
      <c r="F81" s="63">
        <v>5783.1409999999996</v>
      </c>
      <c r="G81" s="65">
        <v>7578.54</v>
      </c>
      <c r="H81" s="63">
        <v>8301.2759999999998</v>
      </c>
      <c r="I81" s="63">
        <v>10252.725</v>
      </c>
      <c r="J81" s="65">
        <v>12131.37</v>
      </c>
      <c r="K81" s="63">
        <v>13487.874</v>
      </c>
      <c r="L81" s="63">
        <v>16246.299000000001</v>
      </c>
      <c r="M81" s="63">
        <v>18370.087</v>
      </c>
      <c r="N81" s="63">
        <v>20097.055</v>
      </c>
      <c r="O81" s="63">
        <v>21356.528999999999</v>
      </c>
      <c r="P81" s="63">
        <v>23591.913</v>
      </c>
      <c r="Q81" s="63">
        <v>24009.794999999998</v>
      </c>
      <c r="R81" s="63">
        <v>23230.473000000002</v>
      </c>
      <c r="S81" s="63">
        <v>23194.132000000001</v>
      </c>
      <c r="T81" s="63">
        <v>23178.613000000001</v>
      </c>
      <c r="U81" s="63">
        <v>21119.913</v>
      </c>
      <c r="V81" s="56"/>
      <c r="W81" s="55"/>
      <c r="X81" s="56"/>
      <c r="Y81" s="57"/>
      <c r="Z81" s="56"/>
      <c r="AA81" s="55"/>
      <c r="AB81" s="56"/>
      <c r="AC81" s="55"/>
      <c r="AD81" s="56"/>
      <c r="AE81" s="55"/>
      <c r="AF81" s="56"/>
      <c r="AG81" s="55"/>
      <c r="AH81" s="56"/>
      <c r="AI81" s="55"/>
      <c r="AJ81" s="56"/>
    </row>
    <row r="82" spans="1:36">
      <c r="A82" s="61" t="s">
        <v>285</v>
      </c>
      <c r="B82" s="61" t="s">
        <v>269</v>
      </c>
      <c r="C82" t="s">
        <v>288</v>
      </c>
      <c r="D82" t="s">
        <v>287</v>
      </c>
      <c r="E82" s="62">
        <v>17336.343000000001</v>
      </c>
      <c r="F82" s="62">
        <v>18079.879000000001</v>
      </c>
      <c r="G82" s="64">
        <v>19585.330000000002</v>
      </c>
      <c r="H82" s="62">
        <v>23355.853999999999</v>
      </c>
      <c r="I82" s="64">
        <v>24375.9</v>
      </c>
      <c r="J82" s="62">
        <v>29301.359</v>
      </c>
      <c r="K82" s="62">
        <v>23649.681</v>
      </c>
      <c r="L82" s="62">
        <v>26423.636999999999</v>
      </c>
      <c r="M82" s="62">
        <v>28429.621999999999</v>
      </c>
      <c r="N82" s="62">
        <v>24348.985000000001</v>
      </c>
      <c r="O82" s="62">
        <v>27096.785</v>
      </c>
      <c r="P82" s="62">
        <v>27546.539000000001</v>
      </c>
      <c r="Q82" s="62">
        <v>29672.938999999998</v>
      </c>
      <c r="R82" s="62">
        <v>33006.019</v>
      </c>
      <c r="S82" s="62">
        <v>33414.792999999998</v>
      </c>
      <c r="T82" s="62">
        <v>32778.807999999997</v>
      </c>
      <c r="U82" s="62">
        <v>37090.955999999998</v>
      </c>
      <c r="V82" s="59"/>
      <c r="W82" s="58"/>
      <c r="X82" s="59"/>
      <c r="Y82" s="58"/>
      <c r="Z82" s="59"/>
      <c r="AA82" s="58"/>
      <c r="AB82" s="59"/>
      <c r="AC82" s="58"/>
      <c r="AD82" s="59"/>
      <c r="AE82" s="58"/>
      <c r="AF82" s="59"/>
      <c r="AG82" s="58"/>
      <c r="AH82" s="59"/>
      <c r="AI82" s="58"/>
      <c r="AJ82" s="59"/>
    </row>
    <row r="83" spans="1:36">
      <c r="A83" s="61" t="s">
        <v>285</v>
      </c>
      <c r="B83" s="61" t="s">
        <v>270</v>
      </c>
      <c r="C83" t="s">
        <v>288</v>
      </c>
      <c r="D83" t="s">
        <v>287</v>
      </c>
      <c r="E83" s="63">
        <v>127.292</v>
      </c>
      <c r="F83" s="63">
        <v>175.297</v>
      </c>
      <c r="G83" s="63">
        <v>187.78399999999999</v>
      </c>
      <c r="H83" s="63">
        <v>257.221</v>
      </c>
      <c r="I83" s="63">
        <v>249.36199999999999</v>
      </c>
      <c r="J83" s="63">
        <v>246.06399999999999</v>
      </c>
      <c r="K83" s="63">
        <v>234.565</v>
      </c>
      <c r="L83" s="63">
        <v>682.81899999999996</v>
      </c>
      <c r="M83" s="63">
        <v>490.303</v>
      </c>
      <c r="N83" s="63">
        <v>488.51499999999999</v>
      </c>
      <c r="O83" s="63">
        <v>515.80399999999997</v>
      </c>
      <c r="P83" s="65">
        <v>473.42</v>
      </c>
      <c r="Q83" s="63">
        <v>485.31799999999998</v>
      </c>
      <c r="R83" s="63">
        <v>511.97899999999998</v>
      </c>
      <c r="S83" s="63">
        <v>465.34399999999999</v>
      </c>
      <c r="T83" s="63">
        <v>331.661</v>
      </c>
      <c r="U83" s="63">
        <v>403.28100000000001</v>
      </c>
      <c r="V83" s="56"/>
      <c r="W83" s="57"/>
      <c r="X83" s="56"/>
      <c r="Y83" s="57"/>
      <c r="Z83" s="56"/>
      <c r="AA83" s="57"/>
      <c r="AB83" s="56"/>
      <c r="AC83" s="57"/>
      <c r="AD83" s="56"/>
      <c r="AE83" s="57"/>
      <c r="AF83" s="56"/>
      <c r="AG83" s="57"/>
      <c r="AH83" s="56"/>
      <c r="AI83" s="57"/>
      <c r="AJ83" s="56"/>
    </row>
    <row r="84" spans="1:36">
      <c r="A84" s="61" t="s">
        <v>285</v>
      </c>
      <c r="B84" s="61" t="s">
        <v>271</v>
      </c>
      <c r="C84" t="s">
        <v>288</v>
      </c>
      <c r="D84" t="s">
        <v>287</v>
      </c>
      <c r="E84" s="64">
        <v>0</v>
      </c>
      <c r="F84" s="64">
        <v>0</v>
      </c>
      <c r="G84" s="64">
        <v>0</v>
      </c>
      <c r="H84" s="64">
        <v>0</v>
      </c>
      <c r="I84" s="64">
        <v>0</v>
      </c>
      <c r="J84" s="64">
        <v>0</v>
      </c>
      <c r="K84" s="64">
        <v>0</v>
      </c>
      <c r="L84" s="64">
        <v>0</v>
      </c>
      <c r="M84" s="64">
        <v>0</v>
      </c>
      <c r="N84" s="64">
        <v>0</v>
      </c>
      <c r="O84" s="64">
        <v>0</v>
      </c>
      <c r="P84" s="64">
        <v>0</v>
      </c>
      <c r="Q84" s="64">
        <v>0</v>
      </c>
      <c r="R84" s="64">
        <v>0</v>
      </c>
      <c r="S84" s="64">
        <v>0</v>
      </c>
      <c r="T84" s="64">
        <v>0</v>
      </c>
      <c r="U84" s="64">
        <v>0</v>
      </c>
      <c r="V84" s="59"/>
      <c r="W84" s="60"/>
      <c r="X84" s="59"/>
      <c r="Y84" s="60"/>
      <c r="Z84" s="59"/>
      <c r="AA84" s="60"/>
      <c r="AB84" s="59"/>
      <c r="AC84" s="60"/>
      <c r="AD84" s="59"/>
      <c r="AE84" s="60"/>
      <c r="AF84" s="59"/>
      <c r="AG84" s="60"/>
      <c r="AH84" s="59"/>
      <c r="AI84" s="60"/>
      <c r="AJ84" s="59"/>
    </row>
    <row r="85" spans="1:36">
      <c r="A85" s="61" t="s">
        <v>285</v>
      </c>
      <c r="B85" s="61" t="s">
        <v>272</v>
      </c>
      <c r="C85" t="s">
        <v>288</v>
      </c>
      <c r="D85" t="s">
        <v>287</v>
      </c>
      <c r="E85" s="63">
        <v>23.738</v>
      </c>
      <c r="F85" s="63">
        <v>28.965</v>
      </c>
      <c r="G85" s="65">
        <v>34.68</v>
      </c>
      <c r="H85" s="63">
        <v>41.744999999999997</v>
      </c>
      <c r="I85" s="63">
        <v>40.274999999999999</v>
      </c>
      <c r="J85" s="65">
        <v>51.25</v>
      </c>
      <c r="K85" s="63">
        <v>61.795000000000002</v>
      </c>
      <c r="L85" s="63">
        <v>70.703999999999994</v>
      </c>
      <c r="M85" s="63">
        <v>66.503</v>
      </c>
      <c r="N85" s="63">
        <v>63.673000000000002</v>
      </c>
      <c r="O85" s="63">
        <v>51.091999999999999</v>
      </c>
      <c r="P85" s="63">
        <v>45.884</v>
      </c>
      <c r="Q85" s="65">
        <v>52.81</v>
      </c>
      <c r="R85" s="63">
        <v>60.494</v>
      </c>
      <c r="S85" s="63">
        <v>51.070999999999998</v>
      </c>
      <c r="T85" s="63">
        <v>57.058</v>
      </c>
      <c r="U85" s="63">
        <v>49.735999999999997</v>
      </c>
      <c r="V85" s="56"/>
      <c r="W85" s="55"/>
      <c r="X85" s="56"/>
      <c r="Y85" s="57"/>
      <c r="Z85" s="56"/>
      <c r="AA85" s="55"/>
      <c r="AB85" s="56"/>
      <c r="AC85" s="55"/>
      <c r="AD85" s="56"/>
      <c r="AE85" s="55"/>
      <c r="AF85" s="56"/>
      <c r="AG85" s="55"/>
      <c r="AH85" s="56"/>
      <c r="AI85" s="55"/>
      <c r="AJ85" s="56"/>
    </row>
    <row r="86" spans="1:36">
      <c r="A86" s="61" t="s">
        <v>285</v>
      </c>
      <c r="B86" s="61" t="s">
        <v>273</v>
      </c>
      <c r="C86" t="s">
        <v>288</v>
      </c>
      <c r="D86" t="s">
        <v>287</v>
      </c>
      <c r="E86" s="62">
        <v>0.69799999999999995</v>
      </c>
      <c r="F86" s="62">
        <v>3.7509999999999999</v>
      </c>
      <c r="G86" s="62">
        <v>1.8759999999999999</v>
      </c>
      <c r="H86" s="64">
        <v>1.73</v>
      </c>
      <c r="I86" s="62">
        <v>4.3140000000000001</v>
      </c>
      <c r="J86" s="62">
        <v>7.3470000000000004</v>
      </c>
      <c r="K86" s="62">
        <v>8.7409999999999997</v>
      </c>
      <c r="L86" s="62">
        <v>13.731999999999999</v>
      </c>
      <c r="M86" s="62">
        <v>16.555</v>
      </c>
      <c r="N86" s="62">
        <v>52.713000000000001</v>
      </c>
      <c r="O86" s="62">
        <v>59.951999999999998</v>
      </c>
      <c r="P86" s="62">
        <v>86.322000000000003</v>
      </c>
      <c r="Q86" s="62">
        <v>190.167</v>
      </c>
      <c r="R86" s="62">
        <v>175.21299999999999</v>
      </c>
      <c r="S86" s="62">
        <v>128.489</v>
      </c>
      <c r="T86" s="64">
        <v>140.16999999999999</v>
      </c>
      <c r="U86" s="62">
        <v>116.80800000000001</v>
      </c>
      <c r="V86" s="59"/>
      <c r="W86" s="58"/>
      <c r="X86" s="59"/>
      <c r="Y86" s="58"/>
      <c r="Z86" s="59"/>
      <c r="AA86" s="58"/>
      <c r="AB86" s="59"/>
      <c r="AC86" s="58"/>
      <c r="AD86" s="59"/>
      <c r="AE86" s="58"/>
      <c r="AF86" s="59"/>
      <c r="AG86" s="58"/>
      <c r="AH86" s="59"/>
      <c r="AI86" s="58"/>
      <c r="AJ86" s="59"/>
    </row>
    <row r="87" spans="1:36">
      <c r="A87" s="61" t="s">
        <v>285</v>
      </c>
      <c r="B87" s="61" t="s">
        <v>274</v>
      </c>
      <c r="C87" t="s">
        <v>288</v>
      </c>
      <c r="D87" t="s">
        <v>287</v>
      </c>
      <c r="E87" s="63">
        <v>533.06899999999996</v>
      </c>
      <c r="F87" s="63">
        <v>735.98699999999997</v>
      </c>
      <c r="G87" s="63">
        <v>1163.433</v>
      </c>
      <c r="H87" s="63">
        <v>1298.0619999999999</v>
      </c>
      <c r="I87" s="63">
        <v>1823.9849999999999</v>
      </c>
      <c r="J87" s="63">
        <v>1736.9639999999999</v>
      </c>
      <c r="K87" s="63">
        <v>1795.6849999999999</v>
      </c>
      <c r="L87" s="65">
        <v>1941.78</v>
      </c>
      <c r="M87" s="63">
        <v>1819.076</v>
      </c>
      <c r="N87" s="65">
        <v>1940.3</v>
      </c>
      <c r="O87" s="63">
        <v>1891.8679999999999</v>
      </c>
      <c r="P87" s="63">
        <v>2085.0459999999998</v>
      </c>
      <c r="Q87" s="63">
        <v>2286.8470000000002</v>
      </c>
      <c r="R87" s="63">
        <v>925.28300000000002</v>
      </c>
      <c r="S87" s="63">
        <v>950.779</v>
      </c>
      <c r="T87" s="63">
        <v>774.73900000000003</v>
      </c>
      <c r="U87" s="63">
        <v>850.60799999999995</v>
      </c>
      <c r="V87" s="56"/>
      <c r="W87" s="55"/>
      <c r="X87" s="56"/>
      <c r="Y87" s="55"/>
      <c r="Z87" s="56"/>
      <c r="AA87" s="55"/>
      <c r="AB87" s="56"/>
      <c r="AC87" s="55"/>
      <c r="AD87" s="56"/>
      <c r="AE87" s="55"/>
      <c r="AF87" s="56"/>
      <c r="AG87" s="55"/>
      <c r="AH87" s="56"/>
      <c r="AI87" s="55"/>
      <c r="AJ87" s="56"/>
    </row>
    <row r="88" spans="1:36">
      <c r="A88" s="61" t="s">
        <v>285</v>
      </c>
      <c r="B88" s="61" t="s">
        <v>275</v>
      </c>
      <c r="C88" t="s">
        <v>288</v>
      </c>
      <c r="D88" t="s">
        <v>287</v>
      </c>
      <c r="E88" s="64">
        <v>0</v>
      </c>
      <c r="F88" s="64">
        <v>0</v>
      </c>
      <c r="G88" s="64">
        <v>0</v>
      </c>
      <c r="H88" s="64">
        <v>0</v>
      </c>
      <c r="I88" s="64">
        <v>0</v>
      </c>
      <c r="J88" s="64">
        <v>0</v>
      </c>
      <c r="K88" s="64">
        <v>0</v>
      </c>
      <c r="L88" s="64">
        <v>0</v>
      </c>
      <c r="M88" s="64">
        <v>0</v>
      </c>
      <c r="N88" s="64">
        <v>0</v>
      </c>
      <c r="O88" s="64">
        <v>0</v>
      </c>
      <c r="P88" s="64">
        <v>0</v>
      </c>
      <c r="Q88" s="64">
        <v>0</v>
      </c>
      <c r="R88" s="64">
        <v>0</v>
      </c>
      <c r="S88" s="64">
        <v>0</v>
      </c>
      <c r="T88" s="64">
        <v>0</v>
      </c>
      <c r="U88" s="64">
        <v>0</v>
      </c>
      <c r="V88" s="59"/>
      <c r="W88" s="58"/>
      <c r="X88" s="59"/>
      <c r="Y88" s="60"/>
      <c r="Z88" s="59"/>
      <c r="AA88" s="58"/>
      <c r="AB88" s="59"/>
      <c r="AC88" s="58"/>
      <c r="AD88" s="59"/>
      <c r="AE88" s="58"/>
      <c r="AF88" s="59"/>
      <c r="AG88" s="58"/>
      <c r="AH88" s="59"/>
      <c r="AI88" s="58"/>
      <c r="AJ88" s="59"/>
    </row>
    <row r="89" spans="1:36">
      <c r="A89" s="61" t="s">
        <v>285</v>
      </c>
      <c r="B89" s="61" t="s">
        <v>276</v>
      </c>
      <c r="C89" t="s">
        <v>288</v>
      </c>
      <c r="D89" t="s">
        <v>287</v>
      </c>
      <c r="E89" s="65">
        <v>0</v>
      </c>
      <c r="F89" s="65">
        <v>0</v>
      </c>
      <c r="G89" s="65">
        <v>0</v>
      </c>
      <c r="H89" s="65">
        <v>0</v>
      </c>
      <c r="I89" s="65">
        <v>0</v>
      </c>
      <c r="J89" s="65">
        <v>0</v>
      </c>
      <c r="K89" s="65">
        <v>0</v>
      </c>
      <c r="L89" s="65">
        <v>0</v>
      </c>
      <c r="M89" s="65">
        <v>0</v>
      </c>
      <c r="N89" s="65">
        <v>0</v>
      </c>
      <c r="O89" s="65">
        <v>0</v>
      </c>
      <c r="P89" s="65">
        <v>0</v>
      </c>
      <c r="Q89" s="65">
        <v>0</v>
      </c>
      <c r="R89" s="65">
        <v>0</v>
      </c>
      <c r="S89" s="65">
        <v>0</v>
      </c>
      <c r="T89" s="65">
        <v>0</v>
      </c>
      <c r="U89" s="65">
        <v>0</v>
      </c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</row>
    <row r="90" spans="1:36">
      <c r="A90" s="61" t="s">
        <v>285</v>
      </c>
      <c r="B90" s="61" t="s">
        <v>277</v>
      </c>
      <c r="C90" t="s">
        <v>288</v>
      </c>
      <c r="D90" t="s">
        <v>287</v>
      </c>
      <c r="E90" s="62">
        <v>48.286000000000001</v>
      </c>
      <c r="F90" s="62">
        <v>323.435</v>
      </c>
      <c r="G90" s="62">
        <v>406.512</v>
      </c>
      <c r="H90" s="62">
        <v>457.61399999999998</v>
      </c>
      <c r="I90" s="62">
        <v>764.524</v>
      </c>
      <c r="J90" s="62">
        <v>676.91600000000005</v>
      </c>
      <c r="K90" s="62">
        <v>239.92599999999999</v>
      </c>
      <c r="L90" s="62">
        <v>88.825999999999993</v>
      </c>
      <c r="M90" s="62">
        <v>166.64500000000001</v>
      </c>
      <c r="N90" s="62">
        <v>177.11099999999999</v>
      </c>
      <c r="O90" s="62">
        <v>211.28700000000001</v>
      </c>
      <c r="P90" s="64">
        <v>225</v>
      </c>
      <c r="Q90" s="62">
        <v>237.88499999999999</v>
      </c>
      <c r="R90" s="62">
        <v>401.47699999999998</v>
      </c>
      <c r="S90" s="64">
        <v>461.75</v>
      </c>
      <c r="T90" s="62">
        <v>485.25400000000002</v>
      </c>
      <c r="U90" s="62">
        <v>368.23399999999998</v>
      </c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</row>
    <row r="91" spans="1:36">
      <c r="A91" s="61" t="s">
        <v>285</v>
      </c>
      <c r="B91" s="61" t="s">
        <v>278</v>
      </c>
      <c r="C91" t="s">
        <v>288</v>
      </c>
      <c r="D91" t="s">
        <v>287</v>
      </c>
      <c r="E91" s="63">
        <v>4171.6989999999996</v>
      </c>
      <c r="F91" s="63">
        <v>4557.3670000000002</v>
      </c>
      <c r="G91" s="63">
        <v>4644.491</v>
      </c>
      <c r="H91" s="63">
        <v>4448.3519999999999</v>
      </c>
      <c r="I91" s="65">
        <v>4668.6000000000004</v>
      </c>
      <c r="J91" s="63">
        <v>5199.8339999999998</v>
      </c>
      <c r="K91" s="63">
        <v>5733.6189999999997</v>
      </c>
      <c r="L91" s="63">
        <v>6873.0410000000002</v>
      </c>
      <c r="M91" s="63">
        <v>7009.5820000000003</v>
      </c>
      <c r="N91" s="63">
        <v>7584.3270000000002</v>
      </c>
      <c r="O91" s="63">
        <v>8003.8509999999997</v>
      </c>
      <c r="P91" s="63">
        <v>9040.4580000000005</v>
      </c>
      <c r="Q91" s="63">
        <v>9341.6759999999995</v>
      </c>
      <c r="R91" s="63">
        <v>9634.8240000000005</v>
      </c>
      <c r="S91" s="63">
        <v>9679.491</v>
      </c>
      <c r="T91" s="65">
        <v>9657.44</v>
      </c>
      <c r="U91" s="63">
        <v>8613.8940000000002</v>
      </c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</row>
    <row r="92" spans="1:36">
      <c r="A92" s="61" t="s">
        <v>286</v>
      </c>
      <c r="B92" s="61" t="s">
        <v>269</v>
      </c>
      <c r="C92" t="s">
        <v>288</v>
      </c>
      <c r="D92" t="s">
        <v>287</v>
      </c>
      <c r="E92" s="62">
        <v>400569.92200000002</v>
      </c>
      <c r="F92" s="62">
        <v>413931.35100000002</v>
      </c>
      <c r="G92" s="62">
        <v>441591.70600000001</v>
      </c>
      <c r="H92" s="62">
        <v>480401.08899999998</v>
      </c>
      <c r="I92" s="62">
        <v>482482.49400000001</v>
      </c>
      <c r="J92" s="62">
        <v>511138.60700000002</v>
      </c>
      <c r="K92" s="62">
        <v>458504.71299999999</v>
      </c>
      <c r="L92" s="62">
        <v>518002.55699999997</v>
      </c>
      <c r="M92" s="62">
        <v>523822.56400000001</v>
      </c>
      <c r="N92" s="62">
        <v>462142.55699999997</v>
      </c>
      <c r="O92" s="62">
        <v>478721.85499999998</v>
      </c>
      <c r="P92" s="62">
        <v>471160.50900000002</v>
      </c>
      <c r="Q92" s="62">
        <v>474895.66700000002</v>
      </c>
      <c r="R92" s="62">
        <v>498167.212</v>
      </c>
      <c r="S92" s="62">
        <v>499062.21100000001</v>
      </c>
      <c r="T92" s="62">
        <v>482411.63099999999</v>
      </c>
      <c r="U92" s="64">
        <v>525822.93999999994</v>
      </c>
      <c r="V92" s="59"/>
      <c r="W92" s="60"/>
      <c r="X92" s="59"/>
      <c r="Y92" s="60"/>
      <c r="Z92" s="59"/>
      <c r="AA92" s="60"/>
      <c r="AB92" s="59"/>
      <c r="AC92" s="60"/>
      <c r="AD92" s="59"/>
      <c r="AE92" s="60"/>
      <c r="AF92" s="59"/>
      <c r="AG92" s="60"/>
      <c r="AH92" s="59"/>
      <c r="AI92" s="60"/>
      <c r="AJ92" s="59"/>
    </row>
    <row r="93" spans="1:36">
      <c r="A93" s="61" t="s">
        <v>286</v>
      </c>
      <c r="B93" s="61" t="s">
        <v>270</v>
      </c>
      <c r="C93" t="s">
        <v>288</v>
      </c>
      <c r="D93" t="s">
        <v>287</v>
      </c>
      <c r="E93" s="63">
        <v>2276.1909999999998</v>
      </c>
      <c r="F93" s="63">
        <v>2310.7530000000002</v>
      </c>
      <c r="G93" s="63">
        <v>2991.6729999999998</v>
      </c>
      <c r="H93" s="63">
        <v>2756.2629999999999</v>
      </c>
      <c r="I93" s="63">
        <v>3801.5920000000001</v>
      </c>
      <c r="J93" s="63">
        <v>3771.1089999999999</v>
      </c>
      <c r="K93" s="65">
        <v>3958.86</v>
      </c>
      <c r="L93" s="63">
        <v>3938.8069999999998</v>
      </c>
      <c r="M93" s="63">
        <v>3992.7220000000002</v>
      </c>
      <c r="N93" s="65">
        <v>3880.91</v>
      </c>
      <c r="O93" s="65">
        <v>3979.42</v>
      </c>
      <c r="P93" s="63">
        <v>3664.3980000000001</v>
      </c>
      <c r="Q93" s="63">
        <v>3855.9949999999999</v>
      </c>
      <c r="R93" s="63">
        <v>3950.989</v>
      </c>
      <c r="S93" s="63">
        <v>3743.152</v>
      </c>
      <c r="T93" s="63">
        <v>3391.6210000000001</v>
      </c>
      <c r="U93" s="63">
        <v>3245.6129999999998</v>
      </c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</row>
    <row r="94" spans="1:36">
      <c r="A94" s="61" t="s">
        <v>286</v>
      </c>
      <c r="B94" s="61" t="s">
        <v>271</v>
      </c>
      <c r="C94" t="s">
        <v>288</v>
      </c>
      <c r="D94" t="s">
        <v>287</v>
      </c>
      <c r="E94" s="64">
        <v>0</v>
      </c>
      <c r="F94" s="64">
        <v>0</v>
      </c>
      <c r="G94" s="64">
        <v>0</v>
      </c>
      <c r="H94" s="64">
        <v>0</v>
      </c>
      <c r="I94" s="64">
        <v>0</v>
      </c>
      <c r="J94" s="64">
        <v>0</v>
      </c>
      <c r="K94" s="64">
        <v>0</v>
      </c>
      <c r="L94" s="64">
        <v>0</v>
      </c>
      <c r="M94" s="64">
        <v>0</v>
      </c>
      <c r="N94" s="64">
        <v>0</v>
      </c>
      <c r="O94" s="64">
        <v>0</v>
      </c>
      <c r="P94" s="64">
        <v>0</v>
      </c>
      <c r="Q94" s="64">
        <v>0</v>
      </c>
      <c r="R94" s="64">
        <v>0</v>
      </c>
      <c r="S94" s="64">
        <v>0</v>
      </c>
      <c r="T94" s="64">
        <v>0</v>
      </c>
      <c r="U94" s="64">
        <v>0</v>
      </c>
      <c r="V94" s="59"/>
      <c r="W94" s="60"/>
      <c r="X94" s="59"/>
      <c r="Y94" s="60"/>
      <c r="Z94" s="59"/>
      <c r="AA94" s="60"/>
      <c r="AB94" s="59"/>
      <c r="AC94" s="60"/>
      <c r="AD94" s="59"/>
      <c r="AE94" s="60"/>
      <c r="AF94" s="59"/>
      <c r="AG94" s="60"/>
      <c r="AH94" s="59"/>
      <c r="AI94" s="60"/>
      <c r="AJ94" s="59"/>
    </row>
    <row r="95" spans="1:36">
      <c r="A95" s="61" t="s">
        <v>286</v>
      </c>
      <c r="B95" s="61" t="s">
        <v>272</v>
      </c>
      <c r="C95" t="s">
        <v>288</v>
      </c>
      <c r="D95" t="s">
        <v>287</v>
      </c>
      <c r="E95" s="63">
        <v>43.784999999999997</v>
      </c>
      <c r="F95" s="63">
        <v>52.868000000000002</v>
      </c>
      <c r="G95" s="65">
        <v>63</v>
      </c>
      <c r="H95" s="63">
        <v>76.162999999999997</v>
      </c>
      <c r="I95" s="63">
        <v>76.158000000000001</v>
      </c>
      <c r="J95" s="63">
        <v>118.50700000000001</v>
      </c>
      <c r="K95" s="63">
        <v>129.566</v>
      </c>
      <c r="L95" s="63">
        <v>132.81100000000001</v>
      </c>
      <c r="M95" s="63">
        <v>118.36499999999999</v>
      </c>
      <c r="N95" s="63">
        <v>112.202</v>
      </c>
      <c r="O95" s="63">
        <v>104.22799999999999</v>
      </c>
      <c r="P95" s="63">
        <v>96.153999999999996</v>
      </c>
      <c r="Q95" s="65">
        <v>100.11</v>
      </c>
      <c r="R95" s="63">
        <v>114.76300000000001</v>
      </c>
      <c r="S95" s="63">
        <v>99.108999999999995</v>
      </c>
      <c r="T95" s="63">
        <v>120.431</v>
      </c>
      <c r="U95" s="63">
        <v>126.029</v>
      </c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</row>
    <row r="96" spans="1:36">
      <c r="A96" s="61" t="s">
        <v>286</v>
      </c>
      <c r="B96" s="61" t="s">
        <v>273</v>
      </c>
      <c r="C96" t="s">
        <v>288</v>
      </c>
      <c r="D96" t="s">
        <v>287</v>
      </c>
      <c r="E96" s="62">
        <v>0.20799999999999999</v>
      </c>
      <c r="F96" s="62">
        <v>1.105</v>
      </c>
      <c r="G96" s="64">
        <v>1.91</v>
      </c>
      <c r="H96" s="62">
        <v>12.125</v>
      </c>
      <c r="I96" s="62">
        <v>13.084</v>
      </c>
      <c r="J96" s="64">
        <v>7.98</v>
      </c>
      <c r="K96" s="64">
        <v>4.2300000000000004</v>
      </c>
      <c r="L96" s="62">
        <v>39.292999999999999</v>
      </c>
      <c r="M96" s="62">
        <v>16.585000000000001</v>
      </c>
      <c r="N96" s="62">
        <v>12.972</v>
      </c>
      <c r="O96" s="62">
        <v>13.816000000000001</v>
      </c>
      <c r="P96" s="62">
        <v>17.213999999999999</v>
      </c>
      <c r="Q96" s="62">
        <v>35.042999999999999</v>
      </c>
      <c r="R96" s="62">
        <v>35.042999999999999</v>
      </c>
      <c r="S96" s="62">
        <v>23.361999999999998</v>
      </c>
      <c r="T96" s="62">
        <v>46.722999999999999</v>
      </c>
      <c r="U96" s="62">
        <v>58.404000000000003</v>
      </c>
      <c r="V96" s="59"/>
      <c r="W96" s="60"/>
      <c r="X96" s="59"/>
      <c r="Y96" s="60"/>
      <c r="Z96" s="59"/>
      <c r="AA96" s="60"/>
      <c r="AB96" s="59"/>
      <c r="AC96" s="60"/>
      <c r="AD96" s="59"/>
      <c r="AE96" s="60"/>
      <c r="AF96" s="59"/>
      <c r="AG96" s="60"/>
      <c r="AH96" s="59"/>
      <c r="AI96" s="60"/>
      <c r="AJ96" s="59"/>
    </row>
    <row r="97" spans="1:75">
      <c r="A97" s="61" t="s">
        <v>286</v>
      </c>
      <c r="B97" s="61" t="s">
        <v>274</v>
      </c>
      <c r="C97" t="s">
        <v>288</v>
      </c>
      <c r="D97" t="s">
        <v>287</v>
      </c>
      <c r="E97" s="63">
        <v>1.079</v>
      </c>
      <c r="F97" s="65">
        <v>448.44</v>
      </c>
      <c r="G97" s="63">
        <v>466.529</v>
      </c>
      <c r="H97" s="63">
        <v>29.184000000000001</v>
      </c>
      <c r="I97" s="63">
        <v>34.395000000000003</v>
      </c>
      <c r="J97" s="63">
        <v>25.431999999999999</v>
      </c>
      <c r="K97" s="63">
        <v>17.172000000000001</v>
      </c>
      <c r="L97" s="65">
        <v>59.08</v>
      </c>
      <c r="M97" s="63">
        <v>54.854999999999997</v>
      </c>
      <c r="N97" s="63">
        <v>50.795000000000002</v>
      </c>
      <c r="O97" s="63">
        <v>60.194000000000003</v>
      </c>
      <c r="P97" s="63">
        <v>71.177000000000007</v>
      </c>
      <c r="Q97" s="63">
        <v>74.271000000000001</v>
      </c>
      <c r="R97" s="63">
        <v>84.736999999999995</v>
      </c>
      <c r="S97" s="63">
        <v>128.024</v>
      </c>
      <c r="T97" s="63">
        <v>275.39800000000002</v>
      </c>
      <c r="U97" s="63">
        <v>338.84699999999998</v>
      </c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</row>
    <row r="98" spans="1:75">
      <c r="A98" s="61" t="s">
        <v>286</v>
      </c>
      <c r="B98" s="61" t="s">
        <v>275</v>
      </c>
      <c r="C98" t="s">
        <v>288</v>
      </c>
      <c r="D98" t="s">
        <v>287</v>
      </c>
      <c r="E98" s="64">
        <v>0</v>
      </c>
      <c r="F98" s="64">
        <v>0</v>
      </c>
      <c r="G98" s="64">
        <v>0</v>
      </c>
      <c r="H98" s="64">
        <v>0</v>
      </c>
      <c r="I98" s="64">
        <v>0</v>
      </c>
      <c r="J98" s="64">
        <v>0</v>
      </c>
      <c r="K98" s="64">
        <v>0</v>
      </c>
      <c r="L98" s="64">
        <v>0</v>
      </c>
      <c r="M98" s="64">
        <v>0</v>
      </c>
      <c r="N98" s="64">
        <v>0</v>
      </c>
      <c r="O98" s="64">
        <v>0</v>
      </c>
      <c r="P98" s="64">
        <v>0</v>
      </c>
      <c r="Q98" s="64">
        <v>0</v>
      </c>
      <c r="R98" s="64">
        <v>0</v>
      </c>
      <c r="S98" s="64">
        <v>0</v>
      </c>
      <c r="T98" s="64">
        <v>0</v>
      </c>
      <c r="U98" s="64">
        <v>0</v>
      </c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59"/>
      <c r="AI98" s="59"/>
      <c r="AJ98" s="59"/>
    </row>
    <row r="99" spans="1:75">
      <c r="A99" s="61" t="s">
        <v>286</v>
      </c>
      <c r="B99" s="61" t="s">
        <v>276</v>
      </c>
      <c r="C99" t="s">
        <v>288</v>
      </c>
      <c r="D99" t="s">
        <v>287</v>
      </c>
      <c r="E99" s="65">
        <v>0</v>
      </c>
      <c r="F99" s="65">
        <v>0</v>
      </c>
      <c r="G99" s="65">
        <v>0</v>
      </c>
      <c r="H99" s="65">
        <v>0</v>
      </c>
      <c r="I99" s="65">
        <v>0</v>
      </c>
      <c r="J99" s="65">
        <v>0</v>
      </c>
      <c r="K99" s="65">
        <v>0</v>
      </c>
      <c r="L99" s="65">
        <v>0</v>
      </c>
      <c r="M99" s="65">
        <v>0</v>
      </c>
      <c r="N99" s="65">
        <v>0</v>
      </c>
      <c r="O99" s="65">
        <v>0</v>
      </c>
      <c r="P99" s="65">
        <v>0</v>
      </c>
      <c r="Q99" s="65">
        <v>0</v>
      </c>
      <c r="R99" s="65">
        <v>0</v>
      </c>
      <c r="S99" s="65">
        <v>0</v>
      </c>
      <c r="T99" s="65">
        <v>0</v>
      </c>
      <c r="U99" s="65">
        <v>0</v>
      </c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</row>
    <row r="100" spans="1:75">
      <c r="A100" s="61" t="s">
        <v>286</v>
      </c>
      <c r="B100" s="61" t="s">
        <v>277</v>
      </c>
      <c r="C100" t="s">
        <v>288</v>
      </c>
      <c r="D100" t="s">
        <v>287</v>
      </c>
      <c r="E100" s="64">
        <v>0</v>
      </c>
      <c r="F100" s="62">
        <v>20.204000000000001</v>
      </c>
      <c r="G100" s="62">
        <v>30.088000000000001</v>
      </c>
      <c r="H100" s="62">
        <v>34.588999999999999</v>
      </c>
      <c r="I100" s="62">
        <v>148.00299999999999</v>
      </c>
      <c r="J100" s="62">
        <v>197.94399999999999</v>
      </c>
      <c r="K100" s="62">
        <v>138.26300000000001</v>
      </c>
      <c r="L100" s="62">
        <v>51.959000000000003</v>
      </c>
      <c r="M100" s="62">
        <v>12.738</v>
      </c>
      <c r="N100" s="62">
        <v>14.797000000000001</v>
      </c>
      <c r="O100" s="62">
        <v>15.175000000000001</v>
      </c>
      <c r="P100" s="62">
        <v>13.465</v>
      </c>
      <c r="Q100" s="62">
        <v>20.242000000000001</v>
      </c>
      <c r="R100" s="62">
        <v>24.305</v>
      </c>
      <c r="S100" s="62">
        <v>23.484999999999999</v>
      </c>
      <c r="T100" s="62">
        <v>26.007999999999999</v>
      </c>
      <c r="U100" s="62">
        <v>18.047000000000001</v>
      </c>
      <c r="V100" s="59"/>
      <c r="W100" s="58"/>
      <c r="X100" s="59"/>
      <c r="Y100" s="60"/>
      <c r="Z100" s="59"/>
      <c r="AA100" s="58"/>
      <c r="AB100" s="59"/>
      <c r="AC100" s="58"/>
      <c r="AD100" s="59"/>
      <c r="AE100" s="58"/>
      <c r="AF100" s="59"/>
      <c r="AG100" s="60"/>
      <c r="AH100" s="59"/>
      <c r="AI100" s="58"/>
      <c r="AJ100" s="59"/>
    </row>
    <row r="101" spans="1:75">
      <c r="A101" s="61" t="s">
        <v>286</v>
      </c>
      <c r="B101" s="61" t="s">
        <v>278</v>
      </c>
      <c r="C101" t="s">
        <v>288</v>
      </c>
      <c r="D101" t="s">
        <v>287</v>
      </c>
      <c r="E101" s="63">
        <v>140.833</v>
      </c>
      <c r="F101" s="63">
        <v>313.61099999999999</v>
      </c>
      <c r="G101" s="63">
        <v>836.11099999999999</v>
      </c>
      <c r="H101" s="63">
        <v>1519.0830000000001</v>
      </c>
      <c r="I101" s="63">
        <v>2038.0909999999999</v>
      </c>
      <c r="J101" s="63">
        <v>2376.8679999999999</v>
      </c>
      <c r="K101" s="65">
        <v>2084.14</v>
      </c>
      <c r="L101" s="63">
        <v>2671.8319999999999</v>
      </c>
      <c r="M101" s="63">
        <v>3066.3919999999998</v>
      </c>
      <c r="N101" s="63">
        <v>3544.2890000000002</v>
      </c>
      <c r="O101" s="63">
        <v>3822.069</v>
      </c>
      <c r="P101" s="63">
        <v>4126.6120000000001</v>
      </c>
      <c r="Q101" s="63">
        <v>4103.0640000000003</v>
      </c>
      <c r="R101" s="63">
        <v>3624.741</v>
      </c>
      <c r="S101" s="63">
        <v>3678.3330000000001</v>
      </c>
      <c r="T101" s="63">
        <v>3414.703</v>
      </c>
      <c r="U101" s="63">
        <v>2763.6109999999999</v>
      </c>
      <c r="V101" s="56"/>
      <c r="W101" s="55"/>
      <c r="X101" s="56"/>
      <c r="Y101" s="55"/>
      <c r="Z101" s="56"/>
      <c r="AA101" s="55"/>
      <c r="AB101" s="56"/>
      <c r="AC101" s="55"/>
      <c r="AD101" s="56"/>
      <c r="AE101" s="55"/>
      <c r="AF101" s="56"/>
      <c r="AG101" s="55"/>
      <c r="AH101" s="56"/>
      <c r="AI101" s="55"/>
      <c r="AJ101" s="56"/>
    </row>
    <row r="103" spans="1:75" s="36" customFormat="1">
      <c r="A103" s="66" t="s">
        <v>294</v>
      </c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43"/>
      <c r="BC103" s="43"/>
      <c r="BD103" s="43"/>
      <c r="BE103" s="43"/>
      <c r="BF103" s="43"/>
      <c r="BG103" s="43"/>
      <c r="BH103" s="43"/>
      <c r="BI103" s="43"/>
      <c r="BJ103" s="43"/>
      <c r="BK103" s="43"/>
      <c r="BL103" s="43"/>
      <c r="BM103" s="43"/>
      <c r="BN103" s="43"/>
      <c r="BO103" s="43"/>
      <c r="BP103" s="43"/>
      <c r="BQ103" s="43"/>
      <c r="BR103" s="43"/>
      <c r="BS103" s="43"/>
      <c r="BT103" s="43"/>
      <c r="BU103" s="43"/>
      <c r="BV103" s="43"/>
      <c r="BW103" s="43"/>
    </row>
    <row r="104" spans="1:75">
      <c r="A104" s="67" t="s">
        <v>304</v>
      </c>
    </row>
    <row r="105" spans="1:75">
      <c r="A105" s="67" t="s">
        <v>305</v>
      </c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</row>
    <row r="106" spans="1:75">
      <c r="B106" s="67"/>
      <c r="C106" s="69">
        <v>2030</v>
      </c>
      <c r="D106" s="69"/>
      <c r="E106" s="69"/>
      <c r="F106" s="69"/>
      <c r="G106" s="69"/>
      <c r="H106" s="69"/>
      <c r="I106" s="69">
        <v>2050</v>
      </c>
      <c r="J106" s="69"/>
      <c r="K106" s="69"/>
      <c r="L106" s="69"/>
      <c r="M106" s="69"/>
    </row>
    <row r="107" spans="1:75">
      <c r="A107" s="67"/>
      <c r="B107" s="67">
        <v>2015</v>
      </c>
      <c r="C107" s="67" t="s">
        <v>295</v>
      </c>
      <c r="D107" s="67" t="s">
        <v>296</v>
      </c>
      <c r="E107" s="67" t="s">
        <v>102</v>
      </c>
      <c r="F107" s="67" t="s">
        <v>101</v>
      </c>
      <c r="G107" s="67" t="s">
        <v>297</v>
      </c>
      <c r="H107" s="67" t="s">
        <v>298</v>
      </c>
      <c r="I107" s="67" t="s">
        <v>295</v>
      </c>
      <c r="J107" s="67" t="s">
        <v>102</v>
      </c>
      <c r="K107" s="67" t="s">
        <v>101</v>
      </c>
      <c r="L107" s="67" t="s">
        <v>297</v>
      </c>
      <c r="M107" s="67" t="s">
        <v>298</v>
      </c>
    </row>
    <row r="108" spans="1:75">
      <c r="A108" s="67" t="s">
        <v>299</v>
      </c>
      <c r="B108" s="53">
        <v>47.572897388330176</v>
      </c>
      <c r="C108" s="53">
        <v>45.787068855255242</v>
      </c>
      <c r="D108" s="53">
        <v>45.613385769662273</v>
      </c>
      <c r="E108" s="53">
        <v>55.631142212887063</v>
      </c>
      <c r="F108" s="53">
        <v>52.746713954505374</v>
      </c>
      <c r="G108" s="53">
        <v>52.0200415402239</v>
      </c>
      <c r="H108" s="53">
        <v>57.216918453418309</v>
      </c>
      <c r="I108" s="53">
        <v>47.034154731375658</v>
      </c>
      <c r="J108" s="53">
        <v>107.58670692502815</v>
      </c>
      <c r="K108" s="53">
        <v>105.76020252463547</v>
      </c>
      <c r="L108" s="53">
        <v>103.03073837651617</v>
      </c>
      <c r="M108" s="53">
        <v>108.7485153258515</v>
      </c>
    </row>
    <row r="109" spans="1:75">
      <c r="A109" s="67" t="s">
        <v>290</v>
      </c>
      <c r="B109" s="53">
        <v>23.93545788917281</v>
      </c>
      <c r="C109" s="53">
        <v>26.01188113263732</v>
      </c>
      <c r="D109" s="53">
        <v>23.613599266585787</v>
      </c>
      <c r="E109" s="53">
        <v>28.490354783531881</v>
      </c>
      <c r="F109" s="53">
        <v>26.495222278803919</v>
      </c>
      <c r="G109" s="53">
        <v>25.806454809411594</v>
      </c>
      <c r="H109" s="53">
        <v>28.487572030567961</v>
      </c>
      <c r="I109" s="53">
        <v>26.517340875954893</v>
      </c>
      <c r="J109" s="53">
        <v>32.206319860712917</v>
      </c>
      <c r="K109" s="53">
        <v>29.210680445038907</v>
      </c>
      <c r="L109" s="53">
        <v>28.454686094585078</v>
      </c>
      <c r="M109" s="53">
        <v>33.344516332846581</v>
      </c>
    </row>
    <row r="110" spans="1:75">
      <c r="A110" s="67" t="s">
        <v>300</v>
      </c>
      <c r="B110" s="53">
        <v>12.696449405939473</v>
      </c>
      <c r="C110" s="53">
        <v>16.10551689185619</v>
      </c>
      <c r="D110" s="53">
        <v>15.227378729496134</v>
      </c>
      <c r="E110" s="53">
        <v>14.592799902729983</v>
      </c>
      <c r="F110" s="53">
        <v>15.155440750682448</v>
      </c>
      <c r="G110" s="53">
        <v>15.852666228090127</v>
      </c>
      <c r="H110" s="53">
        <v>15.436141846619511</v>
      </c>
      <c r="I110" s="53">
        <v>13.695045150202544</v>
      </c>
      <c r="J110" s="53">
        <v>15.961632016399873</v>
      </c>
      <c r="K110" s="53">
        <v>22.855826436557631</v>
      </c>
      <c r="L110" s="53">
        <v>31.551570751668368</v>
      </c>
      <c r="M110" s="53">
        <v>23.895826204671057</v>
      </c>
    </row>
    <row r="111" spans="1:75">
      <c r="A111" s="67" t="s">
        <v>301</v>
      </c>
      <c r="B111" s="53">
        <v>0</v>
      </c>
      <c r="C111" s="53">
        <v>9.8757892579671686E-2</v>
      </c>
      <c r="D111" s="53">
        <v>0.99187849304417575</v>
      </c>
      <c r="E111" s="53">
        <v>2.9613172114758735</v>
      </c>
      <c r="F111" s="53">
        <v>1.9788568961047974</v>
      </c>
      <c r="G111" s="53">
        <v>1.4832927629457768</v>
      </c>
      <c r="H111" s="53">
        <v>2.9504762383170196</v>
      </c>
      <c r="I111" s="53">
        <v>0.63782748408577494</v>
      </c>
      <c r="J111" s="53">
        <v>11.151665601989915</v>
      </c>
      <c r="K111" s="53">
        <v>11.089935544466632</v>
      </c>
      <c r="L111" s="53">
        <v>10.996780571589397</v>
      </c>
      <c r="M111" s="53">
        <v>11.005443179390603</v>
      </c>
    </row>
    <row r="112" spans="1:75">
      <c r="A112" s="67" t="s">
        <v>302</v>
      </c>
      <c r="B112" s="53">
        <v>6.4187446817279747</v>
      </c>
      <c r="C112" s="53">
        <v>7.4816949213159551</v>
      </c>
      <c r="D112" s="53">
        <v>7.7396911318944817</v>
      </c>
      <c r="E112" s="53">
        <v>7.1755484356761174</v>
      </c>
      <c r="F112" s="53">
        <v>7.8183748614091346</v>
      </c>
      <c r="G112" s="53">
        <v>7.1479667878331927</v>
      </c>
      <c r="H112" s="53">
        <v>7.8341162522426311</v>
      </c>
      <c r="I112" s="53">
        <v>6.8575391354832336</v>
      </c>
      <c r="J112" s="53">
        <v>8.6217462627349164</v>
      </c>
      <c r="K112" s="53">
        <v>8.822744949514032</v>
      </c>
      <c r="L112" s="53">
        <v>7.757436186537678</v>
      </c>
      <c r="M112" s="53">
        <v>8.9640425618792445</v>
      </c>
    </row>
    <row r="113" spans="1:100">
      <c r="A113" s="67" t="s">
        <v>292</v>
      </c>
      <c r="B113" s="53">
        <v>40.610138318272028</v>
      </c>
      <c r="C113" s="53">
        <v>36.144157685744403</v>
      </c>
      <c r="D113" s="53">
        <v>39.621580582612474</v>
      </c>
      <c r="E113" s="53">
        <v>32.219073547807987</v>
      </c>
      <c r="F113" s="53">
        <v>36.038487938746101</v>
      </c>
      <c r="G113" s="53">
        <v>35.870347113104351</v>
      </c>
      <c r="H113" s="53">
        <v>36.669485772384412</v>
      </c>
      <c r="I113" s="53">
        <v>27.031254016734181</v>
      </c>
      <c r="J113" s="53">
        <v>25.409584746086566</v>
      </c>
      <c r="K113" s="53">
        <v>30.294637158277588</v>
      </c>
      <c r="L113" s="53">
        <v>29.127443026683185</v>
      </c>
      <c r="M113" s="53">
        <v>30.552179623835244</v>
      </c>
    </row>
    <row r="114" spans="1:100">
      <c r="A114" s="67" t="s">
        <v>303</v>
      </c>
      <c r="B114" s="53">
        <v>0</v>
      </c>
      <c r="C114" s="53">
        <v>5.9698790432000159E-2</v>
      </c>
      <c r="D114" s="53">
        <v>2.3883304327946866</v>
      </c>
      <c r="E114" s="53">
        <v>3.7143767659843006</v>
      </c>
      <c r="F114" s="53">
        <v>3.2031480389790032</v>
      </c>
      <c r="G114" s="53">
        <v>2.4654723422746092</v>
      </c>
      <c r="H114" s="53">
        <v>5.2171825174965152</v>
      </c>
      <c r="I114" s="53">
        <v>5.5268910172815384E-2</v>
      </c>
      <c r="J114" s="53">
        <v>11.506090571792047</v>
      </c>
      <c r="K114" s="53">
        <v>10.758766570221221</v>
      </c>
      <c r="L114" s="53">
        <v>9.7675571500630411</v>
      </c>
      <c r="M114" s="53">
        <v>11.958527986594397</v>
      </c>
    </row>
    <row r="115" spans="1:100">
      <c r="A115" s="67" t="s">
        <v>123</v>
      </c>
      <c r="B115" s="53">
        <v>7.5322487378894039</v>
      </c>
      <c r="C115" s="53">
        <v>9.6560485289955409</v>
      </c>
      <c r="D115" s="53">
        <v>8.7606281697886175</v>
      </c>
      <c r="E115" s="53">
        <v>9.2928334320572219</v>
      </c>
      <c r="F115" s="53">
        <v>9.8775020221559089</v>
      </c>
      <c r="G115" s="53">
        <v>9.9713952025903438</v>
      </c>
      <c r="H115" s="53">
        <v>10.447680618869896</v>
      </c>
      <c r="I115" s="53">
        <v>10.646529893680466</v>
      </c>
      <c r="J115" s="53">
        <v>20.591972926252197</v>
      </c>
      <c r="K115" s="53">
        <v>23.261395228865439</v>
      </c>
      <c r="L115" s="53">
        <v>26.652442612151646</v>
      </c>
      <c r="M115" s="53">
        <v>23.460720314428784</v>
      </c>
    </row>
    <row r="117" spans="1:100">
      <c r="A117" s="67" t="s">
        <v>413</v>
      </c>
      <c r="B117" s="53">
        <v>11.63</v>
      </c>
    </row>
    <row r="118" spans="1:100">
      <c r="A118" s="67" t="s">
        <v>414</v>
      </c>
      <c r="B118" s="53">
        <v>277.77777778000001</v>
      </c>
    </row>
    <row r="119" spans="1:100" s="36" customFormat="1">
      <c r="A119" s="66" t="s">
        <v>308</v>
      </c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3"/>
      <c r="AU119" s="43"/>
      <c r="AV119" s="43"/>
      <c r="AW119" s="43"/>
      <c r="AX119" s="43"/>
      <c r="AY119" s="43"/>
      <c r="AZ119" s="43"/>
      <c r="BA119" s="43"/>
      <c r="BB119" s="43"/>
      <c r="BC119" s="43"/>
      <c r="BD119" s="43"/>
      <c r="BE119" s="43"/>
      <c r="BF119" s="43"/>
      <c r="BG119" s="43"/>
      <c r="BH119" s="43"/>
      <c r="BI119" s="43"/>
      <c r="BJ119" s="43"/>
      <c r="BK119" s="43"/>
      <c r="BL119" s="43"/>
      <c r="BM119" s="43"/>
      <c r="BN119" s="43"/>
      <c r="BO119" s="43"/>
      <c r="BP119" s="43"/>
      <c r="BQ119" s="43"/>
      <c r="BR119" s="43"/>
      <c r="BS119" s="43"/>
      <c r="BT119" s="43"/>
      <c r="BU119" s="43"/>
      <c r="BV119" s="43"/>
      <c r="BW119" s="43"/>
    </row>
    <row r="120" spans="1:100">
      <c r="A120" s="68" t="s">
        <v>309</v>
      </c>
      <c r="B120" s="68" t="s">
        <v>310</v>
      </c>
      <c r="C120" s="68" t="s">
        <v>311</v>
      </c>
      <c r="D120" s="68" t="s">
        <v>12</v>
      </c>
      <c r="E120" s="68" t="s">
        <v>0</v>
      </c>
      <c r="F120" s="68" t="s">
        <v>312</v>
      </c>
      <c r="G120" s="68" t="s">
        <v>313</v>
      </c>
      <c r="H120" s="68" t="s">
        <v>314</v>
      </c>
      <c r="I120" s="68" t="s">
        <v>315</v>
      </c>
      <c r="J120" s="68" t="s">
        <v>1</v>
      </c>
      <c r="K120" s="68" t="s">
        <v>316</v>
      </c>
      <c r="L120" s="68" t="s">
        <v>317</v>
      </c>
      <c r="M120" s="68" t="s">
        <v>318</v>
      </c>
      <c r="N120" s="68" t="s">
        <v>319</v>
      </c>
      <c r="O120" s="68" t="s">
        <v>2</v>
      </c>
      <c r="P120" s="68" t="s">
        <v>320</v>
      </c>
      <c r="Q120" s="68" t="s">
        <v>321</v>
      </c>
      <c r="R120" s="68" t="s">
        <v>322</v>
      </c>
      <c r="S120" s="68" t="s">
        <v>323</v>
      </c>
      <c r="T120" s="68" t="s">
        <v>3</v>
      </c>
      <c r="U120" s="68" t="s">
        <v>324</v>
      </c>
      <c r="V120" s="68" t="s">
        <v>325</v>
      </c>
      <c r="W120" s="68" t="s">
        <v>326</v>
      </c>
      <c r="X120" s="68" t="s">
        <v>327</v>
      </c>
      <c r="Y120" s="68" t="s">
        <v>328</v>
      </c>
      <c r="Z120" s="68" t="s">
        <v>329</v>
      </c>
      <c r="AA120" s="68" t="s">
        <v>330</v>
      </c>
      <c r="AB120" s="68" t="s">
        <v>331</v>
      </c>
      <c r="AC120" s="68" t="s">
        <v>332</v>
      </c>
      <c r="AD120" s="68" t="s">
        <v>333</v>
      </c>
      <c r="AE120" s="68" t="s">
        <v>334</v>
      </c>
      <c r="AF120" s="68" t="s">
        <v>335</v>
      </c>
      <c r="AG120" s="68" t="s">
        <v>336</v>
      </c>
      <c r="AH120" s="68" t="s">
        <v>337</v>
      </c>
      <c r="AI120" s="68" t="s">
        <v>338</v>
      </c>
      <c r="AJ120" s="68" t="s">
        <v>339</v>
      </c>
      <c r="AK120" s="68" t="s">
        <v>340</v>
      </c>
      <c r="AL120" s="68" t="s">
        <v>341</v>
      </c>
      <c r="AM120" s="68" t="s">
        <v>342</v>
      </c>
      <c r="AN120" s="68" t="s">
        <v>343</v>
      </c>
      <c r="AO120" s="68" t="s">
        <v>344</v>
      </c>
      <c r="AP120" s="68" t="s">
        <v>345</v>
      </c>
      <c r="AQ120" s="68" t="s">
        <v>346</v>
      </c>
      <c r="AR120" s="68" t="s">
        <v>347</v>
      </c>
      <c r="AS120" s="68" t="s">
        <v>348</v>
      </c>
      <c r="AT120" s="68" t="s">
        <v>349</v>
      </c>
      <c r="AU120" s="68" t="s">
        <v>350</v>
      </c>
      <c r="AV120" s="68" t="s">
        <v>351</v>
      </c>
      <c r="AW120" s="68" t="s">
        <v>352</v>
      </c>
      <c r="AX120" s="68" t="s">
        <v>353</v>
      </c>
      <c r="AY120" s="68" t="s">
        <v>354</v>
      </c>
      <c r="AZ120" s="68" t="s">
        <v>355</v>
      </c>
      <c r="BA120" s="68" t="s">
        <v>356</v>
      </c>
      <c r="BB120" s="68" t="s">
        <v>357</v>
      </c>
      <c r="BC120" s="68" t="s">
        <v>358</v>
      </c>
      <c r="BD120" s="68" t="s">
        <v>359</v>
      </c>
      <c r="BE120" s="68" t="s">
        <v>360</v>
      </c>
      <c r="BF120" s="68" t="s">
        <v>361</v>
      </c>
      <c r="BG120" s="68" t="s">
        <v>362</v>
      </c>
      <c r="BH120" s="68" t="s">
        <v>363</v>
      </c>
      <c r="BI120" s="68" t="s">
        <v>364</v>
      </c>
      <c r="BJ120" s="68" t="s">
        <v>365</v>
      </c>
      <c r="BK120" s="68" t="s">
        <v>366</v>
      </c>
      <c r="BL120" s="68" t="s">
        <v>367</v>
      </c>
      <c r="BM120" s="68" t="s">
        <v>368</v>
      </c>
      <c r="BN120" s="68" t="s">
        <v>369</v>
      </c>
      <c r="BO120" s="68" t="s">
        <v>370</v>
      </c>
      <c r="BP120" s="68" t="s">
        <v>371</v>
      </c>
      <c r="BQ120" s="68" t="s">
        <v>372</v>
      </c>
      <c r="BR120" s="68" t="s">
        <v>373</v>
      </c>
      <c r="BS120" s="68" t="s">
        <v>374</v>
      </c>
      <c r="BT120" s="68" t="s">
        <v>375</v>
      </c>
      <c r="BU120" s="68" t="s">
        <v>376</v>
      </c>
      <c r="BV120" s="68" t="s">
        <v>377</v>
      </c>
      <c r="BW120" s="68" t="s">
        <v>378</v>
      </c>
      <c r="BX120" s="68" t="s">
        <v>379</v>
      </c>
      <c r="BY120" s="68" t="s">
        <v>380</v>
      </c>
      <c r="BZ120" s="68" t="s">
        <v>381</v>
      </c>
      <c r="CA120" s="68" t="s">
        <v>382</v>
      </c>
      <c r="CB120" s="68" t="s">
        <v>383</v>
      </c>
      <c r="CC120" s="68" t="s">
        <v>384</v>
      </c>
      <c r="CD120" s="68" t="s">
        <v>385</v>
      </c>
      <c r="CE120" s="68" t="s">
        <v>386</v>
      </c>
      <c r="CF120" s="68" t="s">
        <v>387</v>
      </c>
      <c r="CG120" s="68" t="s">
        <v>388</v>
      </c>
      <c r="CH120" s="68" t="s">
        <v>389</v>
      </c>
      <c r="CI120" s="68" t="s">
        <v>390</v>
      </c>
      <c r="CJ120" s="68" t="s">
        <v>391</v>
      </c>
      <c r="CK120" s="68" t="s">
        <v>392</v>
      </c>
      <c r="CL120" s="68" t="s">
        <v>393</v>
      </c>
      <c r="CM120" s="68" t="s">
        <v>394</v>
      </c>
      <c r="CN120" s="68" t="s">
        <v>395</v>
      </c>
      <c r="CO120" s="68" t="s">
        <v>396</v>
      </c>
      <c r="CP120" s="68" t="s">
        <v>397</v>
      </c>
      <c r="CQ120" s="68" t="s">
        <v>398</v>
      </c>
      <c r="CR120" s="68" t="s">
        <v>399</v>
      </c>
      <c r="CS120" s="68" t="s">
        <v>400</v>
      </c>
      <c r="CT120" s="68" t="s">
        <v>401</v>
      </c>
      <c r="CU120" s="68" t="s">
        <v>402</v>
      </c>
      <c r="CV120" s="68" t="s">
        <v>403</v>
      </c>
    </row>
    <row r="121" spans="1:100">
      <c r="A121" t="s">
        <v>404</v>
      </c>
      <c r="B121" t="s">
        <v>405</v>
      </c>
      <c r="C121" t="s">
        <v>406</v>
      </c>
      <c r="D121" t="s">
        <v>407</v>
      </c>
      <c r="J121">
        <v>4.8916000000000004</v>
      </c>
      <c r="K121">
        <v>4.9694000000000003</v>
      </c>
      <c r="L121">
        <v>5.0472000000000001</v>
      </c>
      <c r="M121">
        <v>5.125</v>
      </c>
      <c r="N121">
        <v>5.2027999999999999</v>
      </c>
      <c r="O121">
        <v>5.2805999999999997</v>
      </c>
      <c r="P121">
        <v>5.3678499999999998</v>
      </c>
      <c r="Q121">
        <v>5.4550999999999998</v>
      </c>
      <c r="R121">
        <v>5.5423499999999999</v>
      </c>
      <c r="S121">
        <v>5.6295999999999999</v>
      </c>
      <c r="T121">
        <v>5.9236000000000004</v>
      </c>
      <c r="U121">
        <v>6.0864000000000011</v>
      </c>
      <c r="V121">
        <v>6.249200000000001</v>
      </c>
      <c r="W121">
        <v>6.4120000000000008</v>
      </c>
      <c r="X121">
        <v>6.5748000000000024</v>
      </c>
      <c r="Y121">
        <v>6.7375999999999996</v>
      </c>
      <c r="Z121">
        <v>6.7596400000000001</v>
      </c>
      <c r="AA121">
        <v>6.7816799999999997</v>
      </c>
      <c r="AB121">
        <v>6.8037200000000002</v>
      </c>
      <c r="AC121">
        <v>6.8257600000000007</v>
      </c>
      <c r="AD121">
        <v>6.8478000000000003</v>
      </c>
      <c r="AE121">
        <v>6.845740000000001</v>
      </c>
      <c r="AF121">
        <v>6.8436800000000009</v>
      </c>
      <c r="AG121">
        <v>6.8416200000000007</v>
      </c>
      <c r="AH121">
        <v>6.8395600000000014</v>
      </c>
      <c r="AI121">
        <v>6.8375000000000004</v>
      </c>
      <c r="AJ121">
        <v>6.883700000000001</v>
      </c>
      <c r="AK121">
        <v>6.9299000000000017</v>
      </c>
      <c r="AL121">
        <v>6.9761000000000024</v>
      </c>
      <c r="AM121">
        <v>7.0223000000000013</v>
      </c>
      <c r="AN121">
        <v>7.0685000000000002</v>
      </c>
      <c r="AO121">
        <v>7.124880000000001</v>
      </c>
      <c r="AP121">
        <v>7.1812600000000018</v>
      </c>
      <c r="AQ121">
        <v>7.2376400000000007</v>
      </c>
      <c r="AR121">
        <v>7.2940200000000006</v>
      </c>
      <c r="AS121">
        <v>7.3503999999999996</v>
      </c>
      <c r="AT121">
        <v>7.3759000000000006</v>
      </c>
      <c r="AU121">
        <v>7.4014000000000006</v>
      </c>
      <c r="AV121">
        <v>7.4269000000000016</v>
      </c>
      <c r="AW121">
        <v>7.4524000000000008</v>
      </c>
      <c r="AX121">
        <v>7.4779</v>
      </c>
      <c r="AY121">
        <v>7.4269999999999996</v>
      </c>
      <c r="AZ121">
        <v>7.376100000000001</v>
      </c>
      <c r="BA121">
        <v>7.3252000000000006</v>
      </c>
      <c r="BB121">
        <v>7.2743000000000002</v>
      </c>
      <c r="BC121">
        <v>7.2233999999999998</v>
      </c>
      <c r="BD121">
        <v>7.2115999999999998</v>
      </c>
      <c r="BE121">
        <v>7.1998000000000006</v>
      </c>
      <c r="BF121">
        <v>7.1880000000000006</v>
      </c>
      <c r="BG121">
        <v>7.1761999999999997</v>
      </c>
      <c r="BH121">
        <v>7.1643999999999997</v>
      </c>
      <c r="BI121">
        <v>7.1371500000000001</v>
      </c>
      <c r="BJ121">
        <v>7.1099000000000014</v>
      </c>
      <c r="BK121">
        <v>7.082650000000001</v>
      </c>
      <c r="BL121">
        <v>7.0554000000000006</v>
      </c>
      <c r="BM121">
        <v>7.0281500000000001</v>
      </c>
      <c r="BN121">
        <v>7.0009000000000006</v>
      </c>
      <c r="BO121">
        <v>6.973650000000001</v>
      </c>
      <c r="BP121">
        <v>6.9464000000000006</v>
      </c>
      <c r="BQ121">
        <v>6.9191500000000001</v>
      </c>
      <c r="BR121">
        <v>6.8918999999999997</v>
      </c>
      <c r="BS121">
        <v>6.8910299999999998</v>
      </c>
      <c r="BT121">
        <v>6.8901600000000007</v>
      </c>
      <c r="BU121">
        <v>6.8892900000000008</v>
      </c>
      <c r="BV121">
        <v>6.88842</v>
      </c>
      <c r="BW121">
        <v>6.8875500000000001</v>
      </c>
      <c r="BX121">
        <v>6.8866800000000001</v>
      </c>
      <c r="BY121">
        <v>6.8858100000000011</v>
      </c>
      <c r="BZ121">
        <v>6.8849400000000012</v>
      </c>
      <c r="CA121">
        <v>6.8840700000000004</v>
      </c>
      <c r="CB121">
        <v>6.8832000000000004</v>
      </c>
      <c r="CC121">
        <v>6.8972600000000002</v>
      </c>
      <c r="CD121">
        <v>6.9113200000000017</v>
      </c>
      <c r="CE121">
        <v>6.9253800000000014</v>
      </c>
      <c r="CF121">
        <v>6.9394400000000003</v>
      </c>
      <c r="CG121">
        <v>6.9535</v>
      </c>
      <c r="CH121">
        <v>6.9675600000000006</v>
      </c>
      <c r="CI121">
        <v>6.9816200000000004</v>
      </c>
      <c r="CJ121">
        <v>6.9956800000000001</v>
      </c>
      <c r="CK121">
        <v>7.0097399999999999</v>
      </c>
      <c r="CL121">
        <v>7.0237999999999996</v>
      </c>
      <c r="CM121">
        <v>7.0380599999999998</v>
      </c>
      <c r="CN121">
        <v>7.0523200000000008</v>
      </c>
      <c r="CO121">
        <v>7.066580000000001</v>
      </c>
      <c r="CP121">
        <v>7.0808400000000002</v>
      </c>
      <c r="CQ121">
        <v>7.0951000000000004</v>
      </c>
      <c r="CR121">
        <v>7.1093600000000006</v>
      </c>
      <c r="CS121">
        <v>7.1236200000000007</v>
      </c>
      <c r="CT121">
        <v>7.1378800000000009</v>
      </c>
      <c r="CU121">
        <v>7.1521400000000011</v>
      </c>
      <c r="CV121">
        <v>7.1664000000000003</v>
      </c>
    </row>
    <row r="122" spans="1:100">
      <c r="A122" t="s">
        <v>404</v>
      </c>
      <c r="B122" t="s">
        <v>408</v>
      </c>
      <c r="C122" t="s">
        <v>406</v>
      </c>
      <c r="D122" t="s">
        <v>407</v>
      </c>
      <c r="J122">
        <v>4.8916000000000004</v>
      </c>
      <c r="K122">
        <v>4.9694000000000003</v>
      </c>
      <c r="L122">
        <v>5.0472000000000001</v>
      </c>
      <c r="M122">
        <v>5.125</v>
      </c>
      <c r="N122">
        <v>5.2027999999999999</v>
      </c>
      <c r="O122">
        <v>5.2805999999999997</v>
      </c>
      <c r="P122">
        <v>5.3678499999999998</v>
      </c>
      <c r="Q122">
        <v>5.4550999999999998</v>
      </c>
      <c r="R122">
        <v>5.5423499999999999</v>
      </c>
      <c r="S122">
        <v>5.6295999999999999</v>
      </c>
      <c r="T122">
        <v>5.9236000000000004</v>
      </c>
      <c r="U122">
        <v>6.0864000000000011</v>
      </c>
      <c r="V122">
        <v>6.249200000000001</v>
      </c>
      <c r="W122">
        <v>6.4120000000000008</v>
      </c>
      <c r="X122">
        <v>6.5748000000000024</v>
      </c>
      <c r="Y122">
        <v>6.7375999999999996</v>
      </c>
      <c r="Z122">
        <v>6.76274</v>
      </c>
      <c r="AA122">
        <v>6.7878799999999986</v>
      </c>
      <c r="AB122">
        <v>6.8130199999999999</v>
      </c>
      <c r="AC122">
        <v>6.8381600000000002</v>
      </c>
      <c r="AD122">
        <v>6.8632999999999997</v>
      </c>
      <c r="AE122">
        <v>6.8652600000000001</v>
      </c>
      <c r="AF122">
        <v>6.8672200000000014</v>
      </c>
      <c r="AG122">
        <v>6.8691800000000001</v>
      </c>
      <c r="AH122">
        <v>6.8711399999999996</v>
      </c>
      <c r="AI122">
        <v>6.8731</v>
      </c>
      <c r="AJ122">
        <v>6.9131800000000014</v>
      </c>
      <c r="AK122">
        <v>6.9532600000000002</v>
      </c>
      <c r="AL122">
        <v>6.9933400000000008</v>
      </c>
      <c r="AM122">
        <v>7.0334199999999996</v>
      </c>
      <c r="AN122">
        <v>7.0735000000000001</v>
      </c>
      <c r="AO122">
        <v>7.1223400000000003</v>
      </c>
      <c r="AP122">
        <v>7.1711800000000014</v>
      </c>
      <c r="AQ122">
        <v>7.2200200000000017</v>
      </c>
      <c r="AR122">
        <v>7.2688600000000001</v>
      </c>
      <c r="AS122">
        <v>7.3177000000000003</v>
      </c>
      <c r="AT122">
        <v>7.3506800000000014</v>
      </c>
      <c r="AU122">
        <v>7.3836600000000008</v>
      </c>
      <c r="AV122">
        <v>7.416640000000001</v>
      </c>
      <c r="AW122">
        <v>7.4496200000000004</v>
      </c>
      <c r="AX122">
        <v>7.4825999999999997</v>
      </c>
      <c r="AY122">
        <v>7.4646800000000004</v>
      </c>
      <c r="AZ122">
        <v>7.4467600000000012</v>
      </c>
      <c r="BA122">
        <v>7.428840000000001</v>
      </c>
      <c r="BB122">
        <v>7.4109200000000008</v>
      </c>
      <c r="BC122">
        <v>7.3929999999999998</v>
      </c>
      <c r="BD122">
        <v>7.4349200000000009</v>
      </c>
      <c r="BE122">
        <v>7.476840000000001</v>
      </c>
      <c r="BF122">
        <v>7.5187600000000012</v>
      </c>
      <c r="BG122">
        <v>7.5606800000000014</v>
      </c>
      <c r="BH122">
        <v>7.6025999999999998</v>
      </c>
      <c r="BI122">
        <v>7.5862600000000002</v>
      </c>
      <c r="BJ122">
        <v>7.5699200000000024</v>
      </c>
      <c r="BK122">
        <v>7.5535800000000002</v>
      </c>
      <c r="BL122">
        <v>7.5372399999999997</v>
      </c>
      <c r="BM122">
        <v>7.5208999999999993</v>
      </c>
      <c r="BN122">
        <v>7.5045599999999997</v>
      </c>
      <c r="BO122">
        <v>7.4882200000000001</v>
      </c>
      <c r="BP122">
        <v>7.4718800000000014</v>
      </c>
      <c r="BQ122">
        <v>7.4555400000000001</v>
      </c>
      <c r="BR122">
        <v>7.4391999999999996</v>
      </c>
      <c r="BS122">
        <v>7.4301000000000004</v>
      </c>
      <c r="BT122">
        <v>7.4210000000000012</v>
      </c>
      <c r="BU122">
        <v>7.411900000000001</v>
      </c>
      <c r="BV122">
        <v>7.4028000000000009</v>
      </c>
      <c r="BW122">
        <v>7.3936999999999999</v>
      </c>
      <c r="BX122">
        <v>7.3846000000000007</v>
      </c>
      <c r="BY122">
        <v>7.3755000000000006</v>
      </c>
      <c r="BZ122">
        <v>7.3664000000000014</v>
      </c>
      <c r="CA122">
        <v>7.3573000000000004</v>
      </c>
      <c r="CB122">
        <v>7.3482000000000003</v>
      </c>
      <c r="CC122">
        <v>7.3485500000000004</v>
      </c>
      <c r="CD122">
        <v>7.3489000000000013</v>
      </c>
      <c r="CE122">
        <v>7.3492500000000014</v>
      </c>
      <c r="CF122">
        <v>7.3496000000000006</v>
      </c>
      <c r="CG122">
        <v>7.3499499999999998</v>
      </c>
      <c r="CH122">
        <v>7.3503000000000007</v>
      </c>
      <c r="CI122">
        <v>7.3506500000000008</v>
      </c>
      <c r="CJ122">
        <v>7.3510000000000009</v>
      </c>
      <c r="CK122">
        <v>7.3513500000000009</v>
      </c>
      <c r="CL122">
        <v>7.3517000000000001</v>
      </c>
      <c r="CM122">
        <v>7.3576100000000011</v>
      </c>
      <c r="CN122">
        <v>7.3635200000000012</v>
      </c>
      <c r="CO122">
        <v>7.3694300000000013</v>
      </c>
      <c r="CP122">
        <v>7.3753399999999996</v>
      </c>
      <c r="CQ122">
        <v>7.3812499999999996</v>
      </c>
      <c r="CR122">
        <v>7.3871600000000006</v>
      </c>
      <c r="CS122">
        <v>7.3930700000000016</v>
      </c>
      <c r="CT122">
        <v>7.3989800000000017</v>
      </c>
      <c r="CU122">
        <v>7.4048900000000009</v>
      </c>
      <c r="CV122">
        <v>7.4108000000000001</v>
      </c>
    </row>
    <row r="123" spans="1:100">
      <c r="A123" t="s">
        <v>404</v>
      </c>
      <c r="B123" t="s">
        <v>409</v>
      </c>
      <c r="C123" t="s">
        <v>406</v>
      </c>
      <c r="D123" t="s">
        <v>407</v>
      </c>
      <c r="J123">
        <v>4.8916000000000004</v>
      </c>
      <c r="K123">
        <v>4.9694000000000003</v>
      </c>
      <c r="L123">
        <v>5.0472000000000001</v>
      </c>
      <c r="M123">
        <v>5.125</v>
      </c>
      <c r="N123">
        <v>5.2027999999999999</v>
      </c>
      <c r="O123">
        <v>5.2805999999999997</v>
      </c>
      <c r="P123">
        <v>5.3678499999999998</v>
      </c>
      <c r="Q123">
        <v>5.4550999999999998</v>
      </c>
      <c r="R123">
        <v>5.5423499999999999</v>
      </c>
      <c r="S123">
        <v>5.6295999999999999</v>
      </c>
      <c r="T123">
        <v>5.9236000000000004</v>
      </c>
      <c r="U123">
        <v>6.0864000000000011</v>
      </c>
      <c r="V123">
        <v>6.249200000000001</v>
      </c>
      <c r="W123">
        <v>6.4120000000000008</v>
      </c>
      <c r="X123">
        <v>6.5748000000000024</v>
      </c>
      <c r="Y123">
        <v>6.7375999999999996</v>
      </c>
      <c r="Z123">
        <v>6.7564799999999998</v>
      </c>
      <c r="AA123">
        <v>6.77536</v>
      </c>
      <c r="AB123">
        <v>6.7942400000000003</v>
      </c>
      <c r="AC123">
        <v>6.8131200000000014</v>
      </c>
      <c r="AD123">
        <v>6.8319999999999999</v>
      </c>
      <c r="AE123">
        <v>6.8386800000000001</v>
      </c>
      <c r="AF123">
        <v>6.8453600000000012</v>
      </c>
      <c r="AG123">
        <v>6.8520400000000006</v>
      </c>
      <c r="AH123">
        <v>6.8587199999999999</v>
      </c>
      <c r="AI123">
        <v>6.8654000000000002</v>
      </c>
      <c r="AJ123">
        <v>6.9080199999999996</v>
      </c>
      <c r="AK123">
        <v>6.9506400000000008</v>
      </c>
      <c r="AL123">
        <v>6.9932600000000011</v>
      </c>
      <c r="AM123">
        <v>7.0358800000000006</v>
      </c>
      <c r="AN123">
        <v>7.0785</v>
      </c>
      <c r="AO123">
        <v>7.1234000000000011</v>
      </c>
      <c r="AP123">
        <v>7.1683000000000003</v>
      </c>
      <c r="AQ123">
        <v>7.2132000000000014</v>
      </c>
      <c r="AR123">
        <v>7.2581000000000007</v>
      </c>
      <c r="AS123">
        <v>7.3029999999999999</v>
      </c>
      <c r="AT123">
        <v>7.3389600000000002</v>
      </c>
      <c r="AU123">
        <v>7.3749200000000013</v>
      </c>
      <c r="AV123">
        <v>7.4108800000000006</v>
      </c>
      <c r="AW123">
        <v>7.4468400000000008</v>
      </c>
      <c r="AX123">
        <v>7.4828000000000001</v>
      </c>
      <c r="AY123">
        <v>7.4423800000000009</v>
      </c>
      <c r="AZ123">
        <v>7.4019600000000008</v>
      </c>
      <c r="BA123">
        <v>7.3615400000000024</v>
      </c>
      <c r="BB123">
        <v>7.3211200000000014</v>
      </c>
      <c r="BC123">
        <v>7.2807000000000004</v>
      </c>
      <c r="BD123">
        <v>7.2567800000000009</v>
      </c>
      <c r="BE123">
        <v>7.2328600000000014</v>
      </c>
      <c r="BF123">
        <v>7.2089400000000019</v>
      </c>
      <c r="BG123">
        <v>7.1850200000000006</v>
      </c>
      <c r="BH123">
        <v>7.1611000000000002</v>
      </c>
      <c r="BI123">
        <v>7.0886900000000006</v>
      </c>
      <c r="BJ123">
        <v>7.0162800000000018</v>
      </c>
      <c r="BK123">
        <v>6.9438700000000004</v>
      </c>
      <c r="BL123">
        <v>6.8714600000000008</v>
      </c>
      <c r="BM123">
        <v>6.7990500000000003</v>
      </c>
      <c r="BN123">
        <v>6.7266400000000024</v>
      </c>
      <c r="BO123">
        <v>6.6542300000000001</v>
      </c>
      <c r="BP123">
        <v>6.5818199999999996</v>
      </c>
      <c r="BQ123">
        <v>6.5094100000000008</v>
      </c>
      <c r="BR123">
        <v>6.4370000000000003</v>
      </c>
      <c r="BS123">
        <v>6.3936100000000007</v>
      </c>
      <c r="BT123">
        <v>6.3502200000000011</v>
      </c>
      <c r="BU123">
        <v>6.3068300000000006</v>
      </c>
      <c r="BV123">
        <v>6.263440000000001</v>
      </c>
      <c r="BW123">
        <v>6.2200500000000014</v>
      </c>
      <c r="BX123">
        <v>6.1766600000000009</v>
      </c>
      <c r="BY123">
        <v>6.1332700000000013</v>
      </c>
      <c r="BZ123">
        <v>6.0898800000000008</v>
      </c>
      <c r="CA123">
        <v>6.0464900000000004</v>
      </c>
      <c r="CB123">
        <v>6.0030999999999999</v>
      </c>
      <c r="CC123">
        <v>5.9877099999999999</v>
      </c>
      <c r="CD123">
        <v>5.9723199999999999</v>
      </c>
      <c r="CE123">
        <v>5.9569299999999998</v>
      </c>
      <c r="CF123">
        <v>5.9415399999999998</v>
      </c>
      <c r="CG123">
        <v>5.9261499999999998</v>
      </c>
      <c r="CH123">
        <v>5.9107599999999998</v>
      </c>
      <c r="CI123">
        <v>5.8953699999999998</v>
      </c>
      <c r="CJ123">
        <v>5.8799799999999998</v>
      </c>
      <c r="CK123">
        <v>5.8645899999999997</v>
      </c>
      <c r="CL123">
        <v>5.8491999999999997</v>
      </c>
      <c r="CM123">
        <v>5.8489800000000001</v>
      </c>
      <c r="CN123">
        <v>5.8487600000000004</v>
      </c>
      <c r="CO123">
        <v>5.8485400000000007</v>
      </c>
      <c r="CP123">
        <v>5.8483200000000002</v>
      </c>
      <c r="CQ123">
        <v>5.8481000000000014</v>
      </c>
      <c r="CR123">
        <v>5.8478800000000009</v>
      </c>
      <c r="CS123">
        <v>5.8476600000000012</v>
      </c>
      <c r="CT123">
        <v>5.8474400000000006</v>
      </c>
      <c r="CU123">
        <v>5.847220000000001</v>
      </c>
      <c r="CV123">
        <v>5.8470000000000004</v>
      </c>
    </row>
    <row r="124" spans="1:100">
      <c r="A124" t="s">
        <v>404</v>
      </c>
      <c r="B124" t="s">
        <v>410</v>
      </c>
      <c r="C124" t="s">
        <v>406</v>
      </c>
      <c r="D124" t="s">
        <v>407</v>
      </c>
      <c r="J124">
        <v>4.8916000000000004</v>
      </c>
      <c r="K124">
        <v>4.9694000000000003</v>
      </c>
      <c r="L124">
        <v>5.0472000000000001</v>
      </c>
      <c r="M124">
        <v>5.125</v>
      </c>
      <c r="N124">
        <v>5.2027999999999999</v>
      </c>
      <c r="O124">
        <v>5.2805999999999997</v>
      </c>
      <c r="P124">
        <v>5.3678499999999998</v>
      </c>
      <c r="Q124">
        <v>5.4550999999999998</v>
      </c>
      <c r="R124">
        <v>5.5423499999999999</v>
      </c>
      <c r="S124">
        <v>5.6295999999999999</v>
      </c>
      <c r="T124">
        <v>5.9236000000000004</v>
      </c>
      <c r="U124">
        <v>6.0832000000000006</v>
      </c>
      <c r="V124">
        <v>6.2428000000000008</v>
      </c>
      <c r="W124">
        <v>6.4024000000000001</v>
      </c>
      <c r="X124">
        <v>6.5620000000000003</v>
      </c>
      <c r="Y124">
        <v>6.7215999999999996</v>
      </c>
      <c r="Z124">
        <v>6.7461399999999996</v>
      </c>
      <c r="AA124">
        <v>6.7706799999999996</v>
      </c>
      <c r="AB124">
        <v>6.7952199999999996</v>
      </c>
      <c r="AC124">
        <v>6.8197599999999996</v>
      </c>
      <c r="AD124">
        <v>6.8442999999999996</v>
      </c>
      <c r="AE124">
        <v>6.84748</v>
      </c>
      <c r="AF124">
        <v>6.8506600000000004</v>
      </c>
      <c r="AG124">
        <v>6.8538399999999999</v>
      </c>
      <c r="AH124">
        <v>6.8570200000000003</v>
      </c>
      <c r="AI124">
        <v>6.8601999999999999</v>
      </c>
      <c r="AJ124">
        <v>6.8990200000000002</v>
      </c>
      <c r="AK124">
        <v>6.9378399999999996</v>
      </c>
      <c r="AL124">
        <v>6.9766600000000007</v>
      </c>
      <c r="AM124">
        <v>7.0154800000000002</v>
      </c>
      <c r="AN124">
        <v>7.0542999999999996</v>
      </c>
      <c r="AO124">
        <v>7.1066799999999999</v>
      </c>
      <c r="AP124">
        <v>7.1590600000000002</v>
      </c>
      <c r="AQ124">
        <v>7.2114400000000014</v>
      </c>
      <c r="AR124">
        <v>7.2638200000000008</v>
      </c>
      <c r="AS124">
        <v>7.3162000000000003</v>
      </c>
      <c r="AT124">
        <v>7.3454000000000006</v>
      </c>
      <c r="AU124">
        <v>7.3746000000000009</v>
      </c>
      <c r="AV124">
        <v>7.4038000000000004</v>
      </c>
      <c r="AW124">
        <v>7.4330000000000007</v>
      </c>
      <c r="AX124">
        <v>7.4622000000000002</v>
      </c>
      <c r="AY124">
        <v>7.4354200000000006</v>
      </c>
      <c r="AZ124">
        <v>7.4086400000000001</v>
      </c>
      <c r="BA124">
        <v>7.3818600000000014</v>
      </c>
      <c r="BB124">
        <v>7.3550800000000001</v>
      </c>
      <c r="BC124">
        <v>7.3282999999999996</v>
      </c>
      <c r="BD124">
        <v>7.3571200000000001</v>
      </c>
      <c r="BE124">
        <v>7.3859400000000006</v>
      </c>
      <c r="BF124">
        <v>7.4147600000000011</v>
      </c>
      <c r="BG124">
        <v>7.4435800000000008</v>
      </c>
      <c r="BH124">
        <v>7.4724000000000004</v>
      </c>
      <c r="BI124">
        <v>7.4528000000000008</v>
      </c>
      <c r="BJ124">
        <v>7.4332000000000011</v>
      </c>
      <c r="BK124">
        <v>7.4136000000000006</v>
      </c>
      <c r="BL124">
        <v>7.3940000000000001</v>
      </c>
      <c r="BM124">
        <v>7.3743999999999996</v>
      </c>
      <c r="BN124">
        <v>7.3548</v>
      </c>
      <c r="BO124">
        <v>7.3352000000000004</v>
      </c>
      <c r="BP124">
        <v>7.3155999999999999</v>
      </c>
      <c r="BQ124">
        <v>7.2960000000000003</v>
      </c>
      <c r="BR124">
        <v>7.2763999999999998</v>
      </c>
      <c r="BS124">
        <v>7.2645600000000004</v>
      </c>
      <c r="BT124">
        <v>7.2527200000000001</v>
      </c>
      <c r="BU124">
        <v>7.2408800000000006</v>
      </c>
      <c r="BV124">
        <v>7.2290400000000004</v>
      </c>
      <c r="BW124">
        <v>7.2172000000000001</v>
      </c>
      <c r="BX124">
        <v>7.2053600000000007</v>
      </c>
      <c r="BY124">
        <v>7.1935200000000012</v>
      </c>
      <c r="BZ124">
        <v>7.1816800000000018</v>
      </c>
      <c r="CA124">
        <v>7.1698400000000007</v>
      </c>
      <c r="CB124">
        <v>7.1580000000000004</v>
      </c>
      <c r="CC124">
        <v>7.1580900000000014</v>
      </c>
      <c r="CD124">
        <v>7.1581800000000024</v>
      </c>
      <c r="CE124">
        <v>7.1582700000000017</v>
      </c>
      <c r="CF124">
        <v>7.1583600000000009</v>
      </c>
      <c r="CG124">
        <v>7.1584500000000002</v>
      </c>
      <c r="CH124">
        <v>7.1585400000000003</v>
      </c>
      <c r="CI124">
        <v>7.1586299999999996</v>
      </c>
      <c r="CJ124">
        <v>7.1587200000000006</v>
      </c>
      <c r="CK124">
        <v>7.1588100000000008</v>
      </c>
      <c r="CL124">
        <v>7.1589</v>
      </c>
      <c r="CM124">
        <v>7.1671300000000002</v>
      </c>
      <c r="CN124">
        <v>7.1753600000000004</v>
      </c>
      <c r="CO124">
        <v>7.1835900000000006</v>
      </c>
      <c r="CP124">
        <v>7.1918199999999999</v>
      </c>
      <c r="CQ124">
        <v>7.2000500000000001</v>
      </c>
      <c r="CR124">
        <v>7.2082800000000002</v>
      </c>
      <c r="CS124">
        <v>7.2165100000000013</v>
      </c>
      <c r="CT124">
        <v>7.2247400000000006</v>
      </c>
      <c r="CU124">
        <v>7.2329700000000008</v>
      </c>
      <c r="CV124">
        <v>7.2412000000000001</v>
      </c>
    </row>
    <row r="125" spans="1:100">
      <c r="A125" t="s">
        <v>404</v>
      </c>
      <c r="B125" t="s">
        <v>411</v>
      </c>
      <c r="C125" t="s">
        <v>406</v>
      </c>
      <c r="D125" t="s">
        <v>407</v>
      </c>
      <c r="J125">
        <v>4.8916000000000004</v>
      </c>
      <c r="K125">
        <v>4.9694000000000003</v>
      </c>
      <c r="L125">
        <v>5.0472000000000001</v>
      </c>
      <c r="M125">
        <v>5.125</v>
      </c>
      <c r="N125">
        <v>5.2027999999999999</v>
      </c>
      <c r="O125">
        <v>5.2805999999999997</v>
      </c>
      <c r="P125">
        <v>5.3678499999999998</v>
      </c>
      <c r="Q125">
        <v>5.4550999999999998</v>
      </c>
      <c r="R125">
        <v>5.5423499999999999</v>
      </c>
      <c r="S125">
        <v>5.6295999999999999</v>
      </c>
      <c r="T125">
        <v>5.9236000000000004</v>
      </c>
      <c r="U125">
        <v>6.0498000000000012</v>
      </c>
      <c r="V125">
        <v>6.176000000000001</v>
      </c>
      <c r="W125">
        <v>6.3022000000000009</v>
      </c>
      <c r="X125">
        <v>6.4284000000000008</v>
      </c>
      <c r="Y125">
        <v>6.5545999999999998</v>
      </c>
      <c r="Z125">
        <v>6.5866400000000009</v>
      </c>
      <c r="AA125">
        <v>6.6186800000000012</v>
      </c>
      <c r="AB125">
        <v>6.6507200000000024</v>
      </c>
      <c r="AC125">
        <v>6.6827600000000009</v>
      </c>
      <c r="AD125">
        <v>6.7148000000000003</v>
      </c>
      <c r="AE125">
        <v>6.7461200000000012</v>
      </c>
      <c r="AF125">
        <v>6.7774400000000012</v>
      </c>
      <c r="AG125">
        <v>6.8087600000000013</v>
      </c>
      <c r="AH125">
        <v>6.8400800000000004</v>
      </c>
      <c r="AI125">
        <v>6.8714000000000004</v>
      </c>
      <c r="AJ125">
        <v>6.910540000000001</v>
      </c>
      <c r="AK125">
        <v>6.9496800000000007</v>
      </c>
      <c r="AL125">
        <v>6.9888200000000014</v>
      </c>
      <c r="AM125">
        <v>7.0279600000000002</v>
      </c>
      <c r="AN125">
        <v>7.0670999999999999</v>
      </c>
      <c r="AO125">
        <v>7.1150600000000006</v>
      </c>
      <c r="AP125">
        <v>7.1630200000000013</v>
      </c>
      <c r="AQ125">
        <v>7.2109800000000011</v>
      </c>
      <c r="AR125">
        <v>7.2589400000000008</v>
      </c>
      <c r="AS125">
        <v>7.3068999999999997</v>
      </c>
      <c r="AT125">
        <v>7.3408400000000009</v>
      </c>
      <c r="AU125">
        <v>7.3747800000000012</v>
      </c>
      <c r="AV125">
        <v>7.4087200000000024</v>
      </c>
      <c r="AW125">
        <v>7.4426600000000009</v>
      </c>
      <c r="AX125">
        <v>7.4766000000000004</v>
      </c>
      <c r="AY125">
        <v>7.4320600000000008</v>
      </c>
      <c r="AZ125">
        <v>7.3875200000000012</v>
      </c>
      <c r="BA125">
        <v>7.3429800000000007</v>
      </c>
      <c r="BB125">
        <v>7.2984400000000003</v>
      </c>
      <c r="BC125">
        <v>7.2538999999999998</v>
      </c>
      <c r="BD125">
        <v>7.2313200000000002</v>
      </c>
      <c r="BE125">
        <v>7.2087400000000006</v>
      </c>
      <c r="BF125">
        <v>7.186160000000001</v>
      </c>
      <c r="BG125">
        <v>7.1635800000000014</v>
      </c>
      <c r="BH125">
        <v>7.141</v>
      </c>
      <c r="BI125">
        <v>7.0763800000000003</v>
      </c>
      <c r="BJ125">
        <v>7.0117600000000007</v>
      </c>
      <c r="BK125">
        <v>6.947140000000001</v>
      </c>
      <c r="BL125">
        <v>6.8825200000000004</v>
      </c>
      <c r="BM125">
        <v>6.8178999999999998</v>
      </c>
      <c r="BN125">
        <v>6.7532800000000002</v>
      </c>
      <c r="BO125">
        <v>6.6886599999999996</v>
      </c>
      <c r="BP125">
        <v>6.6240400000000008</v>
      </c>
      <c r="BQ125">
        <v>6.5594200000000003</v>
      </c>
      <c r="BR125">
        <v>6.4947999999999997</v>
      </c>
      <c r="BS125">
        <v>6.4581400000000002</v>
      </c>
      <c r="BT125">
        <v>6.4214800000000007</v>
      </c>
      <c r="BU125">
        <v>6.3848200000000004</v>
      </c>
      <c r="BV125">
        <v>6.34816</v>
      </c>
      <c r="BW125">
        <v>6.3114999999999997</v>
      </c>
      <c r="BX125">
        <v>6.2748400000000002</v>
      </c>
      <c r="BY125">
        <v>6.2381799999999998</v>
      </c>
      <c r="BZ125">
        <v>6.2015200000000004</v>
      </c>
      <c r="CA125">
        <v>6.16486</v>
      </c>
      <c r="CB125">
        <v>6.1281999999999996</v>
      </c>
      <c r="CC125">
        <v>6.1222600000000007</v>
      </c>
      <c r="CD125">
        <v>6.11632</v>
      </c>
      <c r="CE125">
        <v>6.110380000000001</v>
      </c>
      <c r="CF125">
        <v>6.1044400000000003</v>
      </c>
      <c r="CG125">
        <v>6.0984999999999996</v>
      </c>
      <c r="CH125">
        <v>6.0925600000000006</v>
      </c>
      <c r="CI125">
        <v>6.0866200000000008</v>
      </c>
      <c r="CJ125">
        <v>6.080680000000001</v>
      </c>
      <c r="CK125">
        <v>6.0747400000000003</v>
      </c>
      <c r="CL125">
        <v>6.0688000000000004</v>
      </c>
      <c r="CM125">
        <v>6.0717000000000008</v>
      </c>
      <c r="CN125">
        <v>6.0746000000000011</v>
      </c>
      <c r="CO125">
        <v>6.0775000000000006</v>
      </c>
      <c r="CP125">
        <v>6.0804000000000009</v>
      </c>
      <c r="CQ125">
        <v>6.0833000000000004</v>
      </c>
      <c r="CR125">
        <v>6.0862000000000007</v>
      </c>
      <c r="CS125">
        <v>6.0891000000000011</v>
      </c>
      <c r="CT125">
        <v>6.0920000000000014</v>
      </c>
      <c r="CU125">
        <v>6.0949000000000009</v>
      </c>
      <c r="CV125">
        <v>6.0978000000000003</v>
      </c>
    </row>
    <row r="126" spans="1:100">
      <c r="A126" t="s">
        <v>404</v>
      </c>
      <c r="B126" t="s">
        <v>412</v>
      </c>
      <c r="C126" t="s">
        <v>406</v>
      </c>
      <c r="D126" t="s">
        <v>407</v>
      </c>
      <c r="J126">
        <v>4.8916000000000004</v>
      </c>
      <c r="K126">
        <v>4.9694000000000003</v>
      </c>
      <c r="L126">
        <v>5.0472000000000001</v>
      </c>
      <c r="M126">
        <v>5.125</v>
      </c>
      <c r="N126">
        <v>5.2027999999999999</v>
      </c>
      <c r="O126">
        <v>5.2805999999999997</v>
      </c>
      <c r="P126">
        <v>5.3678499999999998</v>
      </c>
      <c r="Q126">
        <v>5.4550999999999998</v>
      </c>
      <c r="R126">
        <v>5.5423499999999999</v>
      </c>
      <c r="S126">
        <v>5.6295999999999999</v>
      </c>
      <c r="T126">
        <v>5.9236000000000004</v>
      </c>
      <c r="U126">
        <v>6.0864000000000011</v>
      </c>
      <c r="V126">
        <v>6.249200000000001</v>
      </c>
      <c r="W126">
        <v>6.4120000000000008</v>
      </c>
      <c r="X126">
        <v>6.5748000000000024</v>
      </c>
      <c r="Y126">
        <v>6.7375999999999996</v>
      </c>
      <c r="Z126">
        <v>6.7596400000000001</v>
      </c>
      <c r="AA126">
        <v>6.7816799999999997</v>
      </c>
      <c r="AB126">
        <v>6.8037200000000002</v>
      </c>
      <c r="AC126">
        <v>6.8257600000000007</v>
      </c>
      <c r="AD126">
        <v>6.8478000000000003</v>
      </c>
      <c r="AE126">
        <v>6.8679400000000008</v>
      </c>
      <c r="AF126">
        <v>6.8880800000000004</v>
      </c>
      <c r="AG126">
        <v>6.90822</v>
      </c>
      <c r="AH126">
        <v>6.9283600000000014</v>
      </c>
      <c r="AI126">
        <v>6.9485000000000001</v>
      </c>
      <c r="AJ126">
        <v>6.971000000000001</v>
      </c>
      <c r="AK126">
        <v>6.9935000000000009</v>
      </c>
      <c r="AL126">
        <v>7.0160000000000018</v>
      </c>
      <c r="AM126">
        <v>7.0385000000000009</v>
      </c>
      <c r="AN126">
        <v>7.0609999999999999</v>
      </c>
      <c r="AO126">
        <v>7.1070200000000003</v>
      </c>
      <c r="AP126">
        <v>7.1530400000000007</v>
      </c>
      <c r="AQ126">
        <v>7.1990600000000011</v>
      </c>
      <c r="AR126">
        <v>7.2450800000000006</v>
      </c>
      <c r="AS126">
        <v>7.2911000000000001</v>
      </c>
      <c r="AT126">
        <v>7.3305600000000002</v>
      </c>
      <c r="AU126">
        <v>7.3700200000000002</v>
      </c>
      <c r="AV126">
        <v>7.4094800000000003</v>
      </c>
      <c r="AW126">
        <v>7.4489400000000003</v>
      </c>
      <c r="AX126">
        <v>7.4884000000000004</v>
      </c>
      <c r="AY126">
        <v>7.4480800000000009</v>
      </c>
      <c r="AZ126">
        <v>7.4077600000000006</v>
      </c>
      <c r="BA126">
        <v>7.367440000000002</v>
      </c>
      <c r="BB126">
        <v>7.3271200000000007</v>
      </c>
      <c r="BC126">
        <v>7.2868000000000004</v>
      </c>
      <c r="BD126">
        <v>7.2576000000000009</v>
      </c>
      <c r="BE126">
        <v>7.2284000000000006</v>
      </c>
      <c r="BF126">
        <v>7.1992000000000012</v>
      </c>
      <c r="BG126">
        <v>7.1700000000000008</v>
      </c>
      <c r="BH126">
        <v>7.1407999999999996</v>
      </c>
      <c r="BI126">
        <v>7.0842200000000002</v>
      </c>
      <c r="BJ126">
        <v>7.0276399999999999</v>
      </c>
      <c r="BK126">
        <v>6.9710599999999996</v>
      </c>
      <c r="BL126">
        <v>6.9144800000000002</v>
      </c>
      <c r="BM126">
        <v>6.8578999999999999</v>
      </c>
      <c r="BN126">
        <v>6.8013199999999996</v>
      </c>
      <c r="BO126">
        <v>6.7447400000000002</v>
      </c>
      <c r="BP126">
        <v>6.6881600000000008</v>
      </c>
      <c r="BQ126">
        <v>6.6315799999999996</v>
      </c>
      <c r="BR126">
        <v>6.5750000000000002</v>
      </c>
      <c r="BS126">
        <v>6.5688100000000009</v>
      </c>
      <c r="BT126">
        <v>6.5626200000000008</v>
      </c>
      <c r="BU126">
        <v>6.5564300000000006</v>
      </c>
      <c r="BV126">
        <v>6.5502400000000014</v>
      </c>
      <c r="BW126">
        <v>6.5440500000000004</v>
      </c>
      <c r="BX126">
        <v>6.5378600000000011</v>
      </c>
      <c r="BY126">
        <v>6.531670000000001</v>
      </c>
      <c r="BZ126">
        <v>6.5254800000000008</v>
      </c>
      <c r="CA126">
        <v>6.5192900000000007</v>
      </c>
      <c r="CB126">
        <v>6.5130999999999997</v>
      </c>
      <c r="CC126">
        <v>6.51356</v>
      </c>
      <c r="CD126">
        <v>6.5140200000000004</v>
      </c>
      <c r="CE126">
        <v>6.5144800000000007</v>
      </c>
      <c r="CF126">
        <v>6.5149400000000002</v>
      </c>
      <c r="CG126">
        <v>6.5153999999999996</v>
      </c>
      <c r="CH126">
        <v>6.51586</v>
      </c>
      <c r="CI126">
        <v>6.5163200000000003</v>
      </c>
      <c r="CJ126">
        <v>6.5167800000000007</v>
      </c>
      <c r="CK126">
        <v>6.5172399999999993</v>
      </c>
      <c r="CL126">
        <v>6.5176999999999996</v>
      </c>
      <c r="CM126">
        <v>6.5188600000000001</v>
      </c>
      <c r="CN126">
        <v>6.5200200000000006</v>
      </c>
      <c r="CO126">
        <v>6.5211800000000011</v>
      </c>
      <c r="CP126">
        <v>6.5223400000000007</v>
      </c>
      <c r="CQ126">
        <v>6.5235000000000003</v>
      </c>
      <c r="CR126">
        <v>6.5246600000000008</v>
      </c>
      <c r="CS126">
        <v>6.5258200000000013</v>
      </c>
      <c r="CT126">
        <v>6.5269800000000009</v>
      </c>
      <c r="CU126">
        <v>6.5281399999999996</v>
      </c>
      <c r="CV126">
        <v>6.5293000000000001</v>
      </c>
    </row>
  </sheetData>
  <mergeCells count="2">
    <mergeCell ref="C106:H106"/>
    <mergeCell ref="I106:M106"/>
  </mergeCells>
  <pageMargins left="0.7" right="0.7" top="0.75" bottom="0.75" header="0.3" footer="0.3"/>
  <pageSetup paperSize="9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8AE6D-7796-41CF-B940-24C4416DC711}">
  <sheetPr>
    <tabColor rgb="FFFFFF00"/>
  </sheetPr>
  <dimension ref="A1:AS66"/>
  <sheetViews>
    <sheetView showGridLines="0" zoomScale="85" zoomScaleNormal="85" workbookViewId="0">
      <selection activeCell="S43" sqref="S43"/>
    </sheetView>
  </sheetViews>
  <sheetFormatPr defaultRowHeight="14.4"/>
  <cols>
    <col min="1" max="1" width="41.77734375" bestFit="1" customWidth="1"/>
    <col min="2" max="3" width="9.21875" customWidth="1"/>
  </cols>
  <sheetData>
    <row r="1" spans="1:28" s="45" customFormat="1" ht="14.25" customHeight="1">
      <c r="A1" s="45" t="s">
        <v>214</v>
      </c>
    </row>
    <row r="2" spans="1:28">
      <c r="B2" t="s">
        <v>8</v>
      </c>
      <c r="C2" t="s">
        <v>12</v>
      </c>
      <c r="D2">
        <v>2009</v>
      </c>
      <c r="E2">
        <v>2010</v>
      </c>
      <c r="F2">
        <v>2011</v>
      </c>
      <c r="G2">
        <v>2012</v>
      </c>
      <c r="H2">
        <v>2013</v>
      </c>
      <c r="I2">
        <v>2014</v>
      </c>
      <c r="J2">
        <v>2015</v>
      </c>
      <c r="K2">
        <v>2016</v>
      </c>
      <c r="L2">
        <v>2017</v>
      </c>
      <c r="N2" t="s">
        <v>222</v>
      </c>
      <c r="O2" t="s">
        <v>222</v>
      </c>
    </row>
    <row r="3" spans="1:28">
      <c r="A3" t="s">
        <v>218</v>
      </c>
      <c r="B3" t="s">
        <v>11</v>
      </c>
      <c r="C3" t="s">
        <v>221</v>
      </c>
      <c r="D3" s="3">
        <f>D44/1000</f>
        <v>61.277000000000001</v>
      </c>
      <c r="E3" s="3">
        <f t="shared" ref="E3:L3" si="0">E44/1000</f>
        <v>44.722000000000001</v>
      </c>
      <c r="F3" s="3">
        <f t="shared" si="0"/>
        <v>44.898000000000003</v>
      </c>
      <c r="G3" s="3">
        <f t="shared" si="0"/>
        <v>56.253999999999998</v>
      </c>
      <c r="H3" s="3">
        <f t="shared" si="0"/>
        <v>75.546999999999997</v>
      </c>
      <c r="I3" s="3">
        <f t="shared" si="0"/>
        <v>77.180000000000007</v>
      </c>
      <c r="J3" s="3">
        <f t="shared" si="0"/>
        <v>85.397999999999996</v>
      </c>
      <c r="K3" s="3">
        <f t="shared" si="0"/>
        <v>97.198999999999998</v>
      </c>
      <c r="L3" s="3">
        <f t="shared" si="0"/>
        <v>103.699</v>
      </c>
      <c r="N3" s="3">
        <f t="shared" ref="N3:N8" si="1">L3-D3</f>
        <v>42.421999999999997</v>
      </c>
      <c r="O3" s="2">
        <f>L3/D3-1</f>
        <v>0.69229890497250191</v>
      </c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</row>
    <row r="4" spans="1:28">
      <c r="A4" t="s">
        <v>215</v>
      </c>
      <c r="B4" t="s">
        <v>11</v>
      </c>
      <c r="C4" t="s">
        <v>221</v>
      </c>
      <c r="D4" s="3">
        <f>(D32+D33+D34+D40+D41+D42)/1000</f>
        <v>18.545999999999999</v>
      </c>
      <c r="E4" s="3">
        <f t="shared" ref="E4:L4" si="2">(E32+E33+E34+E40+E41+E42)/1000</f>
        <v>27.763000000000002</v>
      </c>
      <c r="F4" s="3">
        <f t="shared" si="2"/>
        <v>20.108000000000001</v>
      </c>
      <c r="G4" s="3">
        <f t="shared" si="2"/>
        <v>29.917999999999999</v>
      </c>
      <c r="H4" s="3">
        <f t="shared" si="2"/>
        <v>27.728000000000002</v>
      </c>
      <c r="I4" s="3">
        <f t="shared" si="2"/>
        <v>26.312999999999999</v>
      </c>
      <c r="J4" s="3">
        <f t="shared" si="2"/>
        <v>23.952999999999999</v>
      </c>
      <c r="K4" s="3">
        <f t="shared" si="2"/>
        <v>24.440999999999999</v>
      </c>
      <c r="L4" s="3">
        <f t="shared" si="2"/>
        <v>20.12</v>
      </c>
      <c r="N4" s="3">
        <f t="shared" si="1"/>
        <v>1.5740000000000016</v>
      </c>
      <c r="O4" s="2">
        <f t="shared" ref="O4:O10" si="3">L4/D4-1</f>
        <v>8.487005284158311E-2</v>
      </c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</row>
    <row r="5" spans="1:28">
      <c r="A5" t="s">
        <v>216</v>
      </c>
      <c r="B5" t="s">
        <v>11</v>
      </c>
      <c r="C5" t="s">
        <v>221</v>
      </c>
      <c r="D5" s="3">
        <f>(D36+D37+D38+D39+D43)/1000</f>
        <v>186.54900000000001</v>
      </c>
      <c r="E5" s="3">
        <f t="shared" ref="E5:L5" si="4">(E36+E37+E38+E39+E43)/1000</f>
        <v>203.88900000000001</v>
      </c>
      <c r="F5" s="3">
        <f t="shared" si="4"/>
        <v>211.905</v>
      </c>
      <c r="G5" s="3">
        <f t="shared" si="4"/>
        <v>216.81200000000001</v>
      </c>
      <c r="H5" s="3">
        <f t="shared" si="4"/>
        <v>225.44300000000001</v>
      </c>
      <c r="I5" s="3">
        <f t="shared" si="4"/>
        <v>230.81399999999999</v>
      </c>
      <c r="J5" s="3">
        <f t="shared" si="4"/>
        <v>233.5</v>
      </c>
      <c r="K5" s="3">
        <f t="shared" si="4"/>
        <v>241.184</v>
      </c>
      <c r="L5" s="3">
        <f t="shared" si="4"/>
        <v>249.85</v>
      </c>
      <c r="N5" s="3">
        <f t="shared" si="1"/>
        <v>63.300999999999988</v>
      </c>
      <c r="O5" s="2">
        <f t="shared" si="3"/>
        <v>0.33932639681799404</v>
      </c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</row>
    <row r="6" spans="1:28">
      <c r="A6" t="s">
        <v>217</v>
      </c>
      <c r="B6" t="s">
        <v>11</v>
      </c>
      <c r="C6" t="s">
        <v>221</v>
      </c>
      <c r="D6" s="3">
        <f>(D28+D29+D30+D31+D35)/1000</f>
        <v>454.63900000000001</v>
      </c>
      <c r="E6" s="3">
        <f t="shared" ref="E6:L6" si="5">(E28+E29+E30+E31+E35)/1000</f>
        <v>510.24400000000003</v>
      </c>
      <c r="F6" s="3">
        <f t="shared" si="5"/>
        <v>510.10199999999998</v>
      </c>
      <c r="G6" s="3">
        <f t="shared" si="5"/>
        <v>506.77300000000002</v>
      </c>
      <c r="H6" s="3">
        <f t="shared" si="5"/>
        <v>515.23500000000001</v>
      </c>
      <c r="I6" s="3">
        <f t="shared" si="5"/>
        <v>518.08699999999999</v>
      </c>
      <c r="J6" s="3">
        <f t="shared" si="5"/>
        <v>527.90800000000002</v>
      </c>
      <c r="K6" s="3">
        <f t="shared" si="5"/>
        <v>535.17700000000002</v>
      </c>
      <c r="L6" s="3">
        <f t="shared" si="5"/>
        <v>540.71799999999996</v>
      </c>
      <c r="N6" s="3">
        <f t="shared" si="1"/>
        <v>86.078999999999951</v>
      </c>
      <c r="O6" s="2">
        <f t="shared" si="3"/>
        <v>0.18933483489097935</v>
      </c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</row>
    <row r="7" spans="1:28">
      <c r="A7" t="s">
        <v>219</v>
      </c>
      <c r="B7" t="s">
        <v>11</v>
      </c>
      <c r="C7" t="s">
        <v>221</v>
      </c>
      <c r="D7" s="3">
        <f>SUM(D48:D57)/-1000</f>
        <v>-378.50700000000001</v>
      </c>
      <c r="E7" s="3">
        <f t="shared" ref="E7:L7" si="6">SUM(E48:E57)/-1000</f>
        <v>-407.79500000000002</v>
      </c>
      <c r="F7" s="3">
        <f t="shared" si="6"/>
        <v>-412.416</v>
      </c>
      <c r="G7" s="3">
        <f t="shared" si="6"/>
        <v>-407.15</v>
      </c>
      <c r="H7" s="3">
        <f t="shared" si="6"/>
        <v>-412.065</v>
      </c>
      <c r="I7" s="3">
        <f t="shared" si="6"/>
        <v>-419.79899999999998</v>
      </c>
      <c r="J7" s="3">
        <f t="shared" si="6"/>
        <v>-425.14600000000002</v>
      </c>
      <c r="K7" s="3">
        <f t="shared" si="6"/>
        <v>-439.279</v>
      </c>
      <c r="L7" s="3">
        <f t="shared" si="6"/>
        <v>-451.209</v>
      </c>
      <c r="N7" s="3">
        <f t="shared" si="1"/>
        <v>-72.701999999999998</v>
      </c>
      <c r="O7" s="2">
        <f t="shared" si="3"/>
        <v>0.19207570797898055</v>
      </c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</row>
    <row r="8" spans="1:28">
      <c r="A8" t="s">
        <v>220</v>
      </c>
      <c r="B8" t="s">
        <v>11</v>
      </c>
      <c r="C8" t="s">
        <v>221</v>
      </c>
      <c r="D8" s="3">
        <f>SUM(D58:D61)/-1000</f>
        <v>-342.505</v>
      </c>
      <c r="E8" s="3">
        <f t="shared" ref="E8:L8" si="7">SUM(E58:E61)/-1000</f>
        <v>-378.82</v>
      </c>
      <c r="F8" s="3">
        <f t="shared" si="7"/>
        <v>-374.596</v>
      </c>
      <c r="G8" s="3">
        <f t="shared" si="7"/>
        <v>-402.608</v>
      </c>
      <c r="H8" s="3">
        <f t="shared" si="7"/>
        <v>-431.88900000000001</v>
      </c>
      <c r="I8" s="3">
        <f t="shared" si="7"/>
        <v>-432.596</v>
      </c>
      <c r="J8" s="3">
        <f t="shared" si="7"/>
        <v>-445.61500000000001</v>
      </c>
      <c r="K8" s="3">
        <f t="shared" si="7"/>
        <v>-458.72300000000001</v>
      </c>
      <c r="L8" s="3">
        <f t="shared" si="7"/>
        <v>-463.178</v>
      </c>
      <c r="N8" s="3">
        <f t="shared" si="1"/>
        <v>-120.673</v>
      </c>
      <c r="O8" s="2">
        <f t="shared" si="3"/>
        <v>0.35232478357980179</v>
      </c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</row>
    <row r="9" spans="1:28">
      <c r="D9" s="3"/>
      <c r="E9" s="3"/>
      <c r="F9" s="3"/>
      <c r="G9" s="3"/>
      <c r="H9" s="3"/>
      <c r="I9" s="3"/>
      <c r="J9" s="3"/>
      <c r="K9" s="3"/>
      <c r="L9" s="3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</row>
    <row r="10" spans="1:28">
      <c r="A10" t="s">
        <v>223</v>
      </c>
      <c r="D10" s="3">
        <f>D7+D8</f>
        <v>-721.01199999999994</v>
      </c>
      <c r="E10" s="3">
        <f t="shared" ref="E10:L10" si="8">E7+E8</f>
        <v>-786.61500000000001</v>
      </c>
      <c r="F10" s="3">
        <f t="shared" si="8"/>
        <v>-787.01199999999994</v>
      </c>
      <c r="G10" s="3">
        <f t="shared" si="8"/>
        <v>-809.75800000000004</v>
      </c>
      <c r="H10" s="3">
        <f t="shared" si="8"/>
        <v>-843.95399999999995</v>
      </c>
      <c r="I10" s="3">
        <f t="shared" si="8"/>
        <v>-852.39499999999998</v>
      </c>
      <c r="J10" s="3">
        <f t="shared" si="8"/>
        <v>-870.76099999999997</v>
      </c>
      <c r="K10" s="3">
        <f t="shared" si="8"/>
        <v>-898.00199999999995</v>
      </c>
      <c r="L10" s="3">
        <f t="shared" si="8"/>
        <v>-914.38699999999994</v>
      </c>
      <c r="N10" s="3">
        <f>L10-D10</f>
        <v>-193.375</v>
      </c>
      <c r="O10" s="2">
        <f t="shared" si="3"/>
        <v>0.26819941970452654</v>
      </c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</row>
    <row r="11" spans="1:28">
      <c r="D11" s="3"/>
      <c r="E11" s="3"/>
      <c r="F11" s="3"/>
      <c r="G11" s="3"/>
      <c r="H11" s="3"/>
      <c r="I11" s="3"/>
      <c r="J11" s="3"/>
      <c r="K11" s="3"/>
      <c r="L11" s="3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</row>
    <row r="12" spans="1:28">
      <c r="A12" t="s">
        <v>224</v>
      </c>
      <c r="D12" s="3"/>
      <c r="E12" s="3"/>
      <c r="F12" s="3"/>
      <c r="G12" s="3"/>
      <c r="H12" s="3"/>
      <c r="I12" s="3"/>
      <c r="J12" s="3"/>
      <c r="K12" s="3"/>
      <c r="L12" s="3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</row>
    <row r="13" spans="1:28">
      <c r="A13" t="s">
        <v>225</v>
      </c>
      <c r="D13" s="2">
        <f>N3/-N$10</f>
        <v>0.21937685843568194</v>
      </c>
      <c r="E13" s="3"/>
      <c r="F13" s="3"/>
      <c r="G13" s="3"/>
      <c r="H13" s="3"/>
      <c r="I13" s="3"/>
      <c r="J13" s="3"/>
      <c r="K13" s="3"/>
      <c r="L13" s="3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</row>
    <row r="14" spans="1:28">
      <c r="A14" t="s">
        <v>226</v>
      </c>
      <c r="D14" s="2">
        <f>N4/-N$10</f>
        <v>8.1396250808015592E-3</v>
      </c>
      <c r="E14" s="3"/>
      <c r="F14" s="3"/>
      <c r="G14" s="3"/>
      <c r="H14" s="3"/>
      <c r="I14" s="3"/>
      <c r="J14" s="3"/>
      <c r="K14" s="3"/>
      <c r="L14" s="3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</row>
    <row r="15" spans="1:28">
      <c r="A15" t="s">
        <v>227</v>
      </c>
      <c r="D15" s="2">
        <f>N5/-N$10</f>
        <v>0.32734841628959271</v>
      </c>
      <c r="E15" s="3"/>
      <c r="F15" s="3"/>
      <c r="G15" s="3"/>
      <c r="H15" s="3"/>
      <c r="I15" s="3"/>
      <c r="J15" s="3"/>
      <c r="K15" s="3"/>
      <c r="L15" s="3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</row>
    <row r="16" spans="1:28">
      <c r="A16" t="s">
        <v>228</v>
      </c>
      <c r="D16" s="2">
        <f>N6/-N$10</f>
        <v>0.44514027149321239</v>
      </c>
      <c r="E16" s="3"/>
      <c r="F16" s="3"/>
      <c r="G16" s="3"/>
      <c r="H16" s="3"/>
      <c r="I16" s="3"/>
      <c r="J16" s="3"/>
      <c r="K16" s="3"/>
      <c r="L16" s="3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</row>
    <row r="17" spans="1:28">
      <c r="D17" s="3"/>
      <c r="E17" s="3"/>
      <c r="F17" s="3"/>
      <c r="G17" s="3"/>
      <c r="H17" s="3"/>
      <c r="I17" s="3"/>
      <c r="J17" s="3"/>
      <c r="K17" s="3"/>
      <c r="L17" s="3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</row>
    <row r="18" spans="1:28">
      <c r="D18" s="3"/>
      <c r="E18" s="3"/>
      <c r="F18" s="3"/>
      <c r="G18" s="3"/>
      <c r="H18" s="3"/>
      <c r="I18" s="3"/>
      <c r="J18" s="3"/>
      <c r="K18" s="3"/>
      <c r="L18" s="3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</row>
    <row r="19" spans="1:28">
      <c r="D19" s="3"/>
      <c r="E19" s="3"/>
      <c r="F19" s="3"/>
      <c r="G19" s="3"/>
      <c r="H19" s="3"/>
      <c r="I19" s="3"/>
      <c r="J19" s="3"/>
      <c r="K19" s="3"/>
      <c r="L19" s="3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</row>
    <row r="20" spans="1:28">
      <c r="D20" s="3"/>
      <c r="E20" s="3"/>
      <c r="F20" s="3"/>
      <c r="G20" s="3"/>
      <c r="H20" s="3"/>
      <c r="I20" s="3"/>
      <c r="J20" s="3"/>
      <c r="K20" s="3"/>
      <c r="L20" s="3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</row>
    <row r="25" spans="1:28" s="45" customFormat="1">
      <c r="A25" s="45" t="s">
        <v>150</v>
      </c>
    </row>
    <row r="26" spans="1:28" s="36" customFormat="1">
      <c r="A26" s="36" t="s">
        <v>179</v>
      </c>
    </row>
    <row r="27" spans="1:28">
      <c r="B27" t="s">
        <v>8</v>
      </c>
      <c r="C27" t="s">
        <v>12</v>
      </c>
      <c r="D27">
        <v>2009</v>
      </c>
      <c r="E27">
        <v>2010</v>
      </c>
      <c r="F27">
        <v>2011</v>
      </c>
      <c r="G27">
        <v>2012</v>
      </c>
      <c r="H27">
        <v>2013</v>
      </c>
      <c r="I27">
        <v>2014</v>
      </c>
      <c r="J27">
        <v>2015</v>
      </c>
      <c r="K27">
        <v>2016</v>
      </c>
      <c r="L27">
        <v>2017</v>
      </c>
    </row>
    <row r="28" spans="1:28">
      <c r="A28" t="s">
        <v>180</v>
      </c>
      <c r="B28" t="s">
        <v>197</v>
      </c>
      <c r="C28" t="s">
        <v>198</v>
      </c>
      <c r="D28">
        <v>234306</v>
      </c>
      <c r="E28">
        <v>260519</v>
      </c>
      <c r="F28">
        <v>261494</v>
      </c>
      <c r="G28">
        <v>247738</v>
      </c>
      <c r="H28">
        <v>252296</v>
      </c>
      <c r="I28">
        <v>263379</v>
      </c>
      <c r="J28">
        <v>266015</v>
      </c>
      <c r="K28">
        <v>271689</v>
      </c>
      <c r="L28">
        <v>276180</v>
      </c>
    </row>
    <row r="29" spans="1:28">
      <c r="A29" t="s">
        <v>181</v>
      </c>
      <c r="B29" t="s">
        <v>197</v>
      </c>
      <c r="C29" t="s">
        <v>198</v>
      </c>
      <c r="D29">
        <v>63208</v>
      </c>
      <c r="E29">
        <v>70502</v>
      </c>
      <c r="F29">
        <v>74968</v>
      </c>
      <c r="G29">
        <v>77499</v>
      </c>
      <c r="H29">
        <v>75663</v>
      </c>
      <c r="I29">
        <v>76637</v>
      </c>
      <c r="J29">
        <v>76702</v>
      </c>
      <c r="K29">
        <v>78047</v>
      </c>
      <c r="L29">
        <v>79354</v>
      </c>
    </row>
    <row r="30" spans="1:28">
      <c r="A30" t="s">
        <v>182</v>
      </c>
      <c r="B30" t="s">
        <v>197</v>
      </c>
      <c r="C30" t="s">
        <v>198</v>
      </c>
      <c r="D30">
        <v>30681</v>
      </c>
      <c r="E30">
        <v>34075</v>
      </c>
      <c r="F30">
        <v>33135</v>
      </c>
      <c r="G30">
        <v>35162</v>
      </c>
      <c r="H30">
        <v>36135</v>
      </c>
      <c r="I30">
        <v>33468</v>
      </c>
      <c r="J30">
        <v>36890</v>
      </c>
      <c r="K30">
        <v>34261</v>
      </c>
      <c r="L30">
        <v>34350</v>
      </c>
    </row>
    <row r="31" spans="1:28">
      <c r="A31" t="s">
        <v>183</v>
      </c>
      <c r="B31" t="s">
        <v>197</v>
      </c>
      <c r="C31" t="s">
        <v>198</v>
      </c>
      <c r="D31">
        <v>69930</v>
      </c>
      <c r="E31">
        <v>81373</v>
      </c>
      <c r="F31">
        <v>77019</v>
      </c>
      <c r="G31">
        <v>83032</v>
      </c>
      <c r="H31">
        <v>86512</v>
      </c>
      <c r="I31">
        <v>79730</v>
      </c>
      <c r="J31">
        <v>82088</v>
      </c>
      <c r="K31">
        <v>84065</v>
      </c>
      <c r="L31">
        <v>83706</v>
      </c>
    </row>
    <row r="32" spans="1:28">
      <c r="A32" t="s">
        <v>184</v>
      </c>
      <c r="B32" t="s">
        <v>197</v>
      </c>
      <c r="C32" t="s">
        <v>198</v>
      </c>
      <c r="D32">
        <v>4420</v>
      </c>
      <c r="E32">
        <v>7852</v>
      </c>
      <c r="F32">
        <v>5600</v>
      </c>
      <c r="G32">
        <v>6418</v>
      </c>
      <c r="H32">
        <v>7776</v>
      </c>
      <c r="I32">
        <v>7087</v>
      </c>
      <c r="J32">
        <v>9267</v>
      </c>
      <c r="K32">
        <v>9018</v>
      </c>
      <c r="L32">
        <v>6280</v>
      </c>
    </row>
    <row r="33" spans="1:12">
      <c r="A33" t="s">
        <v>185</v>
      </c>
      <c r="B33" t="s">
        <v>197</v>
      </c>
      <c r="C33" t="s">
        <v>198</v>
      </c>
      <c r="D33">
        <v>4623</v>
      </c>
      <c r="E33">
        <v>5952</v>
      </c>
      <c r="F33">
        <v>5909</v>
      </c>
      <c r="G33">
        <v>6203</v>
      </c>
      <c r="H33">
        <v>6870</v>
      </c>
      <c r="I33">
        <v>7384</v>
      </c>
      <c r="J33">
        <v>6757</v>
      </c>
      <c r="K33">
        <v>6906</v>
      </c>
      <c r="L33">
        <v>4853</v>
      </c>
    </row>
    <row r="34" spans="1:12">
      <c r="A34" t="s">
        <v>186</v>
      </c>
      <c r="B34" t="s">
        <v>197</v>
      </c>
      <c r="C34" t="s">
        <v>198</v>
      </c>
      <c r="D34">
        <v>569</v>
      </c>
      <c r="E34">
        <v>-387</v>
      </c>
      <c r="F34">
        <v>64</v>
      </c>
      <c r="G34">
        <v>501</v>
      </c>
      <c r="H34">
        <v>407</v>
      </c>
      <c r="I34">
        <v>409</v>
      </c>
      <c r="J34">
        <v>-18</v>
      </c>
      <c r="K34">
        <v>138</v>
      </c>
      <c r="L34">
        <v>-471</v>
      </c>
    </row>
    <row r="35" spans="1:12">
      <c r="A35" t="s">
        <v>187</v>
      </c>
      <c r="B35" t="s">
        <v>197</v>
      </c>
      <c r="C35" t="s">
        <v>198</v>
      </c>
      <c r="D35">
        <v>56514</v>
      </c>
      <c r="E35">
        <v>63775</v>
      </c>
      <c r="F35">
        <v>63486</v>
      </c>
      <c r="G35">
        <v>63342</v>
      </c>
      <c r="H35">
        <v>64629</v>
      </c>
      <c r="I35">
        <v>64873</v>
      </c>
      <c r="J35">
        <v>66213</v>
      </c>
      <c r="K35">
        <v>67115</v>
      </c>
      <c r="L35">
        <v>67128</v>
      </c>
    </row>
    <row r="36" spans="1:12">
      <c r="A36" t="s">
        <v>188</v>
      </c>
      <c r="B36" t="s">
        <v>197</v>
      </c>
      <c r="C36" t="s">
        <v>198</v>
      </c>
      <c r="D36">
        <v>72016</v>
      </c>
      <c r="E36">
        <v>79273</v>
      </c>
      <c r="F36">
        <v>79964</v>
      </c>
      <c r="G36">
        <v>77513</v>
      </c>
      <c r="H36">
        <v>78820</v>
      </c>
      <c r="I36">
        <v>81761</v>
      </c>
      <c r="J36">
        <v>83528</v>
      </c>
      <c r="K36">
        <v>86201</v>
      </c>
      <c r="L36">
        <v>88060</v>
      </c>
    </row>
    <row r="37" spans="1:12">
      <c r="A37" t="s">
        <v>189</v>
      </c>
      <c r="B37" t="s">
        <v>197</v>
      </c>
      <c r="C37" t="s">
        <v>198</v>
      </c>
      <c r="D37">
        <v>9556</v>
      </c>
      <c r="E37">
        <v>10659</v>
      </c>
      <c r="F37">
        <v>10846</v>
      </c>
      <c r="G37">
        <v>10550</v>
      </c>
      <c r="H37">
        <v>10821</v>
      </c>
      <c r="I37">
        <v>11094</v>
      </c>
      <c r="J37">
        <v>11230</v>
      </c>
      <c r="K37">
        <v>11751</v>
      </c>
      <c r="L37">
        <v>12786</v>
      </c>
    </row>
    <row r="38" spans="1:12">
      <c r="A38" t="s">
        <v>190</v>
      </c>
      <c r="B38" t="s">
        <v>197</v>
      </c>
      <c r="C38" t="s">
        <v>198</v>
      </c>
      <c r="D38">
        <v>18757</v>
      </c>
      <c r="E38">
        <v>21920</v>
      </c>
      <c r="F38">
        <v>25931</v>
      </c>
      <c r="G38">
        <v>29754</v>
      </c>
      <c r="H38">
        <v>33084</v>
      </c>
      <c r="I38">
        <v>35660</v>
      </c>
      <c r="J38">
        <v>36884</v>
      </c>
      <c r="K38">
        <v>37356</v>
      </c>
      <c r="L38">
        <v>39589</v>
      </c>
    </row>
    <row r="39" spans="1:12">
      <c r="A39" t="s">
        <v>191</v>
      </c>
      <c r="B39" t="s">
        <v>197</v>
      </c>
      <c r="C39" t="s">
        <v>198</v>
      </c>
      <c r="D39">
        <v>57441</v>
      </c>
      <c r="E39">
        <v>61235</v>
      </c>
      <c r="F39">
        <v>63178</v>
      </c>
      <c r="G39">
        <v>65140</v>
      </c>
      <c r="H39">
        <v>66622</v>
      </c>
      <c r="I39">
        <v>66966</v>
      </c>
      <c r="J39">
        <v>67153</v>
      </c>
      <c r="K39">
        <v>69134</v>
      </c>
      <c r="L39">
        <v>71305</v>
      </c>
    </row>
    <row r="40" spans="1:12">
      <c r="A40" t="s">
        <v>192</v>
      </c>
      <c r="B40" t="s">
        <v>197</v>
      </c>
      <c r="C40" t="s">
        <v>198</v>
      </c>
      <c r="D40">
        <v>3981</v>
      </c>
      <c r="E40">
        <v>6216</v>
      </c>
      <c r="F40">
        <v>6462</v>
      </c>
      <c r="G40">
        <v>4384</v>
      </c>
      <c r="H40">
        <v>4657</v>
      </c>
      <c r="I40">
        <v>4930</v>
      </c>
      <c r="J40">
        <v>4212</v>
      </c>
      <c r="K40">
        <v>5671</v>
      </c>
      <c r="L40">
        <v>5873</v>
      </c>
    </row>
    <row r="41" spans="1:12">
      <c r="A41" t="s">
        <v>193</v>
      </c>
      <c r="B41" t="s">
        <v>197</v>
      </c>
      <c r="C41" t="s">
        <v>198</v>
      </c>
      <c r="D41">
        <v>4693</v>
      </c>
      <c r="E41">
        <v>6343</v>
      </c>
      <c r="F41">
        <v>2613</v>
      </c>
      <c r="G41">
        <v>7524</v>
      </c>
      <c r="H41">
        <v>4454</v>
      </c>
      <c r="I41">
        <v>3984</v>
      </c>
      <c r="J41">
        <v>3218</v>
      </c>
      <c r="K41">
        <v>1797</v>
      </c>
      <c r="L41">
        <v>1561</v>
      </c>
    </row>
    <row r="42" spans="1:12">
      <c r="A42" t="s">
        <v>194</v>
      </c>
      <c r="B42" t="s">
        <v>197</v>
      </c>
      <c r="C42" t="s">
        <v>198</v>
      </c>
      <c r="D42">
        <v>260</v>
      </c>
      <c r="E42">
        <v>1787</v>
      </c>
      <c r="F42">
        <v>-540</v>
      </c>
      <c r="G42">
        <v>4888</v>
      </c>
      <c r="H42">
        <v>3564</v>
      </c>
      <c r="I42">
        <v>2519</v>
      </c>
      <c r="J42">
        <v>517</v>
      </c>
      <c r="K42">
        <v>911</v>
      </c>
      <c r="L42">
        <v>2024</v>
      </c>
    </row>
    <row r="43" spans="1:12">
      <c r="A43" t="s">
        <v>195</v>
      </c>
      <c r="B43" t="s">
        <v>197</v>
      </c>
      <c r="C43" t="s">
        <v>198</v>
      </c>
      <c r="D43">
        <v>28779</v>
      </c>
      <c r="E43">
        <v>30802</v>
      </c>
      <c r="F43">
        <v>31986</v>
      </c>
      <c r="G43">
        <v>33855</v>
      </c>
      <c r="H43">
        <v>36096</v>
      </c>
      <c r="I43">
        <v>35333</v>
      </c>
      <c r="J43">
        <v>34705</v>
      </c>
      <c r="K43">
        <v>36742</v>
      </c>
      <c r="L43">
        <v>38110</v>
      </c>
    </row>
    <row r="44" spans="1:12">
      <c r="A44" t="s">
        <v>196</v>
      </c>
      <c r="B44" t="s">
        <v>197</v>
      </c>
      <c r="C44" t="s">
        <v>198</v>
      </c>
      <c r="D44">
        <v>61277</v>
      </c>
      <c r="E44">
        <v>44722</v>
      </c>
      <c r="F44">
        <v>44898</v>
      </c>
      <c r="G44">
        <v>56254</v>
      </c>
      <c r="H44">
        <v>75547</v>
      </c>
      <c r="I44">
        <v>77180</v>
      </c>
      <c r="J44">
        <v>85398</v>
      </c>
      <c r="K44">
        <v>97199</v>
      </c>
      <c r="L44">
        <v>103699</v>
      </c>
    </row>
    <row r="46" spans="1:12" s="36" customFormat="1">
      <c r="B46" s="36" t="s">
        <v>199</v>
      </c>
    </row>
    <row r="47" spans="1:12">
      <c r="B47" t="s">
        <v>8</v>
      </c>
      <c r="C47" t="s">
        <v>12</v>
      </c>
      <c r="D47">
        <v>2009</v>
      </c>
      <c r="E47">
        <v>2010</v>
      </c>
      <c r="F47">
        <v>2011</v>
      </c>
      <c r="G47">
        <v>2012</v>
      </c>
      <c r="H47">
        <v>2013</v>
      </c>
      <c r="I47">
        <v>2014</v>
      </c>
      <c r="J47">
        <v>2015</v>
      </c>
      <c r="K47">
        <v>2016</v>
      </c>
      <c r="L47">
        <v>2017</v>
      </c>
    </row>
    <row r="48" spans="1:12">
      <c r="A48" t="s">
        <v>200</v>
      </c>
      <c r="B48" t="s">
        <v>197</v>
      </c>
      <c r="C48" t="s">
        <v>198</v>
      </c>
      <c r="D48">
        <v>144490</v>
      </c>
      <c r="E48">
        <v>159002</v>
      </c>
      <c r="F48">
        <v>161018</v>
      </c>
      <c r="G48">
        <v>154321</v>
      </c>
      <c r="H48">
        <v>156644</v>
      </c>
      <c r="I48">
        <v>162752</v>
      </c>
      <c r="J48">
        <v>166306</v>
      </c>
      <c r="K48">
        <v>171559</v>
      </c>
      <c r="L48">
        <v>175977</v>
      </c>
    </row>
    <row r="49" spans="1:45">
      <c r="A49" t="s">
        <v>201</v>
      </c>
      <c r="B49" t="s">
        <v>197</v>
      </c>
      <c r="C49" t="s">
        <v>198</v>
      </c>
      <c r="D49">
        <v>16388</v>
      </c>
      <c r="E49">
        <v>18018</v>
      </c>
      <c r="F49">
        <v>17657</v>
      </c>
      <c r="G49">
        <v>18273</v>
      </c>
      <c r="H49">
        <v>18500</v>
      </c>
      <c r="I49">
        <v>18379</v>
      </c>
      <c r="J49">
        <v>18544</v>
      </c>
      <c r="K49">
        <v>19232</v>
      </c>
      <c r="L49">
        <v>19376</v>
      </c>
    </row>
    <row r="50" spans="1:45">
      <c r="A50" t="s">
        <v>202</v>
      </c>
      <c r="B50" t="s">
        <v>197</v>
      </c>
      <c r="C50" t="s">
        <v>198</v>
      </c>
      <c r="D50">
        <v>3152</v>
      </c>
      <c r="E50">
        <v>3445</v>
      </c>
      <c r="F50">
        <v>3374</v>
      </c>
      <c r="G50">
        <v>2853</v>
      </c>
      <c r="H50">
        <v>2750</v>
      </c>
      <c r="I50">
        <v>2857</v>
      </c>
      <c r="J50">
        <v>2873</v>
      </c>
      <c r="K50">
        <v>2981</v>
      </c>
      <c r="L50">
        <v>3725</v>
      </c>
    </row>
    <row r="51" spans="1:45">
      <c r="A51" t="s">
        <v>203</v>
      </c>
      <c r="B51" t="s">
        <v>197</v>
      </c>
      <c r="C51" t="s">
        <v>198</v>
      </c>
      <c r="D51">
        <v>7386</v>
      </c>
      <c r="E51">
        <v>8796</v>
      </c>
      <c r="F51">
        <v>9222</v>
      </c>
      <c r="G51">
        <v>9254</v>
      </c>
      <c r="H51">
        <v>9728</v>
      </c>
      <c r="I51">
        <v>9952</v>
      </c>
      <c r="J51">
        <v>10001</v>
      </c>
      <c r="K51">
        <v>10564</v>
      </c>
      <c r="L51">
        <v>11490</v>
      </c>
    </row>
    <row r="52" spans="1:45">
      <c r="A52" t="s">
        <v>204</v>
      </c>
      <c r="B52" t="s">
        <v>197</v>
      </c>
      <c r="C52" t="s">
        <v>198</v>
      </c>
      <c r="D52">
        <v>50273</v>
      </c>
      <c r="E52">
        <v>52003</v>
      </c>
      <c r="F52">
        <v>50979</v>
      </c>
      <c r="G52">
        <v>49429</v>
      </c>
      <c r="H52">
        <v>49780</v>
      </c>
      <c r="I52">
        <v>50758</v>
      </c>
      <c r="J52">
        <v>52143</v>
      </c>
      <c r="K52">
        <v>54131</v>
      </c>
      <c r="L52">
        <v>54788</v>
      </c>
    </row>
    <row r="53" spans="1:45">
      <c r="A53" t="s">
        <v>205</v>
      </c>
      <c r="B53" t="s">
        <v>197</v>
      </c>
      <c r="C53" t="s">
        <v>198</v>
      </c>
      <c r="D53">
        <v>23000</v>
      </c>
      <c r="E53">
        <v>24158</v>
      </c>
      <c r="F53">
        <v>24958</v>
      </c>
      <c r="G53">
        <v>25836</v>
      </c>
      <c r="H53">
        <v>26657</v>
      </c>
      <c r="I53">
        <v>27291</v>
      </c>
      <c r="J53">
        <v>27916</v>
      </c>
      <c r="K53">
        <v>29066</v>
      </c>
      <c r="L53">
        <v>30552</v>
      </c>
    </row>
    <row r="54" spans="1:45">
      <c r="A54" t="s">
        <v>206</v>
      </c>
      <c r="B54" t="s">
        <v>197</v>
      </c>
      <c r="C54" t="s">
        <v>198</v>
      </c>
      <c r="D54">
        <v>23168</v>
      </c>
      <c r="E54">
        <v>24724</v>
      </c>
      <c r="F54">
        <v>23972</v>
      </c>
      <c r="G54">
        <v>22523</v>
      </c>
      <c r="H54">
        <v>21177</v>
      </c>
      <c r="I54">
        <v>20495</v>
      </c>
      <c r="J54">
        <v>19774</v>
      </c>
      <c r="K54">
        <v>20526</v>
      </c>
      <c r="L54">
        <v>19939</v>
      </c>
    </row>
    <row r="55" spans="1:45">
      <c r="A55" t="s">
        <v>207</v>
      </c>
      <c r="B55" t="s">
        <v>197</v>
      </c>
      <c r="C55" t="s">
        <v>198</v>
      </c>
      <c r="D55">
        <v>104139</v>
      </c>
      <c r="E55">
        <v>111439</v>
      </c>
      <c r="F55">
        <v>114298</v>
      </c>
      <c r="G55">
        <v>115347</v>
      </c>
      <c r="H55">
        <v>114675</v>
      </c>
      <c r="I55">
        <v>114519</v>
      </c>
      <c r="J55">
        <v>114861</v>
      </c>
      <c r="K55">
        <v>116865</v>
      </c>
      <c r="L55">
        <v>120691</v>
      </c>
    </row>
    <row r="56" spans="1:45">
      <c r="A56" t="s">
        <v>208</v>
      </c>
      <c r="B56" t="s">
        <v>197</v>
      </c>
      <c r="C56" t="s">
        <v>198</v>
      </c>
      <c r="D56">
        <v>3065</v>
      </c>
      <c r="E56">
        <v>2947</v>
      </c>
      <c r="F56">
        <v>3040</v>
      </c>
      <c r="G56">
        <v>3171</v>
      </c>
      <c r="H56">
        <v>3037</v>
      </c>
      <c r="I56">
        <v>2954</v>
      </c>
      <c r="J56">
        <v>2880</v>
      </c>
      <c r="K56">
        <v>2974</v>
      </c>
      <c r="L56">
        <v>3095</v>
      </c>
    </row>
    <row r="57" spans="1:45">
      <c r="A57" t="s">
        <v>209</v>
      </c>
      <c r="B57" t="s">
        <v>197</v>
      </c>
      <c r="C57" t="s">
        <v>198</v>
      </c>
      <c r="D57">
        <v>3446</v>
      </c>
      <c r="E57">
        <v>3263</v>
      </c>
      <c r="F57">
        <v>3898</v>
      </c>
      <c r="G57">
        <v>6143</v>
      </c>
      <c r="H57">
        <v>9117</v>
      </c>
      <c r="I57">
        <v>9842</v>
      </c>
      <c r="J57">
        <v>9848</v>
      </c>
      <c r="K57">
        <v>11381</v>
      </c>
      <c r="L57">
        <v>11576</v>
      </c>
    </row>
    <row r="58" spans="1:45">
      <c r="A58" t="s">
        <v>210</v>
      </c>
      <c r="B58" t="s">
        <v>197</v>
      </c>
      <c r="C58" t="s">
        <v>198</v>
      </c>
      <c r="D58">
        <v>18757</v>
      </c>
      <c r="E58">
        <v>21920</v>
      </c>
      <c r="F58">
        <v>25931</v>
      </c>
      <c r="G58">
        <v>29754</v>
      </c>
      <c r="H58">
        <v>33084</v>
      </c>
      <c r="I58">
        <v>35660</v>
      </c>
      <c r="J58">
        <v>36884</v>
      </c>
      <c r="K58">
        <v>37356</v>
      </c>
      <c r="L58">
        <v>39589</v>
      </c>
    </row>
    <row r="59" spans="1:45">
      <c r="A59" t="s">
        <v>211</v>
      </c>
      <c r="B59" t="s">
        <v>197</v>
      </c>
      <c r="C59" t="s">
        <v>198</v>
      </c>
      <c r="D59">
        <v>135803</v>
      </c>
      <c r="E59">
        <v>144038</v>
      </c>
      <c r="F59">
        <v>148505</v>
      </c>
      <c r="G59">
        <v>154594</v>
      </c>
      <c r="H59">
        <v>159366</v>
      </c>
      <c r="I59">
        <v>156205</v>
      </c>
      <c r="J59">
        <v>179128</v>
      </c>
      <c r="K59">
        <v>183092</v>
      </c>
      <c r="L59">
        <v>187781</v>
      </c>
    </row>
    <row r="60" spans="1:45">
      <c r="A60" t="s">
        <v>212</v>
      </c>
      <c r="B60" t="s">
        <v>197</v>
      </c>
      <c r="C60" t="s">
        <v>198</v>
      </c>
      <c r="D60">
        <v>146700</v>
      </c>
      <c r="E60">
        <v>164612</v>
      </c>
      <c r="F60">
        <v>155150</v>
      </c>
      <c r="G60">
        <v>170678</v>
      </c>
      <c r="H60">
        <v>193243</v>
      </c>
      <c r="I60">
        <v>194643</v>
      </c>
      <c r="J60">
        <v>196922</v>
      </c>
      <c r="K60">
        <v>204541</v>
      </c>
      <c r="L60">
        <v>201275</v>
      </c>
    </row>
    <row r="61" spans="1:45">
      <c r="A61" t="s">
        <v>213</v>
      </c>
      <c r="B61" t="s">
        <v>197</v>
      </c>
      <c r="C61" t="s">
        <v>198</v>
      </c>
      <c r="D61">
        <v>41245</v>
      </c>
      <c r="E61">
        <v>48250</v>
      </c>
      <c r="F61">
        <v>45010</v>
      </c>
      <c r="G61">
        <v>47582</v>
      </c>
      <c r="H61">
        <v>46196</v>
      </c>
      <c r="I61">
        <v>46088</v>
      </c>
      <c r="J61">
        <v>32681</v>
      </c>
      <c r="K61">
        <v>33734</v>
      </c>
      <c r="L61">
        <v>34533</v>
      </c>
    </row>
    <row r="63" spans="1:45" s="36" customFormat="1">
      <c r="B63" s="36" t="s">
        <v>260</v>
      </c>
    </row>
    <row r="64" spans="1:45">
      <c r="B64" t="s">
        <v>8</v>
      </c>
      <c r="C64" t="s">
        <v>12</v>
      </c>
      <c r="J64">
        <v>2015</v>
      </c>
      <c r="O64">
        <v>2020</v>
      </c>
      <c r="T64">
        <v>2025</v>
      </c>
      <c r="Y64">
        <v>2030</v>
      </c>
      <c r="AD64">
        <v>2035</v>
      </c>
      <c r="AI64">
        <v>2040</v>
      </c>
      <c r="AN64">
        <v>2045</v>
      </c>
      <c r="AS64">
        <v>2050</v>
      </c>
    </row>
    <row r="65" spans="1:45">
      <c r="A65" t="s">
        <v>261</v>
      </c>
      <c r="B65" t="s">
        <v>262</v>
      </c>
      <c r="C65" t="s">
        <v>263</v>
      </c>
      <c r="J65" s="52">
        <v>30.141833385586995</v>
      </c>
      <c r="Y65" s="53">
        <v>28.723531615841022</v>
      </c>
      <c r="AS65" s="52">
        <v>33.721102132395828</v>
      </c>
    </row>
    <row r="66" spans="1:45">
      <c r="A66" t="s">
        <v>264</v>
      </c>
      <c r="B66" t="s">
        <v>262</v>
      </c>
      <c r="C66" t="s">
        <v>263</v>
      </c>
      <c r="J66" s="52">
        <v>14.459100709663195</v>
      </c>
      <c r="Y66" s="53">
        <v>18.179605857554051</v>
      </c>
      <c r="AS66" s="52">
        <v>31.65437351111699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DD19D-FB47-4693-9F58-868274D03C59}">
  <dimension ref="A1:V10"/>
  <sheetViews>
    <sheetView showGridLines="0" zoomScale="51" zoomScaleNormal="51" workbookViewId="0">
      <selection activeCell="A40" sqref="A40"/>
    </sheetView>
  </sheetViews>
  <sheetFormatPr defaultRowHeight="14.4"/>
  <cols>
    <col min="1" max="1" width="34.77734375" bestFit="1" customWidth="1"/>
    <col min="2" max="3" width="0" hidden="1" customWidth="1"/>
  </cols>
  <sheetData>
    <row r="1" spans="1:22">
      <c r="A1" s="4" t="s">
        <v>14</v>
      </c>
      <c r="B1" s="6"/>
      <c r="C1" s="6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spans="1:22">
      <c r="B2" s="7" t="s">
        <v>8</v>
      </c>
      <c r="C2" s="7" t="s">
        <v>12</v>
      </c>
      <c r="D2">
        <v>2018</v>
      </c>
      <c r="E2">
        <v>2021</v>
      </c>
      <c r="F2" t="s">
        <v>253</v>
      </c>
    </row>
    <row r="3" spans="1:22">
      <c r="A3" t="s">
        <v>257</v>
      </c>
      <c r="B3" t="s">
        <v>245</v>
      </c>
      <c r="C3" t="s">
        <v>13</v>
      </c>
      <c r="D3" s="3">
        <v>264</v>
      </c>
      <c r="E3" s="3"/>
      <c r="F3" s="3">
        <f>295-D3</f>
        <v>31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2">
      <c r="A4" t="s">
        <v>231</v>
      </c>
      <c r="B4" t="s">
        <v>255</v>
      </c>
      <c r="C4" t="s">
        <v>13</v>
      </c>
      <c r="D4" s="3">
        <v>268</v>
      </c>
      <c r="E4" s="3"/>
      <c r="F4" s="3">
        <v>42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2">
      <c r="A5" t="s">
        <v>254</v>
      </c>
      <c r="B5" t="s">
        <v>256</v>
      </c>
      <c r="C5" t="s">
        <v>13</v>
      </c>
      <c r="D5">
        <v>258</v>
      </c>
      <c r="E5" s="3"/>
      <c r="F5" s="3">
        <f>310-D5</f>
        <v>52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2">
      <c r="A6" t="s">
        <v>254</v>
      </c>
      <c r="B6" t="s">
        <v>256</v>
      </c>
      <c r="C6" t="s">
        <v>13</v>
      </c>
      <c r="E6" s="3">
        <v>230</v>
      </c>
      <c r="F6" s="3">
        <f>310-E6</f>
        <v>80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2"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10" spans="1:22">
      <c r="U10" s="3"/>
      <c r="V10" s="3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74A54-613E-4F4E-856B-607625EEE561}">
  <dimension ref="A1:AX52"/>
  <sheetViews>
    <sheetView workbookViewId="0">
      <selection activeCell="O30" sqref="O30"/>
    </sheetView>
  </sheetViews>
  <sheetFormatPr defaultRowHeight="14.4"/>
  <sheetData>
    <row r="1" spans="1:50">
      <c r="A1" s="8" t="s">
        <v>36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9"/>
      <c r="S1" s="9">
        <v>2020</v>
      </c>
      <c r="T1" s="9">
        <v>2021</v>
      </c>
      <c r="U1" s="9">
        <v>2022</v>
      </c>
      <c r="V1" s="9">
        <v>2023</v>
      </c>
      <c r="W1" s="9">
        <v>2024</v>
      </c>
      <c r="X1" s="9">
        <v>2025</v>
      </c>
      <c r="Y1" s="9">
        <v>2026</v>
      </c>
      <c r="Z1" s="9">
        <v>2027</v>
      </c>
      <c r="AA1" s="9">
        <v>2028</v>
      </c>
      <c r="AB1" s="9">
        <v>2029</v>
      </c>
      <c r="AC1" s="9">
        <v>2030</v>
      </c>
      <c r="AD1" s="9">
        <v>2031</v>
      </c>
      <c r="AE1" s="9">
        <v>2032</v>
      </c>
      <c r="AF1" s="9">
        <v>2033</v>
      </c>
      <c r="AG1" s="9">
        <v>2034</v>
      </c>
      <c r="AH1" s="9">
        <v>2035</v>
      </c>
      <c r="AI1" s="9">
        <v>2036</v>
      </c>
      <c r="AJ1" s="9">
        <v>2037</v>
      </c>
      <c r="AK1" s="9">
        <v>2038</v>
      </c>
      <c r="AL1" s="9">
        <v>2039</v>
      </c>
      <c r="AM1" s="9">
        <v>2040</v>
      </c>
      <c r="AN1" s="9">
        <v>2041</v>
      </c>
      <c r="AO1" s="9">
        <v>2042</v>
      </c>
      <c r="AP1" s="9">
        <v>2043</v>
      </c>
      <c r="AQ1" s="9">
        <v>2044</v>
      </c>
      <c r="AR1" s="9">
        <v>2045</v>
      </c>
      <c r="AS1" s="9">
        <v>2046</v>
      </c>
      <c r="AT1" s="9">
        <v>2047</v>
      </c>
      <c r="AU1" s="9">
        <v>2048</v>
      </c>
      <c r="AV1" s="9">
        <v>2049</v>
      </c>
      <c r="AW1" s="9">
        <v>2050</v>
      </c>
      <c r="AX1" s="8"/>
    </row>
    <row r="2" spans="1:50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10" t="s">
        <v>15</v>
      </c>
      <c r="R2" s="11">
        <v>1</v>
      </c>
      <c r="S2" s="11">
        <v>1</v>
      </c>
      <c r="T2" s="11">
        <v>0.98</v>
      </c>
      <c r="U2" s="11">
        <v>0.96</v>
      </c>
      <c r="V2" s="11">
        <v>0.94</v>
      </c>
      <c r="W2" s="11">
        <v>0.92</v>
      </c>
      <c r="X2" s="11">
        <v>0.9</v>
      </c>
      <c r="Y2" s="11">
        <v>0.88</v>
      </c>
      <c r="Z2" s="11">
        <v>0.86</v>
      </c>
      <c r="AA2" s="11">
        <v>0.85</v>
      </c>
      <c r="AB2" s="11">
        <v>0.83</v>
      </c>
      <c r="AC2" s="11">
        <v>0.81</v>
      </c>
      <c r="AD2" s="11">
        <v>0.79</v>
      </c>
      <c r="AE2" s="11">
        <v>0.77</v>
      </c>
      <c r="AF2" s="11">
        <v>0.75</v>
      </c>
      <c r="AG2" s="11">
        <v>0.73</v>
      </c>
      <c r="AH2" s="11">
        <v>0.71</v>
      </c>
      <c r="AI2" s="11">
        <v>0.69</v>
      </c>
      <c r="AJ2" s="11">
        <v>0.67</v>
      </c>
      <c r="AK2" s="11">
        <v>0.65</v>
      </c>
      <c r="AL2" s="11">
        <v>0.63</v>
      </c>
      <c r="AM2" s="11">
        <v>0.61</v>
      </c>
      <c r="AN2" s="11">
        <v>0.6</v>
      </c>
      <c r="AO2" s="11">
        <v>0.57999999999999996</v>
      </c>
      <c r="AP2" s="11">
        <v>0.56999999999999995</v>
      </c>
      <c r="AQ2" s="11">
        <v>0.56000000000000005</v>
      </c>
      <c r="AR2" s="11">
        <v>0.54</v>
      </c>
      <c r="AS2" s="11">
        <v>0.53</v>
      </c>
      <c r="AT2" s="11">
        <v>0.52</v>
      </c>
      <c r="AU2" s="11">
        <v>0.51</v>
      </c>
      <c r="AV2" s="11">
        <v>0.5</v>
      </c>
      <c r="AW2" s="11">
        <v>0.49</v>
      </c>
      <c r="AX2" s="8"/>
    </row>
    <row r="3" spans="1:50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10" t="s">
        <v>16</v>
      </c>
      <c r="R3" s="11">
        <v>1</v>
      </c>
      <c r="S3" s="11">
        <v>1</v>
      </c>
      <c r="T3" s="11">
        <v>0.99</v>
      </c>
      <c r="U3" s="11">
        <v>0.99</v>
      </c>
      <c r="V3" s="11">
        <v>0.98</v>
      </c>
      <c r="W3" s="11">
        <v>0.97</v>
      </c>
      <c r="X3" s="11">
        <v>0.96</v>
      </c>
      <c r="Y3" s="11">
        <v>0.94</v>
      </c>
      <c r="Z3" s="11">
        <v>0.92</v>
      </c>
      <c r="AA3" s="11">
        <v>0.89</v>
      </c>
      <c r="AB3" s="11">
        <v>0.87</v>
      </c>
      <c r="AC3" s="11">
        <v>0.85</v>
      </c>
      <c r="AD3" s="11">
        <v>0.83</v>
      </c>
      <c r="AE3" s="11">
        <v>0.8</v>
      </c>
      <c r="AF3" s="11">
        <v>0.78</v>
      </c>
      <c r="AG3" s="11">
        <v>0.75</v>
      </c>
      <c r="AH3" s="11">
        <v>0.73</v>
      </c>
      <c r="AI3" s="11">
        <v>0.71</v>
      </c>
      <c r="AJ3" s="11">
        <v>0.69</v>
      </c>
      <c r="AK3" s="11">
        <v>0.67</v>
      </c>
      <c r="AL3" s="11">
        <v>0.64</v>
      </c>
      <c r="AM3" s="11">
        <v>0.62</v>
      </c>
      <c r="AN3" s="11">
        <v>0.61</v>
      </c>
      <c r="AO3" s="11">
        <v>0.6</v>
      </c>
      <c r="AP3" s="11">
        <v>0.59</v>
      </c>
      <c r="AQ3" s="11">
        <v>0.57999999999999996</v>
      </c>
      <c r="AR3" s="11">
        <v>0.56000000000000005</v>
      </c>
      <c r="AS3" s="11">
        <v>0.56000000000000005</v>
      </c>
      <c r="AT3" s="11">
        <v>0.55000000000000004</v>
      </c>
      <c r="AU3" s="11">
        <v>0.55000000000000004</v>
      </c>
      <c r="AV3" s="11">
        <v>0.55000000000000004</v>
      </c>
      <c r="AW3" s="11">
        <v>0.54</v>
      </c>
      <c r="AX3" s="8"/>
    </row>
    <row r="4" spans="1:50">
      <c r="A4" s="8"/>
      <c r="B4" s="12" t="s">
        <v>18</v>
      </c>
      <c r="C4" s="8"/>
      <c r="D4" s="8"/>
      <c r="E4" s="12" t="s">
        <v>19</v>
      </c>
      <c r="F4" s="12"/>
      <c r="G4" s="8"/>
      <c r="H4" s="8"/>
      <c r="I4" s="8"/>
      <c r="J4" s="8"/>
      <c r="K4" s="8"/>
      <c r="L4" s="8"/>
      <c r="M4" s="8"/>
      <c r="N4" s="8"/>
      <c r="O4" s="8"/>
      <c r="P4" s="8"/>
      <c r="Q4" s="10" t="s">
        <v>17</v>
      </c>
      <c r="R4" s="11">
        <v>1</v>
      </c>
      <c r="S4" s="11">
        <v>1.01</v>
      </c>
      <c r="T4" s="11">
        <v>0.99</v>
      </c>
      <c r="U4" s="11">
        <v>0.98</v>
      </c>
      <c r="V4" s="11">
        <v>0.96</v>
      </c>
      <c r="W4" s="11">
        <v>0.95</v>
      </c>
      <c r="X4" s="11">
        <v>0.93</v>
      </c>
      <c r="Y4" s="11">
        <v>0.92</v>
      </c>
      <c r="Z4" s="11">
        <v>0.9</v>
      </c>
      <c r="AA4" s="11">
        <v>0.89</v>
      </c>
      <c r="AB4" s="11">
        <v>0.88</v>
      </c>
      <c r="AC4" s="11">
        <v>0.86</v>
      </c>
      <c r="AD4" s="11">
        <v>0.85</v>
      </c>
      <c r="AE4" s="11">
        <v>0.83</v>
      </c>
      <c r="AF4" s="11">
        <v>0.82</v>
      </c>
      <c r="AG4" s="11">
        <v>0.8</v>
      </c>
      <c r="AH4" s="11">
        <v>0.79</v>
      </c>
      <c r="AI4" s="11">
        <v>0.78</v>
      </c>
      <c r="AJ4" s="11">
        <v>0.77</v>
      </c>
      <c r="AK4" s="11">
        <v>0.77</v>
      </c>
      <c r="AL4" s="11">
        <v>0.76</v>
      </c>
      <c r="AM4" s="11">
        <v>0.76</v>
      </c>
      <c r="AN4" s="11">
        <v>0.76</v>
      </c>
      <c r="AO4" s="11">
        <v>0.76</v>
      </c>
      <c r="AP4" s="11">
        <v>0.76</v>
      </c>
      <c r="AQ4" s="11">
        <v>0.76</v>
      </c>
      <c r="AR4" s="11">
        <v>0.76</v>
      </c>
      <c r="AS4" s="11">
        <v>0.76</v>
      </c>
      <c r="AT4" s="11">
        <v>0.76</v>
      </c>
      <c r="AU4" s="11">
        <v>0.77</v>
      </c>
      <c r="AV4" s="11">
        <v>0.77</v>
      </c>
      <c r="AW4" s="11">
        <v>0.77</v>
      </c>
      <c r="AX4" s="8"/>
    </row>
    <row r="5" spans="1:50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 t="e">
        <v>#REF!</v>
      </c>
      <c r="R5" s="11">
        <v>1</v>
      </c>
      <c r="S5" s="11">
        <v>1</v>
      </c>
      <c r="T5" s="11">
        <v>0.99</v>
      </c>
      <c r="U5" s="11">
        <v>0.97</v>
      </c>
      <c r="V5" s="11">
        <v>0.95</v>
      </c>
      <c r="W5" s="11">
        <v>0.93</v>
      </c>
      <c r="X5" s="11">
        <v>0.91</v>
      </c>
      <c r="Y5" s="11">
        <v>0.9</v>
      </c>
      <c r="Z5" s="11">
        <v>0.88</v>
      </c>
      <c r="AA5" s="11">
        <v>0.86</v>
      </c>
      <c r="AB5" s="11">
        <v>0.84</v>
      </c>
      <c r="AC5" s="11">
        <v>0.83</v>
      </c>
      <c r="AD5" s="11">
        <v>0.81</v>
      </c>
      <c r="AE5" s="11">
        <v>0.79</v>
      </c>
      <c r="AF5" s="11">
        <v>0.77</v>
      </c>
      <c r="AG5" s="11">
        <v>0.76</v>
      </c>
      <c r="AH5" s="11">
        <v>0.74</v>
      </c>
      <c r="AI5" s="11">
        <v>0.73</v>
      </c>
      <c r="AJ5" s="11">
        <v>0.72</v>
      </c>
      <c r="AK5" s="11">
        <v>0.72</v>
      </c>
      <c r="AL5" s="11">
        <v>0.71</v>
      </c>
      <c r="AM5" s="11">
        <v>0.7</v>
      </c>
      <c r="AN5" s="11">
        <v>0.7</v>
      </c>
      <c r="AO5" s="11">
        <v>0.7</v>
      </c>
      <c r="AP5" s="11">
        <v>0.7</v>
      </c>
      <c r="AQ5" s="11">
        <v>0.7</v>
      </c>
      <c r="AR5" s="11">
        <v>0.7</v>
      </c>
      <c r="AS5" s="11">
        <v>0.7</v>
      </c>
      <c r="AT5" s="11">
        <v>0.71</v>
      </c>
      <c r="AU5" s="11">
        <v>0.71</v>
      </c>
      <c r="AV5" s="11">
        <v>0.71</v>
      </c>
      <c r="AW5" s="11">
        <v>0.71</v>
      </c>
      <c r="AX5" s="8"/>
    </row>
    <row r="6" spans="1:50">
      <c r="A6" s="9" t="s">
        <v>20</v>
      </c>
      <c r="B6" s="8" t="s">
        <v>21</v>
      </c>
      <c r="C6" s="8"/>
      <c r="D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 t="e">
        <v>#REF!</v>
      </c>
      <c r="R6" s="11">
        <v>1</v>
      </c>
      <c r="S6" s="11">
        <v>1</v>
      </c>
      <c r="T6" s="11">
        <v>0.99</v>
      </c>
      <c r="U6" s="11">
        <v>0.97</v>
      </c>
      <c r="V6" s="11">
        <v>0.96</v>
      </c>
      <c r="W6" s="11">
        <v>0.95</v>
      </c>
      <c r="X6" s="11">
        <v>0.94</v>
      </c>
      <c r="Y6" s="11">
        <v>0.93</v>
      </c>
      <c r="Z6" s="11">
        <v>0.91</v>
      </c>
      <c r="AA6" s="11">
        <v>0.9</v>
      </c>
      <c r="AB6" s="11">
        <v>0.88</v>
      </c>
      <c r="AC6" s="11">
        <v>0.87</v>
      </c>
      <c r="AD6" s="11">
        <v>0.85</v>
      </c>
      <c r="AE6" s="11">
        <v>0.83</v>
      </c>
      <c r="AF6" s="11">
        <v>0.81</v>
      </c>
      <c r="AG6" s="11">
        <v>0.79</v>
      </c>
      <c r="AH6" s="11">
        <v>0.77</v>
      </c>
      <c r="AI6" s="11">
        <v>0.76</v>
      </c>
      <c r="AJ6" s="11">
        <v>0.74</v>
      </c>
      <c r="AK6" s="11">
        <v>0.72</v>
      </c>
      <c r="AL6" s="11">
        <v>0.71</v>
      </c>
      <c r="AM6" s="11">
        <v>0.69</v>
      </c>
      <c r="AN6" s="11">
        <v>0.69</v>
      </c>
      <c r="AO6" s="11">
        <v>0.68</v>
      </c>
      <c r="AP6" s="11">
        <v>0.68</v>
      </c>
      <c r="AQ6" s="11">
        <v>0.68</v>
      </c>
      <c r="AR6" s="11">
        <v>0.67</v>
      </c>
      <c r="AS6" s="11">
        <v>0.67</v>
      </c>
      <c r="AT6" s="11">
        <v>0.67</v>
      </c>
      <c r="AU6" s="11">
        <v>0.66</v>
      </c>
      <c r="AV6" s="11">
        <v>0.66</v>
      </c>
      <c r="AW6" s="11">
        <v>0.66</v>
      </c>
      <c r="AX6" s="8"/>
    </row>
    <row r="7" spans="1:50">
      <c r="A7" s="8"/>
      <c r="B7" s="13" t="s">
        <v>22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 t="e">
        <v>#REF!</v>
      </c>
      <c r="R7" s="11">
        <v>1</v>
      </c>
      <c r="S7" s="11">
        <v>1</v>
      </c>
      <c r="T7" s="11">
        <v>0.98</v>
      </c>
      <c r="U7" s="11">
        <v>0.96</v>
      </c>
      <c r="V7" s="11">
        <v>0.94</v>
      </c>
      <c r="W7" s="11">
        <v>0.92</v>
      </c>
      <c r="X7" s="11">
        <v>0.9</v>
      </c>
      <c r="Y7" s="11">
        <v>0.88</v>
      </c>
      <c r="Z7" s="11">
        <v>0.86</v>
      </c>
      <c r="AA7" s="11">
        <v>0.84</v>
      </c>
      <c r="AB7" s="11">
        <v>0.83</v>
      </c>
      <c r="AC7" s="11">
        <v>0.81</v>
      </c>
      <c r="AD7" s="11">
        <v>0.79</v>
      </c>
      <c r="AE7" s="11">
        <v>0.77</v>
      </c>
      <c r="AF7" s="11">
        <v>0.75</v>
      </c>
      <c r="AG7" s="11">
        <v>0.73</v>
      </c>
      <c r="AH7" s="11">
        <v>0.71</v>
      </c>
      <c r="AI7" s="11">
        <v>0.7</v>
      </c>
      <c r="AJ7" s="11">
        <v>0.7</v>
      </c>
      <c r="AK7" s="11">
        <v>0.69</v>
      </c>
      <c r="AL7" s="11">
        <v>0.68</v>
      </c>
      <c r="AM7" s="11">
        <v>0.68</v>
      </c>
      <c r="AN7" s="11">
        <v>0.68</v>
      </c>
      <c r="AO7" s="11">
        <v>0.69</v>
      </c>
      <c r="AP7" s="11">
        <v>0.69</v>
      </c>
      <c r="AQ7" s="11">
        <v>0.7</v>
      </c>
      <c r="AR7" s="11">
        <v>0.7</v>
      </c>
      <c r="AS7" s="11">
        <v>0.71</v>
      </c>
      <c r="AT7" s="11">
        <v>0.71</v>
      </c>
      <c r="AU7" s="11">
        <v>0.71</v>
      </c>
      <c r="AV7" s="11">
        <v>0.71</v>
      </c>
      <c r="AW7" s="11">
        <v>0.71</v>
      </c>
      <c r="AX7" s="8"/>
    </row>
    <row r="8" spans="1:50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 t="e">
        <v>#REF!</v>
      </c>
      <c r="R8" s="11">
        <v>1</v>
      </c>
      <c r="S8" s="11">
        <v>1</v>
      </c>
      <c r="T8" s="11">
        <v>0.99</v>
      </c>
      <c r="U8" s="11">
        <v>0.99</v>
      </c>
      <c r="V8" s="11">
        <v>0.98</v>
      </c>
      <c r="W8" s="11">
        <v>0.97</v>
      </c>
      <c r="X8" s="11">
        <v>0.96</v>
      </c>
      <c r="Y8" s="11">
        <v>0.94</v>
      </c>
      <c r="Z8" s="11">
        <v>0.92</v>
      </c>
      <c r="AA8" s="11">
        <v>0.89</v>
      </c>
      <c r="AB8" s="11">
        <v>0.87</v>
      </c>
      <c r="AC8" s="11">
        <v>0.85</v>
      </c>
      <c r="AD8" s="11">
        <v>0.83</v>
      </c>
      <c r="AE8" s="11">
        <v>0.8</v>
      </c>
      <c r="AF8" s="11">
        <v>0.78</v>
      </c>
      <c r="AG8" s="11">
        <v>0.76</v>
      </c>
      <c r="AH8" s="11">
        <v>0.73</v>
      </c>
      <c r="AI8" s="11">
        <v>0.71</v>
      </c>
      <c r="AJ8" s="11">
        <v>0.69</v>
      </c>
      <c r="AK8" s="11">
        <v>0.67</v>
      </c>
      <c r="AL8" s="11">
        <v>0.65</v>
      </c>
      <c r="AM8" s="11">
        <v>0.63</v>
      </c>
      <c r="AN8" s="11">
        <v>0.62</v>
      </c>
      <c r="AO8" s="11">
        <v>0.6</v>
      </c>
      <c r="AP8" s="11">
        <v>0.59</v>
      </c>
      <c r="AQ8" s="11">
        <v>0.57999999999999996</v>
      </c>
      <c r="AR8" s="11">
        <v>0.56999999999999995</v>
      </c>
      <c r="AS8" s="11">
        <v>0.56000000000000005</v>
      </c>
      <c r="AT8" s="11">
        <v>0.56000000000000005</v>
      </c>
      <c r="AU8" s="11">
        <v>0.55000000000000004</v>
      </c>
      <c r="AV8" s="11">
        <v>0.55000000000000004</v>
      </c>
      <c r="AW8" s="11">
        <v>0.54</v>
      </c>
      <c r="AX8" s="8"/>
    </row>
    <row r="9" spans="1:50">
      <c r="A9" s="9" t="s">
        <v>23</v>
      </c>
      <c r="B9" s="13" t="s">
        <v>22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 t="e">
        <v>#REF!</v>
      </c>
      <c r="R9" s="11">
        <v>1</v>
      </c>
      <c r="S9" s="11">
        <v>1</v>
      </c>
      <c r="T9" s="11">
        <v>0.99</v>
      </c>
      <c r="U9" s="11">
        <v>0.99</v>
      </c>
      <c r="V9" s="11">
        <v>0.98</v>
      </c>
      <c r="W9" s="11">
        <v>0.97</v>
      </c>
      <c r="X9" s="11">
        <v>0.96</v>
      </c>
      <c r="Y9" s="11">
        <v>0.94</v>
      </c>
      <c r="Z9" s="11">
        <v>0.92</v>
      </c>
      <c r="AA9" s="11">
        <v>0.89</v>
      </c>
      <c r="AB9" s="11">
        <v>0.87</v>
      </c>
      <c r="AC9" s="11">
        <v>0.85</v>
      </c>
      <c r="AD9" s="11">
        <v>0.83</v>
      </c>
      <c r="AE9" s="11">
        <v>0.8</v>
      </c>
      <c r="AF9" s="11">
        <v>0.78</v>
      </c>
      <c r="AG9" s="11">
        <v>0.76</v>
      </c>
      <c r="AH9" s="11">
        <v>0.73</v>
      </c>
      <c r="AI9" s="11">
        <v>0.71</v>
      </c>
      <c r="AJ9" s="11">
        <v>0.69</v>
      </c>
      <c r="AK9" s="11">
        <v>0.67</v>
      </c>
      <c r="AL9" s="11">
        <v>0.65</v>
      </c>
      <c r="AM9" s="11">
        <v>0.63</v>
      </c>
      <c r="AN9" s="11">
        <v>0.62</v>
      </c>
      <c r="AO9" s="11">
        <v>0.6</v>
      </c>
      <c r="AP9" s="11">
        <v>0.59</v>
      </c>
      <c r="AQ9" s="11">
        <v>0.57999999999999996</v>
      </c>
      <c r="AR9" s="11">
        <v>0.56999999999999995</v>
      </c>
      <c r="AS9" s="11">
        <v>0.56000000000000005</v>
      </c>
      <c r="AT9" s="11">
        <v>0.56000000000000005</v>
      </c>
      <c r="AU9" s="11">
        <v>0.55000000000000004</v>
      </c>
      <c r="AV9" s="11">
        <v>0.55000000000000004</v>
      </c>
      <c r="AW9" s="11">
        <v>0.54</v>
      </c>
      <c r="AX9" s="8"/>
    </row>
    <row r="10" spans="1:50">
      <c r="A10" s="8"/>
      <c r="B10" s="8" t="s">
        <v>24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 t="e">
        <v>#REF!</v>
      </c>
      <c r="R10" s="11">
        <v>1</v>
      </c>
      <c r="S10" s="11">
        <v>1</v>
      </c>
      <c r="T10" s="11">
        <v>0.99</v>
      </c>
      <c r="U10" s="11">
        <v>0.99</v>
      </c>
      <c r="V10" s="11">
        <v>0.98</v>
      </c>
      <c r="W10" s="11">
        <v>0.97</v>
      </c>
      <c r="X10" s="11">
        <v>0.96</v>
      </c>
      <c r="Y10" s="11">
        <v>0.94</v>
      </c>
      <c r="Z10" s="11">
        <v>0.92</v>
      </c>
      <c r="AA10" s="11">
        <v>0.89</v>
      </c>
      <c r="AB10" s="11">
        <v>0.87</v>
      </c>
      <c r="AC10" s="11">
        <v>0.85</v>
      </c>
      <c r="AD10" s="11">
        <v>0.82</v>
      </c>
      <c r="AE10" s="11">
        <v>0.8</v>
      </c>
      <c r="AF10" s="11">
        <v>0.77</v>
      </c>
      <c r="AG10" s="11">
        <v>0.75</v>
      </c>
      <c r="AH10" s="11">
        <v>0.73</v>
      </c>
      <c r="AI10" s="11">
        <v>0.7</v>
      </c>
      <c r="AJ10" s="11">
        <v>0.68</v>
      </c>
      <c r="AK10" s="11">
        <v>0.66</v>
      </c>
      <c r="AL10" s="11">
        <v>0.64</v>
      </c>
      <c r="AM10" s="11">
        <v>0.61</v>
      </c>
      <c r="AN10" s="11">
        <v>0.6</v>
      </c>
      <c r="AO10" s="11">
        <v>0.59</v>
      </c>
      <c r="AP10" s="11">
        <v>0.57999999999999996</v>
      </c>
      <c r="AQ10" s="11">
        <v>0.56999999999999995</v>
      </c>
      <c r="AR10" s="11">
        <v>0.56000000000000005</v>
      </c>
      <c r="AS10" s="11">
        <v>0.56000000000000005</v>
      </c>
      <c r="AT10" s="11">
        <v>0.56000000000000005</v>
      </c>
      <c r="AU10" s="11">
        <v>0.55000000000000004</v>
      </c>
      <c r="AV10" s="11">
        <v>0.55000000000000004</v>
      </c>
      <c r="AW10" s="11">
        <v>0.55000000000000004</v>
      </c>
      <c r="AX10" s="8"/>
    </row>
    <row r="11" spans="1:50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 t="e">
        <v>#REF!</v>
      </c>
      <c r="R11" s="11">
        <v>1</v>
      </c>
      <c r="S11" s="11">
        <v>1</v>
      </c>
      <c r="T11" s="11">
        <v>0.99</v>
      </c>
      <c r="U11" s="11">
        <v>0.99</v>
      </c>
      <c r="V11" s="11">
        <v>0.98</v>
      </c>
      <c r="W11" s="11">
        <v>0.97</v>
      </c>
      <c r="X11" s="11">
        <v>0.96</v>
      </c>
      <c r="Y11" s="11">
        <v>0.94</v>
      </c>
      <c r="Z11" s="11">
        <v>0.92</v>
      </c>
      <c r="AA11" s="11">
        <v>0.89</v>
      </c>
      <c r="AB11" s="11">
        <v>0.87</v>
      </c>
      <c r="AC11" s="11">
        <v>0.85</v>
      </c>
      <c r="AD11" s="11">
        <v>0.82</v>
      </c>
      <c r="AE11" s="11">
        <v>0.8</v>
      </c>
      <c r="AF11" s="11">
        <v>0.77</v>
      </c>
      <c r="AG11" s="11">
        <v>0.75</v>
      </c>
      <c r="AH11" s="11">
        <v>0.73</v>
      </c>
      <c r="AI11" s="11">
        <v>0.7</v>
      </c>
      <c r="AJ11" s="11">
        <v>0.68</v>
      </c>
      <c r="AK11" s="11">
        <v>0.66</v>
      </c>
      <c r="AL11" s="11">
        <v>0.64</v>
      </c>
      <c r="AM11" s="11">
        <v>0.62</v>
      </c>
      <c r="AN11" s="11">
        <v>0.6</v>
      </c>
      <c r="AO11" s="11">
        <v>0.59</v>
      </c>
      <c r="AP11" s="11">
        <v>0.57999999999999996</v>
      </c>
      <c r="AQ11" s="11">
        <v>0.56999999999999995</v>
      </c>
      <c r="AR11" s="11">
        <v>0.56000000000000005</v>
      </c>
      <c r="AS11" s="11">
        <v>0.56000000000000005</v>
      </c>
      <c r="AT11" s="11">
        <v>0.56000000000000005</v>
      </c>
      <c r="AU11" s="11">
        <v>0.55000000000000004</v>
      </c>
      <c r="AV11" s="11">
        <v>0.55000000000000004</v>
      </c>
      <c r="AW11" s="11">
        <v>0.55000000000000004</v>
      </c>
      <c r="AX11" s="8"/>
    </row>
    <row r="12" spans="1:50">
      <c r="A12" s="9" t="s">
        <v>25</v>
      </c>
      <c r="B12" s="8" t="s">
        <v>26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 t="e">
        <v>#REF!</v>
      </c>
      <c r="R12" s="8" t="e">
        <v>#N/A</v>
      </c>
      <c r="S12" s="8" t="e">
        <v>#N/A</v>
      </c>
      <c r="T12" s="8" t="e">
        <v>#N/A</v>
      </c>
      <c r="U12" s="8" t="e">
        <v>#N/A</v>
      </c>
      <c r="V12" s="8" t="e">
        <v>#N/A</v>
      </c>
      <c r="W12" s="8" t="e">
        <v>#N/A</v>
      </c>
      <c r="X12" s="8" t="e">
        <v>#N/A</v>
      </c>
      <c r="Y12" s="8" t="e">
        <v>#N/A</v>
      </c>
      <c r="Z12" s="8" t="e">
        <v>#N/A</v>
      </c>
      <c r="AA12" s="8" t="e">
        <v>#N/A</v>
      </c>
      <c r="AB12" s="8" t="e">
        <v>#N/A</v>
      </c>
      <c r="AC12" s="8" t="e">
        <v>#N/A</v>
      </c>
      <c r="AD12" s="8" t="e">
        <v>#N/A</v>
      </c>
      <c r="AE12" s="8" t="e">
        <v>#N/A</v>
      </c>
      <c r="AF12" s="8" t="e">
        <v>#N/A</v>
      </c>
      <c r="AG12" s="8" t="e">
        <v>#N/A</v>
      </c>
      <c r="AH12" s="8" t="e">
        <v>#N/A</v>
      </c>
      <c r="AI12" s="8" t="e">
        <v>#N/A</v>
      </c>
      <c r="AJ12" s="8" t="e">
        <v>#N/A</v>
      </c>
      <c r="AK12" s="8" t="e">
        <v>#N/A</v>
      </c>
      <c r="AL12" s="8" t="e">
        <v>#N/A</v>
      </c>
      <c r="AM12" s="8" t="e">
        <v>#N/A</v>
      </c>
      <c r="AN12" s="8" t="e">
        <v>#N/A</v>
      </c>
      <c r="AO12" s="8" t="e">
        <v>#N/A</v>
      </c>
      <c r="AP12" s="8" t="e">
        <v>#N/A</v>
      </c>
      <c r="AQ12" s="8" t="e">
        <v>#N/A</v>
      </c>
      <c r="AR12" s="8" t="e">
        <v>#N/A</v>
      </c>
      <c r="AS12" s="8" t="e">
        <v>#N/A</v>
      </c>
      <c r="AT12" s="8" t="e">
        <v>#N/A</v>
      </c>
      <c r="AU12" s="8" t="e">
        <v>#N/A</v>
      </c>
      <c r="AV12" s="8" t="e">
        <v>#N/A</v>
      </c>
      <c r="AW12" s="8" t="e">
        <v>#N/A</v>
      </c>
      <c r="AX12" s="8"/>
    </row>
    <row r="13" spans="1:50">
      <c r="A13" s="8"/>
      <c r="B13" s="8" t="s">
        <v>27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 t="e">
        <v>#REF!</v>
      </c>
      <c r="R13" s="8" t="e">
        <v>#N/A</v>
      </c>
      <c r="S13" s="8" t="e">
        <v>#N/A</v>
      </c>
      <c r="T13" s="8" t="e">
        <v>#N/A</v>
      </c>
      <c r="U13" s="8" t="e">
        <v>#N/A</v>
      </c>
      <c r="V13" s="8" t="e">
        <v>#N/A</v>
      </c>
      <c r="W13" s="8" t="e">
        <v>#N/A</v>
      </c>
      <c r="X13" s="8" t="e">
        <v>#N/A</v>
      </c>
      <c r="Y13" s="8" t="e">
        <v>#N/A</v>
      </c>
      <c r="Z13" s="8" t="e">
        <v>#N/A</v>
      </c>
      <c r="AA13" s="8" t="e">
        <v>#N/A</v>
      </c>
      <c r="AB13" s="8" t="e">
        <v>#N/A</v>
      </c>
      <c r="AC13" s="8" t="e">
        <v>#N/A</v>
      </c>
      <c r="AD13" s="8" t="e">
        <v>#N/A</v>
      </c>
      <c r="AE13" s="8" t="e">
        <v>#N/A</v>
      </c>
      <c r="AF13" s="8" t="e">
        <v>#N/A</v>
      </c>
      <c r="AG13" s="8" t="e">
        <v>#N/A</v>
      </c>
      <c r="AH13" s="8" t="e">
        <v>#N/A</v>
      </c>
      <c r="AI13" s="8" t="e">
        <v>#N/A</v>
      </c>
      <c r="AJ13" s="8" t="e">
        <v>#N/A</v>
      </c>
      <c r="AK13" s="8" t="e">
        <v>#N/A</v>
      </c>
      <c r="AL13" s="8" t="e">
        <v>#N/A</v>
      </c>
      <c r="AM13" s="8" t="e">
        <v>#N/A</v>
      </c>
      <c r="AN13" s="8" t="e">
        <v>#N/A</v>
      </c>
      <c r="AO13" s="8" t="e">
        <v>#N/A</v>
      </c>
      <c r="AP13" s="8" t="e">
        <v>#N/A</v>
      </c>
      <c r="AQ13" s="8" t="e">
        <v>#N/A</v>
      </c>
      <c r="AR13" s="8" t="e">
        <v>#N/A</v>
      </c>
      <c r="AS13" s="8" t="e">
        <v>#N/A</v>
      </c>
      <c r="AT13" s="8" t="e">
        <v>#N/A</v>
      </c>
      <c r="AU13" s="8" t="e">
        <v>#N/A</v>
      </c>
      <c r="AV13" s="8" t="e">
        <v>#N/A</v>
      </c>
      <c r="AW13" s="8" t="e">
        <v>#N/A</v>
      </c>
      <c r="AX13" s="8"/>
    </row>
    <row r="14" spans="1:50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 t="e">
        <v>#REF!</v>
      </c>
      <c r="R14" s="11">
        <v>1</v>
      </c>
      <c r="S14" s="11">
        <v>1</v>
      </c>
      <c r="T14" s="11">
        <v>0.99</v>
      </c>
      <c r="U14" s="11">
        <v>0.99</v>
      </c>
      <c r="V14" s="11">
        <v>0.98</v>
      </c>
      <c r="W14" s="11">
        <v>0.97</v>
      </c>
      <c r="X14" s="11">
        <v>0.96</v>
      </c>
      <c r="Y14" s="11">
        <v>0.94</v>
      </c>
      <c r="Z14" s="11">
        <v>0.92</v>
      </c>
      <c r="AA14" s="11">
        <v>0.89</v>
      </c>
      <c r="AB14" s="11">
        <v>0.87</v>
      </c>
      <c r="AC14" s="11">
        <v>0.85</v>
      </c>
      <c r="AD14" s="11">
        <v>0.82</v>
      </c>
      <c r="AE14" s="11">
        <v>0.8</v>
      </c>
      <c r="AF14" s="11">
        <v>0.78</v>
      </c>
      <c r="AG14" s="11">
        <v>0.75</v>
      </c>
      <c r="AH14" s="11">
        <v>0.73</v>
      </c>
      <c r="AI14" s="11">
        <v>0.71</v>
      </c>
      <c r="AJ14" s="11">
        <v>0.68</v>
      </c>
      <c r="AK14" s="11">
        <v>0.66</v>
      </c>
      <c r="AL14" s="11">
        <v>0.64</v>
      </c>
      <c r="AM14" s="11">
        <v>0.62</v>
      </c>
      <c r="AN14" s="11">
        <v>0.61</v>
      </c>
      <c r="AO14" s="11">
        <v>0.59</v>
      </c>
      <c r="AP14" s="11">
        <v>0.57999999999999996</v>
      </c>
      <c r="AQ14" s="11">
        <v>0.56999999999999995</v>
      </c>
      <c r="AR14" s="11">
        <v>0.56000000000000005</v>
      </c>
      <c r="AS14" s="11">
        <v>0.56000000000000005</v>
      </c>
      <c r="AT14" s="11">
        <v>0.55000000000000004</v>
      </c>
      <c r="AU14" s="11">
        <v>0.55000000000000004</v>
      </c>
      <c r="AV14" s="11">
        <v>0.55000000000000004</v>
      </c>
      <c r="AW14" s="11">
        <v>0.54</v>
      </c>
      <c r="AX14" s="8"/>
    </row>
    <row r="15" spans="1:50" ht="15.6">
      <c r="A15" s="9" t="s">
        <v>28</v>
      </c>
      <c r="B15" s="14" t="s">
        <v>29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 t="e">
        <v>#REF!</v>
      </c>
      <c r="R15" s="11">
        <v>1</v>
      </c>
      <c r="S15" s="11">
        <v>1</v>
      </c>
      <c r="T15" s="11">
        <v>0.99</v>
      </c>
      <c r="U15" s="11">
        <v>0.99</v>
      </c>
      <c r="V15" s="11">
        <v>0.98</v>
      </c>
      <c r="W15" s="11">
        <v>0.97</v>
      </c>
      <c r="X15" s="11">
        <v>0.96</v>
      </c>
      <c r="Y15" s="11">
        <v>0.94</v>
      </c>
      <c r="Z15" s="11">
        <v>0.92</v>
      </c>
      <c r="AA15" s="11">
        <v>0.89</v>
      </c>
      <c r="AB15" s="11">
        <v>0.87</v>
      </c>
      <c r="AC15" s="11">
        <v>0.85</v>
      </c>
      <c r="AD15" s="11">
        <v>0.82</v>
      </c>
      <c r="AE15" s="11">
        <v>0.79</v>
      </c>
      <c r="AF15" s="11">
        <v>0.77</v>
      </c>
      <c r="AG15" s="11">
        <v>0.74</v>
      </c>
      <c r="AH15" s="11">
        <v>0.71</v>
      </c>
      <c r="AI15" s="11">
        <v>0.69</v>
      </c>
      <c r="AJ15" s="11">
        <v>0.67</v>
      </c>
      <c r="AK15" s="11">
        <v>0.65</v>
      </c>
      <c r="AL15" s="11">
        <v>0.62</v>
      </c>
      <c r="AM15" s="11">
        <v>0.6</v>
      </c>
      <c r="AN15" s="11">
        <v>0.59</v>
      </c>
      <c r="AO15" s="11">
        <v>0.57999999999999996</v>
      </c>
      <c r="AP15" s="11">
        <v>0.57999999999999996</v>
      </c>
      <c r="AQ15" s="11">
        <v>0.56999999999999995</v>
      </c>
      <c r="AR15" s="11">
        <v>0.56000000000000005</v>
      </c>
      <c r="AS15" s="11">
        <v>0.56000000000000005</v>
      </c>
      <c r="AT15" s="11">
        <v>0.55000000000000004</v>
      </c>
      <c r="AU15" s="11">
        <v>0.55000000000000004</v>
      </c>
      <c r="AV15" s="11">
        <v>0.55000000000000004</v>
      </c>
      <c r="AW15" s="11">
        <v>0.55000000000000004</v>
      </c>
      <c r="AX15" s="8"/>
    </row>
    <row r="16" spans="1:50">
      <c r="A16" s="8"/>
      <c r="B16" s="15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 t="e">
        <v>#REF!</v>
      </c>
      <c r="R16" s="11">
        <v>1</v>
      </c>
      <c r="S16" s="11">
        <v>1.01</v>
      </c>
      <c r="T16" s="11">
        <v>0.99</v>
      </c>
      <c r="U16" s="11">
        <v>0.98</v>
      </c>
      <c r="V16" s="11">
        <v>0.97</v>
      </c>
      <c r="W16" s="11">
        <v>0.95</v>
      </c>
      <c r="X16" s="11">
        <v>0.94</v>
      </c>
      <c r="Y16" s="11">
        <v>0.93</v>
      </c>
      <c r="Z16" s="11">
        <v>0.91</v>
      </c>
      <c r="AA16" s="11">
        <v>0.9</v>
      </c>
      <c r="AB16" s="11">
        <v>0.89</v>
      </c>
      <c r="AC16" s="11">
        <v>0.87</v>
      </c>
      <c r="AD16" s="11">
        <v>0.86</v>
      </c>
      <c r="AE16" s="11">
        <v>0.85</v>
      </c>
      <c r="AF16" s="11">
        <v>0.83</v>
      </c>
      <c r="AG16" s="11">
        <v>0.82</v>
      </c>
      <c r="AH16" s="11">
        <v>0.8</v>
      </c>
      <c r="AI16" s="11">
        <v>0.79</v>
      </c>
      <c r="AJ16" s="11">
        <v>0.78</v>
      </c>
      <c r="AK16" s="11">
        <v>0.77</v>
      </c>
      <c r="AL16" s="11">
        <v>0.76</v>
      </c>
      <c r="AM16" s="11">
        <v>0.75</v>
      </c>
      <c r="AN16" s="11">
        <v>0.75</v>
      </c>
      <c r="AO16" s="11">
        <v>0.75</v>
      </c>
      <c r="AP16" s="11">
        <v>0.75</v>
      </c>
      <c r="AQ16" s="11">
        <v>0.75</v>
      </c>
      <c r="AR16" s="11">
        <v>0.75</v>
      </c>
      <c r="AS16" s="11">
        <v>0.76</v>
      </c>
      <c r="AT16" s="11">
        <v>0.76</v>
      </c>
      <c r="AU16" s="11">
        <v>0.76</v>
      </c>
      <c r="AV16" s="11">
        <v>0.76</v>
      </c>
      <c r="AW16" s="11">
        <v>0.77</v>
      </c>
      <c r="AX16" s="8"/>
    </row>
    <row r="17" spans="1:50">
      <c r="A17" s="8"/>
      <c r="B17" s="16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 t="e">
        <v>#REF!</v>
      </c>
      <c r="R17" s="8" t="e">
        <v>#N/A</v>
      </c>
      <c r="S17" s="8" t="e">
        <v>#N/A</v>
      </c>
      <c r="T17" s="8" t="e">
        <v>#N/A</v>
      </c>
      <c r="U17" s="8" t="e">
        <v>#N/A</v>
      </c>
      <c r="V17" s="8" t="e">
        <v>#N/A</v>
      </c>
      <c r="W17" s="8" t="e">
        <v>#N/A</v>
      </c>
      <c r="X17" s="8" t="e">
        <v>#N/A</v>
      </c>
      <c r="Y17" s="8" t="e">
        <v>#N/A</v>
      </c>
      <c r="Z17" s="8" t="e">
        <v>#N/A</v>
      </c>
      <c r="AA17" s="8" t="e">
        <v>#N/A</v>
      </c>
      <c r="AB17" s="8" t="e">
        <v>#N/A</v>
      </c>
      <c r="AC17" s="8" t="e">
        <v>#N/A</v>
      </c>
      <c r="AD17" s="8" t="e">
        <v>#N/A</v>
      </c>
      <c r="AE17" s="8" t="e">
        <v>#N/A</v>
      </c>
      <c r="AF17" s="8" t="e">
        <v>#N/A</v>
      </c>
      <c r="AG17" s="8" t="e">
        <v>#N/A</v>
      </c>
      <c r="AH17" s="8" t="e">
        <v>#N/A</v>
      </c>
      <c r="AI17" s="8" t="e">
        <v>#N/A</v>
      </c>
      <c r="AJ17" s="8" t="e">
        <v>#N/A</v>
      </c>
      <c r="AK17" s="8" t="e">
        <v>#N/A</v>
      </c>
      <c r="AL17" s="8" t="e">
        <v>#N/A</v>
      </c>
      <c r="AM17" s="8" t="e">
        <v>#N/A</v>
      </c>
      <c r="AN17" s="8" t="e">
        <v>#N/A</v>
      </c>
      <c r="AO17" s="8" t="e">
        <v>#N/A</v>
      </c>
      <c r="AP17" s="8" t="e">
        <v>#N/A</v>
      </c>
      <c r="AQ17" s="8" t="e">
        <v>#N/A</v>
      </c>
      <c r="AR17" s="8" t="e">
        <v>#N/A</v>
      </c>
      <c r="AS17" s="8" t="e">
        <v>#N/A</v>
      </c>
      <c r="AT17" s="8" t="e">
        <v>#N/A</v>
      </c>
      <c r="AU17" s="8" t="e">
        <v>#N/A</v>
      </c>
      <c r="AV17" s="8" t="e">
        <v>#N/A</v>
      </c>
      <c r="AW17" s="8" t="e">
        <v>#N/A</v>
      </c>
      <c r="AX17" s="8"/>
    </row>
    <row r="18" spans="1:50">
      <c r="A18" s="8"/>
      <c r="B18" s="17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 t="e">
        <v>#REF!</v>
      </c>
      <c r="R18" s="11">
        <v>1</v>
      </c>
      <c r="S18" s="11">
        <v>1</v>
      </c>
      <c r="T18" s="11">
        <v>0.99</v>
      </c>
      <c r="U18" s="11">
        <v>0.99</v>
      </c>
      <c r="V18" s="11">
        <v>0.98</v>
      </c>
      <c r="W18" s="11">
        <v>0.97</v>
      </c>
      <c r="X18" s="11">
        <v>0.96</v>
      </c>
      <c r="Y18" s="11">
        <v>0.94</v>
      </c>
      <c r="Z18" s="11">
        <v>0.92</v>
      </c>
      <c r="AA18" s="11">
        <v>0.89</v>
      </c>
      <c r="AB18" s="11">
        <v>0.87</v>
      </c>
      <c r="AC18" s="11">
        <v>0.85</v>
      </c>
      <c r="AD18" s="11">
        <v>0.82</v>
      </c>
      <c r="AE18" s="11">
        <v>0.8</v>
      </c>
      <c r="AF18" s="11">
        <v>0.77</v>
      </c>
      <c r="AG18" s="11">
        <v>0.75</v>
      </c>
      <c r="AH18" s="11">
        <v>0.72</v>
      </c>
      <c r="AI18" s="11">
        <v>0.7</v>
      </c>
      <c r="AJ18" s="11">
        <v>0.68</v>
      </c>
      <c r="AK18" s="11">
        <v>0.66</v>
      </c>
      <c r="AL18" s="11">
        <v>0.64</v>
      </c>
      <c r="AM18" s="11">
        <v>0.61</v>
      </c>
      <c r="AN18" s="11">
        <v>0.6</v>
      </c>
      <c r="AO18" s="11">
        <v>0.59</v>
      </c>
      <c r="AP18" s="11">
        <v>0.57999999999999996</v>
      </c>
      <c r="AQ18" s="11">
        <v>0.56999999999999995</v>
      </c>
      <c r="AR18" s="11">
        <v>0.56000000000000005</v>
      </c>
      <c r="AS18" s="11">
        <v>0.56000000000000005</v>
      </c>
      <c r="AT18" s="11">
        <v>0.55000000000000004</v>
      </c>
      <c r="AU18" s="11">
        <v>0.55000000000000004</v>
      </c>
      <c r="AV18" s="11">
        <v>0.55000000000000004</v>
      </c>
      <c r="AW18" s="11">
        <v>0.54</v>
      </c>
      <c r="AX18" s="8"/>
    </row>
    <row r="19" spans="1:50">
      <c r="A19" s="8"/>
      <c r="B19" s="13" t="s">
        <v>29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 t="e">
        <v>#REF!</v>
      </c>
      <c r="R19" s="11">
        <v>1</v>
      </c>
      <c r="S19" s="11">
        <v>1</v>
      </c>
      <c r="T19" s="11">
        <v>0.99</v>
      </c>
      <c r="U19" s="11">
        <v>0.99</v>
      </c>
      <c r="V19" s="11">
        <v>0.98</v>
      </c>
      <c r="W19" s="11">
        <v>0.97</v>
      </c>
      <c r="X19" s="11">
        <v>0.96</v>
      </c>
      <c r="Y19" s="11">
        <v>0.94</v>
      </c>
      <c r="Z19" s="11">
        <v>0.92</v>
      </c>
      <c r="AA19" s="11">
        <v>0.89</v>
      </c>
      <c r="AB19" s="11">
        <v>0.87</v>
      </c>
      <c r="AC19" s="11">
        <v>0.85</v>
      </c>
      <c r="AD19" s="11">
        <v>0.82</v>
      </c>
      <c r="AE19" s="11">
        <v>0.8</v>
      </c>
      <c r="AF19" s="11">
        <v>0.77</v>
      </c>
      <c r="AG19" s="11">
        <v>0.75</v>
      </c>
      <c r="AH19" s="11">
        <v>0.72</v>
      </c>
      <c r="AI19" s="11">
        <v>0.7</v>
      </c>
      <c r="AJ19" s="11">
        <v>0.68</v>
      </c>
      <c r="AK19" s="11">
        <v>0.66</v>
      </c>
      <c r="AL19" s="11">
        <v>0.64</v>
      </c>
      <c r="AM19" s="11">
        <v>0.61</v>
      </c>
      <c r="AN19" s="11">
        <v>0.6</v>
      </c>
      <c r="AO19" s="11">
        <v>0.59</v>
      </c>
      <c r="AP19" s="11">
        <v>0.57999999999999996</v>
      </c>
      <c r="AQ19" s="11">
        <v>0.56999999999999995</v>
      </c>
      <c r="AR19" s="11">
        <v>0.56000000000000005</v>
      </c>
      <c r="AS19" s="11">
        <v>0.56000000000000005</v>
      </c>
      <c r="AT19" s="11">
        <v>0.56000000000000005</v>
      </c>
      <c r="AU19" s="11">
        <v>0.55000000000000004</v>
      </c>
      <c r="AV19" s="11">
        <v>0.55000000000000004</v>
      </c>
      <c r="AW19" s="11">
        <v>0.54</v>
      </c>
      <c r="AX19" s="8"/>
    </row>
    <row r="20" spans="1:50">
      <c r="A20" s="8"/>
      <c r="B20" s="1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 t="e">
        <v>#REF!</v>
      </c>
      <c r="R20" s="8" t="e">
        <v>#N/A</v>
      </c>
      <c r="S20" s="8" t="e">
        <v>#N/A</v>
      </c>
      <c r="T20" s="8" t="e">
        <v>#N/A</v>
      </c>
      <c r="U20" s="8" t="e">
        <v>#N/A</v>
      </c>
      <c r="V20" s="8" t="e">
        <v>#N/A</v>
      </c>
      <c r="W20" s="8" t="e">
        <v>#N/A</v>
      </c>
      <c r="X20" s="8" t="e">
        <v>#N/A</v>
      </c>
      <c r="Y20" s="8" t="e">
        <v>#N/A</v>
      </c>
      <c r="Z20" s="8" t="e">
        <v>#N/A</v>
      </c>
      <c r="AA20" s="8" t="e">
        <v>#N/A</v>
      </c>
      <c r="AB20" s="8" t="e">
        <v>#N/A</v>
      </c>
      <c r="AC20" s="8" t="e">
        <v>#N/A</v>
      </c>
      <c r="AD20" s="8" t="e">
        <v>#N/A</v>
      </c>
      <c r="AE20" s="8" t="e">
        <v>#N/A</v>
      </c>
      <c r="AF20" s="8" t="e">
        <v>#N/A</v>
      </c>
      <c r="AG20" s="8" t="e">
        <v>#N/A</v>
      </c>
      <c r="AH20" s="8" t="e">
        <v>#N/A</v>
      </c>
      <c r="AI20" s="8" t="e">
        <v>#N/A</v>
      </c>
      <c r="AJ20" s="8" t="e">
        <v>#N/A</v>
      </c>
      <c r="AK20" s="8" t="e">
        <v>#N/A</v>
      </c>
      <c r="AL20" s="8" t="e">
        <v>#N/A</v>
      </c>
      <c r="AM20" s="8" t="e">
        <v>#N/A</v>
      </c>
      <c r="AN20" s="8" t="e">
        <v>#N/A</v>
      </c>
      <c r="AO20" s="8" t="e">
        <v>#N/A</v>
      </c>
      <c r="AP20" s="8" t="e">
        <v>#N/A</v>
      </c>
      <c r="AQ20" s="8" t="e">
        <v>#N/A</v>
      </c>
      <c r="AR20" s="8" t="e">
        <v>#N/A</v>
      </c>
      <c r="AS20" s="8" t="e">
        <v>#N/A</v>
      </c>
      <c r="AT20" s="8" t="e">
        <v>#N/A</v>
      </c>
      <c r="AU20" s="8" t="e">
        <v>#N/A</v>
      </c>
      <c r="AV20" s="8" t="e">
        <v>#N/A</v>
      </c>
      <c r="AW20" s="8" t="e">
        <v>#N/A</v>
      </c>
      <c r="AX20" s="8"/>
    </row>
    <row r="21" spans="1:50">
      <c r="A21" s="8"/>
      <c r="B21" s="19" t="s">
        <v>29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 t="e">
        <v>#REF!</v>
      </c>
      <c r="R21" s="8" t="e">
        <v>#N/A</v>
      </c>
      <c r="S21" s="8" t="e">
        <v>#N/A</v>
      </c>
      <c r="T21" s="8" t="e">
        <v>#N/A</v>
      </c>
      <c r="U21" s="8" t="e">
        <v>#N/A</v>
      </c>
      <c r="V21" s="8" t="e">
        <v>#N/A</v>
      </c>
      <c r="W21" s="8" t="e">
        <v>#N/A</v>
      </c>
      <c r="X21" s="8" t="e">
        <v>#N/A</v>
      </c>
      <c r="Y21" s="8" t="e">
        <v>#N/A</v>
      </c>
      <c r="Z21" s="8" t="e">
        <v>#N/A</v>
      </c>
      <c r="AA21" s="8" t="e">
        <v>#N/A</v>
      </c>
      <c r="AB21" s="8" t="e">
        <v>#N/A</v>
      </c>
      <c r="AC21" s="8" t="e">
        <v>#N/A</v>
      </c>
      <c r="AD21" s="8" t="e">
        <v>#N/A</v>
      </c>
      <c r="AE21" s="8" t="e">
        <v>#N/A</v>
      </c>
      <c r="AF21" s="8" t="e">
        <v>#N/A</v>
      </c>
      <c r="AG21" s="8" t="e">
        <v>#N/A</v>
      </c>
      <c r="AH21" s="8" t="e">
        <v>#N/A</v>
      </c>
      <c r="AI21" s="8" t="e">
        <v>#N/A</v>
      </c>
      <c r="AJ21" s="8" t="e">
        <v>#N/A</v>
      </c>
      <c r="AK21" s="8" t="e">
        <v>#N/A</v>
      </c>
      <c r="AL21" s="8" t="e">
        <v>#N/A</v>
      </c>
      <c r="AM21" s="8" t="e">
        <v>#N/A</v>
      </c>
      <c r="AN21" s="8" t="e">
        <v>#N/A</v>
      </c>
      <c r="AO21" s="8" t="e">
        <v>#N/A</v>
      </c>
      <c r="AP21" s="8" t="e">
        <v>#N/A</v>
      </c>
      <c r="AQ21" s="8" t="e">
        <v>#N/A</v>
      </c>
      <c r="AR21" s="8" t="e">
        <v>#N/A</v>
      </c>
      <c r="AS21" s="8" t="e">
        <v>#N/A</v>
      </c>
      <c r="AT21" s="8" t="e">
        <v>#N/A</v>
      </c>
      <c r="AU21" s="8" t="e">
        <v>#N/A</v>
      </c>
      <c r="AV21" s="8" t="e">
        <v>#N/A</v>
      </c>
      <c r="AW21" s="8" t="e">
        <v>#N/A</v>
      </c>
      <c r="AX21" s="8"/>
    </row>
    <row r="22" spans="1:50">
      <c r="A22" s="8"/>
      <c r="B22" s="20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 t="e">
        <v>#REF!</v>
      </c>
      <c r="R22" s="11">
        <v>1</v>
      </c>
      <c r="S22" s="11">
        <v>1</v>
      </c>
      <c r="T22" s="11">
        <v>0.99</v>
      </c>
      <c r="U22" s="11">
        <v>0.98</v>
      </c>
      <c r="V22" s="11">
        <v>0.98</v>
      </c>
      <c r="W22" s="11">
        <v>0.97</v>
      </c>
      <c r="X22" s="11">
        <v>0.96</v>
      </c>
      <c r="Y22" s="11">
        <v>0.94</v>
      </c>
      <c r="Z22" s="11">
        <v>0.92</v>
      </c>
      <c r="AA22" s="11">
        <v>0.89</v>
      </c>
      <c r="AB22" s="11">
        <v>0.87</v>
      </c>
      <c r="AC22" s="11">
        <v>0.85</v>
      </c>
      <c r="AD22" s="11">
        <v>0.82</v>
      </c>
      <c r="AE22" s="11">
        <v>0.8</v>
      </c>
      <c r="AF22" s="11">
        <v>0.77</v>
      </c>
      <c r="AG22" s="11">
        <v>0.75</v>
      </c>
      <c r="AH22" s="11">
        <v>0.73</v>
      </c>
      <c r="AI22" s="11">
        <v>0.7</v>
      </c>
      <c r="AJ22" s="11">
        <v>0.68</v>
      </c>
      <c r="AK22" s="11">
        <v>0.66</v>
      </c>
      <c r="AL22" s="11">
        <v>0.64</v>
      </c>
      <c r="AM22" s="11">
        <v>0.62</v>
      </c>
      <c r="AN22" s="11">
        <v>0.6</v>
      </c>
      <c r="AO22" s="11">
        <v>0.59</v>
      </c>
      <c r="AP22" s="11">
        <v>0.57999999999999996</v>
      </c>
      <c r="AQ22" s="11">
        <v>0.56999999999999995</v>
      </c>
      <c r="AR22" s="11">
        <v>0.56000000000000005</v>
      </c>
      <c r="AS22" s="11">
        <v>0.56000000000000005</v>
      </c>
      <c r="AT22" s="11">
        <v>0.55000000000000004</v>
      </c>
      <c r="AU22" s="11">
        <v>0.55000000000000004</v>
      </c>
      <c r="AV22" s="11">
        <v>0.54</v>
      </c>
      <c r="AW22" s="11">
        <v>0.54</v>
      </c>
      <c r="AX22" s="8"/>
    </row>
    <row r="23" spans="1:50">
      <c r="A23" s="8"/>
      <c r="B23" s="21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 t="e">
        <v>#REF!</v>
      </c>
      <c r="R23" s="11">
        <v>1</v>
      </c>
      <c r="S23" s="11">
        <v>1</v>
      </c>
      <c r="T23" s="11">
        <v>0.99</v>
      </c>
      <c r="U23" s="11">
        <v>0.99</v>
      </c>
      <c r="V23" s="11">
        <v>0.98</v>
      </c>
      <c r="W23" s="11">
        <v>0.97</v>
      </c>
      <c r="X23" s="11">
        <v>0.96</v>
      </c>
      <c r="Y23" s="11">
        <v>0.94</v>
      </c>
      <c r="Z23" s="11">
        <v>0.92</v>
      </c>
      <c r="AA23" s="11">
        <v>0.89</v>
      </c>
      <c r="AB23" s="11">
        <v>0.87</v>
      </c>
      <c r="AC23" s="11">
        <v>0.84</v>
      </c>
      <c r="AD23" s="11">
        <v>0.82</v>
      </c>
      <c r="AE23" s="11">
        <v>0.79</v>
      </c>
      <c r="AF23" s="11">
        <v>0.77</v>
      </c>
      <c r="AG23" s="11">
        <v>0.74</v>
      </c>
      <c r="AH23" s="11">
        <v>0.71</v>
      </c>
      <c r="AI23" s="11">
        <v>0.69</v>
      </c>
      <c r="AJ23" s="11">
        <v>0.67</v>
      </c>
      <c r="AK23" s="11">
        <v>0.65</v>
      </c>
      <c r="AL23" s="11">
        <v>0.63</v>
      </c>
      <c r="AM23" s="11">
        <v>0.6</v>
      </c>
      <c r="AN23" s="11">
        <v>0.6</v>
      </c>
      <c r="AO23" s="11">
        <v>0.59</v>
      </c>
      <c r="AP23" s="11">
        <v>0.57999999999999996</v>
      </c>
      <c r="AQ23" s="11">
        <v>0.56999999999999995</v>
      </c>
      <c r="AR23" s="11">
        <v>0.56000000000000005</v>
      </c>
      <c r="AS23" s="11">
        <v>0.56000000000000005</v>
      </c>
      <c r="AT23" s="11">
        <v>0.56000000000000005</v>
      </c>
      <c r="AU23" s="11">
        <v>0.55000000000000004</v>
      </c>
      <c r="AV23" s="11">
        <v>0.55000000000000004</v>
      </c>
      <c r="AW23" s="11">
        <v>0.55000000000000004</v>
      </c>
      <c r="AX23" s="8"/>
    </row>
    <row r="24" spans="1:50">
      <c r="A24" s="8"/>
      <c r="B24" s="22" t="s">
        <v>29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 t="e">
        <v>#REF!</v>
      </c>
      <c r="R24" s="8" t="e">
        <v>#N/A</v>
      </c>
      <c r="S24" s="8" t="e">
        <v>#N/A</v>
      </c>
      <c r="T24" s="8" t="e">
        <v>#N/A</v>
      </c>
      <c r="U24" s="8" t="e">
        <v>#N/A</v>
      </c>
      <c r="V24" s="8" t="e">
        <v>#N/A</v>
      </c>
      <c r="W24" s="8" t="e">
        <v>#N/A</v>
      </c>
      <c r="X24" s="8" t="e">
        <v>#N/A</v>
      </c>
      <c r="Y24" s="8" t="e">
        <v>#N/A</v>
      </c>
      <c r="Z24" s="8" t="e">
        <v>#N/A</v>
      </c>
      <c r="AA24" s="8" t="e">
        <v>#N/A</v>
      </c>
      <c r="AB24" s="8" t="e">
        <v>#N/A</v>
      </c>
      <c r="AC24" s="8" t="e">
        <v>#N/A</v>
      </c>
      <c r="AD24" s="8" t="e">
        <v>#N/A</v>
      </c>
      <c r="AE24" s="8" t="e">
        <v>#N/A</v>
      </c>
      <c r="AF24" s="8" t="e">
        <v>#N/A</v>
      </c>
      <c r="AG24" s="8" t="e">
        <v>#N/A</v>
      </c>
      <c r="AH24" s="8" t="e">
        <v>#N/A</v>
      </c>
      <c r="AI24" s="8" t="e">
        <v>#N/A</v>
      </c>
      <c r="AJ24" s="8" t="e">
        <v>#N/A</v>
      </c>
      <c r="AK24" s="8" t="e">
        <v>#N/A</v>
      </c>
      <c r="AL24" s="8" t="e">
        <v>#N/A</v>
      </c>
      <c r="AM24" s="8" t="e">
        <v>#N/A</v>
      </c>
      <c r="AN24" s="8" t="e">
        <v>#N/A</v>
      </c>
      <c r="AO24" s="8" t="e">
        <v>#N/A</v>
      </c>
      <c r="AP24" s="8" t="e">
        <v>#N/A</v>
      </c>
      <c r="AQ24" s="8" t="e">
        <v>#N/A</v>
      </c>
      <c r="AR24" s="8" t="e">
        <v>#N/A</v>
      </c>
      <c r="AS24" s="8" t="e">
        <v>#N/A</v>
      </c>
      <c r="AT24" s="8" t="e">
        <v>#N/A</v>
      </c>
      <c r="AU24" s="8" t="e">
        <v>#N/A</v>
      </c>
      <c r="AV24" s="8" t="e">
        <v>#N/A</v>
      </c>
      <c r="AW24" s="8" t="e">
        <v>#N/A</v>
      </c>
      <c r="AX24" s="8"/>
    </row>
    <row r="25" spans="1:50">
      <c r="A25" s="8"/>
      <c r="B25" s="23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 t="e">
        <v>#REF!</v>
      </c>
      <c r="R25" s="11">
        <v>1</v>
      </c>
      <c r="S25" s="11">
        <v>1</v>
      </c>
      <c r="T25" s="11">
        <v>0.99</v>
      </c>
      <c r="U25" s="11">
        <v>0.99</v>
      </c>
      <c r="V25" s="11">
        <v>0.98</v>
      </c>
      <c r="W25" s="11">
        <v>0.97</v>
      </c>
      <c r="X25" s="11">
        <v>0.96</v>
      </c>
      <c r="Y25" s="11">
        <v>0.94</v>
      </c>
      <c r="Z25" s="11">
        <v>0.92</v>
      </c>
      <c r="AA25" s="11">
        <v>0.89</v>
      </c>
      <c r="AB25" s="11">
        <v>0.87</v>
      </c>
      <c r="AC25" s="11">
        <v>0.85</v>
      </c>
      <c r="AD25" s="11">
        <v>0.83</v>
      </c>
      <c r="AE25" s="11">
        <v>0.81</v>
      </c>
      <c r="AF25" s="11">
        <v>0.8</v>
      </c>
      <c r="AG25" s="11">
        <v>0.78</v>
      </c>
      <c r="AH25" s="11">
        <v>0.76</v>
      </c>
      <c r="AI25" s="11">
        <v>0.74</v>
      </c>
      <c r="AJ25" s="11">
        <v>0.72</v>
      </c>
      <c r="AK25" s="11">
        <v>0.7</v>
      </c>
      <c r="AL25" s="11">
        <v>0.68</v>
      </c>
      <c r="AM25" s="11">
        <v>0.66</v>
      </c>
      <c r="AN25" s="11">
        <v>0.65</v>
      </c>
      <c r="AO25" s="11">
        <v>0.64</v>
      </c>
      <c r="AP25" s="11">
        <v>0.63</v>
      </c>
      <c r="AQ25" s="11">
        <v>0.62</v>
      </c>
      <c r="AR25" s="11">
        <v>0.61</v>
      </c>
      <c r="AS25" s="11">
        <v>0.61</v>
      </c>
      <c r="AT25" s="11">
        <v>0.61</v>
      </c>
      <c r="AU25" s="11">
        <v>0.61</v>
      </c>
      <c r="AV25" s="11">
        <v>0.61</v>
      </c>
      <c r="AW25" s="11">
        <v>0.6</v>
      </c>
      <c r="AX25" s="8"/>
    </row>
    <row r="26" spans="1:50">
      <c r="A26" s="8"/>
      <c r="B26" s="24"/>
      <c r="C26" s="8"/>
      <c r="D26" s="8"/>
      <c r="E26" s="12" t="s">
        <v>30</v>
      </c>
      <c r="F26" s="12"/>
      <c r="G26" s="8"/>
      <c r="H26" s="8"/>
      <c r="I26" s="8"/>
      <c r="J26" s="8"/>
      <c r="K26" s="8"/>
      <c r="L26" s="8"/>
      <c r="M26" s="8"/>
      <c r="N26" s="8"/>
      <c r="O26" s="8"/>
      <c r="P26" s="8"/>
      <c r="Q26" s="8" t="e">
        <v>#REF!</v>
      </c>
      <c r="R26" s="11">
        <v>1</v>
      </c>
      <c r="S26" s="11">
        <v>1</v>
      </c>
      <c r="T26" s="11">
        <v>0.99</v>
      </c>
      <c r="U26" s="11">
        <v>0.99</v>
      </c>
      <c r="V26" s="11">
        <v>0.98</v>
      </c>
      <c r="W26" s="11">
        <v>0.97</v>
      </c>
      <c r="X26" s="11">
        <v>0.96</v>
      </c>
      <c r="Y26" s="11">
        <v>0.94</v>
      </c>
      <c r="Z26" s="11">
        <v>0.92</v>
      </c>
      <c r="AA26" s="11">
        <v>0.89</v>
      </c>
      <c r="AB26" s="11">
        <v>0.87</v>
      </c>
      <c r="AC26" s="11">
        <v>0.85</v>
      </c>
      <c r="AD26" s="11">
        <v>0.83</v>
      </c>
      <c r="AE26" s="11">
        <v>0.81</v>
      </c>
      <c r="AF26" s="11">
        <v>0.8</v>
      </c>
      <c r="AG26" s="11">
        <v>0.78</v>
      </c>
      <c r="AH26" s="11">
        <v>0.76</v>
      </c>
      <c r="AI26" s="11">
        <v>0.74</v>
      </c>
      <c r="AJ26" s="11">
        <v>0.72</v>
      </c>
      <c r="AK26" s="11">
        <v>0.7</v>
      </c>
      <c r="AL26" s="11">
        <v>0.68</v>
      </c>
      <c r="AM26" s="11">
        <v>0.66</v>
      </c>
      <c r="AN26" s="11">
        <v>0.65</v>
      </c>
      <c r="AO26" s="11">
        <v>0.64</v>
      </c>
      <c r="AP26" s="11">
        <v>0.63</v>
      </c>
      <c r="AQ26" s="11">
        <v>0.62</v>
      </c>
      <c r="AR26" s="11">
        <v>0.61</v>
      </c>
      <c r="AS26" s="11">
        <v>0.61</v>
      </c>
      <c r="AT26" s="11">
        <v>0.61</v>
      </c>
      <c r="AU26" s="11">
        <v>0.61</v>
      </c>
      <c r="AV26" s="11">
        <v>0.61</v>
      </c>
      <c r="AW26" s="11">
        <v>0.6</v>
      </c>
      <c r="AX26" s="8"/>
    </row>
    <row r="27" spans="1:50">
      <c r="A27" s="8"/>
      <c r="B27" s="25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 t="e">
        <v>#REF!</v>
      </c>
      <c r="R27" s="11">
        <v>1</v>
      </c>
      <c r="S27" s="11">
        <v>1.01</v>
      </c>
      <c r="T27" s="11">
        <v>0.99</v>
      </c>
      <c r="U27" s="11">
        <v>0.98</v>
      </c>
      <c r="V27" s="11">
        <v>0.96</v>
      </c>
      <c r="W27" s="11">
        <v>0.95</v>
      </c>
      <c r="X27" s="11">
        <v>0.94</v>
      </c>
      <c r="Y27" s="11">
        <v>0.92</v>
      </c>
      <c r="Z27" s="11">
        <v>0.91</v>
      </c>
      <c r="AA27" s="11">
        <v>0.89</v>
      </c>
      <c r="AB27" s="11">
        <v>0.88</v>
      </c>
      <c r="AC27" s="11">
        <v>0.87</v>
      </c>
      <c r="AD27" s="11">
        <v>0.85</v>
      </c>
      <c r="AE27" s="11">
        <v>0.84</v>
      </c>
      <c r="AF27" s="11">
        <v>0.82</v>
      </c>
      <c r="AG27" s="11">
        <v>0.81</v>
      </c>
      <c r="AH27" s="11">
        <v>0.79</v>
      </c>
      <c r="AI27" s="11">
        <v>0.78</v>
      </c>
      <c r="AJ27" s="11">
        <v>0.78</v>
      </c>
      <c r="AK27" s="11">
        <v>0.77</v>
      </c>
      <c r="AL27" s="11">
        <v>0.76</v>
      </c>
      <c r="AM27" s="11">
        <v>0.75</v>
      </c>
      <c r="AN27" s="11">
        <v>0.75</v>
      </c>
      <c r="AO27" s="11">
        <v>0.75</v>
      </c>
      <c r="AP27" s="11">
        <v>0.75</v>
      </c>
      <c r="AQ27" s="11">
        <v>0.75</v>
      </c>
      <c r="AR27" s="11">
        <v>0.75</v>
      </c>
      <c r="AS27" s="11">
        <v>0.75</v>
      </c>
      <c r="AT27" s="11">
        <v>0.75</v>
      </c>
      <c r="AU27" s="11">
        <v>0.76</v>
      </c>
      <c r="AV27" s="11">
        <v>0.76</v>
      </c>
      <c r="AW27" s="11">
        <v>0.76</v>
      </c>
      <c r="AX27" s="8"/>
    </row>
    <row r="28" spans="1:50">
      <c r="A28" s="8"/>
      <c r="B28" s="26"/>
      <c r="C28" s="8"/>
      <c r="D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 t="e">
        <v>#REF!</v>
      </c>
      <c r="R28" s="8" t="e">
        <v>#N/A</v>
      </c>
      <c r="S28" s="8" t="e">
        <v>#N/A</v>
      </c>
      <c r="T28" s="8" t="e">
        <v>#N/A</v>
      </c>
      <c r="U28" s="8" t="e">
        <v>#N/A</v>
      </c>
      <c r="V28" s="8" t="e">
        <v>#N/A</v>
      </c>
      <c r="W28" s="8" t="e">
        <v>#N/A</v>
      </c>
      <c r="X28" s="8" t="e">
        <v>#N/A</v>
      </c>
      <c r="Y28" s="8" t="e">
        <v>#N/A</v>
      </c>
      <c r="Z28" s="8" t="e">
        <v>#N/A</v>
      </c>
      <c r="AA28" s="8" t="e">
        <v>#N/A</v>
      </c>
      <c r="AB28" s="8" t="e">
        <v>#N/A</v>
      </c>
      <c r="AC28" s="8" t="e">
        <v>#N/A</v>
      </c>
      <c r="AD28" s="8" t="e">
        <v>#N/A</v>
      </c>
      <c r="AE28" s="8" t="e">
        <v>#N/A</v>
      </c>
      <c r="AF28" s="8" t="e">
        <v>#N/A</v>
      </c>
      <c r="AG28" s="8" t="e">
        <v>#N/A</v>
      </c>
      <c r="AH28" s="8" t="e">
        <v>#N/A</v>
      </c>
      <c r="AI28" s="8" t="e">
        <v>#N/A</v>
      </c>
      <c r="AJ28" s="8" t="e">
        <v>#N/A</v>
      </c>
      <c r="AK28" s="8" t="e">
        <v>#N/A</v>
      </c>
      <c r="AL28" s="8" t="e">
        <v>#N/A</v>
      </c>
      <c r="AM28" s="8" t="e">
        <v>#N/A</v>
      </c>
      <c r="AN28" s="8" t="e">
        <v>#N/A</v>
      </c>
      <c r="AO28" s="8" t="e">
        <v>#N/A</v>
      </c>
      <c r="AP28" s="8" t="e">
        <v>#N/A</v>
      </c>
      <c r="AQ28" s="8" t="e">
        <v>#N/A</v>
      </c>
      <c r="AR28" s="8" t="e">
        <v>#N/A</v>
      </c>
      <c r="AS28" s="8" t="e">
        <v>#N/A</v>
      </c>
      <c r="AT28" s="8" t="e">
        <v>#N/A</v>
      </c>
      <c r="AU28" s="8" t="e">
        <v>#N/A</v>
      </c>
      <c r="AV28" s="8" t="e">
        <v>#N/A</v>
      </c>
      <c r="AW28" s="8" t="e">
        <v>#N/A</v>
      </c>
      <c r="AX28" s="8"/>
    </row>
    <row r="29" spans="1:50">
      <c r="A29" s="8"/>
      <c r="B29" s="2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 t="e">
        <v>#REF!</v>
      </c>
      <c r="R29" s="8" t="e">
        <v>#N/A</v>
      </c>
      <c r="S29" s="8" t="e">
        <v>#N/A</v>
      </c>
      <c r="T29" s="8" t="e">
        <v>#N/A</v>
      </c>
      <c r="U29" s="8" t="e">
        <v>#N/A</v>
      </c>
      <c r="V29" s="8" t="e">
        <v>#N/A</v>
      </c>
      <c r="W29" s="8" t="e">
        <v>#N/A</v>
      </c>
      <c r="X29" s="8" t="e">
        <v>#N/A</v>
      </c>
      <c r="Y29" s="8" t="e">
        <v>#N/A</v>
      </c>
      <c r="Z29" s="8" t="e">
        <v>#N/A</v>
      </c>
      <c r="AA29" s="8" t="e">
        <v>#N/A</v>
      </c>
      <c r="AB29" s="8" t="e">
        <v>#N/A</v>
      </c>
      <c r="AC29" s="8" t="e">
        <v>#N/A</v>
      </c>
      <c r="AD29" s="8" t="e">
        <v>#N/A</v>
      </c>
      <c r="AE29" s="8" t="e">
        <v>#N/A</v>
      </c>
      <c r="AF29" s="8" t="e">
        <v>#N/A</v>
      </c>
      <c r="AG29" s="8" t="e">
        <v>#N/A</v>
      </c>
      <c r="AH29" s="8" t="e">
        <v>#N/A</v>
      </c>
      <c r="AI29" s="8" t="e">
        <v>#N/A</v>
      </c>
      <c r="AJ29" s="8" t="e">
        <v>#N/A</v>
      </c>
      <c r="AK29" s="8" t="e">
        <v>#N/A</v>
      </c>
      <c r="AL29" s="8" t="e">
        <v>#N/A</v>
      </c>
      <c r="AM29" s="8" t="e">
        <v>#N/A</v>
      </c>
      <c r="AN29" s="8" t="e">
        <v>#N/A</v>
      </c>
      <c r="AO29" s="8" t="e">
        <v>#N/A</v>
      </c>
      <c r="AP29" s="8" t="e">
        <v>#N/A</v>
      </c>
      <c r="AQ29" s="8" t="e">
        <v>#N/A</v>
      </c>
      <c r="AR29" s="8" t="e">
        <v>#N/A</v>
      </c>
      <c r="AS29" s="8" t="e">
        <v>#N/A</v>
      </c>
      <c r="AT29" s="8" t="e">
        <v>#N/A</v>
      </c>
      <c r="AU29" s="8" t="e">
        <v>#N/A</v>
      </c>
      <c r="AV29" s="8" t="e">
        <v>#N/A</v>
      </c>
      <c r="AW29" s="8" t="e">
        <v>#N/A</v>
      </c>
      <c r="AX29" s="8"/>
    </row>
    <row r="30" spans="1:5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 t="e">
        <v>#REF!</v>
      </c>
      <c r="R30" s="11">
        <v>1</v>
      </c>
      <c r="S30" s="11">
        <v>1</v>
      </c>
      <c r="T30" s="11">
        <v>0.99</v>
      </c>
      <c r="U30" s="11">
        <v>0.99</v>
      </c>
      <c r="V30" s="11">
        <v>0.98</v>
      </c>
      <c r="W30" s="11">
        <v>0.97</v>
      </c>
      <c r="X30" s="11">
        <v>0.96</v>
      </c>
      <c r="Y30" s="11">
        <v>0.94</v>
      </c>
      <c r="Z30" s="11">
        <v>0.92</v>
      </c>
      <c r="AA30" s="11">
        <v>0.89</v>
      </c>
      <c r="AB30" s="11">
        <v>0.87</v>
      </c>
      <c r="AC30" s="11">
        <v>0.85</v>
      </c>
      <c r="AD30" s="11">
        <v>0.83</v>
      </c>
      <c r="AE30" s="11">
        <v>0.81</v>
      </c>
      <c r="AF30" s="11">
        <v>0.8</v>
      </c>
      <c r="AG30" s="11">
        <v>0.78</v>
      </c>
      <c r="AH30" s="11">
        <v>0.76</v>
      </c>
      <c r="AI30" s="11">
        <v>0.74</v>
      </c>
      <c r="AJ30" s="11">
        <v>0.72</v>
      </c>
      <c r="AK30" s="11">
        <v>0.7</v>
      </c>
      <c r="AL30" s="11">
        <v>0.68</v>
      </c>
      <c r="AM30" s="11">
        <v>0.65</v>
      </c>
      <c r="AN30" s="11">
        <v>0.65</v>
      </c>
      <c r="AO30" s="11">
        <v>0.64</v>
      </c>
      <c r="AP30" s="11">
        <v>0.63</v>
      </c>
      <c r="AQ30" s="11">
        <v>0.62</v>
      </c>
      <c r="AR30" s="11">
        <v>0.61</v>
      </c>
      <c r="AS30" s="11">
        <v>0.61</v>
      </c>
      <c r="AT30" s="11">
        <v>0.6</v>
      </c>
      <c r="AU30" s="11">
        <v>0.6</v>
      </c>
      <c r="AV30" s="11">
        <v>0.6</v>
      </c>
      <c r="AW30" s="11">
        <v>0.59</v>
      </c>
      <c r="AX30" s="8"/>
    </row>
    <row r="31" spans="1:50">
      <c r="A31" s="9" t="s">
        <v>31</v>
      </c>
      <c r="B31" s="8" t="s">
        <v>32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 t="e">
        <v>#REF!</v>
      </c>
      <c r="R31" s="11">
        <v>1</v>
      </c>
      <c r="S31" s="11">
        <v>1</v>
      </c>
      <c r="T31" s="11">
        <v>0.99</v>
      </c>
      <c r="U31" s="11">
        <v>0.99</v>
      </c>
      <c r="V31" s="11">
        <v>0.98</v>
      </c>
      <c r="W31" s="11">
        <v>0.97</v>
      </c>
      <c r="X31" s="11">
        <v>0.96</v>
      </c>
      <c r="Y31" s="11">
        <v>0.94</v>
      </c>
      <c r="Z31" s="11">
        <v>0.92</v>
      </c>
      <c r="AA31" s="11">
        <v>0.89</v>
      </c>
      <c r="AB31" s="11">
        <v>0.87</v>
      </c>
      <c r="AC31" s="11">
        <v>0.85</v>
      </c>
      <c r="AD31" s="11">
        <v>0.83</v>
      </c>
      <c r="AE31" s="11">
        <v>0.8</v>
      </c>
      <c r="AF31" s="11">
        <v>0.78</v>
      </c>
      <c r="AG31" s="11">
        <v>0.76</v>
      </c>
      <c r="AH31" s="11">
        <v>0.73</v>
      </c>
      <c r="AI31" s="11">
        <v>0.71</v>
      </c>
      <c r="AJ31" s="11">
        <v>0.69</v>
      </c>
      <c r="AK31" s="11">
        <v>0.66</v>
      </c>
      <c r="AL31" s="11">
        <v>0.64</v>
      </c>
      <c r="AM31" s="11">
        <v>0.62</v>
      </c>
      <c r="AN31" s="11">
        <v>0.61</v>
      </c>
      <c r="AO31" s="11">
        <v>0.6</v>
      </c>
      <c r="AP31" s="11">
        <v>0.6</v>
      </c>
      <c r="AQ31" s="11">
        <v>0.59</v>
      </c>
      <c r="AR31" s="11">
        <v>0.59</v>
      </c>
      <c r="AS31" s="11">
        <v>0.57999999999999996</v>
      </c>
      <c r="AT31" s="11">
        <v>0.57999999999999996</v>
      </c>
      <c r="AU31" s="11">
        <v>0.57999999999999996</v>
      </c>
      <c r="AV31" s="11">
        <v>0.57999999999999996</v>
      </c>
      <c r="AW31" s="11">
        <v>0.57999999999999996</v>
      </c>
      <c r="AX31" s="8"/>
    </row>
    <row r="32" spans="1:50">
      <c r="A32" s="9" t="s">
        <v>33</v>
      </c>
      <c r="B32" s="8" t="s">
        <v>34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 t="e">
        <v>#REF!</v>
      </c>
      <c r="R32" s="11">
        <v>1</v>
      </c>
      <c r="S32" s="11">
        <v>1</v>
      </c>
      <c r="T32" s="11">
        <v>0.99</v>
      </c>
      <c r="U32" s="11">
        <v>0.99</v>
      </c>
      <c r="V32" s="11">
        <v>0.98</v>
      </c>
      <c r="W32" s="11">
        <v>0.97</v>
      </c>
      <c r="X32" s="11">
        <v>0.96</v>
      </c>
      <c r="Y32" s="11">
        <v>0.94</v>
      </c>
      <c r="Z32" s="11">
        <v>0.92</v>
      </c>
      <c r="AA32" s="11">
        <v>0.89</v>
      </c>
      <c r="AB32" s="11">
        <v>0.87</v>
      </c>
      <c r="AC32" s="11">
        <v>0.85</v>
      </c>
      <c r="AD32" s="11">
        <v>0.82</v>
      </c>
      <c r="AE32" s="11">
        <v>0.79</v>
      </c>
      <c r="AF32" s="11">
        <v>0.76</v>
      </c>
      <c r="AG32" s="11">
        <v>0.73</v>
      </c>
      <c r="AH32" s="11">
        <v>0.7</v>
      </c>
      <c r="AI32" s="11">
        <v>0.68</v>
      </c>
      <c r="AJ32" s="11">
        <v>0.66</v>
      </c>
      <c r="AK32" s="11">
        <v>0.64</v>
      </c>
      <c r="AL32" s="11">
        <v>0.62</v>
      </c>
      <c r="AM32" s="11">
        <v>0.6</v>
      </c>
      <c r="AN32" s="11">
        <v>0.6</v>
      </c>
      <c r="AO32" s="11">
        <v>0.6</v>
      </c>
      <c r="AP32" s="11">
        <v>0.59</v>
      </c>
      <c r="AQ32" s="11">
        <v>0.59</v>
      </c>
      <c r="AR32" s="11">
        <v>0.59</v>
      </c>
      <c r="AS32" s="11">
        <v>0.59</v>
      </c>
      <c r="AT32" s="11">
        <v>0.59</v>
      </c>
      <c r="AU32" s="11">
        <v>0.6</v>
      </c>
      <c r="AV32" s="11">
        <v>0.6</v>
      </c>
      <c r="AW32" s="11">
        <v>0.6</v>
      </c>
      <c r="AX32" s="8"/>
    </row>
    <row r="33" spans="1:50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 t="e">
        <v>#REF!</v>
      </c>
      <c r="R33" s="11">
        <v>1</v>
      </c>
      <c r="S33" s="11">
        <v>1</v>
      </c>
      <c r="T33" s="11">
        <v>0.99</v>
      </c>
      <c r="U33" s="11">
        <v>0.99</v>
      </c>
      <c r="V33" s="11">
        <v>0.98</v>
      </c>
      <c r="W33" s="11">
        <v>0.97</v>
      </c>
      <c r="X33" s="11">
        <v>0.97</v>
      </c>
      <c r="Y33" s="11">
        <v>0.96</v>
      </c>
      <c r="Z33" s="11">
        <v>0.95</v>
      </c>
      <c r="AA33" s="11">
        <v>0.94</v>
      </c>
      <c r="AB33" s="11">
        <v>0.94</v>
      </c>
      <c r="AC33" s="11">
        <v>0.93</v>
      </c>
      <c r="AD33" s="11">
        <v>0.92</v>
      </c>
      <c r="AE33" s="11">
        <v>0.9</v>
      </c>
      <c r="AF33" s="11">
        <v>0.89</v>
      </c>
      <c r="AG33" s="11">
        <v>0.88</v>
      </c>
      <c r="AH33" s="11">
        <v>0.87</v>
      </c>
      <c r="AI33" s="11">
        <v>0.85</v>
      </c>
      <c r="AJ33" s="11">
        <v>0.83</v>
      </c>
      <c r="AK33" s="11">
        <v>0.81</v>
      </c>
      <c r="AL33" s="11">
        <v>0.8</v>
      </c>
      <c r="AM33" s="11">
        <v>0.78</v>
      </c>
      <c r="AN33" s="11">
        <v>0.77</v>
      </c>
      <c r="AO33" s="11">
        <v>0.76</v>
      </c>
      <c r="AP33" s="11">
        <v>0.76</v>
      </c>
      <c r="AQ33" s="11">
        <v>0.75</v>
      </c>
      <c r="AR33" s="11">
        <v>0.74</v>
      </c>
      <c r="AS33" s="11">
        <v>0.74</v>
      </c>
      <c r="AT33" s="11">
        <v>0.73</v>
      </c>
      <c r="AU33" s="11">
        <v>0.72</v>
      </c>
      <c r="AV33" s="11">
        <v>0.72</v>
      </c>
      <c r="AW33" s="11">
        <v>0.71</v>
      </c>
      <c r="AX33" s="8"/>
    </row>
    <row r="34" spans="1:50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 t="e">
        <v>#REF!</v>
      </c>
      <c r="R34" s="11">
        <v>1</v>
      </c>
      <c r="S34" s="11">
        <v>1</v>
      </c>
      <c r="T34" s="11">
        <v>0.99</v>
      </c>
      <c r="U34" s="11">
        <v>0.99</v>
      </c>
      <c r="V34" s="11">
        <v>0.98</v>
      </c>
      <c r="W34" s="11">
        <v>0.98</v>
      </c>
      <c r="X34" s="11">
        <v>0.97</v>
      </c>
      <c r="Y34" s="11">
        <v>0.96</v>
      </c>
      <c r="Z34" s="11">
        <v>0.95</v>
      </c>
      <c r="AA34" s="11">
        <v>0.95</v>
      </c>
      <c r="AB34" s="11">
        <v>0.94</v>
      </c>
      <c r="AC34" s="11">
        <v>0.93</v>
      </c>
      <c r="AD34" s="11">
        <v>0.92</v>
      </c>
      <c r="AE34" s="11">
        <v>0.91</v>
      </c>
      <c r="AF34" s="11">
        <v>0.9</v>
      </c>
      <c r="AG34" s="11">
        <v>0.89</v>
      </c>
      <c r="AH34" s="11">
        <v>0.87</v>
      </c>
      <c r="AI34" s="11">
        <v>0.86</v>
      </c>
      <c r="AJ34" s="11">
        <v>0.84</v>
      </c>
      <c r="AK34" s="11">
        <v>0.82</v>
      </c>
      <c r="AL34" s="11">
        <v>0.8</v>
      </c>
      <c r="AM34" s="11">
        <v>0.78</v>
      </c>
      <c r="AN34" s="11">
        <v>0.78</v>
      </c>
      <c r="AO34" s="11">
        <v>0.77</v>
      </c>
      <c r="AP34" s="11">
        <v>0.76</v>
      </c>
      <c r="AQ34" s="11">
        <v>0.76</v>
      </c>
      <c r="AR34" s="11">
        <v>0.75</v>
      </c>
      <c r="AS34" s="11">
        <v>0.74</v>
      </c>
      <c r="AT34" s="11">
        <v>0.74</v>
      </c>
      <c r="AU34" s="11">
        <v>0.73</v>
      </c>
      <c r="AV34" s="11">
        <v>0.72</v>
      </c>
      <c r="AW34" s="11">
        <v>0.71</v>
      </c>
      <c r="AX34" s="8"/>
    </row>
    <row r="35" spans="1:50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 t="e">
        <v>#REF!</v>
      </c>
      <c r="R35" s="11">
        <v>1</v>
      </c>
      <c r="S35" s="11">
        <v>1</v>
      </c>
      <c r="T35" s="11">
        <v>0.99</v>
      </c>
      <c r="U35" s="11">
        <v>0.99</v>
      </c>
      <c r="V35" s="11">
        <v>0.98</v>
      </c>
      <c r="W35" s="11">
        <v>0.98</v>
      </c>
      <c r="X35" s="11">
        <v>0.97</v>
      </c>
      <c r="Y35" s="11">
        <v>0.97</v>
      </c>
      <c r="Z35" s="11">
        <v>0.96</v>
      </c>
      <c r="AA35" s="11">
        <v>0.95</v>
      </c>
      <c r="AB35" s="11">
        <v>0.95</v>
      </c>
      <c r="AC35" s="11">
        <v>0.94</v>
      </c>
      <c r="AD35" s="11">
        <v>0.93</v>
      </c>
      <c r="AE35" s="11">
        <v>0.92</v>
      </c>
      <c r="AF35" s="11">
        <v>0.9</v>
      </c>
      <c r="AG35" s="11">
        <v>0.89</v>
      </c>
      <c r="AH35" s="11">
        <v>0.88</v>
      </c>
      <c r="AI35" s="11">
        <v>0.86</v>
      </c>
      <c r="AJ35" s="11">
        <v>0.85</v>
      </c>
      <c r="AK35" s="11">
        <v>0.83</v>
      </c>
      <c r="AL35" s="11">
        <v>0.81</v>
      </c>
      <c r="AM35" s="11">
        <v>0.79</v>
      </c>
      <c r="AN35" s="11">
        <v>0.78</v>
      </c>
      <c r="AO35" s="11">
        <v>0.78</v>
      </c>
      <c r="AP35" s="11">
        <v>0.77</v>
      </c>
      <c r="AQ35" s="11">
        <v>0.76</v>
      </c>
      <c r="AR35" s="11">
        <v>0.75</v>
      </c>
      <c r="AS35" s="11">
        <v>0.75</v>
      </c>
      <c r="AT35" s="11">
        <v>0.74</v>
      </c>
      <c r="AU35" s="11">
        <v>0.73</v>
      </c>
      <c r="AV35" s="11">
        <v>0.72</v>
      </c>
      <c r="AW35" s="11">
        <v>0.71</v>
      </c>
      <c r="AX35" s="8"/>
    </row>
    <row r="36" spans="1:50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 t="e">
        <v>#REF!</v>
      </c>
      <c r="R36" s="11">
        <v>1</v>
      </c>
      <c r="S36" s="11">
        <v>1</v>
      </c>
      <c r="T36" s="11">
        <v>0.99</v>
      </c>
      <c r="U36" s="11">
        <v>0.99</v>
      </c>
      <c r="V36" s="11">
        <v>0.98</v>
      </c>
      <c r="W36" s="11">
        <v>0.97</v>
      </c>
      <c r="X36" s="11">
        <v>0.97</v>
      </c>
      <c r="Y36" s="11">
        <v>0.96</v>
      </c>
      <c r="Z36" s="11">
        <v>0.95</v>
      </c>
      <c r="AA36" s="11">
        <v>0.94</v>
      </c>
      <c r="AB36" s="11">
        <v>0.93</v>
      </c>
      <c r="AC36" s="11">
        <v>0.92</v>
      </c>
      <c r="AD36" s="11">
        <v>0.91</v>
      </c>
      <c r="AE36" s="11">
        <v>0.9</v>
      </c>
      <c r="AF36" s="11">
        <v>0.89</v>
      </c>
      <c r="AG36" s="11">
        <v>0.88</v>
      </c>
      <c r="AH36" s="11">
        <v>0.86</v>
      </c>
      <c r="AI36" s="11">
        <v>0.85</v>
      </c>
      <c r="AJ36" s="11">
        <v>0.83</v>
      </c>
      <c r="AK36" s="11">
        <v>0.81</v>
      </c>
      <c r="AL36" s="11">
        <v>0.79</v>
      </c>
      <c r="AM36" s="11">
        <v>0.77</v>
      </c>
      <c r="AN36" s="11">
        <v>0.77</v>
      </c>
      <c r="AO36" s="11">
        <v>0.76</v>
      </c>
      <c r="AP36" s="11">
        <v>0.75</v>
      </c>
      <c r="AQ36" s="11">
        <v>0.75</v>
      </c>
      <c r="AR36" s="11">
        <v>0.74</v>
      </c>
      <c r="AS36" s="11">
        <v>0.73</v>
      </c>
      <c r="AT36" s="11">
        <v>0.73</v>
      </c>
      <c r="AU36" s="11">
        <v>0.72</v>
      </c>
      <c r="AV36" s="11">
        <v>0.71</v>
      </c>
      <c r="AW36" s="11">
        <v>0.71</v>
      </c>
      <c r="AX36" s="8"/>
    </row>
    <row r="37" spans="1:50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 t="e">
        <v>#REF!</v>
      </c>
      <c r="R37" s="11">
        <v>1</v>
      </c>
      <c r="S37" s="11">
        <v>1</v>
      </c>
      <c r="T37" s="11">
        <v>0.98</v>
      </c>
      <c r="U37" s="11">
        <v>0.96</v>
      </c>
      <c r="V37" s="11">
        <v>0.95</v>
      </c>
      <c r="W37" s="11">
        <v>0.93</v>
      </c>
      <c r="X37" s="11">
        <v>0.91</v>
      </c>
      <c r="Y37" s="11">
        <v>0.9</v>
      </c>
      <c r="Z37" s="11">
        <v>0.89</v>
      </c>
      <c r="AA37" s="11">
        <v>0.88</v>
      </c>
      <c r="AB37" s="11">
        <v>0.87</v>
      </c>
      <c r="AC37" s="11">
        <v>0.86</v>
      </c>
      <c r="AD37" s="11">
        <v>0.84</v>
      </c>
      <c r="AE37" s="11">
        <v>0.83</v>
      </c>
      <c r="AF37" s="11">
        <v>0.82</v>
      </c>
      <c r="AG37" s="11">
        <v>0.8</v>
      </c>
      <c r="AH37" s="11">
        <v>0.79</v>
      </c>
      <c r="AI37" s="11">
        <v>0.77</v>
      </c>
      <c r="AJ37" s="11">
        <v>0.75</v>
      </c>
      <c r="AK37" s="11">
        <v>0.72</v>
      </c>
      <c r="AL37" s="11">
        <v>0.7</v>
      </c>
      <c r="AM37" s="11">
        <v>0.68</v>
      </c>
      <c r="AN37" s="11">
        <v>0.67</v>
      </c>
      <c r="AO37" s="11">
        <v>0.66</v>
      </c>
      <c r="AP37" s="11">
        <v>0.65</v>
      </c>
      <c r="AQ37" s="11">
        <v>0.64</v>
      </c>
      <c r="AR37" s="11">
        <v>0.63</v>
      </c>
      <c r="AS37" s="11">
        <v>0.63</v>
      </c>
      <c r="AT37" s="11">
        <v>0.62</v>
      </c>
      <c r="AU37" s="11">
        <v>0.61</v>
      </c>
      <c r="AV37" s="11">
        <v>0.61</v>
      </c>
      <c r="AW37" s="11">
        <v>0.6</v>
      </c>
      <c r="AX37" s="8"/>
    </row>
    <row r="38" spans="1:50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 t="e">
        <v>#REF!</v>
      </c>
      <c r="R38" s="11">
        <v>1</v>
      </c>
      <c r="S38" s="11">
        <v>1</v>
      </c>
      <c r="T38" s="11">
        <v>0.99</v>
      </c>
      <c r="U38" s="11">
        <v>0.98</v>
      </c>
      <c r="V38" s="11">
        <v>0.96</v>
      </c>
      <c r="W38" s="11">
        <v>0.95</v>
      </c>
      <c r="X38" s="11">
        <v>0.94</v>
      </c>
      <c r="Y38" s="11">
        <v>0.92</v>
      </c>
      <c r="Z38" s="11">
        <v>0.91</v>
      </c>
      <c r="AA38" s="11">
        <v>0.89</v>
      </c>
      <c r="AB38" s="11">
        <v>0.88</v>
      </c>
      <c r="AC38" s="11">
        <v>0.86</v>
      </c>
      <c r="AD38" s="11">
        <v>0.85</v>
      </c>
      <c r="AE38" s="11">
        <v>0.83</v>
      </c>
      <c r="AF38" s="11">
        <v>0.81</v>
      </c>
      <c r="AG38" s="11">
        <v>0.8</v>
      </c>
      <c r="AH38" s="11">
        <v>0.78</v>
      </c>
      <c r="AI38" s="11">
        <v>0.78</v>
      </c>
      <c r="AJ38" s="11">
        <v>0.77</v>
      </c>
      <c r="AK38" s="11">
        <v>0.76</v>
      </c>
      <c r="AL38" s="11">
        <v>0.76</v>
      </c>
      <c r="AM38" s="11">
        <v>0.75</v>
      </c>
      <c r="AN38" s="11">
        <v>0.75</v>
      </c>
      <c r="AO38" s="11">
        <v>0.75</v>
      </c>
      <c r="AP38" s="11">
        <v>0.75</v>
      </c>
      <c r="AQ38" s="11">
        <v>0.75</v>
      </c>
      <c r="AR38" s="11">
        <v>0.75</v>
      </c>
      <c r="AS38" s="11">
        <v>0.75</v>
      </c>
      <c r="AT38" s="11">
        <v>0.75</v>
      </c>
      <c r="AU38" s="11">
        <v>0.75</v>
      </c>
      <c r="AV38" s="11">
        <v>0.75</v>
      </c>
      <c r="AW38" s="11">
        <v>0.76</v>
      </c>
      <c r="AX38" s="8"/>
    </row>
    <row r="39" spans="1:50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 t="e">
        <v>#REF!</v>
      </c>
      <c r="R39" s="11">
        <v>1</v>
      </c>
      <c r="S39" s="11">
        <v>0.99</v>
      </c>
      <c r="T39" s="11">
        <v>0.97</v>
      </c>
      <c r="U39" s="11">
        <v>0.95</v>
      </c>
      <c r="V39" s="11">
        <v>0.93</v>
      </c>
      <c r="W39" s="11">
        <v>0.91</v>
      </c>
      <c r="X39" s="11">
        <v>0.89</v>
      </c>
      <c r="Y39" s="11">
        <v>0.88</v>
      </c>
      <c r="Z39" s="11">
        <v>0.87</v>
      </c>
      <c r="AA39" s="11">
        <v>0.85</v>
      </c>
      <c r="AB39" s="11">
        <v>0.84</v>
      </c>
      <c r="AC39" s="11">
        <v>0.83</v>
      </c>
      <c r="AD39" s="11">
        <v>0.81</v>
      </c>
      <c r="AE39" s="11">
        <v>0.79</v>
      </c>
      <c r="AF39" s="11">
        <v>0.77</v>
      </c>
      <c r="AG39" s="11">
        <v>0.76</v>
      </c>
      <c r="AH39" s="11">
        <v>0.74</v>
      </c>
      <c r="AI39" s="11">
        <v>0.72</v>
      </c>
      <c r="AJ39" s="11">
        <v>0.71</v>
      </c>
      <c r="AK39" s="11">
        <v>0.69</v>
      </c>
      <c r="AL39" s="11">
        <v>0.68</v>
      </c>
      <c r="AM39" s="11">
        <v>0.66</v>
      </c>
      <c r="AN39" s="11">
        <v>0.65</v>
      </c>
      <c r="AO39" s="11">
        <v>0.64</v>
      </c>
      <c r="AP39" s="11">
        <v>0.64</v>
      </c>
      <c r="AQ39" s="11">
        <v>0.63</v>
      </c>
      <c r="AR39" s="11">
        <v>0.62</v>
      </c>
      <c r="AS39" s="11">
        <v>0.62</v>
      </c>
      <c r="AT39" s="11">
        <v>0.61</v>
      </c>
      <c r="AU39" s="11">
        <v>0.61</v>
      </c>
      <c r="AV39" s="11">
        <v>0.6</v>
      </c>
      <c r="AW39" s="11">
        <v>0.6</v>
      </c>
      <c r="AX39" s="8"/>
    </row>
    <row r="40" spans="1:5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 t="e">
        <v>#REF!</v>
      </c>
      <c r="R40" s="11">
        <v>1</v>
      </c>
      <c r="S40" s="11">
        <v>1</v>
      </c>
      <c r="T40" s="11">
        <v>0.99</v>
      </c>
      <c r="U40" s="11">
        <v>0.97</v>
      </c>
      <c r="V40" s="11">
        <v>0.96</v>
      </c>
      <c r="W40" s="11">
        <v>0.95</v>
      </c>
      <c r="X40" s="11">
        <v>0.94</v>
      </c>
      <c r="Y40" s="11">
        <v>0.93</v>
      </c>
      <c r="Z40" s="11">
        <v>0.91</v>
      </c>
      <c r="AA40" s="11">
        <v>0.9</v>
      </c>
      <c r="AB40" s="11">
        <v>0.88</v>
      </c>
      <c r="AC40" s="11">
        <v>0.87</v>
      </c>
      <c r="AD40" s="11">
        <v>0.85</v>
      </c>
      <c r="AE40" s="11">
        <v>0.83</v>
      </c>
      <c r="AF40" s="11">
        <v>0.81</v>
      </c>
      <c r="AG40" s="11">
        <v>0.79</v>
      </c>
      <c r="AH40" s="11">
        <v>0.77</v>
      </c>
      <c r="AI40" s="11">
        <v>0.76</v>
      </c>
      <c r="AJ40" s="11">
        <v>0.74</v>
      </c>
      <c r="AK40" s="11">
        <v>0.73</v>
      </c>
      <c r="AL40" s="11">
        <v>0.71</v>
      </c>
      <c r="AM40" s="11">
        <v>0.69</v>
      </c>
      <c r="AN40" s="11">
        <v>0.69</v>
      </c>
      <c r="AO40" s="11">
        <v>0.68</v>
      </c>
      <c r="AP40" s="11">
        <v>0.68</v>
      </c>
      <c r="AQ40" s="11">
        <v>0.68</v>
      </c>
      <c r="AR40" s="11">
        <v>0.67</v>
      </c>
      <c r="AS40" s="11">
        <v>0.67</v>
      </c>
      <c r="AT40" s="11">
        <v>0.67</v>
      </c>
      <c r="AU40" s="11">
        <v>0.66</v>
      </c>
      <c r="AV40" s="11">
        <v>0.66</v>
      </c>
      <c r="AW40" s="11">
        <v>0.66</v>
      </c>
      <c r="AX40" s="8"/>
    </row>
    <row r="41" spans="1:50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 t="e">
        <v>#REF!</v>
      </c>
      <c r="R41" s="11">
        <v>1</v>
      </c>
      <c r="S41" s="11">
        <v>1</v>
      </c>
      <c r="T41" s="11">
        <v>0.98</v>
      </c>
      <c r="U41" s="11">
        <v>0.97</v>
      </c>
      <c r="V41" s="11">
        <v>0.95</v>
      </c>
      <c r="W41" s="11">
        <v>0.94</v>
      </c>
      <c r="X41" s="11">
        <v>0.93</v>
      </c>
      <c r="Y41" s="11">
        <v>0.91</v>
      </c>
      <c r="Z41" s="11">
        <v>0.88</v>
      </c>
      <c r="AA41" s="11">
        <v>0.86</v>
      </c>
      <c r="AB41" s="11">
        <v>0.84</v>
      </c>
      <c r="AC41" s="11">
        <v>0.82</v>
      </c>
      <c r="AD41" s="11">
        <v>0.8</v>
      </c>
      <c r="AE41" s="11">
        <v>0.78</v>
      </c>
      <c r="AF41" s="11">
        <v>0.75</v>
      </c>
      <c r="AG41" s="11">
        <v>0.73</v>
      </c>
      <c r="AH41" s="11">
        <v>0.7</v>
      </c>
      <c r="AI41" s="11">
        <v>0.68</v>
      </c>
      <c r="AJ41" s="11">
        <v>0.65</v>
      </c>
      <c r="AK41" s="11">
        <v>0.63</v>
      </c>
      <c r="AL41" s="11">
        <v>0.61</v>
      </c>
      <c r="AM41" s="11">
        <v>0.57999999999999996</v>
      </c>
      <c r="AN41" s="11">
        <v>0.56999999999999995</v>
      </c>
      <c r="AO41" s="11">
        <v>0.56000000000000005</v>
      </c>
      <c r="AP41" s="11">
        <v>0.55000000000000004</v>
      </c>
      <c r="AQ41" s="11">
        <v>0.54</v>
      </c>
      <c r="AR41" s="11">
        <v>0.52</v>
      </c>
      <c r="AS41" s="11">
        <v>0.52</v>
      </c>
      <c r="AT41" s="11">
        <v>0.51</v>
      </c>
      <c r="AU41" s="11">
        <v>0.5</v>
      </c>
      <c r="AV41" s="11">
        <v>0.49</v>
      </c>
      <c r="AW41" s="11">
        <v>0.48</v>
      </c>
      <c r="AX41" s="8"/>
    </row>
    <row r="42" spans="1:50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 t="e">
        <v>#REF!</v>
      </c>
      <c r="R42" s="11">
        <v>1</v>
      </c>
      <c r="S42" s="11">
        <v>1</v>
      </c>
      <c r="T42" s="11">
        <v>0.99</v>
      </c>
      <c r="U42" s="11">
        <v>0.98</v>
      </c>
      <c r="V42" s="11">
        <v>0.96</v>
      </c>
      <c r="W42" s="11">
        <v>0.95</v>
      </c>
      <c r="X42" s="11">
        <v>0.94</v>
      </c>
      <c r="Y42" s="11">
        <v>0.93</v>
      </c>
      <c r="Z42" s="11">
        <v>0.91</v>
      </c>
      <c r="AA42" s="11">
        <v>0.9</v>
      </c>
      <c r="AB42" s="11">
        <v>0.88</v>
      </c>
      <c r="AC42" s="11">
        <v>0.87</v>
      </c>
      <c r="AD42" s="11">
        <v>0.85</v>
      </c>
      <c r="AE42" s="11">
        <v>0.83</v>
      </c>
      <c r="AF42" s="11">
        <v>0.82</v>
      </c>
      <c r="AG42" s="11">
        <v>0.8</v>
      </c>
      <c r="AH42" s="11">
        <v>0.78</v>
      </c>
      <c r="AI42" s="11">
        <v>0.76</v>
      </c>
      <c r="AJ42" s="11">
        <v>0.75</v>
      </c>
      <c r="AK42" s="11">
        <v>0.73</v>
      </c>
      <c r="AL42" s="11">
        <v>0.72</v>
      </c>
      <c r="AM42" s="11">
        <v>0.7</v>
      </c>
      <c r="AN42" s="11">
        <v>0.7</v>
      </c>
      <c r="AO42" s="11">
        <v>0.7</v>
      </c>
      <c r="AP42" s="11">
        <v>0.69</v>
      </c>
      <c r="AQ42" s="11">
        <v>0.69</v>
      </c>
      <c r="AR42" s="11">
        <v>0.68</v>
      </c>
      <c r="AS42" s="11">
        <v>0.68</v>
      </c>
      <c r="AT42" s="11">
        <v>0.68</v>
      </c>
      <c r="AU42" s="11">
        <v>0.68</v>
      </c>
      <c r="AV42" s="11">
        <v>0.67</v>
      </c>
      <c r="AW42" s="11">
        <v>0.67</v>
      </c>
      <c r="AX42" s="8"/>
    </row>
    <row r="43" spans="1:50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 t="e">
        <v>#REF!</v>
      </c>
      <c r="R43" s="11">
        <v>1</v>
      </c>
      <c r="S43" s="11">
        <v>1</v>
      </c>
      <c r="T43" s="11">
        <v>0.99</v>
      </c>
      <c r="U43" s="11">
        <v>0.97</v>
      </c>
      <c r="V43" s="11">
        <v>0.96</v>
      </c>
      <c r="W43" s="11">
        <v>0.95</v>
      </c>
      <c r="X43" s="11">
        <v>0.94</v>
      </c>
      <c r="Y43" s="11">
        <v>0.93</v>
      </c>
      <c r="Z43" s="11">
        <v>0.91</v>
      </c>
      <c r="AA43" s="11">
        <v>0.9</v>
      </c>
      <c r="AB43" s="11">
        <v>0.88</v>
      </c>
      <c r="AC43" s="11">
        <v>0.87</v>
      </c>
      <c r="AD43" s="11">
        <v>0.85</v>
      </c>
      <c r="AE43" s="11">
        <v>0.83</v>
      </c>
      <c r="AF43" s="11">
        <v>0.81</v>
      </c>
      <c r="AG43" s="11">
        <v>0.8</v>
      </c>
      <c r="AH43" s="11">
        <v>0.78</v>
      </c>
      <c r="AI43" s="11">
        <v>0.76</v>
      </c>
      <c r="AJ43" s="11">
        <v>0.75</v>
      </c>
      <c r="AK43" s="11">
        <v>0.74</v>
      </c>
      <c r="AL43" s="11">
        <v>0.73</v>
      </c>
      <c r="AM43" s="11">
        <v>0.71</v>
      </c>
      <c r="AN43" s="11">
        <v>0.72</v>
      </c>
      <c r="AO43" s="11">
        <v>0.72</v>
      </c>
      <c r="AP43" s="11">
        <v>0.72</v>
      </c>
      <c r="AQ43" s="11">
        <v>0.72</v>
      </c>
      <c r="AR43" s="11">
        <v>0.72</v>
      </c>
      <c r="AS43" s="11">
        <v>0.72</v>
      </c>
      <c r="AT43" s="11">
        <v>0.72</v>
      </c>
      <c r="AU43" s="11">
        <v>0.72</v>
      </c>
      <c r="AV43" s="11">
        <v>0.72</v>
      </c>
      <c r="AW43" s="11">
        <v>0.72</v>
      </c>
      <c r="AX43" s="8"/>
    </row>
    <row r="44" spans="1:50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 t="e">
        <v>#REF!</v>
      </c>
      <c r="R44" s="11">
        <v>1</v>
      </c>
      <c r="S44" s="11">
        <v>1</v>
      </c>
      <c r="T44" s="11">
        <v>0.99</v>
      </c>
      <c r="U44" s="11">
        <v>0.97</v>
      </c>
      <c r="V44" s="11">
        <v>0.96</v>
      </c>
      <c r="W44" s="11">
        <v>0.95</v>
      </c>
      <c r="X44" s="11">
        <v>0.94</v>
      </c>
      <c r="Y44" s="11">
        <v>0.93</v>
      </c>
      <c r="Z44" s="11">
        <v>0.91</v>
      </c>
      <c r="AA44" s="11">
        <v>0.9</v>
      </c>
      <c r="AB44" s="11">
        <v>0.88</v>
      </c>
      <c r="AC44" s="11">
        <v>0.87</v>
      </c>
      <c r="AD44" s="11">
        <v>0.85</v>
      </c>
      <c r="AE44" s="11">
        <v>0.83</v>
      </c>
      <c r="AF44" s="11">
        <v>0.81</v>
      </c>
      <c r="AG44" s="11">
        <v>0.79</v>
      </c>
      <c r="AH44" s="11">
        <v>0.78</v>
      </c>
      <c r="AI44" s="11">
        <v>0.76</v>
      </c>
      <c r="AJ44" s="11">
        <v>0.75</v>
      </c>
      <c r="AK44" s="11">
        <v>0.73</v>
      </c>
      <c r="AL44" s="11">
        <v>0.72</v>
      </c>
      <c r="AM44" s="11">
        <v>0.7</v>
      </c>
      <c r="AN44" s="11">
        <v>0.7</v>
      </c>
      <c r="AO44" s="11">
        <v>0.69</v>
      </c>
      <c r="AP44" s="11">
        <v>0.69</v>
      </c>
      <c r="AQ44" s="11">
        <v>0.69</v>
      </c>
      <c r="AR44" s="11">
        <v>0.68</v>
      </c>
      <c r="AS44" s="11">
        <v>0.68</v>
      </c>
      <c r="AT44" s="11">
        <v>0.68</v>
      </c>
      <c r="AU44" s="11">
        <v>0.68</v>
      </c>
      <c r="AV44" s="11">
        <v>0.68</v>
      </c>
      <c r="AW44" s="11">
        <v>0.68</v>
      </c>
      <c r="AX44" s="8"/>
    </row>
    <row r="45" spans="1:50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</row>
    <row r="46" spans="1:50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</row>
    <row r="47" spans="1:50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</row>
    <row r="48" spans="1:50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</row>
    <row r="49" spans="1:50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</row>
    <row r="50" spans="1: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</row>
    <row r="51" spans="1:50">
      <c r="A51" s="8"/>
      <c r="B51" s="8"/>
      <c r="C51" s="8"/>
      <c r="D51" s="8"/>
      <c r="E51" s="8"/>
      <c r="F51" s="8"/>
      <c r="G51" s="8"/>
      <c r="H51" s="8" t="s">
        <v>35</v>
      </c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</row>
    <row r="52" spans="1:50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462A1B62F2C54A89815A910B5DA9DF" ma:contentTypeVersion="16" ma:contentTypeDescription="Create a new document." ma:contentTypeScope="" ma:versionID="43a3ad87b04958c91f7313fb39e06f27">
  <xsd:schema xmlns:xsd="http://www.w3.org/2001/XMLSchema" xmlns:xs="http://www.w3.org/2001/XMLSchema" xmlns:p="http://schemas.microsoft.com/office/2006/metadata/properties" xmlns:ns2="a9d963ac-f1ca-452e-b18b-8cbbecb7290e" xmlns:ns3="a8fcedee-7f03-4257-8c59-ae56f55c4b1e" targetNamespace="http://schemas.microsoft.com/office/2006/metadata/properties" ma:root="true" ma:fieldsID="d00b033298dd0215310f833e8991d3df" ns2:_="" ns3:_="">
    <xsd:import namespace="a9d963ac-f1ca-452e-b18b-8cbbecb7290e"/>
    <xsd:import namespace="a8fcedee-7f03-4257-8c59-ae56f55c4b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d963ac-f1ca-452e-b18b-8cbbecb729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de42cbc-566b-46c9-aea5-a71cdcd36d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fcedee-7f03-4257-8c59-ae56f55c4b1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5e1f8554-d6c4-460b-bca5-2ae6d8f9a2f4}" ma:internalName="TaxCatchAll" ma:showField="CatchAllData" ma:web="a8fcedee-7f03-4257-8c59-ae56f55c4b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8fcedee-7f03-4257-8c59-ae56f55c4b1e" xsi:nil="true"/>
    <lcf76f155ced4ddcb4097134ff3c332f xmlns="a9d963ac-f1ca-452e-b18b-8cbbecb7290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C02B1FC-96D3-449B-9199-1E1F4DFDBD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d963ac-f1ca-452e-b18b-8cbbecb7290e"/>
    <ds:schemaRef ds:uri="a8fcedee-7f03-4257-8c59-ae56f55c4b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F132657-8431-40BB-BDF8-EE45AAF5F59A}">
  <ds:schemaRefs>
    <ds:schemaRef ds:uri="http://purl.org/dc/dcmitype/"/>
    <ds:schemaRef ds:uri="http://purl.org/dc/terms/"/>
    <ds:schemaRef ds:uri="a8fcedee-7f03-4257-8c59-ae56f55c4b1e"/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9d963ac-f1ca-452e-b18b-8cbbecb7290e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6DF2426F-7829-4C54-AD0D-0104F971E50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0. LULUCF ranges 2030 and 2050</vt:lpstr>
      <vt:lpstr>L1. GHG emissions and removals</vt:lpstr>
      <vt:lpstr>L2. Areas per land-use category</vt:lpstr>
      <vt:lpstr>L3 &amp; L4. A-deforestation</vt:lpstr>
      <vt:lpstr>L5. Net land take</vt:lpstr>
      <vt:lpstr>L6. forest living biomass</vt:lpstr>
      <vt:lpstr>L7. Emission reductions others</vt:lpstr>
      <vt:lpstr>L8. bioenergy</vt:lpstr>
      <vt:lpstr>Fig. 74 woody biomass S&amp;D</vt:lpstr>
      <vt:lpstr>LULUCF sink baseline</vt:lpstr>
      <vt:lpstr>Colour palette</vt:lpstr>
      <vt:lpstr>EJ2TWh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Pieter Lemmens</dc:creator>
  <cp:keywords/>
  <dc:description/>
  <cp:lastModifiedBy>Ciaran Maguire</cp:lastModifiedBy>
  <cp:revision/>
  <dcterms:created xsi:type="dcterms:W3CDTF">2015-06-05T18:17:20Z</dcterms:created>
  <dcterms:modified xsi:type="dcterms:W3CDTF">2025-01-08T15:05:56Z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0x01010003462A1B62F2C54A89815A910B5DA9DF</vt:lpwstr>
  </property>
  <property fmtid="{D5CDD505-2E9C-101B-9397-08002B2CF9AE}" pid="3" name="MediaServiceImageTags">
    <vt:lpwstr/>
  </property>
</Properties>
</file>